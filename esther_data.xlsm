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8.xml" ContentType="application/vnd.openxmlformats-officedocument.drawing+xml"/>
  <Override PartName="/xl/charts/chart14.xml" ContentType="application/vnd.openxmlformats-officedocument.drawingml.chart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10.xml" ContentType="application/vnd.openxmlformats-officedocument.drawing+xml"/>
  <Override PartName="/xl/charts/chart19.xml" ContentType="application/vnd.openxmlformats-officedocument.drawingml.chart+xml"/>
  <Override PartName="/xl/drawings/drawing11.xml" ContentType="application/vnd.openxmlformats-officedocument.drawing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12.xml" ContentType="application/vnd.openxmlformats-officedocument.drawing+xml"/>
  <Override PartName="/xl/charts/chart24.xml" ContentType="application/vnd.openxmlformats-officedocument.drawingml.chart+xml"/>
  <Override PartName="/xl/drawings/drawing13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4.xml" ContentType="application/vnd.openxmlformats-officedocument.drawing+xml"/>
  <Override PartName="/xl/charts/chart28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67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wageningenur4-my.sharepoint.com/personal/georgios_pampoukis_wur_nl/Documents/PhD components/3rd year/qmra_project/"/>
    </mc:Choice>
  </mc:AlternateContent>
  <xr:revisionPtr revIDLastSave="0" documentId="8_{5E46A184-CC3E-4372-A36B-B10FB698E47F}" xr6:coauthVersionLast="47" xr6:coauthVersionMax="47" xr10:uidLastSave="{00000000-0000-0000-0000-000000000000}"/>
  <bookViews>
    <workbookView xWindow="1920" yWindow="1920" windowWidth="21600" windowHeight="11280" firstSheet="5" activeTab="10"/>
  </bookViews>
  <sheets>
    <sheet name="Bacillus" sheetId="2" r:id="rId1"/>
    <sheet name="GraphBacillus" sheetId="6" r:id="rId2"/>
    <sheet name="Campylobacter" sheetId="4" r:id="rId3"/>
    <sheet name="GraphCampy" sheetId="7" r:id="rId4"/>
    <sheet name="C botulinum" sheetId="12" r:id="rId5"/>
    <sheet name="GraphBotulinum" sheetId="8" r:id="rId6"/>
    <sheet name="C perfringens" sheetId="10" r:id="rId7"/>
    <sheet name="GraphPerfringens" sheetId="11" r:id="rId8"/>
    <sheet name="E sakazaki" sheetId="28" r:id="rId9"/>
    <sheet name="Graphsakazaki" sheetId="27" r:id="rId10"/>
    <sheet name="E coli" sheetId="5" r:id="rId11"/>
    <sheet name="GraphEcoli" sheetId="9" r:id="rId12"/>
    <sheet name="Listeria" sheetId="13" r:id="rId13"/>
    <sheet name="GraphListeria" sheetId="14" r:id="rId14"/>
    <sheet name="Salmonella" sheetId="16" r:id="rId15"/>
    <sheet name="GraphSalmonella" sheetId="15" r:id="rId16"/>
    <sheet name="Shigella" sheetId="30" r:id="rId17"/>
    <sheet name="GraphShigella" sheetId="29" r:id="rId18"/>
    <sheet name="Staphaureus" sheetId="17" r:id="rId19"/>
    <sheet name="GraphSaureus" sheetId="18" r:id="rId20"/>
    <sheet name="Streptococcus" sheetId="20" r:id="rId21"/>
    <sheet name="GraphStrept" sheetId="19" r:id="rId22"/>
    <sheet name="Vibrio" sheetId="22" r:id="rId23"/>
    <sheet name="GraphVibrio" sheetId="21" r:id="rId24"/>
    <sheet name="Yersinia" sheetId="25" r:id="rId25"/>
    <sheet name="GraphYersinia" sheetId="26" r:id="rId26"/>
    <sheet name="References" sheetId="1" r:id="rId27"/>
  </sheets>
  <definedNames>
    <definedName name="_xlnm._FilterDatabase" localSheetId="10" hidden="1">'E coli'!$A$1:$Q$401</definedName>
    <definedName name="current">GraphVibrio!$B$42</definedName>
    <definedName name="_xlnm.Print_Area" localSheetId="1">GraphBacillus!$A$33:$T$55</definedName>
    <definedName name="_xlnm.Print_Area" localSheetId="5">GraphBotulinum!$A$55:$E$68</definedName>
    <definedName name="_xlnm.Print_Area" localSheetId="13">GraphListeria!$A$1:$S$52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0" i="8" l="1"/>
  <c r="B84" i="21"/>
  <c r="B46" i="18"/>
  <c r="B87" i="15"/>
  <c r="B50" i="14"/>
  <c r="B46" i="11"/>
  <c r="B48" i="8"/>
  <c r="B47" i="8"/>
  <c r="B44" i="6"/>
  <c r="L419" i="2"/>
  <c r="L420" i="2"/>
  <c r="L424" i="2"/>
  <c r="L425" i="2"/>
  <c r="L421" i="2"/>
  <c r="L436" i="2"/>
  <c r="L435" i="2"/>
  <c r="L434" i="2"/>
  <c r="L433" i="2"/>
  <c r="L452" i="2"/>
  <c r="L451" i="2"/>
  <c r="L450" i="2"/>
  <c r="L449" i="2"/>
  <c r="L448" i="2"/>
  <c r="L447" i="2"/>
  <c r="L446" i="2"/>
  <c r="L445" i="2"/>
  <c r="L444" i="2"/>
  <c r="L443" i="2"/>
  <c r="L442" i="2"/>
  <c r="L441" i="2"/>
  <c r="L456" i="2"/>
  <c r="L455" i="2"/>
  <c r="L454" i="2"/>
  <c r="L440" i="2"/>
  <c r="L439" i="2"/>
  <c r="L438" i="2"/>
  <c r="L19" i="2"/>
  <c r="L18" i="2"/>
  <c r="L17" i="2"/>
  <c r="L16" i="2"/>
  <c r="L15" i="2"/>
  <c r="L14" i="2"/>
  <c r="L13" i="2"/>
  <c r="L12" i="2"/>
  <c r="L22" i="2"/>
  <c r="L21" i="2"/>
  <c r="L11" i="2"/>
  <c r="L10" i="2"/>
  <c r="L484" i="2"/>
  <c r="L479" i="2"/>
  <c r="L483" i="2"/>
  <c r="L482" i="2"/>
  <c r="L481" i="2"/>
  <c r="L480" i="2"/>
  <c r="L478" i="2"/>
  <c r="L477" i="2"/>
  <c r="L476" i="2"/>
  <c r="L460" i="2"/>
  <c r="L459" i="2"/>
  <c r="L458" i="2"/>
  <c r="L457" i="2"/>
  <c r="L462" i="2"/>
  <c r="J336" i="2"/>
  <c r="J335" i="2"/>
  <c r="L335" i="2"/>
  <c r="J334" i="2"/>
  <c r="L334" i="2"/>
  <c r="J333" i="2"/>
  <c r="J332" i="2"/>
  <c r="J331" i="2"/>
  <c r="L331" i="2"/>
  <c r="J325" i="2"/>
  <c r="L325" i="2"/>
  <c r="J320" i="2"/>
  <c r="J315" i="2"/>
  <c r="J310" i="2"/>
  <c r="L310" i="2"/>
  <c r="J306" i="2"/>
  <c r="L306" i="2"/>
  <c r="J302" i="2"/>
  <c r="J295" i="2"/>
  <c r="J289" i="2"/>
  <c r="L289" i="2"/>
  <c r="J283" i="2"/>
  <c r="L283" i="2"/>
  <c r="I38" i="6"/>
  <c r="J277" i="2"/>
  <c r="L277" i="2"/>
  <c r="J270" i="2"/>
  <c r="J247" i="2"/>
  <c r="J240" i="2"/>
  <c r="L240" i="2"/>
  <c r="J237" i="2"/>
  <c r="L237" i="2"/>
  <c r="J232" i="2"/>
  <c r="J228" i="2"/>
  <c r="L228" i="2"/>
  <c r="J225" i="2"/>
  <c r="L225" i="2"/>
  <c r="J220" i="2"/>
  <c r="L220" i="2"/>
  <c r="J216" i="2"/>
  <c r="J213" i="2"/>
  <c r="L213" i="2"/>
  <c r="J208" i="2"/>
  <c r="L208" i="2"/>
  <c r="J203" i="2"/>
  <c r="J200" i="2"/>
  <c r="J196" i="2"/>
  <c r="J191" i="2"/>
  <c r="L191" i="2"/>
  <c r="J187" i="2"/>
  <c r="J182" i="2"/>
  <c r="J178" i="2"/>
  <c r="L178" i="2"/>
  <c r="J174" i="2"/>
  <c r="L174" i="2"/>
  <c r="J169" i="2"/>
  <c r="J165" i="2"/>
  <c r="J162" i="2"/>
  <c r="L162" i="2"/>
  <c r="J157" i="2"/>
  <c r="L157" i="2"/>
  <c r="J153" i="2"/>
  <c r="J150" i="2"/>
  <c r="J145" i="2"/>
  <c r="J141" i="2"/>
  <c r="L141" i="2"/>
  <c r="J137" i="2"/>
  <c r="L137" i="2"/>
  <c r="J132" i="2"/>
  <c r="J128" i="2"/>
  <c r="J125" i="2"/>
  <c r="L125" i="2"/>
  <c r="J120" i="2"/>
  <c r="J116" i="2"/>
  <c r="J112" i="2"/>
  <c r="L112" i="2"/>
  <c r="J107" i="2"/>
  <c r="L107" i="2"/>
  <c r="J471" i="2"/>
  <c r="L471" i="2"/>
  <c r="J102" i="2"/>
  <c r="J98" i="2"/>
  <c r="L98" i="2"/>
  <c r="J94" i="2"/>
  <c r="L94" i="2"/>
  <c r="J91" i="2"/>
  <c r="L91" i="2"/>
  <c r="J86" i="2"/>
  <c r="J80" i="2"/>
  <c r="L80" i="2"/>
  <c r="J75" i="2"/>
  <c r="L75" i="2"/>
  <c r="B5" i="6"/>
  <c r="J71" i="2"/>
  <c r="J68" i="2"/>
  <c r="J63" i="2"/>
  <c r="L63" i="2"/>
  <c r="J83" i="2"/>
  <c r="L83" i="2"/>
  <c r="L359" i="2"/>
  <c r="L360" i="2"/>
  <c r="L361" i="2"/>
  <c r="L362" i="2"/>
  <c r="L405" i="2"/>
  <c r="L363" i="2"/>
  <c r="L364" i="2"/>
  <c r="L365" i="2"/>
  <c r="L366" i="2"/>
  <c r="L406" i="2"/>
  <c r="L367" i="2"/>
  <c r="L368" i="2"/>
  <c r="L369" i="2"/>
  <c r="L370" i="2"/>
  <c r="L407" i="2"/>
  <c r="L371" i="2"/>
  <c r="L372" i="2"/>
  <c r="L373" i="2"/>
  <c r="L374" i="2"/>
  <c r="L408" i="2"/>
  <c r="L376" i="2"/>
  <c r="L375" i="2"/>
  <c r="L378" i="2"/>
  <c r="L377" i="2"/>
  <c r="L380" i="2"/>
  <c r="L379" i="2"/>
  <c r="L382" i="2"/>
  <c r="L381" i="2"/>
  <c r="L384" i="2"/>
  <c r="L383" i="2"/>
  <c r="L386" i="2"/>
  <c r="L385" i="2"/>
  <c r="L388" i="2"/>
  <c r="L387" i="2"/>
  <c r="L410" i="2"/>
  <c r="L409" i="2"/>
  <c r="L389" i="2"/>
  <c r="L390" i="2"/>
  <c r="L391" i="2"/>
  <c r="L392" i="2"/>
  <c r="L411" i="2"/>
  <c r="L393" i="2"/>
  <c r="L394" i="2"/>
  <c r="L395" i="2"/>
  <c r="L396" i="2"/>
  <c r="L412" i="2"/>
  <c r="L397" i="2"/>
  <c r="L398" i="2"/>
  <c r="L399" i="2"/>
  <c r="L400" i="2"/>
  <c r="L413" i="2"/>
  <c r="L401" i="2"/>
  <c r="L402" i="2"/>
  <c r="L403" i="2"/>
  <c r="L404" i="2"/>
  <c r="L414" i="2"/>
  <c r="L38" i="2"/>
  <c r="L36" i="2"/>
  <c r="L34" i="2"/>
  <c r="L32" i="2"/>
  <c r="L59" i="2"/>
  <c r="L57" i="2"/>
  <c r="L56" i="2"/>
  <c r="L54" i="2"/>
  <c r="L53" i="2"/>
  <c r="L58" i="2"/>
  <c r="L55" i="2"/>
  <c r="L52" i="2"/>
  <c r="L51" i="2"/>
  <c r="L37" i="2"/>
  <c r="L35" i="2"/>
  <c r="L33" i="2"/>
  <c r="L31" i="2"/>
  <c r="L49" i="2"/>
  <c r="L42" i="2"/>
  <c r="L50" i="2"/>
  <c r="L43" i="2"/>
  <c r="L48" i="2"/>
  <c r="L41" i="2"/>
  <c r="L47" i="2"/>
  <c r="L39" i="2"/>
  <c r="L46" i="2"/>
  <c r="L44" i="2"/>
  <c r="L45" i="2"/>
  <c r="L40" i="2"/>
  <c r="L475" i="2"/>
  <c r="L474" i="2"/>
  <c r="L473" i="2"/>
  <c r="L472" i="2"/>
  <c r="L97" i="2"/>
  <c r="L96" i="2"/>
  <c r="L95" i="2"/>
  <c r="L85" i="2"/>
  <c r="L84" i="2"/>
  <c r="L82" i="2"/>
  <c r="L73" i="2"/>
  <c r="L72" i="2"/>
  <c r="L71" i="2"/>
  <c r="L70" i="2"/>
  <c r="L101" i="2"/>
  <c r="L100" i="2"/>
  <c r="L99" i="2"/>
  <c r="L89" i="2"/>
  <c r="L88" i="2"/>
  <c r="L87" i="2"/>
  <c r="L86" i="2"/>
  <c r="L77" i="2"/>
  <c r="L76" i="2"/>
  <c r="L74" i="2"/>
  <c r="L65" i="2"/>
  <c r="L64" i="2"/>
  <c r="L62" i="2"/>
  <c r="L246" i="2"/>
  <c r="L105" i="2"/>
  <c r="L104" i="2"/>
  <c r="L103" i="2"/>
  <c r="L102" i="2"/>
  <c r="L93" i="2"/>
  <c r="L92" i="2"/>
  <c r="L90" i="2"/>
  <c r="L81" i="2"/>
  <c r="L79" i="2"/>
  <c r="L78" i="2"/>
  <c r="L69" i="2"/>
  <c r="L68" i="2"/>
  <c r="L67" i="2"/>
  <c r="L66" i="2"/>
  <c r="L242" i="2"/>
  <c r="L241" i="2"/>
  <c r="L239" i="2"/>
  <c r="L230" i="2"/>
  <c r="L229" i="2"/>
  <c r="L227" i="2"/>
  <c r="L218" i="2"/>
  <c r="L217" i="2"/>
  <c r="L216" i="2"/>
  <c r="L215" i="2"/>
  <c r="L234" i="2"/>
  <c r="L233" i="2"/>
  <c r="L232" i="2"/>
  <c r="L231" i="2"/>
  <c r="L222" i="2"/>
  <c r="L221" i="2"/>
  <c r="L219" i="2"/>
  <c r="L210" i="2"/>
  <c r="L209" i="2"/>
  <c r="L207" i="2"/>
  <c r="L245" i="2"/>
  <c r="L238" i="2"/>
  <c r="L236" i="2"/>
  <c r="L235" i="2"/>
  <c r="L226" i="2"/>
  <c r="L224" i="2"/>
  <c r="L223" i="2"/>
  <c r="L214" i="2"/>
  <c r="L212" i="2"/>
  <c r="L211" i="2"/>
  <c r="L143" i="2"/>
  <c r="L142" i="2"/>
  <c r="L140" i="2"/>
  <c r="L130" i="2"/>
  <c r="L129" i="2"/>
  <c r="L128" i="2"/>
  <c r="L127" i="2"/>
  <c r="L118" i="2"/>
  <c r="L117" i="2"/>
  <c r="L116" i="2"/>
  <c r="L115" i="2"/>
  <c r="L135" i="2"/>
  <c r="L134" i="2"/>
  <c r="L133" i="2"/>
  <c r="L132" i="2"/>
  <c r="L131" i="2"/>
  <c r="L122" i="2"/>
  <c r="L121" i="2"/>
  <c r="L120" i="2"/>
  <c r="L119" i="2"/>
  <c r="L109" i="2"/>
  <c r="L108" i="2"/>
  <c r="L106" i="2"/>
  <c r="L244" i="2"/>
  <c r="L139" i="2"/>
  <c r="J138" i="2"/>
  <c r="L138" i="2"/>
  <c r="L136" i="2"/>
  <c r="L126" i="2"/>
  <c r="L124" i="2"/>
  <c r="L123" i="2"/>
  <c r="L114" i="2"/>
  <c r="L113" i="2"/>
  <c r="L111" i="2"/>
  <c r="L110" i="2"/>
  <c r="L250" i="2"/>
  <c r="L206" i="2"/>
  <c r="L205" i="2"/>
  <c r="L204" i="2"/>
  <c r="L203" i="2"/>
  <c r="L194" i="2"/>
  <c r="L193" i="2"/>
  <c r="L192" i="2"/>
  <c r="L190" i="2"/>
  <c r="L180" i="2"/>
  <c r="L179" i="2"/>
  <c r="L177" i="2"/>
  <c r="L167" i="2"/>
  <c r="L166" i="2"/>
  <c r="L165" i="2"/>
  <c r="L164" i="2"/>
  <c r="L155" i="2"/>
  <c r="L154" i="2"/>
  <c r="L153" i="2"/>
  <c r="L152" i="2"/>
  <c r="L260" i="2"/>
  <c r="L259" i="2"/>
  <c r="J258" i="2"/>
  <c r="L258" i="2"/>
  <c r="J257" i="2"/>
  <c r="L257" i="2"/>
  <c r="L256" i="2"/>
  <c r="L198" i="2"/>
  <c r="L197" i="2"/>
  <c r="L196" i="2"/>
  <c r="L195" i="2"/>
  <c r="L184" i="2"/>
  <c r="L183" i="2"/>
  <c r="L182" i="2"/>
  <c r="L181" i="2"/>
  <c r="L171" i="2"/>
  <c r="L170" i="2"/>
  <c r="L169" i="2"/>
  <c r="L168" i="2"/>
  <c r="L159" i="2"/>
  <c r="L158" i="2"/>
  <c r="L156" i="2"/>
  <c r="L147" i="2"/>
  <c r="L146" i="2"/>
  <c r="L145" i="2"/>
  <c r="L144" i="2"/>
  <c r="L249" i="2"/>
  <c r="L248" i="2"/>
  <c r="L247" i="2"/>
  <c r="L243" i="2"/>
  <c r="L202" i="2"/>
  <c r="L201" i="2"/>
  <c r="L200" i="2"/>
  <c r="L199" i="2"/>
  <c r="L189" i="2"/>
  <c r="L188" i="2"/>
  <c r="L187" i="2"/>
  <c r="L186" i="2"/>
  <c r="L185" i="2"/>
  <c r="L176" i="2"/>
  <c r="J175" i="2"/>
  <c r="L175" i="2"/>
  <c r="L173" i="2"/>
  <c r="L172" i="2"/>
  <c r="L163" i="2"/>
  <c r="L161" i="2"/>
  <c r="L160" i="2"/>
  <c r="L151" i="2"/>
  <c r="L150" i="2"/>
  <c r="L149" i="2"/>
  <c r="L148" i="2"/>
  <c r="L255" i="2"/>
  <c r="J254" i="2"/>
  <c r="L254" i="2"/>
  <c r="J253" i="2"/>
  <c r="L253" i="2"/>
  <c r="L252" i="2"/>
  <c r="L251" i="2"/>
  <c r="L358" i="2"/>
  <c r="L353" i="2"/>
  <c r="L348" i="2"/>
  <c r="L342" i="2"/>
  <c r="L336" i="2"/>
  <c r="L357" i="2"/>
  <c r="L352" i="2"/>
  <c r="L347" i="2"/>
  <c r="L341" i="2"/>
  <c r="L356" i="2"/>
  <c r="L351" i="2"/>
  <c r="L346" i="2"/>
  <c r="L340" i="2"/>
  <c r="L355" i="2"/>
  <c r="L350" i="2"/>
  <c r="L345" i="2"/>
  <c r="L339" i="2"/>
  <c r="L333" i="2"/>
  <c r="L330" i="2"/>
  <c r="L354" i="2"/>
  <c r="L349" i="2"/>
  <c r="L344" i="2"/>
  <c r="L338" i="2"/>
  <c r="L332" i="2"/>
  <c r="J329" i="2"/>
  <c r="L329" i="2"/>
  <c r="L343" i="2"/>
  <c r="L337" i="2"/>
  <c r="L328" i="2"/>
  <c r="L327" i="2"/>
  <c r="L326" i="2"/>
  <c r="L324" i="2"/>
  <c r="L323" i="2"/>
  <c r="L322" i="2"/>
  <c r="L321" i="2"/>
  <c r="L320" i="2"/>
  <c r="L319" i="2"/>
  <c r="L318" i="2"/>
  <c r="L317" i="2"/>
  <c r="L316" i="2"/>
  <c r="L315" i="2"/>
  <c r="L314" i="2"/>
  <c r="L313" i="2"/>
  <c r="L312" i="2"/>
  <c r="L311" i="2"/>
  <c r="L309" i="2"/>
  <c r="L308" i="2"/>
  <c r="L307" i="2"/>
  <c r="L305" i="2"/>
  <c r="L304" i="2"/>
  <c r="L303" i="2"/>
  <c r="L302" i="2"/>
  <c r="L301" i="2"/>
  <c r="L300" i="2"/>
  <c r="L299" i="2"/>
  <c r="L298" i="2"/>
  <c r="L297" i="2"/>
  <c r="L296" i="2"/>
  <c r="L295" i="2"/>
  <c r="L294" i="2"/>
  <c r="L293" i="2"/>
  <c r="L292" i="2"/>
  <c r="L291" i="2"/>
  <c r="L290" i="2"/>
  <c r="L288" i="2"/>
  <c r="L287" i="2"/>
  <c r="L286" i="2"/>
  <c r="L285" i="2"/>
  <c r="L284" i="2"/>
  <c r="L282" i="2"/>
  <c r="L281" i="2"/>
  <c r="L280" i="2"/>
  <c r="L279" i="2"/>
  <c r="L278" i="2"/>
  <c r="L276" i="2"/>
  <c r="L275" i="2"/>
  <c r="L274" i="2"/>
  <c r="L273" i="2"/>
  <c r="L272" i="2"/>
  <c r="L271" i="2"/>
  <c r="L270" i="2"/>
  <c r="L269" i="2"/>
  <c r="L268" i="2"/>
  <c r="L267" i="2"/>
  <c r="L266" i="2"/>
  <c r="L265" i="2"/>
  <c r="J264" i="2"/>
  <c r="L264" i="2"/>
  <c r="J263" i="2"/>
  <c r="L263" i="2"/>
  <c r="L262" i="2"/>
  <c r="L261" i="2"/>
  <c r="L466" i="2"/>
  <c r="L465" i="2"/>
  <c r="L464" i="2"/>
  <c r="L463" i="2"/>
  <c r="L486" i="2"/>
  <c r="L485" i="2"/>
  <c r="L418" i="2"/>
  <c r="L417" i="2"/>
  <c r="L416" i="2"/>
  <c r="L415" i="2"/>
  <c r="L24" i="2"/>
  <c r="L23" i="2"/>
  <c r="L453" i="2"/>
  <c r="L437" i="2"/>
  <c r="L422" i="2"/>
  <c r="L423" i="2"/>
  <c r="L426" i="2"/>
  <c r="L61" i="2"/>
  <c r="L60" i="2"/>
  <c r="L26" i="2"/>
  <c r="L25" i="2"/>
  <c r="L28" i="2"/>
  <c r="L27" i="2"/>
  <c r="L30" i="2"/>
  <c r="L29" i="2"/>
  <c r="L5" i="2"/>
  <c r="L4" i="2"/>
  <c r="L470" i="2"/>
  <c r="L469" i="2"/>
  <c r="L468" i="2"/>
  <c r="L461" i="2"/>
  <c r="L432" i="2"/>
  <c r="L431" i="2"/>
  <c r="L430" i="2"/>
  <c r="L429" i="2"/>
  <c r="L428" i="2"/>
  <c r="L427" i="2"/>
  <c r="L8" i="2"/>
  <c r="L6" i="2"/>
  <c r="L7" i="2"/>
  <c r="L20" i="2"/>
  <c r="L9" i="2"/>
  <c r="L3" i="2"/>
  <c r="L2" i="2"/>
  <c r="I37" i="6"/>
  <c r="U483" i="2"/>
  <c r="U264" i="2"/>
  <c r="U248" i="2"/>
  <c r="U418" i="2"/>
  <c r="U407" i="2"/>
  <c r="U203" i="2"/>
  <c r="U176" i="2"/>
  <c r="U126" i="2"/>
  <c r="U112" i="2"/>
  <c r="U67" i="2"/>
  <c r="U55" i="2"/>
  <c r="U6" i="2"/>
  <c r="U329" i="2"/>
  <c r="M27" i="12"/>
  <c r="M26" i="12"/>
  <c r="M25" i="12"/>
  <c r="M24" i="12"/>
  <c r="M23" i="12"/>
  <c r="M22" i="12"/>
  <c r="M21" i="12"/>
  <c r="M20" i="12"/>
  <c r="M19" i="12"/>
  <c r="M18" i="12"/>
  <c r="M17" i="12"/>
  <c r="K16" i="12"/>
  <c r="M16" i="12"/>
  <c r="K15" i="12"/>
  <c r="M15" i="12"/>
  <c r="K14" i="12"/>
  <c r="M14" i="12"/>
  <c r="D6" i="8"/>
  <c r="K13" i="12"/>
  <c r="M13" i="12"/>
  <c r="K12" i="12"/>
  <c r="M12" i="12"/>
  <c r="K11" i="12"/>
  <c r="M11" i="12"/>
  <c r="K10" i="12"/>
  <c r="M10" i="12"/>
  <c r="K9" i="12"/>
  <c r="M9" i="12"/>
  <c r="K8" i="12"/>
  <c r="M8" i="12"/>
  <c r="K7" i="12"/>
  <c r="M7" i="12"/>
  <c r="M6" i="12"/>
  <c r="M5" i="12"/>
  <c r="M4" i="12"/>
  <c r="M3" i="12"/>
  <c r="M2" i="12"/>
  <c r="K155" i="12"/>
  <c r="M155" i="12"/>
  <c r="K154" i="12"/>
  <c r="M154" i="12"/>
  <c r="K153" i="12"/>
  <c r="M153" i="12"/>
  <c r="K152" i="12"/>
  <c r="M152" i="12"/>
  <c r="K151" i="12"/>
  <c r="K150" i="12"/>
  <c r="M150" i="12"/>
  <c r="K118" i="12"/>
  <c r="M118" i="12"/>
  <c r="K117" i="12"/>
  <c r="M117" i="12"/>
  <c r="K116" i="12"/>
  <c r="M116" i="12"/>
  <c r="K115" i="12"/>
  <c r="M115" i="12"/>
  <c r="K114" i="12"/>
  <c r="M114" i="12"/>
  <c r="K113" i="12"/>
  <c r="K80" i="12"/>
  <c r="M80" i="12"/>
  <c r="K79" i="12"/>
  <c r="M79" i="12"/>
  <c r="K78" i="12"/>
  <c r="K77" i="12"/>
  <c r="M77" i="12"/>
  <c r="K76" i="12"/>
  <c r="K75" i="12"/>
  <c r="M75" i="12"/>
  <c r="K74" i="12"/>
  <c r="M74" i="12"/>
  <c r="K73" i="12"/>
  <c r="K72" i="12"/>
  <c r="M72" i="12"/>
  <c r="K71" i="12"/>
  <c r="M71" i="12"/>
  <c r="M84" i="12"/>
  <c r="M83" i="12"/>
  <c r="M82" i="12"/>
  <c r="M81" i="12"/>
  <c r="M151" i="12"/>
  <c r="M78" i="12"/>
  <c r="M76" i="12"/>
  <c r="M73" i="12"/>
  <c r="M113" i="12"/>
  <c r="M142" i="12"/>
  <c r="M141" i="12"/>
  <c r="M140" i="12"/>
  <c r="M139" i="12"/>
  <c r="M138" i="12"/>
  <c r="M137" i="12"/>
  <c r="M136" i="12"/>
  <c r="M135" i="12"/>
  <c r="M134" i="12"/>
  <c r="M133" i="12"/>
  <c r="M132" i="12"/>
  <c r="M131" i="12"/>
  <c r="M130" i="12"/>
  <c r="M129" i="12"/>
  <c r="M128" i="12"/>
  <c r="M127" i="12"/>
  <c r="M126" i="12"/>
  <c r="M125" i="12"/>
  <c r="M124" i="12"/>
  <c r="M123" i="12"/>
  <c r="M122" i="12"/>
  <c r="M121" i="12"/>
  <c r="M120" i="12"/>
  <c r="M119" i="12"/>
  <c r="M376" i="12"/>
  <c r="M375" i="12"/>
  <c r="M374" i="12"/>
  <c r="M373" i="12"/>
  <c r="M372" i="12"/>
  <c r="M371" i="12"/>
  <c r="M370" i="12"/>
  <c r="M369" i="12"/>
  <c r="M368" i="12"/>
  <c r="M367" i="12"/>
  <c r="M366" i="12"/>
  <c r="M365" i="12"/>
  <c r="M364" i="12"/>
  <c r="M363" i="12"/>
  <c r="M362" i="12"/>
  <c r="M361" i="12"/>
  <c r="M360" i="12"/>
  <c r="M359" i="12"/>
  <c r="M358" i="12"/>
  <c r="M357" i="12"/>
  <c r="M356" i="12"/>
  <c r="M355" i="12"/>
  <c r="M354" i="12"/>
  <c r="M353" i="12"/>
  <c r="M352" i="12"/>
  <c r="M351" i="12"/>
  <c r="M350" i="12"/>
  <c r="M349" i="12"/>
  <c r="M348" i="12"/>
  <c r="M347" i="12"/>
  <c r="M346" i="12"/>
  <c r="M345" i="12"/>
  <c r="M344" i="12"/>
  <c r="M343" i="12"/>
  <c r="M342" i="12"/>
  <c r="M341" i="12"/>
  <c r="M340" i="12"/>
  <c r="M339" i="12"/>
  <c r="M338" i="12"/>
  <c r="M337" i="12"/>
  <c r="M336" i="12"/>
  <c r="M335" i="12"/>
  <c r="M334" i="12"/>
  <c r="M333" i="12"/>
  <c r="M332" i="12"/>
  <c r="M331" i="12"/>
  <c r="M330" i="12"/>
  <c r="M329" i="12"/>
  <c r="M328" i="12"/>
  <c r="M327" i="12"/>
  <c r="M326" i="12"/>
  <c r="M325" i="12"/>
  <c r="M324" i="12"/>
  <c r="M323" i="12"/>
  <c r="M322" i="12"/>
  <c r="M321" i="12"/>
  <c r="M320" i="12"/>
  <c r="M319" i="12"/>
  <c r="M318" i="12"/>
  <c r="M317" i="12"/>
  <c r="M316" i="12"/>
  <c r="M315" i="12"/>
  <c r="M314" i="12"/>
  <c r="M313" i="12"/>
  <c r="M312" i="12"/>
  <c r="M311" i="12"/>
  <c r="M310" i="12"/>
  <c r="M309" i="12"/>
  <c r="M308" i="12"/>
  <c r="M307" i="12"/>
  <c r="M306" i="12"/>
  <c r="M305" i="12"/>
  <c r="M304" i="12"/>
  <c r="M303" i="12"/>
  <c r="M302" i="12"/>
  <c r="M301" i="12"/>
  <c r="M300" i="12"/>
  <c r="M299" i="12"/>
  <c r="M298" i="12"/>
  <c r="M297" i="12"/>
  <c r="M296" i="12"/>
  <c r="M295" i="12"/>
  <c r="M294" i="12"/>
  <c r="M293" i="12"/>
  <c r="M292" i="12"/>
  <c r="M291" i="12"/>
  <c r="M290" i="12"/>
  <c r="M289" i="12"/>
  <c r="M288" i="12"/>
  <c r="M287" i="12"/>
  <c r="M286" i="12"/>
  <c r="M285" i="12"/>
  <c r="M284" i="12"/>
  <c r="M283" i="12"/>
  <c r="M282" i="12"/>
  <c r="M281" i="12"/>
  <c r="M280" i="12"/>
  <c r="M279" i="12"/>
  <c r="M278" i="12"/>
  <c r="M277" i="12"/>
  <c r="M276" i="12"/>
  <c r="M275" i="12"/>
  <c r="M274" i="12"/>
  <c r="M273" i="12"/>
  <c r="M272" i="12"/>
  <c r="M271" i="12"/>
  <c r="M270" i="12"/>
  <c r="M269" i="12"/>
  <c r="M268" i="12"/>
  <c r="M267" i="12"/>
  <c r="M266" i="12"/>
  <c r="M265" i="12"/>
  <c r="M264" i="12"/>
  <c r="M263" i="12"/>
  <c r="M262" i="12"/>
  <c r="M261" i="12"/>
  <c r="M260" i="12"/>
  <c r="M259" i="12"/>
  <c r="M258" i="12"/>
  <c r="M257" i="12"/>
  <c r="M256" i="12"/>
  <c r="M255" i="12"/>
  <c r="M254" i="12"/>
  <c r="M253" i="12"/>
  <c r="M252" i="12"/>
  <c r="M251" i="12"/>
  <c r="M250" i="12"/>
  <c r="M249" i="12"/>
  <c r="M248" i="12"/>
  <c r="M247" i="12"/>
  <c r="M246" i="12"/>
  <c r="M245" i="12"/>
  <c r="M244" i="12"/>
  <c r="M243" i="12"/>
  <c r="M242" i="12"/>
  <c r="M241" i="12"/>
  <c r="M240" i="12"/>
  <c r="M239" i="12"/>
  <c r="M238" i="12"/>
  <c r="M237" i="12"/>
  <c r="M236" i="12"/>
  <c r="M235" i="12"/>
  <c r="M234" i="12"/>
  <c r="M233" i="12"/>
  <c r="M232" i="12"/>
  <c r="M231" i="12"/>
  <c r="M230" i="12"/>
  <c r="M229" i="12"/>
  <c r="M228" i="12"/>
  <c r="M227" i="12"/>
  <c r="M226" i="12"/>
  <c r="M225" i="12"/>
  <c r="M224" i="12"/>
  <c r="M223" i="12"/>
  <c r="M222" i="12"/>
  <c r="M221" i="12"/>
  <c r="M220" i="12"/>
  <c r="M219" i="12"/>
  <c r="M218" i="12"/>
  <c r="M217" i="12"/>
  <c r="M216" i="12"/>
  <c r="M215" i="12"/>
  <c r="M214" i="12"/>
  <c r="M213" i="12"/>
  <c r="M212" i="12"/>
  <c r="M211" i="12"/>
  <c r="M210" i="12"/>
  <c r="M209" i="12"/>
  <c r="M208" i="12"/>
  <c r="M207" i="12"/>
  <c r="M206" i="12"/>
  <c r="M205" i="12"/>
  <c r="M204" i="12"/>
  <c r="M203" i="12"/>
  <c r="M202" i="12"/>
  <c r="M201" i="12"/>
  <c r="M200" i="12"/>
  <c r="M199" i="12"/>
  <c r="M198" i="12"/>
  <c r="M197" i="12"/>
  <c r="M196" i="12"/>
  <c r="M195" i="12"/>
  <c r="M194" i="12"/>
  <c r="M193" i="12"/>
  <c r="M192" i="12"/>
  <c r="M191" i="12"/>
  <c r="M190" i="12"/>
  <c r="M189" i="12"/>
  <c r="M188" i="12"/>
  <c r="M187" i="12"/>
  <c r="M186" i="12"/>
  <c r="M185" i="12"/>
  <c r="M184" i="12"/>
  <c r="M183" i="12"/>
  <c r="M182" i="12"/>
  <c r="M181" i="12"/>
  <c r="M180" i="12"/>
  <c r="M179" i="12"/>
  <c r="M178" i="12"/>
  <c r="M177" i="12"/>
  <c r="C9" i="8"/>
  <c r="M176" i="12"/>
  <c r="M175" i="12"/>
  <c r="M174" i="12"/>
  <c r="M173" i="12"/>
  <c r="M172" i="12"/>
  <c r="M171" i="12"/>
  <c r="M170" i="12"/>
  <c r="M169" i="12"/>
  <c r="M168" i="12"/>
  <c r="M167" i="12"/>
  <c r="M166" i="12"/>
  <c r="M165" i="12"/>
  <c r="M164" i="12"/>
  <c r="M163" i="12"/>
  <c r="M162" i="12"/>
  <c r="M161" i="12"/>
  <c r="M160" i="12"/>
  <c r="M159" i="12"/>
  <c r="M158" i="12"/>
  <c r="M157" i="12"/>
  <c r="M156" i="12"/>
  <c r="M149" i="12"/>
  <c r="M148" i="12"/>
  <c r="M147" i="12"/>
  <c r="M146" i="12"/>
  <c r="M145" i="12"/>
  <c r="M144" i="12"/>
  <c r="M143" i="12"/>
  <c r="M112" i="12"/>
  <c r="M111" i="12"/>
  <c r="M110" i="12"/>
  <c r="M109" i="12"/>
  <c r="M108" i="12"/>
  <c r="M107" i="12"/>
  <c r="M106" i="12"/>
  <c r="M105" i="12"/>
  <c r="M104" i="12"/>
  <c r="M103" i="12"/>
  <c r="M102" i="12"/>
  <c r="M101" i="12"/>
  <c r="M100" i="12"/>
  <c r="M99" i="12"/>
  <c r="M98" i="12"/>
  <c r="M97" i="12"/>
  <c r="M96" i="12"/>
  <c r="M95" i="12"/>
  <c r="M94" i="12"/>
  <c r="M93" i="12"/>
  <c r="M92" i="12"/>
  <c r="M91" i="12"/>
  <c r="M90" i="12"/>
  <c r="M89" i="12"/>
  <c r="M88" i="12"/>
  <c r="M87" i="12"/>
  <c r="M86" i="12"/>
  <c r="M85" i="12"/>
  <c r="M70" i="12"/>
  <c r="M69" i="12"/>
  <c r="M68" i="12"/>
  <c r="M67" i="12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L173" i="10"/>
  <c r="L172" i="10"/>
  <c r="L171" i="10"/>
  <c r="L170" i="10"/>
  <c r="L169" i="10"/>
  <c r="L168" i="10"/>
  <c r="L167" i="10"/>
  <c r="L166" i="10"/>
  <c r="L165" i="10"/>
  <c r="L164" i="10"/>
  <c r="L163" i="10"/>
  <c r="L162" i="10"/>
  <c r="L161" i="10"/>
  <c r="L160" i="10"/>
  <c r="L159" i="10"/>
  <c r="L158" i="10"/>
  <c r="L157" i="10"/>
  <c r="L156" i="10"/>
  <c r="L155" i="10"/>
  <c r="L154" i="10"/>
  <c r="L153" i="10"/>
  <c r="L152" i="10"/>
  <c r="L151" i="10"/>
  <c r="L150" i="10"/>
  <c r="L149" i="10"/>
  <c r="L148" i="10"/>
  <c r="L147" i="10"/>
  <c r="L146" i="10"/>
  <c r="L145" i="10"/>
  <c r="L144" i="10"/>
  <c r="L143" i="10"/>
  <c r="L142" i="10"/>
  <c r="L141" i="10"/>
  <c r="L140" i="10"/>
  <c r="L139" i="10"/>
  <c r="L138" i="10"/>
  <c r="L137" i="10"/>
  <c r="L136" i="10"/>
  <c r="L135" i="10"/>
  <c r="L134" i="10"/>
  <c r="L133" i="10"/>
  <c r="L132" i="10"/>
  <c r="L131" i="10"/>
  <c r="L130" i="10"/>
  <c r="L129" i="10"/>
  <c r="L128" i="10"/>
  <c r="L127" i="10"/>
  <c r="L126" i="10"/>
  <c r="L125" i="10"/>
  <c r="L124" i="10"/>
  <c r="L123" i="10"/>
  <c r="L122" i="10"/>
  <c r="L121" i="10"/>
  <c r="L120" i="10"/>
  <c r="L119" i="10"/>
  <c r="L118" i="10"/>
  <c r="L117" i="10"/>
  <c r="L116" i="10"/>
  <c r="L115" i="10"/>
  <c r="L114" i="10"/>
  <c r="L113" i="10"/>
  <c r="L112" i="10"/>
  <c r="L111" i="10"/>
  <c r="L110" i="10"/>
  <c r="L109" i="10"/>
  <c r="L108" i="10"/>
  <c r="L107" i="10"/>
  <c r="L217" i="10"/>
  <c r="L17" i="10"/>
  <c r="L15" i="10"/>
  <c r="L14" i="10"/>
  <c r="L13" i="10"/>
  <c r="L11" i="10"/>
  <c r="L10" i="10"/>
  <c r="L9" i="10"/>
  <c r="L7" i="10"/>
  <c r="L6" i="10"/>
  <c r="L5" i="10"/>
  <c r="L3" i="10"/>
  <c r="L43" i="10"/>
  <c r="L57" i="10"/>
  <c r="L55" i="10"/>
  <c r="L54" i="10"/>
  <c r="L53" i="10"/>
  <c r="L51" i="10"/>
  <c r="L50" i="10"/>
  <c r="L49" i="10"/>
  <c r="L47" i="10"/>
  <c r="L46" i="10"/>
  <c r="L45" i="10"/>
  <c r="L42" i="10"/>
  <c r="L41" i="10"/>
  <c r="L40" i="10"/>
  <c r="L38" i="10"/>
  <c r="L37" i="10"/>
  <c r="L36" i="10"/>
  <c r="L34" i="10"/>
  <c r="L33" i="10"/>
  <c r="L32" i="10"/>
  <c r="L30" i="10"/>
  <c r="L29" i="10"/>
  <c r="L28" i="10"/>
  <c r="J95" i="10"/>
  <c r="J99" i="10"/>
  <c r="J103" i="10"/>
  <c r="L103" i="10"/>
  <c r="J104" i="10"/>
  <c r="J178" i="10"/>
  <c r="J180" i="10"/>
  <c r="L180" i="10"/>
  <c r="J182" i="10"/>
  <c r="J183" i="10"/>
  <c r="L183" i="10"/>
  <c r="J184" i="10"/>
  <c r="J186" i="10"/>
  <c r="L186" i="10"/>
  <c r="J187" i="10"/>
  <c r="L187" i="10"/>
  <c r="L189" i="10"/>
  <c r="L188" i="10"/>
  <c r="L185" i="10"/>
  <c r="L184" i="10"/>
  <c r="L182" i="10"/>
  <c r="L181" i="10"/>
  <c r="L179" i="10"/>
  <c r="L178" i="10"/>
  <c r="L106" i="10"/>
  <c r="L105" i="10"/>
  <c r="L104" i="10"/>
  <c r="L102" i="10"/>
  <c r="L101" i="10"/>
  <c r="L100" i="10"/>
  <c r="L99" i="10"/>
  <c r="L98" i="10"/>
  <c r="L97" i="10"/>
  <c r="J96" i="10"/>
  <c r="L96" i="10"/>
  <c r="L95" i="10"/>
  <c r="L177" i="10"/>
  <c r="L176" i="10"/>
  <c r="L175" i="10"/>
  <c r="L174" i="10"/>
  <c r="L211" i="10"/>
  <c r="L210" i="10"/>
  <c r="L209" i="10"/>
  <c r="L208" i="10"/>
  <c r="L207" i="10"/>
  <c r="L206" i="10"/>
  <c r="L205" i="10"/>
  <c r="L204" i="10"/>
  <c r="L203" i="10"/>
  <c r="L202" i="10"/>
  <c r="L201" i="10"/>
  <c r="L200" i="10"/>
  <c r="L199" i="10"/>
  <c r="L198" i="10"/>
  <c r="L197" i="10"/>
  <c r="L196" i="10"/>
  <c r="L195" i="10"/>
  <c r="L194" i="10"/>
  <c r="L193" i="10"/>
  <c r="L192" i="10"/>
  <c r="L191" i="10"/>
  <c r="L190" i="10"/>
  <c r="L94" i="10"/>
  <c r="L93" i="10"/>
  <c r="L92" i="10"/>
  <c r="L91" i="10"/>
  <c r="L90" i="10"/>
  <c r="L89" i="10"/>
  <c r="L88" i="10"/>
  <c r="L87" i="10"/>
  <c r="L86" i="10"/>
  <c r="L85" i="10"/>
  <c r="L84" i="10"/>
  <c r="L83" i="10"/>
  <c r="L82" i="10"/>
  <c r="L81" i="10"/>
  <c r="L80" i="10"/>
  <c r="L79" i="10"/>
  <c r="L78" i="10"/>
  <c r="L77" i="10"/>
  <c r="L76" i="10"/>
  <c r="L75" i="10"/>
  <c r="L74" i="10"/>
  <c r="L73" i="10"/>
  <c r="L72" i="10"/>
  <c r="L71" i="10"/>
  <c r="L70" i="10"/>
  <c r="L69" i="10"/>
  <c r="L68" i="10"/>
  <c r="L67" i="10"/>
  <c r="L66" i="10"/>
  <c r="L65" i="10"/>
  <c r="L64" i="10"/>
  <c r="L63" i="10"/>
  <c r="L62" i="10"/>
  <c r="L61" i="10"/>
  <c r="L60" i="10"/>
  <c r="L59" i="10"/>
  <c r="L58" i="10"/>
  <c r="L27" i="10"/>
  <c r="L26" i="10"/>
  <c r="L25" i="10"/>
  <c r="L24" i="10"/>
  <c r="L23" i="10"/>
  <c r="L22" i="10"/>
  <c r="L21" i="10"/>
  <c r="L20" i="10"/>
  <c r="L19" i="10"/>
  <c r="L18" i="10"/>
  <c r="L2" i="10"/>
  <c r="L213" i="10"/>
  <c r="K23" i="4"/>
  <c r="K22" i="4"/>
  <c r="K21" i="4"/>
  <c r="K20" i="4"/>
  <c r="K19" i="4"/>
  <c r="K18" i="4"/>
  <c r="K17" i="4"/>
  <c r="K16" i="4"/>
  <c r="K15" i="4"/>
  <c r="K14" i="4"/>
  <c r="K47" i="4"/>
  <c r="K46" i="4"/>
  <c r="K45" i="4"/>
  <c r="K44" i="4"/>
  <c r="K43" i="4"/>
  <c r="K36" i="4"/>
  <c r="K7" i="4"/>
  <c r="K6" i="4"/>
  <c r="K9" i="4"/>
  <c r="K8" i="4"/>
  <c r="K13" i="4"/>
  <c r="K12" i="4"/>
  <c r="K11" i="4"/>
  <c r="K10" i="4"/>
  <c r="K29" i="4"/>
  <c r="K28" i="4"/>
  <c r="K27" i="4"/>
  <c r="K26" i="4"/>
  <c r="K25" i="4"/>
  <c r="K24" i="4"/>
  <c r="K5" i="4"/>
  <c r="K4" i="4"/>
  <c r="K3" i="4"/>
  <c r="K2" i="4"/>
  <c r="K35" i="4"/>
  <c r="K34" i="4"/>
  <c r="K33" i="4"/>
  <c r="K32" i="4"/>
  <c r="C10" i="7"/>
  <c r="K31" i="4"/>
  <c r="K30" i="4"/>
  <c r="K42" i="4"/>
  <c r="K41" i="4"/>
  <c r="K40" i="4"/>
  <c r="K39" i="4"/>
  <c r="K38" i="4"/>
  <c r="K37" i="4"/>
  <c r="L401" i="5"/>
  <c r="M379" i="5"/>
  <c r="K377" i="5"/>
  <c r="K376" i="5"/>
  <c r="M376" i="5"/>
  <c r="K375" i="5"/>
  <c r="K374" i="5"/>
  <c r="M374" i="5"/>
  <c r="K373" i="5"/>
  <c r="K372" i="5"/>
  <c r="M372" i="5"/>
  <c r="K371" i="5"/>
  <c r="K370" i="5"/>
  <c r="M370" i="5"/>
  <c r="K369" i="5"/>
  <c r="K368" i="5"/>
  <c r="M368" i="5"/>
  <c r="K367" i="5"/>
  <c r="K366" i="5"/>
  <c r="M366" i="5"/>
  <c r="K365" i="5"/>
  <c r="K364" i="5"/>
  <c r="M364" i="5"/>
  <c r="K363" i="5"/>
  <c r="K362" i="5"/>
  <c r="M362" i="5"/>
  <c r="K361" i="5"/>
  <c r="M361" i="5"/>
  <c r="K358" i="5"/>
  <c r="M358" i="5"/>
  <c r="K360" i="5"/>
  <c r="M360" i="5"/>
  <c r="K357" i="5"/>
  <c r="M357" i="5"/>
  <c r="K356" i="5"/>
  <c r="M356" i="5"/>
  <c r="K359" i="5"/>
  <c r="M359" i="5"/>
  <c r="K355" i="5"/>
  <c r="M355" i="5"/>
  <c r="K354" i="5"/>
  <c r="M354" i="5"/>
  <c r="K353" i="5"/>
  <c r="M353" i="5"/>
  <c r="K352" i="5"/>
  <c r="M352" i="5"/>
  <c r="K351" i="5"/>
  <c r="M351" i="5"/>
  <c r="M313" i="5"/>
  <c r="M310" i="5"/>
  <c r="M309" i="5"/>
  <c r="M308" i="5"/>
  <c r="M305" i="5"/>
  <c r="M304" i="5"/>
  <c r="M302" i="5"/>
  <c r="M300" i="5"/>
  <c r="M298" i="5"/>
  <c r="M297" i="5"/>
  <c r="M294" i="5"/>
  <c r="M293" i="5"/>
  <c r="M292" i="5"/>
  <c r="M289" i="5"/>
  <c r="M288" i="5"/>
  <c r="M286" i="5"/>
  <c r="M284" i="5"/>
  <c r="M282" i="5"/>
  <c r="M281" i="5"/>
  <c r="M278" i="5"/>
  <c r="M277" i="5"/>
  <c r="M276" i="5"/>
  <c r="M273" i="5"/>
  <c r="M272" i="5"/>
  <c r="M263" i="5"/>
  <c r="M271" i="5"/>
  <c r="M270" i="5"/>
  <c r="M261" i="5"/>
  <c r="M269" i="5"/>
  <c r="M268" i="5"/>
  <c r="M259" i="5"/>
  <c r="M267" i="5"/>
  <c r="M266" i="5"/>
  <c r="M257" i="5"/>
  <c r="M265" i="5"/>
  <c r="M264" i="5"/>
  <c r="M255" i="5"/>
  <c r="M253" i="5"/>
  <c r="M252" i="5"/>
  <c r="M251" i="5"/>
  <c r="M249" i="5"/>
  <c r="M248" i="5"/>
  <c r="M247" i="5"/>
  <c r="M245" i="5"/>
  <c r="M244" i="5"/>
  <c r="M243" i="5"/>
  <c r="M241" i="5"/>
  <c r="M240" i="5"/>
  <c r="M239" i="5"/>
  <c r="M237" i="5"/>
  <c r="M236" i="5"/>
  <c r="M235" i="5"/>
  <c r="M233" i="5"/>
  <c r="M232" i="5"/>
  <c r="M231" i="5"/>
  <c r="M229" i="5"/>
  <c r="M213" i="5"/>
  <c r="M212" i="5"/>
  <c r="M210" i="5"/>
  <c r="M209" i="5"/>
  <c r="M208" i="5"/>
  <c r="M206" i="5"/>
  <c r="M205" i="5"/>
  <c r="M204" i="5"/>
  <c r="M202" i="5"/>
  <c r="M201" i="5"/>
  <c r="M200" i="5"/>
  <c r="M198" i="5"/>
  <c r="M197" i="5"/>
  <c r="M196" i="5"/>
  <c r="M194" i="5"/>
  <c r="M193" i="5"/>
  <c r="M192" i="5"/>
  <c r="M190" i="5"/>
  <c r="M189" i="5"/>
  <c r="M188" i="5"/>
  <c r="M186" i="5"/>
  <c r="M185" i="5"/>
  <c r="M184" i="5"/>
  <c r="M182" i="5"/>
  <c r="M181" i="5"/>
  <c r="M180" i="5"/>
  <c r="M178" i="5"/>
  <c r="M177" i="5"/>
  <c r="M176" i="5"/>
  <c r="M174" i="5"/>
  <c r="M173" i="5"/>
  <c r="M172" i="5"/>
  <c r="M170" i="5"/>
  <c r="M169" i="5"/>
  <c r="M168" i="5"/>
  <c r="M166" i="5"/>
  <c r="M165" i="5"/>
  <c r="M164" i="5"/>
  <c r="M162" i="5"/>
  <c r="M161" i="5"/>
  <c r="M160" i="5"/>
  <c r="M158" i="5"/>
  <c r="M157" i="5"/>
  <c r="M156" i="5"/>
  <c r="M154" i="5"/>
  <c r="M153" i="5"/>
  <c r="M152" i="5"/>
  <c r="M150" i="5"/>
  <c r="M149" i="5"/>
  <c r="M148" i="5"/>
  <c r="M146" i="5"/>
  <c r="M145" i="5"/>
  <c r="M144" i="5"/>
  <c r="M142" i="5"/>
  <c r="M141" i="5"/>
  <c r="M140" i="5"/>
  <c r="M138" i="5"/>
  <c r="M137" i="5"/>
  <c r="M136" i="5"/>
  <c r="M134" i="5"/>
  <c r="M133" i="5"/>
  <c r="M132" i="5"/>
  <c r="M223" i="5"/>
  <c r="M218" i="5"/>
  <c r="M125" i="5"/>
  <c r="M222" i="5"/>
  <c r="M217" i="5"/>
  <c r="M124" i="5"/>
  <c r="M221" i="5"/>
  <c r="M216" i="5"/>
  <c r="M123" i="5"/>
  <c r="M220" i="5"/>
  <c r="M215" i="5"/>
  <c r="M122" i="5"/>
  <c r="M219" i="5"/>
  <c r="M214" i="5"/>
  <c r="M121" i="5"/>
  <c r="M119" i="5"/>
  <c r="M118" i="5"/>
  <c r="M117" i="5"/>
  <c r="M115" i="5"/>
  <c r="M114" i="5"/>
  <c r="M113" i="5"/>
  <c r="M111" i="5"/>
  <c r="M110" i="5"/>
  <c r="M109" i="5"/>
  <c r="M107" i="5"/>
  <c r="M106" i="5"/>
  <c r="M131" i="5"/>
  <c r="M129" i="5"/>
  <c r="M128" i="5"/>
  <c r="M127" i="5"/>
  <c r="M105" i="5"/>
  <c r="M104" i="5"/>
  <c r="M103" i="5"/>
  <c r="M101" i="5"/>
  <c r="M100" i="5"/>
  <c r="M99" i="5"/>
  <c r="M97" i="5"/>
  <c r="M96" i="5"/>
  <c r="M95" i="5"/>
  <c r="M89" i="5"/>
  <c r="M87" i="5"/>
  <c r="M85" i="5"/>
  <c r="M86" i="5"/>
  <c r="M84" i="5"/>
  <c r="M52" i="5"/>
  <c r="M50" i="5"/>
  <c r="M58" i="5"/>
  <c r="M57" i="5"/>
  <c r="M56" i="5"/>
  <c r="M70" i="5"/>
  <c r="M69" i="5"/>
  <c r="M68" i="5"/>
  <c r="M82" i="5"/>
  <c r="M81" i="5"/>
  <c r="M80" i="5"/>
  <c r="M67" i="5"/>
  <c r="M66" i="5"/>
  <c r="M65" i="5"/>
  <c r="M73" i="5"/>
  <c r="M72" i="5"/>
  <c r="M71" i="5"/>
  <c r="M64" i="5"/>
  <c r="M63" i="5"/>
  <c r="M62" i="5"/>
  <c r="M79" i="5"/>
  <c r="M78" i="5"/>
  <c r="M77" i="5"/>
  <c r="M61" i="5"/>
  <c r="M60" i="5"/>
  <c r="M59" i="5"/>
  <c r="M55" i="5"/>
  <c r="M54" i="5"/>
  <c r="M53" i="5"/>
  <c r="M46" i="5"/>
  <c r="M45" i="5"/>
  <c r="M44" i="5"/>
  <c r="M76" i="5"/>
  <c r="M75" i="5"/>
  <c r="M74" i="5"/>
  <c r="M49" i="5"/>
  <c r="M48" i="5"/>
  <c r="M47" i="5"/>
  <c r="M43" i="5"/>
  <c r="M42" i="5"/>
  <c r="M41" i="5"/>
  <c r="M91" i="5"/>
  <c r="M90" i="5"/>
  <c r="M93" i="5"/>
  <c r="M92" i="5"/>
  <c r="M83" i="5"/>
  <c r="M27" i="5"/>
  <c r="M26" i="5"/>
  <c r="M383" i="5"/>
  <c r="M382" i="5"/>
  <c r="M332" i="5"/>
  <c r="M331" i="5"/>
  <c r="M330" i="5"/>
  <c r="M329" i="5"/>
  <c r="M328" i="5"/>
  <c r="M327" i="5"/>
  <c r="M326" i="5"/>
  <c r="M325" i="5"/>
  <c r="M324" i="5"/>
  <c r="M323" i="5"/>
  <c r="M322" i="5"/>
  <c r="M321" i="5"/>
  <c r="M320" i="5"/>
  <c r="M319" i="5"/>
  <c r="M318" i="5"/>
  <c r="M317" i="5"/>
  <c r="M36" i="5"/>
  <c r="M35" i="5"/>
  <c r="M34" i="5"/>
  <c r="M25" i="5"/>
  <c r="M24" i="5"/>
  <c r="M23" i="5"/>
  <c r="M13" i="5"/>
  <c r="M12" i="5"/>
  <c r="M11" i="5"/>
  <c r="M350" i="5"/>
  <c r="M349" i="5"/>
  <c r="M348" i="5"/>
  <c r="M347" i="5"/>
  <c r="M346" i="5"/>
  <c r="M345" i="5"/>
  <c r="M344" i="5"/>
  <c r="M343" i="5"/>
  <c r="M342" i="5"/>
  <c r="M40" i="5"/>
  <c r="M39" i="5"/>
  <c r="M38" i="5"/>
  <c r="M37" i="5"/>
  <c r="M33" i="5"/>
  <c r="M32" i="5"/>
  <c r="M31" i="5"/>
  <c r="M22" i="5"/>
  <c r="M21" i="5"/>
  <c r="M20" i="5"/>
  <c r="M10" i="5"/>
  <c r="M9" i="5"/>
  <c r="M8" i="5"/>
  <c r="M30" i="5"/>
  <c r="M29" i="5"/>
  <c r="M28" i="5"/>
  <c r="M19" i="5"/>
  <c r="M18" i="5"/>
  <c r="M7" i="5"/>
  <c r="M6" i="5"/>
  <c r="M17" i="5"/>
  <c r="M16" i="5"/>
  <c r="M15" i="5"/>
  <c r="M14" i="5"/>
  <c r="M341" i="5"/>
  <c r="M340" i="5"/>
  <c r="M339" i="5"/>
  <c r="M338" i="5"/>
  <c r="M337" i="5"/>
  <c r="M336" i="5"/>
  <c r="M335" i="5"/>
  <c r="M334" i="5"/>
  <c r="M333" i="5"/>
  <c r="M5" i="5"/>
  <c r="M4" i="5"/>
  <c r="M3" i="5"/>
  <c r="M2" i="5"/>
  <c r="M316" i="5"/>
  <c r="M315" i="5"/>
  <c r="M314" i="5"/>
  <c r="H40" i="9"/>
  <c r="L80" i="28"/>
  <c r="L79" i="28"/>
  <c r="L78" i="28"/>
  <c r="L77" i="28"/>
  <c r="L76" i="28"/>
  <c r="L75" i="28"/>
  <c r="L74" i="28"/>
  <c r="L73" i="28"/>
  <c r="L72" i="28"/>
  <c r="L71" i="28"/>
  <c r="L60" i="28"/>
  <c r="L59" i="28"/>
  <c r="L58" i="28"/>
  <c r="L57" i="28"/>
  <c r="L56" i="28"/>
  <c r="L55" i="28"/>
  <c r="L54" i="28"/>
  <c r="L53" i="28"/>
  <c r="L52" i="28"/>
  <c r="L51" i="28"/>
  <c r="J50" i="28"/>
  <c r="L50" i="28"/>
  <c r="J49" i="28"/>
  <c r="L49" i="28"/>
  <c r="J48" i="28"/>
  <c r="L48" i="28"/>
  <c r="J47" i="28"/>
  <c r="L47" i="28"/>
  <c r="J46" i="28"/>
  <c r="L46" i="28"/>
  <c r="J45" i="28"/>
  <c r="L45" i="28"/>
  <c r="J44" i="28"/>
  <c r="L44" i="28"/>
  <c r="J43" i="28"/>
  <c r="L43" i="28"/>
  <c r="J42" i="28"/>
  <c r="L42" i="28"/>
  <c r="J41" i="28"/>
  <c r="L41" i="28"/>
  <c r="J40" i="28"/>
  <c r="L40" i="28"/>
  <c r="J39" i="28"/>
  <c r="L39" i="28"/>
  <c r="J38" i="28"/>
  <c r="L38" i="28"/>
  <c r="J37" i="28"/>
  <c r="L37" i="28"/>
  <c r="J36" i="28"/>
  <c r="L36" i="28"/>
  <c r="J35" i="28"/>
  <c r="L35" i="28"/>
  <c r="J34" i="28"/>
  <c r="L34" i="28"/>
  <c r="J33" i="28"/>
  <c r="L33" i="28"/>
  <c r="J32" i="28"/>
  <c r="L32" i="28"/>
  <c r="J31" i="28"/>
  <c r="L31" i="28"/>
  <c r="J30" i="28"/>
  <c r="L30" i="28"/>
  <c r="J29" i="28"/>
  <c r="L29" i="28"/>
  <c r="J28" i="28"/>
  <c r="L28" i="28"/>
  <c r="J27" i="28"/>
  <c r="L27" i="28"/>
  <c r="J26" i="28"/>
  <c r="L26" i="28"/>
  <c r="J25" i="28"/>
  <c r="L25" i="28"/>
  <c r="J24" i="28"/>
  <c r="L24" i="28"/>
  <c r="J23" i="28"/>
  <c r="L23" i="28"/>
  <c r="J22" i="28"/>
  <c r="L22" i="28"/>
  <c r="J21" i="28"/>
  <c r="L21" i="28"/>
  <c r="J20" i="28"/>
  <c r="L20" i="28"/>
  <c r="J19" i="28"/>
  <c r="L19" i="28"/>
  <c r="J3" i="28"/>
  <c r="L3" i="28"/>
  <c r="J4" i="28"/>
  <c r="L4" i="28"/>
  <c r="J5" i="28"/>
  <c r="L5" i="28"/>
  <c r="J6" i="28"/>
  <c r="L6" i="28"/>
  <c r="J7" i="28"/>
  <c r="L7" i="28"/>
  <c r="J8" i="28"/>
  <c r="L8" i="28"/>
  <c r="J9" i="28"/>
  <c r="J10" i="28"/>
  <c r="J11" i="28"/>
  <c r="L11" i="28"/>
  <c r="J12" i="28"/>
  <c r="L12" i="28"/>
  <c r="J13" i="28"/>
  <c r="L13" i="28"/>
  <c r="J14" i="28"/>
  <c r="L14" i="28"/>
  <c r="J15" i="28"/>
  <c r="L15" i="28"/>
  <c r="J16" i="28"/>
  <c r="L16" i="28"/>
  <c r="J17" i="28"/>
  <c r="J18" i="28"/>
  <c r="L18" i="28"/>
  <c r="L17" i="28"/>
  <c r="L10" i="28"/>
  <c r="L9" i="28"/>
  <c r="L2" i="28"/>
  <c r="L70" i="28"/>
  <c r="L69" i="28"/>
  <c r="L68" i="28"/>
  <c r="L67" i="28"/>
  <c r="L66" i="28"/>
  <c r="L65" i="28"/>
  <c r="L64" i="28"/>
  <c r="L63" i="28"/>
  <c r="L62" i="28"/>
  <c r="L61" i="28"/>
  <c r="B7" i="6"/>
  <c r="E7" i="6"/>
  <c r="E5" i="6"/>
  <c r="F10" i="6"/>
  <c r="F5" i="6"/>
  <c r="G39" i="6"/>
  <c r="K37" i="6"/>
  <c r="K42" i="6"/>
  <c r="G37" i="6"/>
  <c r="G42" i="6"/>
  <c r="K39" i="6"/>
  <c r="B42" i="6"/>
  <c r="C5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B46" i="8"/>
  <c r="G9" i="8"/>
  <c r="F6" i="8"/>
  <c r="E9" i="8"/>
  <c r="E4" i="8"/>
  <c r="G4" i="8"/>
  <c r="C4" i="8"/>
  <c r="B6" i="8"/>
  <c r="A19" i="8"/>
  <c r="A20" i="8"/>
  <c r="A21" i="8"/>
  <c r="A14" i="8"/>
  <c r="A15" i="8"/>
  <c r="A16" i="8"/>
  <c r="A17" i="8"/>
  <c r="B7" i="7"/>
  <c r="C5" i="7"/>
  <c r="A16" i="7"/>
  <c r="A17" i="7"/>
  <c r="A18" i="7"/>
  <c r="A21" i="7"/>
  <c r="A22" i="7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15" i="9"/>
  <c r="B48" i="14"/>
  <c r="B52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15" i="14"/>
  <c r="A16" i="14"/>
  <c r="A17" i="14"/>
  <c r="A18" i="14"/>
  <c r="L976" i="13"/>
  <c r="L943" i="13"/>
  <c r="L946" i="13"/>
  <c r="L949" i="13"/>
  <c r="L950" i="13"/>
  <c r="L954" i="13"/>
  <c r="L957" i="13"/>
  <c r="L958" i="13"/>
  <c r="L961" i="13"/>
  <c r="L962" i="13"/>
  <c r="L963" i="13"/>
  <c r="L964" i="13"/>
  <c r="L965" i="13"/>
  <c r="L966" i="13"/>
  <c r="L967" i="13"/>
  <c r="L968" i="13"/>
  <c r="J2" i="13"/>
  <c r="L2" i="13"/>
  <c r="J3" i="13"/>
  <c r="L3" i="13"/>
  <c r="J4" i="13"/>
  <c r="L4" i="13"/>
  <c r="J5" i="13"/>
  <c r="L5" i="13"/>
  <c r="J6" i="13"/>
  <c r="L6" i="13"/>
  <c r="H43" i="14"/>
  <c r="J7" i="13"/>
  <c r="L7" i="13"/>
  <c r="J8" i="13"/>
  <c r="L8" i="13"/>
  <c r="J9" i="13"/>
  <c r="L9" i="13"/>
  <c r="J10" i="13"/>
  <c r="L10" i="13"/>
  <c r="J11" i="13"/>
  <c r="L11" i="13"/>
  <c r="J12" i="13"/>
  <c r="L12" i="13"/>
  <c r="J13" i="13"/>
  <c r="L13" i="13"/>
  <c r="J14" i="13"/>
  <c r="L14" i="13"/>
  <c r="J15" i="13"/>
  <c r="L15" i="13"/>
  <c r="J16" i="13"/>
  <c r="L16" i="13"/>
  <c r="J17" i="13"/>
  <c r="L17" i="13"/>
  <c r="J18" i="13"/>
  <c r="L18" i="13"/>
  <c r="J19" i="13"/>
  <c r="L19" i="13"/>
  <c r="J20" i="13"/>
  <c r="L20" i="13"/>
  <c r="J21" i="13"/>
  <c r="L21" i="13"/>
  <c r="L22" i="13"/>
  <c r="L23" i="13"/>
  <c r="J24" i="13"/>
  <c r="L24" i="13"/>
  <c r="J25" i="13"/>
  <c r="L25" i="13"/>
  <c r="J26" i="13"/>
  <c r="L26" i="13"/>
  <c r="L27" i="13"/>
  <c r="L28" i="13"/>
  <c r="J29" i="13"/>
  <c r="L29" i="13"/>
  <c r="J30" i="13"/>
  <c r="L30" i="13"/>
  <c r="J31" i="13"/>
  <c r="L31" i="13"/>
  <c r="J32" i="13"/>
  <c r="L32" i="13"/>
  <c r="J33" i="13"/>
  <c r="L33" i="13"/>
  <c r="J34" i="13"/>
  <c r="L34" i="13"/>
  <c r="J35" i="13"/>
  <c r="L35" i="13"/>
  <c r="J36" i="13"/>
  <c r="L36" i="13"/>
  <c r="J37" i="13"/>
  <c r="L37" i="13"/>
  <c r="J38" i="13"/>
  <c r="L38" i="13"/>
  <c r="J39" i="13"/>
  <c r="L39" i="13"/>
  <c r="J40" i="13"/>
  <c r="L40" i="13"/>
  <c r="J41" i="13"/>
  <c r="L41" i="13"/>
  <c r="J42" i="13"/>
  <c r="L42" i="13"/>
  <c r="J43" i="13"/>
  <c r="L43" i="13"/>
  <c r="J44" i="13"/>
  <c r="L44" i="13"/>
  <c r="J45" i="13"/>
  <c r="L45" i="13"/>
  <c r="J46" i="13"/>
  <c r="L46" i="13"/>
  <c r="J47" i="13"/>
  <c r="L47" i="13"/>
  <c r="J48" i="13"/>
  <c r="L48" i="13"/>
  <c r="J49" i="13"/>
  <c r="L49" i="13"/>
  <c r="J50" i="13"/>
  <c r="L50" i="13"/>
  <c r="J51" i="13"/>
  <c r="L51" i="13"/>
  <c r="J52" i="13"/>
  <c r="L52" i="13"/>
  <c r="J53" i="13"/>
  <c r="L53" i="13"/>
  <c r="J54" i="13"/>
  <c r="L54" i="13"/>
  <c r="J55" i="13"/>
  <c r="L55" i="13"/>
  <c r="L56" i="13"/>
  <c r="J57" i="13"/>
  <c r="L57" i="13"/>
  <c r="J58" i="13"/>
  <c r="L58" i="13"/>
  <c r="J59" i="13"/>
  <c r="L59" i="13"/>
  <c r="J60" i="13"/>
  <c r="L60" i="13"/>
  <c r="J61" i="13"/>
  <c r="L61" i="13"/>
  <c r="J62" i="13"/>
  <c r="L62" i="13"/>
  <c r="J63" i="13"/>
  <c r="L63" i="13"/>
  <c r="J64" i="13"/>
  <c r="L64" i="13"/>
  <c r="J65" i="13"/>
  <c r="L65" i="13"/>
  <c r="J66" i="13"/>
  <c r="L66" i="13"/>
  <c r="J67" i="13"/>
  <c r="L67" i="13"/>
  <c r="J68" i="13"/>
  <c r="L68" i="13"/>
  <c r="J69" i="13"/>
  <c r="L69" i="13"/>
  <c r="J70" i="13"/>
  <c r="L70" i="13"/>
  <c r="J71" i="13"/>
  <c r="L71" i="13"/>
  <c r="J72" i="13"/>
  <c r="L72" i="13"/>
  <c r="J73" i="13"/>
  <c r="L73" i="13"/>
  <c r="J74" i="13"/>
  <c r="L74" i="13"/>
  <c r="J75" i="13"/>
  <c r="L75" i="13"/>
  <c r="J76" i="13"/>
  <c r="L76" i="13"/>
  <c r="J77" i="13"/>
  <c r="L77" i="13"/>
  <c r="J78" i="13"/>
  <c r="L78" i="13"/>
  <c r="J79" i="13"/>
  <c r="L79" i="13"/>
  <c r="J80" i="13"/>
  <c r="L80" i="13"/>
  <c r="J81" i="13"/>
  <c r="L81" i="13"/>
  <c r="J82" i="13"/>
  <c r="L82" i="13"/>
  <c r="J83" i="13"/>
  <c r="L83" i="13"/>
  <c r="L84" i="13"/>
  <c r="L85" i="13"/>
  <c r="L86" i="13"/>
  <c r="L87" i="13"/>
  <c r="L88" i="13"/>
  <c r="L89" i="13"/>
  <c r="L90" i="13"/>
  <c r="L91" i="13"/>
  <c r="J92" i="13"/>
  <c r="L92" i="13"/>
  <c r="J93" i="13"/>
  <c r="L93" i="13"/>
  <c r="J94" i="13"/>
  <c r="L94" i="13"/>
  <c r="J95" i="13"/>
  <c r="L95" i="13"/>
  <c r="J96" i="13"/>
  <c r="L96" i="13"/>
  <c r="J97" i="13"/>
  <c r="L97" i="13"/>
  <c r="J98" i="13"/>
  <c r="L98" i="13"/>
  <c r="J99" i="13"/>
  <c r="L99" i="13"/>
  <c r="J100" i="13"/>
  <c r="L100" i="13"/>
  <c r="J101" i="13"/>
  <c r="L101" i="13"/>
  <c r="J102" i="13"/>
  <c r="L102" i="13"/>
  <c r="J103" i="13"/>
  <c r="L103" i="13"/>
  <c r="J104" i="13"/>
  <c r="L104" i="13"/>
  <c r="J105" i="13"/>
  <c r="L105" i="13"/>
  <c r="J106" i="13"/>
  <c r="L106" i="13"/>
  <c r="J107" i="13"/>
  <c r="L107" i="13"/>
  <c r="J108" i="13"/>
  <c r="L108" i="13"/>
  <c r="J109" i="13"/>
  <c r="L109" i="13"/>
  <c r="L110" i="13"/>
  <c r="L111" i="13"/>
  <c r="J112" i="13"/>
  <c r="L112" i="13"/>
  <c r="J113" i="13"/>
  <c r="L113" i="13"/>
  <c r="J114" i="13"/>
  <c r="L114" i="13"/>
  <c r="J115" i="13"/>
  <c r="L115" i="13"/>
  <c r="J116" i="13"/>
  <c r="L116" i="13"/>
  <c r="J117" i="13"/>
  <c r="L117" i="13"/>
  <c r="L118" i="13"/>
  <c r="L119" i="13"/>
  <c r="L120" i="13"/>
  <c r="L121" i="13"/>
  <c r="L122" i="13"/>
  <c r="L123" i="13"/>
  <c r="L124" i="13"/>
  <c r="L125" i="13"/>
  <c r="L126" i="13"/>
  <c r="L127" i="13"/>
  <c r="L128" i="13"/>
  <c r="L129" i="13"/>
  <c r="L130" i="13"/>
  <c r="L131" i="13"/>
  <c r="L132" i="13"/>
  <c r="L133" i="13"/>
  <c r="L134" i="13"/>
  <c r="L135" i="13"/>
  <c r="L136" i="13"/>
  <c r="L137" i="13"/>
  <c r="L138" i="13"/>
  <c r="L139" i="13"/>
  <c r="L140" i="13"/>
  <c r="L141" i="13"/>
  <c r="L142" i="13"/>
  <c r="J143" i="13"/>
  <c r="L143" i="13"/>
  <c r="J144" i="13"/>
  <c r="L144" i="13"/>
  <c r="J145" i="13"/>
  <c r="L145" i="13"/>
  <c r="L146" i="13"/>
  <c r="L147" i="13"/>
  <c r="J148" i="13"/>
  <c r="L148" i="13"/>
  <c r="J149" i="13"/>
  <c r="L149" i="13"/>
  <c r="J150" i="13"/>
  <c r="L150" i="13"/>
  <c r="J151" i="13"/>
  <c r="L151" i="13"/>
  <c r="L152" i="13"/>
  <c r="L153" i="13"/>
  <c r="L154" i="13"/>
  <c r="L155" i="13"/>
  <c r="L156" i="13"/>
  <c r="L157" i="13"/>
  <c r="L158" i="13"/>
  <c r="L159" i="13"/>
  <c r="L160" i="13"/>
  <c r="L161" i="13"/>
  <c r="L162" i="13"/>
  <c r="L163" i="13"/>
  <c r="L164" i="13"/>
  <c r="L165" i="13"/>
  <c r="L166" i="13"/>
  <c r="L167" i="13"/>
  <c r="L168" i="13"/>
  <c r="L169" i="13"/>
  <c r="L170" i="13"/>
  <c r="L171" i="13"/>
  <c r="L172" i="13"/>
  <c r="L173" i="13"/>
  <c r="L174" i="13"/>
  <c r="L175" i="13"/>
  <c r="L176" i="13"/>
  <c r="L177" i="13"/>
  <c r="L178" i="13"/>
  <c r="L179" i="13"/>
  <c r="L180" i="13"/>
  <c r="L181" i="13"/>
  <c r="L182" i="13"/>
  <c r="L183" i="13"/>
  <c r="L184" i="13"/>
  <c r="L185" i="13"/>
  <c r="L186" i="13"/>
  <c r="L187" i="13"/>
  <c r="L188" i="13"/>
  <c r="L189" i="13"/>
  <c r="L190" i="13"/>
  <c r="L191" i="13"/>
  <c r="L192" i="13"/>
  <c r="L193" i="13"/>
  <c r="L194" i="13"/>
  <c r="L195" i="13"/>
  <c r="L196" i="13"/>
  <c r="L197" i="13"/>
  <c r="L198" i="13"/>
  <c r="L199" i="13"/>
  <c r="L200" i="13"/>
  <c r="L201" i="13"/>
  <c r="L202" i="13"/>
  <c r="L203" i="13"/>
  <c r="L204" i="13"/>
  <c r="L205" i="13"/>
  <c r="L206" i="13"/>
  <c r="L207" i="13"/>
  <c r="J208" i="13"/>
  <c r="L208" i="13"/>
  <c r="J209" i="13"/>
  <c r="L209" i="13"/>
  <c r="J210" i="13"/>
  <c r="L210" i="13"/>
  <c r="J211" i="13"/>
  <c r="L211" i="13"/>
  <c r="J212" i="13"/>
  <c r="L212" i="13"/>
  <c r="L213" i="13"/>
  <c r="L214" i="13"/>
  <c r="L215" i="13"/>
  <c r="L216" i="13"/>
  <c r="L217" i="13"/>
  <c r="L218" i="13"/>
  <c r="L219" i="13"/>
  <c r="L220" i="13"/>
  <c r="J221" i="13"/>
  <c r="L221" i="13"/>
  <c r="J222" i="13"/>
  <c r="L222" i="13"/>
  <c r="J223" i="13"/>
  <c r="L223" i="13"/>
  <c r="J224" i="13"/>
  <c r="L224" i="13"/>
  <c r="L225" i="13"/>
  <c r="L226" i="13"/>
  <c r="L227" i="13"/>
  <c r="L228" i="13"/>
  <c r="L229" i="13"/>
  <c r="L230" i="13"/>
  <c r="L231" i="13"/>
  <c r="L232" i="13"/>
  <c r="L233" i="13"/>
  <c r="L234" i="13"/>
  <c r="L235" i="13"/>
  <c r="L236" i="13"/>
  <c r="L237" i="13"/>
  <c r="L238" i="13"/>
  <c r="L239" i="13"/>
  <c r="L240" i="13"/>
  <c r="L241" i="13"/>
  <c r="L242" i="13"/>
  <c r="L243" i="13"/>
  <c r="L244" i="13"/>
  <c r="L245" i="13"/>
  <c r="L246" i="13"/>
  <c r="L247" i="13"/>
  <c r="L248" i="13"/>
  <c r="L249" i="13"/>
  <c r="L250" i="13"/>
  <c r="L251" i="13"/>
  <c r="L252" i="13"/>
  <c r="L253" i="13"/>
  <c r="L254" i="13"/>
  <c r="L255" i="13"/>
  <c r="L256" i="13"/>
  <c r="L257" i="13"/>
  <c r="L258" i="13"/>
  <c r="L259" i="13"/>
  <c r="L260" i="13"/>
  <c r="L261" i="13"/>
  <c r="L262" i="13"/>
  <c r="L263" i="13"/>
  <c r="L264" i="13"/>
  <c r="L265" i="13"/>
  <c r="L266" i="13"/>
  <c r="L267" i="13"/>
  <c r="L268" i="13"/>
  <c r="L269" i="13"/>
  <c r="L270" i="13"/>
  <c r="J271" i="13"/>
  <c r="L271" i="13"/>
  <c r="J272" i="13"/>
  <c r="L272" i="13"/>
  <c r="J273" i="13"/>
  <c r="L273" i="13"/>
  <c r="J274" i="13"/>
  <c r="L274" i="13"/>
  <c r="J275" i="13"/>
  <c r="L275" i="13"/>
  <c r="J276" i="13"/>
  <c r="L276" i="13"/>
  <c r="J277" i="13"/>
  <c r="L277" i="13"/>
  <c r="J278" i="13"/>
  <c r="L278" i="13"/>
  <c r="J279" i="13"/>
  <c r="L279" i="13"/>
  <c r="J280" i="13"/>
  <c r="L280" i="13"/>
  <c r="J281" i="13"/>
  <c r="L281" i="13"/>
  <c r="L282" i="13"/>
  <c r="L283" i="13"/>
  <c r="L284" i="13"/>
  <c r="L285" i="13"/>
  <c r="L286" i="13"/>
  <c r="L287" i="13"/>
  <c r="L288" i="13"/>
  <c r="L289" i="13"/>
  <c r="L290" i="13"/>
  <c r="L291" i="13"/>
  <c r="L292" i="13"/>
  <c r="L293" i="13"/>
  <c r="L294" i="13"/>
  <c r="L295" i="13"/>
  <c r="L296" i="13"/>
  <c r="L297" i="13"/>
  <c r="L298" i="13"/>
  <c r="L299" i="13"/>
  <c r="L300" i="13"/>
  <c r="L301" i="13"/>
  <c r="L302" i="13"/>
  <c r="L303" i="13"/>
  <c r="L304" i="13"/>
  <c r="L305" i="13"/>
  <c r="L306" i="13"/>
  <c r="L307" i="13"/>
  <c r="L308" i="13"/>
  <c r="L309" i="13"/>
  <c r="L310" i="13"/>
  <c r="L311" i="13"/>
  <c r="L312" i="13"/>
  <c r="L313" i="13"/>
  <c r="L314" i="13"/>
  <c r="L315" i="13"/>
  <c r="L316" i="13"/>
  <c r="L317" i="13"/>
  <c r="L318" i="13"/>
  <c r="L319" i="13"/>
  <c r="L320" i="13"/>
  <c r="L321" i="13"/>
  <c r="L322" i="13"/>
  <c r="L323" i="13"/>
  <c r="L324" i="13"/>
  <c r="L325" i="13"/>
  <c r="L326" i="13"/>
  <c r="L327" i="13"/>
  <c r="L328" i="13"/>
  <c r="L329" i="13"/>
  <c r="L330" i="13"/>
  <c r="L331" i="13"/>
  <c r="L332" i="13"/>
  <c r="L333" i="13"/>
  <c r="L334" i="13"/>
  <c r="L335" i="13"/>
  <c r="L336" i="13"/>
  <c r="L337" i="13"/>
  <c r="L338" i="13"/>
  <c r="L339" i="13"/>
  <c r="L340" i="13"/>
  <c r="L341" i="13"/>
  <c r="L342" i="13"/>
  <c r="L343" i="13"/>
  <c r="L344" i="13"/>
  <c r="L345" i="13"/>
  <c r="L346" i="13"/>
  <c r="L347" i="13"/>
  <c r="L348" i="13"/>
  <c r="L349" i="13"/>
  <c r="L350" i="13"/>
  <c r="L351" i="13"/>
  <c r="L352" i="13"/>
  <c r="L353" i="13"/>
  <c r="L354" i="13"/>
  <c r="L355" i="13"/>
  <c r="L356" i="13"/>
  <c r="L357" i="13"/>
  <c r="L358" i="13"/>
  <c r="L359" i="13"/>
  <c r="L360" i="13"/>
  <c r="L361" i="13"/>
  <c r="L362" i="13"/>
  <c r="L363" i="13"/>
  <c r="L364" i="13"/>
  <c r="L365" i="13"/>
  <c r="L366" i="13"/>
  <c r="L367" i="13"/>
  <c r="L368" i="13"/>
  <c r="L369" i="13"/>
  <c r="L370" i="13"/>
  <c r="L371" i="13"/>
  <c r="L372" i="13"/>
  <c r="L373" i="13"/>
  <c r="L374" i="13"/>
  <c r="L375" i="13"/>
  <c r="L376" i="13"/>
  <c r="L377" i="13"/>
  <c r="L378" i="13"/>
  <c r="L379" i="13"/>
  <c r="L380" i="13"/>
  <c r="L381" i="13"/>
  <c r="L382" i="13"/>
  <c r="L383" i="13"/>
  <c r="L384" i="13"/>
  <c r="L385" i="13"/>
  <c r="L386" i="13"/>
  <c r="L387" i="13"/>
  <c r="L388" i="13"/>
  <c r="L389" i="13"/>
  <c r="L390" i="13"/>
  <c r="L391" i="13"/>
  <c r="L392" i="13"/>
  <c r="L393" i="13"/>
  <c r="L394" i="13"/>
  <c r="L395" i="13"/>
  <c r="L396" i="13"/>
  <c r="L397" i="13"/>
  <c r="L398" i="13"/>
  <c r="L399" i="13"/>
  <c r="L400" i="13"/>
  <c r="L401" i="13"/>
  <c r="L402" i="13"/>
  <c r="L403" i="13"/>
  <c r="L404" i="13"/>
  <c r="L405" i="13"/>
  <c r="L406" i="13"/>
  <c r="L407" i="13"/>
  <c r="L408" i="13"/>
  <c r="L409" i="13"/>
  <c r="L410" i="13"/>
  <c r="L411" i="13"/>
  <c r="L412" i="13"/>
  <c r="L413" i="13"/>
  <c r="L414" i="13"/>
  <c r="L415" i="13"/>
  <c r="L416" i="13"/>
  <c r="L417" i="13"/>
  <c r="L418" i="13"/>
  <c r="L419" i="13"/>
  <c r="L420" i="13"/>
  <c r="L421" i="13"/>
  <c r="L422" i="13"/>
  <c r="L423" i="13"/>
  <c r="L424" i="13"/>
  <c r="L425" i="13"/>
  <c r="L426" i="13"/>
  <c r="L427" i="13"/>
  <c r="L428" i="13"/>
  <c r="L429" i="13"/>
  <c r="L430" i="13"/>
  <c r="L431" i="13"/>
  <c r="L432" i="13"/>
  <c r="L433" i="13"/>
  <c r="L434" i="13"/>
  <c r="L435" i="13"/>
  <c r="L436" i="13"/>
  <c r="L437" i="13"/>
  <c r="L438" i="13"/>
  <c r="L439" i="13"/>
  <c r="L440" i="13"/>
  <c r="L441" i="13"/>
  <c r="L442" i="13"/>
  <c r="L443" i="13"/>
  <c r="L444" i="13"/>
  <c r="L445" i="13"/>
  <c r="L446" i="13"/>
  <c r="L447" i="13"/>
  <c r="L448" i="13"/>
  <c r="L449" i="13"/>
  <c r="L450" i="13"/>
  <c r="L451" i="13"/>
  <c r="L452" i="13"/>
  <c r="L453" i="13"/>
  <c r="L454" i="13"/>
  <c r="L455" i="13"/>
  <c r="L456" i="13"/>
  <c r="L457" i="13"/>
  <c r="L458" i="13"/>
  <c r="L459" i="13"/>
  <c r="L460" i="13"/>
  <c r="L461" i="13"/>
  <c r="L462" i="13"/>
  <c r="L463" i="13"/>
  <c r="L464" i="13"/>
  <c r="L465" i="13"/>
  <c r="L466" i="13"/>
  <c r="L467" i="13"/>
  <c r="L468" i="13"/>
  <c r="L469" i="13"/>
  <c r="L470" i="13"/>
  <c r="L471" i="13"/>
  <c r="L472" i="13"/>
  <c r="L473" i="13"/>
  <c r="L474" i="13"/>
  <c r="L475" i="13"/>
  <c r="L476" i="13"/>
  <c r="L477" i="13"/>
  <c r="L478" i="13"/>
  <c r="L479" i="13"/>
  <c r="L480" i="13"/>
  <c r="L481" i="13"/>
  <c r="L482" i="13"/>
  <c r="L483" i="13"/>
  <c r="L484" i="13"/>
  <c r="L485" i="13"/>
  <c r="L486" i="13"/>
  <c r="L487" i="13"/>
  <c r="L488" i="13"/>
  <c r="L489" i="13"/>
  <c r="L490" i="13"/>
  <c r="L491" i="13"/>
  <c r="L492" i="13"/>
  <c r="L493" i="13"/>
  <c r="L494" i="13"/>
  <c r="L495" i="13"/>
  <c r="L496" i="13"/>
  <c r="L497" i="13"/>
  <c r="L498" i="13"/>
  <c r="L499" i="13"/>
  <c r="L500" i="13"/>
  <c r="L501" i="13"/>
  <c r="L502" i="13"/>
  <c r="L503" i="13"/>
  <c r="L504" i="13"/>
  <c r="L505" i="13"/>
  <c r="L506" i="13"/>
  <c r="L507" i="13"/>
  <c r="L508" i="13"/>
  <c r="L509" i="13"/>
  <c r="L510" i="13"/>
  <c r="L511" i="13"/>
  <c r="L512" i="13"/>
  <c r="L513" i="13"/>
  <c r="L514" i="13"/>
  <c r="L515" i="13"/>
  <c r="L516" i="13"/>
  <c r="L517" i="13"/>
  <c r="L518" i="13"/>
  <c r="L519" i="13"/>
  <c r="L520" i="13"/>
  <c r="L521" i="13"/>
  <c r="L522" i="13"/>
  <c r="L523" i="13"/>
  <c r="L524" i="13"/>
  <c r="L525" i="13"/>
  <c r="L526" i="13"/>
  <c r="L527" i="13"/>
  <c r="L528" i="13"/>
  <c r="L529" i="13"/>
  <c r="L530" i="13"/>
  <c r="L531" i="13"/>
  <c r="L532" i="13"/>
  <c r="L533" i="13"/>
  <c r="L534" i="13"/>
  <c r="L535" i="13"/>
  <c r="L536" i="13"/>
  <c r="L537" i="13"/>
  <c r="L538" i="13"/>
  <c r="L539" i="13"/>
  <c r="L540" i="13"/>
  <c r="L541" i="13"/>
  <c r="L542" i="13"/>
  <c r="L543" i="13"/>
  <c r="L544" i="13"/>
  <c r="L545" i="13"/>
  <c r="L546" i="13"/>
  <c r="L547" i="13"/>
  <c r="L548" i="13"/>
  <c r="L549" i="13"/>
  <c r="L550" i="13"/>
  <c r="L551" i="13"/>
  <c r="L552" i="13"/>
  <c r="L553" i="13"/>
  <c r="L554" i="13"/>
  <c r="L555" i="13"/>
  <c r="L556" i="13"/>
  <c r="L557" i="13"/>
  <c r="L558" i="13"/>
  <c r="L559" i="13"/>
  <c r="L560" i="13"/>
  <c r="L561" i="13"/>
  <c r="L562" i="13"/>
  <c r="L563" i="13"/>
  <c r="L564" i="13"/>
  <c r="L565" i="13"/>
  <c r="L566" i="13"/>
  <c r="L567" i="13"/>
  <c r="L568" i="13"/>
  <c r="L569" i="13"/>
  <c r="L570" i="13"/>
  <c r="L571" i="13"/>
  <c r="L572" i="13"/>
  <c r="L573" i="13"/>
  <c r="L574" i="13"/>
  <c r="L575" i="13"/>
  <c r="L576" i="13"/>
  <c r="L577" i="13"/>
  <c r="L578" i="13"/>
  <c r="L579" i="13"/>
  <c r="L580" i="13"/>
  <c r="L581" i="13"/>
  <c r="L582" i="13"/>
  <c r="L583" i="13"/>
  <c r="L584" i="13"/>
  <c r="L585" i="13"/>
  <c r="L586" i="13"/>
  <c r="L587" i="13"/>
  <c r="L588" i="13"/>
  <c r="L589" i="13"/>
  <c r="L590" i="13"/>
  <c r="L591" i="13"/>
  <c r="L592" i="13"/>
  <c r="L593" i="13"/>
  <c r="L594" i="13"/>
  <c r="L595" i="13"/>
  <c r="L596" i="13"/>
  <c r="L597" i="13"/>
  <c r="L598" i="13"/>
  <c r="L599" i="13"/>
  <c r="L600" i="13"/>
  <c r="L601" i="13"/>
  <c r="L602" i="13"/>
  <c r="L603" i="13"/>
  <c r="L604" i="13"/>
  <c r="L605" i="13"/>
  <c r="L606" i="13"/>
  <c r="L607" i="13"/>
  <c r="L608" i="13"/>
  <c r="L609" i="13"/>
  <c r="L610" i="13"/>
  <c r="L611" i="13"/>
  <c r="L612" i="13"/>
  <c r="L613" i="13"/>
  <c r="L614" i="13"/>
  <c r="L615" i="13"/>
  <c r="L616" i="13"/>
  <c r="L617" i="13"/>
  <c r="L618" i="13"/>
  <c r="L619" i="13"/>
  <c r="L620" i="13"/>
  <c r="L621" i="13"/>
  <c r="L622" i="13"/>
  <c r="L623" i="13"/>
  <c r="L624" i="13"/>
  <c r="L625" i="13"/>
  <c r="L626" i="13"/>
  <c r="L627" i="13"/>
  <c r="L628" i="13"/>
  <c r="L629" i="13"/>
  <c r="L630" i="13"/>
  <c r="L631" i="13"/>
  <c r="L632" i="13"/>
  <c r="L633" i="13"/>
  <c r="L634" i="13"/>
  <c r="L635" i="13"/>
  <c r="L636" i="13"/>
  <c r="L637" i="13"/>
  <c r="L638" i="13"/>
  <c r="L639" i="13"/>
  <c r="L640" i="13"/>
  <c r="L641" i="13"/>
  <c r="L642" i="13"/>
  <c r="L643" i="13"/>
  <c r="L644" i="13"/>
  <c r="L645" i="13"/>
  <c r="L646" i="13"/>
  <c r="L647" i="13"/>
  <c r="L648" i="13"/>
  <c r="L649" i="13"/>
  <c r="L650" i="13"/>
  <c r="L651" i="13"/>
  <c r="L652" i="13"/>
  <c r="L653" i="13"/>
  <c r="L654" i="13"/>
  <c r="L655" i="13"/>
  <c r="L656" i="13"/>
  <c r="L657" i="13"/>
  <c r="L658" i="13"/>
  <c r="L659" i="13"/>
  <c r="L660" i="13"/>
  <c r="L661" i="13"/>
  <c r="L662" i="13"/>
  <c r="L663" i="13"/>
  <c r="L664" i="13"/>
  <c r="L665" i="13"/>
  <c r="L666" i="13"/>
  <c r="L667" i="13"/>
  <c r="L668" i="13"/>
  <c r="L669" i="13"/>
  <c r="L670" i="13"/>
  <c r="L671" i="13"/>
  <c r="L672" i="13"/>
  <c r="L673" i="13"/>
  <c r="L674" i="13"/>
  <c r="L675" i="13"/>
  <c r="L676" i="13"/>
  <c r="L677" i="13"/>
  <c r="L678" i="13"/>
  <c r="L679" i="13"/>
  <c r="L680" i="13"/>
  <c r="L681" i="13"/>
  <c r="L682" i="13"/>
  <c r="L683" i="13"/>
  <c r="L684" i="13"/>
  <c r="L685" i="13"/>
  <c r="L686" i="13"/>
  <c r="L687" i="13"/>
  <c r="L688" i="13"/>
  <c r="L689" i="13"/>
  <c r="L690" i="13"/>
  <c r="L691" i="13"/>
  <c r="L692" i="13"/>
  <c r="L693" i="13"/>
  <c r="L694" i="13"/>
  <c r="L695" i="13"/>
  <c r="L696" i="13"/>
  <c r="L697" i="13"/>
  <c r="L698" i="13"/>
  <c r="L699" i="13"/>
  <c r="L700" i="13"/>
  <c r="L701" i="13"/>
  <c r="L702" i="13"/>
  <c r="L703" i="13"/>
  <c r="L704" i="13"/>
  <c r="L705" i="13"/>
  <c r="L706" i="13"/>
  <c r="L707" i="13"/>
  <c r="L708" i="13"/>
  <c r="L709" i="13"/>
  <c r="L710" i="13"/>
  <c r="L711" i="13"/>
  <c r="L712" i="13"/>
  <c r="L713" i="13"/>
  <c r="L714" i="13"/>
  <c r="L715" i="13"/>
  <c r="L716" i="13"/>
  <c r="L717" i="13"/>
  <c r="L718" i="13"/>
  <c r="L719" i="13"/>
  <c r="L720" i="13"/>
  <c r="L721" i="13"/>
  <c r="L722" i="13"/>
  <c r="L723" i="13"/>
  <c r="L724" i="13"/>
  <c r="L725" i="13"/>
  <c r="L726" i="13"/>
  <c r="L727" i="13"/>
  <c r="L728" i="13"/>
  <c r="L729" i="13"/>
  <c r="L730" i="13"/>
  <c r="L731" i="13"/>
  <c r="L732" i="13"/>
  <c r="L733" i="13"/>
  <c r="L734" i="13"/>
  <c r="L735" i="13"/>
  <c r="L736" i="13"/>
  <c r="L737" i="13"/>
  <c r="L738" i="13"/>
  <c r="L739" i="13"/>
  <c r="L740" i="13"/>
  <c r="L741" i="13"/>
  <c r="L742" i="13"/>
  <c r="L743" i="13"/>
  <c r="L744" i="13"/>
  <c r="L745" i="13"/>
  <c r="L746" i="13"/>
  <c r="L747" i="13"/>
  <c r="L748" i="13"/>
  <c r="L749" i="13"/>
  <c r="L750" i="13"/>
  <c r="L751" i="13"/>
  <c r="L752" i="13"/>
  <c r="L753" i="13"/>
  <c r="L754" i="13"/>
  <c r="L755" i="13"/>
  <c r="L756" i="13"/>
  <c r="L757" i="13"/>
  <c r="L758" i="13"/>
  <c r="L759" i="13"/>
  <c r="L760" i="13"/>
  <c r="L761" i="13"/>
  <c r="L762" i="13"/>
  <c r="L763" i="13"/>
  <c r="L764" i="13"/>
  <c r="L765" i="13"/>
  <c r="L766" i="13"/>
  <c r="L767" i="13"/>
  <c r="L768" i="13"/>
  <c r="L769" i="13"/>
  <c r="L770" i="13"/>
  <c r="L771" i="13"/>
  <c r="L772" i="13"/>
  <c r="L773" i="13"/>
  <c r="L774" i="13"/>
  <c r="L775" i="13"/>
  <c r="L776" i="13"/>
  <c r="L777" i="13"/>
  <c r="L778" i="13"/>
  <c r="L779" i="13"/>
  <c r="L780" i="13"/>
  <c r="L781" i="13"/>
  <c r="L782" i="13"/>
  <c r="L783" i="13"/>
  <c r="L784" i="13"/>
  <c r="L785" i="13"/>
  <c r="L786" i="13"/>
  <c r="L787" i="13"/>
  <c r="L788" i="13"/>
  <c r="L789" i="13"/>
  <c r="L790" i="13"/>
  <c r="L791" i="13"/>
  <c r="L792" i="13"/>
  <c r="L793" i="13"/>
  <c r="L794" i="13"/>
  <c r="L795" i="13"/>
  <c r="L796" i="13"/>
  <c r="L797" i="13"/>
  <c r="L798" i="13"/>
  <c r="L799" i="13"/>
  <c r="L800" i="13"/>
  <c r="L801" i="13"/>
  <c r="L802" i="13"/>
  <c r="L803" i="13"/>
  <c r="L804" i="13"/>
  <c r="L805" i="13"/>
  <c r="L806" i="13"/>
  <c r="L807" i="13"/>
  <c r="L808" i="13"/>
  <c r="L809" i="13"/>
  <c r="L810" i="13"/>
  <c r="L811" i="13"/>
  <c r="L812" i="13"/>
  <c r="L813" i="13"/>
  <c r="L814" i="13"/>
  <c r="L815" i="13"/>
  <c r="L816" i="13"/>
  <c r="L817" i="13"/>
  <c r="L818" i="13"/>
  <c r="L819" i="13"/>
  <c r="L820" i="13"/>
  <c r="L821" i="13"/>
  <c r="L822" i="13"/>
  <c r="L823" i="13"/>
  <c r="L824" i="13"/>
  <c r="L825" i="13"/>
  <c r="L826" i="13"/>
  <c r="L827" i="13"/>
  <c r="L828" i="13"/>
  <c r="L829" i="13"/>
  <c r="L830" i="13"/>
  <c r="L831" i="13"/>
  <c r="L832" i="13"/>
  <c r="L833" i="13"/>
  <c r="L834" i="13"/>
  <c r="L835" i="13"/>
  <c r="L836" i="13"/>
  <c r="L837" i="13"/>
  <c r="L838" i="13"/>
  <c r="L839" i="13"/>
  <c r="L840" i="13"/>
  <c r="L841" i="13"/>
  <c r="L842" i="13"/>
  <c r="L843" i="13"/>
  <c r="L844" i="13"/>
  <c r="L845" i="13"/>
  <c r="L846" i="13"/>
  <c r="L847" i="13"/>
  <c r="L848" i="13"/>
  <c r="L849" i="13"/>
  <c r="L850" i="13"/>
  <c r="L851" i="13"/>
  <c r="L852" i="13"/>
  <c r="L853" i="13"/>
  <c r="L854" i="13"/>
  <c r="L855" i="13"/>
  <c r="L856" i="13"/>
  <c r="L857" i="13"/>
  <c r="L858" i="13"/>
  <c r="L859" i="13"/>
  <c r="L860" i="13"/>
  <c r="L861" i="13"/>
  <c r="L862" i="13"/>
  <c r="L863" i="13"/>
  <c r="L864" i="13"/>
  <c r="L865" i="13"/>
  <c r="J866" i="13"/>
  <c r="L866" i="13"/>
  <c r="J867" i="13"/>
  <c r="L867" i="13"/>
  <c r="L868" i="13"/>
  <c r="L869" i="13"/>
  <c r="L870" i="13"/>
  <c r="L871" i="13"/>
  <c r="L872" i="13"/>
  <c r="L873" i="13"/>
  <c r="L874" i="13"/>
  <c r="L875" i="13"/>
  <c r="L876" i="13"/>
  <c r="L877" i="13"/>
  <c r="L878" i="13"/>
  <c r="L879" i="13"/>
  <c r="L880" i="13"/>
  <c r="L881" i="13"/>
  <c r="L882" i="13"/>
  <c r="L883" i="13"/>
  <c r="L884" i="13"/>
  <c r="L885" i="13"/>
  <c r="L886" i="13"/>
  <c r="L887" i="13"/>
  <c r="L888" i="13"/>
  <c r="L889" i="13"/>
  <c r="L890" i="13"/>
  <c r="L891" i="13"/>
  <c r="L892" i="13"/>
  <c r="L893" i="13"/>
  <c r="L894" i="13"/>
  <c r="L895" i="13"/>
  <c r="L896" i="13"/>
  <c r="L897" i="13"/>
  <c r="L898" i="13"/>
  <c r="L899" i="13"/>
  <c r="L900" i="13"/>
  <c r="L901" i="13"/>
  <c r="L902" i="13"/>
  <c r="L903" i="13"/>
  <c r="L904" i="13"/>
  <c r="L905" i="13"/>
  <c r="L906" i="13"/>
  <c r="L907" i="13"/>
  <c r="L908" i="13"/>
  <c r="L909" i="13"/>
  <c r="L910" i="13"/>
  <c r="L911" i="13"/>
  <c r="L912" i="13"/>
  <c r="L913" i="13"/>
  <c r="L914" i="13"/>
  <c r="L915" i="13"/>
  <c r="L916" i="13"/>
  <c r="L917" i="13"/>
  <c r="L918" i="13"/>
  <c r="L919" i="13"/>
  <c r="L920" i="13"/>
  <c r="L921" i="13"/>
  <c r="L922" i="13"/>
  <c r="L923" i="13"/>
  <c r="L924" i="13"/>
  <c r="L925" i="13"/>
  <c r="L926" i="13"/>
  <c r="L927" i="13"/>
  <c r="L928" i="13"/>
  <c r="L929" i="13"/>
  <c r="L930" i="13"/>
  <c r="L931" i="13"/>
  <c r="L932" i="13"/>
  <c r="L933" i="13"/>
  <c r="L934" i="13"/>
  <c r="L935" i="13"/>
  <c r="L936" i="13"/>
  <c r="L937" i="13"/>
  <c r="L938" i="13"/>
  <c r="L939" i="13"/>
  <c r="L940" i="13"/>
  <c r="L941" i="13"/>
  <c r="E7" i="11"/>
  <c r="F10" i="11"/>
  <c r="F5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15" i="11"/>
  <c r="A16" i="11"/>
  <c r="A17" i="11"/>
  <c r="A18" i="11"/>
  <c r="A15" i="27"/>
  <c r="A16" i="27"/>
  <c r="A17" i="27"/>
  <c r="A18" i="27"/>
  <c r="A19" i="27"/>
  <c r="A20" i="27"/>
  <c r="A21" i="27"/>
  <c r="A22" i="27"/>
  <c r="A23" i="27"/>
  <c r="A24" i="27"/>
  <c r="A25" i="27"/>
  <c r="A26" i="27"/>
  <c r="A27" i="27"/>
  <c r="A28" i="27"/>
  <c r="A29" i="27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15" i="15"/>
  <c r="A17" i="15"/>
  <c r="A18" i="15"/>
  <c r="L1143" i="16"/>
  <c r="L1144" i="16"/>
  <c r="L1145" i="16"/>
  <c r="L1146" i="16"/>
  <c r="L1147" i="16"/>
  <c r="J1148" i="16"/>
  <c r="L1148" i="16"/>
  <c r="J1149" i="16"/>
  <c r="L1149" i="16"/>
  <c r="J1150" i="16"/>
  <c r="L1150" i="16"/>
  <c r="L1151" i="16"/>
  <c r="L1152" i="16"/>
  <c r="L1153" i="16"/>
  <c r="L1154" i="16"/>
  <c r="L1155" i="16"/>
  <c r="L1156" i="16"/>
  <c r="L1157" i="16"/>
  <c r="L1158" i="16"/>
  <c r="L1159" i="16"/>
  <c r="L1160" i="16"/>
  <c r="L1161" i="16"/>
  <c r="L1162" i="16"/>
  <c r="L2" i="16"/>
  <c r="L3" i="16"/>
  <c r="L4" i="16"/>
  <c r="L5" i="16"/>
  <c r="L6" i="16"/>
  <c r="L7" i="16"/>
  <c r="L8" i="16"/>
  <c r="L9" i="16"/>
  <c r="L10" i="16"/>
  <c r="L11" i="16"/>
  <c r="L12" i="16"/>
  <c r="L13" i="16"/>
  <c r="L14" i="16"/>
  <c r="L15" i="16"/>
  <c r="L16" i="16"/>
  <c r="L17" i="16"/>
  <c r="L18" i="16"/>
  <c r="L19" i="16"/>
  <c r="L20" i="16"/>
  <c r="L21" i="16"/>
  <c r="L22" i="16"/>
  <c r="L23" i="16"/>
  <c r="L24" i="16"/>
  <c r="L25" i="16"/>
  <c r="L26" i="16"/>
  <c r="L27" i="16"/>
  <c r="L28" i="16"/>
  <c r="L29" i="16"/>
  <c r="L30" i="16"/>
  <c r="L31" i="16"/>
  <c r="L32" i="16"/>
  <c r="L33" i="16"/>
  <c r="L34" i="16"/>
  <c r="J35" i="16"/>
  <c r="L35" i="16"/>
  <c r="J36" i="16"/>
  <c r="L36" i="16"/>
  <c r="J37" i="16"/>
  <c r="L37" i="16"/>
  <c r="J38" i="16"/>
  <c r="L38" i="16"/>
  <c r="J39" i="16"/>
  <c r="L39" i="16"/>
  <c r="J40" i="16"/>
  <c r="L40" i="16"/>
  <c r="J41" i="16"/>
  <c r="L41" i="16"/>
  <c r="J42" i="16"/>
  <c r="L42" i="16"/>
  <c r="J43" i="16"/>
  <c r="L43" i="16"/>
  <c r="J44" i="16"/>
  <c r="L44" i="16"/>
  <c r="J45" i="16"/>
  <c r="L45" i="16"/>
  <c r="J46" i="16"/>
  <c r="L46" i="16"/>
  <c r="J47" i="16"/>
  <c r="L47" i="16"/>
  <c r="J48" i="16"/>
  <c r="L48" i="16"/>
  <c r="J49" i="16"/>
  <c r="L49" i="16"/>
  <c r="J50" i="16"/>
  <c r="L50" i="16"/>
  <c r="J51" i="16"/>
  <c r="L51" i="16"/>
  <c r="J52" i="16"/>
  <c r="L52" i="16"/>
  <c r="J53" i="16"/>
  <c r="L53" i="16"/>
  <c r="J54" i="16"/>
  <c r="L54" i="16"/>
  <c r="J55" i="16"/>
  <c r="L55" i="16"/>
  <c r="J56" i="16"/>
  <c r="L56" i="16"/>
  <c r="L57" i="16"/>
  <c r="L58" i="16"/>
  <c r="L59" i="16"/>
  <c r="L60" i="16"/>
  <c r="L61" i="16"/>
  <c r="L62" i="16"/>
  <c r="L63" i="16"/>
  <c r="L64" i="16"/>
  <c r="L65" i="16"/>
  <c r="L66" i="16"/>
  <c r="L67" i="16"/>
  <c r="L68" i="16"/>
  <c r="L69" i="16"/>
  <c r="L70" i="16"/>
  <c r="L71" i="16"/>
  <c r="L72" i="16"/>
  <c r="L73" i="16"/>
  <c r="L74" i="16"/>
  <c r="L75" i="16"/>
  <c r="L76" i="16"/>
  <c r="L77" i="16"/>
  <c r="L78" i="16"/>
  <c r="L79" i="16"/>
  <c r="L80" i="16"/>
  <c r="L81" i="16"/>
  <c r="L82" i="16"/>
  <c r="L83" i="16"/>
  <c r="L84" i="16"/>
  <c r="L85" i="16"/>
  <c r="L86" i="16"/>
  <c r="L87" i="16"/>
  <c r="J88" i="16"/>
  <c r="L88" i="16"/>
  <c r="J89" i="16"/>
  <c r="L89" i="16"/>
  <c r="J90" i="16"/>
  <c r="L90" i="16"/>
  <c r="J91" i="16"/>
  <c r="L91" i="16"/>
  <c r="J92" i="16"/>
  <c r="L92" i="16"/>
  <c r="J93" i="16"/>
  <c r="L93" i="16"/>
  <c r="J94" i="16"/>
  <c r="L94" i="16"/>
  <c r="J95" i="16"/>
  <c r="L95" i="16"/>
  <c r="J96" i="16"/>
  <c r="L96" i="16"/>
  <c r="J97" i="16"/>
  <c r="L97" i="16"/>
  <c r="J98" i="16"/>
  <c r="L98" i="16"/>
  <c r="J99" i="16"/>
  <c r="L99" i="16"/>
  <c r="J100" i="16"/>
  <c r="L100" i="16"/>
  <c r="J101" i="16"/>
  <c r="L101" i="16"/>
  <c r="J102" i="16"/>
  <c r="L102" i="16"/>
  <c r="J103" i="16"/>
  <c r="L103" i="16"/>
  <c r="L104" i="16"/>
  <c r="L105" i="16"/>
  <c r="L106" i="16"/>
  <c r="L107" i="16"/>
  <c r="L108" i="16"/>
  <c r="L109" i="16"/>
  <c r="L110" i="16"/>
  <c r="L111" i="16"/>
  <c r="L112" i="16"/>
  <c r="L113" i="16"/>
  <c r="L114" i="16"/>
  <c r="L115" i="16"/>
  <c r="L116" i="16"/>
  <c r="L117" i="16"/>
  <c r="L118" i="16"/>
  <c r="L119" i="16"/>
  <c r="L120" i="16"/>
  <c r="L121" i="16"/>
  <c r="L122" i="16"/>
  <c r="L123" i="16"/>
  <c r="L124" i="16"/>
  <c r="L125" i="16"/>
  <c r="L126" i="16"/>
  <c r="L127" i="16"/>
  <c r="L128" i="16"/>
  <c r="L129" i="16"/>
  <c r="L130" i="16"/>
  <c r="L131" i="16"/>
  <c r="L132" i="16"/>
  <c r="L133" i="16"/>
  <c r="L134" i="16"/>
  <c r="L135" i="16"/>
  <c r="L136" i="16"/>
  <c r="L137" i="16"/>
  <c r="L138" i="16"/>
  <c r="L139" i="16"/>
  <c r="L140" i="16"/>
  <c r="L141" i="16"/>
  <c r="L142" i="16"/>
  <c r="L143" i="16"/>
  <c r="L144" i="16"/>
  <c r="L145" i="16"/>
  <c r="L146" i="16"/>
  <c r="L147" i="16"/>
  <c r="L148" i="16"/>
  <c r="L149" i="16"/>
  <c r="L150" i="16"/>
  <c r="L151" i="16"/>
  <c r="L152" i="16"/>
  <c r="L153" i="16"/>
  <c r="L154" i="16"/>
  <c r="L155" i="16"/>
  <c r="L156" i="16"/>
  <c r="L157" i="16"/>
  <c r="L158" i="16"/>
  <c r="L159" i="16"/>
  <c r="L160" i="16"/>
  <c r="L161" i="16"/>
  <c r="L162" i="16"/>
  <c r="L163" i="16"/>
  <c r="L164" i="16"/>
  <c r="L165" i="16"/>
  <c r="L166" i="16"/>
  <c r="L167" i="16"/>
  <c r="L168" i="16"/>
  <c r="L169" i="16"/>
  <c r="L170" i="16"/>
  <c r="L171" i="16"/>
  <c r="L172" i="16"/>
  <c r="L173" i="16"/>
  <c r="L174" i="16"/>
  <c r="L175" i="16"/>
  <c r="L176" i="16"/>
  <c r="L177" i="16"/>
  <c r="L178" i="16"/>
  <c r="L179" i="16"/>
  <c r="L180" i="16"/>
  <c r="L181" i="16"/>
  <c r="L182" i="16"/>
  <c r="L183" i="16"/>
  <c r="L184" i="16"/>
  <c r="L185" i="16"/>
  <c r="L186" i="16"/>
  <c r="L187" i="16"/>
  <c r="L188" i="16"/>
  <c r="L189" i="16"/>
  <c r="L190" i="16"/>
  <c r="L191" i="16"/>
  <c r="L192" i="16"/>
  <c r="L193" i="16"/>
  <c r="L194" i="16"/>
  <c r="L195" i="16"/>
  <c r="L196" i="16"/>
  <c r="L197" i="16"/>
  <c r="L198" i="16"/>
  <c r="L199" i="16"/>
  <c r="L200" i="16"/>
  <c r="L201" i="16"/>
  <c r="L202" i="16"/>
  <c r="L203" i="16"/>
  <c r="L204" i="16"/>
  <c r="L205" i="16"/>
  <c r="L206" i="16"/>
  <c r="L207" i="16"/>
  <c r="L208" i="16"/>
  <c r="L209" i="16"/>
  <c r="L210" i="16"/>
  <c r="L211" i="16"/>
  <c r="L212" i="16"/>
  <c r="L213" i="16"/>
  <c r="L214" i="16"/>
  <c r="L215" i="16"/>
  <c r="L216" i="16"/>
  <c r="L217" i="16"/>
  <c r="L218" i="16"/>
  <c r="L219" i="16"/>
  <c r="L220" i="16"/>
  <c r="L221" i="16"/>
  <c r="L222" i="16"/>
  <c r="L223" i="16"/>
  <c r="L224" i="16"/>
  <c r="L225" i="16"/>
  <c r="L226" i="16"/>
  <c r="L227" i="16"/>
  <c r="L228" i="16"/>
  <c r="L229" i="16"/>
  <c r="L230" i="16"/>
  <c r="L231" i="16"/>
  <c r="L232" i="16"/>
  <c r="L233" i="16"/>
  <c r="L234" i="16"/>
  <c r="L235" i="16"/>
  <c r="L236" i="16"/>
  <c r="L237" i="16"/>
  <c r="L238" i="16"/>
  <c r="L239" i="16"/>
  <c r="L240" i="16"/>
  <c r="L241" i="16"/>
  <c r="L242" i="16"/>
  <c r="L243" i="16"/>
  <c r="L244" i="16"/>
  <c r="L245" i="16"/>
  <c r="L246" i="16"/>
  <c r="L247" i="16"/>
  <c r="L248" i="16"/>
  <c r="L249" i="16"/>
  <c r="L250" i="16"/>
  <c r="L251" i="16"/>
  <c r="L252" i="16"/>
  <c r="L253" i="16"/>
  <c r="L254" i="16"/>
  <c r="L255" i="16"/>
  <c r="L256" i="16"/>
  <c r="L257" i="16"/>
  <c r="L258" i="16"/>
  <c r="L259" i="16"/>
  <c r="L260" i="16"/>
  <c r="L261" i="16"/>
  <c r="L262" i="16"/>
  <c r="L263" i="16"/>
  <c r="L264" i="16"/>
  <c r="L265" i="16"/>
  <c r="L266" i="16"/>
  <c r="L267" i="16"/>
  <c r="L268" i="16"/>
  <c r="L269" i="16"/>
  <c r="L270" i="16"/>
  <c r="L271" i="16"/>
  <c r="L272" i="16"/>
  <c r="L273" i="16"/>
  <c r="L274" i="16"/>
  <c r="L275" i="16"/>
  <c r="L276" i="16"/>
  <c r="L277" i="16"/>
  <c r="L278" i="16"/>
  <c r="L279" i="16"/>
  <c r="L280" i="16"/>
  <c r="L281" i="16"/>
  <c r="L282" i="16"/>
  <c r="L283" i="16"/>
  <c r="L284" i="16"/>
  <c r="L285" i="16"/>
  <c r="L286" i="16"/>
  <c r="L287" i="16"/>
  <c r="L288" i="16"/>
  <c r="L289" i="16"/>
  <c r="L290" i="16"/>
  <c r="L291" i="16"/>
  <c r="L292" i="16"/>
  <c r="L293" i="16"/>
  <c r="L294" i="16"/>
  <c r="L295" i="16"/>
  <c r="L296" i="16"/>
  <c r="L297" i="16"/>
  <c r="L298" i="16"/>
  <c r="L299" i="16"/>
  <c r="L300" i="16"/>
  <c r="L301" i="16"/>
  <c r="L302" i="16"/>
  <c r="L303" i="16"/>
  <c r="L304" i="16"/>
  <c r="L305" i="16"/>
  <c r="L306" i="16"/>
  <c r="L307" i="16"/>
  <c r="L308" i="16"/>
  <c r="L309" i="16"/>
  <c r="L310" i="16"/>
  <c r="L311" i="16"/>
  <c r="L312" i="16"/>
  <c r="L313" i="16"/>
  <c r="L314" i="16"/>
  <c r="L315" i="16"/>
  <c r="L316" i="16"/>
  <c r="L317" i="16"/>
  <c r="L318" i="16"/>
  <c r="L319" i="16"/>
  <c r="L320" i="16"/>
  <c r="L321" i="16"/>
  <c r="L322" i="16"/>
  <c r="L323" i="16"/>
  <c r="L324" i="16"/>
  <c r="L325" i="16"/>
  <c r="L326" i="16"/>
  <c r="L327" i="16"/>
  <c r="L328" i="16"/>
  <c r="L329" i="16"/>
  <c r="L330" i="16"/>
  <c r="L331" i="16"/>
  <c r="L332" i="16"/>
  <c r="L333" i="16"/>
  <c r="L334" i="16"/>
  <c r="L335" i="16"/>
  <c r="L336" i="16"/>
  <c r="L337" i="16"/>
  <c r="L338" i="16"/>
  <c r="L339" i="16"/>
  <c r="L340" i="16"/>
  <c r="L341" i="16"/>
  <c r="L342" i="16"/>
  <c r="L343" i="16"/>
  <c r="L344" i="16"/>
  <c r="L345" i="16"/>
  <c r="L346" i="16"/>
  <c r="L347" i="16"/>
  <c r="L348" i="16"/>
  <c r="L349" i="16"/>
  <c r="L350" i="16"/>
  <c r="L351" i="16"/>
  <c r="L352" i="16"/>
  <c r="L353" i="16"/>
  <c r="L354" i="16"/>
  <c r="L355" i="16"/>
  <c r="L356" i="16"/>
  <c r="L357" i="16"/>
  <c r="L358" i="16"/>
  <c r="L359" i="16"/>
  <c r="L360" i="16"/>
  <c r="L361" i="16"/>
  <c r="L362" i="16"/>
  <c r="L363" i="16"/>
  <c r="L364" i="16"/>
  <c r="L365" i="16"/>
  <c r="L366" i="16"/>
  <c r="L367" i="16"/>
  <c r="L368" i="16"/>
  <c r="L369" i="16"/>
  <c r="L370" i="16"/>
  <c r="L371" i="16"/>
  <c r="L372" i="16"/>
  <c r="L373" i="16"/>
  <c r="L374" i="16"/>
  <c r="L375" i="16"/>
  <c r="L376" i="16"/>
  <c r="L377" i="16"/>
  <c r="L378" i="16"/>
  <c r="L379" i="16"/>
  <c r="L380" i="16"/>
  <c r="L381" i="16"/>
  <c r="L382" i="16"/>
  <c r="L383" i="16"/>
  <c r="L384" i="16"/>
  <c r="L385" i="16"/>
  <c r="L386" i="16"/>
  <c r="L387" i="16"/>
  <c r="L388" i="16"/>
  <c r="L389" i="16"/>
  <c r="L390" i="16"/>
  <c r="L391" i="16"/>
  <c r="L392" i="16"/>
  <c r="L393" i="16"/>
  <c r="L394" i="16"/>
  <c r="L395" i="16"/>
  <c r="L396" i="16"/>
  <c r="L397" i="16"/>
  <c r="L398" i="16"/>
  <c r="L399" i="16"/>
  <c r="L400" i="16"/>
  <c r="L401" i="16"/>
  <c r="L402" i="16"/>
  <c r="L403" i="16"/>
  <c r="L404" i="16"/>
  <c r="L405" i="16"/>
  <c r="L406" i="16"/>
  <c r="L407" i="16"/>
  <c r="L408" i="16"/>
  <c r="L409" i="16"/>
  <c r="L410" i="16"/>
  <c r="L411" i="16"/>
  <c r="L412" i="16"/>
  <c r="L413" i="16"/>
  <c r="L414" i="16"/>
  <c r="L415" i="16"/>
  <c r="L416" i="16"/>
  <c r="L417" i="16"/>
  <c r="L418" i="16"/>
  <c r="L419" i="16"/>
  <c r="L420" i="16"/>
  <c r="L421" i="16"/>
  <c r="L422" i="16"/>
  <c r="L423" i="16"/>
  <c r="L424" i="16"/>
  <c r="L425" i="16"/>
  <c r="L426" i="16"/>
  <c r="L427" i="16"/>
  <c r="L428" i="16"/>
  <c r="L429" i="16"/>
  <c r="L430" i="16"/>
  <c r="L431" i="16"/>
  <c r="L432" i="16"/>
  <c r="L433" i="16"/>
  <c r="L434" i="16"/>
  <c r="L435" i="16"/>
  <c r="L436" i="16"/>
  <c r="L437" i="16"/>
  <c r="L438" i="16"/>
  <c r="L439" i="16"/>
  <c r="L440" i="16"/>
  <c r="L441" i="16"/>
  <c r="L442" i="16"/>
  <c r="L443" i="16"/>
  <c r="L444" i="16"/>
  <c r="L445" i="16"/>
  <c r="L446" i="16"/>
  <c r="L447" i="16"/>
  <c r="L448" i="16"/>
  <c r="L449" i="16"/>
  <c r="L450" i="16"/>
  <c r="L451" i="16"/>
  <c r="L452" i="16"/>
  <c r="L453" i="16"/>
  <c r="L454" i="16"/>
  <c r="L455" i="16"/>
  <c r="L456" i="16"/>
  <c r="L457" i="16"/>
  <c r="L458" i="16"/>
  <c r="L459" i="16"/>
  <c r="L460" i="16"/>
  <c r="L461" i="16"/>
  <c r="L462" i="16"/>
  <c r="L463" i="16"/>
  <c r="L464" i="16"/>
  <c r="L465" i="16"/>
  <c r="L466" i="16"/>
  <c r="L467" i="16"/>
  <c r="L468" i="16"/>
  <c r="L469" i="16"/>
  <c r="L470" i="16"/>
  <c r="L471" i="16"/>
  <c r="L472" i="16"/>
  <c r="L473" i="16"/>
  <c r="L474" i="16"/>
  <c r="L475" i="16"/>
  <c r="L476" i="16"/>
  <c r="L477" i="16"/>
  <c r="L478" i="16"/>
  <c r="L479" i="16"/>
  <c r="L480" i="16"/>
  <c r="L481" i="16"/>
  <c r="L482" i="16"/>
  <c r="L483" i="16"/>
  <c r="L484" i="16"/>
  <c r="L485" i="16"/>
  <c r="L486" i="16"/>
  <c r="L487" i="16"/>
  <c r="L488" i="16"/>
  <c r="L489" i="16"/>
  <c r="L490" i="16"/>
  <c r="L491" i="16"/>
  <c r="L492" i="16"/>
  <c r="L493" i="16"/>
  <c r="L494" i="16"/>
  <c r="L495" i="16"/>
  <c r="L496" i="16"/>
  <c r="L497" i="16"/>
  <c r="L498" i="16"/>
  <c r="L499" i="16"/>
  <c r="L500" i="16"/>
  <c r="L501" i="16"/>
  <c r="L502" i="16"/>
  <c r="L503" i="16"/>
  <c r="L504" i="16"/>
  <c r="L505" i="16"/>
  <c r="L506" i="16"/>
  <c r="L507" i="16"/>
  <c r="L508" i="16"/>
  <c r="L509" i="16"/>
  <c r="L510" i="16"/>
  <c r="L511" i="16"/>
  <c r="L512" i="16"/>
  <c r="L513" i="16"/>
  <c r="L514" i="16"/>
  <c r="L515" i="16"/>
  <c r="L516" i="16"/>
  <c r="L517" i="16"/>
  <c r="L518" i="16"/>
  <c r="L519" i="16"/>
  <c r="L520" i="16"/>
  <c r="L521" i="16"/>
  <c r="L522" i="16"/>
  <c r="L523" i="16"/>
  <c r="L524" i="16"/>
  <c r="L525" i="16"/>
  <c r="L526" i="16"/>
  <c r="L527" i="16"/>
  <c r="L528" i="16"/>
  <c r="L529" i="16"/>
  <c r="L530" i="16"/>
  <c r="L531" i="16"/>
  <c r="L532" i="16"/>
  <c r="L533" i="16"/>
  <c r="L534" i="16"/>
  <c r="L535" i="16"/>
  <c r="L536" i="16"/>
  <c r="L537" i="16"/>
  <c r="L538" i="16"/>
  <c r="L539" i="16"/>
  <c r="L540" i="16"/>
  <c r="L541" i="16"/>
  <c r="L542" i="16"/>
  <c r="L543" i="16"/>
  <c r="L544" i="16"/>
  <c r="L545" i="16"/>
  <c r="L546" i="16"/>
  <c r="L547" i="16"/>
  <c r="L548" i="16"/>
  <c r="L549" i="16"/>
  <c r="L550" i="16"/>
  <c r="L551" i="16"/>
  <c r="L552" i="16"/>
  <c r="L553" i="16"/>
  <c r="L554" i="16"/>
  <c r="L555" i="16"/>
  <c r="L556" i="16"/>
  <c r="L557" i="16"/>
  <c r="L558" i="16"/>
  <c r="L559" i="16"/>
  <c r="L560" i="16"/>
  <c r="L561" i="16"/>
  <c r="L562" i="16"/>
  <c r="L563" i="16"/>
  <c r="L564" i="16"/>
  <c r="L565" i="16"/>
  <c r="L566" i="16"/>
  <c r="L567" i="16"/>
  <c r="L568" i="16"/>
  <c r="L569" i="16"/>
  <c r="L570" i="16"/>
  <c r="L571" i="16"/>
  <c r="L572" i="16"/>
  <c r="L573" i="16"/>
  <c r="L574" i="16"/>
  <c r="L575" i="16"/>
  <c r="L576" i="16"/>
  <c r="L577" i="16"/>
  <c r="L578" i="16"/>
  <c r="L579" i="16"/>
  <c r="L580" i="16"/>
  <c r="L581" i="16"/>
  <c r="L582" i="16"/>
  <c r="L583" i="16"/>
  <c r="L584" i="16"/>
  <c r="L585" i="16"/>
  <c r="L586" i="16"/>
  <c r="L587" i="16"/>
  <c r="L588" i="16"/>
  <c r="L589" i="16"/>
  <c r="L590" i="16"/>
  <c r="L591" i="16"/>
  <c r="L592" i="16"/>
  <c r="L593" i="16"/>
  <c r="L594" i="16"/>
  <c r="L595" i="16"/>
  <c r="L596" i="16"/>
  <c r="L597" i="16"/>
  <c r="L598" i="16"/>
  <c r="L599" i="16"/>
  <c r="L600" i="16"/>
  <c r="L601" i="16"/>
  <c r="L602" i="16"/>
  <c r="L603" i="16"/>
  <c r="L604" i="16"/>
  <c r="L605" i="16"/>
  <c r="L606" i="16"/>
  <c r="L607" i="16"/>
  <c r="L608" i="16"/>
  <c r="L609" i="16"/>
  <c r="L610" i="16"/>
  <c r="L611" i="16"/>
  <c r="L612" i="16"/>
  <c r="L613" i="16"/>
  <c r="L614" i="16"/>
  <c r="L615" i="16"/>
  <c r="L616" i="16"/>
  <c r="L617" i="16"/>
  <c r="L618" i="16"/>
  <c r="L619" i="16"/>
  <c r="L620" i="16"/>
  <c r="L621" i="16"/>
  <c r="L622" i="16"/>
  <c r="L623" i="16"/>
  <c r="L624" i="16"/>
  <c r="L625" i="16"/>
  <c r="L626" i="16"/>
  <c r="L627" i="16"/>
  <c r="L628" i="16"/>
  <c r="L629" i="16"/>
  <c r="L630" i="16"/>
  <c r="L631" i="16"/>
  <c r="L632" i="16"/>
  <c r="L633" i="16"/>
  <c r="L634" i="16"/>
  <c r="L635" i="16"/>
  <c r="L636" i="16"/>
  <c r="L637" i="16"/>
  <c r="L638" i="16"/>
  <c r="L639" i="16"/>
  <c r="L640" i="16"/>
  <c r="L641" i="16"/>
  <c r="L642" i="16"/>
  <c r="L643" i="16"/>
  <c r="L644" i="16"/>
  <c r="L645" i="16"/>
  <c r="L646" i="16"/>
  <c r="L647" i="16"/>
  <c r="L648" i="16"/>
  <c r="L649" i="16"/>
  <c r="L650" i="16"/>
  <c r="L651" i="16"/>
  <c r="L652" i="16"/>
  <c r="L653" i="16"/>
  <c r="L654" i="16"/>
  <c r="L655" i="16"/>
  <c r="L656" i="16"/>
  <c r="L657" i="16"/>
  <c r="L658" i="16"/>
  <c r="L659" i="16"/>
  <c r="L660" i="16"/>
  <c r="L661" i="16"/>
  <c r="L662" i="16"/>
  <c r="L663" i="16"/>
  <c r="L664" i="16"/>
  <c r="L665" i="16"/>
  <c r="L666" i="16"/>
  <c r="L667" i="16"/>
  <c r="L668" i="16"/>
  <c r="L669" i="16"/>
  <c r="L670" i="16"/>
  <c r="L671" i="16"/>
  <c r="L672" i="16"/>
  <c r="L673" i="16"/>
  <c r="L674" i="16"/>
  <c r="L675" i="16"/>
  <c r="L676" i="16"/>
  <c r="L677" i="16"/>
  <c r="L678" i="16"/>
  <c r="L679" i="16"/>
  <c r="L680" i="16"/>
  <c r="L681" i="16"/>
  <c r="L682" i="16"/>
  <c r="L683" i="16"/>
  <c r="L684" i="16"/>
  <c r="L685" i="16"/>
  <c r="L686" i="16"/>
  <c r="L687" i="16"/>
  <c r="L688" i="16"/>
  <c r="L689" i="16"/>
  <c r="L690" i="16"/>
  <c r="L691" i="16"/>
  <c r="L692" i="16"/>
  <c r="L693" i="16"/>
  <c r="L694" i="16"/>
  <c r="L695" i="16"/>
  <c r="L696" i="16"/>
  <c r="L697" i="16"/>
  <c r="L698" i="16"/>
  <c r="L699" i="16"/>
  <c r="L700" i="16"/>
  <c r="L701" i="16"/>
  <c r="L702" i="16"/>
  <c r="L703" i="16"/>
  <c r="L704" i="16"/>
  <c r="L705" i="16"/>
  <c r="L706" i="16"/>
  <c r="L707" i="16"/>
  <c r="L708" i="16"/>
  <c r="L709" i="16"/>
  <c r="L710" i="16"/>
  <c r="L711" i="16"/>
  <c r="L712" i="16"/>
  <c r="L713" i="16"/>
  <c r="L714" i="16"/>
  <c r="L715" i="16"/>
  <c r="L716" i="16"/>
  <c r="L717" i="16"/>
  <c r="L718" i="16"/>
  <c r="L719" i="16"/>
  <c r="L720" i="16"/>
  <c r="L721" i="16"/>
  <c r="L722" i="16"/>
  <c r="L723" i="16"/>
  <c r="L724" i="16"/>
  <c r="L725" i="16"/>
  <c r="L726" i="16"/>
  <c r="L727" i="16"/>
  <c r="L728" i="16"/>
  <c r="L729" i="16"/>
  <c r="L730" i="16"/>
  <c r="L731" i="16"/>
  <c r="L732" i="16"/>
  <c r="L733" i="16"/>
  <c r="L734" i="16"/>
  <c r="L735" i="16"/>
  <c r="L736" i="16"/>
  <c r="L737" i="16"/>
  <c r="L738" i="16"/>
  <c r="L739" i="16"/>
  <c r="L740" i="16"/>
  <c r="L741" i="16"/>
  <c r="L742" i="16"/>
  <c r="L743" i="16"/>
  <c r="L744" i="16"/>
  <c r="L745" i="16"/>
  <c r="L746" i="16"/>
  <c r="L747" i="16"/>
  <c r="L748" i="16"/>
  <c r="L749" i="16"/>
  <c r="L750" i="16"/>
  <c r="L751" i="16"/>
  <c r="L752" i="16"/>
  <c r="L753" i="16"/>
  <c r="L754" i="16"/>
  <c r="L755" i="16"/>
  <c r="L756" i="16"/>
  <c r="L757" i="16"/>
  <c r="L758" i="16"/>
  <c r="L759" i="16"/>
  <c r="L760" i="16"/>
  <c r="L761" i="16"/>
  <c r="L762" i="16"/>
  <c r="L763" i="16"/>
  <c r="L764" i="16"/>
  <c r="L765" i="16"/>
  <c r="L766" i="16"/>
  <c r="L767" i="16"/>
  <c r="L768" i="16"/>
  <c r="L769" i="16"/>
  <c r="L770" i="16"/>
  <c r="L771" i="16"/>
  <c r="L772" i="16"/>
  <c r="L773" i="16"/>
  <c r="L774" i="16"/>
  <c r="L775" i="16"/>
  <c r="L776" i="16"/>
  <c r="L777" i="16"/>
  <c r="L778" i="16"/>
  <c r="L779" i="16"/>
  <c r="L780" i="16"/>
  <c r="L781" i="16"/>
  <c r="L782" i="16"/>
  <c r="L783" i="16"/>
  <c r="L784" i="16"/>
  <c r="L785" i="16"/>
  <c r="L786" i="16"/>
  <c r="L787" i="16"/>
  <c r="L788" i="16"/>
  <c r="L789" i="16"/>
  <c r="L790" i="16"/>
  <c r="L791" i="16"/>
  <c r="L792" i="16"/>
  <c r="L793" i="16"/>
  <c r="L794" i="16"/>
  <c r="L795" i="16"/>
  <c r="L796" i="16"/>
  <c r="L797" i="16"/>
  <c r="L798" i="16"/>
  <c r="L799" i="16"/>
  <c r="L800" i="16"/>
  <c r="L801" i="16"/>
  <c r="L802" i="16"/>
  <c r="L803" i="16"/>
  <c r="L804" i="16"/>
  <c r="L805" i="16"/>
  <c r="L806" i="16"/>
  <c r="L807" i="16"/>
  <c r="L808" i="16"/>
  <c r="L809" i="16"/>
  <c r="L810" i="16"/>
  <c r="L811" i="16"/>
  <c r="L812" i="16"/>
  <c r="L813" i="16"/>
  <c r="L814" i="16"/>
  <c r="L815" i="16"/>
  <c r="L816" i="16"/>
  <c r="L817" i="16"/>
  <c r="L818" i="16"/>
  <c r="L819" i="16"/>
  <c r="L820" i="16"/>
  <c r="L821" i="16"/>
  <c r="L822" i="16"/>
  <c r="L823" i="16"/>
  <c r="L824" i="16"/>
  <c r="L825" i="16"/>
  <c r="L826" i="16"/>
  <c r="L827" i="16"/>
  <c r="L828" i="16"/>
  <c r="L829" i="16"/>
  <c r="L830" i="16"/>
  <c r="L831" i="16"/>
  <c r="L832" i="16"/>
  <c r="L833" i="16"/>
  <c r="L834" i="16"/>
  <c r="L835" i="16"/>
  <c r="L836" i="16"/>
  <c r="L837" i="16"/>
  <c r="L838" i="16"/>
  <c r="L839" i="16"/>
  <c r="L840" i="16"/>
  <c r="L841" i="16"/>
  <c r="L842" i="16"/>
  <c r="L843" i="16"/>
  <c r="L844" i="16"/>
  <c r="L845" i="16"/>
  <c r="L846" i="16"/>
  <c r="L847" i="16"/>
  <c r="L848" i="16"/>
  <c r="L849" i="16"/>
  <c r="L850" i="16"/>
  <c r="L851" i="16"/>
  <c r="L852" i="16"/>
  <c r="L853" i="16"/>
  <c r="L854" i="16"/>
  <c r="L855" i="16"/>
  <c r="L856" i="16"/>
  <c r="L857" i="16"/>
  <c r="L858" i="16"/>
  <c r="L859" i="16"/>
  <c r="L860" i="16"/>
  <c r="L861" i="16"/>
  <c r="L862" i="16"/>
  <c r="L863" i="16"/>
  <c r="L864" i="16"/>
  <c r="L865" i="16"/>
  <c r="L866" i="16"/>
  <c r="L867" i="16"/>
  <c r="L868" i="16"/>
  <c r="L869" i="16"/>
  <c r="L870" i="16"/>
  <c r="L871" i="16"/>
  <c r="L872" i="16"/>
  <c r="L873" i="16"/>
  <c r="L874" i="16"/>
  <c r="L875" i="16"/>
  <c r="L876" i="16"/>
  <c r="L877" i="16"/>
  <c r="L878" i="16"/>
  <c r="L879" i="16"/>
  <c r="L880" i="16"/>
  <c r="L881" i="16"/>
  <c r="L882" i="16"/>
  <c r="L883" i="16"/>
  <c r="L884" i="16"/>
  <c r="L885" i="16"/>
  <c r="L886" i="16"/>
  <c r="L887" i="16"/>
  <c r="L888" i="16"/>
  <c r="L889" i="16"/>
  <c r="L890" i="16"/>
  <c r="L891" i="16"/>
  <c r="L892" i="16"/>
  <c r="L893" i="16"/>
  <c r="L894" i="16"/>
  <c r="L895" i="16"/>
  <c r="L896" i="16"/>
  <c r="L897" i="16"/>
  <c r="L898" i="16"/>
  <c r="L899" i="16"/>
  <c r="L900" i="16"/>
  <c r="L901" i="16"/>
  <c r="L902" i="16"/>
  <c r="L903" i="16"/>
  <c r="L904" i="16"/>
  <c r="L905" i="16"/>
  <c r="L906" i="16"/>
  <c r="L907" i="16"/>
  <c r="L908" i="16"/>
  <c r="L909" i="16"/>
  <c r="L910" i="16"/>
  <c r="L911" i="16"/>
  <c r="L912" i="16"/>
  <c r="L913" i="16"/>
  <c r="L914" i="16"/>
  <c r="L915" i="16"/>
  <c r="L916" i="16"/>
  <c r="L917" i="16"/>
  <c r="L918" i="16"/>
  <c r="L919" i="16"/>
  <c r="L920" i="16"/>
  <c r="L921" i="16"/>
  <c r="L922" i="16"/>
  <c r="L923" i="16"/>
  <c r="L924" i="16"/>
  <c r="L925" i="16"/>
  <c r="L926" i="16"/>
  <c r="L927" i="16"/>
  <c r="L928" i="16"/>
  <c r="L929" i="16"/>
  <c r="L930" i="16"/>
  <c r="L931" i="16"/>
  <c r="L932" i="16"/>
  <c r="L933" i="16"/>
  <c r="L934" i="16"/>
  <c r="L935" i="16"/>
  <c r="L936" i="16"/>
  <c r="L937" i="16"/>
  <c r="L938" i="16"/>
  <c r="L939" i="16"/>
  <c r="L940" i="16"/>
  <c r="L941" i="16"/>
  <c r="L942" i="16"/>
  <c r="L943" i="16"/>
  <c r="L944" i="16"/>
  <c r="L945" i="16"/>
  <c r="L946" i="16"/>
  <c r="L947" i="16"/>
  <c r="L948" i="16"/>
  <c r="L949" i="16"/>
  <c r="L950" i="16"/>
  <c r="L951" i="16"/>
  <c r="L952" i="16"/>
  <c r="L953" i="16"/>
  <c r="L954" i="16"/>
  <c r="L955" i="16"/>
  <c r="L956" i="16"/>
  <c r="L957" i="16"/>
  <c r="L958" i="16"/>
  <c r="L959" i="16"/>
  <c r="L960" i="16"/>
  <c r="L961" i="16"/>
  <c r="L962" i="16"/>
  <c r="L963" i="16"/>
  <c r="L964" i="16"/>
  <c r="L965" i="16"/>
  <c r="L966" i="16"/>
  <c r="L967" i="16"/>
  <c r="L968" i="16"/>
  <c r="L969" i="16"/>
  <c r="L970" i="16"/>
  <c r="L971" i="16"/>
  <c r="L972" i="16"/>
  <c r="L973" i="16"/>
  <c r="L974" i="16"/>
  <c r="L975" i="16"/>
  <c r="L976" i="16"/>
  <c r="L977" i="16"/>
  <c r="L978" i="16"/>
  <c r="L979" i="16"/>
  <c r="L980" i="16"/>
  <c r="L981" i="16"/>
  <c r="L982" i="16"/>
  <c r="L983" i="16"/>
  <c r="L984" i="16"/>
  <c r="L985" i="16"/>
  <c r="L986" i="16"/>
  <c r="L987" i="16"/>
  <c r="L988" i="16"/>
  <c r="L989" i="16"/>
  <c r="L990" i="16"/>
  <c r="L991" i="16"/>
  <c r="L992" i="16"/>
  <c r="L993" i="16"/>
  <c r="L994" i="16"/>
  <c r="L995" i="16"/>
  <c r="L996" i="16"/>
  <c r="L997" i="16"/>
  <c r="L998" i="16"/>
  <c r="L999" i="16"/>
  <c r="L1000" i="16"/>
  <c r="L1001" i="16"/>
  <c r="L1002" i="16"/>
  <c r="L1003" i="16"/>
  <c r="L1004" i="16"/>
  <c r="L1005" i="16"/>
  <c r="L1006" i="16"/>
  <c r="L1007" i="16"/>
  <c r="L1008" i="16"/>
  <c r="L1009" i="16"/>
  <c r="L1010" i="16"/>
  <c r="L1011" i="16"/>
  <c r="L1012" i="16"/>
  <c r="L1013" i="16"/>
  <c r="L1014" i="16"/>
  <c r="L1015" i="16"/>
  <c r="L1016" i="16"/>
  <c r="L1017" i="16"/>
  <c r="L1018" i="16"/>
  <c r="L1019" i="16"/>
  <c r="L1020" i="16"/>
  <c r="L1021" i="16"/>
  <c r="J1022" i="16"/>
  <c r="L1022" i="16"/>
  <c r="J1023" i="16"/>
  <c r="L1023" i="16"/>
  <c r="J1024" i="16"/>
  <c r="L1024" i="16"/>
  <c r="J1025" i="16"/>
  <c r="L1025" i="16"/>
  <c r="J1026" i="16"/>
  <c r="L1026" i="16"/>
  <c r="J1027" i="16"/>
  <c r="L1027" i="16"/>
  <c r="J1028" i="16"/>
  <c r="L1028" i="16"/>
  <c r="J1029" i="16"/>
  <c r="L1029" i="16"/>
  <c r="J1030" i="16"/>
  <c r="L1030" i="16"/>
  <c r="J1031" i="16"/>
  <c r="L1031" i="16"/>
  <c r="J1032" i="16"/>
  <c r="L1032" i="16"/>
  <c r="J1033" i="16"/>
  <c r="L1033" i="16"/>
  <c r="J1034" i="16"/>
  <c r="L1034" i="16"/>
  <c r="J1035" i="16"/>
  <c r="L1035" i="16"/>
  <c r="J1036" i="16"/>
  <c r="L1036" i="16"/>
  <c r="J1037" i="16"/>
  <c r="L1037" i="16"/>
  <c r="J1038" i="16"/>
  <c r="L1038" i="16"/>
  <c r="L1039" i="16"/>
  <c r="L1040" i="16"/>
  <c r="L1041" i="16"/>
  <c r="L1042" i="16"/>
  <c r="L1043" i="16"/>
  <c r="L1044" i="16"/>
  <c r="L1045" i="16"/>
  <c r="L1046" i="16"/>
  <c r="L1047" i="16"/>
  <c r="L1048" i="16"/>
  <c r="L1049" i="16"/>
  <c r="L1050" i="16"/>
  <c r="L1051" i="16"/>
  <c r="L1052" i="16"/>
  <c r="L1053" i="16"/>
  <c r="L1054" i="16"/>
  <c r="L1055" i="16"/>
  <c r="L1056" i="16"/>
  <c r="L1057" i="16"/>
  <c r="L1058" i="16"/>
  <c r="L1059" i="16"/>
  <c r="L1060" i="16"/>
  <c r="L1061" i="16"/>
  <c r="L1062" i="16"/>
  <c r="L1063" i="16"/>
  <c r="L1064" i="16"/>
  <c r="L1065" i="16"/>
  <c r="L1066" i="16"/>
  <c r="L1067" i="16"/>
  <c r="L1068" i="16"/>
  <c r="L1069" i="16"/>
  <c r="L1070" i="16"/>
  <c r="L1071" i="16"/>
  <c r="L1072" i="16"/>
  <c r="L1073" i="16"/>
  <c r="L1074" i="16"/>
  <c r="L1075" i="16"/>
  <c r="L1076" i="16"/>
  <c r="L1077" i="16"/>
  <c r="L1078" i="16"/>
  <c r="L1079" i="16"/>
  <c r="L1080" i="16"/>
  <c r="L1081" i="16"/>
  <c r="L1082" i="16"/>
  <c r="L1083" i="16"/>
  <c r="L1084" i="16"/>
  <c r="L1085" i="16"/>
  <c r="L1086" i="16"/>
  <c r="L1087" i="16"/>
  <c r="L1088" i="16"/>
  <c r="L1089" i="16"/>
  <c r="L1090" i="16"/>
  <c r="L1091" i="16"/>
  <c r="L1092" i="16"/>
  <c r="L1093" i="16"/>
  <c r="L1094" i="16"/>
  <c r="L1095" i="16"/>
  <c r="L1096" i="16"/>
  <c r="L1097" i="16"/>
  <c r="L1098" i="16"/>
  <c r="L1099" i="16"/>
  <c r="L1100" i="16"/>
  <c r="L1101" i="16"/>
  <c r="L1102" i="16"/>
  <c r="L1103" i="16"/>
  <c r="L1104" i="16"/>
  <c r="L1105" i="16"/>
  <c r="L1106" i="16"/>
  <c r="L1107" i="16"/>
  <c r="L1108" i="16"/>
  <c r="L1109" i="16"/>
  <c r="L1110" i="16"/>
  <c r="L1111" i="16"/>
  <c r="L1112" i="16"/>
  <c r="L1113" i="16"/>
  <c r="L1114" i="16"/>
  <c r="L1115" i="16"/>
  <c r="L1116" i="16"/>
  <c r="L1117" i="16"/>
  <c r="L1118" i="16"/>
  <c r="L1119" i="16"/>
  <c r="L1120" i="16"/>
  <c r="L1121" i="16"/>
  <c r="L1122" i="16"/>
  <c r="L1123" i="16"/>
  <c r="L1124" i="16"/>
  <c r="L1125" i="16"/>
  <c r="L1126" i="16"/>
  <c r="L1127" i="16"/>
  <c r="L1128" i="16"/>
  <c r="L1129" i="16"/>
  <c r="L1130" i="16"/>
  <c r="L1131" i="16"/>
  <c r="L1132" i="16"/>
  <c r="L1133" i="16"/>
  <c r="L1134" i="16"/>
  <c r="L1135" i="16"/>
  <c r="L1136" i="16"/>
  <c r="L1137" i="16"/>
  <c r="L1138" i="16"/>
  <c r="L1139" i="16"/>
  <c r="L1140" i="16"/>
  <c r="L1141" i="16"/>
  <c r="L1142" i="16"/>
  <c r="K251" i="17"/>
  <c r="K212" i="17"/>
  <c r="K213" i="17"/>
  <c r="I220" i="17"/>
  <c r="K220" i="17"/>
  <c r="I221" i="17"/>
  <c r="I222" i="17"/>
  <c r="K222" i="17"/>
  <c r="I223" i="17"/>
  <c r="I224" i="17"/>
  <c r="K224" i="17"/>
  <c r="I225" i="17"/>
  <c r="I226" i="17"/>
  <c r="K226" i="17"/>
  <c r="I227" i="17"/>
  <c r="I228" i="17"/>
  <c r="K228" i="17"/>
  <c r="I229" i="17"/>
  <c r="I230" i="17"/>
  <c r="K230" i="17"/>
  <c r="I231" i="17"/>
  <c r="I232" i="17"/>
  <c r="K232" i="17"/>
  <c r="I233" i="17"/>
  <c r="I234" i="17"/>
  <c r="K234" i="17"/>
  <c r="I235" i="17"/>
  <c r="I236" i="17"/>
  <c r="K236" i="17"/>
  <c r="K237" i="17"/>
  <c r="K238" i="17"/>
  <c r="K239" i="17"/>
  <c r="K240" i="17"/>
  <c r="K241" i="17"/>
  <c r="K242" i="17"/>
  <c r="K243" i="17"/>
  <c r="K244" i="17"/>
  <c r="K2" i="17"/>
  <c r="K3" i="17"/>
  <c r="K4" i="17"/>
  <c r="K5" i="17"/>
  <c r="K6" i="17"/>
  <c r="K7" i="17"/>
  <c r="K8" i="17"/>
  <c r="K9" i="17"/>
  <c r="K10" i="17"/>
  <c r="K11" i="17"/>
  <c r="K12" i="17"/>
  <c r="K13" i="17"/>
  <c r="K14" i="17"/>
  <c r="K15" i="17"/>
  <c r="K16" i="17"/>
  <c r="K17" i="17"/>
  <c r="K18" i="17"/>
  <c r="K19" i="17"/>
  <c r="K20" i="17"/>
  <c r="K21" i="17"/>
  <c r="K22" i="17"/>
  <c r="K23" i="17"/>
  <c r="K24" i="17"/>
  <c r="K25" i="17"/>
  <c r="K26" i="17"/>
  <c r="K27" i="17"/>
  <c r="K28" i="17"/>
  <c r="K29" i="17"/>
  <c r="K30" i="17"/>
  <c r="K31" i="17"/>
  <c r="K32" i="17"/>
  <c r="K33" i="17"/>
  <c r="K34" i="17"/>
  <c r="K35" i="17"/>
  <c r="K36" i="17"/>
  <c r="K37" i="17"/>
  <c r="K38" i="17"/>
  <c r="K39" i="17"/>
  <c r="K40" i="17"/>
  <c r="K41" i="17"/>
  <c r="K42" i="17"/>
  <c r="K43" i="17"/>
  <c r="K44" i="17"/>
  <c r="K45" i="17"/>
  <c r="K46" i="17"/>
  <c r="K47" i="17"/>
  <c r="K48" i="17"/>
  <c r="K49" i="17"/>
  <c r="K50" i="17"/>
  <c r="K51" i="17"/>
  <c r="K52" i="17"/>
  <c r="K53" i="17"/>
  <c r="K54" i="17"/>
  <c r="K55" i="17"/>
  <c r="K56" i="17"/>
  <c r="K57" i="17"/>
  <c r="K58" i="17"/>
  <c r="K59" i="17"/>
  <c r="K60" i="17"/>
  <c r="K61" i="17"/>
  <c r="K62" i="17"/>
  <c r="K63" i="17"/>
  <c r="K66" i="17"/>
  <c r="I68" i="17"/>
  <c r="I69" i="17"/>
  <c r="I70" i="17"/>
  <c r="I71" i="17"/>
  <c r="K71" i="17"/>
  <c r="I72" i="17"/>
  <c r="I73" i="17"/>
  <c r="I74" i="17"/>
  <c r="K74" i="17"/>
  <c r="I75" i="17"/>
  <c r="I76" i="17"/>
  <c r="K76" i="17"/>
  <c r="I77" i="17"/>
  <c r="K77" i="17"/>
  <c r="I78" i="17"/>
  <c r="K83" i="17"/>
  <c r="K84" i="17"/>
  <c r="K91" i="17"/>
  <c r="K95" i="17"/>
  <c r="K96" i="17"/>
  <c r="K97" i="17"/>
  <c r="K98" i="17"/>
  <c r="K99" i="17"/>
  <c r="K100" i="17"/>
  <c r="K101" i="17"/>
  <c r="K102" i="17"/>
  <c r="K103" i="17"/>
  <c r="K104" i="17"/>
  <c r="K105" i="17"/>
  <c r="K106" i="17"/>
  <c r="K107" i="17"/>
  <c r="K108" i="17"/>
  <c r="K109" i="17"/>
  <c r="K110" i="17"/>
  <c r="K111" i="17"/>
  <c r="K112" i="17"/>
  <c r="K113" i="17"/>
  <c r="I114" i="17"/>
  <c r="K114" i="17"/>
  <c r="K115" i="17"/>
  <c r="K116" i="17"/>
  <c r="K117" i="17"/>
  <c r="K118" i="17"/>
  <c r="K119" i="17"/>
  <c r="K120" i="17"/>
  <c r="K121" i="17"/>
  <c r="K122" i="17"/>
  <c r="K123" i="17"/>
  <c r="K124" i="17"/>
  <c r="K125" i="17"/>
  <c r="K126" i="17"/>
  <c r="K127" i="17"/>
  <c r="K128" i="17"/>
  <c r="K129" i="17"/>
  <c r="K130" i="17"/>
  <c r="K131" i="17"/>
  <c r="K132" i="17"/>
  <c r="K133" i="17"/>
  <c r="K134" i="17"/>
  <c r="K135" i="17"/>
  <c r="K136" i="17"/>
  <c r="K137" i="17"/>
  <c r="K138" i="17"/>
  <c r="K139" i="17"/>
  <c r="K140" i="17"/>
  <c r="K141" i="17"/>
  <c r="K142" i="17"/>
  <c r="K143" i="17"/>
  <c r="K144" i="17"/>
  <c r="K145" i="17"/>
  <c r="K146" i="17"/>
  <c r="K147" i="17"/>
  <c r="K148" i="17"/>
  <c r="K149" i="17"/>
  <c r="K150" i="17"/>
  <c r="K151" i="17"/>
  <c r="K152" i="17"/>
  <c r="K153" i="17"/>
  <c r="K154" i="17"/>
  <c r="K155" i="17"/>
  <c r="K156" i="17"/>
  <c r="K157" i="17"/>
  <c r="K158" i="17"/>
  <c r="K159" i="17"/>
  <c r="K160" i="17"/>
  <c r="K161" i="17"/>
  <c r="K162" i="17"/>
  <c r="K163" i="17"/>
  <c r="K164" i="17"/>
  <c r="K165" i="17"/>
  <c r="K166" i="17"/>
  <c r="K167" i="17"/>
  <c r="K168" i="17"/>
  <c r="K169" i="17"/>
  <c r="K170" i="17"/>
  <c r="K171" i="17"/>
  <c r="K172" i="17"/>
  <c r="K173" i="17"/>
  <c r="K174" i="17"/>
  <c r="K175" i="17"/>
  <c r="K176" i="17"/>
  <c r="K177" i="17"/>
  <c r="K178" i="17"/>
  <c r="K179" i="17"/>
  <c r="K180" i="17"/>
  <c r="K181" i="17"/>
  <c r="K182" i="17"/>
  <c r="K183" i="17"/>
  <c r="K184" i="17"/>
  <c r="K185" i="17"/>
  <c r="K186" i="17"/>
  <c r="K187" i="17"/>
  <c r="K188" i="17"/>
  <c r="K189" i="17"/>
  <c r="K190" i="17"/>
  <c r="K191" i="17"/>
  <c r="K192" i="17"/>
  <c r="K193" i="17"/>
  <c r="K194" i="17"/>
  <c r="K195" i="17"/>
  <c r="K196" i="17"/>
  <c r="E40" i="18"/>
  <c r="K197" i="17"/>
  <c r="K198" i="17"/>
  <c r="K199" i="17"/>
  <c r="K200" i="17"/>
  <c r="K201" i="17"/>
  <c r="K202" i="17"/>
  <c r="K203" i="17"/>
  <c r="K204" i="17"/>
  <c r="K205" i="17"/>
  <c r="A20" i="18"/>
  <c r="A21" i="18"/>
  <c r="A22" i="18"/>
  <c r="A23" i="18"/>
  <c r="A24" i="18"/>
  <c r="A25" i="18"/>
  <c r="A26" i="18"/>
  <c r="A27" i="18"/>
  <c r="A28" i="18"/>
  <c r="A29" i="18"/>
  <c r="A30" i="18"/>
  <c r="A31" i="18"/>
  <c r="A32" i="18"/>
  <c r="A33" i="18"/>
  <c r="A34" i="18"/>
  <c r="A15" i="18"/>
  <c r="A16" i="18"/>
  <c r="A17" i="18"/>
  <c r="A18" i="18"/>
  <c r="E39" i="18"/>
  <c r="I2" i="30"/>
  <c r="K2" i="30"/>
  <c r="I3" i="30"/>
  <c r="K3" i="30"/>
  <c r="I4" i="30"/>
  <c r="K4" i="30"/>
  <c r="I5" i="30"/>
  <c r="K5" i="30"/>
  <c r="I6" i="30"/>
  <c r="K6" i="30"/>
  <c r="I7" i="30"/>
  <c r="K7" i="30"/>
  <c r="I8" i="30"/>
  <c r="K8" i="30"/>
  <c r="I9" i="30"/>
  <c r="K9" i="30"/>
  <c r="I10" i="30"/>
  <c r="K10" i="30"/>
  <c r="I11" i="30"/>
  <c r="K11" i="30"/>
  <c r="I12" i="30"/>
  <c r="K12" i="30"/>
  <c r="I13" i="30"/>
  <c r="K13" i="30"/>
  <c r="I14" i="30"/>
  <c r="K14" i="30"/>
  <c r="I15" i="30"/>
  <c r="K15" i="30"/>
  <c r="I16" i="30"/>
  <c r="K16" i="30"/>
  <c r="I17" i="30"/>
  <c r="K17" i="30"/>
  <c r="I18" i="30"/>
  <c r="K18" i="30"/>
  <c r="I19" i="30"/>
  <c r="K19" i="30"/>
  <c r="I20" i="30"/>
  <c r="K20" i="30"/>
  <c r="I21" i="30"/>
  <c r="K21" i="30"/>
  <c r="I22" i="30"/>
  <c r="K22" i="30"/>
  <c r="I23" i="30"/>
  <c r="K23" i="30"/>
  <c r="I24" i="30"/>
  <c r="K24" i="30"/>
  <c r="I25" i="30"/>
  <c r="K25" i="30"/>
  <c r="I26" i="30"/>
  <c r="K26" i="30"/>
  <c r="I27" i="30"/>
  <c r="K27" i="30"/>
  <c r="I28" i="30"/>
  <c r="K28" i="30"/>
  <c r="I29" i="30"/>
  <c r="K29" i="30"/>
  <c r="I30" i="30"/>
  <c r="K30" i="30"/>
  <c r="I31" i="30"/>
  <c r="K31" i="30"/>
  <c r="I32" i="30"/>
  <c r="K32" i="30"/>
  <c r="I33" i="30"/>
  <c r="K33" i="30"/>
  <c r="I34" i="30"/>
  <c r="K34" i="30"/>
  <c r="I35" i="30"/>
  <c r="K35" i="30"/>
  <c r="I36" i="30"/>
  <c r="K36" i="30"/>
  <c r="I37" i="30"/>
  <c r="K37" i="30"/>
  <c r="I38" i="30"/>
  <c r="K38" i="30"/>
  <c r="I39" i="30"/>
  <c r="K39" i="30"/>
  <c r="I40" i="30"/>
  <c r="K40" i="30"/>
  <c r="I41" i="30"/>
  <c r="K41" i="30"/>
  <c r="I42" i="30"/>
  <c r="K42" i="30"/>
  <c r="I43" i="30"/>
  <c r="K43" i="30"/>
  <c r="I44" i="30"/>
  <c r="K44" i="30"/>
  <c r="I45" i="30"/>
  <c r="K45" i="30"/>
  <c r="I46" i="30"/>
  <c r="K46" i="30"/>
  <c r="I47" i="30"/>
  <c r="K47" i="30"/>
  <c r="I48" i="30"/>
  <c r="K48" i="30"/>
  <c r="I49" i="30"/>
  <c r="K49" i="30"/>
  <c r="I50" i="30"/>
  <c r="K50" i="30"/>
  <c r="I51" i="30"/>
  <c r="K51" i="30"/>
  <c r="I52" i="30"/>
  <c r="K52" i="30"/>
  <c r="I53" i="30"/>
  <c r="K53" i="30"/>
  <c r="I54" i="30"/>
  <c r="K54" i="30"/>
  <c r="I55" i="30"/>
  <c r="K55" i="30"/>
  <c r="I56" i="30"/>
  <c r="K56" i="30"/>
  <c r="I57" i="30"/>
  <c r="K57" i="30"/>
  <c r="I58" i="30"/>
  <c r="K58" i="30"/>
  <c r="I59" i="30"/>
  <c r="K59" i="30"/>
  <c r="I60" i="30"/>
  <c r="K60" i="30"/>
  <c r="I61" i="30"/>
  <c r="K61" i="30"/>
  <c r="I62" i="30"/>
  <c r="K62" i="30"/>
  <c r="I63" i="30"/>
  <c r="K63" i="30"/>
  <c r="I64" i="30"/>
  <c r="K64" i="30"/>
  <c r="I65" i="30"/>
  <c r="K65" i="30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15" i="29"/>
  <c r="A16" i="29"/>
  <c r="A17" i="29"/>
  <c r="A18" i="29"/>
  <c r="A20" i="19"/>
  <c r="A21" i="19"/>
  <c r="A22" i="19"/>
  <c r="A23" i="19"/>
  <c r="A24" i="19"/>
  <c r="A25" i="19"/>
  <c r="A26" i="19"/>
  <c r="A27" i="19"/>
  <c r="A28" i="19"/>
  <c r="A29" i="19"/>
  <c r="A30" i="19"/>
  <c r="A31" i="19"/>
  <c r="A32" i="19"/>
  <c r="A33" i="19"/>
  <c r="A34" i="19"/>
  <c r="A15" i="19"/>
  <c r="A16" i="19"/>
  <c r="A17" i="19"/>
  <c r="A18" i="19"/>
  <c r="K2" i="20"/>
  <c r="K3" i="20"/>
  <c r="K4" i="20"/>
  <c r="K5" i="20"/>
  <c r="K6" i="20"/>
  <c r="K7" i="20"/>
  <c r="K8" i="20"/>
  <c r="K9" i="20"/>
  <c r="K10" i="20"/>
  <c r="K11" i="20"/>
  <c r="K12" i="20"/>
  <c r="A55" i="21"/>
  <c r="A56" i="21"/>
  <c r="A57" i="21"/>
  <c r="A58" i="21"/>
  <c r="A59" i="21"/>
  <c r="A60" i="21"/>
  <c r="A61" i="21"/>
  <c r="A62" i="21"/>
  <c r="A63" i="21"/>
  <c r="A64" i="21"/>
  <c r="A65" i="21"/>
  <c r="A66" i="21"/>
  <c r="A67" i="21"/>
  <c r="A68" i="21"/>
  <c r="A69" i="21"/>
  <c r="A50" i="21"/>
  <c r="A51" i="21"/>
  <c r="A52" i="21"/>
  <c r="A53" i="21"/>
  <c r="A20" i="21"/>
  <c r="A21" i="21"/>
  <c r="A22" i="21"/>
  <c r="A23" i="21"/>
  <c r="A24" i="21"/>
  <c r="A25" i="21"/>
  <c r="A26" i="21"/>
  <c r="A27" i="21"/>
  <c r="A28" i="21"/>
  <c r="A29" i="21"/>
  <c r="A30" i="21"/>
  <c r="A31" i="21"/>
  <c r="A32" i="21"/>
  <c r="A33" i="21"/>
  <c r="A34" i="21"/>
  <c r="A15" i="21"/>
  <c r="A16" i="21"/>
  <c r="A17" i="21"/>
  <c r="A18" i="21"/>
  <c r="K66" i="22"/>
  <c r="K37" i="22"/>
  <c r="A20" i="26"/>
  <c r="A21" i="26"/>
  <c r="A22" i="26"/>
  <c r="A23" i="26"/>
  <c r="A24" i="26"/>
  <c r="A25" i="26"/>
  <c r="A26" i="26"/>
  <c r="A27" i="26"/>
  <c r="A28" i="26"/>
  <c r="A29" i="26"/>
  <c r="A30" i="26"/>
  <c r="A31" i="26"/>
  <c r="A32" i="26"/>
  <c r="A33" i="26"/>
  <c r="A34" i="26"/>
  <c r="A15" i="26"/>
  <c r="A16" i="26"/>
  <c r="A17" i="26"/>
  <c r="A18" i="26"/>
  <c r="K2" i="25"/>
  <c r="K3" i="25"/>
  <c r="K4" i="25"/>
  <c r="K5" i="25"/>
  <c r="K6" i="25"/>
  <c r="K7" i="25"/>
  <c r="K8" i="25"/>
  <c r="K9" i="25"/>
  <c r="K10" i="25"/>
  <c r="K11" i="25"/>
  <c r="K12" i="25"/>
  <c r="K13" i="25"/>
  <c r="K14" i="25"/>
  <c r="I15" i="25"/>
  <c r="K15" i="25"/>
  <c r="K16" i="25"/>
  <c r="I17" i="25"/>
  <c r="K17" i="25"/>
  <c r="K18" i="25"/>
  <c r="I19" i="25"/>
  <c r="K19" i="25"/>
  <c r="I20" i="25"/>
  <c r="K20" i="25"/>
  <c r="K21" i="25"/>
  <c r="K22" i="25"/>
  <c r="K23" i="25"/>
  <c r="K24" i="25"/>
  <c r="K25" i="25"/>
  <c r="K26" i="25"/>
  <c r="K27" i="25"/>
  <c r="K28" i="25"/>
  <c r="K29" i="25"/>
  <c r="K30" i="25"/>
  <c r="K31" i="25"/>
  <c r="K32" i="25"/>
  <c r="K33" i="25"/>
  <c r="K34" i="25"/>
  <c r="K35" i="25"/>
  <c r="K36" i="25"/>
  <c r="I37" i="25"/>
  <c r="K37" i="25"/>
  <c r="K38" i="25"/>
  <c r="K39" i="25"/>
  <c r="K40" i="25"/>
  <c r="K41" i="25"/>
  <c r="K42" i="25"/>
  <c r="K43" i="25"/>
  <c r="K44" i="25"/>
  <c r="K45" i="25"/>
  <c r="K46" i="25"/>
  <c r="K47" i="25"/>
  <c r="K48" i="25"/>
  <c r="K49" i="25"/>
  <c r="K50" i="25"/>
  <c r="K51" i="25"/>
  <c r="K52" i="25"/>
  <c r="K53" i="25"/>
  <c r="K54" i="25"/>
  <c r="K55" i="25"/>
  <c r="K56" i="25"/>
  <c r="K57" i="25"/>
  <c r="K58" i="25"/>
  <c r="K59" i="25"/>
  <c r="K60" i="25"/>
  <c r="K61" i="25"/>
  <c r="K62" i="25"/>
  <c r="K63" i="25"/>
  <c r="K64" i="25"/>
  <c r="L974" i="13"/>
  <c r="L973" i="13"/>
  <c r="L972" i="13"/>
  <c r="L971" i="13"/>
  <c r="G64" i="30"/>
  <c r="G62" i="30"/>
  <c r="G60" i="30"/>
  <c r="G61" i="30"/>
  <c r="G65" i="30"/>
  <c r="G63" i="30"/>
  <c r="G59" i="30"/>
  <c r="K248" i="17"/>
  <c r="K249" i="17"/>
  <c r="S192" i="17"/>
  <c r="S181" i="17"/>
  <c r="H80" i="15"/>
  <c r="D5" i="15"/>
  <c r="D10" i="15"/>
  <c r="M1143" i="16"/>
  <c r="M1145" i="16"/>
  <c r="M1146" i="16"/>
  <c r="M1147" i="16"/>
  <c r="M1150" i="16"/>
  <c r="M1151" i="16"/>
  <c r="M1153" i="16"/>
  <c r="M1155" i="16"/>
  <c r="M1157" i="16"/>
  <c r="M1158" i="16"/>
  <c r="M1161" i="16"/>
  <c r="M1162" i="16"/>
  <c r="B5" i="14"/>
  <c r="B10" i="14"/>
  <c r="M94" i="13"/>
  <c r="M158" i="13"/>
  <c r="M350" i="13"/>
  <c r="M414" i="13"/>
  <c r="M606" i="13"/>
  <c r="M670" i="13"/>
  <c r="M862" i="13"/>
  <c r="M926" i="13"/>
  <c r="D34" i="15"/>
  <c r="D33" i="15"/>
  <c r="D32" i="15"/>
  <c r="D31" i="15"/>
  <c r="D30" i="15"/>
  <c r="D29" i="15"/>
  <c r="D28" i="15"/>
  <c r="D27" i="15"/>
  <c r="D26" i="15"/>
  <c r="D25" i="15"/>
  <c r="D24" i="15"/>
  <c r="D23" i="15"/>
  <c r="D22" i="15"/>
  <c r="D21" i="15"/>
  <c r="D20" i="15"/>
  <c r="D19" i="15"/>
  <c r="D18" i="15"/>
  <c r="D17" i="15"/>
  <c r="D16" i="15"/>
  <c r="D15" i="15"/>
  <c r="D14" i="15"/>
  <c r="E5" i="15"/>
  <c r="C10" i="15"/>
  <c r="E10" i="15"/>
  <c r="B17" i="14"/>
  <c r="B25" i="14"/>
  <c r="B27" i="14"/>
  <c r="B10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E10" i="6"/>
  <c r="E27" i="6"/>
  <c r="E28" i="6"/>
  <c r="E29" i="6"/>
  <c r="E25" i="6"/>
  <c r="E23" i="6"/>
  <c r="E21" i="6"/>
  <c r="E17" i="6"/>
  <c r="E15" i="6"/>
  <c r="M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70" i="2"/>
  <c r="M471" i="2"/>
  <c r="M472" i="2"/>
  <c r="M475" i="2"/>
  <c r="M476" i="2"/>
  <c r="M478" i="2"/>
  <c r="M480" i="2"/>
  <c r="M482" i="2"/>
  <c r="M483" i="2"/>
  <c r="M486" i="2"/>
  <c r="E18" i="6"/>
  <c r="E22" i="6"/>
  <c r="E26" i="6"/>
  <c r="M974" i="13"/>
  <c r="M4" i="13"/>
  <c r="M16" i="13"/>
  <c r="M20" i="13"/>
  <c r="M32" i="13"/>
  <c r="M36" i="13"/>
  <c r="M48" i="13"/>
  <c r="M52" i="13"/>
  <c r="M64" i="13"/>
  <c r="M68" i="13"/>
  <c r="M80" i="13"/>
  <c r="M84" i="13"/>
  <c r="M96" i="13"/>
  <c r="M100" i="13"/>
  <c r="M112" i="13"/>
  <c r="M116" i="13"/>
  <c r="M128" i="13"/>
  <c r="M132" i="13"/>
  <c r="M144" i="13"/>
  <c r="M148" i="13"/>
  <c r="M160" i="13"/>
  <c r="M164" i="13"/>
  <c r="M176" i="13"/>
  <c r="M180" i="13"/>
  <c r="M192" i="13"/>
  <c r="M196" i="13"/>
  <c r="M208" i="13"/>
  <c r="M212" i="13"/>
  <c r="M224" i="13"/>
  <c r="M228" i="13"/>
  <c r="M240" i="13"/>
  <c r="M244" i="13"/>
  <c r="M256" i="13"/>
  <c r="M260" i="13"/>
  <c r="M272" i="13"/>
  <c r="M276" i="13"/>
  <c r="M288" i="13"/>
  <c r="M292" i="13"/>
  <c r="M304" i="13"/>
  <c r="M308" i="13"/>
  <c r="M320" i="13"/>
  <c r="M324" i="13"/>
  <c r="M336" i="13"/>
  <c r="M340" i="13"/>
  <c r="M352" i="13"/>
  <c r="M356" i="13"/>
  <c r="M368" i="13"/>
  <c r="M372" i="13"/>
  <c r="M384" i="13"/>
  <c r="M388" i="13"/>
  <c r="M400" i="13"/>
  <c r="M404" i="13"/>
  <c r="M416" i="13"/>
  <c r="M420" i="13"/>
  <c r="M432" i="13"/>
  <c r="M436" i="13"/>
  <c r="M448" i="13"/>
  <c r="M452" i="13"/>
  <c r="M464" i="13"/>
  <c r="M468" i="13"/>
  <c r="M480" i="13"/>
  <c r="M484" i="13"/>
  <c r="M496" i="13"/>
  <c r="M500" i="13"/>
  <c r="M512" i="13"/>
  <c r="M516" i="13"/>
  <c r="M528" i="13"/>
  <c r="M532" i="13"/>
  <c r="M544" i="13"/>
  <c r="M548" i="13"/>
  <c r="M560" i="13"/>
  <c r="M564" i="13"/>
  <c r="M576" i="13"/>
  <c r="M580" i="13"/>
  <c r="M592" i="13"/>
  <c r="M596" i="13"/>
  <c r="M608" i="13"/>
  <c r="M612" i="13"/>
  <c r="M624" i="13"/>
  <c r="M628" i="13"/>
  <c r="M640" i="13"/>
  <c r="M644" i="13"/>
  <c r="M656" i="13"/>
  <c r="M660" i="13"/>
  <c r="M672" i="13"/>
  <c r="M676" i="13"/>
  <c r="M688" i="13"/>
  <c r="M692" i="13"/>
  <c r="M704" i="13"/>
  <c r="M708" i="13"/>
  <c r="M720" i="13"/>
  <c r="M724" i="13"/>
  <c r="M736" i="13"/>
  <c r="M740" i="13"/>
  <c r="M752" i="13"/>
  <c r="M756" i="13"/>
  <c r="M768" i="13"/>
  <c r="M772" i="13"/>
  <c r="M784" i="13"/>
  <c r="M788" i="13"/>
  <c r="M800" i="13"/>
  <c r="M804" i="13"/>
  <c r="M816" i="13"/>
  <c r="M820" i="13"/>
  <c r="M832" i="13"/>
  <c r="M836" i="13"/>
  <c r="M848" i="13"/>
  <c r="M852" i="13"/>
  <c r="M864" i="13"/>
  <c r="M868" i="13"/>
  <c r="M880" i="13"/>
  <c r="M884" i="13"/>
  <c r="M896" i="13"/>
  <c r="M900" i="13"/>
  <c r="M912" i="13"/>
  <c r="M916" i="13"/>
  <c r="M928" i="13"/>
  <c r="M932" i="13"/>
  <c r="B14" i="14"/>
  <c r="B16" i="14"/>
  <c r="B22" i="14"/>
  <c r="B24" i="14"/>
  <c r="B30" i="14"/>
  <c r="B32" i="14"/>
  <c r="M5" i="13"/>
  <c r="M9" i="13"/>
  <c r="M21" i="13"/>
  <c r="M25" i="13"/>
  <c r="M37" i="13"/>
  <c r="M41" i="13"/>
  <c r="M53" i="13"/>
  <c r="M57" i="13"/>
  <c r="M69" i="13"/>
  <c r="M73" i="13"/>
  <c r="M85" i="13"/>
  <c r="M89" i="13"/>
  <c r="M101" i="13"/>
  <c r="M105" i="13"/>
  <c r="M117" i="13"/>
  <c r="M121" i="13"/>
  <c r="M133" i="13"/>
  <c r="M137" i="13"/>
  <c r="M149" i="13"/>
  <c r="M153" i="13"/>
  <c r="M165" i="13"/>
  <c r="M169" i="13"/>
  <c r="M181" i="13"/>
  <c r="M185" i="13"/>
  <c r="M197" i="13"/>
  <c r="M201" i="13"/>
  <c r="M213" i="13"/>
  <c r="M217" i="13"/>
  <c r="M229" i="13"/>
  <c r="M233" i="13"/>
  <c r="M245" i="13"/>
  <c r="M249" i="13"/>
  <c r="M261" i="13"/>
  <c r="M265" i="13"/>
  <c r="M277" i="13"/>
  <c r="M281" i="13"/>
  <c r="M293" i="13"/>
  <c r="M297" i="13"/>
  <c r="M309" i="13"/>
  <c r="M313" i="13"/>
  <c r="M325" i="13"/>
  <c r="M329" i="13"/>
  <c r="M341" i="13"/>
  <c r="M345" i="13"/>
  <c r="M357" i="13"/>
  <c r="M361" i="13"/>
  <c r="M373" i="13"/>
  <c r="M377" i="13"/>
  <c r="M389" i="13"/>
  <c r="M393" i="13"/>
  <c r="M405" i="13"/>
  <c r="M409" i="13"/>
  <c r="M421" i="13"/>
  <c r="M425" i="13"/>
  <c r="M437" i="13"/>
  <c r="M441" i="13"/>
  <c r="M453" i="13"/>
  <c r="M457" i="13"/>
  <c r="M469" i="13"/>
  <c r="M473" i="13"/>
  <c r="M485" i="13"/>
  <c r="M489" i="13"/>
  <c r="M501" i="13"/>
  <c r="M505" i="13"/>
  <c r="M517" i="13"/>
  <c r="M521" i="13"/>
  <c r="M529" i="13"/>
  <c r="M533" i="13"/>
  <c r="M537" i="13"/>
  <c r="M545" i="13"/>
  <c r="M549" i="13"/>
  <c r="M553" i="13"/>
  <c r="M561" i="13"/>
  <c r="M565" i="13"/>
  <c r="M569" i="13"/>
  <c r="M577" i="13"/>
  <c r="M581" i="13"/>
  <c r="M585" i="13"/>
  <c r="M593" i="13"/>
  <c r="M597" i="13"/>
  <c r="M601" i="13"/>
  <c r="M609" i="13"/>
  <c r="M613" i="13"/>
  <c r="M617" i="13"/>
  <c r="M625" i="13"/>
  <c r="M629" i="13"/>
  <c r="M633" i="13"/>
  <c r="M641" i="13"/>
  <c r="M645" i="13"/>
  <c r="M649" i="13"/>
  <c r="M657" i="13"/>
  <c r="M661" i="13"/>
  <c r="M665" i="13"/>
  <c r="M673" i="13"/>
  <c r="M677" i="13"/>
  <c r="M681" i="13"/>
  <c r="M689" i="13"/>
  <c r="M693" i="13"/>
  <c r="M697" i="13"/>
  <c r="M705" i="13"/>
  <c r="M709" i="13"/>
  <c r="M713" i="13"/>
  <c r="M721" i="13"/>
  <c r="M725" i="13"/>
  <c r="M729" i="13"/>
  <c r="M737" i="13"/>
  <c r="M741" i="13"/>
  <c r="M745" i="13"/>
  <c r="M753" i="13"/>
  <c r="M757" i="13"/>
  <c r="M761" i="13"/>
  <c r="M769" i="13"/>
  <c r="M773" i="13"/>
  <c r="M777" i="13"/>
  <c r="M785" i="13"/>
  <c r="M789" i="13"/>
  <c r="M793" i="13"/>
  <c r="M801" i="13"/>
  <c r="M805" i="13"/>
  <c r="M809" i="13"/>
  <c r="M817" i="13"/>
  <c r="M821" i="13"/>
  <c r="M825" i="13"/>
  <c r="M833" i="13"/>
  <c r="M837" i="13"/>
  <c r="M841" i="13"/>
  <c r="M849" i="13"/>
  <c r="M853" i="13"/>
  <c r="M857" i="13"/>
  <c r="M865" i="13"/>
  <c r="M869" i="13"/>
  <c r="M873" i="13"/>
  <c r="M881" i="13"/>
  <c r="M885" i="13"/>
  <c r="M889" i="13"/>
  <c r="M897" i="13"/>
  <c r="M901" i="13"/>
  <c r="M905" i="13"/>
  <c r="M913" i="13"/>
  <c r="M917" i="13"/>
  <c r="M921" i="13"/>
  <c r="M929" i="13"/>
  <c r="M933" i="13"/>
  <c r="M937" i="13"/>
  <c r="M972" i="13"/>
  <c r="M973" i="13"/>
  <c r="M3" i="13"/>
  <c r="M11" i="13"/>
  <c r="M15" i="13"/>
  <c r="M19" i="13"/>
  <c r="M27" i="13"/>
  <c r="M31" i="13"/>
  <c r="M35" i="13"/>
  <c r="M43" i="13"/>
  <c r="M47" i="13"/>
  <c r="M51" i="13"/>
  <c r="M59" i="13"/>
  <c r="M63" i="13"/>
  <c r="M67" i="13"/>
  <c r="M75" i="13"/>
  <c r="M79" i="13"/>
  <c r="M83" i="13"/>
  <c r="M91" i="13"/>
  <c r="M95" i="13"/>
  <c r="M99" i="13"/>
  <c r="M107" i="13"/>
  <c r="M111" i="13"/>
  <c r="M115" i="13"/>
  <c r="M123" i="13"/>
  <c r="M127" i="13"/>
  <c r="M131" i="13"/>
  <c r="M139" i="13"/>
  <c r="M143" i="13"/>
  <c r="M147" i="13"/>
  <c r="M155" i="13"/>
  <c r="M159" i="13"/>
  <c r="M163" i="13"/>
  <c r="M171" i="13"/>
  <c r="M175" i="13"/>
  <c r="M179" i="13"/>
  <c r="M187" i="13"/>
  <c r="M191" i="13"/>
  <c r="M195" i="13"/>
  <c r="M203" i="13"/>
  <c r="M207" i="13"/>
  <c r="M211" i="13"/>
  <c r="M219" i="13"/>
  <c r="M223" i="13"/>
  <c r="M227" i="13"/>
  <c r="M235" i="13"/>
  <c r="M239" i="13"/>
  <c r="M243" i="13"/>
  <c r="M251" i="13"/>
  <c r="M255" i="13"/>
  <c r="M259" i="13"/>
  <c r="M267" i="13"/>
  <c r="M271" i="13"/>
  <c r="M275" i="13"/>
  <c r="M283" i="13"/>
  <c r="M287" i="13"/>
  <c r="M291" i="13"/>
  <c r="M299" i="13"/>
  <c r="M303" i="13"/>
  <c r="M307" i="13"/>
  <c r="M315" i="13"/>
  <c r="M319" i="13"/>
  <c r="M323" i="13"/>
  <c r="M331" i="13"/>
  <c r="M335" i="13"/>
  <c r="M339" i="13"/>
  <c r="M347" i="13"/>
  <c r="M351" i="13"/>
  <c r="M355" i="13"/>
  <c r="M363" i="13"/>
  <c r="M367" i="13"/>
  <c r="M371" i="13"/>
  <c r="M379" i="13"/>
  <c r="M383" i="13"/>
  <c r="M387" i="13"/>
  <c r="M395" i="13"/>
  <c r="M399" i="13"/>
  <c r="M403" i="13"/>
  <c r="M411" i="13"/>
  <c r="M415" i="13"/>
  <c r="M419" i="13"/>
  <c r="M427" i="13"/>
  <c r="M431" i="13"/>
  <c r="M435" i="13"/>
  <c r="M443" i="13"/>
  <c r="M447" i="13"/>
  <c r="M451" i="13"/>
  <c r="M459" i="13"/>
  <c r="M463" i="13"/>
  <c r="M467" i="13"/>
  <c r="M475" i="13"/>
  <c r="M479" i="13"/>
  <c r="M483" i="13"/>
  <c r="M491" i="13"/>
  <c r="M495" i="13"/>
  <c r="M499" i="13"/>
  <c r="M507" i="13"/>
  <c r="M511" i="13"/>
  <c r="M515" i="13"/>
  <c r="M523" i="13"/>
  <c r="M527" i="13"/>
  <c r="M531" i="13"/>
  <c r="M539" i="13"/>
  <c r="M543" i="13"/>
  <c r="M547" i="13"/>
  <c r="M555" i="13"/>
  <c r="M559" i="13"/>
  <c r="M563" i="13"/>
  <c r="M571" i="13"/>
  <c r="M575" i="13"/>
  <c r="M579" i="13"/>
  <c r="M587" i="13"/>
  <c r="M591" i="13"/>
  <c r="M595" i="13"/>
  <c r="M603" i="13"/>
  <c r="M607" i="13"/>
  <c r="M611" i="13"/>
  <c r="M619" i="13"/>
  <c r="M623" i="13"/>
  <c r="M627" i="13"/>
  <c r="M635" i="13"/>
  <c r="M639" i="13"/>
  <c r="M643" i="13"/>
  <c r="M651" i="13"/>
  <c r="M655" i="13"/>
  <c r="M659" i="13"/>
  <c r="M667" i="13"/>
  <c r="M671" i="13"/>
  <c r="M675" i="13"/>
  <c r="M683" i="13"/>
  <c r="M687" i="13"/>
  <c r="M691" i="13"/>
  <c r="M699" i="13"/>
  <c r="M703" i="13"/>
  <c r="M707" i="13"/>
  <c r="M715" i="13"/>
  <c r="M719" i="13"/>
  <c r="M723" i="13"/>
  <c r="M731" i="13"/>
  <c r="M735" i="13"/>
  <c r="M739" i="13"/>
  <c r="M747" i="13"/>
  <c r="M751" i="13"/>
  <c r="M755" i="13"/>
  <c r="M763" i="13"/>
  <c r="M767" i="13"/>
  <c r="M771" i="13"/>
  <c r="M779" i="13"/>
  <c r="M783" i="13"/>
  <c r="M787" i="13"/>
  <c r="M795" i="13"/>
  <c r="M799" i="13"/>
  <c r="M803" i="13"/>
  <c r="M811" i="13"/>
  <c r="M815" i="13"/>
  <c r="M819" i="13"/>
  <c r="M827" i="13"/>
  <c r="M831" i="13"/>
  <c r="M835" i="13"/>
  <c r="M843" i="13"/>
  <c r="M847" i="13"/>
  <c r="M851" i="13"/>
  <c r="M859" i="13"/>
  <c r="M863" i="13"/>
  <c r="M867" i="13"/>
  <c r="M875" i="13"/>
  <c r="M879" i="13"/>
  <c r="M883" i="13"/>
  <c r="M891" i="13"/>
  <c r="M895" i="13"/>
  <c r="M899" i="13"/>
  <c r="M907" i="13"/>
  <c r="M911" i="13"/>
  <c r="M915" i="13"/>
  <c r="M923" i="13"/>
  <c r="M927" i="13"/>
  <c r="M931" i="13"/>
  <c r="M939" i="13"/>
  <c r="M938" i="13"/>
  <c r="M922" i="13"/>
  <c r="M890" i="13"/>
  <c r="M874" i="13"/>
  <c r="M858" i="13"/>
  <c r="M826" i="13"/>
  <c r="M810" i="13"/>
  <c r="M794" i="13"/>
  <c r="M762" i="13"/>
  <c r="M746" i="13"/>
  <c r="M730" i="13"/>
  <c r="M698" i="13"/>
  <c r="M682" i="13"/>
  <c r="M666" i="13"/>
  <c r="M634" i="13"/>
  <c r="M618" i="13"/>
  <c r="M602" i="13"/>
  <c r="M570" i="13"/>
  <c r="M554" i="13"/>
  <c r="M538" i="13"/>
  <c r="M506" i="13"/>
  <c r="M490" i="13"/>
  <c r="M474" i="13"/>
  <c r="M442" i="13"/>
  <c r="M426" i="13"/>
  <c r="M410" i="13"/>
  <c r="M378" i="13"/>
  <c r="M362" i="13"/>
  <c r="M346" i="13"/>
  <c r="M314" i="13"/>
  <c r="M298" i="13"/>
  <c r="M282" i="13"/>
  <c r="M250" i="13"/>
  <c r="M234" i="13"/>
  <c r="M218" i="13"/>
  <c r="M186" i="13"/>
  <c r="M170" i="13"/>
  <c r="M154" i="13"/>
  <c r="M122" i="13"/>
  <c r="M106" i="13"/>
  <c r="M90" i="13"/>
  <c r="M58" i="13"/>
  <c r="M42" i="13"/>
  <c r="M26" i="13"/>
  <c r="M485" i="2"/>
  <c r="M481" i="2"/>
  <c r="M473" i="2"/>
  <c r="M469" i="2"/>
  <c r="E16" i="6"/>
  <c r="E20" i="6"/>
  <c r="E24" i="6"/>
  <c r="M934" i="13"/>
  <c r="M918" i="13"/>
  <c r="M886" i="13"/>
  <c r="M870" i="13"/>
  <c r="M854" i="13"/>
  <c r="M822" i="13"/>
  <c r="M806" i="13"/>
  <c r="M790" i="13"/>
  <c r="M758" i="13"/>
  <c r="M742" i="13"/>
  <c r="M726" i="13"/>
  <c r="M694" i="13"/>
  <c r="M678" i="13"/>
  <c r="M662" i="13"/>
  <c r="M630" i="13"/>
  <c r="M614" i="13"/>
  <c r="M598" i="13"/>
  <c r="M566" i="13"/>
  <c r="M550" i="13"/>
  <c r="M534" i="13"/>
  <c r="M502" i="13"/>
  <c r="M486" i="13"/>
  <c r="M470" i="13"/>
  <c r="M438" i="13"/>
  <c r="M422" i="13"/>
  <c r="M406" i="13"/>
  <c r="M374" i="13"/>
  <c r="M358" i="13"/>
  <c r="M342" i="13"/>
  <c r="M310" i="13"/>
  <c r="M294" i="13"/>
  <c r="M278" i="13"/>
  <c r="M246" i="13"/>
  <c r="M230" i="13"/>
  <c r="M214" i="13"/>
  <c r="M182" i="13"/>
  <c r="M166" i="13"/>
  <c r="M150" i="13"/>
  <c r="M118" i="13"/>
  <c r="M102" i="13"/>
  <c r="M86" i="13"/>
  <c r="M54" i="13"/>
  <c r="M38" i="13"/>
  <c r="M22" i="13"/>
  <c r="M930" i="13"/>
  <c r="M914" i="13"/>
  <c r="M898" i="13"/>
  <c r="M866" i="13"/>
  <c r="M850" i="13"/>
  <c r="M834" i="13"/>
  <c r="M802" i="13"/>
  <c r="M786" i="13"/>
  <c r="M770" i="13"/>
  <c r="M738" i="13"/>
  <c r="M722" i="13"/>
  <c r="M706" i="13"/>
  <c r="M674" i="13"/>
  <c r="M658" i="13"/>
  <c r="M642" i="13"/>
  <c r="M610" i="13"/>
  <c r="M594" i="13"/>
  <c r="M578" i="13"/>
  <c r="M546" i="13"/>
  <c r="M530" i="13"/>
  <c r="M514" i="13"/>
  <c r="M482" i="13"/>
  <c r="M466" i="13"/>
  <c r="M450" i="13"/>
  <c r="M418" i="13"/>
  <c r="M402" i="13"/>
  <c r="M386" i="13"/>
  <c r="M354" i="13"/>
  <c r="M338" i="13"/>
  <c r="M322" i="13"/>
  <c r="M290" i="13"/>
  <c r="M274" i="13"/>
  <c r="M258" i="13"/>
  <c r="M226" i="13"/>
  <c r="M210" i="13"/>
  <c r="M194" i="13"/>
  <c r="M162" i="13"/>
  <c r="M146" i="13"/>
  <c r="M130" i="13"/>
  <c r="M98" i="13"/>
  <c r="M82" i="13"/>
  <c r="M66" i="13"/>
  <c r="M34" i="13"/>
  <c r="M18" i="13"/>
  <c r="M1160" i="16"/>
  <c r="M1156" i="16"/>
  <c r="M1152" i="16"/>
  <c r="M1148" i="16"/>
  <c r="M1144" i="16"/>
  <c r="B7" i="29"/>
  <c r="B7" i="26"/>
  <c r="K4" i="22"/>
  <c r="K10" i="22"/>
  <c r="K41" i="22"/>
  <c r="K36" i="22"/>
  <c r="K30" i="22"/>
  <c r="K25" i="22"/>
  <c r="K20" i="22"/>
  <c r="C10" i="14"/>
  <c r="H44" i="14"/>
  <c r="U931" i="13"/>
  <c r="C5" i="26"/>
  <c r="B62" i="15"/>
  <c r="B58" i="15"/>
  <c r="B85" i="15"/>
  <c r="B80" i="15"/>
  <c r="B57" i="15"/>
  <c r="B81" i="15"/>
  <c r="B7" i="15"/>
  <c r="A19" i="7"/>
  <c r="C10" i="27"/>
  <c r="C5" i="27"/>
  <c r="B7" i="27"/>
  <c r="K11" i="22"/>
  <c r="K15" i="22"/>
  <c r="K19" i="22"/>
  <c r="K23" i="22"/>
  <c r="K27" i="22"/>
  <c r="K31" i="22"/>
  <c r="K35" i="22"/>
  <c r="K39" i="22"/>
  <c r="K43" i="22"/>
  <c r="K9" i="22"/>
  <c r="K2" i="22"/>
  <c r="K6" i="22"/>
  <c r="C5" i="19"/>
  <c r="B5" i="29"/>
  <c r="B10" i="29"/>
  <c r="A23" i="7"/>
  <c r="E81" i="15"/>
  <c r="E57" i="15"/>
  <c r="C5" i="14"/>
  <c r="A22" i="8"/>
  <c r="B46" i="6"/>
  <c r="B7" i="14"/>
  <c r="E80" i="15"/>
  <c r="H39" i="11"/>
  <c r="Y180" i="10"/>
  <c r="E5" i="11"/>
  <c r="E10" i="11"/>
  <c r="H40" i="11"/>
  <c r="L16" i="10"/>
  <c r="L12" i="10"/>
  <c r="L8" i="10"/>
  <c r="L4" i="10"/>
  <c r="L56" i="10"/>
  <c r="L52" i="10"/>
  <c r="L48" i="10"/>
  <c r="L44" i="10"/>
  <c r="L39" i="10"/>
  <c r="L35" i="10"/>
  <c r="L31" i="10"/>
  <c r="G42" i="8"/>
  <c r="G41" i="8"/>
  <c r="B41" i="8"/>
  <c r="T369" i="12"/>
  <c r="B42" i="8"/>
  <c r="D4" i="8"/>
  <c r="D9" i="8"/>
  <c r="U215" i="2"/>
  <c r="U322" i="2"/>
  <c r="U327" i="2"/>
  <c r="U337" i="2"/>
  <c r="U342" i="2"/>
  <c r="U3" i="2"/>
  <c r="U9" i="2"/>
  <c r="U484" i="2"/>
  <c r="U25" i="2"/>
  <c r="U31" i="2"/>
  <c r="U36" i="2"/>
  <c r="U41" i="2"/>
  <c r="U47" i="2"/>
  <c r="U52" i="2"/>
  <c r="U57" i="2"/>
  <c r="U63" i="2"/>
  <c r="U68" i="2"/>
  <c r="U73" i="2"/>
  <c r="U79" i="2"/>
  <c r="U84" i="2"/>
  <c r="U89" i="2"/>
  <c r="U95" i="2"/>
  <c r="U100" i="2"/>
  <c r="U105" i="2"/>
  <c r="U106" i="2"/>
  <c r="U111" i="2"/>
  <c r="U116" i="2"/>
  <c r="U122" i="2"/>
  <c r="U127" i="2"/>
  <c r="U132" i="2"/>
  <c r="U138" i="2"/>
  <c r="U143" i="2"/>
  <c r="U148" i="2"/>
  <c r="U154" i="2"/>
  <c r="U159" i="2"/>
  <c r="U164" i="2"/>
  <c r="U170" i="2"/>
  <c r="U175" i="2"/>
  <c r="U180" i="2"/>
  <c r="U186" i="2"/>
  <c r="U191" i="2"/>
  <c r="U196" i="2"/>
  <c r="U202" i="2"/>
  <c r="U361" i="2"/>
  <c r="U366" i="2"/>
  <c r="U373" i="2"/>
  <c r="U378" i="2"/>
  <c r="U383" i="2"/>
  <c r="U389" i="2"/>
  <c r="U394" i="2"/>
  <c r="U399" i="2"/>
  <c r="U405" i="2"/>
  <c r="U410" i="2"/>
  <c r="U415" i="2"/>
  <c r="U421" i="2"/>
  <c r="U426" i="2"/>
  <c r="U431" i="2"/>
  <c r="U437" i="2"/>
  <c r="U442" i="2"/>
  <c r="U447" i="2"/>
  <c r="U206" i="2"/>
  <c r="U212" i="2"/>
  <c r="U219" i="2"/>
  <c r="U225" i="2"/>
  <c r="U231" i="2"/>
  <c r="U236" i="2"/>
  <c r="U242" i="2"/>
  <c r="U247" i="2"/>
  <c r="U252" i="2"/>
  <c r="U258" i="2"/>
  <c r="U263" i="2"/>
  <c r="U268" i="2"/>
  <c r="U274" i="2"/>
  <c r="U279" i="2"/>
  <c r="U284" i="2"/>
  <c r="U290" i="2"/>
  <c r="U295" i="2"/>
  <c r="U300" i="2"/>
  <c r="U306" i="2"/>
  <c r="U311" i="2"/>
  <c r="U316" i="2"/>
  <c r="U482" i="2"/>
  <c r="U435" i="2"/>
  <c r="U441" i="2"/>
  <c r="U446" i="2"/>
  <c r="U451" i="2"/>
  <c r="U210" i="2"/>
  <c r="U218" i="2"/>
  <c r="U223" i="2"/>
  <c r="U230" i="2"/>
  <c r="U235" i="2"/>
  <c r="U240" i="2"/>
  <c r="U246" i="2"/>
  <c r="U251" i="2"/>
  <c r="U256" i="2"/>
  <c r="U262" i="2"/>
  <c r="U267" i="2"/>
  <c r="U272" i="2"/>
  <c r="U278" i="2"/>
  <c r="U283" i="2"/>
  <c r="U288" i="2"/>
  <c r="U294" i="2"/>
  <c r="U299" i="2"/>
  <c r="U304" i="2"/>
  <c r="U310" i="2"/>
  <c r="U315" i="2"/>
  <c r="U369" i="2"/>
  <c r="U226" i="2"/>
  <c r="U346" i="2"/>
  <c r="U370" i="2"/>
  <c r="U317" i="2"/>
  <c r="U313" i="2"/>
  <c r="U309" i="2"/>
  <c r="U305" i="2"/>
  <c r="U301" i="2"/>
  <c r="U297" i="2"/>
  <c r="U293" i="2"/>
  <c r="U289" i="2"/>
  <c r="U285" i="2"/>
  <c r="U281" i="2"/>
  <c r="U277" i="2"/>
  <c r="U273" i="2"/>
  <c r="U269" i="2"/>
  <c r="U265" i="2"/>
  <c r="U261" i="2"/>
  <c r="U257" i="2"/>
  <c r="U253" i="2"/>
  <c r="U249" i="2"/>
  <c r="U245" i="2"/>
  <c r="U241" i="2"/>
  <c r="U237" i="2"/>
  <c r="U233" i="2"/>
  <c r="U229" i="2"/>
  <c r="U224" i="2"/>
  <c r="U220" i="2"/>
  <c r="U216" i="2"/>
  <c r="U209" i="2"/>
  <c r="U205" i="2"/>
  <c r="U448" i="2"/>
  <c r="U444" i="2"/>
  <c r="U440" i="2"/>
  <c r="U436" i="2"/>
  <c r="U432" i="2"/>
  <c r="U428" i="2"/>
  <c r="U424" i="2"/>
  <c r="U420" i="2"/>
  <c r="U416" i="2"/>
  <c r="U412" i="2"/>
  <c r="U408" i="2"/>
  <c r="U404" i="2"/>
  <c r="U400" i="2"/>
  <c r="U396" i="2"/>
  <c r="U392" i="2"/>
  <c r="U388" i="2"/>
  <c r="U384" i="2"/>
  <c r="U380" i="2"/>
  <c r="U376" i="2"/>
  <c r="U372" i="2"/>
  <c r="U468" i="2"/>
  <c r="U363" i="2"/>
  <c r="U359" i="2"/>
  <c r="U201" i="2"/>
  <c r="U197" i="2"/>
  <c r="U193" i="2"/>
  <c r="U189" i="2"/>
  <c r="U185" i="2"/>
  <c r="U181" i="2"/>
  <c r="U177" i="2"/>
  <c r="U173" i="2"/>
  <c r="U169" i="2"/>
  <c r="U165" i="2"/>
  <c r="U161" i="2"/>
  <c r="U157" i="2"/>
  <c r="U153" i="2"/>
  <c r="U149" i="2"/>
  <c r="U145" i="2"/>
  <c r="U141" i="2"/>
  <c r="U137" i="2"/>
  <c r="U133" i="2"/>
  <c r="U129" i="2"/>
  <c r="U125" i="2"/>
  <c r="U121" i="2"/>
  <c r="U117" i="2"/>
  <c r="U113" i="2"/>
  <c r="U109" i="2"/>
  <c r="U475" i="2"/>
  <c r="U471" i="2"/>
  <c r="U102" i="2"/>
  <c r="U98" i="2"/>
  <c r="U94" i="2"/>
  <c r="U90" i="2"/>
  <c r="U86" i="2"/>
  <c r="U82" i="2"/>
  <c r="U78" i="2"/>
  <c r="U74" i="2"/>
  <c r="U70" i="2"/>
  <c r="U66" i="2"/>
  <c r="U62" i="2"/>
  <c r="U58" i="2"/>
  <c r="U54" i="2"/>
  <c r="U50" i="2"/>
  <c r="U46" i="2"/>
  <c r="U42" i="2"/>
  <c r="U38" i="2"/>
  <c r="U34" i="2"/>
  <c r="U30" i="2"/>
  <c r="U26" i="2"/>
  <c r="U486" i="2"/>
  <c r="U465" i="2"/>
  <c r="U8" i="2"/>
  <c r="U4" i="2"/>
  <c r="U344" i="2"/>
  <c r="U340" i="2"/>
  <c r="U456" i="2"/>
  <c r="U328" i="2"/>
  <c r="U324" i="2"/>
  <c r="U320" i="2"/>
  <c r="U213" i="2"/>
  <c r="E37" i="6"/>
  <c r="E38" i="6"/>
  <c r="T339" i="2"/>
  <c r="T65" i="2"/>
  <c r="T124" i="2"/>
  <c r="T188" i="2"/>
  <c r="T407" i="2"/>
  <c r="T213" i="2"/>
  <c r="T46" i="2"/>
  <c r="T475" i="2"/>
  <c r="T169" i="2"/>
  <c r="T388" i="2"/>
  <c r="T205" i="2"/>
  <c r="T88" i="2"/>
  <c r="T365" i="2"/>
  <c r="T236" i="2"/>
  <c r="T300" i="2"/>
  <c r="T75" i="2"/>
  <c r="T394" i="2"/>
  <c r="T23" i="2"/>
  <c r="T190" i="2"/>
  <c r="T246" i="2"/>
  <c r="T329" i="2"/>
  <c r="T159" i="2"/>
  <c r="T231" i="2"/>
  <c r="T317" i="2"/>
  <c r="T130" i="2"/>
  <c r="T210" i="2"/>
  <c r="T302" i="2"/>
  <c r="T266" i="2"/>
  <c r="Y176" i="10"/>
  <c r="Y105" i="10"/>
  <c r="Y101" i="10"/>
  <c r="Y93" i="10"/>
  <c r="Y89" i="10"/>
  <c r="Y85" i="10"/>
  <c r="Y77" i="10"/>
  <c r="Y73" i="10"/>
  <c r="Y69" i="10"/>
  <c r="Y175" i="10"/>
  <c r="Y104" i="10"/>
  <c r="Y100" i="10"/>
  <c r="Y92" i="10"/>
  <c r="Y88" i="10"/>
  <c r="Y84" i="10"/>
  <c r="Y76" i="10"/>
  <c r="Y72" i="10"/>
  <c r="Y68" i="10"/>
  <c r="Y174" i="10"/>
  <c r="Y103" i="10"/>
  <c r="Y99" i="10"/>
  <c r="Y91" i="10"/>
  <c r="Y87" i="10"/>
  <c r="Y83" i="10"/>
  <c r="Y75" i="10"/>
  <c r="Y71" i="10"/>
  <c r="Y67" i="10"/>
  <c r="Y177" i="10"/>
  <c r="Y106" i="10"/>
  <c r="Y102" i="10"/>
  <c r="Y94" i="10"/>
  <c r="Y90" i="10"/>
  <c r="Y86" i="10"/>
  <c r="Y78" i="10"/>
  <c r="Y74" i="10"/>
  <c r="Y70" i="10"/>
  <c r="X974" i="16"/>
  <c r="X970" i="16"/>
  <c r="X958" i="16"/>
  <c r="X954" i="16"/>
  <c r="X942" i="16"/>
  <c r="X938" i="16"/>
  <c r="X926" i="16"/>
  <c r="X922" i="16"/>
  <c r="X910" i="16"/>
  <c r="X906" i="16"/>
  <c r="X894" i="16"/>
  <c r="X890" i="16"/>
  <c r="X1125" i="16"/>
  <c r="X1121" i="16"/>
  <c r="X953" i="16"/>
  <c r="X937" i="16"/>
  <c r="X889" i="16"/>
  <c r="X1120" i="16"/>
  <c r="X887" i="16"/>
  <c r="X879" i="16"/>
  <c r="X855" i="16"/>
  <c r="X847" i="16"/>
  <c r="X823" i="16"/>
  <c r="X815" i="16"/>
  <c r="X791" i="16"/>
  <c r="X783" i="16"/>
  <c r="X759" i="16"/>
  <c r="X751" i="16"/>
  <c r="X727" i="16"/>
  <c r="X719" i="16"/>
  <c r="X695" i="16"/>
  <c r="X687" i="16"/>
  <c r="X663" i="16"/>
  <c r="X655" i="16"/>
  <c r="X631" i="16"/>
  <c r="X623" i="16"/>
  <c r="X599" i="16"/>
  <c r="X591" i="16"/>
  <c r="X567" i="16"/>
  <c r="X559" i="16"/>
  <c r="X535" i="16"/>
  <c r="X1137" i="16"/>
  <c r="X1076" i="16"/>
  <c r="X1068" i="16"/>
  <c r="X1044" i="16"/>
  <c r="X1036" i="16"/>
  <c r="X1012" i="16"/>
  <c r="X1004" i="16"/>
  <c r="X528" i="16"/>
  <c r="X520" i="16"/>
  <c r="X500" i="16"/>
  <c r="X496" i="16"/>
  <c r="X484" i="16"/>
  <c r="X480" i="16"/>
  <c r="X468" i="16"/>
  <c r="X464" i="16"/>
  <c r="X452" i="16"/>
  <c r="X448" i="16"/>
  <c r="X436" i="16"/>
  <c r="X432" i="16"/>
  <c r="X420" i="16"/>
  <c r="X416" i="16"/>
  <c r="X404" i="16"/>
  <c r="X400" i="16"/>
  <c r="X388" i="16"/>
  <c r="X384" i="16"/>
  <c r="X372" i="16"/>
  <c r="X368" i="16"/>
  <c r="X356" i="16"/>
  <c r="X352" i="16"/>
  <c r="X340" i="16"/>
  <c r="X336" i="16"/>
  <c r="X324" i="16"/>
  <c r="X320" i="16"/>
  <c r="X308" i="16"/>
  <c r="X304" i="16"/>
  <c r="X292" i="16"/>
  <c r="X288" i="16"/>
  <c r="X276" i="16"/>
  <c r="X272" i="16"/>
  <c r="X260" i="16"/>
  <c r="X256" i="16"/>
  <c r="X244" i="16"/>
  <c r="X240" i="16"/>
  <c r="X228" i="16"/>
  <c r="X224" i="16"/>
  <c r="X212" i="16"/>
  <c r="X208" i="16"/>
  <c r="X196" i="16"/>
  <c r="X192" i="16"/>
  <c r="X180" i="16"/>
  <c r="X176" i="16"/>
  <c r="X164" i="16"/>
  <c r="X162" i="16"/>
  <c r="X154" i="16"/>
  <c r="X152" i="16"/>
  <c r="X144" i="16"/>
  <c r="X140" i="16"/>
  <c r="X132" i="16"/>
  <c r="X130" i="16"/>
  <c r="X122" i="16"/>
  <c r="X120" i="16"/>
  <c r="X112" i="16"/>
  <c r="X108" i="16"/>
  <c r="X100" i="16"/>
  <c r="X98" i="16"/>
  <c r="X90" i="16"/>
  <c r="X88" i="16"/>
  <c r="X80" i="16"/>
  <c r="X76" i="16"/>
  <c r="X68" i="16"/>
  <c r="X66" i="16"/>
  <c r="X58" i="16"/>
  <c r="X56" i="16"/>
  <c r="X48" i="16"/>
  <c r="X44" i="16"/>
  <c r="X36" i="16"/>
  <c r="X34" i="16"/>
  <c r="X26" i="16"/>
  <c r="X24" i="16"/>
  <c r="X16" i="16"/>
  <c r="X12" i="16"/>
  <c r="X4" i="16"/>
  <c r="X2" i="16"/>
  <c r="X951" i="16"/>
  <c r="X943" i="16"/>
  <c r="X911" i="16"/>
  <c r="X895" i="16"/>
  <c r="X1113" i="16"/>
  <c r="X1109" i="16"/>
  <c r="X886" i="16"/>
  <c r="X882" i="16"/>
  <c r="X866" i="16"/>
  <c r="X858" i="16"/>
  <c r="X842" i="16"/>
  <c r="X838" i="16"/>
  <c r="X822" i="16"/>
  <c r="X818" i="16"/>
  <c r="X802" i="16"/>
  <c r="X794" i="16"/>
  <c r="X778" i="16"/>
  <c r="X774" i="16"/>
  <c r="X758" i="16"/>
  <c r="X754" i="16"/>
  <c r="X738" i="16"/>
  <c r="X730" i="16"/>
  <c r="X714" i="16"/>
  <c r="X710" i="16"/>
  <c r="X694" i="16"/>
  <c r="X690" i="16"/>
  <c r="X674" i="16"/>
  <c r="X666" i="16"/>
  <c r="X650" i="16"/>
  <c r="X646" i="16"/>
  <c r="X630" i="16"/>
  <c r="X626" i="16"/>
  <c r="X610" i="16"/>
  <c r="X602" i="16"/>
  <c r="X586" i="16"/>
  <c r="X582" i="16"/>
  <c r="X566" i="16"/>
  <c r="X562" i="16"/>
  <c r="X546" i="16"/>
  <c r="X538" i="16"/>
  <c r="X1091" i="16"/>
  <c r="X1086" i="16"/>
  <c r="X1073" i="16"/>
  <c r="X1070" i="16"/>
  <c r="X1054" i="16"/>
  <c r="X1046" i="16"/>
  <c r="X1030" i="16"/>
  <c r="X1025" i="16"/>
  <c r="X1009" i="16"/>
  <c r="X1006" i="16"/>
  <c r="X990" i="16"/>
  <c r="X530" i="16"/>
  <c r="X514" i="16"/>
  <c r="X509" i="16"/>
  <c r="X965" i="16"/>
  <c r="X957" i="16"/>
  <c r="X925" i="16"/>
  <c r="X909" i="16"/>
  <c r="X1124" i="16"/>
  <c r="X1116" i="16"/>
  <c r="X1100" i="16"/>
  <c r="X1096" i="16"/>
  <c r="X873" i="16"/>
  <c r="X865" i="16"/>
  <c r="X849" i="16"/>
  <c r="X845" i="16"/>
  <c r="X829" i="16"/>
  <c r="X825" i="16"/>
  <c r="X809" i="16"/>
  <c r="X801" i="16"/>
  <c r="X785" i="16"/>
  <c r="X781" i="16"/>
  <c r="X765" i="16"/>
  <c r="X761" i="16"/>
  <c r="X745" i="16"/>
  <c r="X737" i="16"/>
  <c r="X721" i="16"/>
  <c r="X717" i="16"/>
  <c r="X701" i="16"/>
  <c r="X697" i="16"/>
  <c r="X681" i="16"/>
  <c r="X673" i="16"/>
  <c r="X657" i="16"/>
  <c r="X653" i="16"/>
  <c r="X637" i="16"/>
  <c r="X633" i="16"/>
  <c r="X617" i="16"/>
  <c r="X609" i="16"/>
  <c r="X593" i="16"/>
  <c r="X589" i="16"/>
  <c r="X573" i="16"/>
  <c r="X569" i="16"/>
  <c r="X553" i="16"/>
  <c r="X545" i="16"/>
  <c r="X1136" i="16"/>
  <c r="X1093" i="16"/>
  <c r="X1080" i="16"/>
  <c r="X1075" i="16"/>
  <c r="X1059" i="16"/>
  <c r="X1051" i="16"/>
  <c r="X1035" i="16"/>
  <c r="X1032" i="16"/>
  <c r="X1016" i="16"/>
  <c r="X1011" i="16"/>
  <c r="X995" i="16"/>
  <c r="X987" i="16"/>
  <c r="X519" i="16"/>
  <c r="X516" i="16"/>
  <c r="X501" i="16"/>
  <c r="X499" i="16"/>
  <c r="X491" i="16"/>
  <c r="X487" i="16"/>
  <c r="X479" i="16"/>
  <c r="X477" i="16"/>
  <c r="X469" i="16"/>
  <c r="X467" i="16"/>
  <c r="X459" i="16"/>
  <c r="X455" i="16"/>
  <c r="X447" i="16"/>
  <c r="X445" i="16"/>
  <c r="X437" i="16"/>
  <c r="X435" i="16"/>
  <c r="X427" i="16"/>
  <c r="X423" i="16"/>
  <c r="X415" i="16"/>
  <c r="X413" i="16"/>
  <c r="X405" i="16"/>
  <c r="X403" i="16"/>
  <c r="X395" i="16"/>
  <c r="X391" i="16"/>
  <c r="X383" i="16"/>
  <c r="X381" i="16"/>
  <c r="X373" i="16"/>
  <c r="X371" i="16"/>
  <c r="X363" i="16"/>
  <c r="X359" i="16"/>
  <c r="X351" i="16"/>
  <c r="X349" i="16"/>
  <c r="X341" i="16"/>
  <c r="X339" i="16"/>
  <c r="X331" i="16"/>
  <c r="X327" i="16"/>
  <c r="X319" i="16"/>
  <c r="X317" i="16"/>
  <c r="X309" i="16"/>
  <c r="X307" i="16"/>
  <c r="X299" i="16"/>
  <c r="X295" i="16"/>
  <c r="X287" i="16"/>
  <c r="X285" i="16"/>
  <c r="X277" i="16"/>
  <c r="X275" i="16"/>
  <c r="X267" i="16"/>
  <c r="X263" i="16"/>
  <c r="X255" i="16"/>
  <c r="X253" i="16"/>
  <c r="X245" i="16"/>
  <c r="X243" i="16"/>
  <c r="X235" i="16"/>
  <c r="X231" i="16"/>
  <c r="X223" i="16"/>
  <c r="X221" i="16"/>
  <c r="X213" i="16"/>
  <c r="X211" i="16"/>
  <c r="X203" i="16"/>
  <c r="X199" i="16"/>
  <c r="X191" i="16"/>
  <c r="X189" i="16"/>
  <c r="X181" i="16"/>
  <c r="X179" i="16"/>
  <c r="X171" i="16"/>
  <c r="X167" i="16"/>
  <c r="X159" i="16"/>
  <c r="X157" i="16"/>
  <c r="X149" i="16"/>
  <c r="X147" i="16"/>
  <c r="X139" i="16"/>
  <c r="X135" i="16"/>
  <c r="X127" i="16"/>
  <c r="X125" i="16"/>
  <c r="X117" i="16"/>
  <c r="X115" i="16"/>
  <c r="X107" i="16"/>
  <c r="X103" i="16"/>
  <c r="X95" i="16"/>
  <c r="X93" i="16"/>
  <c r="X85" i="16"/>
  <c r="X83" i="16"/>
  <c r="X75" i="16"/>
  <c r="X71" i="16"/>
  <c r="X63" i="16"/>
  <c r="X61" i="16"/>
  <c r="X53" i="16"/>
  <c r="X51" i="16"/>
  <c r="X43" i="16"/>
  <c r="X39" i="16"/>
  <c r="X31" i="16"/>
  <c r="X29" i="16"/>
  <c r="X21" i="16"/>
  <c r="X19" i="16"/>
  <c r="X11" i="16"/>
  <c r="X7" i="16"/>
  <c r="X971" i="16"/>
  <c r="X963" i="16"/>
  <c r="X931" i="16"/>
  <c r="X923" i="16"/>
  <c r="X891" i="16"/>
  <c r="X1122" i="16"/>
  <c r="X1103" i="16"/>
  <c r="X1099" i="16"/>
  <c r="X876" i="16"/>
  <c r="X872" i="16"/>
  <c r="X856" i="16"/>
  <c r="X848" i="16"/>
  <c r="X832" i="16"/>
  <c r="X828" i="16"/>
  <c r="X812" i="16"/>
  <c r="X808" i="16"/>
  <c r="X792" i="16"/>
  <c r="X784" i="16"/>
  <c r="X768" i="16"/>
  <c r="X764" i="16"/>
  <c r="X748" i="16"/>
  <c r="X744" i="16"/>
  <c r="X728" i="16"/>
  <c r="X720" i="16"/>
  <c r="X704" i="16"/>
  <c r="X700" i="16"/>
  <c r="X684" i="16"/>
  <c r="X680" i="16"/>
  <c r="X664" i="16"/>
  <c r="X656" i="16"/>
  <c r="X640" i="16"/>
  <c r="X636" i="16"/>
  <c r="X620" i="16"/>
  <c r="X616" i="16"/>
  <c r="X600" i="16"/>
  <c r="X592" i="16"/>
  <c r="X576" i="16"/>
  <c r="X572" i="16"/>
  <c r="X556" i="16"/>
  <c r="X552" i="16"/>
  <c r="X536" i="16"/>
  <c r="X1138" i="16"/>
  <c r="X1082" i="16"/>
  <c r="X531" i="16"/>
  <c r="X1066" i="16"/>
  <c r="X1061" i="16"/>
  <c r="X1045" i="16"/>
  <c r="X1037" i="16"/>
  <c r="X1021" i="16"/>
  <c r="X1018" i="16"/>
  <c r="X1002" i="16"/>
  <c r="X997" i="16"/>
  <c r="X529" i="16"/>
  <c r="X521" i="16"/>
  <c r="X505" i="16"/>
  <c r="U8" i="13"/>
  <c r="U24" i="13"/>
  <c r="U40" i="13"/>
  <c r="U56" i="13"/>
  <c r="U72" i="13"/>
  <c r="U88" i="13"/>
  <c r="U104" i="13"/>
  <c r="U120" i="13"/>
  <c r="U136" i="13"/>
  <c r="U152" i="13"/>
  <c r="U168" i="13"/>
  <c r="U184" i="13"/>
  <c r="U200" i="13"/>
  <c r="U216" i="13"/>
  <c r="U232" i="13"/>
  <c r="U248" i="13"/>
  <c r="U264" i="13"/>
  <c r="U280" i="13"/>
  <c r="U296" i="13"/>
  <c r="U312" i="13"/>
  <c r="U328" i="13"/>
  <c r="U344" i="13"/>
  <c r="U360" i="13"/>
  <c r="U376" i="13"/>
  <c r="U392" i="13"/>
  <c r="U408" i="13"/>
  <c r="U424" i="13"/>
  <c r="U440" i="13"/>
  <c r="U456" i="13"/>
  <c r="U472" i="13"/>
  <c r="U488" i="13"/>
  <c r="U504" i="13"/>
  <c r="U520" i="13"/>
  <c r="U536" i="13"/>
  <c r="U552" i="13"/>
  <c r="U568" i="13"/>
  <c r="U584" i="13"/>
  <c r="U600" i="13"/>
  <c r="U616" i="13"/>
  <c r="U632" i="13"/>
  <c r="U648" i="13"/>
  <c r="U664" i="13"/>
  <c r="U680" i="13"/>
  <c r="U696" i="13"/>
  <c r="U712" i="13"/>
  <c r="U728" i="13"/>
  <c r="U736" i="13"/>
  <c r="U752" i="13"/>
  <c r="U768" i="13"/>
  <c r="U784" i="13"/>
  <c r="U812" i="13"/>
  <c r="U828" i="13"/>
  <c r="U844" i="13"/>
  <c r="U860" i="13"/>
  <c r="U876" i="13"/>
  <c r="U892" i="13"/>
  <c r="U908" i="13"/>
  <c r="U924" i="13"/>
  <c r="U940" i="13"/>
  <c r="U7" i="13"/>
  <c r="U23" i="13"/>
  <c r="U39" i="13"/>
  <c r="U55" i="13"/>
  <c r="U71" i="13"/>
  <c r="U87" i="13"/>
  <c r="U103" i="13"/>
  <c r="U119" i="13"/>
  <c r="U135" i="13"/>
  <c r="U151" i="13"/>
  <c r="U167" i="13"/>
  <c r="U183" i="13"/>
  <c r="U199" i="13"/>
  <c r="U215" i="13"/>
  <c r="U231" i="13"/>
  <c r="U247" i="13"/>
  <c r="U263" i="13"/>
  <c r="U279" i="13"/>
  <c r="U295" i="13"/>
  <c r="U311" i="13"/>
  <c r="U327" i="13"/>
  <c r="U343" i="13"/>
  <c r="U359" i="13"/>
  <c r="U375" i="13"/>
  <c r="U391" i="13"/>
  <c r="U407" i="13"/>
  <c r="U423" i="13"/>
  <c r="U439" i="13"/>
  <c r="U455" i="13"/>
  <c r="U471" i="13"/>
  <c r="U487" i="13"/>
  <c r="U503" i="13"/>
  <c r="U519" i="13"/>
  <c r="U535" i="13"/>
  <c r="U551" i="13"/>
  <c r="U567" i="13"/>
  <c r="U583" i="13"/>
  <c r="U599" i="13"/>
  <c r="U615" i="13"/>
  <c r="U631" i="13"/>
  <c r="U647" i="13"/>
  <c r="U663" i="13"/>
  <c r="U679" i="13"/>
  <c r="U695" i="13"/>
  <c r="U711" i="13"/>
  <c r="U727" i="13"/>
  <c r="U735" i="13"/>
  <c r="U751" i="13"/>
  <c r="U767" i="13"/>
  <c r="U783" i="13"/>
  <c r="U811" i="13"/>
  <c r="U827" i="13"/>
  <c r="U843" i="13"/>
  <c r="U859" i="13"/>
  <c r="U875" i="13"/>
  <c r="U891" i="13"/>
  <c r="U907" i="13"/>
  <c r="U923" i="13"/>
  <c r="U939" i="13"/>
  <c r="T373" i="12"/>
  <c r="T365" i="12"/>
  <c r="T361" i="12"/>
  <c r="T357" i="12"/>
  <c r="T349" i="12"/>
  <c r="T345" i="12"/>
  <c r="T341" i="12"/>
  <c r="T333" i="12"/>
  <c r="T329" i="12"/>
  <c r="T325" i="12"/>
  <c r="T317" i="12"/>
  <c r="T313" i="12"/>
  <c r="T309" i="12"/>
  <c r="T301" i="12"/>
  <c r="T297" i="12"/>
  <c r="T293" i="12"/>
  <c r="T285" i="12"/>
  <c r="T281" i="12"/>
  <c r="T277" i="12"/>
  <c r="T269" i="12"/>
  <c r="T265" i="12"/>
  <c r="T261" i="12"/>
  <c r="T253" i="12"/>
  <c r="T249" i="12"/>
  <c r="T245" i="12"/>
  <c r="T237" i="12"/>
  <c r="T233" i="12"/>
  <c r="T229" i="12"/>
  <c r="T221" i="12"/>
  <c r="T217" i="12"/>
  <c r="T213" i="12"/>
  <c r="T205" i="12"/>
  <c r="T201" i="12"/>
  <c r="T197" i="12"/>
  <c r="T189" i="12"/>
  <c r="T185" i="12"/>
  <c r="T181" i="12"/>
  <c r="T173" i="12"/>
  <c r="T169" i="12"/>
  <c r="T165" i="12"/>
  <c r="T157" i="12"/>
  <c r="T153" i="12"/>
  <c r="T149" i="12"/>
  <c r="T141" i="12"/>
  <c r="T137" i="12"/>
  <c r="T133" i="12"/>
  <c r="T125" i="12"/>
  <c r="T121" i="12"/>
  <c r="T117" i="12"/>
  <c r="T109" i="12"/>
  <c r="T105" i="12"/>
  <c r="T101" i="12"/>
  <c r="T93" i="12"/>
  <c r="T89" i="12"/>
  <c r="T85" i="12"/>
  <c r="T77" i="12"/>
  <c r="T73" i="12"/>
  <c r="T69" i="12"/>
  <c r="T61" i="12"/>
  <c r="T57" i="12"/>
  <c r="T53" i="12"/>
  <c r="T45" i="12"/>
  <c r="T41" i="12"/>
  <c r="T37" i="12"/>
  <c r="T29" i="12"/>
  <c r="T25" i="12"/>
  <c r="T21" i="12"/>
  <c r="T13" i="12"/>
  <c r="T9" i="12"/>
  <c r="T376" i="12"/>
  <c r="T368" i="12"/>
  <c r="T364" i="12"/>
  <c r="T360" i="12"/>
  <c r="T352" i="12"/>
  <c r="T348" i="12"/>
  <c r="T344" i="12"/>
  <c r="T336" i="12"/>
  <c r="T332" i="12"/>
  <c r="T328" i="12"/>
  <c r="T320" i="12"/>
  <c r="T316" i="12"/>
  <c r="T312" i="12"/>
  <c r="T304" i="12"/>
  <c r="T300" i="12"/>
  <c r="T296" i="12"/>
  <c r="T288" i="12"/>
  <c r="T284" i="12"/>
  <c r="T280" i="12"/>
  <c r="T272" i="12"/>
  <c r="T268" i="12"/>
  <c r="T264" i="12"/>
  <c r="T256" i="12"/>
  <c r="T252" i="12"/>
  <c r="T248" i="12"/>
  <c r="T240" i="12"/>
  <c r="T236" i="12"/>
  <c r="T232" i="12"/>
  <c r="T224" i="12"/>
  <c r="T220" i="12"/>
  <c r="T216" i="12"/>
  <c r="T208" i="12"/>
  <c r="T204" i="12"/>
  <c r="T200" i="12"/>
  <c r="T192" i="12"/>
  <c r="T188" i="12"/>
  <c r="T184" i="12"/>
  <c r="T176" i="12"/>
  <c r="T172" i="12"/>
  <c r="T168" i="12"/>
  <c r="T160" i="12"/>
  <c r="T156" i="12"/>
  <c r="T152" i="12"/>
  <c r="T144" i="12"/>
  <c r="T140" i="12"/>
  <c r="T136" i="12"/>
  <c r="T128" i="12"/>
  <c r="T124" i="12"/>
  <c r="T120" i="12"/>
  <c r="T112" i="12"/>
  <c r="T108" i="12"/>
  <c r="T104" i="12"/>
  <c r="T96" i="12"/>
  <c r="T92" i="12"/>
  <c r="T88" i="12"/>
  <c r="T80" i="12"/>
  <c r="T76" i="12"/>
  <c r="T72" i="12"/>
  <c r="T64" i="12"/>
  <c r="T60" i="12"/>
  <c r="T56" i="12"/>
  <c r="T48" i="12"/>
  <c r="T44" i="12"/>
  <c r="T40" i="12"/>
  <c r="T32" i="12"/>
  <c r="T28" i="12"/>
  <c r="T24" i="12"/>
  <c r="T16" i="12"/>
  <c r="T12" i="12"/>
  <c r="T8" i="12"/>
  <c r="T374" i="12"/>
  <c r="T366" i="12"/>
  <c r="T358" i="12"/>
  <c r="T342" i="12"/>
  <c r="T334" i="12"/>
  <c r="T326" i="12"/>
  <c r="T310" i="12"/>
  <c r="T302" i="12"/>
  <c r="T294" i="12"/>
  <c r="T278" i="12"/>
  <c r="T270" i="12"/>
  <c r="T262" i="12"/>
  <c r="T246" i="12"/>
  <c r="T238" i="12"/>
  <c r="T230" i="12"/>
  <c r="T214" i="12"/>
  <c r="T206" i="12"/>
  <c r="T198" i="12"/>
  <c r="T182" i="12"/>
  <c r="T174" i="12"/>
  <c r="T166" i="12"/>
  <c r="T150" i="12"/>
  <c r="T142" i="12"/>
  <c r="T134" i="12"/>
  <c r="T118" i="12"/>
  <c r="T110" i="12"/>
  <c r="T102" i="12"/>
  <c r="T94" i="12"/>
  <c r="T86" i="12"/>
  <c r="T78" i="12"/>
  <c r="T70" i="12"/>
  <c r="T62" i="12"/>
  <c r="T54" i="12"/>
  <c r="T46" i="12"/>
  <c r="T38" i="12"/>
  <c r="T30" i="12"/>
  <c r="T22" i="12"/>
  <c r="T14" i="12"/>
  <c r="T6" i="12"/>
  <c r="T371" i="12"/>
  <c r="T363" i="12"/>
  <c r="T355" i="12"/>
  <c r="T347" i="12"/>
  <c r="T339" i="12"/>
  <c r="T331" i="12"/>
  <c r="T323" i="12"/>
  <c r="T315" i="12"/>
  <c r="T307" i="12"/>
  <c r="T299" i="12"/>
  <c r="T291" i="12"/>
  <c r="T283" i="12"/>
  <c r="T275" i="12"/>
  <c r="T267" i="12"/>
  <c r="T259" i="12"/>
  <c r="T251" i="12"/>
  <c r="T243" i="12"/>
  <c r="T235" i="12"/>
  <c r="T227" i="12"/>
  <c r="T219" i="12"/>
  <c r="T211" i="12"/>
  <c r="T203" i="12"/>
  <c r="T195" i="12"/>
  <c r="T187" i="12"/>
  <c r="T179" i="12"/>
  <c r="T171" i="12"/>
  <c r="T163" i="12"/>
  <c r="T155" i="12"/>
  <c r="T147" i="12"/>
  <c r="T139" i="12"/>
  <c r="T131" i="12"/>
  <c r="T123" i="12"/>
  <c r="T115" i="12"/>
  <c r="T107" i="12"/>
  <c r="T99" i="12"/>
  <c r="T91" i="12"/>
  <c r="T83" i="12"/>
  <c r="T75" i="12"/>
  <c r="T67" i="12"/>
  <c r="T59" i="12"/>
  <c r="T51" i="12"/>
  <c r="T43" i="12"/>
  <c r="T35" i="12"/>
  <c r="T27" i="12"/>
  <c r="T19" i="12"/>
  <c r="T11" i="12"/>
  <c r="T5" i="12"/>
  <c r="T375" i="12"/>
  <c r="T367" i="12"/>
  <c r="T359" i="12"/>
  <c r="T351" i="12"/>
  <c r="T343" i="12"/>
  <c r="T335" i="12"/>
  <c r="T327" i="12"/>
  <c r="T319" i="12"/>
  <c r="T311" i="12"/>
  <c r="T303" i="12"/>
  <c r="T295" i="12"/>
  <c r="T287" i="12"/>
  <c r="T279" i="12"/>
  <c r="T271" i="12"/>
  <c r="T263" i="12"/>
  <c r="T255" i="12"/>
  <c r="T247" i="12"/>
  <c r="T239" i="12"/>
  <c r="T231" i="12"/>
  <c r="T223" i="12"/>
  <c r="T215" i="12"/>
  <c r="T207" i="12"/>
  <c r="T199" i="12"/>
  <c r="T191" i="12"/>
  <c r="T183" i="12"/>
  <c r="T175" i="12"/>
  <c r="T167" i="12"/>
  <c r="T159" i="12"/>
  <c r="T151" i="12"/>
  <c r="T143" i="12"/>
  <c r="T135" i="12"/>
  <c r="T127" i="12"/>
  <c r="T119" i="12"/>
  <c r="T111" i="12"/>
  <c r="T103" i="12"/>
  <c r="T95" i="12"/>
  <c r="T87" i="12"/>
  <c r="T79" i="12"/>
  <c r="T71" i="12"/>
  <c r="T63" i="12"/>
  <c r="T55" i="12"/>
  <c r="T47" i="12"/>
  <c r="T39" i="12"/>
  <c r="T31" i="12"/>
  <c r="T23" i="12"/>
  <c r="T15" i="12"/>
  <c r="T7" i="12"/>
  <c r="T2" i="12"/>
  <c r="T362" i="12"/>
  <c r="T330" i="12"/>
  <c r="T298" i="12"/>
  <c r="T266" i="12"/>
  <c r="T234" i="12"/>
  <c r="T202" i="12"/>
  <c r="T170" i="12"/>
  <c r="T138" i="12"/>
  <c r="T106" i="12"/>
  <c r="T74" i="12"/>
  <c r="T42" i="12"/>
  <c r="T10" i="12"/>
  <c r="T354" i="12"/>
  <c r="T322" i="12"/>
  <c r="T290" i="12"/>
  <c r="T258" i="12"/>
  <c r="T226" i="12"/>
  <c r="T194" i="12"/>
  <c r="T162" i="12"/>
  <c r="T130" i="12"/>
  <c r="T98" i="12"/>
  <c r="T66" i="12"/>
  <c r="T34" i="12"/>
  <c r="T3" i="12"/>
  <c r="T346" i="12"/>
  <c r="T314" i="12"/>
  <c r="T282" i="12"/>
  <c r="T250" i="12"/>
  <c r="T218" i="12"/>
  <c r="T186" i="12"/>
  <c r="T154" i="12"/>
  <c r="T122" i="12"/>
  <c r="T90" i="12"/>
  <c r="T58" i="12"/>
  <c r="T26" i="12"/>
  <c r="T370" i="12"/>
  <c r="T338" i="12"/>
  <c r="T306" i="12"/>
  <c r="T274" i="12"/>
  <c r="T242" i="12"/>
  <c r="T210" i="12"/>
  <c r="T178" i="12"/>
  <c r="T146" i="12"/>
  <c r="T114" i="12"/>
  <c r="T82" i="12"/>
  <c r="T50" i="12"/>
  <c r="T18" i="12"/>
  <c r="A24" i="7"/>
  <c r="B89" i="15"/>
  <c r="U12" i="13"/>
  <c r="U28" i="13"/>
  <c r="U44" i="13"/>
  <c r="U60" i="13"/>
  <c r="U76" i="13"/>
  <c r="U92" i="13"/>
  <c r="U108" i="13"/>
  <c r="U124" i="13"/>
  <c r="U140" i="13"/>
  <c r="U156" i="13"/>
  <c r="U172" i="13"/>
  <c r="U188" i="13"/>
  <c r="U204" i="13"/>
  <c r="U220" i="13"/>
  <c r="U236" i="13"/>
  <c r="U252" i="13"/>
  <c r="U268" i="13"/>
  <c r="U284" i="13"/>
  <c r="U300" i="13"/>
  <c r="U316" i="13"/>
  <c r="U332" i="13"/>
  <c r="U348" i="13"/>
  <c r="U364" i="13"/>
  <c r="U380" i="13"/>
  <c r="U396" i="13"/>
  <c r="U412" i="13"/>
  <c r="U428" i="13"/>
  <c r="U444" i="13"/>
  <c r="U460" i="13"/>
  <c r="U476" i="13"/>
  <c r="U492" i="13"/>
  <c r="U508" i="13"/>
  <c r="U524" i="13"/>
  <c r="U540" i="13"/>
  <c r="U556" i="13"/>
  <c r="U572" i="13"/>
  <c r="U588" i="13"/>
  <c r="U604" i="13"/>
  <c r="U620" i="13"/>
  <c r="U636" i="13"/>
  <c r="U652" i="13"/>
  <c r="U668" i="13"/>
  <c r="U684" i="13"/>
  <c r="U700" i="13"/>
  <c r="U716" i="13"/>
  <c r="U732" i="13"/>
  <c r="U740" i="13"/>
  <c r="U756" i="13"/>
  <c r="U772" i="13"/>
  <c r="U800" i="13"/>
  <c r="U816" i="13"/>
  <c r="U832" i="13"/>
  <c r="U848" i="13"/>
  <c r="U864" i="13"/>
  <c r="U880" i="13"/>
  <c r="U896" i="13"/>
  <c r="U912" i="13"/>
  <c r="U928" i="13"/>
  <c r="U11" i="13"/>
  <c r="U27" i="13"/>
  <c r="U43" i="13"/>
  <c r="U59" i="13"/>
  <c r="U75" i="13"/>
  <c r="U91" i="13"/>
  <c r="U107" i="13"/>
  <c r="U123" i="13"/>
  <c r="U139" i="13"/>
  <c r="U155" i="13"/>
  <c r="U171" i="13"/>
  <c r="U187" i="13"/>
  <c r="U203" i="13"/>
  <c r="U219" i="13"/>
  <c r="U235" i="13"/>
  <c r="U251" i="13"/>
  <c r="U267" i="13"/>
  <c r="U283" i="13"/>
  <c r="U299" i="13"/>
  <c r="U315" i="13"/>
  <c r="U331" i="13"/>
  <c r="U347" i="13"/>
  <c r="U363" i="13"/>
  <c r="U379" i="13"/>
  <c r="U395" i="13"/>
  <c r="U411" i="13"/>
  <c r="U427" i="13"/>
  <c r="U443" i="13"/>
  <c r="U459" i="13"/>
  <c r="U475" i="13"/>
  <c r="U491" i="13"/>
  <c r="U507" i="13"/>
  <c r="U523" i="13"/>
  <c r="U539" i="13"/>
  <c r="U555" i="13"/>
  <c r="U571" i="13"/>
  <c r="U587" i="13"/>
  <c r="U603" i="13"/>
  <c r="U619" i="13"/>
  <c r="U635" i="13"/>
  <c r="U651" i="13"/>
  <c r="U667" i="13"/>
  <c r="U683" i="13"/>
  <c r="U699" i="13"/>
  <c r="U715" i="13"/>
  <c r="U731" i="13"/>
  <c r="U739" i="13"/>
  <c r="U755" i="13"/>
  <c r="U771" i="13"/>
  <c r="U799" i="13"/>
  <c r="U815" i="13"/>
  <c r="U831" i="13"/>
  <c r="U847" i="13"/>
  <c r="U863" i="13"/>
  <c r="U879" i="13"/>
  <c r="U895" i="13"/>
  <c r="U911" i="13"/>
  <c r="U927" i="13"/>
  <c r="U787" i="13"/>
  <c r="V176" i="12"/>
  <c r="V172" i="12"/>
  <c r="V168" i="12"/>
  <c r="V164" i="12"/>
  <c r="V160" i="12"/>
  <c r="V156" i="12"/>
  <c r="V152" i="12"/>
  <c r="V148" i="12"/>
  <c r="V144" i="12"/>
  <c r="V140" i="12"/>
  <c r="V136" i="12"/>
  <c r="V132" i="12"/>
  <c r="V128" i="12"/>
  <c r="V124" i="12"/>
  <c r="V120" i="12"/>
  <c r="V116" i="12"/>
  <c r="V112" i="12"/>
  <c r="V108" i="12"/>
  <c r="V104" i="12"/>
  <c r="V100" i="12"/>
  <c r="V96" i="12"/>
  <c r="V92" i="12"/>
  <c r="V88" i="12"/>
  <c r="V84" i="12"/>
  <c r="V80" i="12"/>
  <c r="V76" i="12"/>
  <c r="V72" i="12"/>
  <c r="V68" i="12"/>
  <c r="V64" i="12"/>
  <c r="V60" i="12"/>
  <c r="V56" i="12"/>
  <c r="V52" i="12"/>
  <c r="V48" i="12"/>
  <c r="V44" i="12"/>
  <c r="V40" i="12"/>
  <c r="V36" i="12"/>
  <c r="V32" i="12"/>
  <c r="V28" i="12"/>
  <c r="V24" i="12"/>
  <c r="V20" i="12"/>
  <c r="V16" i="12"/>
  <c r="V12" i="12"/>
  <c r="V8" i="12"/>
  <c r="V4" i="12"/>
  <c r="V173" i="12"/>
  <c r="V167" i="12"/>
  <c r="V162" i="12"/>
  <c r="V157" i="12"/>
  <c r="V151" i="12"/>
  <c r="V146" i="12"/>
  <c r="V141" i="12"/>
  <c r="V135" i="12"/>
  <c r="V130" i="12"/>
  <c r="V125" i="12"/>
  <c r="V119" i="12"/>
  <c r="V114" i="12"/>
  <c r="V109" i="12"/>
  <c r="V103" i="12"/>
  <c r="V98" i="12"/>
  <c r="V93" i="12"/>
  <c r="V87" i="12"/>
  <c r="V82" i="12"/>
  <c r="V77" i="12"/>
  <c r="V71" i="12"/>
  <c r="V66" i="12"/>
  <c r="V61" i="12"/>
  <c r="V55" i="12"/>
  <c r="V50" i="12"/>
  <c r="V45" i="12"/>
  <c r="V39" i="12"/>
  <c r="V34" i="12"/>
  <c r="V29" i="12"/>
  <c r="V23" i="12"/>
  <c r="V18" i="12"/>
  <c r="V13" i="12"/>
  <c r="V7" i="12"/>
  <c r="V2" i="12"/>
  <c r="V171" i="12"/>
  <c r="V166" i="12"/>
  <c r="V161" i="12"/>
  <c r="V155" i="12"/>
  <c r="V150" i="12"/>
  <c r="V145" i="12"/>
  <c r="V139" i="12"/>
  <c r="V134" i="12"/>
  <c r="V129" i="12"/>
  <c r="V123" i="12"/>
  <c r="V118" i="12"/>
  <c r="V113" i="12"/>
  <c r="V107" i="12"/>
  <c r="V102" i="12"/>
  <c r="V97" i="12"/>
  <c r="V91" i="12"/>
  <c r="V86" i="12"/>
  <c r="V81" i="12"/>
  <c r="V75" i="12"/>
  <c r="V70" i="12"/>
  <c r="V65" i="12"/>
  <c r="V59" i="12"/>
  <c r="V54" i="12"/>
  <c r="V49" i="12"/>
  <c r="V43" i="12"/>
  <c r="V38" i="12"/>
  <c r="V33" i="12"/>
  <c r="V27" i="12"/>
  <c r="V22" i="12"/>
  <c r="V17" i="12"/>
  <c r="V11" i="12"/>
  <c r="V6" i="12"/>
  <c r="V175" i="12"/>
  <c r="V170" i="12"/>
  <c r="V165" i="12"/>
  <c r="V159" i="12"/>
  <c r="V154" i="12"/>
  <c r="V149" i="12"/>
  <c r="V143" i="12"/>
  <c r="V138" i="12"/>
  <c r="V133" i="12"/>
  <c r="V127" i="12"/>
  <c r="V122" i="12"/>
  <c r="V117" i="12"/>
  <c r="V111" i="12"/>
  <c r="V106" i="12"/>
  <c r="V101" i="12"/>
  <c r="V95" i="12"/>
  <c r="V90" i="12"/>
  <c r="V85" i="12"/>
  <c r="V79" i="12"/>
  <c r="V74" i="12"/>
  <c r="V69" i="12"/>
  <c r="V63" i="12"/>
  <c r="V58" i="12"/>
  <c r="V53" i="12"/>
  <c r="V47" i="12"/>
  <c r="V42" i="12"/>
  <c r="V37" i="12"/>
  <c r="V31" i="12"/>
  <c r="V26" i="12"/>
  <c r="V21" i="12"/>
  <c r="V15" i="12"/>
  <c r="V10" i="12"/>
  <c r="V5" i="12"/>
  <c r="V174" i="12"/>
  <c r="V169" i="12"/>
  <c r="V163" i="12"/>
  <c r="V158" i="12"/>
  <c r="V153" i="12"/>
  <c r="V147" i="12"/>
  <c r="V142" i="12"/>
  <c r="V137" i="12"/>
  <c r="V131" i="12"/>
  <c r="V126" i="12"/>
  <c r="V121" i="12"/>
  <c r="V115" i="12"/>
  <c r="V110" i="12"/>
  <c r="V105" i="12"/>
  <c r="V99" i="12"/>
  <c r="V94" i="12"/>
  <c r="V89" i="12"/>
  <c r="V83" i="12"/>
  <c r="V78" i="12"/>
  <c r="V73" i="12"/>
  <c r="V67" i="12"/>
  <c r="V62" i="12"/>
  <c r="V57" i="12"/>
  <c r="V51" i="12"/>
  <c r="V46" i="12"/>
  <c r="V41" i="12"/>
  <c r="V35" i="12"/>
  <c r="V30" i="12"/>
  <c r="V25" i="12"/>
  <c r="V19" i="12"/>
  <c r="V14" i="12"/>
  <c r="V9" i="12"/>
  <c r="V3" i="12"/>
  <c r="A23" i="8"/>
  <c r="U16" i="13"/>
  <c r="U32" i="13"/>
  <c r="U48" i="13"/>
  <c r="U64" i="13"/>
  <c r="U80" i="13"/>
  <c r="U96" i="13"/>
  <c r="U112" i="13"/>
  <c r="U128" i="13"/>
  <c r="U144" i="13"/>
  <c r="U160" i="13"/>
  <c r="U176" i="13"/>
  <c r="U192" i="13"/>
  <c r="U208" i="13"/>
  <c r="U224" i="13"/>
  <c r="U240" i="13"/>
  <c r="U256" i="13"/>
  <c r="U272" i="13"/>
  <c r="U288" i="13"/>
  <c r="U304" i="13"/>
  <c r="U320" i="13"/>
  <c r="U336" i="13"/>
  <c r="U352" i="13"/>
  <c r="U368" i="13"/>
  <c r="U384" i="13"/>
  <c r="U400" i="13"/>
  <c r="U416" i="13"/>
  <c r="U432" i="13"/>
  <c r="U448" i="13"/>
  <c r="U464" i="13"/>
  <c r="U480" i="13"/>
  <c r="U496" i="13"/>
  <c r="U512" i="13"/>
  <c r="U528" i="13"/>
  <c r="U544" i="13"/>
  <c r="U560" i="13"/>
  <c r="U576" i="13"/>
  <c r="U592" i="13"/>
  <c r="U608" i="13"/>
  <c r="U624" i="13"/>
  <c r="U640" i="13"/>
  <c r="U656" i="13"/>
  <c r="U672" i="13"/>
  <c r="U688" i="13"/>
  <c r="U704" i="13"/>
  <c r="U720" i="13"/>
  <c r="U792" i="13"/>
  <c r="U744" i="13"/>
  <c r="U760" i="13"/>
  <c r="U776" i="13"/>
  <c r="U804" i="13"/>
  <c r="U820" i="13"/>
  <c r="U836" i="13"/>
  <c r="U852" i="13"/>
  <c r="U868" i="13"/>
  <c r="U884" i="13"/>
  <c r="U900" i="13"/>
  <c r="U916" i="13"/>
  <c r="U932" i="13"/>
  <c r="U788" i="13"/>
  <c r="U15" i="13"/>
  <c r="U31" i="13"/>
  <c r="U47" i="13"/>
  <c r="U63" i="13"/>
  <c r="U79" i="13"/>
  <c r="U95" i="13"/>
  <c r="U111" i="13"/>
  <c r="U127" i="13"/>
  <c r="U143" i="13"/>
  <c r="U159" i="13"/>
  <c r="U175" i="13"/>
  <c r="U191" i="13"/>
  <c r="U207" i="13"/>
  <c r="U223" i="13"/>
  <c r="U239" i="13"/>
  <c r="U255" i="13"/>
  <c r="U271" i="13"/>
  <c r="U287" i="13"/>
  <c r="U303" i="13"/>
  <c r="U319" i="13"/>
  <c r="U335" i="13"/>
  <c r="U351" i="13"/>
  <c r="U367" i="13"/>
  <c r="U383" i="13"/>
  <c r="U399" i="13"/>
  <c r="U415" i="13"/>
  <c r="U431" i="13"/>
  <c r="U447" i="13"/>
  <c r="U463" i="13"/>
  <c r="U479" i="13"/>
  <c r="U495" i="13"/>
  <c r="U511" i="13"/>
  <c r="U527" i="13"/>
  <c r="U543" i="13"/>
  <c r="U559" i="13"/>
  <c r="U575" i="13"/>
  <c r="U591" i="13"/>
  <c r="U607" i="13"/>
  <c r="U623" i="13"/>
  <c r="U639" i="13"/>
  <c r="U655" i="13"/>
  <c r="U671" i="13"/>
  <c r="U687" i="13"/>
  <c r="U703" i="13"/>
  <c r="U719" i="13"/>
  <c r="U791" i="13"/>
  <c r="U743" i="13"/>
  <c r="U759" i="13"/>
  <c r="U775" i="13"/>
  <c r="U803" i="13"/>
  <c r="U819" i="13"/>
  <c r="U835" i="13"/>
  <c r="U851" i="13"/>
  <c r="U867" i="13"/>
  <c r="U883" i="13"/>
  <c r="U899" i="13"/>
  <c r="U915" i="13"/>
  <c r="N4" i="12"/>
  <c r="N8" i="12"/>
  <c r="N12" i="12"/>
  <c r="N16" i="12"/>
  <c r="N20" i="12"/>
  <c r="N24" i="12"/>
  <c r="N28" i="12"/>
  <c r="N32" i="12"/>
  <c r="N36" i="12"/>
  <c r="N40" i="12"/>
  <c r="N44" i="12"/>
  <c r="N48" i="12"/>
  <c r="N52" i="12"/>
  <c r="N56" i="12"/>
  <c r="N60" i="12"/>
  <c r="N64" i="12"/>
  <c r="N68" i="12"/>
  <c r="N72" i="12"/>
  <c r="N76" i="12"/>
  <c r="N80" i="12"/>
  <c r="N84" i="12"/>
  <c r="N88" i="12"/>
  <c r="N92" i="12"/>
  <c r="N96" i="12"/>
  <c r="N100" i="12"/>
  <c r="N104" i="12"/>
  <c r="N108" i="12"/>
  <c r="N112" i="12"/>
  <c r="N116" i="12"/>
  <c r="N120" i="12"/>
  <c r="N124" i="12"/>
  <c r="N128" i="12"/>
  <c r="N132" i="12"/>
  <c r="N136" i="12"/>
  <c r="N140" i="12"/>
  <c r="N144" i="12"/>
  <c r="N148" i="12"/>
  <c r="N152" i="12"/>
  <c r="N156" i="12"/>
  <c r="N160" i="12"/>
  <c r="N164" i="12"/>
  <c r="N168" i="12"/>
  <c r="N172" i="12"/>
  <c r="N176" i="12"/>
  <c r="N2" i="12"/>
  <c r="N3" i="12"/>
  <c r="N6" i="12"/>
  <c r="N11" i="12"/>
  <c r="N10" i="12"/>
  <c r="N17" i="12"/>
  <c r="N22" i="12"/>
  <c r="N27" i="12"/>
  <c r="N33" i="12"/>
  <c r="N38" i="12"/>
  <c r="N43" i="12"/>
  <c r="N49" i="12"/>
  <c r="N54" i="12"/>
  <c r="N59" i="12"/>
  <c r="N65" i="12"/>
  <c r="N70" i="12"/>
  <c r="N75" i="12"/>
  <c r="N81" i="12"/>
  <c r="N86" i="12"/>
  <c r="N91" i="12"/>
  <c r="N97" i="12"/>
  <c r="N102" i="12"/>
  <c r="N107" i="12"/>
  <c r="N113" i="12"/>
  <c r="N118" i="12"/>
  <c r="N123" i="12"/>
  <c r="N129" i="12"/>
  <c r="N134" i="12"/>
  <c r="N139" i="12"/>
  <c r="N145" i="12"/>
  <c r="N150" i="12"/>
  <c r="N155" i="12"/>
  <c r="N161" i="12"/>
  <c r="N166" i="12"/>
  <c r="N171" i="12"/>
  <c r="N5" i="12"/>
  <c r="N13" i="12"/>
  <c r="N18" i="12"/>
  <c r="N23" i="12"/>
  <c r="N29" i="12"/>
  <c r="N34" i="12"/>
  <c r="N39" i="12"/>
  <c r="N45" i="12"/>
  <c r="N50" i="12"/>
  <c r="N55" i="12"/>
  <c r="N61" i="12"/>
  <c r="N66" i="12"/>
  <c r="N71" i="12"/>
  <c r="N77" i="12"/>
  <c r="N82" i="12"/>
  <c r="N87" i="12"/>
  <c r="N93" i="12"/>
  <c r="N98" i="12"/>
  <c r="N103" i="12"/>
  <c r="N109" i="12"/>
  <c r="N114" i="12"/>
  <c r="N119" i="12"/>
  <c r="N125" i="12"/>
  <c r="N130" i="12"/>
  <c r="N135" i="12"/>
  <c r="N141" i="12"/>
  <c r="N146" i="12"/>
  <c r="N151" i="12"/>
  <c r="N157" i="12"/>
  <c r="N162" i="12"/>
  <c r="N167" i="12"/>
  <c r="N173" i="12"/>
  <c r="N7" i="12"/>
  <c r="N14" i="12"/>
  <c r="N19" i="12"/>
  <c r="N25" i="12"/>
  <c r="N30" i="12"/>
  <c r="N35" i="12"/>
  <c r="N41" i="12"/>
  <c r="N46" i="12"/>
  <c r="N51" i="12"/>
  <c r="N57" i="12"/>
  <c r="N62" i="12"/>
  <c r="N67" i="12"/>
  <c r="N73" i="12"/>
  <c r="N78" i="12"/>
  <c r="N83" i="12"/>
  <c r="N89" i="12"/>
  <c r="N94" i="12"/>
  <c r="N99" i="12"/>
  <c r="N105" i="12"/>
  <c r="N110" i="12"/>
  <c r="N115" i="12"/>
  <c r="N121" i="12"/>
  <c r="N126" i="12"/>
  <c r="N131" i="12"/>
  <c r="N137" i="12"/>
  <c r="N142" i="12"/>
  <c r="N147" i="12"/>
  <c r="N153" i="12"/>
  <c r="N158" i="12"/>
  <c r="N163" i="12"/>
  <c r="N169" i="12"/>
  <c r="N174" i="12"/>
  <c r="N9" i="12"/>
  <c r="N15" i="12"/>
  <c r="N21" i="12"/>
  <c r="N26" i="12"/>
  <c r="N31" i="12"/>
  <c r="N37" i="12"/>
  <c r="N42" i="12"/>
  <c r="N47" i="12"/>
  <c r="N53" i="12"/>
  <c r="N58" i="12"/>
  <c r="N63" i="12"/>
  <c r="N69" i="12"/>
  <c r="N74" i="12"/>
  <c r="N79" i="12"/>
  <c r="N85" i="12"/>
  <c r="N90" i="12"/>
  <c r="N95" i="12"/>
  <c r="N101" i="12"/>
  <c r="N106" i="12"/>
  <c r="N111" i="12"/>
  <c r="N117" i="12"/>
  <c r="N122" i="12"/>
  <c r="N127" i="12"/>
  <c r="N133" i="12"/>
  <c r="N138" i="12"/>
  <c r="N143" i="12"/>
  <c r="N149" i="12"/>
  <c r="N154" i="12"/>
  <c r="N159" i="12"/>
  <c r="N165" i="12"/>
  <c r="N170" i="12"/>
  <c r="N175" i="12"/>
  <c r="D23" i="8"/>
  <c r="D21" i="8"/>
  <c r="D19" i="8"/>
  <c r="D17" i="8"/>
  <c r="D15" i="8"/>
  <c r="D13" i="8"/>
  <c r="D22" i="8"/>
  <c r="D20" i="8"/>
  <c r="D18" i="8"/>
  <c r="D16" i="8"/>
  <c r="D14" i="8"/>
  <c r="M210" i="10"/>
  <c r="M206" i="10"/>
  <c r="M202" i="10"/>
  <c r="M198" i="10"/>
  <c r="M194" i="10"/>
  <c r="M190" i="10"/>
  <c r="M186" i="10"/>
  <c r="M182" i="10"/>
  <c r="M178" i="10"/>
  <c r="M174" i="10"/>
  <c r="M103" i="10"/>
  <c r="M99" i="10"/>
  <c r="M95" i="10"/>
  <c r="M91" i="10"/>
  <c r="M87" i="10"/>
  <c r="M83" i="10"/>
  <c r="M79" i="10"/>
  <c r="M75" i="10"/>
  <c r="M71" i="10"/>
  <c r="M67" i="10"/>
  <c r="M109" i="10"/>
  <c r="M113" i="10"/>
  <c r="M117" i="10"/>
  <c r="M121" i="10"/>
  <c r="M125" i="10"/>
  <c r="M129" i="10"/>
  <c r="M133" i="10"/>
  <c r="M137" i="10"/>
  <c r="M141" i="10"/>
  <c r="M145" i="10"/>
  <c r="M149" i="10"/>
  <c r="M153" i="10"/>
  <c r="M157" i="10"/>
  <c r="M161" i="10"/>
  <c r="M165" i="10"/>
  <c r="M169" i="10"/>
  <c r="M173" i="10"/>
  <c r="M209" i="10"/>
  <c r="M205" i="10"/>
  <c r="M201" i="10"/>
  <c r="M197" i="10"/>
  <c r="M193" i="10"/>
  <c r="M189" i="10"/>
  <c r="M185" i="10"/>
  <c r="M181" i="10"/>
  <c r="M177" i="10"/>
  <c r="M106" i="10"/>
  <c r="M102" i="10"/>
  <c r="M98" i="10"/>
  <c r="M94" i="10"/>
  <c r="M90" i="10"/>
  <c r="M86" i="10"/>
  <c r="M82" i="10"/>
  <c r="M78" i="10"/>
  <c r="M74" i="10"/>
  <c r="M70" i="10"/>
  <c r="M66" i="10"/>
  <c r="M110" i="10"/>
  <c r="M114" i="10"/>
  <c r="M118" i="10"/>
  <c r="M122" i="10"/>
  <c r="M126" i="10"/>
  <c r="M130" i="10"/>
  <c r="M134" i="10"/>
  <c r="M138" i="10"/>
  <c r="M142" i="10"/>
  <c r="M146" i="10"/>
  <c r="M150" i="10"/>
  <c r="M154" i="10"/>
  <c r="M158" i="10"/>
  <c r="M162" i="10"/>
  <c r="M166" i="10"/>
  <c r="M170" i="10"/>
  <c r="M208" i="10"/>
  <c r="M204" i="10"/>
  <c r="M200" i="10"/>
  <c r="M196" i="10"/>
  <c r="M192" i="10"/>
  <c r="M188" i="10"/>
  <c r="M184" i="10"/>
  <c r="M180" i="10"/>
  <c r="M176" i="10"/>
  <c r="M105" i="10"/>
  <c r="M101" i="10"/>
  <c r="M97" i="10"/>
  <c r="M93" i="10"/>
  <c r="M89" i="10"/>
  <c r="M85" i="10"/>
  <c r="M81" i="10"/>
  <c r="M77" i="10"/>
  <c r="M73" i="10"/>
  <c r="M69" i="10"/>
  <c r="M107" i="10"/>
  <c r="M111" i="10"/>
  <c r="M115" i="10"/>
  <c r="M119" i="10"/>
  <c r="M123" i="10"/>
  <c r="M127" i="10"/>
  <c r="M131" i="10"/>
  <c r="M135" i="10"/>
  <c r="M139" i="10"/>
  <c r="M143" i="10"/>
  <c r="M147" i="10"/>
  <c r="M151" i="10"/>
  <c r="M155" i="10"/>
  <c r="M159" i="10"/>
  <c r="M163" i="10"/>
  <c r="M167" i="10"/>
  <c r="M171" i="10"/>
  <c r="M211" i="10"/>
  <c r="M207" i="10"/>
  <c r="M203" i="10"/>
  <c r="M199" i="10"/>
  <c r="M195" i="10"/>
  <c r="M191" i="10"/>
  <c r="M187" i="10"/>
  <c r="M183" i="10"/>
  <c r="M179" i="10"/>
  <c r="M175" i="10"/>
  <c r="M104" i="10"/>
  <c r="M100" i="10"/>
  <c r="M96" i="10"/>
  <c r="M92" i="10"/>
  <c r="M88" i="10"/>
  <c r="M84" i="10"/>
  <c r="M80" i="10"/>
  <c r="M76" i="10"/>
  <c r="M72" i="10"/>
  <c r="M68" i="10"/>
  <c r="M108" i="10"/>
  <c r="M112" i="10"/>
  <c r="M116" i="10"/>
  <c r="M120" i="10"/>
  <c r="M124" i="10"/>
  <c r="M128" i="10"/>
  <c r="M132" i="10"/>
  <c r="M136" i="10"/>
  <c r="M140" i="10"/>
  <c r="M144" i="10"/>
  <c r="M148" i="10"/>
  <c r="M152" i="10"/>
  <c r="M156" i="10"/>
  <c r="M160" i="10"/>
  <c r="M164" i="10"/>
  <c r="M168" i="10"/>
  <c r="M172" i="10"/>
  <c r="E34" i="11"/>
  <c r="E30" i="11"/>
  <c r="E26" i="11"/>
  <c r="E22" i="11"/>
  <c r="E18" i="11"/>
  <c r="E14" i="11"/>
  <c r="E33" i="11"/>
  <c r="E29" i="11"/>
  <c r="E25" i="11"/>
  <c r="E21" i="11"/>
  <c r="E17" i="11"/>
  <c r="E32" i="11"/>
  <c r="E28" i="11"/>
  <c r="E24" i="11"/>
  <c r="E20" i="11"/>
  <c r="E16" i="11"/>
  <c r="E31" i="11"/>
  <c r="E27" i="11"/>
  <c r="E23" i="11"/>
  <c r="E19" i="11"/>
  <c r="E15" i="11"/>
  <c r="Y981" i="16"/>
  <c r="Y979" i="16"/>
  <c r="Y977" i="16"/>
  <c r="Y975" i="16"/>
  <c r="Y973" i="16"/>
  <c r="Y971" i="16"/>
  <c r="Y969" i="16"/>
  <c r="Y967" i="16"/>
  <c r="Y965" i="16"/>
  <c r="Y963" i="16"/>
  <c r="Y961" i="16"/>
  <c r="Y959" i="16"/>
  <c r="Y957" i="16"/>
  <c r="Y955" i="16"/>
  <c r="Y953" i="16"/>
  <c r="Y951" i="16"/>
  <c r="Y949" i="16"/>
  <c r="Y947" i="16"/>
  <c r="Y945" i="16"/>
  <c r="Y943" i="16"/>
  <c r="Y941" i="16"/>
  <c r="Y939" i="16"/>
  <c r="Y937" i="16"/>
  <c r="Y935" i="16"/>
  <c r="Y933" i="16"/>
  <c r="Y931" i="16"/>
  <c r="Y929" i="16"/>
  <c r="Y927" i="16"/>
  <c r="Y925" i="16"/>
  <c r="Y923" i="16"/>
  <c r="Y921" i="16"/>
  <c r="Y919" i="16"/>
  <c r="Y917" i="16"/>
  <c r="Y915" i="16"/>
  <c r="Y913" i="16"/>
  <c r="Y911" i="16"/>
  <c r="Y909" i="16"/>
  <c r="Y907" i="16"/>
  <c r="Y905" i="16"/>
  <c r="Y903" i="16"/>
  <c r="Y901" i="16"/>
  <c r="Y899" i="16"/>
  <c r="Y897" i="16"/>
  <c r="Y895" i="16"/>
  <c r="Y893" i="16"/>
  <c r="Y891" i="16"/>
  <c r="Y889" i="16"/>
  <c r="Y1134" i="16"/>
  <c r="Y1132" i="16"/>
  <c r="Y1130" i="16"/>
  <c r="Y1128" i="16"/>
  <c r="Y1126" i="16"/>
  <c r="Y1124" i="16"/>
  <c r="Y1122" i="16"/>
  <c r="Y1120" i="16"/>
  <c r="Y1118" i="16"/>
  <c r="Y1116" i="16"/>
  <c r="Y1114" i="16"/>
  <c r="Y1112" i="16"/>
  <c r="Y1110" i="16"/>
  <c r="Y1108" i="16"/>
  <c r="Y1106" i="16"/>
  <c r="Y1104" i="16"/>
  <c r="Y1102" i="16"/>
  <c r="Y1100" i="16"/>
  <c r="Y1098" i="16"/>
  <c r="Y1096" i="16"/>
  <c r="Y887" i="16"/>
  <c r="Y885" i="16"/>
  <c r="Y883" i="16"/>
  <c r="Y881" i="16"/>
  <c r="Y879" i="16"/>
  <c r="Y877" i="16"/>
  <c r="Y875" i="16"/>
  <c r="Y873" i="16"/>
  <c r="Y871" i="16"/>
  <c r="Y869" i="16"/>
  <c r="Y867" i="16"/>
  <c r="Y865" i="16"/>
  <c r="Y863" i="16"/>
  <c r="Y861" i="16"/>
  <c r="Y859" i="16"/>
  <c r="Y857" i="16"/>
  <c r="Y855" i="16"/>
  <c r="Y853" i="16"/>
  <c r="Y851" i="16"/>
  <c r="Y849" i="16"/>
  <c r="Y847" i="16"/>
  <c r="Y845" i="16"/>
  <c r="Y843" i="16"/>
  <c r="Y841" i="16"/>
  <c r="Y839" i="16"/>
  <c r="Y837" i="16"/>
  <c r="Y835" i="16"/>
  <c r="Y833" i="16"/>
  <c r="Y831" i="16"/>
  <c r="Y829" i="16"/>
  <c r="Y827" i="16"/>
  <c r="Y825" i="16"/>
  <c r="Y823" i="16"/>
  <c r="Y821" i="16"/>
  <c r="Y819" i="16"/>
  <c r="Y817" i="16"/>
  <c r="Y815" i="16"/>
  <c r="Y813" i="16"/>
  <c r="Y811" i="16"/>
  <c r="Y809" i="16"/>
  <c r="Y807" i="16"/>
  <c r="Y805" i="16"/>
  <c r="Y803" i="16"/>
  <c r="Y801" i="16"/>
  <c r="Y799" i="16"/>
  <c r="Y797" i="16"/>
  <c r="Y795" i="16"/>
  <c r="Y793" i="16"/>
  <c r="Y791" i="16"/>
  <c r="Y789" i="16"/>
  <c r="Y787" i="16"/>
  <c r="Y785" i="16"/>
  <c r="Y783" i="16"/>
  <c r="Y781" i="16"/>
  <c r="Y779" i="16"/>
  <c r="Y777" i="16"/>
  <c r="Y775" i="16"/>
  <c r="Y773" i="16"/>
  <c r="Y771" i="16"/>
  <c r="Y769" i="16"/>
  <c r="Y767" i="16"/>
  <c r="Y765" i="16"/>
  <c r="Y763" i="16"/>
  <c r="Y761" i="16"/>
  <c r="Y759" i="16"/>
  <c r="Y757" i="16"/>
  <c r="Y755" i="16"/>
  <c r="Y753" i="16"/>
  <c r="Y751" i="16"/>
  <c r="Y749" i="16"/>
  <c r="Y747" i="16"/>
  <c r="Y745" i="16"/>
  <c r="Y743" i="16"/>
  <c r="Y741" i="16"/>
  <c r="Y739" i="16"/>
  <c r="Y737" i="16"/>
  <c r="Y735" i="16"/>
  <c r="Y733" i="16"/>
  <c r="Y731" i="16"/>
  <c r="Y729" i="16"/>
  <c r="Y727" i="16"/>
  <c r="Y725" i="16"/>
  <c r="Y723" i="16"/>
  <c r="Y721" i="16"/>
  <c r="Y719" i="16"/>
  <c r="Y717" i="16"/>
  <c r="Y715" i="16"/>
  <c r="Y713" i="16"/>
  <c r="Y711" i="16"/>
  <c r="Y709" i="16"/>
  <c r="Y707" i="16"/>
  <c r="Y705" i="16"/>
  <c r="Y703" i="16"/>
  <c r="Y701" i="16"/>
  <c r="Y699" i="16"/>
  <c r="Y697" i="16"/>
  <c r="Y695" i="16"/>
  <c r="Y693" i="16"/>
  <c r="Y691" i="16"/>
  <c r="Y689" i="16"/>
  <c r="Y687" i="16"/>
  <c r="Y685" i="16"/>
  <c r="Y683" i="16"/>
  <c r="Y681" i="16"/>
  <c r="Y679" i="16"/>
  <c r="Y677" i="16"/>
  <c r="Y675" i="16"/>
  <c r="Y673" i="16"/>
  <c r="Y671" i="16"/>
  <c r="Y669" i="16"/>
  <c r="Y667" i="16"/>
  <c r="Y665" i="16"/>
  <c r="Y663" i="16"/>
  <c r="Y661" i="16"/>
  <c r="Y659" i="16"/>
  <c r="Y657" i="16"/>
  <c r="Y655" i="16"/>
  <c r="Y653" i="16"/>
  <c r="Y651" i="16"/>
  <c r="Y649" i="16"/>
  <c r="Y647" i="16"/>
  <c r="Y645" i="16"/>
  <c r="Y643" i="16"/>
  <c r="Y641" i="16"/>
  <c r="Y639" i="16"/>
  <c r="Y637" i="16"/>
  <c r="Y635" i="16"/>
  <c r="Y633" i="16"/>
  <c r="Y631" i="16"/>
  <c r="Y629" i="16"/>
  <c r="Y627" i="16"/>
  <c r="Y625" i="16"/>
  <c r="Y623" i="16"/>
  <c r="Y621" i="16"/>
  <c r="Y619" i="16"/>
  <c r="Y617" i="16"/>
  <c r="Y615" i="16"/>
  <c r="Y613" i="16"/>
  <c r="Y611" i="16"/>
  <c r="Y609" i="16"/>
  <c r="Y607" i="16"/>
  <c r="Y605" i="16"/>
  <c r="Y603" i="16"/>
  <c r="Y601" i="16"/>
  <c r="Y599" i="16"/>
  <c r="Y597" i="16"/>
  <c r="Y595" i="16"/>
  <c r="Y593" i="16"/>
  <c r="Y591" i="16"/>
  <c r="Y589" i="16"/>
  <c r="Y587" i="16"/>
  <c r="Y585" i="16"/>
  <c r="Y583" i="16"/>
  <c r="Y581" i="16"/>
  <c r="Y579" i="16"/>
  <c r="Y577" i="16"/>
  <c r="Y575" i="16"/>
  <c r="Y573" i="16"/>
  <c r="Y571" i="16"/>
  <c r="Y569" i="16"/>
  <c r="Y567" i="16"/>
  <c r="Y565" i="16"/>
  <c r="Y563" i="16"/>
  <c r="Y561" i="16"/>
  <c r="Y559" i="16"/>
  <c r="Y557" i="16"/>
  <c r="Y555" i="16"/>
  <c r="Y553" i="16"/>
  <c r="Y551" i="16"/>
  <c r="Y549" i="16"/>
  <c r="Y547" i="16"/>
  <c r="Y545" i="16"/>
  <c r="Y543" i="16"/>
  <c r="Y541" i="16"/>
  <c r="Y539" i="16"/>
  <c r="Y537" i="16"/>
  <c r="Y535" i="16"/>
  <c r="Y1142" i="16"/>
  <c r="Y1140" i="16"/>
  <c r="Y982" i="16"/>
  <c r="Y980" i="16"/>
  <c r="Y978" i="16"/>
  <c r="Y976" i="16"/>
  <c r="Y974" i="16"/>
  <c r="Y972" i="16"/>
  <c r="Y970" i="16"/>
  <c r="Y968" i="16"/>
  <c r="Y966" i="16"/>
  <c r="Y964" i="16"/>
  <c r="Y962" i="16"/>
  <c r="Y960" i="16"/>
  <c r="Y958" i="16"/>
  <c r="Y956" i="16"/>
  <c r="Y954" i="16"/>
  <c r="Y952" i="16"/>
  <c r="Y950" i="16"/>
  <c r="Y948" i="16"/>
  <c r="Y946" i="16"/>
  <c r="Y944" i="16"/>
  <c r="Y942" i="16"/>
  <c r="Y940" i="16"/>
  <c r="Y938" i="16"/>
  <c r="Y936" i="16"/>
  <c r="Y934" i="16"/>
  <c r="Y932" i="16"/>
  <c r="Y930" i="16"/>
  <c r="Y928" i="16"/>
  <c r="Y926" i="16"/>
  <c r="Y924" i="16"/>
  <c r="Y922" i="16"/>
  <c r="Y920" i="16"/>
  <c r="Y918" i="16"/>
  <c r="Y916" i="16"/>
  <c r="Y914" i="16"/>
  <c r="Y912" i="16"/>
  <c r="Y910" i="16"/>
  <c r="Y908" i="16"/>
  <c r="Y906" i="16"/>
  <c r="Y904" i="16"/>
  <c r="Y902" i="16"/>
  <c r="Y900" i="16"/>
  <c r="Y898" i="16"/>
  <c r="Y896" i="16"/>
  <c r="Y894" i="16"/>
  <c r="Y892" i="16"/>
  <c r="Y890" i="16"/>
  <c r="Y1135" i="16"/>
  <c r="Y1133" i="16"/>
  <c r="Y1131" i="16"/>
  <c r="Y1129" i="16"/>
  <c r="Y1127" i="16"/>
  <c r="Y1125" i="16"/>
  <c r="Y1123" i="16"/>
  <c r="Y1121" i="16"/>
  <c r="Y1119" i="16"/>
  <c r="Y1117" i="16"/>
  <c r="Y1115" i="16"/>
  <c r="Y1113" i="16"/>
  <c r="Y1111" i="16"/>
  <c r="Y1109" i="16"/>
  <c r="Y1107" i="16"/>
  <c r="Y1105" i="16"/>
  <c r="Y1103" i="16"/>
  <c r="Y1101" i="16"/>
  <c r="Y1099" i="16"/>
  <c r="Y1097" i="16"/>
  <c r="Y888" i="16"/>
  <c r="Y886" i="16"/>
  <c r="Y884" i="16"/>
  <c r="Y882" i="16"/>
  <c r="Y880" i="16"/>
  <c r="Y878" i="16"/>
  <c r="Y876" i="16"/>
  <c r="Y874" i="16"/>
  <c r="Y872" i="16"/>
  <c r="Y870" i="16"/>
  <c r="Y868" i="16"/>
  <c r="Y866" i="16"/>
  <c r="Y864" i="16"/>
  <c r="Y862" i="16"/>
  <c r="Y860" i="16"/>
  <c r="Y858" i="16"/>
  <c r="Y856" i="16"/>
  <c r="Y854" i="16"/>
  <c r="Y852" i="16"/>
  <c r="Y850" i="16"/>
  <c r="Y848" i="16"/>
  <c r="Y846" i="16"/>
  <c r="Y844" i="16"/>
  <c r="Y842" i="16"/>
  <c r="Y840" i="16"/>
  <c r="Y838" i="16"/>
  <c r="Y836" i="16"/>
  <c r="Y834" i="16"/>
  <c r="Y832" i="16"/>
  <c r="Y830" i="16"/>
  <c r="Y828" i="16"/>
  <c r="Y826" i="16"/>
  <c r="Y824" i="16"/>
  <c r="Y822" i="16"/>
  <c r="Y820" i="16"/>
  <c r="Y818" i="16"/>
  <c r="Y816" i="16"/>
  <c r="Y814" i="16"/>
  <c r="Y812" i="16"/>
  <c r="Y810" i="16"/>
  <c r="Y808" i="16"/>
  <c r="Y806" i="16"/>
  <c r="Y804" i="16"/>
  <c r="Y802" i="16"/>
  <c r="Y800" i="16"/>
  <c r="Y798" i="16"/>
  <c r="Y796" i="16"/>
  <c r="Y794" i="16"/>
  <c r="Y792" i="16"/>
  <c r="Y790" i="16"/>
  <c r="Y788" i="16"/>
  <c r="Y786" i="16"/>
  <c r="Y784" i="16"/>
  <c r="Y782" i="16"/>
  <c r="Y780" i="16"/>
  <c r="Y778" i="16"/>
  <c r="Y776" i="16"/>
  <c r="Y774" i="16"/>
  <c r="Y772" i="16"/>
  <c r="Y770" i="16"/>
  <c r="Y768" i="16"/>
  <c r="Y766" i="16"/>
  <c r="Y764" i="16"/>
  <c r="Y762" i="16"/>
  <c r="Y760" i="16"/>
  <c r="Y758" i="16"/>
  <c r="Y756" i="16"/>
  <c r="Y754" i="16"/>
  <c r="Y752" i="16"/>
  <c r="Y750" i="16"/>
  <c r="Y748" i="16"/>
  <c r="Y746" i="16"/>
  <c r="Y744" i="16"/>
  <c r="Y742" i="16"/>
  <c r="Y740" i="16"/>
  <c r="Y738" i="16"/>
  <c r="Y736" i="16"/>
  <c r="Y734" i="16"/>
  <c r="Y732" i="16"/>
  <c r="Y730" i="16"/>
  <c r="Y728" i="16"/>
  <c r="Y726" i="16"/>
  <c r="Y724" i="16"/>
  <c r="Y722" i="16"/>
  <c r="Y720" i="16"/>
  <c r="Y718" i="16"/>
  <c r="Y716" i="16"/>
  <c r="Y714" i="16"/>
  <c r="Y712" i="16"/>
  <c r="Y710" i="16"/>
  <c r="Y708" i="16"/>
  <c r="Y706" i="16"/>
  <c r="Y704" i="16"/>
  <c r="Y702" i="16"/>
  <c r="Y700" i="16"/>
  <c r="Y698" i="16"/>
  <c r="Y696" i="16"/>
  <c r="Y694" i="16"/>
  <c r="Y692" i="16"/>
  <c r="Y690" i="16"/>
  <c r="Y688" i="16"/>
  <c r="Y686" i="16"/>
  <c r="Y684" i="16"/>
  <c r="Y682" i="16"/>
  <c r="Y680" i="16"/>
  <c r="Y678" i="16"/>
  <c r="Y676" i="16"/>
  <c r="Y674" i="16"/>
  <c r="Y672" i="16"/>
  <c r="Y670" i="16"/>
  <c r="Y668" i="16"/>
  <c r="Y666" i="16"/>
  <c r="Y664" i="16"/>
  <c r="Y662" i="16"/>
  <c r="Y660" i="16"/>
  <c r="Y658" i="16"/>
  <c r="Y656" i="16"/>
  <c r="Y654" i="16"/>
  <c r="Y652" i="16"/>
  <c r="Y650" i="16"/>
  <c r="Y648" i="16"/>
  <c r="Y646" i="16"/>
  <c r="Y644" i="16"/>
  <c r="Y642" i="16"/>
  <c r="Y640" i="16"/>
  <c r="Y638" i="16"/>
  <c r="Y636" i="16"/>
  <c r="Y634" i="16"/>
  <c r="Y632" i="16"/>
  <c r="Y630" i="16"/>
  <c r="Y628" i="16"/>
  <c r="Y626" i="16"/>
  <c r="Y624" i="16"/>
  <c r="Y622" i="16"/>
  <c r="Y620" i="16"/>
  <c r="Y618" i="16"/>
  <c r="Y616" i="16"/>
  <c r="Y614" i="16"/>
  <c r="Y612" i="16"/>
  <c r="Y610" i="16"/>
  <c r="Y608" i="16"/>
  <c r="Y606" i="16"/>
  <c r="Y604" i="16"/>
  <c r="Y602" i="16"/>
  <c r="Y600" i="16"/>
  <c r="Y598" i="16"/>
  <c r="Y596" i="16"/>
  <c r="Y594" i="16"/>
  <c r="Y592" i="16"/>
  <c r="Y590" i="16"/>
  <c r="Y588" i="16"/>
  <c r="Y586" i="16"/>
  <c r="Y584" i="16"/>
  <c r="Y582" i="16"/>
  <c r="Y580" i="16"/>
  <c r="Y578" i="16"/>
  <c r="Y576" i="16"/>
  <c r="Y574" i="16"/>
  <c r="Y572" i="16"/>
  <c r="Y570" i="16"/>
  <c r="Y568" i="16"/>
  <c r="Y566" i="16"/>
  <c r="Y564" i="16"/>
  <c r="Y562" i="16"/>
  <c r="Y560" i="16"/>
  <c r="Y558" i="16"/>
  <c r="Y556" i="16"/>
  <c r="Y554" i="16"/>
  <c r="Y552" i="16"/>
  <c r="Y550" i="16"/>
  <c r="Y548" i="16"/>
  <c r="Y546" i="16"/>
  <c r="Y544" i="16"/>
  <c r="Y542" i="16"/>
  <c r="Y540" i="16"/>
  <c r="Y538" i="16"/>
  <c r="Y536" i="16"/>
  <c r="Y534" i="16"/>
  <c r="Y1141" i="16"/>
  <c r="Y1139" i="16"/>
  <c r="Y1137" i="16"/>
  <c r="Y1095" i="16"/>
  <c r="Y1093" i="16"/>
  <c r="Y1091" i="16"/>
  <c r="Y1089" i="16"/>
  <c r="Y1087" i="16"/>
  <c r="Y1085" i="16"/>
  <c r="Y1083" i="16"/>
  <c r="Y533" i="16"/>
  <c r="Y531" i="16"/>
  <c r="Y1080" i="16"/>
  <c r="Y1078" i="16"/>
  <c r="Y1076" i="16"/>
  <c r="Y1074" i="16"/>
  <c r="Y1072" i="16"/>
  <c r="Y1070" i="16"/>
  <c r="Y1068" i="16"/>
  <c r="Y1066" i="16"/>
  <c r="Y1064" i="16"/>
  <c r="Y1062" i="16"/>
  <c r="Y1060" i="16"/>
  <c r="Y1058" i="16"/>
  <c r="Y1056" i="16"/>
  <c r="Y1054" i="16"/>
  <c r="Y1052" i="16"/>
  <c r="Y1050" i="16"/>
  <c r="Y1048" i="16"/>
  <c r="Y1046" i="16"/>
  <c r="Y1044" i="16"/>
  <c r="Y1042" i="16"/>
  <c r="Y1040" i="16"/>
  <c r="Y1038" i="16"/>
  <c r="Y1036" i="16"/>
  <c r="Y1034" i="16"/>
  <c r="Y1032" i="16"/>
  <c r="Y1030" i="16"/>
  <c r="Y1028" i="16"/>
  <c r="Y1026" i="16"/>
  <c r="Y1024" i="16"/>
  <c r="Y1022" i="16"/>
  <c r="Y1020" i="16"/>
  <c r="Y1018" i="16"/>
  <c r="Y1016" i="16"/>
  <c r="Y1014" i="16"/>
  <c r="Y1012" i="16"/>
  <c r="Y1010" i="16"/>
  <c r="Y1008" i="16"/>
  <c r="Y1006" i="16"/>
  <c r="Y1004" i="16"/>
  <c r="Y1002" i="16"/>
  <c r="Y1000" i="16"/>
  <c r="Y998" i="16"/>
  <c r="Y996" i="16"/>
  <c r="Y994" i="16"/>
  <c r="Y992" i="16"/>
  <c r="Y990" i="16"/>
  <c r="Y988" i="16"/>
  <c r="Y986" i="16"/>
  <c r="Y984" i="16"/>
  <c r="Y530" i="16"/>
  <c r="Y528" i="16"/>
  <c r="Y526" i="16"/>
  <c r="Y524" i="16"/>
  <c r="Y522" i="16"/>
  <c r="Y520" i="16"/>
  <c r="Y518" i="16"/>
  <c r="Y516" i="16"/>
  <c r="Y514" i="16"/>
  <c r="Y512" i="16"/>
  <c r="Y510" i="16"/>
  <c r="Y508" i="16"/>
  <c r="Y506" i="16"/>
  <c r="Y504" i="16"/>
  <c r="Y1094" i="16"/>
  <c r="Y1086" i="16"/>
  <c r="Y1081" i="16"/>
  <c r="Y1073" i="16"/>
  <c r="Y1065" i="16"/>
  <c r="Y1057" i="16"/>
  <c r="Y1049" i="16"/>
  <c r="Y1041" i="16"/>
  <c r="Y1033" i="16"/>
  <c r="Y1025" i="16"/>
  <c r="Y1017" i="16"/>
  <c r="Y1009" i="16"/>
  <c r="Y1001" i="16"/>
  <c r="Y993" i="16"/>
  <c r="Y985" i="16"/>
  <c r="Y525" i="16"/>
  <c r="Y517" i="16"/>
  <c r="Y509" i="16"/>
  <c r="Y1136" i="16"/>
  <c r="Y1088" i="16"/>
  <c r="Y532" i="16"/>
  <c r="Y1075" i="16"/>
  <c r="Y1067" i="16"/>
  <c r="Y1059" i="16"/>
  <c r="Y1051" i="16"/>
  <c r="Y1043" i="16"/>
  <c r="Y1035" i="16"/>
  <c r="Y1027" i="16"/>
  <c r="Y1019" i="16"/>
  <c r="Y1011" i="16"/>
  <c r="Y1003" i="16"/>
  <c r="Y995" i="16"/>
  <c r="Y987" i="16"/>
  <c r="Y527" i="16"/>
  <c r="Y519" i="16"/>
  <c r="Y511" i="16"/>
  <c r="Y503" i="16"/>
  <c r="Y501" i="16"/>
  <c r="Y499" i="16"/>
  <c r="Y497" i="16"/>
  <c r="Y495" i="16"/>
  <c r="Y493" i="16"/>
  <c r="Y491" i="16"/>
  <c r="Y489" i="16"/>
  <c r="Y487" i="16"/>
  <c r="Y485" i="16"/>
  <c r="Y483" i="16"/>
  <c r="Y481" i="16"/>
  <c r="Y479" i="16"/>
  <c r="Y477" i="16"/>
  <c r="Y475" i="16"/>
  <c r="Y473" i="16"/>
  <c r="Y471" i="16"/>
  <c r="Y469" i="16"/>
  <c r="Y467" i="16"/>
  <c r="Y465" i="16"/>
  <c r="Y463" i="16"/>
  <c r="Y461" i="16"/>
  <c r="Y459" i="16"/>
  <c r="Y457" i="16"/>
  <c r="Y455" i="16"/>
  <c r="Y453" i="16"/>
  <c r="Y451" i="16"/>
  <c r="Y449" i="16"/>
  <c r="Y447" i="16"/>
  <c r="Y445" i="16"/>
  <c r="Y443" i="16"/>
  <c r="Y441" i="16"/>
  <c r="Y439" i="16"/>
  <c r="Y437" i="16"/>
  <c r="Y435" i="16"/>
  <c r="Y433" i="16"/>
  <c r="Y431" i="16"/>
  <c r="Y429" i="16"/>
  <c r="Y427" i="16"/>
  <c r="Y425" i="16"/>
  <c r="Y423" i="16"/>
  <c r="Y421" i="16"/>
  <c r="Y419" i="16"/>
  <c r="Y417" i="16"/>
  <c r="Y415" i="16"/>
  <c r="Y413" i="16"/>
  <c r="Y411" i="16"/>
  <c r="Y409" i="16"/>
  <c r="Y407" i="16"/>
  <c r="Y405" i="16"/>
  <c r="Y403" i="16"/>
  <c r="Y401" i="16"/>
  <c r="Y399" i="16"/>
  <c r="Y397" i="16"/>
  <c r="Y395" i="16"/>
  <c r="Y393" i="16"/>
  <c r="Y391" i="16"/>
  <c r="Y389" i="16"/>
  <c r="Y387" i="16"/>
  <c r="Y385" i="16"/>
  <c r="Y383" i="16"/>
  <c r="Y381" i="16"/>
  <c r="Y379" i="16"/>
  <c r="Y377" i="16"/>
  <c r="Y375" i="16"/>
  <c r="Y373" i="16"/>
  <c r="Y371" i="16"/>
  <c r="Y369" i="16"/>
  <c r="Y367" i="16"/>
  <c r="Y365" i="16"/>
  <c r="Y363" i="16"/>
  <c r="Y361" i="16"/>
  <c r="Y359" i="16"/>
  <c r="Y357" i="16"/>
  <c r="Y355" i="16"/>
  <c r="Y353" i="16"/>
  <c r="Y351" i="16"/>
  <c r="Y349" i="16"/>
  <c r="Y347" i="16"/>
  <c r="Y345" i="16"/>
  <c r="Y343" i="16"/>
  <c r="Y341" i="16"/>
  <c r="Y339" i="16"/>
  <c r="Y337" i="16"/>
  <c r="Y335" i="16"/>
  <c r="Y333" i="16"/>
  <c r="Y331" i="16"/>
  <c r="Y329" i="16"/>
  <c r="Y327" i="16"/>
  <c r="Y325" i="16"/>
  <c r="Y323" i="16"/>
  <c r="Y321" i="16"/>
  <c r="Y319" i="16"/>
  <c r="Y317" i="16"/>
  <c r="Y315" i="16"/>
  <c r="Y313" i="16"/>
  <c r="Y311" i="16"/>
  <c r="Y309" i="16"/>
  <c r="Y307" i="16"/>
  <c r="Y305" i="16"/>
  <c r="Y303" i="16"/>
  <c r="Y301" i="16"/>
  <c r="Y299" i="16"/>
  <c r="Y297" i="16"/>
  <c r="Y295" i="16"/>
  <c r="Y293" i="16"/>
  <c r="Y291" i="16"/>
  <c r="Y289" i="16"/>
  <c r="Y287" i="16"/>
  <c r="Y285" i="16"/>
  <c r="Y283" i="16"/>
  <c r="Y281" i="16"/>
  <c r="Y279" i="16"/>
  <c r="Y277" i="16"/>
  <c r="Y275" i="16"/>
  <c r="Y273" i="16"/>
  <c r="Y271" i="16"/>
  <c r="Y269" i="16"/>
  <c r="Y267" i="16"/>
  <c r="Y265" i="16"/>
  <c r="Y263" i="16"/>
  <c r="Y261" i="16"/>
  <c r="Y259" i="16"/>
  <c r="Y257" i="16"/>
  <c r="Y255" i="16"/>
  <c r="Y253" i="16"/>
  <c r="Y251" i="16"/>
  <c r="Y249" i="16"/>
  <c r="Y247" i="16"/>
  <c r="Y245" i="16"/>
  <c r="Y243" i="16"/>
  <c r="Y241" i="16"/>
  <c r="Y239" i="16"/>
  <c r="Y237" i="16"/>
  <c r="Y235" i="16"/>
  <c r="Y233" i="16"/>
  <c r="Y231" i="16"/>
  <c r="Y229" i="16"/>
  <c r="Y227" i="16"/>
  <c r="Y225" i="16"/>
  <c r="Y223" i="16"/>
  <c r="Y221" i="16"/>
  <c r="Y219" i="16"/>
  <c r="Y217" i="16"/>
  <c r="Y215" i="16"/>
  <c r="Y213" i="16"/>
  <c r="Y211" i="16"/>
  <c r="Y209" i="16"/>
  <c r="Y207" i="16"/>
  <c r="Y205" i="16"/>
  <c r="Y203" i="16"/>
  <c r="Y201" i="16"/>
  <c r="Y199" i="16"/>
  <c r="Y197" i="16"/>
  <c r="Y195" i="16"/>
  <c r="Y193" i="16"/>
  <c r="Y191" i="16"/>
  <c r="Y189" i="16"/>
  <c r="Y187" i="16"/>
  <c r="Y185" i="16"/>
  <c r="Y183" i="16"/>
  <c r="Y181" i="16"/>
  <c r="Y179" i="16"/>
  <c r="Y177" i="16"/>
  <c r="Y175" i="16"/>
  <c r="Y173" i="16"/>
  <c r="Y171" i="16"/>
  <c r="Y169" i="16"/>
  <c r="Y167" i="16"/>
  <c r="Y165" i="16"/>
  <c r="Y163" i="16"/>
  <c r="Y161" i="16"/>
  <c r="Y159" i="16"/>
  <c r="Y157" i="16"/>
  <c r="Y155" i="16"/>
  <c r="Y153" i="16"/>
  <c r="Y151" i="16"/>
  <c r="Y149" i="16"/>
  <c r="Y147" i="16"/>
  <c r="Y145" i="16"/>
  <c r="Y143" i="16"/>
  <c r="Y141" i="16"/>
  <c r="Y139" i="16"/>
  <c r="Y137" i="16"/>
  <c r="Y135" i="16"/>
  <c r="Y133" i="16"/>
  <c r="Y131" i="16"/>
  <c r="Y129" i="16"/>
  <c r="Y127" i="16"/>
  <c r="Y125" i="16"/>
  <c r="Y123" i="16"/>
  <c r="Y121" i="16"/>
  <c r="Y119" i="16"/>
  <c r="Y117" i="16"/>
  <c r="Y115" i="16"/>
  <c r="Y113" i="16"/>
  <c r="Y111" i="16"/>
  <c r="Y109" i="16"/>
  <c r="Y107" i="16"/>
  <c r="Y105" i="16"/>
  <c r="Y103" i="16"/>
  <c r="Y101" i="16"/>
  <c r="Y99" i="16"/>
  <c r="Y97" i="16"/>
  <c r="Y95" i="16"/>
  <c r="Y93" i="16"/>
  <c r="Y91" i="16"/>
  <c r="Y89" i="16"/>
  <c r="Y87" i="16"/>
  <c r="Y85" i="16"/>
  <c r="Y83" i="16"/>
  <c r="Y81" i="16"/>
  <c r="Y79" i="16"/>
  <c r="Y77" i="16"/>
  <c r="Y75" i="16"/>
  <c r="Y73" i="16"/>
  <c r="Y71" i="16"/>
  <c r="Y69" i="16"/>
  <c r="Y67" i="16"/>
  <c r="Y65" i="16"/>
  <c r="Y63" i="16"/>
  <c r="Y61" i="16"/>
  <c r="Y59" i="16"/>
  <c r="Y57" i="16"/>
  <c r="Y55" i="16"/>
  <c r="Y53" i="16"/>
  <c r="Y51" i="16"/>
  <c r="Y49" i="16"/>
  <c r="Y47" i="16"/>
  <c r="Y45" i="16"/>
  <c r="Y43" i="16"/>
  <c r="Y41" i="16"/>
  <c r="Y39" i="16"/>
  <c r="Y37" i="16"/>
  <c r="Y35" i="16"/>
  <c r="Y33" i="16"/>
  <c r="Y31" i="16"/>
  <c r="Y29" i="16"/>
  <c r="Y27" i="16"/>
  <c r="Y25" i="16"/>
  <c r="Y23" i="16"/>
  <c r="Y21" i="16"/>
  <c r="Y19" i="16"/>
  <c r="Y17" i="16"/>
  <c r="Y15" i="16"/>
  <c r="Y13" i="16"/>
  <c r="Y11" i="16"/>
  <c r="Y9" i="16"/>
  <c r="Y7" i="16"/>
  <c r="Y5" i="16"/>
  <c r="Y3" i="16"/>
  <c r="Y1138" i="16"/>
  <c r="Y1090" i="16"/>
  <c r="Y1082" i="16"/>
  <c r="Y1077" i="16"/>
  <c r="Y1069" i="16"/>
  <c r="Y1061" i="16"/>
  <c r="Y1053" i="16"/>
  <c r="Y1045" i="16"/>
  <c r="Y1037" i="16"/>
  <c r="Y1029" i="16"/>
  <c r="Y1021" i="16"/>
  <c r="Y1013" i="16"/>
  <c r="Y1005" i="16"/>
  <c r="Y997" i="16"/>
  <c r="Y989" i="16"/>
  <c r="Y529" i="16"/>
  <c r="Y521" i="16"/>
  <c r="Y513" i="16"/>
  <c r="Y505" i="16"/>
  <c r="Y1092" i="16"/>
  <c r="Y1084" i="16"/>
  <c r="Y1079" i="16"/>
  <c r="Y1071" i="16"/>
  <c r="Y1063" i="16"/>
  <c r="Y1055" i="16"/>
  <c r="Y1047" i="16"/>
  <c r="Y1039" i="16"/>
  <c r="Y1031" i="16"/>
  <c r="Y1023" i="16"/>
  <c r="Y1015" i="16"/>
  <c r="Y1007" i="16"/>
  <c r="Y999" i="16"/>
  <c r="Y991" i="16"/>
  <c r="Y983" i="16"/>
  <c r="Y523" i="16"/>
  <c r="Y515" i="16"/>
  <c r="Y507" i="16"/>
  <c r="Y502" i="16"/>
  <c r="Y500" i="16"/>
  <c r="Y498" i="16"/>
  <c r="Y496" i="16"/>
  <c r="Y494" i="16"/>
  <c r="Y492" i="16"/>
  <c r="Y490" i="16"/>
  <c r="Y488" i="16"/>
  <c r="Y486" i="16"/>
  <c r="Y484" i="16"/>
  <c r="Y482" i="16"/>
  <c r="Y480" i="16"/>
  <c r="Y478" i="16"/>
  <c r="Y476" i="16"/>
  <c r="Y474" i="16"/>
  <c r="Y472" i="16"/>
  <c r="Y470" i="16"/>
  <c r="Y468" i="16"/>
  <c r="Y466" i="16"/>
  <c r="Y464" i="16"/>
  <c r="Y462" i="16"/>
  <c r="Y460" i="16"/>
  <c r="Y458" i="16"/>
  <c r="Y456" i="16"/>
  <c r="Y454" i="16"/>
  <c r="Y452" i="16"/>
  <c r="Y450" i="16"/>
  <c r="Y448" i="16"/>
  <c r="Y446" i="16"/>
  <c r="Y444" i="16"/>
  <c r="Y442" i="16"/>
  <c r="Y440" i="16"/>
  <c r="Y438" i="16"/>
  <c r="Y436" i="16"/>
  <c r="Y434" i="16"/>
  <c r="Y432" i="16"/>
  <c r="Y430" i="16"/>
  <c r="Y428" i="16"/>
  <c r="Y426" i="16"/>
  <c r="Y424" i="16"/>
  <c r="Y422" i="16"/>
  <c r="Y420" i="16"/>
  <c r="Y418" i="16"/>
  <c r="Y416" i="16"/>
  <c r="Y414" i="16"/>
  <c r="Y412" i="16"/>
  <c r="Y410" i="16"/>
  <c r="Y408" i="16"/>
  <c r="Y406" i="16"/>
  <c r="Y404" i="16"/>
  <c r="Y402" i="16"/>
  <c r="Y400" i="16"/>
  <c r="Y398" i="16"/>
  <c r="Y396" i="16"/>
  <c r="Y394" i="16"/>
  <c r="Y392" i="16"/>
  <c r="Y390" i="16"/>
  <c r="Y388" i="16"/>
  <c r="Y386" i="16"/>
  <c r="Y384" i="16"/>
  <c r="Y382" i="16"/>
  <c r="Y380" i="16"/>
  <c r="Y378" i="16"/>
  <c r="Y376" i="16"/>
  <c r="Y374" i="16"/>
  <c r="Y372" i="16"/>
  <c r="Y370" i="16"/>
  <c r="Y368" i="16"/>
  <c r="Y366" i="16"/>
  <c r="Y364" i="16"/>
  <c r="Y362" i="16"/>
  <c r="Y360" i="16"/>
  <c r="Y358" i="16"/>
  <c r="Y356" i="16"/>
  <c r="Y354" i="16"/>
  <c r="Y352" i="16"/>
  <c r="Y350" i="16"/>
  <c r="Y348" i="16"/>
  <c r="Y346" i="16"/>
  <c r="Y344" i="16"/>
  <c r="Y342" i="16"/>
  <c r="Y340" i="16"/>
  <c r="Y338" i="16"/>
  <c r="Y336" i="16"/>
  <c r="Y334" i="16"/>
  <c r="Y332" i="16"/>
  <c r="Y330" i="16"/>
  <c r="Y328" i="16"/>
  <c r="Y326" i="16"/>
  <c r="Y324" i="16"/>
  <c r="Y322" i="16"/>
  <c r="Y320" i="16"/>
  <c r="Y318" i="16"/>
  <c r="Y316" i="16"/>
  <c r="Y314" i="16"/>
  <c r="Y312" i="16"/>
  <c r="Y310" i="16"/>
  <c r="Y308" i="16"/>
  <c r="Y306" i="16"/>
  <c r="Y304" i="16"/>
  <c r="Y302" i="16"/>
  <c r="Y300" i="16"/>
  <c r="Y298" i="16"/>
  <c r="Y296" i="16"/>
  <c r="Y294" i="16"/>
  <c r="Y292" i="16"/>
  <c r="Y290" i="16"/>
  <c r="Y288" i="16"/>
  <c r="Y286" i="16"/>
  <c r="Y284" i="16"/>
  <c r="Y282" i="16"/>
  <c r="Y280" i="16"/>
  <c r="Y278" i="16"/>
  <c r="Y276" i="16"/>
  <c r="Y274" i="16"/>
  <c r="Y272" i="16"/>
  <c r="Y270" i="16"/>
  <c r="Y268" i="16"/>
  <c r="Y266" i="16"/>
  <c r="Y264" i="16"/>
  <c r="Y262" i="16"/>
  <c r="Y260" i="16"/>
  <c r="Y258" i="16"/>
  <c r="Y256" i="16"/>
  <c r="Y254" i="16"/>
  <c r="Y252" i="16"/>
  <c r="Y250" i="16"/>
  <c r="Y248" i="16"/>
  <c r="Y246" i="16"/>
  <c r="Y244" i="16"/>
  <c r="Y242" i="16"/>
  <c r="Y240" i="16"/>
  <c r="Y238" i="16"/>
  <c r="Y236" i="16"/>
  <c r="Y234" i="16"/>
  <c r="Y232" i="16"/>
  <c r="Y230" i="16"/>
  <c r="Y228" i="16"/>
  <c r="Y226" i="16"/>
  <c r="Y224" i="16"/>
  <c r="Y222" i="16"/>
  <c r="Y220" i="16"/>
  <c r="Y218" i="16"/>
  <c r="Y216" i="16"/>
  <c r="Y214" i="16"/>
  <c r="Y212" i="16"/>
  <c r="Y210" i="16"/>
  <c r="Y208" i="16"/>
  <c r="Y206" i="16"/>
  <c r="Y204" i="16"/>
  <c r="Y202" i="16"/>
  <c r="Y200" i="16"/>
  <c r="Y198" i="16"/>
  <c r="Y196" i="16"/>
  <c r="Y194" i="16"/>
  <c r="Y192" i="16"/>
  <c r="Y190" i="16"/>
  <c r="Y188" i="16"/>
  <c r="Y186" i="16"/>
  <c r="Y184" i="16"/>
  <c r="Y182" i="16"/>
  <c r="Y180" i="16"/>
  <c r="Y178" i="16"/>
  <c r="Y176" i="16"/>
  <c r="Y174" i="16"/>
  <c r="Y172" i="16"/>
  <c r="Y170" i="16"/>
  <c r="Y168" i="16"/>
  <c r="Y166" i="16"/>
  <c r="Y164" i="16"/>
  <c r="Y162" i="16"/>
  <c r="Y160" i="16"/>
  <c r="Y158" i="16"/>
  <c r="Y156" i="16"/>
  <c r="Y154" i="16"/>
  <c r="Y152" i="16"/>
  <c r="Y150" i="16"/>
  <c r="Y148" i="16"/>
  <c r="Y146" i="16"/>
  <c r="Y144" i="16"/>
  <c r="Y142" i="16"/>
  <c r="Y140" i="16"/>
  <c r="Y138" i="16"/>
  <c r="Y136" i="16"/>
  <c r="Y134" i="16"/>
  <c r="Y132" i="16"/>
  <c r="Y130" i="16"/>
  <c r="Y128" i="16"/>
  <c r="Y126" i="16"/>
  <c r="Y124" i="16"/>
  <c r="Y122" i="16"/>
  <c r="Y120" i="16"/>
  <c r="Y118" i="16"/>
  <c r="Y116" i="16"/>
  <c r="Y114" i="16"/>
  <c r="Y112" i="16"/>
  <c r="Y110" i="16"/>
  <c r="Y108" i="16"/>
  <c r="Y106" i="16"/>
  <c r="Y104" i="16"/>
  <c r="Y102" i="16"/>
  <c r="Y100" i="16"/>
  <c r="Y98" i="16"/>
  <c r="Y96" i="16"/>
  <c r="Y94" i="16"/>
  <c r="Y92" i="16"/>
  <c r="Y90" i="16"/>
  <c r="Y88" i="16"/>
  <c r="Y86" i="16"/>
  <c r="Y84" i="16"/>
  <c r="Y82" i="16"/>
  <c r="Y80" i="16"/>
  <c r="Y78" i="16"/>
  <c r="Y76" i="16"/>
  <c r="Y74" i="16"/>
  <c r="Y72" i="16"/>
  <c r="Y70" i="16"/>
  <c r="Y68" i="16"/>
  <c r="Y66" i="16"/>
  <c r="Y64" i="16"/>
  <c r="Y62" i="16"/>
  <c r="Y60" i="16"/>
  <c r="Y58" i="16"/>
  <c r="Y56" i="16"/>
  <c r="Y54" i="16"/>
  <c r="Y52" i="16"/>
  <c r="Y50" i="16"/>
  <c r="Y48" i="16"/>
  <c r="Y46" i="16"/>
  <c r="Y44" i="16"/>
  <c r="Y42" i="16"/>
  <c r="Y40" i="16"/>
  <c r="Y38" i="16"/>
  <c r="Y36" i="16"/>
  <c r="Y34" i="16"/>
  <c r="Y32" i="16"/>
  <c r="Y30" i="16"/>
  <c r="Y28" i="16"/>
  <c r="Y26" i="16"/>
  <c r="Y24" i="16"/>
  <c r="Y22" i="16"/>
  <c r="Y20" i="16"/>
  <c r="Y18" i="16"/>
  <c r="Y16" i="16"/>
  <c r="Y14" i="16"/>
  <c r="Y12" i="16"/>
  <c r="Y10" i="16"/>
  <c r="Y8" i="16"/>
  <c r="Y6" i="16"/>
  <c r="Y4" i="16"/>
  <c r="Y2" i="16"/>
  <c r="L2" i="30"/>
  <c r="L6" i="30"/>
  <c r="L10" i="30"/>
  <c r="L7" i="30"/>
  <c r="L12" i="30"/>
  <c r="L16" i="30"/>
  <c r="L20" i="30"/>
  <c r="L24" i="30"/>
  <c r="L28" i="30"/>
  <c r="L32" i="30"/>
  <c r="L36" i="30"/>
  <c r="L40" i="30"/>
  <c r="L44" i="30"/>
  <c r="L48" i="30"/>
  <c r="L52" i="30"/>
  <c r="L56" i="30"/>
  <c r="L60" i="30"/>
  <c r="L64" i="30"/>
  <c r="L3" i="30"/>
  <c r="L8" i="30"/>
  <c r="L13" i="30"/>
  <c r="L17" i="30"/>
  <c r="L21" i="30"/>
  <c r="L25" i="30"/>
  <c r="L29" i="30"/>
  <c r="L33" i="30"/>
  <c r="L37" i="30"/>
  <c r="L41" i="30"/>
  <c r="L45" i="30"/>
  <c r="L49" i="30"/>
  <c r="L53" i="30"/>
  <c r="L57" i="30"/>
  <c r="L61" i="30"/>
  <c r="L65" i="30"/>
  <c r="L4" i="30"/>
  <c r="L9" i="30"/>
  <c r="L14" i="30"/>
  <c r="L18" i="30"/>
  <c r="L22" i="30"/>
  <c r="L26" i="30"/>
  <c r="L30" i="30"/>
  <c r="L34" i="30"/>
  <c r="L38" i="30"/>
  <c r="L42" i="30"/>
  <c r="L46" i="30"/>
  <c r="L50" i="30"/>
  <c r="L54" i="30"/>
  <c r="L58" i="30"/>
  <c r="L62" i="30"/>
  <c r="L5" i="30"/>
  <c r="L11" i="30"/>
  <c r="L15" i="30"/>
  <c r="L19" i="30"/>
  <c r="L23" i="30"/>
  <c r="L27" i="30"/>
  <c r="L31" i="30"/>
  <c r="L35" i="30"/>
  <c r="L39" i="30"/>
  <c r="L43" i="30"/>
  <c r="L47" i="30"/>
  <c r="L51" i="30"/>
  <c r="L55" i="30"/>
  <c r="L59" i="30"/>
  <c r="L63" i="30"/>
  <c r="B14" i="29"/>
  <c r="B16" i="29"/>
  <c r="B18" i="29"/>
  <c r="B20" i="29"/>
  <c r="B22" i="29"/>
  <c r="B24" i="29"/>
  <c r="B26" i="29"/>
  <c r="B28" i="29"/>
  <c r="B30" i="29"/>
  <c r="B32" i="29"/>
  <c r="B34" i="29"/>
  <c r="B15" i="29"/>
  <c r="B17" i="29"/>
  <c r="B19" i="29"/>
  <c r="B21" i="29"/>
  <c r="B23" i="29"/>
  <c r="B25" i="29"/>
  <c r="B27" i="29"/>
  <c r="B29" i="29"/>
  <c r="B31" i="29"/>
  <c r="B33" i="29"/>
  <c r="S1162" i="16"/>
  <c r="S1158" i="16"/>
  <c r="S1154" i="16"/>
  <c r="S1150" i="16"/>
  <c r="S1146" i="16"/>
  <c r="S1142" i="16"/>
  <c r="S1138" i="16"/>
  <c r="S1134" i="16"/>
  <c r="S1130" i="16"/>
  <c r="S1126" i="16"/>
  <c r="S1122" i="16"/>
  <c r="S1118" i="16"/>
  <c r="S1114" i="16"/>
  <c r="S1110" i="16"/>
  <c r="S1106" i="16"/>
  <c r="S1160" i="16"/>
  <c r="S1156" i="16"/>
  <c r="S1152" i="16"/>
  <c r="S1148" i="16"/>
  <c r="S1144" i="16"/>
  <c r="S1140" i="16"/>
  <c r="S1136" i="16"/>
  <c r="S1132" i="16"/>
  <c r="S1128" i="16"/>
  <c r="S1124" i="16"/>
  <c r="S1120" i="16"/>
  <c r="S1116" i="16"/>
  <c r="S1112" i="16"/>
  <c r="S1108" i="16"/>
  <c r="S1104" i="16"/>
  <c r="S1100" i="16"/>
  <c r="S1096" i="16"/>
  <c r="S1092" i="16"/>
  <c r="S1088" i="16"/>
  <c r="S1084" i="16"/>
  <c r="S1080" i="16"/>
  <c r="S1076" i="16"/>
  <c r="S1072" i="16"/>
  <c r="S1068" i="16"/>
  <c r="S1064" i="16"/>
  <c r="S1060" i="16"/>
  <c r="S1056" i="16"/>
  <c r="S1052" i="16"/>
  <c r="S1048" i="16"/>
  <c r="S1044" i="16"/>
  <c r="S1040" i="16"/>
  <c r="S1036" i="16"/>
  <c r="S1032" i="16"/>
  <c r="S1028" i="16"/>
  <c r="S1024" i="16"/>
  <c r="S1020" i="16"/>
  <c r="S1016" i="16"/>
  <c r="S1012" i="16"/>
  <c r="S1008" i="16"/>
  <c r="S1004" i="16"/>
  <c r="S1000" i="16"/>
  <c r="S996" i="16"/>
  <c r="S992" i="16"/>
  <c r="S988" i="16"/>
  <c r="S984" i="16"/>
  <c r="S980" i="16"/>
  <c r="S976" i="16"/>
  <c r="S972" i="16"/>
  <c r="S968" i="16"/>
  <c r="S964" i="16"/>
  <c r="S960" i="16"/>
  <c r="S956" i="16"/>
  <c r="S952" i="16"/>
  <c r="S948" i="16"/>
  <c r="S944" i="16"/>
  <c r="S940" i="16"/>
  <c r="S936" i="16"/>
  <c r="S932" i="16"/>
  <c r="S928" i="16"/>
  <c r="S924" i="16"/>
  <c r="S920" i="16"/>
  <c r="S916" i="16"/>
  <c r="S912" i="16"/>
  <c r="S908" i="16"/>
  <c r="S904" i="16"/>
  <c r="S900" i="16"/>
  <c r="S896" i="16"/>
  <c r="S892" i="16"/>
  <c r="S888" i="16"/>
  <c r="S884" i="16"/>
  <c r="S880" i="16"/>
  <c r="S876" i="16"/>
  <c r="S872" i="16"/>
  <c r="S868" i="16"/>
  <c r="S864" i="16"/>
  <c r="S860" i="16"/>
  <c r="S856" i="16"/>
  <c r="S852" i="16"/>
  <c r="S848" i="16"/>
  <c r="S844" i="16"/>
  <c r="S840" i="16"/>
  <c r="S836" i="16"/>
  <c r="S832" i="16"/>
  <c r="S828" i="16"/>
  <c r="S824" i="16"/>
  <c r="S820" i="16"/>
  <c r="S816" i="16"/>
  <c r="S812" i="16"/>
  <c r="S808" i="16"/>
  <c r="S804" i="16"/>
  <c r="S800" i="16"/>
  <c r="S796" i="16"/>
  <c r="S792" i="16"/>
  <c r="S788" i="16"/>
  <c r="S784" i="16"/>
  <c r="S780" i="16"/>
  <c r="S776" i="16"/>
  <c r="S772" i="16"/>
  <c r="S768" i="16"/>
  <c r="S764" i="16"/>
  <c r="S760" i="16"/>
  <c r="S756" i="16"/>
  <c r="S752" i="16"/>
  <c r="S748" i="16"/>
  <c r="S744" i="16"/>
  <c r="S740" i="16"/>
  <c r="S736" i="16"/>
  <c r="S732" i="16"/>
  <c r="S728" i="16"/>
  <c r="S724" i="16"/>
  <c r="S720" i="16"/>
  <c r="S716" i="16"/>
  <c r="S712" i="16"/>
  <c r="S708" i="16"/>
  <c r="S704" i="16"/>
  <c r="S700" i="16"/>
  <c r="S696" i="16"/>
  <c r="S692" i="16"/>
  <c r="S688" i="16"/>
  <c r="S684" i="16"/>
  <c r="S680" i="16"/>
  <c r="S676" i="16"/>
  <c r="S672" i="16"/>
  <c r="S668" i="16"/>
  <c r="S664" i="16"/>
  <c r="S660" i="16"/>
  <c r="S656" i="16"/>
  <c r="S652" i="16"/>
  <c r="S648" i="16"/>
  <c r="S644" i="16"/>
  <c r="S640" i="16"/>
  <c r="S636" i="16"/>
  <c r="S632" i="16"/>
  <c r="S628" i="16"/>
  <c r="S624" i="16"/>
  <c r="S620" i="16"/>
  <c r="S616" i="16"/>
  <c r="S612" i="16"/>
  <c r="S608" i="16"/>
  <c r="S604" i="16"/>
  <c r="S600" i="16"/>
  <c r="S596" i="16"/>
  <c r="S592" i="16"/>
  <c r="S588" i="16"/>
  <c r="S584" i="16"/>
  <c r="S580" i="16"/>
  <c r="S576" i="16"/>
  <c r="S572" i="16"/>
  <c r="S568" i="16"/>
  <c r="S564" i="16"/>
  <c r="S560" i="16"/>
  <c r="S556" i="16"/>
  <c r="S552" i="16"/>
  <c r="S548" i="16"/>
  <c r="S544" i="16"/>
  <c r="S540" i="16"/>
  <c r="S536" i="16"/>
  <c r="S532" i="16"/>
  <c r="S528" i="16"/>
  <c r="S524" i="16"/>
  <c r="S520" i="16"/>
  <c r="S516" i="16"/>
  <c r="S512" i="16"/>
  <c r="S508" i="16"/>
  <c r="S504" i="16"/>
  <c r="S500" i="16"/>
  <c r="S496" i="16"/>
  <c r="S492" i="16"/>
  <c r="S488" i="16"/>
  <c r="S484" i="16"/>
  <c r="S480" i="16"/>
  <c r="S476" i="16"/>
  <c r="S472" i="16"/>
  <c r="S468" i="16"/>
  <c r="S464" i="16"/>
  <c r="S460" i="16"/>
  <c r="S456" i="16"/>
  <c r="S452" i="16"/>
  <c r="S448" i="16"/>
  <c r="S444" i="16"/>
  <c r="S440" i="16"/>
  <c r="S436" i="16"/>
  <c r="S432" i="16"/>
  <c r="S428" i="16"/>
  <c r="S424" i="16"/>
  <c r="S420" i="16"/>
  <c r="S416" i="16"/>
  <c r="S412" i="16"/>
  <c r="S408" i="16"/>
  <c r="S404" i="16"/>
  <c r="S400" i="16"/>
  <c r="S396" i="16"/>
  <c r="S392" i="16"/>
  <c r="S388" i="16"/>
  <c r="S384" i="16"/>
  <c r="S380" i="16"/>
  <c r="S376" i="16"/>
  <c r="S372" i="16"/>
  <c r="S368" i="16"/>
  <c r="S364" i="16"/>
  <c r="S360" i="16"/>
  <c r="S356" i="16"/>
  <c r="S352" i="16"/>
  <c r="S348" i="16"/>
  <c r="S344" i="16"/>
  <c r="S340" i="16"/>
  <c r="S336" i="16"/>
  <c r="S332" i="16"/>
  <c r="S328" i="16"/>
  <c r="S324" i="16"/>
  <c r="S1159" i="16"/>
  <c r="S1151" i="16"/>
  <c r="S1143" i="16"/>
  <c r="S1135" i="16"/>
  <c r="S1127" i="16"/>
  <c r="S1119" i="16"/>
  <c r="S1111" i="16"/>
  <c r="S1103" i="16"/>
  <c r="S1098" i="16"/>
  <c r="S1093" i="16"/>
  <c r="S1087" i="16"/>
  <c r="S1082" i="16"/>
  <c r="S1077" i="16"/>
  <c r="S1071" i="16"/>
  <c r="S1066" i="16"/>
  <c r="S1061" i="16"/>
  <c r="S1055" i="16"/>
  <c r="S1050" i="16"/>
  <c r="S1045" i="16"/>
  <c r="S1039" i="16"/>
  <c r="S1034" i="16"/>
  <c r="S1029" i="16"/>
  <c r="S1023" i="16"/>
  <c r="S1018" i="16"/>
  <c r="S1013" i="16"/>
  <c r="S1007" i="16"/>
  <c r="S1002" i="16"/>
  <c r="S997" i="16"/>
  <c r="S991" i="16"/>
  <c r="S986" i="16"/>
  <c r="S981" i="16"/>
  <c r="S975" i="16"/>
  <c r="S970" i="16"/>
  <c r="S965" i="16"/>
  <c r="S959" i="16"/>
  <c r="S954" i="16"/>
  <c r="S949" i="16"/>
  <c r="S943" i="16"/>
  <c r="S938" i="16"/>
  <c r="S933" i="16"/>
  <c r="S927" i="16"/>
  <c r="S922" i="16"/>
  <c r="S917" i="16"/>
  <c r="S911" i="16"/>
  <c r="S906" i="16"/>
  <c r="S901" i="16"/>
  <c r="S895" i="16"/>
  <c r="S890" i="16"/>
  <c r="S885" i="16"/>
  <c r="S879" i="16"/>
  <c r="S874" i="16"/>
  <c r="S869" i="16"/>
  <c r="S863" i="16"/>
  <c r="S858" i="16"/>
  <c r="S853" i="16"/>
  <c r="S847" i="16"/>
  <c r="S842" i="16"/>
  <c r="S837" i="16"/>
  <c r="S831" i="16"/>
  <c r="S826" i="16"/>
  <c r="S821" i="16"/>
  <c r="S815" i="16"/>
  <c r="S810" i="16"/>
  <c r="S805" i="16"/>
  <c r="S799" i="16"/>
  <c r="S794" i="16"/>
  <c r="S789" i="16"/>
  <c r="S783" i="16"/>
  <c r="S778" i="16"/>
  <c r="S773" i="16"/>
  <c r="S767" i="16"/>
  <c r="S762" i="16"/>
  <c r="S757" i="16"/>
  <c r="S751" i="16"/>
  <c r="S746" i="16"/>
  <c r="S741" i="16"/>
  <c r="S735" i="16"/>
  <c r="S730" i="16"/>
  <c r="S725" i="16"/>
  <c r="S719" i="16"/>
  <c r="S714" i="16"/>
  <c r="S709" i="16"/>
  <c r="S703" i="16"/>
  <c r="S698" i="16"/>
  <c r="S693" i="16"/>
  <c r="S687" i="16"/>
  <c r="S682" i="16"/>
  <c r="S677" i="16"/>
  <c r="S671" i="16"/>
  <c r="S666" i="16"/>
  <c r="S661" i="16"/>
  <c r="S655" i="16"/>
  <c r="S650" i="16"/>
  <c r="S645" i="16"/>
  <c r="S639" i="16"/>
  <c r="S634" i="16"/>
  <c r="S629" i="16"/>
  <c r="S623" i="16"/>
  <c r="S618" i="16"/>
  <c r="S613" i="16"/>
  <c r="S607" i="16"/>
  <c r="S602" i="16"/>
  <c r="S597" i="16"/>
  <c r="S591" i="16"/>
  <c r="S586" i="16"/>
  <c r="S581" i="16"/>
  <c r="S575" i="16"/>
  <c r="S570" i="16"/>
  <c r="S565" i="16"/>
  <c r="S559" i="16"/>
  <c r="S554" i="16"/>
  <c r="S549" i="16"/>
  <c r="S543" i="16"/>
  <c r="S538" i="16"/>
  <c r="S533" i="16"/>
  <c r="S527" i="16"/>
  <c r="S522" i="16"/>
  <c r="S517" i="16"/>
  <c r="S511" i="16"/>
  <c r="S506" i="16"/>
  <c r="S501" i="16"/>
  <c r="S495" i="16"/>
  <c r="S490" i="16"/>
  <c r="S485" i="16"/>
  <c r="S479" i="16"/>
  <c r="S474" i="16"/>
  <c r="S469" i="16"/>
  <c r="S463" i="16"/>
  <c r="S458" i="16"/>
  <c r="S453" i="16"/>
  <c r="S447" i="16"/>
  <c r="S442" i="16"/>
  <c r="S437" i="16"/>
  <c r="S431" i="16"/>
  <c r="S426" i="16"/>
  <c r="S421" i="16"/>
  <c r="S415" i="16"/>
  <c r="S410" i="16"/>
  <c r="S405" i="16"/>
  <c r="S399" i="16"/>
  <c r="S394" i="16"/>
  <c r="S389" i="16"/>
  <c r="S383" i="16"/>
  <c r="S378" i="16"/>
  <c r="S373" i="16"/>
  <c r="S367" i="16"/>
  <c r="S362" i="16"/>
  <c r="S357" i="16"/>
  <c r="S351" i="16"/>
  <c r="S346" i="16"/>
  <c r="S341" i="16"/>
  <c r="S335" i="16"/>
  <c r="S330" i="16"/>
  <c r="S325" i="16"/>
  <c r="S320" i="16"/>
  <c r="S316" i="16"/>
  <c r="S312" i="16"/>
  <c r="S308" i="16"/>
  <c r="S304" i="16"/>
  <c r="S300" i="16"/>
  <c r="S296" i="16"/>
  <c r="S292" i="16"/>
  <c r="S288" i="16"/>
  <c r="S284" i="16"/>
  <c r="S280" i="16"/>
  <c r="S276" i="16"/>
  <c r="S272" i="16"/>
  <c r="S268" i="16"/>
  <c r="S264" i="16"/>
  <c r="S260" i="16"/>
  <c r="S256" i="16"/>
  <c r="S252" i="16"/>
  <c r="S248" i="16"/>
  <c r="S244" i="16"/>
  <c r="S240" i="16"/>
  <c r="S236" i="16"/>
  <c r="S232" i="16"/>
  <c r="S228" i="16"/>
  <c r="S224" i="16"/>
  <c r="S220" i="16"/>
  <c r="S216" i="16"/>
  <c r="S212" i="16"/>
  <c r="S208" i="16"/>
  <c r="S204" i="16"/>
  <c r="S200" i="16"/>
  <c r="S196" i="16"/>
  <c r="S192" i="16"/>
  <c r="S188" i="16"/>
  <c r="S184" i="16"/>
  <c r="S180" i="16"/>
  <c r="S176" i="16"/>
  <c r="S172" i="16"/>
  <c r="S168" i="16"/>
  <c r="S164" i="16"/>
  <c r="S160" i="16"/>
  <c r="S156" i="16"/>
  <c r="S152" i="16"/>
  <c r="S148" i="16"/>
  <c r="S144" i="16"/>
  <c r="S140" i="16"/>
  <c r="S136" i="16"/>
  <c r="S132" i="16"/>
  <c r="S128" i="16"/>
  <c r="S124" i="16"/>
  <c r="S120" i="16"/>
  <c r="S116" i="16"/>
  <c r="S112" i="16"/>
  <c r="S108" i="16"/>
  <c r="S104" i="16"/>
  <c r="S100" i="16"/>
  <c r="S96" i="16"/>
  <c r="S92" i="16"/>
  <c r="S88" i="16"/>
  <c r="S84" i="16"/>
  <c r="S80" i="16"/>
  <c r="S76" i="16"/>
  <c r="S72" i="16"/>
  <c r="S68" i="16"/>
  <c r="S64" i="16"/>
  <c r="S60" i="16"/>
  <c r="S56" i="16"/>
  <c r="S52" i="16"/>
  <c r="S48" i="16"/>
  <c r="S44" i="16"/>
  <c r="S40" i="16"/>
  <c r="S36" i="16"/>
  <c r="S32" i="16"/>
  <c r="S28" i="16"/>
  <c r="S24" i="16"/>
  <c r="S20" i="16"/>
  <c r="S16" i="16"/>
  <c r="S12" i="16"/>
  <c r="S8" i="16"/>
  <c r="S4" i="16"/>
  <c r="S1157" i="16"/>
  <c r="S1149" i="16"/>
  <c r="S1141" i="16"/>
  <c r="S1133" i="16"/>
  <c r="S1125" i="16"/>
  <c r="S1117" i="16"/>
  <c r="S1109" i="16"/>
  <c r="S1102" i="16"/>
  <c r="S1097" i="16"/>
  <c r="S1091" i="16"/>
  <c r="S1086" i="16"/>
  <c r="S1081" i="16"/>
  <c r="S1075" i="16"/>
  <c r="S1070" i="16"/>
  <c r="S1065" i="16"/>
  <c r="S1059" i="16"/>
  <c r="S1054" i="16"/>
  <c r="S1049" i="16"/>
  <c r="S1043" i="16"/>
  <c r="S1038" i="16"/>
  <c r="S1033" i="16"/>
  <c r="S1027" i="16"/>
  <c r="S1022" i="16"/>
  <c r="S1017" i="16"/>
  <c r="S1011" i="16"/>
  <c r="S1006" i="16"/>
  <c r="S1001" i="16"/>
  <c r="S995" i="16"/>
  <c r="S990" i="16"/>
  <c r="S985" i="16"/>
  <c r="S979" i="16"/>
  <c r="S974" i="16"/>
  <c r="S969" i="16"/>
  <c r="S963" i="16"/>
  <c r="S958" i="16"/>
  <c r="S953" i="16"/>
  <c r="S947" i="16"/>
  <c r="S942" i="16"/>
  <c r="S937" i="16"/>
  <c r="S931" i="16"/>
  <c r="S926" i="16"/>
  <c r="S921" i="16"/>
  <c r="S915" i="16"/>
  <c r="S910" i="16"/>
  <c r="S905" i="16"/>
  <c r="S899" i="16"/>
  <c r="S894" i="16"/>
  <c r="S889" i="16"/>
  <c r="S883" i="16"/>
  <c r="S878" i="16"/>
  <c r="S873" i="16"/>
  <c r="S867" i="16"/>
  <c r="S862" i="16"/>
  <c r="S857" i="16"/>
  <c r="S851" i="16"/>
  <c r="S846" i="16"/>
  <c r="S841" i="16"/>
  <c r="S835" i="16"/>
  <c r="S830" i="16"/>
  <c r="S825" i="16"/>
  <c r="S819" i="16"/>
  <c r="S814" i="16"/>
  <c r="S809" i="16"/>
  <c r="S803" i="16"/>
  <c r="S798" i="16"/>
  <c r="S793" i="16"/>
  <c r="S787" i="16"/>
  <c r="S782" i="16"/>
  <c r="S777" i="16"/>
  <c r="S771" i="16"/>
  <c r="S766" i="16"/>
  <c r="S761" i="16"/>
  <c r="S755" i="16"/>
  <c r="S750" i="16"/>
  <c r="S745" i="16"/>
  <c r="S739" i="16"/>
  <c r="S734" i="16"/>
  <c r="S729" i="16"/>
  <c r="S723" i="16"/>
  <c r="S718" i="16"/>
  <c r="S713" i="16"/>
  <c r="S707" i="16"/>
  <c r="S702" i="16"/>
  <c r="S697" i="16"/>
  <c r="S691" i="16"/>
  <c r="S686" i="16"/>
  <c r="S681" i="16"/>
  <c r="S675" i="16"/>
  <c r="S670" i="16"/>
  <c r="S665" i="16"/>
  <c r="S659" i="16"/>
  <c r="S654" i="16"/>
  <c r="S649" i="16"/>
  <c r="S643" i="16"/>
  <c r="S638" i="16"/>
  <c r="S633" i="16"/>
  <c r="S627" i="16"/>
  <c r="S622" i="16"/>
  <c r="S617" i="16"/>
  <c r="S611" i="16"/>
  <c r="S606" i="16"/>
  <c r="S601" i="16"/>
  <c r="S595" i="16"/>
  <c r="S590" i="16"/>
  <c r="S585" i="16"/>
  <c r="S579" i="16"/>
  <c r="S574" i="16"/>
  <c r="S569" i="16"/>
  <c r="S563" i="16"/>
  <c r="S558" i="16"/>
  <c r="S553" i="16"/>
  <c r="S547" i="16"/>
  <c r="S542" i="16"/>
  <c r="S537" i="16"/>
  <c r="S531" i="16"/>
  <c r="S526" i="16"/>
  <c r="S521" i="16"/>
  <c r="S515" i="16"/>
  <c r="S510" i="16"/>
  <c r="S505" i="16"/>
  <c r="S499" i="16"/>
  <c r="S494" i="16"/>
  <c r="S489" i="16"/>
  <c r="S483" i="16"/>
  <c r="S478" i="16"/>
  <c r="S473" i="16"/>
  <c r="S467" i="16"/>
  <c r="S462" i="16"/>
  <c r="S457" i="16"/>
  <c r="S451" i="16"/>
  <c r="S446" i="16"/>
  <c r="S441" i="16"/>
  <c r="S435" i="16"/>
  <c r="S430" i="16"/>
  <c r="S425" i="16"/>
  <c r="S419" i="16"/>
  <c r="S414" i="16"/>
  <c r="S409" i="16"/>
  <c r="S403" i="16"/>
  <c r="S398" i="16"/>
  <c r="S393" i="16"/>
  <c r="S387" i="16"/>
  <c r="S382" i="16"/>
  <c r="S377" i="16"/>
  <c r="S371" i="16"/>
  <c r="S366" i="16"/>
  <c r="S361" i="16"/>
  <c r="S355" i="16"/>
  <c r="S350" i="16"/>
  <c r="S345" i="16"/>
  <c r="S339" i="16"/>
  <c r="S334" i="16"/>
  <c r="S329" i="16"/>
  <c r="S323" i="16"/>
  <c r="S319" i="16"/>
  <c r="S315" i="16"/>
  <c r="S311" i="16"/>
  <c r="S307" i="16"/>
  <c r="S303" i="16"/>
  <c r="S299" i="16"/>
  <c r="S295" i="16"/>
  <c r="S291" i="16"/>
  <c r="S287" i="16"/>
  <c r="S283" i="16"/>
  <c r="S279" i="16"/>
  <c r="S275" i="16"/>
  <c r="S271" i="16"/>
  <c r="S267" i="16"/>
  <c r="S263" i="16"/>
  <c r="S259" i="16"/>
  <c r="S255" i="16"/>
  <c r="S251" i="16"/>
  <c r="S247" i="16"/>
  <c r="S243" i="16"/>
  <c r="S239" i="16"/>
  <c r="S235" i="16"/>
  <c r="S231" i="16"/>
  <c r="S227" i="16"/>
  <c r="S223" i="16"/>
  <c r="S219" i="16"/>
  <c r="S215" i="16"/>
  <c r="S211" i="16"/>
  <c r="S207" i="16"/>
  <c r="S203" i="16"/>
  <c r="S199" i="16"/>
  <c r="S195" i="16"/>
  <c r="S191" i="16"/>
  <c r="S187" i="16"/>
  <c r="S183" i="16"/>
  <c r="S179" i="16"/>
  <c r="S175" i="16"/>
  <c r="S171" i="16"/>
  <c r="S167" i="16"/>
  <c r="S163" i="16"/>
  <c r="S159" i="16"/>
  <c r="S155" i="16"/>
  <c r="S151" i="16"/>
  <c r="S147" i="16"/>
  <c r="S143" i="16"/>
  <c r="S139" i="16"/>
  <c r="S135" i="16"/>
  <c r="S131" i="16"/>
  <c r="S127" i="16"/>
  <c r="S123" i="16"/>
  <c r="S119" i="16"/>
  <c r="S115" i="16"/>
  <c r="S111" i="16"/>
  <c r="S107" i="16"/>
  <c r="S103" i="16"/>
  <c r="S99" i="16"/>
  <c r="S95" i="16"/>
  <c r="S91" i="16"/>
  <c r="S87" i="16"/>
  <c r="S83" i="16"/>
  <c r="S79" i="16"/>
  <c r="S75" i="16"/>
  <c r="S71" i="16"/>
  <c r="S67" i="16"/>
  <c r="S63" i="16"/>
  <c r="S59" i="16"/>
  <c r="S55" i="16"/>
  <c r="S51" i="16"/>
  <c r="S47" i="16"/>
  <c r="S43" i="16"/>
  <c r="S39" i="16"/>
  <c r="S35" i="16"/>
  <c r="S31" i="16"/>
  <c r="S27" i="16"/>
  <c r="S23" i="16"/>
  <c r="S19" i="16"/>
  <c r="S15" i="16"/>
  <c r="S11" i="16"/>
  <c r="S7" i="16"/>
  <c r="S3" i="16"/>
  <c r="S1161" i="16"/>
  <c r="S1153" i="16"/>
  <c r="S1145" i="16"/>
  <c r="S1137" i="16"/>
  <c r="S1129" i="16"/>
  <c r="S1121" i="16"/>
  <c r="S1113" i="16"/>
  <c r="S1105" i="16"/>
  <c r="S1099" i="16"/>
  <c r="S1094" i="16"/>
  <c r="S1089" i="16"/>
  <c r="S1083" i="16"/>
  <c r="S1078" i="16"/>
  <c r="S1073" i="16"/>
  <c r="S1067" i="16"/>
  <c r="S1062" i="16"/>
  <c r="S1057" i="16"/>
  <c r="S1051" i="16"/>
  <c r="S1046" i="16"/>
  <c r="S1041" i="16"/>
  <c r="S1035" i="16"/>
  <c r="S1030" i="16"/>
  <c r="S1025" i="16"/>
  <c r="S1019" i="16"/>
  <c r="S1014" i="16"/>
  <c r="S1009" i="16"/>
  <c r="S1003" i="16"/>
  <c r="S998" i="16"/>
  <c r="S993" i="16"/>
  <c r="S987" i="16"/>
  <c r="S982" i="16"/>
  <c r="S977" i="16"/>
  <c r="S971" i="16"/>
  <c r="S966" i="16"/>
  <c r="S961" i="16"/>
  <c r="S955" i="16"/>
  <c r="S950" i="16"/>
  <c r="S945" i="16"/>
  <c r="S939" i="16"/>
  <c r="S934" i="16"/>
  <c r="S929" i="16"/>
  <c r="S923" i="16"/>
  <c r="S918" i="16"/>
  <c r="S913" i="16"/>
  <c r="S907" i="16"/>
  <c r="S902" i="16"/>
  <c r="S897" i="16"/>
  <c r="S891" i="16"/>
  <c r="S886" i="16"/>
  <c r="S881" i="16"/>
  <c r="S875" i="16"/>
  <c r="S870" i="16"/>
  <c r="S865" i="16"/>
  <c r="S859" i="16"/>
  <c r="S854" i="16"/>
  <c r="S849" i="16"/>
  <c r="S843" i="16"/>
  <c r="S838" i="16"/>
  <c r="S833" i="16"/>
  <c r="S827" i="16"/>
  <c r="S822" i="16"/>
  <c r="S817" i="16"/>
  <c r="S811" i="16"/>
  <c r="S806" i="16"/>
  <c r="S801" i="16"/>
  <c r="S795" i="16"/>
  <c r="S790" i="16"/>
  <c r="S785" i="16"/>
  <c r="S779" i="16"/>
  <c r="S774" i="16"/>
  <c r="S769" i="16"/>
  <c r="S763" i="16"/>
  <c r="S758" i="16"/>
  <c r="S753" i="16"/>
  <c r="S747" i="16"/>
  <c r="S742" i="16"/>
  <c r="S737" i="16"/>
  <c r="S731" i="16"/>
  <c r="S726" i="16"/>
  <c r="S721" i="16"/>
  <c r="S715" i="16"/>
  <c r="S710" i="16"/>
  <c r="S705" i="16"/>
  <c r="S699" i="16"/>
  <c r="S694" i="16"/>
  <c r="S689" i="16"/>
  <c r="S683" i="16"/>
  <c r="S678" i="16"/>
  <c r="S673" i="16"/>
  <c r="S667" i="16"/>
  <c r="S662" i="16"/>
  <c r="S657" i="16"/>
  <c r="S651" i="16"/>
  <c r="S646" i="16"/>
  <c r="S641" i="16"/>
  <c r="S635" i="16"/>
  <c r="S630" i="16"/>
  <c r="S625" i="16"/>
  <c r="S619" i="16"/>
  <c r="S614" i="16"/>
  <c r="S609" i="16"/>
  <c r="S603" i="16"/>
  <c r="S598" i="16"/>
  <c r="S593" i="16"/>
  <c r="S587" i="16"/>
  <c r="S582" i="16"/>
  <c r="S577" i="16"/>
  <c r="S571" i="16"/>
  <c r="S566" i="16"/>
  <c r="S561" i="16"/>
  <c r="S555" i="16"/>
  <c r="S550" i="16"/>
  <c r="S545" i="16"/>
  <c r="S539" i="16"/>
  <c r="S534" i="16"/>
  <c r="S529" i="16"/>
  <c r="S523" i="16"/>
  <c r="S518" i="16"/>
  <c r="S513" i="16"/>
  <c r="S507" i="16"/>
  <c r="S502" i="16"/>
  <c r="S497" i="16"/>
  <c r="S491" i="16"/>
  <c r="S486" i="16"/>
  <c r="S481" i="16"/>
  <c r="S475" i="16"/>
  <c r="S470" i="16"/>
  <c r="S465" i="16"/>
  <c r="S459" i="16"/>
  <c r="S454" i="16"/>
  <c r="S449" i="16"/>
  <c r="S443" i="16"/>
  <c r="S438" i="16"/>
  <c r="S433" i="16"/>
  <c r="S427" i="16"/>
  <c r="S422" i="16"/>
  <c r="S417" i="16"/>
  <c r="S411" i="16"/>
  <c r="S406" i="16"/>
  <c r="S401" i="16"/>
  <c r="S395" i="16"/>
  <c r="S390" i="16"/>
  <c r="S385" i="16"/>
  <c r="S379" i="16"/>
  <c r="S374" i="16"/>
  <c r="S369" i="16"/>
  <c r="S363" i="16"/>
  <c r="S358" i="16"/>
  <c r="S353" i="16"/>
  <c r="S347" i="16"/>
  <c r="S342" i="16"/>
  <c r="S337" i="16"/>
  <c r="S331" i="16"/>
  <c r="S326" i="16"/>
  <c r="S321" i="16"/>
  <c r="S317" i="16"/>
  <c r="S313" i="16"/>
  <c r="S309" i="16"/>
  <c r="S305" i="16"/>
  <c r="S301" i="16"/>
  <c r="S297" i="16"/>
  <c r="S293" i="16"/>
  <c r="S289" i="16"/>
  <c r="S285" i="16"/>
  <c r="S281" i="16"/>
  <c r="S277" i="16"/>
  <c r="S273" i="16"/>
  <c r="S269" i="16"/>
  <c r="S265" i="16"/>
  <c r="S261" i="16"/>
  <c r="S257" i="16"/>
  <c r="S253" i="16"/>
  <c r="S249" i="16"/>
  <c r="S245" i="16"/>
  <c r="S241" i="16"/>
  <c r="S237" i="16"/>
  <c r="S233" i="16"/>
  <c r="S229" i="16"/>
  <c r="S225" i="16"/>
  <c r="S221" i="16"/>
  <c r="S217" i="16"/>
  <c r="S213" i="16"/>
  <c r="S209" i="16"/>
  <c r="S205" i="16"/>
  <c r="S201" i="16"/>
  <c r="S197" i="16"/>
  <c r="S193" i="16"/>
  <c r="S189" i="16"/>
  <c r="S185" i="16"/>
  <c r="S181" i="16"/>
  <c r="S177" i="16"/>
  <c r="S173" i="16"/>
  <c r="S169" i="16"/>
  <c r="S165" i="16"/>
  <c r="S161" i="16"/>
  <c r="S157" i="16"/>
  <c r="S153" i="16"/>
  <c r="S149" i="16"/>
  <c r="S145" i="16"/>
  <c r="S141" i="16"/>
  <c r="S137" i="16"/>
  <c r="S133" i="16"/>
  <c r="S129" i="16"/>
  <c r="S125" i="16"/>
  <c r="S121" i="16"/>
  <c r="S117" i="16"/>
  <c r="S113" i="16"/>
  <c r="S109" i="16"/>
  <c r="S105" i="16"/>
  <c r="S101" i="16"/>
  <c r="S97" i="16"/>
  <c r="S93" i="16"/>
  <c r="S89" i="16"/>
  <c r="S85" i="16"/>
  <c r="S81" i="16"/>
  <c r="S77" i="16"/>
  <c r="S73" i="16"/>
  <c r="S69" i="16"/>
  <c r="S65" i="16"/>
  <c r="S61" i="16"/>
  <c r="S57" i="16"/>
  <c r="S53" i="16"/>
  <c r="S49" i="16"/>
  <c r="S45" i="16"/>
  <c r="S41" i="16"/>
  <c r="S37" i="16"/>
  <c r="S33" i="16"/>
  <c r="S29" i="16"/>
  <c r="S25" i="16"/>
  <c r="S21" i="16"/>
  <c r="S17" i="16"/>
  <c r="S13" i="16"/>
  <c r="S9" i="16"/>
  <c r="S5" i="16"/>
  <c r="S1155" i="16"/>
  <c r="S1123" i="16"/>
  <c r="S1095" i="16"/>
  <c r="S1074" i="16"/>
  <c r="S1053" i="16"/>
  <c r="S1031" i="16"/>
  <c r="S1010" i="16"/>
  <c r="S989" i="16"/>
  <c r="S967" i="16"/>
  <c r="S946" i="16"/>
  <c r="S925" i="16"/>
  <c r="S903" i="16"/>
  <c r="S882" i="16"/>
  <c r="S861" i="16"/>
  <c r="S839" i="16"/>
  <c r="S818" i="16"/>
  <c r="S797" i="16"/>
  <c r="S775" i="16"/>
  <c r="S754" i="16"/>
  <c r="S733" i="16"/>
  <c r="S711" i="16"/>
  <c r="S690" i="16"/>
  <c r="S669" i="16"/>
  <c r="S647" i="16"/>
  <c r="S626" i="16"/>
  <c r="S605" i="16"/>
  <c r="S583" i="16"/>
  <c r="S562" i="16"/>
  <c r="S541" i="16"/>
  <c r="S519" i="16"/>
  <c r="S498" i="16"/>
  <c r="S477" i="16"/>
  <c r="S455" i="16"/>
  <c r="S434" i="16"/>
  <c r="S413" i="16"/>
  <c r="S391" i="16"/>
  <c r="S370" i="16"/>
  <c r="S349" i="16"/>
  <c r="S327" i="16"/>
  <c r="S310" i="16"/>
  <c r="S294" i="16"/>
  <c r="S278" i="16"/>
  <c r="S262" i="16"/>
  <c r="S246" i="16"/>
  <c r="S230" i="16"/>
  <c r="S214" i="16"/>
  <c r="S198" i="16"/>
  <c r="S182" i="16"/>
  <c r="S166" i="16"/>
  <c r="S150" i="16"/>
  <c r="S134" i="16"/>
  <c r="S118" i="16"/>
  <c r="S102" i="16"/>
  <c r="S86" i="16"/>
  <c r="S70" i="16"/>
  <c r="S54" i="16"/>
  <c r="S38" i="16"/>
  <c r="S22" i="16"/>
  <c r="S6" i="16"/>
  <c r="S1147" i="16"/>
  <c r="S1115" i="16"/>
  <c r="S1090" i="16"/>
  <c r="S1069" i="16"/>
  <c r="S1047" i="16"/>
  <c r="S1026" i="16"/>
  <c r="S1005" i="16"/>
  <c r="S983" i="16"/>
  <c r="S962" i="16"/>
  <c r="S941" i="16"/>
  <c r="S919" i="16"/>
  <c r="S898" i="16"/>
  <c r="S877" i="16"/>
  <c r="S855" i="16"/>
  <c r="S834" i="16"/>
  <c r="S813" i="16"/>
  <c r="S791" i="16"/>
  <c r="S770" i="16"/>
  <c r="S749" i="16"/>
  <c r="S727" i="16"/>
  <c r="S706" i="16"/>
  <c r="S685" i="16"/>
  <c r="S663" i="16"/>
  <c r="S642" i="16"/>
  <c r="S621" i="16"/>
  <c r="S599" i="16"/>
  <c r="S578" i="16"/>
  <c r="S557" i="16"/>
  <c r="S535" i="16"/>
  <c r="S514" i="16"/>
  <c r="S493" i="16"/>
  <c r="S471" i="16"/>
  <c r="S450" i="16"/>
  <c r="S429" i="16"/>
  <c r="S407" i="16"/>
  <c r="S386" i="16"/>
  <c r="S365" i="16"/>
  <c r="S343" i="16"/>
  <c r="S322" i="16"/>
  <c r="S306" i="16"/>
  <c r="S290" i="16"/>
  <c r="S274" i="16"/>
  <c r="S258" i="16"/>
  <c r="S242" i="16"/>
  <c r="S226" i="16"/>
  <c r="S210" i="16"/>
  <c r="S194" i="16"/>
  <c r="S178" i="16"/>
  <c r="S162" i="16"/>
  <c r="S146" i="16"/>
  <c r="S130" i="16"/>
  <c r="S114" i="16"/>
  <c r="S98" i="16"/>
  <c r="S82" i="16"/>
  <c r="S66" i="16"/>
  <c r="S50" i="16"/>
  <c r="S34" i="16"/>
  <c r="S18" i="16"/>
  <c r="S2" i="16"/>
  <c r="S1139" i="16"/>
  <c r="S1107" i="16"/>
  <c r="S1085" i="16"/>
  <c r="S1063" i="16"/>
  <c r="S1042" i="16"/>
  <c r="S1021" i="16"/>
  <c r="S999" i="16"/>
  <c r="S978" i="16"/>
  <c r="S957" i="16"/>
  <c r="S935" i="16"/>
  <c r="S914" i="16"/>
  <c r="S893" i="16"/>
  <c r="S871" i="16"/>
  <c r="S850" i="16"/>
  <c r="S829" i="16"/>
  <c r="S807" i="16"/>
  <c r="S786" i="16"/>
  <c r="S765" i="16"/>
  <c r="S743" i="16"/>
  <c r="S722" i="16"/>
  <c r="S701" i="16"/>
  <c r="S679" i="16"/>
  <c r="S658" i="16"/>
  <c r="S637" i="16"/>
  <c r="S615" i="16"/>
  <c r="S594" i="16"/>
  <c r="S573" i="16"/>
  <c r="S551" i="16"/>
  <c r="S530" i="16"/>
  <c r="S509" i="16"/>
  <c r="S487" i="16"/>
  <c r="S466" i="16"/>
  <c r="S445" i="16"/>
  <c r="S423" i="16"/>
  <c r="S402" i="16"/>
  <c r="S381" i="16"/>
  <c r="S359" i="16"/>
  <c r="S338" i="16"/>
  <c r="S318" i="16"/>
  <c r="S302" i="16"/>
  <c r="S286" i="16"/>
  <c r="S270" i="16"/>
  <c r="S254" i="16"/>
  <c r="S238" i="16"/>
  <c r="S222" i="16"/>
  <c r="S206" i="16"/>
  <c r="S190" i="16"/>
  <c r="S174" i="16"/>
  <c r="S158" i="16"/>
  <c r="S142" i="16"/>
  <c r="S126" i="16"/>
  <c r="S110" i="16"/>
  <c r="S94" i="16"/>
  <c r="S78" i="16"/>
  <c r="S62" i="16"/>
  <c r="S46" i="16"/>
  <c r="S30" i="16"/>
  <c r="S14" i="16"/>
  <c r="S1131" i="16"/>
  <c r="S1101" i="16"/>
  <c r="S1079" i="16"/>
  <c r="S1058" i="16"/>
  <c r="S1037" i="16"/>
  <c r="S1015" i="16"/>
  <c r="S994" i="16"/>
  <c r="S973" i="16"/>
  <c r="S951" i="16"/>
  <c r="S930" i="16"/>
  <c r="S909" i="16"/>
  <c r="S887" i="16"/>
  <c r="S866" i="16"/>
  <c r="S845" i="16"/>
  <c r="S823" i="16"/>
  <c r="S802" i="16"/>
  <c r="S781" i="16"/>
  <c r="S759" i="16"/>
  <c r="S738" i="16"/>
  <c r="S717" i="16"/>
  <c r="S695" i="16"/>
  <c r="S674" i="16"/>
  <c r="S653" i="16"/>
  <c r="S631" i="16"/>
  <c r="S610" i="16"/>
  <c r="S589" i="16"/>
  <c r="S567" i="16"/>
  <c r="S546" i="16"/>
  <c r="S525" i="16"/>
  <c r="S503" i="16"/>
  <c r="S482" i="16"/>
  <c r="S461" i="16"/>
  <c r="S439" i="16"/>
  <c r="S418" i="16"/>
  <c r="S397" i="16"/>
  <c r="S375" i="16"/>
  <c r="S354" i="16"/>
  <c r="S333" i="16"/>
  <c r="S314" i="16"/>
  <c r="S298" i="16"/>
  <c r="S282" i="16"/>
  <c r="S266" i="16"/>
  <c r="S250" i="16"/>
  <c r="S234" i="16"/>
  <c r="S218" i="16"/>
  <c r="S202" i="16"/>
  <c r="S186" i="16"/>
  <c r="S170" i="16"/>
  <c r="S154" i="16"/>
  <c r="S138" i="16"/>
  <c r="S122" i="16"/>
  <c r="S106" i="16"/>
  <c r="S90" i="16"/>
  <c r="S74" i="16"/>
  <c r="S58" i="16"/>
  <c r="S42" i="16"/>
  <c r="S26" i="16"/>
  <c r="S10" i="16"/>
  <c r="B59" i="15"/>
  <c r="B66" i="15"/>
  <c r="B64" i="15"/>
  <c r="U786" i="13"/>
  <c r="U5" i="13"/>
  <c r="U9" i="13"/>
  <c r="U13" i="13"/>
  <c r="U17" i="13"/>
  <c r="U21" i="13"/>
  <c r="U25" i="13"/>
  <c r="U29" i="13"/>
  <c r="U33" i="13"/>
  <c r="U37" i="13"/>
  <c r="U41" i="13"/>
  <c r="U45" i="13"/>
  <c r="U49" i="13"/>
  <c r="U53" i="13"/>
  <c r="U57" i="13"/>
  <c r="U61" i="13"/>
  <c r="U65" i="13"/>
  <c r="U69" i="13"/>
  <c r="U73" i="13"/>
  <c r="U77" i="13"/>
  <c r="U81" i="13"/>
  <c r="U85" i="13"/>
  <c r="U89" i="13"/>
  <c r="U93" i="13"/>
  <c r="U97" i="13"/>
  <c r="U101" i="13"/>
  <c r="U105" i="13"/>
  <c r="U109" i="13"/>
  <c r="U113" i="13"/>
  <c r="U117" i="13"/>
  <c r="U121" i="13"/>
  <c r="U125" i="13"/>
  <c r="U129" i="13"/>
  <c r="U133" i="13"/>
  <c r="U137" i="13"/>
  <c r="U141" i="13"/>
  <c r="U145" i="13"/>
  <c r="U149" i="13"/>
  <c r="U153" i="13"/>
  <c r="U157" i="13"/>
  <c r="U161" i="13"/>
  <c r="U165" i="13"/>
  <c r="U169" i="13"/>
  <c r="U173" i="13"/>
  <c r="U177" i="13"/>
  <c r="U181" i="13"/>
  <c r="U185" i="13"/>
  <c r="U189" i="13"/>
  <c r="U193" i="13"/>
  <c r="U197" i="13"/>
  <c r="U201" i="13"/>
  <c r="U205" i="13"/>
  <c r="U209" i="13"/>
  <c r="U213" i="13"/>
  <c r="U217" i="13"/>
  <c r="U221" i="13"/>
  <c r="U225" i="13"/>
  <c r="U229" i="13"/>
  <c r="U233" i="13"/>
  <c r="U237" i="13"/>
  <c r="U241" i="13"/>
  <c r="U245" i="13"/>
  <c r="U249" i="13"/>
  <c r="U253" i="13"/>
  <c r="U257" i="13"/>
  <c r="U261" i="13"/>
  <c r="U265" i="13"/>
  <c r="U269" i="13"/>
  <c r="U273" i="13"/>
  <c r="U277" i="13"/>
  <c r="U281" i="13"/>
  <c r="U285" i="13"/>
  <c r="U289" i="13"/>
  <c r="U293" i="13"/>
  <c r="U297" i="13"/>
  <c r="U301" i="13"/>
  <c r="U305" i="13"/>
  <c r="U309" i="13"/>
  <c r="U313" i="13"/>
  <c r="U317" i="13"/>
  <c r="U321" i="13"/>
  <c r="U325" i="13"/>
  <c r="U329" i="13"/>
  <c r="U333" i="13"/>
  <c r="U337" i="13"/>
  <c r="U341" i="13"/>
  <c r="U345" i="13"/>
  <c r="U349" i="13"/>
  <c r="U353" i="13"/>
  <c r="U357" i="13"/>
  <c r="U361" i="13"/>
  <c r="U365" i="13"/>
  <c r="U369" i="13"/>
  <c r="U373" i="13"/>
  <c r="U377" i="13"/>
  <c r="U381" i="13"/>
  <c r="U385" i="13"/>
  <c r="U389" i="13"/>
  <c r="U393" i="13"/>
  <c r="U397" i="13"/>
  <c r="U401" i="13"/>
  <c r="U405" i="13"/>
  <c r="U409" i="13"/>
  <c r="U413" i="13"/>
  <c r="U417" i="13"/>
  <c r="U421" i="13"/>
  <c r="U425" i="13"/>
  <c r="U429" i="13"/>
  <c r="U433" i="13"/>
  <c r="U437" i="13"/>
  <c r="U441" i="13"/>
  <c r="U445" i="13"/>
  <c r="U449" i="13"/>
  <c r="U453" i="13"/>
  <c r="U457" i="13"/>
  <c r="U461" i="13"/>
  <c r="U465" i="13"/>
  <c r="U469" i="13"/>
  <c r="U473" i="13"/>
  <c r="U477" i="13"/>
  <c r="U481" i="13"/>
  <c r="U485" i="13"/>
  <c r="U489" i="13"/>
  <c r="U493" i="13"/>
  <c r="U497" i="13"/>
  <c r="U501" i="13"/>
  <c r="U505" i="13"/>
  <c r="U509" i="13"/>
  <c r="U513" i="13"/>
  <c r="U517" i="13"/>
  <c r="U521" i="13"/>
  <c r="U525" i="13"/>
  <c r="U529" i="13"/>
  <c r="U533" i="13"/>
  <c r="U537" i="13"/>
  <c r="U541" i="13"/>
  <c r="U545" i="13"/>
  <c r="U549" i="13"/>
  <c r="U553" i="13"/>
  <c r="U557" i="13"/>
  <c r="U561" i="13"/>
  <c r="U565" i="13"/>
  <c r="U569" i="13"/>
  <c r="U573" i="13"/>
  <c r="U577" i="13"/>
  <c r="U581" i="13"/>
  <c r="U585" i="13"/>
  <c r="U589" i="13"/>
  <c r="U593" i="13"/>
  <c r="U597" i="13"/>
  <c r="U601" i="13"/>
  <c r="U605" i="13"/>
  <c r="U609" i="13"/>
  <c r="U613" i="13"/>
  <c r="U617" i="13"/>
  <c r="U621" i="13"/>
  <c r="U625" i="13"/>
  <c r="U629" i="13"/>
  <c r="U633" i="13"/>
  <c r="U637" i="13"/>
  <c r="U641" i="13"/>
  <c r="U645" i="13"/>
  <c r="U649" i="13"/>
  <c r="U653" i="13"/>
  <c r="U657" i="13"/>
  <c r="U661" i="13"/>
  <c r="U665" i="13"/>
  <c r="U669" i="13"/>
  <c r="U673" i="13"/>
  <c r="U677" i="13"/>
  <c r="U681" i="13"/>
  <c r="U685" i="13"/>
  <c r="U689" i="13"/>
  <c r="U693" i="13"/>
  <c r="U697" i="13"/>
  <c r="U701" i="13"/>
  <c r="U705" i="13"/>
  <c r="U709" i="13"/>
  <c r="U713" i="13"/>
  <c r="U717" i="13"/>
  <c r="U721" i="13"/>
  <c r="U725" i="13"/>
  <c r="U729" i="13"/>
  <c r="U789" i="13"/>
  <c r="U793" i="13"/>
  <c r="U733" i="13"/>
  <c r="U737" i="13"/>
  <c r="U741" i="13"/>
  <c r="U745" i="13"/>
  <c r="U749" i="13"/>
  <c r="U753" i="13"/>
  <c r="U757" i="13"/>
  <c r="U761" i="13"/>
  <c r="U765" i="13"/>
  <c r="U769" i="13"/>
  <c r="U773" i="13"/>
  <c r="U777" i="13"/>
  <c r="U781" i="13"/>
  <c r="U797" i="13"/>
  <c r="U801" i="13"/>
  <c r="U805" i="13"/>
  <c r="U809" i="13"/>
  <c r="U813" i="13"/>
  <c r="U817" i="13"/>
  <c r="U821" i="13"/>
  <c r="U825" i="13"/>
  <c r="U829" i="13"/>
  <c r="U833" i="13"/>
  <c r="U837" i="13"/>
  <c r="U841" i="13"/>
  <c r="U845" i="13"/>
  <c r="U849" i="13"/>
  <c r="U853" i="13"/>
  <c r="U857" i="13"/>
  <c r="U861" i="13"/>
  <c r="U865" i="13"/>
  <c r="U869" i="13"/>
  <c r="U873" i="13"/>
  <c r="U877" i="13"/>
  <c r="U881" i="13"/>
  <c r="U885" i="13"/>
  <c r="U889" i="13"/>
  <c r="U893" i="13"/>
  <c r="U897" i="13"/>
  <c r="U901" i="13"/>
  <c r="U905" i="13"/>
  <c r="U909" i="13"/>
  <c r="U913" i="13"/>
  <c r="U917" i="13"/>
  <c r="U921" i="13"/>
  <c r="U925" i="13"/>
  <c r="U929" i="13"/>
  <c r="U933" i="13"/>
  <c r="U937" i="13"/>
  <c r="U941" i="13"/>
  <c r="U10" i="13"/>
  <c r="U26" i="13"/>
  <c r="U42" i="13"/>
  <c r="U58" i="13"/>
  <c r="U74" i="13"/>
  <c r="U90" i="13"/>
  <c r="U106" i="13"/>
  <c r="U122" i="13"/>
  <c r="U138" i="13"/>
  <c r="U154" i="13"/>
  <c r="U170" i="13"/>
  <c r="U186" i="13"/>
  <c r="U202" i="13"/>
  <c r="U218" i="13"/>
  <c r="U234" i="13"/>
  <c r="U250" i="13"/>
  <c r="U266" i="13"/>
  <c r="U282" i="13"/>
  <c r="U298" i="13"/>
  <c r="U314" i="13"/>
  <c r="U330" i="13"/>
  <c r="U346" i="13"/>
  <c r="U362" i="13"/>
  <c r="U378" i="13"/>
  <c r="U394" i="13"/>
  <c r="U410" i="13"/>
  <c r="U426" i="13"/>
  <c r="U442" i="13"/>
  <c r="U458" i="13"/>
  <c r="U474" i="13"/>
  <c r="U490" i="13"/>
  <c r="U506" i="13"/>
  <c r="U522" i="13"/>
  <c r="U538" i="13"/>
  <c r="U554" i="13"/>
  <c r="U570" i="13"/>
  <c r="U586" i="13"/>
  <c r="U602" i="13"/>
  <c r="U618" i="13"/>
  <c r="U634" i="13"/>
  <c r="U650" i="13"/>
  <c r="U666" i="13"/>
  <c r="U682" i="13"/>
  <c r="U698" i="13"/>
  <c r="U714" i="13"/>
  <c r="U730" i="13"/>
  <c r="U738" i="13"/>
  <c r="U754" i="13"/>
  <c r="U770" i="13"/>
  <c r="U798" i="13"/>
  <c r="U814" i="13"/>
  <c r="U830" i="13"/>
  <c r="U846" i="13"/>
  <c r="U862" i="13"/>
  <c r="U878" i="13"/>
  <c r="U894" i="13"/>
  <c r="U910" i="13"/>
  <c r="U926" i="13"/>
  <c r="U2" i="13"/>
  <c r="U14" i="13"/>
  <c r="U30" i="13"/>
  <c r="U46" i="13"/>
  <c r="U62" i="13"/>
  <c r="U78" i="13"/>
  <c r="U94" i="13"/>
  <c r="U110" i="13"/>
  <c r="U126" i="13"/>
  <c r="U142" i="13"/>
  <c r="U158" i="13"/>
  <c r="U174" i="13"/>
  <c r="U190" i="13"/>
  <c r="U206" i="13"/>
  <c r="U222" i="13"/>
  <c r="U238" i="13"/>
  <c r="U254" i="13"/>
  <c r="U270" i="13"/>
  <c r="U286" i="13"/>
  <c r="U302" i="13"/>
  <c r="U318" i="13"/>
  <c r="U334" i="13"/>
  <c r="U350" i="13"/>
  <c r="U366" i="13"/>
  <c r="U382" i="13"/>
  <c r="U398" i="13"/>
  <c r="U414" i="13"/>
  <c r="U430" i="13"/>
  <c r="U446" i="13"/>
  <c r="U462" i="13"/>
  <c r="U478" i="13"/>
  <c r="U494" i="13"/>
  <c r="U510" i="13"/>
  <c r="U526" i="13"/>
  <c r="U542" i="13"/>
  <c r="U558" i="13"/>
  <c r="U574" i="13"/>
  <c r="U590" i="13"/>
  <c r="U606" i="13"/>
  <c r="U622" i="13"/>
  <c r="U638" i="13"/>
  <c r="U654" i="13"/>
  <c r="U670" i="13"/>
  <c r="U686" i="13"/>
  <c r="U702" i="13"/>
  <c r="U718" i="13"/>
  <c r="U790" i="13"/>
  <c r="U742" i="13"/>
  <c r="U758" i="13"/>
  <c r="U774" i="13"/>
  <c r="U802" i="13"/>
  <c r="U818" i="13"/>
  <c r="U834" i="13"/>
  <c r="U850" i="13"/>
  <c r="U866" i="13"/>
  <c r="U882" i="13"/>
  <c r="U898" i="13"/>
  <c r="U914" i="13"/>
  <c r="U930" i="13"/>
  <c r="U785" i="13"/>
  <c r="U18" i="13"/>
  <c r="U34" i="13"/>
  <c r="U50" i="13"/>
  <c r="U66" i="13"/>
  <c r="U82" i="13"/>
  <c r="U98" i="13"/>
  <c r="U114" i="13"/>
  <c r="U130" i="13"/>
  <c r="U146" i="13"/>
  <c r="U162" i="13"/>
  <c r="U178" i="13"/>
  <c r="U194" i="13"/>
  <c r="U210" i="13"/>
  <c r="U226" i="13"/>
  <c r="U242" i="13"/>
  <c r="U258" i="13"/>
  <c r="U274" i="13"/>
  <c r="U290" i="13"/>
  <c r="U306" i="13"/>
  <c r="U322" i="13"/>
  <c r="U338" i="13"/>
  <c r="U354" i="13"/>
  <c r="U370" i="13"/>
  <c r="U386" i="13"/>
  <c r="U402" i="13"/>
  <c r="U418" i="13"/>
  <c r="U434" i="13"/>
  <c r="U450" i="13"/>
  <c r="U466" i="13"/>
  <c r="U482" i="13"/>
  <c r="U498" i="13"/>
  <c r="U514" i="13"/>
  <c r="U530" i="13"/>
  <c r="U546" i="13"/>
  <c r="U562" i="13"/>
  <c r="U578" i="13"/>
  <c r="U594" i="13"/>
  <c r="U610" i="13"/>
  <c r="U626" i="13"/>
  <c r="U642" i="13"/>
  <c r="U658" i="13"/>
  <c r="U674" i="13"/>
  <c r="U690" i="13"/>
  <c r="U706" i="13"/>
  <c r="U722" i="13"/>
  <c r="U794" i="13"/>
  <c r="U746" i="13"/>
  <c r="U762" i="13"/>
  <c r="U778" i="13"/>
  <c r="U806" i="13"/>
  <c r="U822" i="13"/>
  <c r="U838" i="13"/>
  <c r="U854" i="13"/>
  <c r="U870" i="13"/>
  <c r="U886" i="13"/>
  <c r="U902" i="13"/>
  <c r="U918" i="13"/>
  <c r="U934" i="13"/>
  <c r="U6" i="13"/>
  <c r="U22" i="13"/>
  <c r="U38" i="13"/>
  <c r="U54" i="13"/>
  <c r="U70" i="13"/>
  <c r="U86" i="13"/>
  <c r="U102" i="13"/>
  <c r="U118" i="13"/>
  <c r="U134" i="13"/>
  <c r="U150" i="13"/>
  <c r="U166" i="13"/>
  <c r="U182" i="13"/>
  <c r="U198" i="13"/>
  <c r="U214" i="13"/>
  <c r="U230" i="13"/>
  <c r="U246" i="13"/>
  <c r="U262" i="13"/>
  <c r="U278" i="13"/>
  <c r="U294" i="13"/>
  <c r="U310" i="13"/>
  <c r="U326" i="13"/>
  <c r="U342" i="13"/>
  <c r="U358" i="13"/>
  <c r="U374" i="13"/>
  <c r="U390" i="13"/>
  <c r="U406" i="13"/>
  <c r="U422" i="13"/>
  <c r="U438" i="13"/>
  <c r="U454" i="13"/>
  <c r="U470" i="13"/>
  <c r="U486" i="13"/>
  <c r="U502" i="13"/>
  <c r="U518" i="13"/>
  <c r="U534" i="13"/>
  <c r="U550" i="13"/>
  <c r="U566" i="13"/>
  <c r="U582" i="13"/>
  <c r="U598" i="13"/>
  <c r="U614" i="13"/>
  <c r="U630" i="13"/>
  <c r="U646" i="13"/>
  <c r="U662" i="13"/>
  <c r="U678" i="13"/>
  <c r="U694" i="13"/>
  <c r="U710" i="13"/>
  <c r="U726" i="13"/>
  <c r="U734" i="13"/>
  <c r="U750" i="13"/>
  <c r="U766" i="13"/>
  <c r="U782" i="13"/>
  <c r="U810" i="13"/>
  <c r="U826" i="13"/>
  <c r="U842" i="13"/>
  <c r="U858" i="13"/>
  <c r="U874" i="13"/>
  <c r="U890" i="13"/>
  <c r="U906" i="13"/>
  <c r="U922" i="13"/>
  <c r="U938" i="13"/>
  <c r="U4" i="13"/>
  <c r="U20" i="13"/>
  <c r="U36" i="13"/>
  <c r="U52" i="13"/>
  <c r="U68" i="13"/>
  <c r="U84" i="13"/>
  <c r="U100" i="13"/>
  <c r="U116" i="13"/>
  <c r="U132" i="13"/>
  <c r="U148" i="13"/>
  <c r="U164" i="13"/>
  <c r="U180" i="13"/>
  <c r="U196" i="13"/>
  <c r="U212" i="13"/>
  <c r="U228" i="13"/>
  <c r="U244" i="13"/>
  <c r="U260" i="13"/>
  <c r="U276" i="13"/>
  <c r="U292" i="13"/>
  <c r="U308" i="13"/>
  <c r="U324" i="13"/>
  <c r="U340" i="13"/>
  <c r="U356" i="13"/>
  <c r="U372" i="13"/>
  <c r="U388" i="13"/>
  <c r="U404" i="13"/>
  <c r="U420" i="13"/>
  <c r="U436" i="13"/>
  <c r="U452" i="13"/>
  <c r="U468" i="13"/>
  <c r="U484" i="13"/>
  <c r="U500" i="13"/>
  <c r="U516" i="13"/>
  <c r="U532" i="13"/>
  <c r="U548" i="13"/>
  <c r="U564" i="13"/>
  <c r="U580" i="13"/>
  <c r="U596" i="13"/>
  <c r="U612" i="13"/>
  <c r="U628" i="13"/>
  <c r="U644" i="13"/>
  <c r="U660" i="13"/>
  <c r="U676" i="13"/>
  <c r="U692" i="13"/>
  <c r="U708" i="13"/>
  <c r="U724" i="13"/>
  <c r="U796" i="13"/>
  <c r="U748" i="13"/>
  <c r="U764" i="13"/>
  <c r="U780" i="13"/>
  <c r="U808" i="13"/>
  <c r="U824" i="13"/>
  <c r="U840" i="13"/>
  <c r="U856" i="13"/>
  <c r="U872" i="13"/>
  <c r="U888" i="13"/>
  <c r="U904" i="13"/>
  <c r="U920" i="13"/>
  <c r="U936" i="13"/>
  <c r="U3" i="13"/>
  <c r="U19" i="13"/>
  <c r="U35" i="13"/>
  <c r="U51" i="13"/>
  <c r="U67" i="13"/>
  <c r="U83" i="13"/>
  <c r="U99" i="13"/>
  <c r="U115" i="13"/>
  <c r="U131" i="13"/>
  <c r="U147" i="13"/>
  <c r="U163" i="13"/>
  <c r="U179" i="13"/>
  <c r="U195" i="13"/>
  <c r="U211" i="13"/>
  <c r="U227" i="13"/>
  <c r="U243" i="13"/>
  <c r="U259" i="13"/>
  <c r="U275" i="13"/>
  <c r="U291" i="13"/>
  <c r="U307" i="13"/>
  <c r="U323" i="13"/>
  <c r="U339" i="13"/>
  <c r="U355" i="13"/>
  <c r="U371" i="13"/>
  <c r="U387" i="13"/>
  <c r="U403" i="13"/>
  <c r="U419" i="13"/>
  <c r="U435" i="13"/>
  <c r="U451" i="13"/>
  <c r="U467" i="13"/>
  <c r="U483" i="13"/>
  <c r="U499" i="13"/>
  <c r="U515" i="13"/>
  <c r="U531" i="13"/>
  <c r="U547" i="13"/>
  <c r="U563" i="13"/>
  <c r="U579" i="13"/>
  <c r="U595" i="13"/>
  <c r="U611" i="13"/>
  <c r="U627" i="13"/>
  <c r="U643" i="13"/>
  <c r="U659" i="13"/>
  <c r="U675" i="13"/>
  <c r="U691" i="13"/>
  <c r="U707" i="13"/>
  <c r="U723" i="13"/>
  <c r="U795" i="13"/>
  <c r="U747" i="13"/>
  <c r="U763" i="13"/>
  <c r="U779" i="13"/>
  <c r="U807" i="13"/>
  <c r="U823" i="13"/>
  <c r="U839" i="13"/>
  <c r="U855" i="13"/>
  <c r="U871" i="13"/>
  <c r="U887" i="13"/>
  <c r="U903" i="13"/>
  <c r="U919" i="13"/>
  <c r="U935" i="13"/>
  <c r="E8" i="11"/>
  <c r="E9" i="11"/>
  <c r="F27" i="11"/>
  <c r="D7" i="8"/>
  <c r="D8" i="8"/>
  <c r="E22" i="8"/>
  <c r="D10" i="8"/>
  <c r="A24" i="8"/>
  <c r="D24" i="8"/>
  <c r="E24" i="8"/>
  <c r="A25" i="7"/>
  <c r="A26" i="7"/>
  <c r="A27" i="7"/>
  <c r="A28" i="7"/>
  <c r="A29" i="7"/>
  <c r="A30" i="7"/>
  <c r="A31" i="7"/>
  <c r="A32" i="7"/>
  <c r="A33" i="7"/>
  <c r="A34" i="7"/>
  <c r="A35" i="7"/>
  <c r="E82" i="15"/>
  <c r="E16" i="8"/>
  <c r="E17" i="8"/>
  <c r="B8" i="29"/>
  <c r="B9" i="29"/>
  <c r="F22" i="11"/>
  <c r="E18" i="8"/>
  <c r="E19" i="8"/>
  <c r="G43" i="8"/>
  <c r="E23" i="8"/>
  <c r="F20" i="11"/>
  <c r="E15" i="8"/>
  <c r="E21" i="8"/>
  <c r="E13" i="8"/>
  <c r="E14" i="8"/>
  <c r="E20" i="8"/>
  <c r="C16" i="29"/>
  <c r="C34" i="29"/>
  <c r="C14" i="29"/>
  <c r="C30" i="29"/>
  <c r="C27" i="29"/>
  <c r="C25" i="29"/>
  <c r="C28" i="29"/>
  <c r="C22" i="29"/>
  <c r="C19" i="29"/>
  <c r="B11" i="29"/>
  <c r="C15" i="29"/>
  <c r="C17" i="29"/>
  <c r="C20" i="29"/>
  <c r="C32" i="29"/>
  <c r="C18" i="29"/>
  <c r="C33" i="29"/>
  <c r="C26" i="29"/>
  <c r="C23" i="29"/>
  <c r="C24" i="29"/>
  <c r="C21" i="29"/>
  <c r="C31" i="29"/>
  <c r="C29" i="29"/>
  <c r="F23" i="11"/>
  <c r="F28" i="11"/>
  <c r="F21" i="11"/>
  <c r="F29" i="11"/>
  <c r="F34" i="11"/>
  <c r="F19" i="11"/>
  <c r="F24" i="11"/>
  <c r="H45" i="14"/>
  <c r="F17" i="11"/>
  <c r="F33" i="11"/>
  <c r="E11" i="11"/>
  <c r="F26" i="11"/>
  <c r="F15" i="11"/>
  <c r="F14" i="11"/>
  <c r="A25" i="8"/>
  <c r="F32" i="11"/>
  <c r="F18" i="11"/>
  <c r="F31" i="11"/>
  <c r="F16" i="11"/>
  <c r="F25" i="11"/>
  <c r="F30" i="11"/>
  <c r="T323" i="2"/>
  <c r="T343" i="2"/>
  <c r="T485" i="2"/>
  <c r="T37" i="2"/>
  <c r="T53" i="2"/>
  <c r="T69" i="2"/>
  <c r="T85" i="2"/>
  <c r="T101" i="2"/>
  <c r="T112" i="2"/>
  <c r="T128" i="2"/>
  <c r="T144" i="2"/>
  <c r="T160" i="2"/>
  <c r="T176" i="2"/>
  <c r="T192" i="2"/>
  <c r="T362" i="2"/>
  <c r="T379" i="2"/>
  <c r="T395" i="2"/>
  <c r="T411" i="2"/>
  <c r="T427" i="2"/>
  <c r="T443" i="2"/>
  <c r="T214" i="2"/>
  <c r="T320" i="2"/>
  <c r="T340" i="2"/>
  <c r="T465" i="2"/>
  <c r="T34" i="2"/>
  <c r="T50" i="2"/>
  <c r="T66" i="2"/>
  <c r="T82" i="2"/>
  <c r="T98" i="2"/>
  <c r="T109" i="2"/>
  <c r="T125" i="2"/>
  <c r="T141" i="2"/>
  <c r="T157" i="2"/>
  <c r="T173" i="2"/>
  <c r="T189" i="2"/>
  <c r="T359" i="2"/>
  <c r="T376" i="2"/>
  <c r="T392" i="2"/>
  <c r="T408" i="2"/>
  <c r="T424" i="2"/>
  <c r="T440" i="2"/>
  <c r="T209" i="2"/>
  <c r="T338" i="2"/>
  <c r="T32" i="2"/>
  <c r="T64" i="2"/>
  <c r="T96" i="2"/>
  <c r="T123" i="2"/>
  <c r="T155" i="2"/>
  <c r="T187" i="2"/>
  <c r="T374" i="2"/>
  <c r="T406" i="2"/>
  <c r="T438" i="2"/>
  <c r="T223" i="2"/>
  <c r="T240" i="2"/>
  <c r="T256" i="2"/>
  <c r="T272" i="2"/>
  <c r="T288" i="2"/>
  <c r="T304" i="2"/>
  <c r="T369" i="2"/>
  <c r="T337" i="2"/>
  <c r="T43" i="2"/>
  <c r="T84" i="2"/>
  <c r="T122" i="2"/>
  <c r="T166" i="2"/>
  <c r="T361" i="2"/>
  <c r="T405" i="2"/>
  <c r="T449" i="2"/>
  <c r="T234" i="2"/>
  <c r="T325" i="2"/>
  <c r="T35" i="2"/>
  <c r="T76" i="2"/>
  <c r="T114" i="2"/>
  <c r="T158" i="2"/>
  <c r="T199" i="2"/>
  <c r="T397" i="2"/>
  <c r="T441" i="2"/>
  <c r="T230" i="2"/>
  <c r="T251" i="2"/>
  <c r="T273" i="2"/>
  <c r="T294" i="2"/>
  <c r="T315" i="2"/>
  <c r="T342" i="2"/>
  <c r="T47" i="2"/>
  <c r="T91" i="2"/>
  <c r="T127" i="2"/>
  <c r="T170" i="2"/>
  <c r="T469" i="2"/>
  <c r="T410" i="2"/>
  <c r="T206" i="2"/>
  <c r="T237" i="2"/>
  <c r="T258" i="2"/>
  <c r="T279" i="2"/>
  <c r="T301" i="2"/>
  <c r="T482" i="2"/>
  <c r="T466" i="2"/>
  <c r="T60" i="2"/>
  <c r="T103" i="2"/>
  <c r="T142" i="2"/>
  <c r="T183" i="2"/>
  <c r="T381" i="2"/>
  <c r="T425" i="2"/>
  <c r="T221" i="2"/>
  <c r="T243" i="2"/>
  <c r="T265" i="2"/>
  <c r="T286" i="2"/>
  <c r="T307" i="2"/>
  <c r="T250" i="2"/>
  <c r="T255" i="2"/>
  <c r="T261" i="2"/>
  <c r="T287" i="2"/>
  <c r="T226" i="2"/>
  <c r="T327" i="2"/>
  <c r="T3" i="2"/>
  <c r="T25" i="2"/>
  <c r="T41" i="2"/>
  <c r="T57" i="2"/>
  <c r="T73" i="2"/>
  <c r="T89" i="2"/>
  <c r="T105" i="2"/>
  <c r="T116" i="2"/>
  <c r="T132" i="2"/>
  <c r="T148" i="2"/>
  <c r="T164" i="2"/>
  <c r="T180" i="2"/>
  <c r="T196" i="2"/>
  <c r="T366" i="2"/>
  <c r="T383" i="2"/>
  <c r="T399" i="2"/>
  <c r="T415" i="2"/>
  <c r="T431" i="2"/>
  <c r="T447" i="2"/>
  <c r="T219" i="2"/>
  <c r="T324" i="2"/>
  <c r="T344" i="2"/>
  <c r="T486" i="2"/>
  <c r="T38" i="2"/>
  <c r="T54" i="2"/>
  <c r="T70" i="2"/>
  <c r="T86" i="2"/>
  <c r="T102" i="2"/>
  <c r="T113" i="2"/>
  <c r="T129" i="2"/>
  <c r="T145" i="2"/>
  <c r="T161" i="2"/>
  <c r="T177" i="2"/>
  <c r="T193" i="2"/>
  <c r="T363" i="2"/>
  <c r="T380" i="2"/>
  <c r="T396" i="2"/>
  <c r="T412" i="2"/>
  <c r="T428" i="2"/>
  <c r="T444" i="2"/>
  <c r="T216" i="2"/>
  <c r="T2" i="2"/>
  <c r="T40" i="2"/>
  <c r="T72" i="2"/>
  <c r="T104" i="2"/>
  <c r="T131" i="2"/>
  <c r="T163" i="2"/>
  <c r="T195" i="2"/>
  <c r="T382" i="2"/>
  <c r="T414" i="2"/>
  <c r="T446" i="2"/>
  <c r="T228" i="2"/>
  <c r="T244" i="2"/>
  <c r="T260" i="2"/>
  <c r="T276" i="2"/>
  <c r="T292" i="2"/>
  <c r="T308" i="2"/>
  <c r="T211" i="2"/>
  <c r="T5" i="2"/>
  <c r="T52" i="2"/>
  <c r="T95" i="2"/>
  <c r="T134" i="2"/>
  <c r="T175" i="2"/>
  <c r="T373" i="2"/>
  <c r="T417" i="2"/>
  <c r="T212" i="2"/>
  <c r="T239" i="2"/>
  <c r="T341" i="2"/>
  <c r="T44" i="2"/>
  <c r="T87" i="2"/>
  <c r="T126" i="2"/>
  <c r="T167" i="2"/>
  <c r="T364" i="2"/>
  <c r="T409" i="2"/>
  <c r="T450" i="2"/>
  <c r="T235" i="2"/>
  <c r="T257" i="2"/>
  <c r="T278" i="2"/>
  <c r="T299" i="2"/>
  <c r="T370" i="2"/>
  <c r="T9" i="2"/>
  <c r="T59" i="2"/>
  <c r="T100" i="2"/>
  <c r="T138" i="2"/>
  <c r="T182" i="2"/>
  <c r="T378" i="2"/>
  <c r="T421" i="2"/>
  <c r="T220" i="2"/>
  <c r="T242" i="2"/>
  <c r="T263" i="2"/>
  <c r="T285" i="2"/>
  <c r="T306" i="2"/>
  <c r="T321" i="2"/>
  <c r="T28" i="2"/>
  <c r="T71" i="2"/>
  <c r="T110" i="2"/>
  <c r="T151" i="2"/>
  <c r="T194" i="2"/>
  <c r="T393" i="2"/>
  <c r="T434" i="2"/>
  <c r="T227" i="2"/>
  <c r="T249" i="2"/>
  <c r="T270" i="2"/>
  <c r="T291" i="2"/>
  <c r="T313" i="2"/>
  <c r="T271" i="2"/>
  <c r="T277" i="2"/>
  <c r="T282" i="2"/>
  <c r="T309" i="2"/>
  <c r="T346" i="2"/>
  <c r="T452" i="2"/>
  <c r="T7" i="2"/>
  <c r="T29" i="2"/>
  <c r="T45" i="2"/>
  <c r="T61" i="2"/>
  <c r="T77" i="2"/>
  <c r="T93" i="2"/>
  <c r="T474" i="2"/>
  <c r="T120" i="2"/>
  <c r="T136" i="2"/>
  <c r="T152" i="2"/>
  <c r="T168" i="2"/>
  <c r="T184" i="2"/>
  <c r="T200" i="2"/>
  <c r="T371" i="2"/>
  <c r="T387" i="2"/>
  <c r="T403" i="2"/>
  <c r="T419" i="2"/>
  <c r="T435" i="2"/>
  <c r="T451" i="2"/>
  <c r="T358" i="2"/>
  <c r="T328" i="2"/>
  <c r="T4" i="2"/>
  <c r="T26" i="2"/>
  <c r="T42" i="2"/>
  <c r="T58" i="2"/>
  <c r="T74" i="2"/>
  <c r="T90" i="2"/>
  <c r="T471" i="2"/>
  <c r="T117" i="2"/>
  <c r="T133" i="2"/>
  <c r="T149" i="2"/>
  <c r="T165" i="2"/>
  <c r="T181" i="2"/>
  <c r="T197" i="2"/>
  <c r="T468" i="2"/>
  <c r="T384" i="2"/>
  <c r="T400" i="2"/>
  <c r="T416" i="2"/>
  <c r="T432" i="2"/>
  <c r="T448" i="2"/>
  <c r="T318" i="2"/>
  <c r="T12" i="2"/>
  <c r="T48" i="2"/>
  <c r="T80" i="2"/>
  <c r="T107" i="2"/>
  <c r="T139" i="2"/>
  <c r="T171" i="2"/>
  <c r="T203" i="2"/>
  <c r="T390" i="2"/>
  <c r="T422" i="2"/>
  <c r="T207" i="2"/>
  <c r="T232" i="2"/>
  <c r="T248" i="2"/>
  <c r="T264" i="2"/>
  <c r="T280" i="2"/>
  <c r="T296" i="2"/>
  <c r="T312" i="2"/>
  <c r="T357" i="2"/>
  <c r="T484" i="2"/>
  <c r="T63" i="2"/>
  <c r="T472" i="2"/>
  <c r="T143" i="2"/>
  <c r="T186" i="2"/>
  <c r="T385" i="2"/>
  <c r="T426" i="2"/>
  <c r="T222" i="2"/>
  <c r="T245" i="2"/>
  <c r="T6" i="2"/>
  <c r="T55" i="2"/>
  <c r="T99" i="2"/>
  <c r="T135" i="2"/>
  <c r="T178" i="2"/>
  <c r="T377" i="2"/>
  <c r="T418" i="2"/>
  <c r="T217" i="2"/>
  <c r="T241" i="2"/>
  <c r="T262" i="2"/>
  <c r="T283" i="2"/>
  <c r="T305" i="2"/>
  <c r="T215" i="2"/>
  <c r="T27" i="2"/>
  <c r="T68" i="2"/>
  <c r="T106" i="2"/>
  <c r="T150" i="2"/>
  <c r="T191" i="2"/>
  <c r="T389" i="2"/>
  <c r="T433" i="2"/>
  <c r="T225" i="2"/>
  <c r="T247" i="2"/>
  <c r="T269" i="2"/>
  <c r="T290" i="2"/>
  <c r="T311" i="2"/>
  <c r="T330" i="2"/>
  <c r="T39" i="2"/>
  <c r="T83" i="2"/>
  <c r="T119" i="2"/>
  <c r="T162" i="2"/>
  <c r="T360" i="2"/>
  <c r="T402" i="2"/>
  <c r="T445" i="2"/>
  <c r="T233" i="2"/>
  <c r="T254" i="2"/>
  <c r="T275" i="2"/>
  <c r="T297" i="2"/>
  <c r="T367" i="2"/>
  <c r="T293" i="2"/>
  <c r="T298" i="2"/>
  <c r="T303" i="2"/>
  <c r="B40" i="11"/>
  <c r="C5" i="11"/>
  <c r="E39" i="11"/>
  <c r="B5" i="11"/>
  <c r="B10" i="11"/>
  <c r="B44" i="11"/>
  <c r="X976" i="16"/>
  <c r="X968" i="16"/>
  <c r="X960" i="16"/>
  <c r="X952" i="16"/>
  <c r="X944" i="16"/>
  <c r="X936" i="16"/>
  <c r="X928" i="16"/>
  <c r="X920" i="16"/>
  <c r="X912" i="16"/>
  <c r="X904" i="16"/>
  <c r="X896" i="16"/>
  <c r="X1135" i="16"/>
  <c r="X1127" i="16"/>
  <c r="X1119" i="16"/>
  <c r="X961" i="16"/>
  <c r="X929" i="16"/>
  <c r="X897" i="16"/>
  <c r="X1114" i="16"/>
  <c r="X1098" i="16"/>
  <c r="X875" i="16"/>
  <c r="X859" i="16"/>
  <c r="X843" i="16"/>
  <c r="X827" i="16"/>
  <c r="X811" i="16"/>
  <c r="X795" i="16"/>
  <c r="X779" i="16"/>
  <c r="X763" i="16"/>
  <c r="X747" i="16"/>
  <c r="X731" i="16"/>
  <c r="X715" i="16"/>
  <c r="X699" i="16"/>
  <c r="X683" i="16"/>
  <c r="X667" i="16"/>
  <c r="X651" i="16"/>
  <c r="X635" i="16"/>
  <c r="X619" i="16"/>
  <c r="X603" i="16"/>
  <c r="X587" i="16"/>
  <c r="X571" i="16"/>
  <c r="X555" i="16"/>
  <c r="X539" i="16"/>
  <c r="X1092" i="16"/>
  <c r="X1079" i="16"/>
  <c r="X1063" i="16"/>
  <c r="X1047" i="16"/>
  <c r="X1031" i="16"/>
  <c r="X1015" i="16"/>
  <c r="X999" i="16"/>
  <c r="X983" i="16"/>
  <c r="X515" i="16"/>
  <c r="X502" i="16"/>
  <c r="X494" i="16"/>
  <c r="X486" i="16"/>
  <c r="X478" i="16"/>
  <c r="X470" i="16"/>
  <c r="X462" i="16"/>
  <c r="X454" i="16"/>
  <c r="X446" i="16"/>
  <c r="X438" i="16"/>
  <c r="X430" i="16"/>
  <c r="X422" i="16"/>
  <c r="X414" i="16"/>
  <c r="X406" i="16"/>
  <c r="X398" i="16"/>
  <c r="X390" i="16"/>
  <c r="X382" i="16"/>
  <c r="X374" i="16"/>
  <c r="X366" i="16"/>
  <c r="X358" i="16"/>
  <c r="X350" i="16"/>
  <c r="X342" i="16"/>
  <c r="X334" i="16"/>
  <c r="X326" i="16"/>
  <c r="X318" i="16"/>
  <c r="X310" i="16"/>
  <c r="X302" i="16"/>
  <c r="X294" i="16"/>
  <c r="X286" i="16"/>
  <c r="X278" i="16"/>
  <c r="X270" i="16"/>
  <c r="X262" i="16"/>
  <c r="X254" i="16"/>
  <c r="X246" i="16"/>
  <c r="X238" i="16"/>
  <c r="X230" i="16"/>
  <c r="X222" i="16"/>
  <c r="X214" i="16"/>
  <c r="X206" i="16"/>
  <c r="X198" i="16"/>
  <c r="X190" i="16"/>
  <c r="X182" i="16"/>
  <c r="X174" i="16"/>
  <c r="X166" i="16"/>
  <c r="X158" i="16"/>
  <c r="X150" i="16"/>
  <c r="X142" i="16"/>
  <c r="X134" i="16"/>
  <c r="X126" i="16"/>
  <c r="X118" i="16"/>
  <c r="X110" i="16"/>
  <c r="X102" i="16"/>
  <c r="X94" i="16"/>
  <c r="X86" i="16"/>
  <c r="X78" i="16"/>
  <c r="X70" i="16"/>
  <c r="X62" i="16"/>
  <c r="X54" i="16"/>
  <c r="X46" i="16"/>
  <c r="X38" i="16"/>
  <c r="X30" i="16"/>
  <c r="X22" i="16"/>
  <c r="X14" i="16"/>
  <c r="X6" i="16"/>
  <c r="X967" i="16"/>
  <c r="X935" i="16"/>
  <c r="X903" i="16"/>
  <c r="X1118" i="16"/>
  <c r="X1101" i="16"/>
  <c r="X878" i="16"/>
  <c r="X862" i="16"/>
  <c r="X846" i="16"/>
  <c r="X830" i="16"/>
  <c r="X814" i="16"/>
  <c r="X798" i="16"/>
  <c r="X782" i="16"/>
  <c r="X766" i="16"/>
  <c r="X750" i="16"/>
  <c r="X734" i="16"/>
  <c r="X718" i="16"/>
  <c r="X702" i="16"/>
  <c r="X686" i="16"/>
  <c r="X670" i="16"/>
  <c r="X654" i="16"/>
  <c r="X638" i="16"/>
  <c r="X622" i="16"/>
  <c r="X606" i="16"/>
  <c r="X590" i="16"/>
  <c r="X574" i="16"/>
  <c r="X558" i="16"/>
  <c r="X542" i="16"/>
  <c r="X1094" i="16"/>
  <c r="X1081" i="16"/>
  <c r="X1065" i="16"/>
  <c r="X1049" i="16"/>
  <c r="X1033" i="16"/>
  <c r="X1017" i="16"/>
  <c r="X1001" i="16"/>
  <c r="X985" i="16"/>
  <c r="X517" i="16"/>
  <c r="X981" i="16"/>
  <c r="X949" i="16"/>
  <c r="X917" i="16"/>
  <c r="X1132" i="16"/>
  <c r="X1108" i="16"/>
  <c r="X885" i="16"/>
  <c r="X869" i="16"/>
  <c r="X853" i="16"/>
  <c r="X837" i="16"/>
  <c r="X821" i="16"/>
  <c r="X805" i="16"/>
  <c r="X789" i="16"/>
  <c r="X773" i="16"/>
  <c r="X757" i="16"/>
  <c r="X741" i="16"/>
  <c r="X725" i="16"/>
  <c r="X709" i="16"/>
  <c r="X693" i="16"/>
  <c r="X677" i="16"/>
  <c r="X661" i="16"/>
  <c r="X645" i="16"/>
  <c r="X629" i="16"/>
  <c r="X613" i="16"/>
  <c r="X597" i="16"/>
  <c r="X581" i="16"/>
  <c r="X565" i="16"/>
  <c r="X549" i="16"/>
  <c r="X1142" i="16"/>
  <c r="X1085" i="16"/>
  <c r="X1072" i="16"/>
  <c r="X1056" i="16"/>
  <c r="X1040" i="16"/>
  <c r="X1024" i="16"/>
  <c r="X1008" i="16"/>
  <c r="X992" i="16"/>
  <c r="X524" i="16"/>
  <c r="X508" i="16"/>
  <c r="X497" i="16"/>
  <c r="X489" i="16"/>
  <c r="X481" i="16"/>
  <c r="X473" i="16"/>
  <c r="X465" i="16"/>
  <c r="X457" i="16"/>
  <c r="X449" i="16"/>
  <c r="X441" i="16"/>
  <c r="X433" i="16"/>
  <c r="X425" i="16"/>
  <c r="X417" i="16"/>
  <c r="X409" i="16"/>
  <c r="X401" i="16"/>
  <c r="X393" i="16"/>
  <c r="X385" i="16"/>
  <c r="X377" i="16"/>
  <c r="X369" i="16"/>
  <c r="X361" i="16"/>
  <c r="X353" i="16"/>
  <c r="X345" i="16"/>
  <c r="X337" i="16"/>
  <c r="X329" i="16"/>
  <c r="X321" i="16"/>
  <c r="X313" i="16"/>
  <c r="X305" i="16"/>
  <c r="X297" i="16"/>
  <c r="X289" i="16"/>
  <c r="X281" i="16"/>
  <c r="X273" i="16"/>
  <c r="X265" i="16"/>
  <c r="X257" i="16"/>
  <c r="X249" i="16"/>
  <c r="X241" i="16"/>
  <c r="X233" i="16"/>
  <c r="X225" i="16"/>
  <c r="X217" i="16"/>
  <c r="X209" i="16"/>
  <c r="X201" i="16"/>
  <c r="X193" i="16"/>
  <c r="X185" i="16"/>
  <c r="X177" i="16"/>
  <c r="X169" i="16"/>
  <c r="X161" i="16"/>
  <c r="X153" i="16"/>
  <c r="X145" i="16"/>
  <c r="X137" i="16"/>
  <c r="X129" i="16"/>
  <c r="X121" i="16"/>
  <c r="X113" i="16"/>
  <c r="X105" i="16"/>
  <c r="X97" i="16"/>
  <c r="X89" i="16"/>
  <c r="X81" i="16"/>
  <c r="X73" i="16"/>
  <c r="X65" i="16"/>
  <c r="X57" i="16"/>
  <c r="X49" i="16"/>
  <c r="X41" i="16"/>
  <c r="X33" i="16"/>
  <c r="X25" i="16"/>
  <c r="X17" i="16"/>
  <c r="X9" i="16"/>
  <c r="X979" i="16"/>
  <c r="X947" i="16"/>
  <c r="X915" i="16"/>
  <c r="X1130" i="16"/>
  <c r="X1107" i="16"/>
  <c r="X884" i="16"/>
  <c r="X868" i="16"/>
  <c r="X852" i="16"/>
  <c r="X836" i="16"/>
  <c r="X820" i="16"/>
  <c r="X804" i="16"/>
  <c r="X788" i="16"/>
  <c r="X772" i="16"/>
  <c r="X756" i="16"/>
  <c r="X740" i="16"/>
  <c r="X724" i="16"/>
  <c r="X708" i="16"/>
  <c r="X692" i="16"/>
  <c r="X676" i="16"/>
  <c r="X660" i="16"/>
  <c r="X644" i="16"/>
  <c r="X628" i="16"/>
  <c r="X612" i="16"/>
  <c r="X596" i="16"/>
  <c r="X580" i="16"/>
  <c r="X564" i="16"/>
  <c r="X548" i="16"/>
  <c r="X1141" i="16"/>
  <c r="X1087" i="16"/>
  <c r="X1074" i="16"/>
  <c r="X1058" i="16"/>
  <c r="X1042" i="16"/>
  <c r="X1026" i="16"/>
  <c r="X1010" i="16"/>
  <c r="X994" i="16"/>
  <c r="X526" i="16"/>
  <c r="X510" i="16"/>
  <c r="X980" i="16"/>
  <c r="X972" i="16"/>
  <c r="X964" i="16"/>
  <c r="X956" i="16"/>
  <c r="X948" i="16"/>
  <c r="X940" i="16"/>
  <c r="X932" i="16"/>
  <c r="X924" i="16"/>
  <c r="X916" i="16"/>
  <c r="X908" i="16"/>
  <c r="X900" i="16"/>
  <c r="X892" i="16"/>
  <c r="X1131" i="16"/>
  <c r="X1123" i="16"/>
  <c r="X977" i="16"/>
  <c r="X945" i="16"/>
  <c r="X913" i="16"/>
  <c r="X1128" i="16"/>
  <c r="X1106" i="16"/>
  <c r="X883" i="16"/>
  <c r="X867" i="16"/>
  <c r="X851" i="16"/>
  <c r="X835" i="16"/>
  <c r="X819" i="16"/>
  <c r="X803" i="16"/>
  <c r="X787" i="16"/>
  <c r="X771" i="16"/>
  <c r="X755" i="16"/>
  <c r="X739" i="16"/>
  <c r="X723" i="16"/>
  <c r="X707" i="16"/>
  <c r="X691" i="16"/>
  <c r="X675" i="16"/>
  <c r="X659" i="16"/>
  <c r="X643" i="16"/>
  <c r="X627" i="16"/>
  <c r="X611" i="16"/>
  <c r="X595" i="16"/>
  <c r="X579" i="16"/>
  <c r="X563" i="16"/>
  <c r="X547" i="16"/>
  <c r="X1140" i="16"/>
  <c r="X1084" i="16"/>
  <c r="X1071" i="16"/>
  <c r="X1055" i="16"/>
  <c r="X1039" i="16"/>
  <c r="X1023" i="16"/>
  <c r="X1007" i="16"/>
  <c r="X991" i="16"/>
  <c r="X523" i="16"/>
  <c r="X507" i="16"/>
  <c r="X498" i="16"/>
  <c r="X490" i="16"/>
  <c r="X482" i="16"/>
  <c r="X474" i="16"/>
  <c r="X466" i="16"/>
  <c r="X458" i="16"/>
  <c r="X450" i="16"/>
  <c r="X442" i="16"/>
  <c r="X434" i="16"/>
  <c r="X426" i="16"/>
  <c r="X418" i="16"/>
  <c r="X410" i="16"/>
  <c r="X402" i="16"/>
  <c r="X394" i="16"/>
  <c r="X386" i="16"/>
  <c r="X378" i="16"/>
  <c r="X370" i="16"/>
  <c r="X362" i="16"/>
  <c r="X354" i="16"/>
  <c r="X346" i="16"/>
  <c r="X338" i="16"/>
  <c r="X330" i="16"/>
  <c r="X322" i="16"/>
  <c r="X314" i="16"/>
  <c r="X306" i="16"/>
  <c r="X298" i="16"/>
  <c r="X290" i="16"/>
  <c r="X282" i="16"/>
  <c r="X274" i="16"/>
  <c r="X266" i="16"/>
  <c r="X258" i="16"/>
  <c r="X250" i="16"/>
  <c r="X242" i="16"/>
  <c r="X234" i="16"/>
  <c r="X226" i="16"/>
  <c r="X218" i="16"/>
  <c r="X210" i="16"/>
  <c r="X202" i="16"/>
  <c r="X194" i="16"/>
  <c r="X186" i="16"/>
  <c r="X178" i="16"/>
  <c r="X170" i="16"/>
  <c r="X513" i="16"/>
  <c r="X986" i="16"/>
  <c r="X1005" i="16"/>
  <c r="X1029" i="16"/>
  <c r="X1050" i="16"/>
  <c r="X1069" i="16"/>
  <c r="X1090" i="16"/>
  <c r="X540" i="16"/>
  <c r="X560" i="16"/>
  <c r="X584" i="16"/>
  <c r="X604" i="16"/>
  <c r="X624" i="16"/>
  <c r="X648" i="16"/>
  <c r="X668" i="16"/>
  <c r="X688" i="16"/>
  <c r="X712" i="16"/>
  <c r="X732" i="16"/>
  <c r="X752" i="16"/>
  <c r="X776" i="16"/>
  <c r="X796" i="16"/>
  <c r="X816" i="16"/>
  <c r="X840" i="16"/>
  <c r="X860" i="16"/>
  <c r="X880" i="16"/>
  <c r="X1111" i="16"/>
  <c r="X899" i="16"/>
  <c r="X939" i="16"/>
  <c r="X3" i="16"/>
  <c r="X13" i="16"/>
  <c r="X23" i="16"/>
  <c r="X35" i="16"/>
  <c r="X45" i="16"/>
  <c r="X55" i="16"/>
  <c r="X67" i="16"/>
  <c r="X77" i="16"/>
  <c r="X87" i="16"/>
  <c r="X99" i="16"/>
  <c r="X109" i="16"/>
  <c r="X119" i="16"/>
  <c r="X131" i="16"/>
  <c r="X141" i="16"/>
  <c r="X151" i="16"/>
  <c r="X163" i="16"/>
  <c r="X173" i="16"/>
  <c r="X183" i="16"/>
  <c r="X195" i="16"/>
  <c r="X205" i="16"/>
  <c r="X215" i="16"/>
  <c r="X227" i="16"/>
  <c r="X237" i="16"/>
  <c r="X247" i="16"/>
  <c r="X259" i="16"/>
  <c r="X269" i="16"/>
  <c r="X279" i="16"/>
  <c r="X291" i="16"/>
  <c r="X301" i="16"/>
  <c r="X311" i="16"/>
  <c r="X323" i="16"/>
  <c r="X333" i="16"/>
  <c r="X343" i="16"/>
  <c r="X355" i="16"/>
  <c r="X365" i="16"/>
  <c r="X375" i="16"/>
  <c r="X387" i="16"/>
  <c r="X397" i="16"/>
  <c r="X407" i="16"/>
  <c r="X419" i="16"/>
  <c r="X429" i="16"/>
  <c r="X439" i="16"/>
  <c r="X451" i="16"/>
  <c r="X461" i="16"/>
  <c r="X471" i="16"/>
  <c r="X483" i="16"/>
  <c r="X493" i="16"/>
  <c r="X503" i="16"/>
  <c r="X527" i="16"/>
  <c r="X1000" i="16"/>
  <c r="X1019" i="16"/>
  <c r="X1043" i="16"/>
  <c r="X1064" i="16"/>
  <c r="X532" i="16"/>
  <c r="X537" i="16"/>
  <c r="X557" i="16"/>
  <c r="X577" i="16"/>
  <c r="X601" i="16"/>
  <c r="X621" i="16"/>
  <c r="X641" i="16"/>
  <c r="X665" i="16"/>
  <c r="X685" i="16"/>
  <c r="X705" i="16"/>
  <c r="X729" i="16"/>
  <c r="X749" i="16"/>
  <c r="X769" i="16"/>
  <c r="X793" i="16"/>
  <c r="X813" i="16"/>
  <c r="X833" i="16"/>
  <c r="X857" i="16"/>
  <c r="X877" i="16"/>
  <c r="X1104" i="16"/>
  <c r="X893" i="16"/>
  <c r="X933" i="16"/>
  <c r="X973" i="16"/>
  <c r="X522" i="16"/>
  <c r="X993" i="16"/>
  <c r="X1014" i="16"/>
  <c r="X1038" i="16"/>
  <c r="X1057" i="16"/>
  <c r="X1078" i="16"/>
  <c r="X1139" i="16"/>
  <c r="X550" i="16"/>
  <c r="X570" i="16"/>
  <c r="X594" i="16"/>
  <c r="X614" i="16"/>
  <c r="X634" i="16"/>
  <c r="X658" i="16"/>
  <c r="X678" i="16"/>
  <c r="X698" i="16"/>
  <c r="X722" i="16"/>
  <c r="X742" i="16"/>
  <c r="X762" i="16"/>
  <c r="X786" i="16"/>
  <c r="X806" i="16"/>
  <c r="X826" i="16"/>
  <c r="X850" i="16"/>
  <c r="X870" i="16"/>
  <c r="X1097" i="16"/>
  <c r="X1126" i="16"/>
  <c r="X919" i="16"/>
  <c r="X959" i="16"/>
  <c r="X8" i="16"/>
  <c r="X18" i="16"/>
  <c r="X28" i="16"/>
  <c r="X40" i="16"/>
  <c r="X50" i="16"/>
  <c r="X60" i="16"/>
  <c r="X72" i="16"/>
  <c r="X82" i="16"/>
  <c r="X92" i="16"/>
  <c r="X104" i="16"/>
  <c r="X114" i="16"/>
  <c r="X124" i="16"/>
  <c r="X136" i="16"/>
  <c r="X146" i="16"/>
  <c r="X156" i="16"/>
  <c r="X168" i="16"/>
  <c r="X184" i="16"/>
  <c r="X200" i="16"/>
  <c r="X216" i="16"/>
  <c r="X232" i="16"/>
  <c r="X248" i="16"/>
  <c r="X264" i="16"/>
  <c r="X280" i="16"/>
  <c r="X296" i="16"/>
  <c r="X312" i="16"/>
  <c r="X328" i="16"/>
  <c r="X344" i="16"/>
  <c r="X360" i="16"/>
  <c r="X376" i="16"/>
  <c r="X392" i="16"/>
  <c r="X408" i="16"/>
  <c r="X424" i="16"/>
  <c r="X440" i="16"/>
  <c r="X456" i="16"/>
  <c r="X472" i="16"/>
  <c r="X488" i="16"/>
  <c r="X504" i="16"/>
  <c r="X988" i="16"/>
  <c r="X1020" i="16"/>
  <c r="X1052" i="16"/>
  <c r="X533" i="16"/>
  <c r="X543" i="16"/>
  <c r="X575" i="16"/>
  <c r="X607" i="16"/>
  <c r="X639" i="16"/>
  <c r="X671" i="16"/>
  <c r="X703" i="16"/>
  <c r="X735" i="16"/>
  <c r="X767" i="16"/>
  <c r="X799" i="16"/>
  <c r="X831" i="16"/>
  <c r="X863" i="16"/>
  <c r="X1102" i="16"/>
  <c r="X905" i="16"/>
  <c r="X969" i="16"/>
  <c r="X1129" i="16"/>
  <c r="X898" i="16"/>
  <c r="X914" i="16"/>
  <c r="X930" i="16"/>
  <c r="X946" i="16"/>
  <c r="X962" i="16"/>
  <c r="X978" i="16"/>
  <c r="B7" i="11"/>
  <c r="T368" i="2"/>
  <c r="T281" i="2"/>
  <c r="T413" i="2"/>
  <c r="T92" i="2"/>
  <c r="T295" i="2"/>
  <c r="T442" i="2"/>
  <c r="T118" i="2"/>
  <c r="T310" i="2"/>
  <c r="T224" i="2"/>
  <c r="T146" i="2"/>
  <c r="T355" i="2"/>
  <c r="T198" i="2"/>
  <c r="T31" i="2"/>
  <c r="T284" i="2"/>
  <c r="T218" i="2"/>
  <c r="T179" i="2"/>
  <c r="T56" i="2"/>
  <c r="T436" i="2"/>
  <c r="T372" i="2"/>
  <c r="T153" i="2"/>
  <c r="T94" i="2"/>
  <c r="T30" i="2"/>
  <c r="T208" i="2"/>
  <c r="T391" i="2"/>
  <c r="T172" i="2"/>
  <c r="T108" i="2"/>
  <c r="T49" i="2"/>
  <c r="T319" i="2"/>
  <c r="E40" i="11"/>
  <c r="X518" i="16"/>
  <c r="X989" i="16"/>
  <c r="X1013" i="16"/>
  <c r="X1034" i="16"/>
  <c r="X1053" i="16"/>
  <c r="X1077" i="16"/>
  <c r="X1095" i="16"/>
  <c r="X544" i="16"/>
  <c r="X568" i="16"/>
  <c r="X588" i="16"/>
  <c r="X608" i="16"/>
  <c r="X632" i="16"/>
  <c r="X652" i="16"/>
  <c r="X672" i="16"/>
  <c r="X696" i="16"/>
  <c r="X716" i="16"/>
  <c r="X736" i="16"/>
  <c r="X760" i="16"/>
  <c r="X780" i="16"/>
  <c r="X800" i="16"/>
  <c r="X824" i="16"/>
  <c r="X844" i="16"/>
  <c r="X864" i="16"/>
  <c r="X888" i="16"/>
  <c r="X1115" i="16"/>
  <c r="X907" i="16"/>
  <c r="X955" i="16"/>
  <c r="X5" i="16"/>
  <c r="X15" i="16"/>
  <c r="X27" i="16"/>
  <c r="X37" i="16"/>
  <c r="X47" i="16"/>
  <c r="X59" i="16"/>
  <c r="X69" i="16"/>
  <c r="X79" i="16"/>
  <c r="X91" i="16"/>
  <c r="X101" i="16"/>
  <c r="X111" i="16"/>
  <c r="X123" i="16"/>
  <c r="X133" i="16"/>
  <c r="X143" i="16"/>
  <c r="X155" i="16"/>
  <c r="X165" i="16"/>
  <c r="X175" i="16"/>
  <c r="X187" i="16"/>
  <c r="X197" i="16"/>
  <c r="X207" i="16"/>
  <c r="X219" i="16"/>
  <c r="X229" i="16"/>
  <c r="X239" i="16"/>
  <c r="X251" i="16"/>
  <c r="X261" i="16"/>
  <c r="X271" i="16"/>
  <c r="X283" i="16"/>
  <c r="X293" i="16"/>
  <c r="X303" i="16"/>
  <c r="X315" i="16"/>
  <c r="X325" i="16"/>
  <c r="X335" i="16"/>
  <c r="X347" i="16"/>
  <c r="X357" i="16"/>
  <c r="X367" i="16"/>
  <c r="X379" i="16"/>
  <c r="X389" i="16"/>
  <c r="X399" i="16"/>
  <c r="X411" i="16"/>
  <c r="X421" i="16"/>
  <c r="X431" i="16"/>
  <c r="X443" i="16"/>
  <c r="X453" i="16"/>
  <c r="X463" i="16"/>
  <c r="X475" i="16"/>
  <c r="X485" i="16"/>
  <c r="X495" i="16"/>
  <c r="X511" i="16"/>
  <c r="X984" i="16"/>
  <c r="X1003" i="16"/>
  <c r="X1027" i="16"/>
  <c r="X1048" i="16"/>
  <c r="X1067" i="16"/>
  <c r="X1088" i="16"/>
  <c r="X541" i="16"/>
  <c r="X561" i="16"/>
  <c r="X585" i="16"/>
  <c r="X605" i="16"/>
  <c r="X625" i="16"/>
  <c r="X649" i="16"/>
  <c r="X669" i="16"/>
  <c r="X689" i="16"/>
  <c r="X713" i="16"/>
  <c r="X733" i="16"/>
  <c r="X753" i="16"/>
  <c r="X777" i="16"/>
  <c r="X797" i="16"/>
  <c r="X817" i="16"/>
  <c r="X841" i="16"/>
  <c r="X861" i="16"/>
  <c r="X881" i="16"/>
  <c r="X1112" i="16"/>
  <c r="X901" i="16"/>
  <c r="X941" i="16"/>
  <c r="X506" i="16"/>
  <c r="X525" i="16"/>
  <c r="X998" i="16"/>
  <c r="X1022" i="16"/>
  <c r="X1041" i="16"/>
  <c r="X1062" i="16"/>
  <c r="X1083" i="16"/>
  <c r="X534" i="16"/>
  <c r="X554" i="16"/>
  <c r="X578" i="16"/>
  <c r="X598" i="16"/>
  <c r="X618" i="16"/>
  <c r="X642" i="16"/>
  <c r="X662" i="16"/>
  <c r="X682" i="16"/>
  <c r="X706" i="16"/>
  <c r="X726" i="16"/>
  <c r="X746" i="16"/>
  <c r="X770" i="16"/>
  <c r="X790" i="16"/>
  <c r="X810" i="16"/>
  <c r="X834" i="16"/>
  <c r="X854" i="16"/>
  <c r="X874" i="16"/>
  <c r="X1105" i="16"/>
  <c r="X1134" i="16"/>
  <c r="X927" i="16"/>
  <c r="X975" i="16"/>
  <c r="X10" i="16"/>
  <c r="X20" i="16"/>
  <c r="X32" i="16"/>
  <c r="X42" i="16"/>
  <c r="X52" i="16"/>
  <c r="X64" i="16"/>
  <c r="X74" i="16"/>
  <c r="X84" i="16"/>
  <c r="X96" i="16"/>
  <c r="X106" i="16"/>
  <c r="X116" i="16"/>
  <c r="X128" i="16"/>
  <c r="X138" i="16"/>
  <c r="X148" i="16"/>
  <c r="X160" i="16"/>
  <c r="X172" i="16"/>
  <c r="X188" i="16"/>
  <c r="X204" i="16"/>
  <c r="X220" i="16"/>
  <c r="X236" i="16"/>
  <c r="X252" i="16"/>
  <c r="X268" i="16"/>
  <c r="X284" i="16"/>
  <c r="X300" i="16"/>
  <c r="X316" i="16"/>
  <c r="X332" i="16"/>
  <c r="X348" i="16"/>
  <c r="X364" i="16"/>
  <c r="X380" i="16"/>
  <c r="X396" i="16"/>
  <c r="X412" i="16"/>
  <c r="X428" i="16"/>
  <c r="X444" i="16"/>
  <c r="X460" i="16"/>
  <c r="X476" i="16"/>
  <c r="X492" i="16"/>
  <c r="X512" i="16"/>
  <c r="X996" i="16"/>
  <c r="X1028" i="16"/>
  <c r="X1060" i="16"/>
  <c r="X1089" i="16"/>
  <c r="X551" i="16"/>
  <c r="X583" i="16"/>
  <c r="X615" i="16"/>
  <c r="X647" i="16"/>
  <c r="X679" i="16"/>
  <c r="X711" i="16"/>
  <c r="X743" i="16"/>
  <c r="X775" i="16"/>
  <c r="X807" i="16"/>
  <c r="X839" i="16"/>
  <c r="X871" i="16"/>
  <c r="X1110" i="16"/>
  <c r="X921" i="16"/>
  <c r="X1117" i="16"/>
  <c r="X1133" i="16"/>
  <c r="X902" i="16"/>
  <c r="X918" i="16"/>
  <c r="X934" i="16"/>
  <c r="X950" i="16"/>
  <c r="X966" i="16"/>
  <c r="X982" i="16"/>
  <c r="T314" i="2"/>
  <c r="T259" i="2"/>
  <c r="T470" i="2"/>
  <c r="T51" i="2"/>
  <c r="T274" i="2"/>
  <c r="T401" i="2"/>
  <c r="T79" i="2"/>
  <c r="T289" i="2"/>
  <c r="T429" i="2"/>
  <c r="T473" i="2"/>
  <c r="T229" i="2"/>
  <c r="T154" i="2"/>
  <c r="T322" i="2"/>
  <c r="T268" i="2"/>
  <c r="T430" i="2"/>
  <c r="T147" i="2"/>
  <c r="T24" i="2"/>
  <c r="T420" i="2"/>
  <c r="T201" i="2"/>
  <c r="T137" i="2"/>
  <c r="T78" i="2"/>
  <c r="T8" i="2"/>
  <c r="T439" i="2"/>
  <c r="T375" i="2"/>
  <c r="T156" i="2"/>
  <c r="T97" i="2"/>
  <c r="T33" i="2"/>
  <c r="B39" i="11"/>
  <c r="T483" i="2"/>
  <c r="T238" i="2"/>
  <c r="T174" i="2"/>
  <c r="T345" i="2"/>
  <c r="T253" i="2"/>
  <c r="T202" i="2"/>
  <c r="T36" i="2"/>
  <c r="T267" i="2"/>
  <c r="T386" i="2"/>
  <c r="T67" i="2"/>
  <c r="T437" i="2"/>
  <c r="T111" i="2"/>
  <c r="T316" i="2"/>
  <c r="T252" i="2"/>
  <c r="T398" i="2"/>
  <c r="T115" i="2"/>
  <c r="T326" i="2"/>
  <c r="T404" i="2"/>
  <c r="T185" i="2"/>
  <c r="T121" i="2"/>
  <c r="T62" i="2"/>
  <c r="T456" i="2"/>
  <c r="T423" i="2"/>
  <c r="T204" i="2"/>
  <c r="T140" i="2"/>
  <c r="T81" i="2"/>
  <c r="T464" i="2"/>
  <c r="C28" i="6"/>
  <c r="T126" i="12"/>
  <c r="T158" i="12"/>
  <c r="T190" i="12"/>
  <c r="T222" i="12"/>
  <c r="T254" i="12"/>
  <c r="T286" i="12"/>
  <c r="T318" i="12"/>
  <c r="T350" i="12"/>
  <c r="T4" i="12"/>
  <c r="T20" i="12"/>
  <c r="T36" i="12"/>
  <c r="T52" i="12"/>
  <c r="T68" i="12"/>
  <c r="T84" i="12"/>
  <c r="T100" i="12"/>
  <c r="T116" i="12"/>
  <c r="T132" i="12"/>
  <c r="T148" i="12"/>
  <c r="T164" i="12"/>
  <c r="T180" i="12"/>
  <c r="T196" i="12"/>
  <c r="T212" i="12"/>
  <c r="T228" i="12"/>
  <c r="T244" i="12"/>
  <c r="T260" i="12"/>
  <c r="T276" i="12"/>
  <c r="T292" i="12"/>
  <c r="T308" i="12"/>
  <c r="T324" i="12"/>
  <c r="T340" i="12"/>
  <c r="T356" i="12"/>
  <c r="T372" i="12"/>
  <c r="T17" i="12"/>
  <c r="T33" i="12"/>
  <c r="T49" i="12"/>
  <c r="T65" i="12"/>
  <c r="T81" i="12"/>
  <c r="T97" i="12"/>
  <c r="T113" i="12"/>
  <c r="T129" i="12"/>
  <c r="T145" i="12"/>
  <c r="T161" i="12"/>
  <c r="T177" i="12"/>
  <c r="T193" i="12"/>
  <c r="T209" i="12"/>
  <c r="T225" i="12"/>
  <c r="T241" i="12"/>
  <c r="T257" i="12"/>
  <c r="T273" i="12"/>
  <c r="T289" i="12"/>
  <c r="T305" i="12"/>
  <c r="T321" i="12"/>
  <c r="T337" i="12"/>
  <c r="T353" i="12"/>
  <c r="Y66" i="10"/>
  <c r="Y82" i="10"/>
  <c r="Y98" i="10"/>
  <c r="Y181" i="10"/>
  <c r="Y79" i="10"/>
  <c r="Y95" i="10"/>
  <c r="Y178" i="10"/>
  <c r="Y80" i="10"/>
  <c r="Y96" i="10"/>
  <c r="Y179" i="10"/>
  <c r="Y81" i="10"/>
  <c r="Y97" i="10"/>
  <c r="C10" i="11"/>
  <c r="B8" i="6"/>
  <c r="B9" i="6"/>
  <c r="C27" i="6"/>
  <c r="C23" i="6"/>
  <c r="C18" i="6"/>
  <c r="C14" i="6"/>
  <c r="B5" i="19"/>
  <c r="B10" i="19"/>
  <c r="M46" i="13"/>
  <c r="M110" i="13"/>
  <c r="M174" i="13"/>
  <c r="M238" i="13"/>
  <c r="M302" i="13"/>
  <c r="M366" i="13"/>
  <c r="M430" i="13"/>
  <c r="M494" i="13"/>
  <c r="M558" i="13"/>
  <c r="M622" i="13"/>
  <c r="M686" i="13"/>
  <c r="M750" i="13"/>
  <c r="M814" i="13"/>
  <c r="M878" i="13"/>
  <c r="B15" i="14"/>
  <c r="B23" i="14"/>
  <c r="B31" i="14"/>
  <c r="M62" i="13"/>
  <c r="M126" i="13"/>
  <c r="M190" i="13"/>
  <c r="M254" i="13"/>
  <c r="M318" i="13"/>
  <c r="M382" i="13"/>
  <c r="M446" i="13"/>
  <c r="M510" i="13"/>
  <c r="M574" i="13"/>
  <c r="M638" i="13"/>
  <c r="M702" i="13"/>
  <c r="M766" i="13"/>
  <c r="M830" i="13"/>
  <c r="M894" i="13"/>
  <c r="M14" i="13"/>
  <c r="M78" i="13"/>
  <c r="M142" i="13"/>
  <c r="M206" i="13"/>
  <c r="M270" i="13"/>
  <c r="M334" i="13"/>
  <c r="M398" i="13"/>
  <c r="M462" i="13"/>
  <c r="M526" i="13"/>
  <c r="M590" i="13"/>
  <c r="M654" i="13"/>
  <c r="M718" i="13"/>
  <c r="M782" i="13"/>
  <c r="M846" i="13"/>
  <c r="M910" i="13"/>
  <c r="S193" i="17"/>
  <c r="S187" i="17"/>
  <c r="S180" i="17"/>
  <c r="S172" i="17"/>
  <c r="S165" i="17"/>
  <c r="S188" i="17"/>
  <c r="S177" i="17"/>
  <c r="S169" i="17"/>
  <c r="S191" i="17"/>
  <c r="S176" i="17"/>
  <c r="S154" i="17"/>
  <c r="S185" i="17"/>
  <c r="S175" i="17"/>
  <c r="S196" i="17"/>
  <c r="S183" i="17"/>
  <c r="S171" i="17"/>
  <c r="M513" i="13"/>
  <c r="M497" i="13"/>
  <c r="M481" i="13"/>
  <c r="M465" i="13"/>
  <c r="M449" i="13"/>
  <c r="M433" i="13"/>
  <c r="M417" i="13"/>
  <c r="M401" i="13"/>
  <c r="M385" i="13"/>
  <c r="M369" i="13"/>
  <c r="M353" i="13"/>
  <c r="M337" i="13"/>
  <c r="M321" i="13"/>
  <c r="M305" i="13"/>
  <c r="M289" i="13"/>
  <c r="M273" i="13"/>
  <c r="M257" i="13"/>
  <c r="M241" i="13"/>
  <c r="M225" i="13"/>
  <c r="M209" i="13"/>
  <c r="M193" i="13"/>
  <c r="M177" i="13"/>
  <c r="M161" i="13"/>
  <c r="M145" i="13"/>
  <c r="M129" i="13"/>
  <c r="M113" i="13"/>
  <c r="M97" i="13"/>
  <c r="M81" i="13"/>
  <c r="M65" i="13"/>
  <c r="M49" i="13"/>
  <c r="M33" i="13"/>
  <c r="M17" i="13"/>
  <c r="M971" i="13"/>
  <c r="B28" i="14"/>
  <c r="B20" i="14"/>
  <c r="M940" i="13"/>
  <c r="M924" i="13"/>
  <c r="M908" i="13"/>
  <c r="M892" i="13"/>
  <c r="M876" i="13"/>
  <c r="M860" i="13"/>
  <c r="M844" i="13"/>
  <c r="M828" i="13"/>
  <c r="M812" i="13"/>
  <c r="M796" i="13"/>
  <c r="M780" i="13"/>
  <c r="M764" i="13"/>
  <c r="M748" i="13"/>
  <c r="M732" i="13"/>
  <c r="M716" i="13"/>
  <c r="M700" i="13"/>
  <c r="M684" i="13"/>
  <c r="M668" i="13"/>
  <c r="M652" i="13"/>
  <c r="M636" i="13"/>
  <c r="M620" i="13"/>
  <c r="M604" i="13"/>
  <c r="M588" i="13"/>
  <c r="M572" i="13"/>
  <c r="M556" i="13"/>
  <c r="M540" i="13"/>
  <c r="M524" i="13"/>
  <c r="M508" i="13"/>
  <c r="M492" i="13"/>
  <c r="M476" i="13"/>
  <c r="M460" i="13"/>
  <c r="M444" i="13"/>
  <c r="M428" i="13"/>
  <c r="M412" i="13"/>
  <c r="M396" i="13"/>
  <c r="M380" i="13"/>
  <c r="M364" i="13"/>
  <c r="M348" i="13"/>
  <c r="M332" i="13"/>
  <c r="M316" i="13"/>
  <c r="M300" i="13"/>
  <c r="M284" i="13"/>
  <c r="M268" i="13"/>
  <c r="M252" i="13"/>
  <c r="M236" i="13"/>
  <c r="M220" i="13"/>
  <c r="M204" i="13"/>
  <c r="M188" i="13"/>
  <c r="M172" i="13"/>
  <c r="M156" i="13"/>
  <c r="M140" i="13"/>
  <c r="M124" i="13"/>
  <c r="M108" i="13"/>
  <c r="M92" i="13"/>
  <c r="M76" i="13"/>
  <c r="M60" i="13"/>
  <c r="M44" i="13"/>
  <c r="M28" i="13"/>
  <c r="M12" i="13"/>
  <c r="M2" i="13"/>
  <c r="B33" i="14"/>
  <c r="B21" i="14"/>
  <c r="M798" i="13"/>
  <c r="M542" i="13"/>
  <c r="M286" i="13"/>
  <c r="M30" i="13"/>
  <c r="H81" i="15"/>
  <c r="B5" i="15"/>
  <c r="B10" i="15"/>
  <c r="H58" i="15"/>
  <c r="C5" i="15"/>
  <c r="M50" i="13"/>
  <c r="M114" i="13"/>
  <c r="M178" i="13"/>
  <c r="M242" i="13"/>
  <c r="M306" i="13"/>
  <c r="M370" i="13"/>
  <c r="M434" i="13"/>
  <c r="M498" i="13"/>
  <c r="M562" i="13"/>
  <c r="M626" i="13"/>
  <c r="M690" i="13"/>
  <c r="M754" i="13"/>
  <c r="M818" i="13"/>
  <c r="M882" i="13"/>
  <c r="M6" i="13"/>
  <c r="M70" i="13"/>
  <c r="M134" i="13"/>
  <c r="M198" i="13"/>
  <c r="M262" i="13"/>
  <c r="M326" i="13"/>
  <c r="M390" i="13"/>
  <c r="M454" i="13"/>
  <c r="M518" i="13"/>
  <c r="M582" i="13"/>
  <c r="M646" i="13"/>
  <c r="M710" i="13"/>
  <c r="M774" i="13"/>
  <c r="M838" i="13"/>
  <c r="M902" i="13"/>
  <c r="M477" i="2"/>
  <c r="M10" i="13"/>
  <c r="M74" i="13"/>
  <c r="M138" i="13"/>
  <c r="M202" i="13"/>
  <c r="M266" i="13"/>
  <c r="M330" i="13"/>
  <c r="M394" i="13"/>
  <c r="M458" i="13"/>
  <c r="M522" i="13"/>
  <c r="M586" i="13"/>
  <c r="M650" i="13"/>
  <c r="M714" i="13"/>
  <c r="M778" i="13"/>
  <c r="M842" i="13"/>
  <c r="M906" i="13"/>
  <c r="M935" i="13"/>
  <c r="M919" i="13"/>
  <c r="M903" i="13"/>
  <c r="M887" i="13"/>
  <c r="M871" i="13"/>
  <c r="M855" i="13"/>
  <c r="M839" i="13"/>
  <c r="M823" i="13"/>
  <c r="M807" i="13"/>
  <c r="M791" i="13"/>
  <c r="M775" i="13"/>
  <c r="M759" i="13"/>
  <c r="M743" i="13"/>
  <c r="M727" i="13"/>
  <c r="M711" i="13"/>
  <c r="M695" i="13"/>
  <c r="M679" i="13"/>
  <c r="M663" i="13"/>
  <c r="M647" i="13"/>
  <c r="M631" i="13"/>
  <c r="M615" i="13"/>
  <c r="M599" i="13"/>
  <c r="M583" i="13"/>
  <c r="M567" i="13"/>
  <c r="M551" i="13"/>
  <c r="M535" i="13"/>
  <c r="M519" i="13"/>
  <c r="M503" i="13"/>
  <c r="M487" i="13"/>
  <c r="M471" i="13"/>
  <c r="M455" i="13"/>
  <c r="M439" i="13"/>
  <c r="M423" i="13"/>
  <c r="M407" i="13"/>
  <c r="M391" i="13"/>
  <c r="M375" i="13"/>
  <c r="M359" i="13"/>
  <c r="M343" i="13"/>
  <c r="M327" i="13"/>
  <c r="M311" i="13"/>
  <c r="M295" i="13"/>
  <c r="M279" i="13"/>
  <c r="M263" i="13"/>
  <c r="M247" i="13"/>
  <c r="M231" i="13"/>
  <c r="M215" i="13"/>
  <c r="M199" i="13"/>
  <c r="M183" i="13"/>
  <c r="M167" i="13"/>
  <c r="M151" i="13"/>
  <c r="M135" i="13"/>
  <c r="M119" i="13"/>
  <c r="M103" i="13"/>
  <c r="M87" i="13"/>
  <c r="M71" i="13"/>
  <c r="M55" i="13"/>
  <c r="M39" i="13"/>
  <c r="M23" i="13"/>
  <c r="M7" i="13"/>
  <c r="M941" i="13"/>
  <c r="M925" i="13"/>
  <c r="M909" i="13"/>
  <c r="M893" i="13"/>
  <c r="M877" i="13"/>
  <c r="M861" i="13"/>
  <c r="M845" i="13"/>
  <c r="M829" i="13"/>
  <c r="M813" i="13"/>
  <c r="M797" i="13"/>
  <c r="M781" i="13"/>
  <c r="M765" i="13"/>
  <c r="M749" i="13"/>
  <c r="M733" i="13"/>
  <c r="M717" i="13"/>
  <c r="M701" i="13"/>
  <c r="M685" i="13"/>
  <c r="M669" i="13"/>
  <c r="M653" i="13"/>
  <c r="M637" i="13"/>
  <c r="M621" i="13"/>
  <c r="M605" i="13"/>
  <c r="M589" i="13"/>
  <c r="M573" i="13"/>
  <c r="M557" i="13"/>
  <c r="M541" i="13"/>
  <c r="M525" i="13"/>
  <c r="M509" i="13"/>
  <c r="M493" i="13"/>
  <c r="M477" i="13"/>
  <c r="M461" i="13"/>
  <c r="M445" i="13"/>
  <c r="M429" i="13"/>
  <c r="M413" i="13"/>
  <c r="M397" i="13"/>
  <c r="M381" i="13"/>
  <c r="M365" i="13"/>
  <c r="M349" i="13"/>
  <c r="M333" i="13"/>
  <c r="M317" i="13"/>
  <c r="M301" i="13"/>
  <c r="M285" i="13"/>
  <c r="M269" i="13"/>
  <c r="M253" i="13"/>
  <c r="M237" i="13"/>
  <c r="M221" i="13"/>
  <c r="M205" i="13"/>
  <c r="M189" i="13"/>
  <c r="M173" i="13"/>
  <c r="M157" i="13"/>
  <c r="M141" i="13"/>
  <c r="M125" i="13"/>
  <c r="M109" i="13"/>
  <c r="M93" i="13"/>
  <c r="M77" i="13"/>
  <c r="M61" i="13"/>
  <c r="M45" i="13"/>
  <c r="M29" i="13"/>
  <c r="M13" i="13"/>
  <c r="B34" i="14"/>
  <c r="B26" i="14"/>
  <c r="B18" i="14"/>
  <c r="M936" i="13"/>
  <c r="M920" i="13"/>
  <c r="M904" i="13"/>
  <c r="M888" i="13"/>
  <c r="M872" i="13"/>
  <c r="M856" i="13"/>
  <c r="M840" i="13"/>
  <c r="M824" i="13"/>
  <c r="M808" i="13"/>
  <c r="M792" i="13"/>
  <c r="M776" i="13"/>
  <c r="M760" i="13"/>
  <c r="M744" i="13"/>
  <c r="M728" i="13"/>
  <c r="M712" i="13"/>
  <c r="M696" i="13"/>
  <c r="M680" i="13"/>
  <c r="M664" i="13"/>
  <c r="M648" i="13"/>
  <c r="M632" i="13"/>
  <c r="M616" i="13"/>
  <c r="M600" i="13"/>
  <c r="M584" i="13"/>
  <c r="M568" i="13"/>
  <c r="M552" i="13"/>
  <c r="M536" i="13"/>
  <c r="M520" i="13"/>
  <c r="M504" i="13"/>
  <c r="M488" i="13"/>
  <c r="M472" i="13"/>
  <c r="M456" i="13"/>
  <c r="M440" i="13"/>
  <c r="M424" i="13"/>
  <c r="M408" i="13"/>
  <c r="M392" i="13"/>
  <c r="M376" i="13"/>
  <c r="M360" i="13"/>
  <c r="M344" i="13"/>
  <c r="M328" i="13"/>
  <c r="M312" i="13"/>
  <c r="M296" i="13"/>
  <c r="M280" i="13"/>
  <c r="M264" i="13"/>
  <c r="M248" i="13"/>
  <c r="M232" i="13"/>
  <c r="M216" i="13"/>
  <c r="M200" i="13"/>
  <c r="M184" i="13"/>
  <c r="M168" i="13"/>
  <c r="M152" i="13"/>
  <c r="M136" i="13"/>
  <c r="M120" i="13"/>
  <c r="M104" i="13"/>
  <c r="M88" i="13"/>
  <c r="M72" i="13"/>
  <c r="M56" i="13"/>
  <c r="M40" i="13"/>
  <c r="M24" i="13"/>
  <c r="M8" i="13"/>
  <c r="E14" i="6"/>
  <c r="M484" i="2"/>
  <c r="M479" i="2"/>
  <c r="M474" i="2"/>
  <c r="M468" i="2"/>
  <c r="E19" i="6"/>
  <c r="B29" i="14"/>
  <c r="B19" i="14"/>
  <c r="M734" i="13"/>
  <c r="M478" i="13"/>
  <c r="M222" i="13"/>
  <c r="Z953" i="16"/>
  <c r="S167" i="17"/>
  <c r="K13" i="22"/>
  <c r="K21" i="22"/>
  <c r="K28" i="22"/>
  <c r="K34" i="22"/>
  <c r="K42" i="22"/>
  <c r="K3" i="22"/>
  <c r="K16" i="22"/>
  <c r="K24" i="22"/>
  <c r="K33" i="22"/>
  <c r="K44" i="22"/>
  <c r="K12" i="22"/>
  <c r="K26" i="22"/>
  <c r="K38" i="22"/>
  <c r="K5" i="22"/>
  <c r="K17" i="22"/>
  <c r="K32" i="22"/>
  <c r="K8" i="22"/>
  <c r="K22" i="22"/>
  <c r="K7" i="22"/>
  <c r="K14" i="22"/>
  <c r="K40" i="22"/>
  <c r="K18" i="22"/>
  <c r="K29" i="22"/>
  <c r="K206" i="17"/>
  <c r="K210" i="17"/>
  <c r="K214" i="17"/>
  <c r="K218" i="17"/>
  <c r="K65" i="17"/>
  <c r="C10" i="18"/>
  <c r="K81" i="17"/>
  <c r="K85" i="17"/>
  <c r="K89" i="17"/>
  <c r="K93" i="17"/>
  <c r="K209" i="17"/>
  <c r="K215" i="17"/>
  <c r="K64" i="17"/>
  <c r="K82" i="17"/>
  <c r="K87" i="17"/>
  <c r="K92" i="17"/>
  <c r="K211" i="17"/>
  <c r="K217" i="17"/>
  <c r="K67" i="17"/>
  <c r="K80" i="17"/>
  <c r="K88" i="17"/>
  <c r="K207" i="17"/>
  <c r="K216" i="17"/>
  <c r="K70" i="17"/>
  <c r="K78" i="17"/>
  <c r="K86" i="17"/>
  <c r="K208" i="17"/>
  <c r="K72" i="17"/>
  <c r="K90" i="17"/>
  <c r="H57" i="15"/>
  <c r="M1159" i="16"/>
  <c r="M1154" i="16"/>
  <c r="M1149" i="16"/>
  <c r="D8" i="15"/>
  <c r="D9" i="15"/>
  <c r="K94" i="17"/>
  <c r="K79" i="17"/>
  <c r="K235" i="17"/>
  <c r="K233" i="17"/>
  <c r="K231" i="17"/>
  <c r="K229" i="17"/>
  <c r="K227" i="17"/>
  <c r="K225" i="17"/>
  <c r="K223" i="17"/>
  <c r="K221" i="17"/>
  <c r="K219" i="17"/>
  <c r="C10" i="19"/>
  <c r="B7" i="19"/>
  <c r="K75" i="17"/>
  <c r="K69" i="17"/>
  <c r="E58" i="15"/>
  <c r="D7" i="15"/>
  <c r="S194" i="17"/>
  <c r="S190" i="17"/>
  <c r="S186" i="17"/>
  <c r="S182" i="17"/>
  <c r="S178" i="17"/>
  <c r="S174" i="17"/>
  <c r="S170" i="17"/>
  <c r="S166" i="17"/>
  <c r="S195" i="17"/>
  <c r="E41" i="18"/>
  <c r="S189" i="17"/>
  <c r="S184" i="17"/>
  <c r="S179" i="17"/>
  <c r="S173" i="17"/>
  <c r="S168" i="17"/>
  <c r="S153" i="17"/>
  <c r="K73" i="17"/>
  <c r="C10" i="26"/>
  <c r="B5" i="26"/>
  <c r="B10" i="26"/>
  <c r="L942" i="13"/>
  <c r="L947" i="13"/>
  <c r="L951" i="13"/>
  <c r="L955" i="13"/>
  <c r="L959" i="13"/>
  <c r="L944" i="13"/>
  <c r="L948" i="13"/>
  <c r="L952" i="13"/>
  <c r="L956" i="13"/>
  <c r="L960" i="13"/>
  <c r="K68" i="17"/>
  <c r="L953" i="13"/>
  <c r="L945" i="13"/>
  <c r="B5" i="27"/>
  <c r="B10" i="27"/>
  <c r="B37" i="6"/>
  <c r="B5" i="7"/>
  <c r="B10" i="7"/>
  <c r="U23" i="2"/>
  <c r="U80" i="2"/>
  <c r="U150" i="2"/>
  <c r="U469" i="2"/>
  <c r="U433" i="2"/>
  <c r="U303" i="2"/>
  <c r="C10" i="6"/>
  <c r="M381" i="5"/>
  <c r="M311" i="5"/>
  <c r="M307" i="5"/>
  <c r="M303" i="5"/>
  <c r="M299" i="5"/>
  <c r="M295" i="5"/>
  <c r="M291" i="5"/>
  <c r="M287" i="5"/>
  <c r="M283" i="5"/>
  <c r="M279" i="5"/>
  <c r="M275" i="5"/>
  <c r="M380" i="5"/>
  <c r="M377" i="5"/>
  <c r="M375" i="5"/>
  <c r="M373" i="5"/>
  <c r="M371" i="5"/>
  <c r="M369" i="5"/>
  <c r="M367" i="5"/>
  <c r="M365" i="5"/>
  <c r="M363" i="5"/>
  <c r="M378" i="5"/>
  <c r="M312" i="5"/>
  <c r="M306" i="5"/>
  <c r="M301" i="5"/>
  <c r="M296" i="5"/>
  <c r="M290" i="5"/>
  <c r="M285" i="5"/>
  <c r="M280" i="5"/>
  <c r="M274" i="5"/>
  <c r="M262" i="5"/>
  <c r="M260" i="5"/>
  <c r="M258" i="5"/>
  <c r="M256" i="5"/>
  <c r="M254" i="5"/>
  <c r="M250" i="5"/>
  <c r="M246" i="5"/>
  <c r="M242" i="5"/>
  <c r="M238" i="5"/>
  <c r="M234" i="5"/>
  <c r="M230" i="5"/>
  <c r="M211" i="5"/>
  <c r="M207" i="5"/>
  <c r="M203" i="5"/>
  <c r="M199" i="5"/>
  <c r="M195" i="5"/>
  <c r="M191" i="5"/>
  <c r="M187" i="5"/>
  <c r="M183" i="5"/>
  <c r="M179" i="5"/>
  <c r="M175" i="5"/>
  <c r="M171" i="5"/>
  <c r="M167" i="5"/>
  <c r="M163" i="5"/>
  <c r="M159" i="5"/>
  <c r="M155" i="5"/>
  <c r="M151" i="5"/>
  <c r="M147" i="5"/>
  <c r="M143" i="5"/>
  <c r="M139" i="5"/>
  <c r="M135" i="5"/>
  <c r="M228" i="5"/>
  <c r="M227" i="5"/>
  <c r="M226" i="5"/>
  <c r="M225" i="5"/>
  <c r="M224" i="5"/>
  <c r="M120" i="5"/>
  <c r="M116" i="5"/>
  <c r="M112" i="5"/>
  <c r="M108" i="5"/>
  <c r="M130" i="5"/>
  <c r="M126" i="5"/>
  <c r="M102" i="5"/>
  <c r="M98" i="5"/>
  <c r="M94" i="5"/>
  <c r="M88" i="5"/>
  <c r="M51" i="5"/>
  <c r="U318" i="2"/>
  <c r="U32" i="2"/>
  <c r="U104" i="2"/>
  <c r="U163" i="2"/>
  <c r="U381" i="2"/>
  <c r="U227" i="2"/>
  <c r="E42" i="8"/>
  <c r="E41" i="8"/>
  <c r="B4" i="8"/>
  <c r="B9" i="8"/>
  <c r="I42" i="8"/>
  <c r="I41" i="8"/>
  <c r="F4" i="8"/>
  <c r="F9" i="8"/>
  <c r="U355" i="2"/>
  <c r="U368" i="2"/>
  <c r="U308" i="2"/>
  <c r="U298" i="2"/>
  <c r="U287" i="2"/>
  <c r="U276" i="2"/>
  <c r="U266" i="2"/>
  <c r="U255" i="2"/>
  <c r="U244" i="2"/>
  <c r="U234" i="2"/>
  <c r="U222" i="2"/>
  <c r="U208" i="2"/>
  <c r="U445" i="2"/>
  <c r="U434" i="2"/>
  <c r="U427" i="2"/>
  <c r="U419" i="2"/>
  <c r="U413" i="2"/>
  <c r="U406" i="2"/>
  <c r="U398" i="2"/>
  <c r="U391" i="2"/>
  <c r="U385" i="2"/>
  <c r="U377" i="2"/>
  <c r="U470" i="2"/>
  <c r="U362" i="2"/>
  <c r="U200" i="2"/>
  <c r="U194" i="2"/>
  <c r="U187" i="2"/>
  <c r="U179" i="2"/>
  <c r="U172" i="2"/>
  <c r="U166" i="2"/>
  <c r="U158" i="2"/>
  <c r="U151" i="2"/>
  <c r="U144" i="2"/>
  <c r="U136" i="2"/>
  <c r="U130" i="2"/>
  <c r="U123" i="2"/>
  <c r="U115" i="2"/>
  <c r="U108" i="2"/>
  <c r="U472" i="2"/>
  <c r="U99" i="2"/>
  <c r="U92" i="2"/>
  <c r="U85" i="2"/>
  <c r="U77" i="2"/>
  <c r="U71" i="2"/>
  <c r="U64" i="2"/>
  <c r="U56" i="2"/>
  <c r="U49" i="2"/>
  <c r="U43" i="2"/>
  <c r="U358" i="2"/>
  <c r="U314" i="2"/>
  <c r="U302" i="2"/>
  <c r="U286" i="2"/>
  <c r="U271" i="2"/>
  <c r="U259" i="2"/>
  <c r="U243" i="2"/>
  <c r="U228" i="2"/>
  <c r="U214" i="2"/>
  <c r="U443" i="2"/>
  <c r="U430" i="2"/>
  <c r="U422" i="2"/>
  <c r="U411" i="2"/>
  <c r="U402" i="2"/>
  <c r="U393" i="2"/>
  <c r="U382" i="2"/>
  <c r="U374" i="2"/>
  <c r="U364" i="2"/>
  <c r="U199" i="2"/>
  <c r="U190" i="2"/>
  <c r="U182" i="2"/>
  <c r="U171" i="2"/>
  <c r="U162" i="2"/>
  <c r="U152" i="2"/>
  <c r="U142" i="2"/>
  <c r="U134" i="2"/>
  <c r="U124" i="2"/>
  <c r="U114" i="2"/>
  <c r="U474" i="2"/>
  <c r="U101" i="2"/>
  <c r="U91" i="2"/>
  <c r="U81" i="2"/>
  <c r="U72" i="2"/>
  <c r="U61" i="2"/>
  <c r="U53" i="2"/>
  <c r="U44" i="2"/>
  <c r="U35" i="2"/>
  <c r="U28" i="2"/>
  <c r="U485" i="2"/>
  <c r="U7" i="2"/>
  <c r="U345" i="2"/>
  <c r="U338" i="2"/>
  <c r="U326" i="2"/>
  <c r="U319" i="2"/>
  <c r="U211" i="2"/>
  <c r="U307" i="2"/>
  <c r="U291" i="2"/>
  <c r="U270" i="2"/>
  <c r="U250" i="2"/>
  <c r="U232" i="2"/>
  <c r="U207" i="2"/>
  <c r="U438" i="2"/>
  <c r="U423" i="2"/>
  <c r="U409" i="2"/>
  <c r="U397" i="2"/>
  <c r="U386" i="2"/>
  <c r="U371" i="2"/>
  <c r="U204" i="2"/>
  <c r="U192" i="2"/>
  <c r="U178" i="2"/>
  <c r="U167" i="2"/>
  <c r="U155" i="2"/>
  <c r="U140" i="2"/>
  <c r="U128" i="2"/>
  <c r="U118" i="2"/>
  <c r="U473" i="2"/>
  <c r="U96" i="2"/>
  <c r="U83" i="2"/>
  <c r="U69" i="2"/>
  <c r="U59" i="2"/>
  <c r="U45" i="2"/>
  <c r="U33" i="2"/>
  <c r="U24" i="2"/>
  <c r="U12" i="2"/>
  <c r="U343" i="2"/>
  <c r="U330" i="2"/>
  <c r="U321" i="2"/>
  <c r="U357" i="2"/>
  <c r="U367" i="2"/>
  <c r="U296" i="2"/>
  <c r="U280" i="2"/>
  <c r="U260" i="2"/>
  <c r="U239" i="2"/>
  <c r="U221" i="2"/>
  <c r="U449" i="2"/>
  <c r="U429" i="2"/>
  <c r="U417" i="2"/>
  <c r="U403" i="2"/>
  <c r="U390" i="2"/>
  <c r="U379" i="2"/>
  <c r="U365" i="2"/>
  <c r="U198" i="2"/>
  <c r="U184" i="2"/>
  <c r="U174" i="2"/>
  <c r="U160" i="2"/>
  <c r="U147" i="2"/>
  <c r="U135" i="2"/>
  <c r="U120" i="2"/>
  <c r="U110" i="2"/>
  <c r="U103" i="2"/>
  <c r="U88" i="2"/>
  <c r="U76" i="2"/>
  <c r="U65" i="2"/>
  <c r="U51" i="2"/>
  <c r="U39" i="2"/>
  <c r="U29" i="2"/>
  <c r="U466" i="2"/>
  <c r="U5" i="2"/>
  <c r="U339" i="2"/>
  <c r="U325" i="2"/>
  <c r="U312" i="2"/>
  <c r="U292" i="2"/>
  <c r="U275" i="2"/>
  <c r="U254" i="2"/>
  <c r="U238" i="2"/>
  <c r="U217" i="2"/>
  <c r="U439" i="2"/>
  <c r="U425" i="2"/>
  <c r="U414" i="2"/>
  <c r="U401" i="2"/>
  <c r="U387" i="2"/>
  <c r="U375" i="2"/>
  <c r="U360" i="2"/>
  <c r="U195" i="2"/>
  <c r="U183" i="2"/>
  <c r="U168" i="2"/>
  <c r="U156" i="2"/>
  <c r="U146" i="2"/>
  <c r="U131" i="2"/>
  <c r="U119" i="2"/>
  <c r="U107" i="2"/>
  <c r="U97" i="2"/>
  <c r="U87" i="2"/>
  <c r="U75" i="2"/>
  <c r="U60" i="2"/>
  <c r="U48" i="2"/>
  <c r="U37" i="2"/>
  <c r="U27" i="2"/>
  <c r="U464" i="2"/>
  <c r="U2" i="2"/>
  <c r="U452" i="2"/>
  <c r="U323" i="2"/>
  <c r="U282" i="2"/>
  <c r="U450" i="2"/>
  <c r="U395" i="2"/>
  <c r="U188" i="2"/>
  <c r="U139" i="2"/>
  <c r="U93" i="2"/>
  <c r="U40" i="2"/>
  <c r="U341" i="2"/>
  <c r="B38" i="6"/>
  <c r="S321" i="2"/>
  <c r="S345" i="2"/>
  <c r="S49" i="2"/>
  <c r="S92" i="2"/>
  <c r="S130" i="2"/>
  <c r="S164" i="2"/>
  <c r="S194" i="2"/>
  <c r="S377" i="2"/>
  <c r="S405" i="2"/>
  <c r="S434" i="2"/>
  <c r="S218" i="2"/>
  <c r="S247" i="2"/>
  <c r="S276" i="2"/>
  <c r="S301" i="2"/>
  <c r="S482" i="2"/>
  <c r="S319" i="2"/>
  <c r="S39" i="2"/>
  <c r="S103" i="2"/>
  <c r="S151" i="2"/>
  <c r="S186" i="2"/>
  <c r="S383" i="2"/>
  <c r="S419" i="2"/>
  <c r="S208" i="2"/>
  <c r="S255" i="2"/>
  <c r="S290" i="2"/>
  <c r="S317" i="2"/>
  <c r="S464" i="2"/>
  <c r="S81" i="2"/>
  <c r="S158" i="2"/>
  <c r="S361" i="2"/>
  <c r="S413" i="2"/>
  <c r="S225" i="2"/>
  <c r="S268" i="2"/>
  <c r="S312" i="2"/>
  <c r="S60" i="2"/>
  <c r="S119" i="2"/>
  <c r="S179" i="2"/>
  <c r="S391" i="2"/>
  <c r="S441" i="2"/>
  <c r="S240" i="2"/>
  <c r="S296" i="2"/>
  <c r="S330" i="2"/>
  <c r="S71" i="2"/>
  <c r="S140" i="2"/>
  <c r="S200" i="2"/>
  <c r="S398" i="2"/>
  <c r="S447" i="2"/>
  <c r="S262" i="2"/>
  <c r="S306" i="2"/>
  <c r="S172" i="2"/>
  <c r="S283" i="2"/>
  <c r="S108" i="2"/>
  <c r="S470" i="2"/>
  <c r="S426" i="2"/>
  <c r="S28" i="2"/>
  <c r="S234" i="2"/>
  <c r="S313" i="2"/>
  <c r="S292" i="2"/>
  <c r="S263" i="2"/>
  <c r="S235" i="2"/>
  <c r="S450" i="2"/>
  <c r="S421" i="2"/>
  <c r="S393" i="2"/>
  <c r="S364" i="2"/>
  <c r="S180" i="2"/>
  <c r="S152" i="2"/>
  <c r="S110" i="2"/>
  <c r="S72" i="2"/>
  <c r="S29" i="2"/>
  <c r="S358" i="2"/>
  <c r="S328" i="2"/>
  <c r="S4" i="2"/>
  <c r="S26" i="2"/>
  <c r="S42" i="2"/>
  <c r="S58" i="2"/>
  <c r="S74" i="2"/>
  <c r="S90" i="2"/>
  <c r="S471" i="2"/>
  <c r="S117" i="2"/>
  <c r="S133" i="2"/>
  <c r="S149" i="2"/>
  <c r="S165" i="2"/>
  <c r="S181" i="2"/>
  <c r="S197" i="2"/>
  <c r="S468" i="2"/>
  <c r="S384" i="2"/>
  <c r="S400" i="2"/>
  <c r="S416" i="2"/>
  <c r="S432" i="2"/>
  <c r="S448" i="2"/>
  <c r="S220" i="2"/>
  <c r="S237" i="2"/>
  <c r="S253" i="2"/>
  <c r="S269" i="2"/>
  <c r="S285" i="2"/>
  <c r="S322" i="2"/>
  <c r="S3" i="2"/>
  <c r="S31" i="2"/>
  <c r="S52" i="2"/>
  <c r="S73" i="2"/>
  <c r="S95" i="2"/>
  <c r="S111" i="2"/>
  <c r="S132" i="2"/>
  <c r="S357" i="2"/>
  <c r="S338" i="2"/>
  <c r="S485" i="2"/>
  <c r="S43" i="2"/>
  <c r="S64" i="2"/>
  <c r="S85" i="2"/>
  <c r="S472" i="2"/>
  <c r="S123" i="2"/>
  <c r="S144" i="2"/>
  <c r="S166" i="2"/>
  <c r="S187" i="2"/>
  <c r="S362" i="2"/>
  <c r="S385" i="2"/>
  <c r="S406" i="2"/>
  <c r="S427" i="2"/>
  <c r="S449" i="2"/>
  <c r="S227" i="2"/>
  <c r="S248" i="2"/>
  <c r="S270" i="2"/>
  <c r="S291" i="2"/>
  <c r="S307" i="2"/>
  <c r="S483" i="2"/>
  <c r="S305" i="2"/>
  <c r="S282" i="2"/>
  <c r="S252" i="2"/>
  <c r="S223" i="2"/>
  <c r="S439" i="2"/>
  <c r="S410" i="2"/>
  <c r="S382" i="2"/>
  <c r="S199" i="2"/>
  <c r="S170" i="2"/>
  <c r="S136" i="2"/>
  <c r="S99" i="2"/>
  <c r="S56" i="2"/>
  <c r="S7" i="2"/>
  <c r="S369" i="2"/>
  <c r="S298" i="2"/>
  <c r="S272" i="2"/>
  <c r="S244" i="2"/>
  <c r="S212" i="2"/>
  <c r="S430" i="2"/>
  <c r="S402" i="2"/>
  <c r="S373" i="2"/>
  <c r="S190" i="2"/>
  <c r="S162" i="2"/>
  <c r="S124" i="2"/>
  <c r="S87" i="2"/>
  <c r="S44" i="2"/>
  <c r="S339" i="2"/>
  <c r="S308" i="2"/>
  <c r="S284" i="2"/>
  <c r="S256" i="2"/>
  <c r="S228" i="2"/>
  <c r="S442" i="2"/>
  <c r="S414" i="2"/>
  <c r="S386" i="2"/>
  <c r="S202" i="2"/>
  <c r="S174" i="2"/>
  <c r="S142" i="2"/>
  <c r="S104" i="2"/>
  <c r="S61" i="2"/>
  <c r="S466" i="2"/>
  <c r="S213" i="2"/>
  <c r="S456" i="2"/>
  <c r="S8" i="2"/>
  <c r="S30" i="2"/>
  <c r="S46" i="2"/>
  <c r="S62" i="2"/>
  <c r="S78" i="2"/>
  <c r="S94" i="2"/>
  <c r="S475" i="2"/>
  <c r="S121" i="2"/>
  <c r="S137" i="2"/>
  <c r="S153" i="2"/>
  <c r="S169" i="2"/>
  <c r="S185" i="2"/>
  <c r="S201" i="2"/>
  <c r="S372" i="2"/>
  <c r="S388" i="2"/>
  <c r="S404" i="2"/>
  <c r="S420" i="2"/>
  <c r="S436" i="2"/>
  <c r="S205" i="2"/>
  <c r="S224" i="2"/>
  <c r="S241" i="2"/>
  <c r="S257" i="2"/>
  <c r="S273" i="2"/>
  <c r="S289" i="2"/>
  <c r="S327" i="2"/>
  <c r="S9" i="2"/>
  <c r="S36" i="2"/>
  <c r="S57" i="2"/>
  <c r="S79" i="2"/>
  <c r="S100" i="2"/>
  <c r="S116" i="2"/>
  <c r="S138" i="2"/>
  <c r="S318" i="2"/>
  <c r="S343" i="2"/>
  <c r="S27" i="2"/>
  <c r="S48" i="2"/>
  <c r="S69" i="2"/>
  <c r="S91" i="2"/>
  <c r="S107" i="2"/>
  <c r="S128" i="2"/>
  <c r="S150" i="2"/>
  <c r="S171" i="2"/>
  <c r="S192" i="2"/>
  <c r="S469" i="2"/>
  <c r="S390" i="2"/>
  <c r="S411" i="2"/>
  <c r="S433" i="2"/>
  <c r="S207" i="2"/>
  <c r="S232" i="2"/>
  <c r="S254" i="2"/>
  <c r="S275" i="2"/>
  <c r="S295" i="2"/>
  <c r="S311" i="2"/>
  <c r="S370" i="2"/>
  <c r="S300" i="2"/>
  <c r="S274" i="2"/>
  <c r="S246" i="2"/>
  <c r="S217" i="2"/>
  <c r="S431" i="2"/>
  <c r="S403" i="2"/>
  <c r="S375" i="2"/>
  <c r="S191" i="2"/>
  <c r="S163" i="2"/>
  <c r="S126" i="2"/>
  <c r="S88" i="2"/>
  <c r="S45" i="2"/>
  <c r="S341" i="2"/>
  <c r="S314" i="2"/>
  <c r="S293" i="2"/>
  <c r="S266" i="2"/>
  <c r="S236" i="2"/>
  <c r="S451" i="2"/>
  <c r="S423" i="2"/>
  <c r="S394" i="2"/>
  <c r="S365" i="2"/>
  <c r="S183" i="2"/>
  <c r="S154" i="2"/>
  <c r="S114" i="2"/>
  <c r="S76" i="2"/>
  <c r="S33" i="2"/>
  <c r="S325" i="2"/>
  <c r="S211" i="2"/>
  <c r="S302" i="2"/>
  <c r="S278" i="2"/>
  <c r="S250" i="2"/>
  <c r="S219" i="2"/>
  <c r="S435" i="2"/>
  <c r="S407" i="2"/>
  <c r="S378" i="2"/>
  <c r="S195" i="2"/>
  <c r="S167" i="2"/>
  <c r="S131" i="2"/>
  <c r="S93" i="2"/>
  <c r="S51" i="2"/>
  <c r="S2" i="2"/>
  <c r="S320" i="2"/>
  <c r="S340" i="2"/>
  <c r="S465" i="2"/>
  <c r="S34" i="2"/>
  <c r="S50" i="2"/>
  <c r="S66" i="2"/>
  <c r="S82" i="2"/>
  <c r="S98" i="2"/>
  <c r="S109" i="2"/>
  <c r="S125" i="2"/>
  <c r="S141" i="2"/>
  <c r="S157" i="2"/>
  <c r="S173" i="2"/>
  <c r="S189" i="2"/>
  <c r="S359" i="2"/>
  <c r="S376" i="2"/>
  <c r="S392" i="2"/>
  <c r="S408" i="2"/>
  <c r="S424" i="2"/>
  <c r="S440" i="2"/>
  <c r="S209" i="2"/>
  <c r="S229" i="2"/>
  <c r="S245" i="2"/>
  <c r="S261" i="2"/>
  <c r="S277" i="2"/>
  <c r="S226" i="2"/>
  <c r="S337" i="2"/>
  <c r="S484" i="2"/>
  <c r="S41" i="2"/>
  <c r="S63" i="2"/>
  <c r="S84" i="2"/>
  <c r="S105" i="2"/>
  <c r="S122" i="2"/>
  <c r="S143" i="2"/>
  <c r="S323" i="2"/>
  <c r="S5" i="2"/>
  <c r="S32" i="2"/>
  <c r="S53" i="2"/>
  <c r="S75" i="2"/>
  <c r="S96" i="2"/>
  <c r="S112" i="2"/>
  <c r="S134" i="2"/>
  <c r="S155" i="2"/>
  <c r="S176" i="2"/>
  <c r="S198" i="2"/>
  <c r="S374" i="2"/>
  <c r="S395" i="2"/>
  <c r="S417" i="2"/>
  <c r="S438" i="2"/>
  <c r="S214" i="2"/>
  <c r="S238" i="2"/>
  <c r="S259" i="2"/>
  <c r="S280" i="2"/>
  <c r="S299" i="2"/>
  <c r="S315" i="2"/>
  <c r="S316" i="2"/>
  <c r="S294" i="2"/>
  <c r="S267" i="2"/>
  <c r="S239" i="2"/>
  <c r="S206" i="2"/>
  <c r="S425" i="2"/>
  <c r="S397" i="2"/>
  <c r="S366" i="2"/>
  <c r="S184" i="2"/>
  <c r="S156" i="2"/>
  <c r="S115" i="2"/>
  <c r="S77" i="2"/>
  <c r="S35" i="2"/>
  <c r="S326" i="2"/>
  <c r="S309" i="2"/>
  <c r="S287" i="2"/>
  <c r="S258" i="2"/>
  <c r="S230" i="2"/>
  <c r="S445" i="2"/>
  <c r="S415" i="2"/>
  <c r="S387" i="2"/>
  <c r="S204" i="2"/>
  <c r="S175" i="2"/>
  <c r="S146" i="2"/>
  <c r="S473" i="2"/>
  <c r="S65" i="2"/>
  <c r="S23" i="2"/>
  <c r="S355" i="2"/>
  <c r="S297" i="2"/>
  <c r="S429" i="2"/>
  <c r="S159" i="2"/>
  <c r="S452" i="2"/>
  <c r="S38" i="2"/>
  <c r="S102" i="2"/>
  <c r="S161" i="2"/>
  <c r="S380" i="2"/>
  <c r="S444" i="2"/>
  <c r="S265" i="2"/>
  <c r="S25" i="2"/>
  <c r="S106" i="2"/>
  <c r="S12" i="2"/>
  <c r="S101" i="2"/>
  <c r="S182" i="2"/>
  <c r="S422" i="2"/>
  <c r="S264" i="2"/>
  <c r="S310" i="2"/>
  <c r="S446" i="2"/>
  <c r="S178" i="2"/>
  <c r="S24" i="2"/>
  <c r="S251" i="2"/>
  <c r="S381" i="2"/>
  <c r="S97" i="2"/>
  <c r="S271" i="2"/>
  <c r="S399" i="2"/>
  <c r="S120" i="2"/>
  <c r="S324" i="2"/>
  <c r="S54" i="2"/>
  <c r="S113" i="2"/>
  <c r="S177" i="2"/>
  <c r="S396" i="2"/>
  <c r="S216" i="2"/>
  <c r="S281" i="2"/>
  <c r="S47" i="2"/>
  <c r="S127" i="2"/>
  <c r="S37" i="2"/>
  <c r="S118" i="2"/>
  <c r="S203" i="2"/>
  <c r="S443" i="2"/>
  <c r="S286" i="2"/>
  <c r="S288" i="2"/>
  <c r="S418" i="2"/>
  <c r="S147" i="2"/>
  <c r="S346" i="2"/>
  <c r="S222" i="2"/>
  <c r="S196" i="2"/>
  <c r="S55" i="2"/>
  <c r="S242" i="2"/>
  <c r="S371" i="2"/>
  <c r="S83" i="2"/>
  <c r="S344" i="2"/>
  <c r="S70" i="2"/>
  <c r="S129" i="2"/>
  <c r="S193" i="2"/>
  <c r="S412" i="2"/>
  <c r="S233" i="2"/>
  <c r="S215" i="2"/>
  <c r="S68" i="2"/>
  <c r="S148" i="2"/>
  <c r="S59" i="2"/>
  <c r="S139" i="2"/>
  <c r="S379" i="2"/>
  <c r="S221" i="2"/>
  <c r="S303" i="2"/>
  <c r="S260" i="2"/>
  <c r="S389" i="2"/>
  <c r="S474" i="2"/>
  <c r="S304" i="2"/>
  <c r="S437" i="2"/>
  <c r="S168" i="2"/>
  <c r="S6" i="2"/>
  <c r="S367" i="2"/>
  <c r="S210" i="2"/>
  <c r="S188" i="2"/>
  <c r="S40" i="2"/>
  <c r="S486" i="2"/>
  <c r="S86" i="2"/>
  <c r="S145" i="2"/>
  <c r="S363" i="2"/>
  <c r="S428" i="2"/>
  <c r="S249" i="2"/>
  <c r="S342" i="2"/>
  <c r="S89" i="2"/>
  <c r="S329" i="2"/>
  <c r="S80" i="2"/>
  <c r="S160" i="2"/>
  <c r="S401" i="2"/>
  <c r="S243" i="2"/>
  <c r="S368" i="2"/>
  <c r="S231" i="2"/>
  <c r="S360" i="2"/>
  <c r="S67" i="2"/>
  <c r="S279" i="2"/>
  <c r="S409" i="2"/>
  <c r="S135" i="2"/>
  <c r="Z954" i="16"/>
  <c r="Z922" i="16"/>
  <c r="Z890" i="16"/>
  <c r="Z1105" i="16"/>
  <c r="Z866" i="16"/>
  <c r="Z834" i="16"/>
  <c r="Z802" i="16"/>
  <c r="Z770" i="16"/>
  <c r="Z738" i="16"/>
  <c r="Z706" i="16"/>
  <c r="Z674" i="16"/>
  <c r="Z642" i="16"/>
  <c r="Z610" i="16"/>
  <c r="Z578" i="16"/>
  <c r="Z546" i="16"/>
  <c r="Z1083" i="16"/>
  <c r="Z1054" i="16"/>
  <c r="Z1022" i="16"/>
  <c r="Z990" i="16"/>
  <c r="Z506" i="16"/>
  <c r="Z474" i="16"/>
  <c r="Z442" i="16"/>
  <c r="Z410" i="16"/>
  <c r="Z378" i="16"/>
  <c r="Z346" i="16"/>
  <c r="Z314" i="16"/>
  <c r="Z282" i="16"/>
  <c r="Z250" i="16"/>
  <c r="Z218" i="16"/>
  <c r="Z186" i="16"/>
  <c r="Z154" i="16"/>
  <c r="Z122" i="16"/>
  <c r="Z90" i="16"/>
  <c r="Z58" i="16"/>
  <c r="Z26" i="16"/>
  <c r="Z8" i="16"/>
  <c r="Z24" i="16"/>
  <c r="Z40" i="16"/>
  <c r="Z56" i="16"/>
  <c r="Z72" i="16"/>
  <c r="Z88" i="16"/>
  <c r="Z104" i="16"/>
  <c r="Z120" i="16"/>
  <c r="Z136" i="16"/>
  <c r="Z152" i="16"/>
  <c r="Z168" i="16"/>
  <c r="Z184" i="16"/>
  <c r="Z200" i="16"/>
  <c r="Z216" i="16"/>
  <c r="Z232" i="16"/>
  <c r="Z248" i="16"/>
  <c r="Z264" i="16"/>
  <c r="Z280" i="16"/>
  <c r="Z296" i="16"/>
  <c r="Z312" i="16"/>
  <c r="Z328" i="16"/>
  <c r="Z344" i="16"/>
  <c r="Z360" i="16"/>
  <c r="Z376" i="16"/>
  <c r="Z392" i="16"/>
  <c r="Z408" i="16"/>
  <c r="Z424" i="16"/>
  <c r="Z440" i="16"/>
  <c r="Z456" i="16"/>
  <c r="Z472" i="16"/>
  <c r="Z488" i="16"/>
  <c r="Z504" i="16"/>
  <c r="Z520" i="16"/>
  <c r="Z988" i="16"/>
  <c r="Z1004" i="16"/>
  <c r="Z1020" i="16"/>
  <c r="Z1036" i="16"/>
  <c r="Z1052" i="16"/>
  <c r="Z1068" i="16"/>
  <c r="Z533" i="16"/>
  <c r="Z1137" i="16"/>
  <c r="Z544" i="16"/>
  <c r="Z560" i="16"/>
  <c r="Z576" i="16"/>
  <c r="Z592" i="16"/>
  <c r="Z608" i="16"/>
  <c r="Z624" i="16"/>
  <c r="Z640" i="16"/>
  <c r="Z656" i="16"/>
  <c r="Z672" i="16"/>
  <c r="Z688" i="16"/>
  <c r="Z704" i="16"/>
  <c r="Z720" i="16"/>
  <c r="Z736" i="16"/>
  <c r="Z752" i="16"/>
  <c r="Z768" i="16"/>
  <c r="Z784" i="16"/>
  <c r="Z800" i="16"/>
  <c r="Z816" i="16"/>
  <c r="Z832" i="16"/>
  <c r="Z848" i="16"/>
  <c r="Z864" i="16"/>
  <c r="Z880" i="16"/>
  <c r="Z1103" i="16"/>
  <c r="Z1119" i="16"/>
  <c r="Z1135" i="16"/>
  <c r="Z904" i="16"/>
  <c r="Z920" i="16"/>
  <c r="Z936" i="16"/>
  <c r="Z952" i="16"/>
  <c r="Z968" i="16"/>
  <c r="Z3" i="16"/>
  <c r="Z19" i="16"/>
  <c r="Z35" i="16"/>
  <c r="Z51" i="16"/>
  <c r="Z67" i="16"/>
  <c r="Z83" i="16"/>
  <c r="Z99" i="16"/>
  <c r="Z115" i="16"/>
  <c r="Z131" i="16"/>
  <c r="Z147" i="16"/>
  <c r="Z163" i="16"/>
  <c r="Z179" i="16"/>
  <c r="Z195" i="16"/>
  <c r="Z211" i="16"/>
  <c r="Z227" i="16"/>
  <c r="Z243" i="16"/>
  <c r="Z259" i="16"/>
  <c r="Z275" i="16"/>
  <c r="Z291" i="16"/>
  <c r="Z307" i="16"/>
  <c r="Z323" i="16"/>
  <c r="Z339" i="16"/>
  <c r="Z355" i="16"/>
  <c r="Z371" i="16"/>
  <c r="Z387" i="16"/>
  <c r="Z403" i="16"/>
  <c r="Z419" i="16"/>
  <c r="Z435" i="16"/>
  <c r="Z451" i="16"/>
  <c r="Z467" i="16"/>
  <c r="Z483" i="16"/>
  <c r="Z499" i="16"/>
  <c r="Z515" i="16"/>
  <c r="Z983" i="16"/>
  <c r="Z999" i="16"/>
  <c r="Z1015" i="16"/>
  <c r="Z1031" i="16"/>
  <c r="Z1047" i="16"/>
  <c r="Z1063" i="16"/>
  <c r="Z1079" i="16"/>
  <c r="Z1092" i="16"/>
  <c r="Z539" i="16"/>
  <c r="Z555" i="16"/>
  <c r="Z571" i="16"/>
  <c r="Z587" i="16"/>
  <c r="Z603" i="16"/>
  <c r="Z619" i="16"/>
  <c r="Z635" i="16"/>
  <c r="Z651" i="16"/>
  <c r="Z667" i="16"/>
  <c r="Z683" i="16"/>
  <c r="Z699" i="16"/>
  <c r="Z715" i="16"/>
  <c r="Z731" i="16"/>
  <c r="Z747" i="16"/>
  <c r="Z763" i="16"/>
  <c r="Z779" i="16"/>
  <c r="Z795" i="16"/>
  <c r="Z811" i="16"/>
  <c r="Z827" i="16"/>
  <c r="Z843" i="16"/>
  <c r="Z859" i="16"/>
  <c r="Z875" i="16"/>
  <c r="Z1098" i="16"/>
  <c r="Z1114" i="16"/>
  <c r="Z1130" i="16"/>
  <c r="Z899" i="16"/>
  <c r="Z915" i="16"/>
  <c r="Z931" i="16"/>
  <c r="Z947" i="16"/>
  <c r="Z963" i="16"/>
  <c r="Z979" i="16"/>
  <c r="Z974" i="16"/>
  <c r="Z942" i="16"/>
  <c r="Z910" i="16"/>
  <c r="Z1125" i="16"/>
  <c r="Z886" i="16"/>
  <c r="Z854" i="16"/>
  <c r="Z822" i="16"/>
  <c r="Z790" i="16"/>
  <c r="Z758" i="16"/>
  <c r="Z726" i="16"/>
  <c r="Z694" i="16"/>
  <c r="Z662" i="16"/>
  <c r="Z630" i="16"/>
  <c r="Z598" i="16"/>
  <c r="Z566" i="16"/>
  <c r="Z534" i="16"/>
  <c r="Z1074" i="16"/>
  <c r="Z1042" i="16"/>
  <c r="Z1010" i="16"/>
  <c r="Z526" i="16"/>
  <c r="Z494" i="16"/>
  <c r="Z462" i="16"/>
  <c r="Z430" i="16"/>
  <c r="Z398" i="16"/>
  <c r="Z366" i="16"/>
  <c r="Z334" i="16"/>
  <c r="Z302" i="16"/>
  <c r="Z270" i="16"/>
  <c r="Z238" i="16"/>
  <c r="Z206" i="16"/>
  <c r="Z174" i="16"/>
  <c r="Z142" i="16"/>
  <c r="Z110" i="16"/>
  <c r="Z78" i="16"/>
  <c r="Z46" i="16"/>
  <c r="Z14" i="16"/>
  <c r="Z965" i="16"/>
  <c r="Z933" i="16"/>
  <c r="Z901" i="16"/>
  <c r="Z1116" i="16"/>
  <c r="Z877" i="16"/>
  <c r="Z845" i="16"/>
  <c r="Z813" i="16"/>
  <c r="Z781" i="16"/>
  <c r="Z749" i="16"/>
  <c r="Z281" i="16"/>
  <c r="Z1037" i="16"/>
  <c r="Z769" i="16"/>
  <c r="Z49" i="16"/>
  <c r="Z345" i="16"/>
  <c r="Z545" i="16"/>
  <c r="Z849" i="16"/>
  <c r="Z433" i="16"/>
  <c r="Z970" i="16"/>
  <c r="Z930" i="16"/>
  <c r="Z1129" i="16"/>
  <c r="Z882" i="16"/>
  <c r="Z842" i="16"/>
  <c r="Z794" i="16"/>
  <c r="Z754" i="16"/>
  <c r="Z714" i="16"/>
  <c r="Z666" i="16"/>
  <c r="Z626" i="16"/>
  <c r="Z586" i="16"/>
  <c r="Z538" i="16"/>
  <c r="Z1070" i="16"/>
  <c r="Z1030" i="16"/>
  <c r="Z530" i="16"/>
  <c r="Z490" i="16"/>
  <c r="Z450" i="16"/>
  <c r="Z402" i="16"/>
  <c r="Z362" i="16"/>
  <c r="Z322" i="16"/>
  <c r="Z274" i="16"/>
  <c r="Z234" i="16"/>
  <c r="Z194" i="16"/>
  <c r="Z146" i="16"/>
  <c r="Z106" i="16"/>
  <c r="Z66" i="16"/>
  <c r="Z18" i="16"/>
  <c r="Z16" i="16"/>
  <c r="Z36" i="16"/>
  <c r="Z60" i="16"/>
  <c r="Z80" i="16"/>
  <c r="Z100" i="16"/>
  <c r="Z124" i="16"/>
  <c r="Z144" i="16"/>
  <c r="Z164" i="16"/>
  <c r="Z188" i="16"/>
  <c r="Z208" i="16"/>
  <c r="Z228" i="16"/>
  <c r="Z252" i="16"/>
  <c r="Z272" i="16"/>
  <c r="Z292" i="16"/>
  <c r="Z316" i="16"/>
  <c r="Z336" i="16"/>
  <c r="Z356" i="16"/>
  <c r="Z380" i="16"/>
  <c r="Z400" i="16"/>
  <c r="Z420" i="16"/>
  <c r="Z444" i="16"/>
  <c r="Z464" i="16"/>
  <c r="Z484" i="16"/>
  <c r="Z508" i="16"/>
  <c r="Z528" i="16"/>
  <c r="Z1000" i="16"/>
  <c r="Z1024" i="16"/>
  <c r="Z1044" i="16"/>
  <c r="Z1064" i="16"/>
  <c r="Z1085" i="16"/>
  <c r="Z536" i="16"/>
  <c r="Z556" i="16"/>
  <c r="Z580" i="16"/>
  <c r="Z600" i="16"/>
  <c r="Z620" i="16"/>
  <c r="Z644" i="16"/>
  <c r="Z664" i="16"/>
  <c r="Z684" i="16"/>
  <c r="Z708" i="16"/>
  <c r="Z728" i="16"/>
  <c r="Z748" i="16"/>
  <c r="Z772" i="16"/>
  <c r="Z792" i="16"/>
  <c r="Z812" i="16"/>
  <c r="Z836" i="16"/>
  <c r="Z856" i="16"/>
  <c r="Z876" i="16"/>
  <c r="Z1107" i="16"/>
  <c r="Z1127" i="16"/>
  <c r="Z900" i="16"/>
  <c r="Z924" i="16"/>
  <c r="Z944" i="16"/>
  <c r="Z964" i="16"/>
  <c r="Z7" i="16"/>
  <c r="Z27" i="16"/>
  <c r="Z47" i="16"/>
  <c r="Z71" i="16"/>
  <c r="Z91" i="16"/>
  <c r="Z111" i="16"/>
  <c r="Z135" i="16"/>
  <c r="Z155" i="16"/>
  <c r="Z175" i="16"/>
  <c r="Z199" i="16"/>
  <c r="Z219" i="16"/>
  <c r="Z239" i="16"/>
  <c r="Z263" i="16"/>
  <c r="Z283" i="16"/>
  <c r="Z303" i="16"/>
  <c r="Z327" i="16"/>
  <c r="Z347" i="16"/>
  <c r="Z367" i="16"/>
  <c r="Z391" i="16"/>
  <c r="Z411" i="16"/>
  <c r="Z431" i="16"/>
  <c r="Z455" i="16"/>
  <c r="Z475" i="16"/>
  <c r="Z495" i="16"/>
  <c r="Z519" i="16"/>
  <c r="Z991" i="16"/>
  <c r="Z1011" i="16"/>
  <c r="Z1035" i="16"/>
  <c r="Z1055" i="16"/>
  <c r="Z1075" i="16"/>
  <c r="Z1136" i="16"/>
  <c r="Z547" i="16"/>
  <c r="Z567" i="16"/>
  <c r="Z591" i="16"/>
  <c r="Z611" i="16"/>
  <c r="Z631" i="16"/>
  <c r="Z655" i="16"/>
  <c r="Z675" i="16"/>
  <c r="Z695" i="16"/>
  <c r="Z719" i="16"/>
  <c r="Z739" i="16"/>
  <c r="Z759" i="16"/>
  <c r="Z783" i="16"/>
  <c r="Z803" i="16"/>
  <c r="Z823" i="16"/>
  <c r="Z847" i="16"/>
  <c r="Z867" i="16"/>
  <c r="Z887" i="16"/>
  <c r="Z1118" i="16"/>
  <c r="Z891" i="16"/>
  <c r="Z911" i="16"/>
  <c r="Z935" i="16"/>
  <c r="Z955" i="16"/>
  <c r="Z975" i="16"/>
  <c r="Z982" i="16"/>
  <c r="Z934" i="16"/>
  <c r="Z894" i="16"/>
  <c r="Z1101" i="16"/>
  <c r="Z846" i="16"/>
  <c r="Z806" i="16"/>
  <c r="Z766" i="16"/>
  <c r="Z718" i="16"/>
  <c r="Z678" i="16"/>
  <c r="Z638" i="16"/>
  <c r="Z590" i="16"/>
  <c r="Z550" i="16"/>
  <c r="Z531" i="16"/>
  <c r="Z1034" i="16"/>
  <c r="Z994" i="16"/>
  <c r="Z502" i="16"/>
  <c r="Z454" i="16"/>
  <c r="Z414" i="16"/>
  <c r="Z374" i="16"/>
  <c r="Z326" i="16"/>
  <c r="Z286" i="16"/>
  <c r="Z246" i="16"/>
  <c r="Z198" i="16"/>
  <c r="Z158" i="16"/>
  <c r="Z118" i="16"/>
  <c r="Z70" i="16"/>
  <c r="Z30" i="16"/>
  <c r="Z973" i="16"/>
  <c r="Z925" i="16"/>
  <c r="Z1132" i="16"/>
  <c r="Z885" i="16"/>
  <c r="Z837" i="16"/>
  <c r="Z797" i="16"/>
  <c r="Z757" i="16"/>
  <c r="Z717" i="16"/>
  <c r="Z685" i="16"/>
  <c r="Z653" i="16"/>
  <c r="Z621" i="16"/>
  <c r="Z589" i="16"/>
  <c r="Z557" i="16"/>
  <c r="Z1094" i="16"/>
  <c r="Z1065" i="16"/>
  <c r="Z1033" i="16"/>
  <c r="Z1001" i="16"/>
  <c r="Z517" i="16"/>
  <c r="Z485" i="16"/>
  <c r="Z453" i="16"/>
  <c r="Z421" i="16"/>
  <c r="Z389" i="16"/>
  <c r="Z357" i="16"/>
  <c r="Z325" i="16"/>
  <c r="Z293" i="16"/>
  <c r="Z261" i="16"/>
  <c r="Z229" i="16"/>
  <c r="Z197" i="16"/>
  <c r="Z165" i="16"/>
  <c r="Z133" i="16"/>
  <c r="Z101" i="16"/>
  <c r="Z69" i="16"/>
  <c r="Z37" i="16"/>
  <c r="Z5" i="16"/>
  <c r="Z609" i="16"/>
  <c r="Z962" i="16"/>
  <c r="Z914" i="16"/>
  <c r="Z1121" i="16"/>
  <c r="Z874" i="16"/>
  <c r="Z826" i="16"/>
  <c r="Z786" i="16"/>
  <c r="Z746" i="16"/>
  <c r="Z698" i="16"/>
  <c r="Z658" i="16"/>
  <c r="Z618" i="16"/>
  <c r="Z570" i="16"/>
  <c r="Z1139" i="16"/>
  <c r="Z1062" i="16"/>
  <c r="Z1014" i="16"/>
  <c r="Z522" i="16"/>
  <c r="Z482" i="16"/>
  <c r="Z434" i="16"/>
  <c r="Z394" i="16"/>
  <c r="Z354" i="16"/>
  <c r="Z306" i="16"/>
  <c r="Z266" i="16"/>
  <c r="Z226" i="16"/>
  <c r="Z178" i="16"/>
  <c r="Z138" i="16"/>
  <c r="Z98" i="16"/>
  <c r="Z50" i="16"/>
  <c r="Z10" i="16"/>
  <c r="Z20" i="16"/>
  <c r="Z44" i="16"/>
  <c r="Z64" i="16"/>
  <c r="Z84" i="16"/>
  <c r="Z108" i="16"/>
  <c r="Z128" i="16"/>
  <c r="Z148" i="16"/>
  <c r="Z172" i="16"/>
  <c r="Z192" i="16"/>
  <c r="Z212" i="16"/>
  <c r="Z236" i="16"/>
  <c r="Z256" i="16"/>
  <c r="Z276" i="16"/>
  <c r="Z300" i="16"/>
  <c r="Z320" i="16"/>
  <c r="Z340" i="16"/>
  <c r="Z364" i="16"/>
  <c r="Z384" i="16"/>
  <c r="Z404" i="16"/>
  <c r="Z428" i="16"/>
  <c r="Z448" i="16"/>
  <c r="Z468" i="16"/>
  <c r="Z492" i="16"/>
  <c r="Z512" i="16"/>
  <c r="Z984" i="16"/>
  <c r="Z1008" i="16"/>
  <c r="Z1028" i="16"/>
  <c r="Z1048" i="16"/>
  <c r="Z1072" i="16"/>
  <c r="Z1089" i="16"/>
  <c r="Z540" i="16"/>
  <c r="Z564" i="16"/>
  <c r="Z584" i="16"/>
  <c r="Z604" i="16"/>
  <c r="Z628" i="16"/>
  <c r="Z648" i="16"/>
  <c r="Z668" i="16"/>
  <c r="Z692" i="16"/>
  <c r="Z712" i="16"/>
  <c r="Z732" i="16"/>
  <c r="Z756" i="16"/>
  <c r="Z776" i="16"/>
  <c r="Z796" i="16"/>
  <c r="Z820" i="16"/>
  <c r="Z840" i="16"/>
  <c r="Z860" i="16"/>
  <c r="Z884" i="16"/>
  <c r="Z1111" i="16"/>
  <c r="Z1131" i="16"/>
  <c r="Z908" i="16"/>
  <c r="Z928" i="16"/>
  <c r="Z948" i="16"/>
  <c r="Z972" i="16"/>
  <c r="Z11" i="16"/>
  <c r="Z31" i="16"/>
  <c r="Z55" i="16"/>
  <c r="Z75" i="16"/>
  <c r="Z95" i="16"/>
  <c r="Z119" i="16"/>
  <c r="Z139" i="16"/>
  <c r="Z159" i="16"/>
  <c r="Z183" i="16"/>
  <c r="Z203" i="16"/>
  <c r="Z223" i="16"/>
  <c r="Z247" i="16"/>
  <c r="Z267" i="16"/>
  <c r="Z287" i="16"/>
  <c r="Z311" i="16"/>
  <c r="Z331" i="16"/>
  <c r="Z351" i="16"/>
  <c r="Z375" i="16"/>
  <c r="Z395" i="16"/>
  <c r="Z415" i="16"/>
  <c r="Z439" i="16"/>
  <c r="Z459" i="16"/>
  <c r="Z479" i="16"/>
  <c r="Z503" i="16"/>
  <c r="Z523" i="16"/>
  <c r="Z995" i="16"/>
  <c r="Z1019" i="16"/>
  <c r="Z1039" i="16"/>
  <c r="Z1059" i="16"/>
  <c r="Z532" i="16"/>
  <c r="Z1140" i="16"/>
  <c r="Z551" i="16"/>
  <c r="Z575" i="16"/>
  <c r="Z595" i="16"/>
  <c r="Z615" i="16"/>
  <c r="Z639" i="16"/>
  <c r="Z659" i="16"/>
  <c r="Z679" i="16"/>
  <c r="Z703" i="16"/>
  <c r="Z723" i="16"/>
  <c r="Z743" i="16"/>
  <c r="Z767" i="16"/>
  <c r="Z787" i="16"/>
  <c r="Z807" i="16"/>
  <c r="Z831" i="16"/>
  <c r="Z851" i="16"/>
  <c r="Z871" i="16"/>
  <c r="Z1102" i="16"/>
  <c r="Z1122" i="16"/>
  <c r="Z895" i="16"/>
  <c r="Z919" i="16"/>
  <c r="Z939" i="16"/>
  <c r="Z959" i="16"/>
  <c r="Z966" i="16"/>
  <c r="Z926" i="16"/>
  <c r="Z1133" i="16"/>
  <c r="Z878" i="16"/>
  <c r="Z838" i="16"/>
  <c r="Z798" i="16"/>
  <c r="Z750" i="16"/>
  <c r="Z710" i="16"/>
  <c r="Z670" i="16"/>
  <c r="Z622" i="16"/>
  <c r="Z582" i="16"/>
  <c r="Z542" i="16"/>
  <c r="Z1066" i="16"/>
  <c r="Z1026" i="16"/>
  <c r="Z986" i="16"/>
  <c r="Z486" i="16"/>
  <c r="Z446" i="16"/>
  <c r="Z406" i="16"/>
  <c r="Z358" i="16"/>
  <c r="Z318" i="16"/>
  <c r="Z278" i="16"/>
  <c r="Z230" i="16"/>
  <c r="Z190" i="16"/>
  <c r="Z150" i="16"/>
  <c r="Z102" i="16"/>
  <c r="Z62" i="16"/>
  <c r="Z22" i="16"/>
  <c r="Z957" i="16"/>
  <c r="Z917" i="16"/>
  <c r="Z1124" i="16"/>
  <c r="Z869" i="16"/>
  <c r="Z829" i="16"/>
  <c r="Z789" i="16"/>
  <c r="Z741" i="16"/>
  <c r="Z709" i="16"/>
  <c r="Z677" i="16"/>
  <c r="Z645" i="16"/>
  <c r="Z613" i="16"/>
  <c r="Z581" i="16"/>
  <c r="Z549" i="16"/>
  <c r="Z1086" i="16"/>
  <c r="Z1057" i="16"/>
  <c r="Z1025" i="16"/>
  <c r="Z993" i="16"/>
  <c r="Z509" i="16"/>
  <c r="Z477" i="16"/>
  <c r="Z445" i="16"/>
  <c r="Z413" i="16"/>
  <c r="Z381" i="16"/>
  <c r="Z349" i="16"/>
  <c r="Z317" i="16"/>
  <c r="Z285" i="16"/>
  <c r="Z253" i="16"/>
  <c r="Z221" i="16"/>
  <c r="Z189" i="16"/>
  <c r="Z157" i="16"/>
  <c r="Z125" i="16"/>
  <c r="Z93" i="16"/>
  <c r="Z61" i="16"/>
  <c r="Z29" i="16"/>
  <c r="Z1120" i="16"/>
  <c r="Z946" i="16"/>
  <c r="Z906" i="16"/>
  <c r="Z1113" i="16"/>
  <c r="Z858" i="16"/>
  <c r="Z818" i="16"/>
  <c r="Z778" i="16"/>
  <c r="Z730" i="16"/>
  <c r="Z690" i="16"/>
  <c r="Z650" i="16"/>
  <c r="Z602" i="16"/>
  <c r="Z562" i="16"/>
  <c r="Z1091" i="16"/>
  <c r="Z1046" i="16"/>
  <c r="Z1006" i="16"/>
  <c r="Z514" i="16"/>
  <c r="Z466" i="16"/>
  <c r="Z426" i="16"/>
  <c r="Z386" i="16"/>
  <c r="Z338" i="16"/>
  <c r="Z298" i="16"/>
  <c r="Z258" i="16"/>
  <c r="Z210" i="16"/>
  <c r="Z170" i="16"/>
  <c r="Z130" i="16"/>
  <c r="Z82" i="16"/>
  <c r="Z42" i="16"/>
  <c r="Z4" i="16"/>
  <c r="Z28" i="16"/>
  <c r="Z48" i="16"/>
  <c r="Z68" i="16"/>
  <c r="Z92" i="16"/>
  <c r="Z112" i="16"/>
  <c r="Z132" i="16"/>
  <c r="Z156" i="16"/>
  <c r="Z176" i="16"/>
  <c r="Z196" i="16"/>
  <c r="Z220" i="16"/>
  <c r="Z240" i="16"/>
  <c r="Z260" i="16"/>
  <c r="Z284" i="16"/>
  <c r="Z304" i="16"/>
  <c r="Z324" i="16"/>
  <c r="Z348" i="16"/>
  <c r="Z368" i="16"/>
  <c r="Z388" i="16"/>
  <c r="Z412" i="16"/>
  <c r="Z432" i="16"/>
  <c r="Z452" i="16"/>
  <c r="Z476" i="16"/>
  <c r="Z496" i="16"/>
  <c r="Z516" i="16"/>
  <c r="Z992" i="16"/>
  <c r="Z1012" i="16"/>
  <c r="Z1032" i="16"/>
  <c r="Z1056" i="16"/>
  <c r="Z1076" i="16"/>
  <c r="Z1093" i="16"/>
  <c r="Z548" i="16"/>
  <c r="Z568" i="16"/>
  <c r="Z588" i="16"/>
  <c r="Z612" i="16"/>
  <c r="Z632" i="16"/>
  <c r="Z652" i="16"/>
  <c r="Z676" i="16"/>
  <c r="Z696" i="16"/>
  <c r="Z716" i="16"/>
  <c r="Z740" i="16"/>
  <c r="Z760" i="16"/>
  <c r="Z780" i="16"/>
  <c r="Z804" i="16"/>
  <c r="Z824" i="16"/>
  <c r="Z844" i="16"/>
  <c r="Z868" i="16"/>
  <c r="Z888" i="16"/>
  <c r="Z1115" i="16"/>
  <c r="Z892" i="16"/>
  <c r="Z912" i="16"/>
  <c r="Z932" i="16"/>
  <c r="Z956" i="16"/>
  <c r="Z976" i="16"/>
  <c r="Z15" i="16"/>
  <c r="Z39" i="16"/>
  <c r="Z59" i="16"/>
  <c r="Z79" i="16"/>
  <c r="Z103" i="16"/>
  <c r="Z123" i="16"/>
  <c r="Z143" i="16"/>
  <c r="Z167" i="16"/>
  <c r="Z187" i="16"/>
  <c r="Z207" i="16"/>
  <c r="Z231" i="16"/>
  <c r="Z251" i="16"/>
  <c r="Z271" i="16"/>
  <c r="Z295" i="16"/>
  <c r="Z315" i="16"/>
  <c r="Z335" i="16"/>
  <c r="Z359" i="16"/>
  <c r="Z379" i="16"/>
  <c r="Z399" i="16"/>
  <c r="Z423" i="16"/>
  <c r="Z443" i="16"/>
  <c r="Z463" i="16"/>
  <c r="Z487" i="16"/>
  <c r="Z507" i="16"/>
  <c r="Z527" i="16"/>
  <c r="Z1003" i="16"/>
  <c r="Z1023" i="16"/>
  <c r="Z1043" i="16"/>
  <c r="Z1067" i="16"/>
  <c r="Z1084" i="16"/>
  <c r="Z535" i="16"/>
  <c r="Z559" i="16"/>
  <c r="Z579" i="16"/>
  <c r="Z599" i="16"/>
  <c r="Z623" i="16"/>
  <c r="Z643" i="16"/>
  <c r="Z663" i="16"/>
  <c r="Z687" i="16"/>
  <c r="Z707" i="16"/>
  <c r="Z727" i="16"/>
  <c r="Z751" i="16"/>
  <c r="Z771" i="16"/>
  <c r="Z791" i="16"/>
  <c r="Z815" i="16"/>
  <c r="Z835" i="16"/>
  <c r="Z855" i="16"/>
  <c r="Z879" i="16"/>
  <c r="Z1106" i="16"/>
  <c r="Z1126" i="16"/>
  <c r="Z903" i="16"/>
  <c r="Z923" i="16"/>
  <c r="Z943" i="16"/>
  <c r="Z967" i="16"/>
  <c r="Z958" i="16"/>
  <c r="Z918" i="16"/>
  <c r="Z1117" i="16"/>
  <c r="Z870" i="16"/>
  <c r="Z830" i="16"/>
  <c r="Z782" i="16"/>
  <c r="Z742" i="16"/>
  <c r="Z702" i="16"/>
  <c r="Z654" i="16"/>
  <c r="Z614" i="16"/>
  <c r="Z574" i="16"/>
  <c r="Z1095" i="16"/>
  <c r="Z1058" i="16"/>
  <c r="Z1018" i="16"/>
  <c r="Z518" i="16"/>
  <c r="Z478" i="16"/>
  <c r="Z438" i="16"/>
  <c r="Z390" i="16"/>
  <c r="Z350" i="16"/>
  <c r="Z310" i="16"/>
  <c r="Z262" i="16"/>
  <c r="Z222" i="16"/>
  <c r="Z182" i="16"/>
  <c r="Z134" i="16"/>
  <c r="Z94" i="16"/>
  <c r="Z54" i="16"/>
  <c r="Z6" i="16"/>
  <c r="Z949" i="16"/>
  <c r="Z909" i="16"/>
  <c r="Z1108" i="16"/>
  <c r="Z861" i="16"/>
  <c r="Z821" i="16"/>
  <c r="Z773" i="16"/>
  <c r="Z733" i="16"/>
  <c r="Z701" i="16"/>
  <c r="Z669" i="16"/>
  <c r="Z637" i="16"/>
  <c r="Z605" i="16"/>
  <c r="Z573" i="16"/>
  <c r="Z541" i="16"/>
  <c r="Z1081" i="16"/>
  <c r="Z1049" i="16"/>
  <c r="Z1017" i="16"/>
  <c r="Z985" i="16"/>
  <c r="Z501" i="16"/>
  <c r="Z469" i="16"/>
  <c r="Z437" i="16"/>
  <c r="Z405" i="16"/>
  <c r="Z373" i="16"/>
  <c r="Z341" i="16"/>
  <c r="Z309" i="16"/>
  <c r="Z277" i="16"/>
  <c r="Z245" i="16"/>
  <c r="Z213" i="16"/>
  <c r="Z181" i="16"/>
  <c r="Z149" i="16"/>
  <c r="Z117" i="16"/>
  <c r="Z85" i="16"/>
  <c r="Z53" i="16"/>
  <c r="Z21" i="16"/>
  <c r="Z978" i="16"/>
  <c r="Z850" i="16"/>
  <c r="Z682" i="16"/>
  <c r="Z1078" i="16"/>
  <c r="Z458" i="16"/>
  <c r="Z290" i="16"/>
  <c r="Z114" i="16"/>
  <c r="Z32" i="16"/>
  <c r="Z116" i="16"/>
  <c r="Z204" i="16"/>
  <c r="Z288" i="16"/>
  <c r="Z372" i="16"/>
  <c r="Z460" i="16"/>
  <c r="Z996" i="16"/>
  <c r="Z1080" i="16"/>
  <c r="Z596" i="16"/>
  <c r="Z680" i="16"/>
  <c r="Z764" i="16"/>
  <c r="Z852" i="16"/>
  <c r="Z896" i="16"/>
  <c r="Z980" i="16"/>
  <c r="Z87" i="16"/>
  <c r="Z171" i="16"/>
  <c r="Z255" i="16"/>
  <c r="Z343" i="16"/>
  <c r="Z427" i="16"/>
  <c r="Z511" i="16"/>
  <c r="Z1051" i="16"/>
  <c r="Z563" i="16"/>
  <c r="Z647" i="16"/>
  <c r="Z735" i="16"/>
  <c r="Z819" i="16"/>
  <c r="Z1110" i="16"/>
  <c r="Z951" i="16"/>
  <c r="Z902" i="16"/>
  <c r="Z774" i="16"/>
  <c r="Z606" i="16"/>
  <c r="Z1002" i="16"/>
  <c r="Z382" i="16"/>
  <c r="Z214" i="16"/>
  <c r="Z38" i="16"/>
  <c r="Z1100" i="16"/>
  <c r="Z725" i="16"/>
  <c r="Z597" i="16"/>
  <c r="Z1041" i="16"/>
  <c r="Z461" i="16"/>
  <c r="Z333" i="16"/>
  <c r="Z205" i="16"/>
  <c r="Z77" i="16"/>
  <c r="Z938" i="16"/>
  <c r="Z810" i="16"/>
  <c r="Z634" i="16"/>
  <c r="Z1038" i="16"/>
  <c r="Z418" i="16"/>
  <c r="Z242" i="16"/>
  <c r="Z74" i="16"/>
  <c r="Z52" i="16"/>
  <c r="Z140" i="16"/>
  <c r="Z224" i="16"/>
  <c r="Z308" i="16"/>
  <c r="Z396" i="16"/>
  <c r="Z480" i="16"/>
  <c r="Z1016" i="16"/>
  <c r="Z1141" i="16"/>
  <c r="Z616" i="16"/>
  <c r="Z700" i="16"/>
  <c r="Z788" i="16"/>
  <c r="Z872" i="16"/>
  <c r="Z916" i="16"/>
  <c r="Z23" i="16"/>
  <c r="Z107" i="16"/>
  <c r="Z191" i="16"/>
  <c r="Z279" i="16"/>
  <c r="Z363" i="16"/>
  <c r="Z447" i="16"/>
  <c r="Z987" i="16"/>
  <c r="Z1071" i="16"/>
  <c r="Z583" i="16"/>
  <c r="Z671" i="16"/>
  <c r="Z755" i="16"/>
  <c r="Z839" i="16"/>
  <c r="Z1134" i="16"/>
  <c r="Z971" i="16"/>
  <c r="Z1109" i="16"/>
  <c r="Z734" i="16"/>
  <c r="Z558" i="16"/>
  <c r="Z510" i="16"/>
  <c r="Z342" i="16"/>
  <c r="Z166" i="16"/>
  <c r="Z981" i="16"/>
  <c r="Z853" i="16"/>
  <c r="Z693" i="16"/>
  <c r="Z565" i="16"/>
  <c r="Z1009" i="16"/>
  <c r="Z429" i="16"/>
  <c r="Z301" i="16"/>
  <c r="Z173" i="16"/>
  <c r="Z45" i="16"/>
  <c r="Z898" i="16"/>
  <c r="Z762" i="16"/>
  <c r="Z594" i="16"/>
  <c r="Z998" i="16"/>
  <c r="Z370" i="16"/>
  <c r="Z202" i="16"/>
  <c r="Z34" i="16"/>
  <c r="Z76" i="16"/>
  <c r="Z160" i="16"/>
  <c r="Z244" i="16"/>
  <c r="Z332" i="16"/>
  <c r="Z416" i="16"/>
  <c r="Z500" i="16"/>
  <c r="Z1040" i="16"/>
  <c r="Z552" i="16"/>
  <c r="Z636" i="16"/>
  <c r="Z724" i="16"/>
  <c r="Z808" i="16"/>
  <c r="Z1099" i="16"/>
  <c r="Z940" i="16"/>
  <c r="Z43" i="16"/>
  <c r="Z127" i="16"/>
  <c r="Z215" i="16"/>
  <c r="Z299" i="16"/>
  <c r="Z383" i="16"/>
  <c r="Z471" i="16"/>
  <c r="Z1007" i="16"/>
  <c r="Z1088" i="16"/>
  <c r="Z607" i="16"/>
  <c r="Z691" i="16"/>
  <c r="Z775" i="16"/>
  <c r="Z863" i="16"/>
  <c r="Z907" i="16"/>
  <c r="Z862" i="16"/>
  <c r="Z686" i="16"/>
  <c r="Z1087" i="16"/>
  <c r="Z470" i="16"/>
  <c r="Z294" i="16"/>
  <c r="Z126" i="16"/>
  <c r="Z941" i="16"/>
  <c r="Z805" i="16"/>
  <c r="Z661" i="16"/>
  <c r="Z1142" i="16"/>
  <c r="Z525" i="16"/>
  <c r="Z397" i="16"/>
  <c r="Z269" i="16"/>
  <c r="Z141" i="16"/>
  <c r="Z13" i="16"/>
  <c r="Z121" i="16"/>
  <c r="Z1097" i="16"/>
  <c r="Z722" i="16"/>
  <c r="Z554" i="16"/>
  <c r="Z498" i="16"/>
  <c r="Z330" i="16"/>
  <c r="Z162" i="16"/>
  <c r="Z12" i="16"/>
  <c r="Z96" i="16"/>
  <c r="Z180" i="16"/>
  <c r="Z268" i="16"/>
  <c r="Z352" i="16"/>
  <c r="Z436" i="16"/>
  <c r="Z524" i="16"/>
  <c r="Z1060" i="16"/>
  <c r="Z572" i="16"/>
  <c r="Z660" i="16"/>
  <c r="Z744" i="16"/>
  <c r="Z828" i="16"/>
  <c r="Z1123" i="16"/>
  <c r="Z960" i="16"/>
  <c r="Z63" i="16"/>
  <c r="Z151" i="16"/>
  <c r="Z235" i="16"/>
  <c r="Z319" i="16"/>
  <c r="Z407" i="16"/>
  <c r="Z491" i="16"/>
  <c r="Z1027" i="16"/>
  <c r="Z543" i="16"/>
  <c r="Z627" i="16"/>
  <c r="Z711" i="16"/>
  <c r="Z799" i="16"/>
  <c r="Z883" i="16"/>
  <c r="Z927" i="16"/>
  <c r="Z950" i="16"/>
  <c r="Z814" i="16"/>
  <c r="Z646" i="16"/>
  <c r="Z1050" i="16"/>
  <c r="Z422" i="16"/>
  <c r="Z254" i="16"/>
  <c r="Z86" i="16"/>
  <c r="Z893" i="16"/>
  <c r="Z765" i="16"/>
  <c r="Z629" i="16"/>
  <c r="Z1073" i="16"/>
  <c r="Z493" i="16"/>
  <c r="Z365" i="16"/>
  <c r="Z237" i="16"/>
  <c r="Z109" i="16"/>
  <c r="Z265" i="16"/>
  <c r="Z465" i="16"/>
  <c r="Z633" i="16"/>
  <c r="Z865" i="16"/>
  <c r="Z81" i="16"/>
  <c r="Z529" i="16"/>
  <c r="Z17" i="16"/>
  <c r="Z649" i="16"/>
  <c r="Z385" i="16"/>
  <c r="Z2" i="16"/>
  <c r="L2" i="20"/>
  <c r="L11" i="20"/>
  <c r="L3" i="20"/>
  <c r="B17" i="19"/>
  <c r="B21" i="19"/>
  <c r="B25" i="19"/>
  <c r="B29" i="19"/>
  <c r="B33" i="19"/>
  <c r="B14" i="19"/>
  <c r="B18" i="19"/>
  <c r="B22" i="19"/>
  <c r="B26" i="19"/>
  <c r="B30" i="19"/>
  <c r="B34" i="19"/>
  <c r="L6" i="20"/>
  <c r="B15" i="19"/>
  <c r="B19" i="19"/>
  <c r="B23" i="19"/>
  <c r="B27" i="19"/>
  <c r="B31" i="19"/>
  <c r="B28" i="19"/>
  <c r="L7" i="20"/>
  <c r="B16" i="19"/>
  <c r="B32" i="19"/>
  <c r="B24" i="19"/>
  <c r="L4" i="20"/>
  <c r="L9" i="20"/>
  <c r="L8" i="20"/>
  <c r="L12" i="20"/>
  <c r="L5" i="20"/>
  <c r="B20" i="19"/>
  <c r="L10" i="20"/>
  <c r="M9" i="10"/>
  <c r="M48" i="10"/>
  <c r="M32" i="10"/>
  <c r="M25" i="10"/>
  <c r="M12" i="10"/>
  <c r="M51" i="10"/>
  <c r="M35" i="10"/>
  <c r="M213" i="10"/>
  <c r="M11" i="10"/>
  <c r="M50" i="10"/>
  <c r="M34" i="10"/>
  <c r="M27" i="10"/>
  <c r="M10" i="10"/>
  <c r="M49" i="10"/>
  <c r="M33" i="10"/>
  <c r="M26" i="10"/>
  <c r="B30" i="11"/>
  <c r="B14" i="11"/>
  <c r="B21" i="11"/>
  <c r="B24" i="11"/>
  <c r="B27" i="11"/>
  <c r="M5" i="10"/>
  <c r="M40" i="10"/>
  <c r="M58" i="10"/>
  <c r="M8" i="10"/>
  <c r="M43" i="10"/>
  <c r="M61" i="10"/>
  <c r="M7" i="10"/>
  <c r="M42" i="10"/>
  <c r="M60" i="10"/>
  <c r="M6" i="10"/>
  <c r="M41" i="10"/>
  <c r="M59" i="10"/>
  <c r="B26" i="11"/>
  <c r="B29" i="11"/>
  <c r="B28" i="11"/>
  <c r="B23" i="11"/>
  <c r="M56" i="10"/>
  <c r="M36" i="10"/>
  <c r="M21" i="10"/>
  <c r="M4" i="10"/>
  <c r="M39" i="10"/>
  <c r="M24" i="10"/>
  <c r="M3" i="10"/>
  <c r="M38" i="10"/>
  <c r="M23" i="10"/>
  <c r="M57" i="10"/>
  <c r="M37" i="10"/>
  <c r="M22" i="10"/>
  <c r="B22" i="11"/>
  <c r="B25" i="11"/>
  <c r="B20" i="11"/>
  <c r="B19" i="11"/>
  <c r="M17" i="10"/>
  <c r="M52" i="10"/>
  <c r="M28" i="10"/>
  <c r="M2" i="10"/>
  <c r="M55" i="10"/>
  <c r="M31" i="10"/>
  <c r="M20" i="10"/>
  <c r="M54" i="10"/>
  <c r="M30" i="10"/>
  <c r="M19" i="10"/>
  <c r="M53" i="10"/>
  <c r="M29" i="10"/>
  <c r="M18" i="10"/>
  <c r="B18" i="11"/>
  <c r="B17" i="11"/>
  <c r="B16" i="11"/>
  <c r="B15" i="11"/>
  <c r="M13" i="10"/>
  <c r="M44" i="10"/>
  <c r="M62" i="10"/>
  <c r="M16" i="10"/>
  <c r="M47" i="10"/>
  <c r="M65" i="10"/>
  <c r="M15" i="10"/>
  <c r="M46" i="10"/>
  <c r="M64" i="10"/>
  <c r="M14" i="10"/>
  <c r="M45" i="10"/>
  <c r="M63" i="10"/>
  <c r="B34" i="11"/>
  <c r="B33" i="11"/>
  <c r="B32" i="11"/>
  <c r="B31" i="11"/>
  <c r="N342" i="12"/>
  <c r="N321" i="12"/>
  <c r="N299" i="12"/>
  <c r="N278" i="12"/>
  <c r="N257" i="12"/>
  <c r="N235" i="12"/>
  <c r="N214" i="12"/>
  <c r="N193" i="12"/>
  <c r="N337" i="12"/>
  <c r="N315" i="12"/>
  <c r="N294" i="12"/>
  <c r="N273" i="12"/>
  <c r="N251" i="12"/>
  <c r="N230" i="12"/>
  <c r="N209" i="12"/>
  <c r="N187" i="12"/>
  <c r="N326" i="12"/>
  <c r="N283" i="12"/>
  <c r="N241" i="12"/>
  <c r="N198" i="12"/>
  <c r="N331" i="12"/>
  <c r="N267" i="12"/>
  <c r="N219" i="12"/>
  <c r="B18" i="8"/>
  <c r="N310" i="12"/>
  <c r="N262" i="12"/>
  <c r="N203" i="12"/>
  <c r="B16" i="8"/>
  <c r="N305" i="12"/>
  <c r="N246" i="12"/>
  <c r="N182" i="12"/>
  <c r="N347" i="12"/>
  <c r="N289" i="12"/>
  <c r="N225" i="12"/>
  <c r="N177" i="12"/>
  <c r="B21" i="8"/>
  <c r="B17" i="8"/>
  <c r="B20" i="8"/>
  <c r="B13" i="8"/>
  <c r="B14" i="8"/>
  <c r="B15" i="8"/>
  <c r="N344" i="12"/>
  <c r="N328" i="12"/>
  <c r="N312" i="12"/>
  <c r="N296" i="12"/>
  <c r="N280" i="12"/>
  <c r="N264" i="12"/>
  <c r="N248" i="12"/>
  <c r="N232" i="12"/>
  <c r="N216" i="12"/>
  <c r="N200" i="12"/>
  <c r="N184" i="12"/>
  <c r="N339" i="12"/>
  <c r="N318" i="12"/>
  <c r="N297" i="12"/>
  <c r="N275" i="12"/>
  <c r="N254" i="12"/>
  <c r="N233" i="12"/>
  <c r="N211" i="12"/>
  <c r="N190" i="12"/>
  <c r="N343" i="12"/>
  <c r="N322" i="12"/>
  <c r="N301" i="12"/>
  <c r="N279" i="12"/>
  <c r="N258" i="12"/>
  <c r="N237" i="12"/>
  <c r="N215" i="12"/>
  <c r="N194" i="12"/>
  <c r="N351" i="12"/>
  <c r="N330" i="12"/>
  <c r="N309" i="12"/>
  <c r="N287" i="12"/>
  <c r="N266" i="12"/>
  <c r="N245" i="12"/>
  <c r="N223" i="12"/>
  <c r="N202" i="12"/>
  <c r="N181" i="12"/>
  <c r="B22" i="8"/>
  <c r="B19" i="8"/>
  <c r="N340" i="12"/>
  <c r="N324" i="12"/>
  <c r="N308" i="12"/>
  <c r="N292" i="12"/>
  <c r="N276" i="12"/>
  <c r="N260" i="12"/>
  <c r="N244" i="12"/>
  <c r="N228" i="12"/>
  <c r="N212" i="12"/>
  <c r="N196" i="12"/>
  <c r="N180" i="12"/>
  <c r="N334" i="12"/>
  <c r="N313" i="12"/>
  <c r="N291" i="12"/>
  <c r="N270" i="12"/>
  <c r="N249" i="12"/>
  <c r="N227" i="12"/>
  <c r="N206" i="12"/>
  <c r="N185" i="12"/>
  <c r="N338" i="12"/>
  <c r="N317" i="12"/>
  <c r="N295" i="12"/>
  <c r="N274" i="12"/>
  <c r="N253" i="12"/>
  <c r="N231" i="12"/>
  <c r="N210" i="12"/>
  <c r="N189" i="12"/>
  <c r="N346" i="12"/>
  <c r="N325" i="12"/>
  <c r="N303" i="12"/>
  <c r="N282" i="12"/>
  <c r="N261" i="12"/>
  <c r="N239" i="12"/>
  <c r="N218" i="12"/>
  <c r="N197" i="12"/>
  <c r="N352" i="12"/>
  <c r="N336" i="12"/>
  <c r="N320" i="12"/>
  <c r="N304" i="12"/>
  <c r="N288" i="12"/>
  <c r="N272" i="12"/>
  <c r="N256" i="12"/>
  <c r="N240" i="12"/>
  <c r="N224" i="12"/>
  <c r="N208" i="12"/>
  <c r="N192" i="12"/>
  <c r="N350" i="12"/>
  <c r="N329" i="12"/>
  <c r="N307" i="12"/>
  <c r="N286" i="12"/>
  <c r="N265" i="12"/>
  <c r="N243" i="12"/>
  <c r="N222" i="12"/>
  <c r="N201" i="12"/>
  <c r="N179" i="12"/>
  <c r="N333" i="12"/>
  <c r="N311" i="12"/>
  <c r="N290" i="12"/>
  <c r="N269" i="12"/>
  <c r="N247" i="12"/>
  <c r="N226" i="12"/>
  <c r="N205" i="12"/>
  <c r="N183" i="12"/>
  <c r="N341" i="12"/>
  <c r="N319" i="12"/>
  <c r="N298" i="12"/>
  <c r="N277" i="12"/>
  <c r="N255" i="12"/>
  <c r="N234" i="12"/>
  <c r="N213" i="12"/>
  <c r="N191" i="12"/>
  <c r="N316" i="12"/>
  <c r="N252" i="12"/>
  <c r="N188" i="12"/>
  <c r="N281" i="12"/>
  <c r="N195" i="12"/>
  <c r="N285" i="12"/>
  <c r="N199" i="12"/>
  <c r="N293" i="12"/>
  <c r="N207" i="12"/>
  <c r="N300" i="12"/>
  <c r="N236" i="12"/>
  <c r="N345" i="12"/>
  <c r="N259" i="12"/>
  <c r="N349" i="12"/>
  <c r="N263" i="12"/>
  <c r="N178" i="12"/>
  <c r="N271" i="12"/>
  <c r="N186" i="12"/>
  <c r="N348" i="12"/>
  <c r="N284" i="12"/>
  <c r="N220" i="12"/>
  <c r="N323" i="12"/>
  <c r="N238" i="12"/>
  <c r="N327" i="12"/>
  <c r="N242" i="12"/>
  <c r="N335" i="12"/>
  <c r="N250" i="12"/>
  <c r="N332" i="12"/>
  <c r="N268" i="12"/>
  <c r="N204" i="12"/>
  <c r="N302" i="12"/>
  <c r="N217" i="12"/>
  <c r="N306" i="12"/>
  <c r="N221" i="12"/>
  <c r="N314" i="12"/>
  <c r="N229" i="12"/>
  <c r="B23" i="8"/>
  <c r="B25" i="8"/>
  <c r="B24" i="8"/>
  <c r="B26" i="8"/>
  <c r="C5" i="18"/>
  <c r="H39" i="18"/>
  <c r="B44" i="18"/>
  <c r="B39" i="18"/>
  <c r="B40" i="18"/>
  <c r="B5" i="18"/>
  <c r="B10" i="18"/>
  <c r="B7" i="18"/>
  <c r="D7" i="21"/>
  <c r="H77" i="21"/>
  <c r="H78" i="21"/>
  <c r="D5" i="21"/>
  <c r="D10" i="21"/>
  <c r="B40" i="21"/>
  <c r="B45" i="21"/>
  <c r="C45" i="21"/>
  <c r="C40" i="21"/>
  <c r="B42" i="21"/>
  <c r="Z209" i="16"/>
  <c r="Z937" i="16"/>
  <c r="Z673" i="16"/>
  <c r="Z497" i="16"/>
  <c r="Z177" i="16"/>
  <c r="Z1096" i="16"/>
  <c r="Z569" i="16"/>
  <c r="Z393" i="16"/>
  <c r="Z89" i="16"/>
  <c r="Z857" i="16"/>
  <c r="Z561" i="16"/>
  <c r="Z377" i="16"/>
  <c r="Z73" i="16"/>
  <c r="Z817" i="16"/>
  <c r="Z593" i="16"/>
  <c r="Z473" i="16"/>
  <c r="Z249" i="16"/>
  <c r="Z25" i="16"/>
  <c r="Z881" i="16"/>
  <c r="Z705" i="16"/>
  <c r="Z537" i="16"/>
  <c r="Z489" i="16"/>
  <c r="Z313" i="16"/>
  <c r="Z145" i="16"/>
  <c r="Z961" i="16"/>
  <c r="Z873" i="16"/>
  <c r="Z745" i="16"/>
  <c r="Z617" i="16"/>
  <c r="Z1061" i="16"/>
  <c r="Z481" i="16"/>
  <c r="Z353" i="16"/>
  <c r="Z225" i="16"/>
  <c r="Z97" i="16"/>
  <c r="B43" i="8"/>
  <c r="W61" i="10"/>
  <c r="W77" i="10"/>
  <c r="W93" i="10"/>
  <c r="W176" i="10"/>
  <c r="W58" i="10"/>
  <c r="W74" i="10"/>
  <c r="W90" i="10"/>
  <c r="W106" i="10"/>
  <c r="W21" i="10"/>
  <c r="W67" i="10"/>
  <c r="W83" i="10"/>
  <c r="W99" i="10"/>
  <c r="W18" i="10"/>
  <c r="W64" i="10"/>
  <c r="W80" i="10"/>
  <c r="W96" i="10"/>
  <c r="W179" i="10"/>
  <c r="W19" i="10"/>
  <c r="W65" i="10"/>
  <c r="W81" i="10"/>
  <c r="W97" i="10"/>
  <c r="W180" i="10"/>
  <c r="W62" i="10"/>
  <c r="W78" i="10"/>
  <c r="W94" i="10"/>
  <c r="W177" i="10"/>
  <c r="W25" i="10"/>
  <c r="W71" i="10"/>
  <c r="W87" i="10"/>
  <c r="W103" i="10"/>
  <c r="W22" i="10"/>
  <c r="W68" i="10"/>
  <c r="W84" i="10"/>
  <c r="W100" i="10"/>
  <c r="W23" i="10"/>
  <c r="W69" i="10"/>
  <c r="W85" i="10"/>
  <c r="W101" i="10"/>
  <c r="W20" i="10"/>
  <c r="W66" i="10"/>
  <c r="W82" i="10"/>
  <c r="W98" i="10"/>
  <c r="W181" i="10"/>
  <c r="W59" i="10"/>
  <c r="W75" i="10"/>
  <c r="W91" i="10"/>
  <c r="W174" i="10"/>
  <c r="W26" i="10"/>
  <c r="W72" i="10"/>
  <c r="W88" i="10"/>
  <c r="W104" i="10"/>
  <c r="W27" i="10"/>
  <c r="W73" i="10"/>
  <c r="W89" i="10"/>
  <c r="W105" i="10"/>
  <c r="W24" i="10"/>
  <c r="W70" i="10"/>
  <c r="W86" i="10"/>
  <c r="W102" i="10"/>
  <c r="W2" i="10"/>
  <c r="W63" i="10"/>
  <c r="W79" i="10"/>
  <c r="W95" i="10"/>
  <c r="W178" i="10"/>
  <c r="W60" i="10"/>
  <c r="W76" i="10"/>
  <c r="W92" i="10"/>
  <c r="W175" i="10"/>
  <c r="B82" i="15"/>
  <c r="X63" i="10"/>
  <c r="X2" i="10"/>
  <c r="X20" i="10"/>
  <c r="X23" i="10"/>
  <c r="X26" i="10"/>
  <c r="X25" i="10"/>
  <c r="X24" i="10"/>
  <c r="X19" i="10"/>
  <c r="X18" i="10"/>
  <c r="X21" i="10"/>
  <c r="X65" i="10"/>
  <c r="X64" i="10"/>
  <c r="X62" i="10"/>
  <c r="X61" i="10"/>
  <c r="X60" i="10"/>
  <c r="X59" i="10"/>
  <c r="X58" i="10"/>
  <c r="X27" i="10"/>
  <c r="X22" i="10"/>
  <c r="G40" i="6"/>
  <c r="G41" i="6"/>
  <c r="G43" i="6"/>
  <c r="E39" i="6"/>
  <c r="D25" i="8"/>
  <c r="E25" i="8"/>
  <c r="A26" i="8"/>
  <c r="B34" i="26"/>
  <c r="B30" i="26"/>
  <c r="B26" i="26"/>
  <c r="B22" i="26"/>
  <c r="B18" i="26"/>
  <c r="B14" i="26"/>
  <c r="B33" i="26"/>
  <c r="B29" i="26"/>
  <c r="B25" i="26"/>
  <c r="B21" i="26"/>
  <c r="B17" i="26"/>
  <c r="B32" i="26"/>
  <c r="B28" i="26"/>
  <c r="B24" i="26"/>
  <c r="B20" i="26"/>
  <c r="B16" i="26"/>
  <c r="B31" i="26"/>
  <c r="B15" i="26"/>
  <c r="B27" i="26"/>
  <c r="L14" i="25"/>
  <c r="L46" i="25"/>
  <c r="L62" i="25"/>
  <c r="L34" i="25"/>
  <c r="L15" i="25"/>
  <c r="L47" i="25"/>
  <c r="L63" i="25"/>
  <c r="L35" i="25"/>
  <c r="L44" i="25"/>
  <c r="L32" i="25"/>
  <c r="L45" i="25"/>
  <c r="L33" i="25"/>
  <c r="L48" i="25"/>
  <c r="L36" i="25"/>
  <c r="L49" i="25"/>
  <c r="B23" i="26"/>
  <c r="L2" i="25"/>
  <c r="L18" i="25"/>
  <c r="L50" i="25"/>
  <c r="L22" i="25"/>
  <c r="L3" i="25"/>
  <c r="L19" i="25"/>
  <c r="L51" i="25"/>
  <c r="L23" i="25"/>
  <c r="L4" i="25"/>
  <c r="L52" i="25"/>
  <c r="L5" i="25"/>
  <c r="L53" i="25"/>
  <c r="L8" i="25"/>
  <c r="L56" i="25"/>
  <c r="L9" i="25"/>
  <c r="L57" i="25"/>
  <c r="B19" i="26"/>
  <c r="L6" i="25"/>
  <c r="L38" i="25"/>
  <c r="L54" i="25"/>
  <c r="L26" i="25"/>
  <c r="L7" i="25"/>
  <c r="L39" i="25"/>
  <c r="L55" i="25"/>
  <c r="L27" i="25"/>
  <c r="L12" i="25"/>
  <c r="L60" i="25"/>
  <c r="L13" i="25"/>
  <c r="L61" i="25"/>
  <c r="L16" i="25"/>
  <c r="L64" i="25"/>
  <c r="L17" i="25"/>
  <c r="L21" i="25"/>
  <c r="L42" i="25"/>
  <c r="L43" i="25"/>
  <c r="L24" i="25"/>
  <c r="L28" i="25"/>
  <c r="L58" i="25"/>
  <c r="L59" i="25"/>
  <c r="L37" i="25"/>
  <c r="L41" i="25"/>
  <c r="L30" i="25"/>
  <c r="L31" i="25"/>
  <c r="L25" i="25"/>
  <c r="L29" i="25"/>
  <c r="L10" i="25"/>
  <c r="L11" i="25"/>
  <c r="L20" i="25"/>
  <c r="L40" i="25"/>
  <c r="Z1013" i="16"/>
  <c r="Z657" i="16"/>
  <c r="Z905" i="16"/>
  <c r="Z457" i="16"/>
  <c r="Z641" i="16"/>
  <c r="Z305" i="16"/>
  <c r="Z753" i="16"/>
  <c r="Z361" i="16"/>
  <c r="Z1112" i="16"/>
  <c r="Z1090" i="16"/>
  <c r="Z129" i="16"/>
  <c r="K40" i="6"/>
  <c r="K41" i="6"/>
  <c r="K43" i="6"/>
  <c r="I39" i="6"/>
  <c r="F19" i="8"/>
  <c r="F20" i="8"/>
  <c r="F15" i="8"/>
  <c r="F16" i="8"/>
  <c r="F18" i="8"/>
  <c r="F14" i="8"/>
  <c r="F13" i="8"/>
  <c r="N367" i="12"/>
  <c r="N373" i="12"/>
  <c r="N372" i="12"/>
  <c r="N376" i="12"/>
  <c r="N354" i="12"/>
  <c r="N358" i="12"/>
  <c r="N363" i="12"/>
  <c r="N368" i="12"/>
  <c r="N366" i="12"/>
  <c r="N370" i="12"/>
  <c r="N374" i="12"/>
  <c r="N353" i="12"/>
  <c r="F17" i="8"/>
  <c r="N375" i="12"/>
  <c r="N359" i="12"/>
  <c r="N362" i="12"/>
  <c r="N361" i="12"/>
  <c r="N365" i="12"/>
  <c r="N369" i="12"/>
  <c r="F21" i="8"/>
  <c r="N356" i="12"/>
  <c r="N371" i="12"/>
  <c r="N360" i="12"/>
  <c r="F22" i="8"/>
  <c r="N355" i="12"/>
  <c r="N364" i="12"/>
  <c r="N357" i="12"/>
  <c r="F23" i="8"/>
  <c r="F25" i="8"/>
  <c r="F24" i="8"/>
  <c r="U350" i="12"/>
  <c r="U342" i="12"/>
  <c r="U334" i="12"/>
  <c r="U326" i="12"/>
  <c r="U318" i="12"/>
  <c r="U310" i="12"/>
  <c r="U302" i="12"/>
  <c r="U294" i="12"/>
  <c r="U286" i="12"/>
  <c r="U278" i="12"/>
  <c r="U270" i="12"/>
  <c r="U262" i="12"/>
  <c r="U254" i="12"/>
  <c r="U349" i="12"/>
  <c r="U338" i="12"/>
  <c r="U329" i="12"/>
  <c r="U317" i="12"/>
  <c r="U306" i="12"/>
  <c r="U297" i="12"/>
  <c r="U285" i="12"/>
  <c r="U274" i="12"/>
  <c r="U265" i="12"/>
  <c r="U253" i="12"/>
  <c r="U245" i="12"/>
  <c r="U237" i="12"/>
  <c r="U229" i="12"/>
  <c r="U221" i="12"/>
  <c r="U213" i="12"/>
  <c r="U205" i="12"/>
  <c r="U197" i="12"/>
  <c r="U189" i="12"/>
  <c r="U181" i="12"/>
  <c r="U345" i="12"/>
  <c r="U333" i="12"/>
  <c r="U322" i="12"/>
  <c r="U313" i="12"/>
  <c r="U301" i="12"/>
  <c r="U290" i="12"/>
  <c r="U281" i="12"/>
  <c r="U269" i="12"/>
  <c r="U258" i="12"/>
  <c r="U249" i="12"/>
  <c r="U241" i="12"/>
  <c r="U233" i="12"/>
  <c r="U225" i="12"/>
  <c r="U217" i="12"/>
  <c r="U209" i="12"/>
  <c r="U201" i="12"/>
  <c r="U193" i="12"/>
  <c r="U185" i="12"/>
  <c r="U177" i="12"/>
  <c r="U352" i="12"/>
  <c r="U341" i="12"/>
  <c r="U330" i="12"/>
  <c r="U321" i="12"/>
  <c r="U309" i="12"/>
  <c r="U298" i="12"/>
  <c r="U289" i="12"/>
  <c r="U277" i="12"/>
  <c r="U266" i="12"/>
  <c r="U257" i="12"/>
  <c r="U246" i="12"/>
  <c r="U238" i="12"/>
  <c r="U230" i="12"/>
  <c r="U222" i="12"/>
  <c r="U214" i="12"/>
  <c r="U206" i="12"/>
  <c r="U198" i="12"/>
  <c r="U190" i="12"/>
  <c r="U182" i="12"/>
  <c r="U314" i="12"/>
  <c r="U273" i="12"/>
  <c r="U234" i="12"/>
  <c r="U202" i="12"/>
  <c r="U346" i="12"/>
  <c r="U293" i="12"/>
  <c r="U242" i="12"/>
  <c r="U194" i="12"/>
  <c r="U337" i="12"/>
  <c r="U282" i="12"/>
  <c r="U226" i="12"/>
  <c r="U186" i="12"/>
  <c r="U325" i="12"/>
  <c r="U261" i="12"/>
  <c r="U218" i="12"/>
  <c r="U178" i="12"/>
  <c r="U305" i="12"/>
  <c r="U250" i="12"/>
  <c r="U210" i="12"/>
  <c r="U191" i="12"/>
  <c r="U207" i="12"/>
  <c r="U223" i="12"/>
  <c r="U239" i="12"/>
  <c r="U255" i="12"/>
  <c r="U271" i="12"/>
  <c r="U287" i="12"/>
  <c r="U303" i="12"/>
  <c r="U319" i="12"/>
  <c r="U335" i="12"/>
  <c r="U351" i="12"/>
  <c r="U192" i="12"/>
  <c r="U208" i="12"/>
  <c r="U224" i="12"/>
  <c r="U240" i="12"/>
  <c r="U256" i="12"/>
  <c r="U272" i="12"/>
  <c r="U288" i="12"/>
  <c r="U304" i="12"/>
  <c r="U320" i="12"/>
  <c r="U336" i="12"/>
  <c r="U179" i="12"/>
  <c r="U195" i="12"/>
  <c r="U211" i="12"/>
  <c r="U227" i="12"/>
  <c r="U243" i="12"/>
  <c r="U259" i="12"/>
  <c r="U275" i="12"/>
  <c r="U291" i="12"/>
  <c r="U307" i="12"/>
  <c r="U323" i="12"/>
  <c r="U339" i="12"/>
  <c r="U180" i="12"/>
  <c r="U196" i="12"/>
  <c r="U212" i="12"/>
  <c r="U228" i="12"/>
  <c r="U244" i="12"/>
  <c r="U260" i="12"/>
  <c r="U276" i="12"/>
  <c r="U292" i="12"/>
  <c r="U308" i="12"/>
  <c r="U324" i="12"/>
  <c r="U340" i="12"/>
  <c r="U183" i="12"/>
  <c r="U199" i="12"/>
  <c r="U215" i="12"/>
  <c r="U231" i="12"/>
  <c r="U247" i="12"/>
  <c r="U263" i="12"/>
  <c r="U279" i="12"/>
  <c r="U295" i="12"/>
  <c r="U311" i="12"/>
  <c r="U327" i="12"/>
  <c r="U343" i="12"/>
  <c r="U184" i="12"/>
  <c r="U200" i="12"/>
  <c r="U216" i="12"/>
  <c r="U232" i="12"/>
  <c r="U248" i="12"/>
  <c r="U264" i="12"/>
  <c r="U280" i="12"/>
  <c r="U296" i="12"/>
  <c r="U312" i="12"/>
  <c r="U328" i="12"/>
  <c r="U344" i="12"/>
  <c r="U203" i="12"/>
  <c r="U267" i="12"/>
  <c r="U331" i="12"/>
  <c r="U220" i="12"/>
  <c r="U284" i="12"/>
  <c r="U348" i="12"/>
  <c r="U219" i="12"/>
  <c r="U283" i="12"/>
  <c r="U347" i="12"/>
  <c r="U236" i="12"/>
  <c r="U300" i="12"/>
  <c r="U235" i="12"/>
  <c r="U299" i="12"/>
  <c r="U188" i="12"/>
  <c r="U252" i="12"/>
  <c r="U316" i="12"/>
  <c r="U187" i="12"/>
  <c r="U251" i="12"/>
  <c r="U315" i="12"/>
  <c r="U204" i="12"/>
  <c r="U268" i="12"/>
  <c r="U332" i="12"/>
  <c r="B16" i="7"/>
  <c r="B15" i="7"/>
  <c r="B20" i="7"/>
  <c r="B19" i="7"/>
  <c r="L17" i="4"/>
  <c r="L33" i="4"/>
  <c r="L2" i="4"/>
  <c r="L18" i="4"/>
  <c r="L34" i="4"/>
  <c r="L3" i="4"/>
  <c r="L19" i="4"/>
  <c r="L35" i="4"/>
  <c r="L4" i="4"/>
  <c r="L20" i="4"/>
  <c r="L36" i="4"/>
  <c r="B23" i="7"/>
  <c r="B18" i="7"/>
  <c r="B22" i="7"/>
  <c r="L5" i="4"/>
  <c r="L21" i="4"/>
  <c r="L37" i="4"/>
  <c r="L6" i="4"/>
  <c r="L22" i="4"/>
  <c r="L38" i="4"/>
  <c r="L7" i="4"/>
  <c r="L23" i="4"/>
  <c r="L39" i="4"/>
  <c r="L8" i="4"/>
  <c r="L24" i="4"/>
  <c r="L40" i="4"/>
  <c r="B21" i="7"/>
  <c r="L9" i="4"/>
  <c r="L25" i="4"/>
  <c r="L41" i="4"/>
  <c r="L10" i="4"/>
  <c r="L26" i="4"/>
  <c r="L42" i="4"/>
  <c r="L11" i="4"/>
  <c r="L27" i="4"/>
  <c r="L43" i="4"/>
  <c r="L12" i="4"/>
  <c r="L28" i="4"/>
  <c r="L44" i="4"/>
  <c r="L13" i="4"/>
  <c r="L30" i="4"/>
  <c r="L47" i="4"/>
  <c r="L29" i="4"/>
  <c r="L46" i="4"/>
  <c r="L16" i="4"/>
  <c r="L45" i="4"/>
  <c r="L15" i="4"/>
  <c r="L32" i="4"/>
  <c r="B17" i="7"/>
  <c r="L14" i="4"/>
  <c r="L31" i="4"/>
  <c r="B24" i="7"/>
  <c r="B27" i="7"/>
  <c r="B28" i="7"/>
  <c r="B29" i="7"/>
  <c r="B31" i="7"/>
  <c r="B32" i="7"/>
  <c r="B33" i="7"/>
  <c r="B34" i="7"/>
  <c r="B25" i="7"/>
  <c r="B30" i="7"/>
  <c r="B35" i="7"/>
  <c r="B26" i="7"/>
  <c r="M4" i="28"/>
  <c r="M20" i="28"/>
  <c r="M36" i="28"/>
  <c r="M62" i="28"/>
  <c r="M58" i="28"/>
  <c r="B26" i="27"/>
  <c r="M5" i="28"/>
  <c r="M21" i="28"/>
  <c r="M37" i="28"/>
  <c r="M63" i="28"/>
  <c r="M59" i="28"/>
  <c r="B25" i="27"/>
  <c r="M6" i="28"/>
  <c r="M22" i="28"/>
  <c r="M38" i="28"/>
  <c r="M64" i="28"/>
  <c r="M60" i="28"/>
  <c r="B24" i="27"/>
  <c r="M7" i="28"/>
  <c r="M23" i="28"/>
  <c r="M39" i="28"/>
  <c r="M65" i="28"/>
  <c r="M71" i="28"/>
  <c r="B23" i="27"/>
  <c r="M8" i="28"/>
  <c r="M24" i="28"/>
  <c r="M40" i="28"/>
  <c r="M66" i="28"/>
  <c r="M72" i="28"/>
  <c r="B22" i="27"/>
  <c r="M9" i="28"/>
  <c r="M25" i="28"/>
  <c r="M41" i="28"/>
  <c r="M67" i="28"/>
  <c r="M73" i="28"/>
  <c r="B21" i="27"/>
  <c r="M10" i="28"/>
  <c r="M26" i="28"/>
  <c r="M42" i="28"/>
  <c r="M68" i="28"/>
  <c r="M74" i="28"/>
  <c r="B20" i="27"/>
  <c r="M11" i="28"/>
  <c r="M27" i="28"/>
  <c r="M43" i="28"/>
  <c r="M69" i="28"/>
  <c r="M75" i="28"/>
  <c r="B19" i="27"/>
  <c r="M12" i="28"/>
  <c r="M28" i="28"/>
  <c r="M44" i="28"/>
  <c r="M70" i="28"/>
  <c r="M76" i="28"/>
  <c r="B18" i="27"/>
  <c r="M13" i="28"/>
  <c r="M29" i="28"/>
  <c r="M45" i="28"/>
  <c r="M51" i="28"/>
  <c r="M77" i="28"/>
  <c r="B17" i="27"/>
  <c r="M14" i="28"/>
  <c r="M30" i="28"/>
  <c r="M46" i="28"/>
  <c r="M52" i="28"/>
  <c r="M78" i="28"/>
  <c r="B16" i="27"/>
  <c r="M15" i="28"/>
  <c r="M31" i="28"/>
  <c r="M47" i="28"/>
  <c r="M53" i="28"/>
  <c r="M79" i="28"/>
  <c r="B15" i="27"/>
  <c r="M54" i="28"/>
  <c r="M33" i="28"/>
  <c r="M2" i="28"/>
  <c r="M56" i="28"/>
  <c r="M35" i="28"/>
  <c r="M16" i="28"/>
  <c r="M80" i="28"/>
  <c r="M49" i="28"/>
  <c r="M18" i="28"/>
  <c r="B28" i="27"/>
  <c r="M61" i="28"/>
  <c r="M32" i="28"/>
  <c r="B14" i="27"/>
  <c r="M55" i="28"/>
  <c r="M34" i="28"/>
  <c r="M3" i="28"/>
  <c r="M57" i="28"/>
  <c r="M48" i="28"/>
  <c r="M17" i="28"/>
  <c r="B29" i="27"/>
  <c r="M50" i="28"/>
  <c r="M19" i="28"/>
  <c r="B27" i="27"/>
  <c r="D11" i="15"/>
  <c r="E21" i="15"/>
  <c r="E18" i="15"/>
  <c r="E26" i="15"/>
  <c r="E16" i="15"/>
  <c r="E33" i="15"/>
  <c r="E27" i="15"/>
  <c r="E31" i="15"/>
  <c r="E32" i="15"/>
  <c r="E30" i="15"/>
  <c r="E24" i="15"/>
  <c r="E25" i="15"/>
  <c r="E19" i="15"/>
  <c r="E23" i="15"/>
  <c r="E22" i="15"/>
  <c r="E28" i="15"/>
  <c r="E14" i="15"/>
  <c r="E17" i="15"/>
  <c r="E34" i="15"/>
  <c r="E29" i="15"/>
  <c r="E15" i="15"/>
  <c r="E20" i="15"/>
  <c r="H40" i="18"/>
  <c r="B82" i="21"/>
  <c r="E77" i="21"/>
  <c r="B7" i="21"/>
  <c r="E78" i="21"/>
  <c r="C10" i="21"/>
  <c r="B5" i="21"/>
  <c r="B10" i="21"/>
  <c r="B78" i="21"/>
  <c r="C5" i="21"/>
  <c r="E5" i="21"/>
  <c r="B77" i="21"/>
  <c r="Z505" i="16"/>
  <c r="Z1104" i="16"/>
  <c r="Z601" i="16"/>
  <c r="Z409" i="16"/>
  <c r="Z113" i="16"/>
  <c r="Z801" i="16"/>
  <c r="Z1077" i="16"/>
  <c r="Z329" i="16"/>
  <c r="Z9" i="16"/>
  <c r="Z785" i="16"/>
  <c r="Z1053" i="16"/>
  <c r="Z297" i="16"/>
  <c r="Z945" i="16"/>
  <c r="Z761" i="16"/>
  <c r="Z1138" i="16"/>
  <c r="Z425" i="16"/>
  <c r="Z201" i="16"/>
  <c r="Z969" i="16"/>
  <c r="Z833" i="16"/>
  <c r="Z665" i="16"/>
  <c r="Z1069" i="16"/>
  <c r="Z441" i="16"/>
  <c r="Z273" i="16"/>
  <c r="Z105" i="16"/>
  <c r="Z929" i="16"/>
  <c r="Z841" i="16"/>
  <c r="Z713" i="16"/>
  <c r="Z585" i="16"/>
  <c r="Z1029" i="16"/>
  <c r="Z449" i="16"/>
  <c r="Z321" i="16"/>
  <c r="Z193" i="16"/>
  <c r="Z65" i="16"/>
  <c r="C17" i="6"/>
  <c r="C29" i="6"/>
  <c r="C26" i="6"/>
  <c r="C25" i="6"/>
  <c r="C22" i="6"/>
  <c r="C21" i="6"/>
  <c r="C15" i="6"/>
  <c r="C20" i="6"/>
  <c r="B11" i="6"/>
  <c r="C16" i="6"/>
  <c r="U5" i="16"/>
  <c r="U13" i="16"/>
  <c r="U21" i="16"/>
  <c r="U29" i="16"/>
  <c r="U37" i="16"/>
  <c r="U45" i="16"/>
  <c r="U53" i="16"/>
  <c r="U61" i="16"/>
  <c r="U69" i="16"/>
  <c r="U77" i="16"/>
  <c r="U85" i="16"/>
  <c r="U93" i="16"/>
  <c r="U101" i="16"/>
  <c r="U109" i="16"/>
  <c r="U117" i="16"/>
  <c r="U125" i="16"/>
  <c r="U133" i="16"/>
  <c r="U141" i="16"/>
  <c r="U149" i="16"/>
  <c r="U157" i="16"/>
  <c r="U165" i="16"/>
  <c r="U173" i="16"/>
  <c r="U181" i="16"/>
  <c r="U189" i="16"/>
  <c r="U197" i="16"/>
  <c r="U205" i="16"/>
  <c r="U213" i="16"/>
  <c r="U221" i="16"/>
  <c r="U229" i="16"/>
  <c r="U237" i="16"/>
  <c r="U245" i="16"/>
  <c r="U253" i="16"/>
  <c r="U261" i="16"/>
  <c r="U269" i="16"/>
  <c r="U277" i="16"/>
  <c r="U285" i="16"/>
  <c r="U293" i="16"/>
  <c r="U301" i="16"/>
  <c r="U309" i="16"/>
  <c r="U317" i="16"/>
  <c r="U325" i="16"/>
  <c r="U333" i="16"/>
  <c r="U341" i="16"/>
  <c r="U349" i="16"/>
  <c r="U357" i="16"/>
  <c r="U365" i="16"/>
  <c r="U373" i="16"/>
  <c r="U381" i="16"/>
  <c r="U389" i="16"/>
  <c r="U397" i="16"/>
  <c r="U405" i="16"/>
  <c r="U413" i="16"/>
  <c r="U421" i="16"/>
  <c r="U429" i="16"/>
  <c r="U4" i="16"/>
  <c r="U16" i="16"/>
  <c r="U25" i="16"/>
  <c r="U36" i="16"/>
  <c r="U48" i="16"/>
  <c r="U57" i="16"/>
  <c r="U68" i="16"/>
  <c r="U80" i="16"/>
  <c r="U89" i="16"/>
  <c r="U100" i="16"/>
  <c r="U112" i="16"/>
  <c r="U121" i="16"/>
  <c r="U132" i="16"/>
  <c r="U144" i="16"/>
  <c r="U153" i="16"/>
  <c r="U164" i="16"/>
  <c r="U176" i="16"/>
  <c r="U185" i="16"/>
  <c r="U196" i="16"/>
  <c r="U208" i="16"/>
  <c r="U217" i="16"/>
  <c r="U228" i="16"/>
  <c r="U240" i="16"/>
  <c r="U249" i="16"/>
  <c r="U260" i="16"/>
  <c r="U272" i="16"/>
  <c r="U281" i="16"/>
  <c r="U292" i="16"/>
  <c r="U304" i="16"/>
  <c r="U313" i="16"/>
  <c r="U324" i="16"/>
  <c r="U336" i="16"/>
  <c r="U345" i="16"/>
  <c r="U356" i="16"/>
  <c r="U368" i="16"/>
  <c r="U377" i="16"/>
  <c r="U388" i="16"/>
  <c r="U400" i="16"/>
  <c r="U409" i="16"/>
  <c r="U420" i="16"/>
  <c r="U432" i="16"/>
  <c r="U440" i="16"/>
  <c r="U448" i="16"/>
  <c r="U456" i="16"/>
  <c r="U464" i="16"/>
  <c r="U472" i="16"/>
  <c r="U480" i="16"/>
  <c r="U488" i="16"/>
  <c r="U496" i="16"/>
  <c r="U504" i="16"/>
  <c r="U512" i="16"/>
  <c r="U520" i="16"/>
  <c r="U528" i="16"/>
  <c r="U536" i="16"/>
  <c r="U544" i="16"/>
  <c r="U552" i="16"/>
  <c r="U560" i="16"/>
  <c r="U568" i="16"/>
  <c r="U576" i="16"/>
  <c r="U584" i="16"/>
  <c r="U592" i="16"/>
  <c r="U600" i="16"/>
  <c r="U608" i="16"/>
  <c r="U616" i="16"/>
  <c r="U624" i="16"/>
  <c r="U632" i="16"/>
  <c r="U640" i="16"/>
  <c r="U648" i="16"/>
  <c r="U656" i="16"/>
  <c r="U664" i="16"/>
  <c r="U672" i="16"/>
  <c r="U680" i="16"/>
  <c r="U688" i="16"/>
  <c r="U696" i="16"/>
  <c r="U704" i="16"/>
  <c r="U712" i="16"/>
  <c r="U720" i="16"/>
  <c r="U728" i="16"/>
  <c r="U736" i="16"/>
  <c r="U744" i="16"/>
  <c r="U752" i="16"/>
  <c r="U760" i="16"/>
  <c r="U768" i="16"/>
  <c r="U776" i="16"/>
  <c r="U784" i="16"/>
  <c r="U792" i="16"/>
  <c r="U800" i="16"/>
  <c r="U808" i="16"/>
  <c r="U816" i="16"/>
  <c r="U824" i="16"/>
  <c r="U832" i="16"/>
  <c r="U840" i="16"/>
  <c r="U848" i="16"/>
  <c r="U856" i="16"/>
  <c r="U864" i="16"/>
  <c r="U872" i="16"/>
  <c r="U880" i="16"/>
  <c r="U888" i="16"/>
  <c r="U896" i="16"/>
  <c r="U904" i="16"/>
  <c r="U912" i="16"/>
  <c r="U920" i="16"/>
  <c r="U928" i="16"/>
  <c r="U936" i="16"/>
  <c r="U944" i="16"/>
  <c r="U952" i="16"/>
  <c r="U960" i="16"/>
  <c r="U968" i="16"/>
  <c r="U976" i="16"/>
  <c r="U984" i="16"/>
  <c r="U992" i="16"/>
  <c r="U1000" i="16"/>
  <c r="U1008" i="16"/>
  <c r="U1016" i="16"/>
  <c r="U1024" i="16"/>
  <c r="U1032" i="16"/>
  <c r="U1040" i="16"/>
  <c r="U1048" i="16"/>
  <c r="U1056" i="16"/>
  <c r="U1064" i="16"/>
  <c r="U1072" i="16"/>
  <c r="U1080" i="16"/>
  <c r="U1088" i="16"/>
  <c r="U1096" i="16"/>
  <c r="U1104" i="16"/>
  <c r="U1112" i="16"/>
  <c r="U1120" i="16"/>
  <c r="U1128" i="16"/>
  <c r="U1136" i="16"/>
  <c r="U1144" i="16"/>
  <c r="U1152" i="16"/>
  <c r="U1160" i="16"/>
  <c r="U9" i="16"/>
  <c r="U24" i="16"/>
  <c r="U40" i="16"/>
  <c r="U52" i="16"/>
  <c r="U65" i="16"/>
  <c r="U81" i="16"/>
  <c r="U96" i="16"/>
  <c r="U108" i="16"/>
  <c r="U124" i="16"/>
  <c r="U137" i="16"/>
  <c r="U152" i="16"/>
  <c r="U168" i="16"/>
  <c r="U180" i="16"/>
  <c r="U193" i="16"/>
  <c r="U209" i="16"/>
  <c r="U224" i="16"/>
  <c r="U236" i="16"/>
  <c r="U252" i="16"/>
  <c r="U265" i="16"/>
  <c r="U280" i="16"/>
  <c r="U296" i="16"/>
  <c r="U308" i="16"/>
  <c r="U321" i="16"/>
  <c r="U337" i="16"/>
  <c r="U352" i="16"/>
  <c r="U364" i="16"/>
  <c r="U380" i="16"/>
  <c r="U393" i="16"/>
  <c r="U408" i="16"/>
  <c r="U424" i="16"/>
  <c r="U436" i="16"/>
  <c r="U445" i="16"/>
  <c r="U457" i="16"/>
  <c r="U468" i="16"/>
  <c r="U477" i="16"/>
  <c r="U489" i="16"/>
  <c r="U500" i="16"/>
  <c r="U509" i="16"/>
  <c r="U521" i="16"/>
  <c r="U532" i="16"/>
  <c r="U541" i="16"/>
  <c r="U553" i="16"/>
  <c r="U564" i="16"/>
  <c r="U573" i="16"/>
  <c r="U585" i="16"/>
  <c r="U596" i="16"/>
  <c r="U605" i="16"/>
  <c r="U617" i="16"/>
  <c r="U628" i="16"/>
  <c r="U637" i="16"/>
  <c r="U649" i="16"/>
  <c r="U660" i="16"/>
  <c r="U669" i="16"/>
  <c r="U681" i="16"/>
  <c r="U692" i="16"/>
  <c r="U701" i="16"/>
  <c r="U713" i="16"/>
  <c r="U724" i="16"/>
  <c r="U733" i="16"/>
  <c r="U745" i="16"/>
  <c r="U756" i="16"/>
  <c r="U765" i="16"/>
  <c r="U777" i="16"/>
  <c r="U788" i="16"/>
  <c r="U797" i="16"/>
  <c r="U809" i="16"/>
  <c r="U820" i="16"/>
  <c r="U829" i="16"/>
  <c r="U841" i="16"/>
  <c r="U852" i="16"/>
  <c r="U861" i="16"/>
  <c r="U873" i="16"/>
  <c r="U884" i="16"/>
  <c r="U893" i="16"/>
  <c r="U905" i="16"/>
  <c r="U916" i="16"/>
  <c r="U925" i="16"/>
  <c r="U937" i="16"/>
  <c r="U948" i="16"/>
  <c r="U957" i="16"/>
  <c r="U969" i="16"/>
  <c r="U980" i="16"/>
  <c r="U989" i="16"/>
  <c r="U1001" i="16"/>
  <c r="U1012" i="16"/>
  <c r="U1021" i="16"/>
  <c r="U1033" i="16"/>
  <c r="U1044" i="16"/>
  <c r="U1053" i="16"/>
  <c r="U1065" i="16"/>
  <c r="U1076" i="16"/>
  <c r="U1085" i="16"/>
  <c r="U1097" i="16"/>
  <c r="U1108" i="16"/>
  <c r="U1117" i="16"/>
  <c r="U1129" i="16"/>
  <c r="U1140" i="16"/>
  <c r="U1149" i="16"/>
  <c r="U1161" i="16"/>
  <c r="U3" i="16"/>
  <c r="U17" i="16"/>
  <c r="U33" i="16"/>
  <c r="U56" i="16"/>
  <c r="U73" i="16"/>
  <c r="U92" i="16"/>
  <c r="U113" i="16"/>
  <c r="U129" i="16"/>
  <c r="U148" i="16"/>
  <c r="U169" i="16"/>
  <c r="U188" i="16"/>
  <c r="U204" i="16"/>
  <c r="U225" i="16"/>
  <c r="U244" i="16"/>
  <c r="U264" i="16"/>
  <c r="U284" i="16"/>
  <c r="U300" i="16"/>
  <c r="U320" i="16"/>
  <c r="U340" i="16"/>
  <c r="U360" i="16"/>
  <c r="U376" i="16"/>
  <c r="U396" i="16"/>
  <c r="U416" i="16"/>
  <c r="U433" i="16"/>
  <c r="U449" i="16"/>
  <c r="U461" i="16"/>
  <c r="U476" i="16"/>
  <c r="U492" i="16"/>
  <c r="U505" i="16"/>
  <c r="U517" i="16"/>
  <c r="U533" i="16"/>
  <c r="U548" i="16"/>
  <c r="U561" i="16"/>
  <c r="U577" i="16"/>
  <c r="U589" i="16"/>
  <c r="U604" i="16"/>
  <c r="U620" i="16"/>
  <c r="U633" i="16"/>
  <c r="U645" i="16"/>
  <c r="U661" i="16"/>
  <c r="U676" i="16"/>
  <c r="U689" i="16"/>
  <c r="U705" i="16"/>
  <c r="U717" i="16"/>
  <c r="U732" i="16"/>
  <c r="U748" i="16"/>
  <c r="U761" i="16"/>
  <c r="U773" i="16"/>
  <c r="U789" i="16"/>
  <c r="U804" i="16"/>
  <c r="U817" i="16"/>
  <c r="U833" i="16"/>
  <c r="U845" i="16"/>
  <c r="U860" i="16"/>
  <c r="U876" i="16"/>
  <c r="U889" i="16"/>
  <c r="U901" i="16"/>
  <c r="U917" i="16"/>
  <c r="U932" i="16"/>
  <c r="U945" i="16"/>
  <c r="U961" i="16"/>
  <c r="U973" i="16"/>
  <c r="U988" i="16"/>
  <c r="U1004" i="16"/>
  <c r="U1017" i="16"/>
  <c r="U1029" i="16"/>
  <c r="U1045" i="16"/>
  <c r="U1060" i="16"/>
  <c r="U1073" i="16"/>
  <c r="U1089" i="16"/>
  <c r="U1101" i="16"/>
  <c r="U1116" i="16"/>
  <c r="U1132" i="16"/>
  <c r="U1145" i="16"/>
  <c r="U1157" i="16"/>
  <c r="U20" i="16"/>
  <c r="U44" i="16"/>
  <c r="U72" i="16"/>
  <c r="U97" i="16"/>
  <c r="U120" i="16"/>
  <c r="U145" i="16"/>
  <c r="U172" i="16"/>
  <c r="U200" i="16"/>
  <c r="U220" i="16"/>
  <c r="U248" i="16"/>
  <c r="U273" i="16"/>
  <c r="U297" i="16"/>
  <c r="U328" i="16"/>
  <c r="U348" i="16"/>
  <c r="U372" i="16"/>
  <c r="U401" i="16"/>
  <c r="U425" i="16"/>
  <c r="U444" i="16"/>
  <c r="U465" i="16"/>
  <c r="U484" i="16"/>
  <c r="U501" i="16"/>
  <c r="U524" i="16"/>
  <c r="U540" i="16"/>
  <c r="U557" i="16"/>
  <c r="U580" i="16"/>
  <c r="U597" i="16"/>
  <c r="U613" i="16"/>
  <c r="U636" i="16"/>
  <c r="U653" i="16"/>
  <c r="U673" i="16"/>
  <c r="U693" i="16"/>
  <c r="U709" i="16"/>
  <c r="U729" i="16"/>
  <c r="U749" i="16"/>
  <c r="U769" i="16"/>
  <c r="U785" i="16"/>
  <c r="U805" i="16"/>
  <c r="U825" i="16"/>
  <c r="U844" i="16"/>
  <c r="U865" i="16"/>
  <c r="U881" i="16"/>
  <c r="U900" i="16"/>
  <c r="U921" i="16"/>
  <c r="U940" i="16"/>
  <c r="U956" i="16"/>
  <c r="U977" i="16"/>
  <c r="U996" i="16"/>
  <c r="U1013" i="16"/>
  <c r="U1036" i="16"/>
  <c r="U1052" i="16"/>
  <c r="U1069" i="16"/>
  <c r="U1092" i="16"/>
  <c r="U1109" i="16"/>
  <c r="U1125" i="16"/>
  <c r="U1148" i="16"/>
  <c r="U28" i="16"/>
  <c r="U49" i="16"/>
  <c r="U76" i="16"/>
  <c r="U104" i="16"/>
  <c r="U128" i="16"/>
  <c r="U156" i="16"/>
  <c r="U177" i="16"/>
  <c r="U201" i="16"/>
  <c r="U232" i="16"/>
  <c r="U256" i="16"/>
  <c r="U276" i="16"/>
  <c r="U305" i="16"/>
  <c r="U329" i="16"/>
  <c r="U353" i="16"/>
  <c r="U384" i="16"/>
  <c r="U404" i="16"/>
  <c r="U428" i="16"/>
  <c r="U452" i="16"/>
  <c r="U469" i="16"/>
  <c r="U485" i="16"/>
  <c r="U508" i="16"/>
  <c r="U525" i="16"/>
  <c r="U545" i="16"/>
  <c r="U565" i="16"/>
  <c r="U581" i="16"/>
  <c r="U601" i="16"/>
  <c r="U621" i="16"/>
  <c r="U641" i="16"/>
  <c r="U657" i="16"/>
  <c r="U677" i="16"/>
  <c r="U697" i="16"/>
  <c r="U716" i="16"/>
  <c r="U737" i="16"/>
  <c r="U753" i="16"/>
  <c r="U772" i="16"/>
  <c r="U793" i="16"/>
  <c r="U812" i="16"/>
  <c r="U828" i="16"/>
  <c r="U849" i="16"/>
  <c r="U868" i="16"/>
  <c r="U885" i="16"/>
  <c r="U908" i="16"/>
  <c r="U924" i="16"/>
  <c r="U941" i="16"/>
  <c r="U964" i="16"/>
  <c r="U981" i="16"/>
  <c r="U997" i="16"/>
  <c r="U1020" i="16"/>
  <c r="U1037" i="16"/>
  <c r="U1057" i="16"/>
  <c r="U1077" i="16"/>
  <c r="U1093" i="16"/>
  <c r="U1113" i="16"/>
  <c r="U1133" i="16"/>
  <c r="U1153" i="16"/>
  <c r="U8" i="16"/>
  <c r="U32" i="16"/>
  <c r="U60" i="16"/>
  <c r="U84" i="16"/>
  <c r="U105" i="16"/>
  <c r="U136" i="16"/>
  <c r="U160" i="16"/>
  <c r="U184" i="16"/>
  <c r="U212" i="16"/>
  <c r="U233" i="16"/>
  <c r="U257" i="16"/>
  <c r="U288" i="16"/>
  <c r="U312" i="16"/>
  <c r="U332" i="16"/>
  <c r="U361" i="16"/>
  <c r="U385" i="16"/>
  <c r="U412" i="16"/>
  <c r="U437" i="16"/>
  <c r="U453" i="16"/>
  <c r="U473" i="16"/>
  <c r="U493" i="16"/>
  <c r="U513" i="16"/>
  <c r="U529" i="16"/>
  <c r="U549" i="16"/>
  <c r="U569" i="16"/>
  <c r="U588" i="16"/>
  <c r="U609" i="16"/>
  <c r="U625" i="16"/>
  <c r="U644" i="16"/>
  <c r="U665" i="16"/>
  <c r="U684" i="16"/>
  <c r="U700" i="16"/>
  <c r="U721" i="16"/>
  <c r="U740" i="16"/>
  <c r="U757" i="16"/>
  <c r="U780" i="16"/>
  <c r="U796" i="16"/>
  <c r="U813" i="16"/>
  <c r="U836" i="16"/>
  <c r="U853" i="16"/>
  <c r="U869" i="16"/>
  <c r="U892" i="16"/>
  <c r="U909" i="16"/>
  <c r="U929" i="16"/>
  <c r="U949" i="16"/>
  <c r="U965" i="16"/>
  <c r="U985" i="16"/>
  <c r="U1005" i="16"/>
  <c r="U1025" i="16"/>
  <c r="U1041" i="16"/>
  <c r="U1061" i="16"/>
  <c r="U1081" i="16"/>
  <c r="U1100" i="16"/>
  <c r="U1121" i="16"/>
  <c r="U1137" i="16"/>
  <c r="U1156" i="16"/>
  <c r="U64" i="16"/>
  <c r="U161" i="16"/>
  <c r="U268" i="16"/>
  <c r="U369" i="16"/>
  <c r="U460" i="16"/>
  <c r="U537" i="16"/>
  <c r="U612" i="16"/>
  <c r="U685" i="16"/>
  <c r="U764" i="16"/>
  <c r="U837" i="16"/>
  <c r="U913" i="16"/>
  <c r="U993" i="16"/>
  <c r="U1068" i="16"/>
  <c r="U1141" i="16"/>
  <c r="U88" i="16"/>
  <c r="U192" i="16"/>
  <c r="U289" i="16"/>
  <c r="U392" i="16"/>
  <c r="U481" i="16"/>
  <c r="U556" i="16"/>
  <c r="U629" i="16"/>
  <c r="U708" i="16"/>
  <c r="U781" i="16"/>
  <c r="U857" i="16"/>
  <c r="U933" i="16"/>
  <c r="U1009" i="16"/>
  <c r="U1084" i="16"/>
  <c r="U12" i="16"/>
  <c r="U116" i="16"/>
  <c r="U216" i="16"/>
  <c r="U316" i="16"/>
  <c r="U417" i="16"/>
  <c r="U497" i="16"/>
  <c r="U572" i="16"/>
  <c r="U652" i="16"/>
  <c r="U725" i="16"/>
  <c r="U801" i="16"/>
  <c r="U877" i="16"/>
  <c r="U953" i="16"/>
  <c r="U1028" i="16"/>
  <c r="U1105" i="16"/>
  <c r="U41" i="16"/>
  <c r="U441" i="16"/>
  <c r="U741" i="16"/>
  <c r="U1049" i="16"/>
  <c r="U1162" i="16"/>
  <c r="U1146" i="16"/>
  <c r="U1130" i="16"/>
  <c r="U1114" i="16"/>
  <c r="U1098" i="16"/>
  <c r="U1082" i="16"/>
  <c r="U1066" i="16"/>
  <c r="U1050" i="16"/>
  <c r="U1034" i="16"/>
  <c r="U1018" i="16"/>
  <c r="U1002" i="16"/>
  <c r="U986" i="16"/>
  <c r="U970" i="16"/>
  <c r="U954" i="16"/>
  <c r="U938" i="16"/>
  <c r="U922" i="16"/>
  <c r="U906" i="16"/>
  <c r="U890" i="16"/>
  <c r="U874" i="16"/>
  <c r="U858" i="16"/>
  <c r="U842" i="16"/>
  <c r="U826" i="16"/>
  <c r="U810" i="16"/>
  <c r="U794" i="16"/>
  <c r="U778" i="16"/>
  <c r="U762" i="16"/>
  <c r="U746" i="16"/>
  <c r="U730" i="16"/>
  <c r="U714" i="16"/>
  <c r="U698" i="16"/>
  <c r="U682" i="16"/>
  <c r="U666" i="16"/>
  <c r="U650" i="16"/>
  <c r="U634" i="16"/>
  <c r="U618" i="16"/>
  <c r="U602" i="16"/>
  <c r="U586" i="16"/>
  <c r="U570" i="16"/>
  <c r="U554" i="16"/>
  <c r="U538" i="16"/>
  <c r="U522" i="16"/>
  <c r="U506" i="16"/>
  <c r="U490" i="16"/>
  <c r="U474" i="16"/>
  <c r="U458" i="16"/>
  <c r="U442" i="16"/>
  <c r="U426" i="16"/>
  <c r="U410" i="16"/>
  <c r="U394" i="16"/>
  <c r="U378" i="16"/>
  <c r="U362" i="16"/>
  <c r="U346" i="16"/>
  <c r="U330" i="16"/>
  <c r="U314" i="16"/>
  <c r="U298" i="16"/>
  <c r="U282" i="16"/>
  <c r="U266" i="16"/>
  <c r="U250" i="16"/>
  <c r="U234" i="16"/>
  <c r="U218" i="16"/>
  <c r="U202" i="16"/>
  <c r="U186" i="16"/>
  <c r="U170" i="16"/>
  <c r="U154" i="16"/>
  <c r="U138" i="16"/>
  <c r="U122" i="16"/>
  <c r="U106" i="16"/>
  <c r="U90" i="16"/>
  <c r="U74" i="16"/>
  <c r="U58" i="16"/>
  <c r="U42" i="16"/>
  <c r="U26" i="16"/>
  <c r="U10" i="16"/>
  <c r="U1147" i="16"/>
  <c r="U1131" i="16"/>
  <c r="U1115" i="16"/>
  <c r="U1099" i="16"/>
  <c r="U1083" i="16"/>
  <c r="U1067" i="16"/>
  <c r="U1051" i="16"/>
  <c r="U1035" i="16"/>
  <c r="U1019" i="16"/>
  <c r="U1003" i="16"/>
  <c r="U987" i="16"/>
  <c r="U971" i="16"/>
  <c r="U955" i="16"/>
  <c r="U939" i="16"/>
  <c r="U923" i="16"/>
  <c r="U907" i="16"/>
  <c r="U891" i="16"/>
  <c r="U875" i="16"/>
  <c r="U859" i="16"/>
  <c r="U843" i="16"/>
  <c r="U827" i="16"/>
  <c r="U811" i="16"/>
  <c r="U795" i="16"/>
  <c r="U779" i="16"/>
  <c r="U763" i="16"/>
  <c r="U747" i="16"/>
  <c r="U731" i="16"/>
  <c r="U715" i="16"/>
  <c r="U699" i="16"/>
  <c r="U683" i="16"/>
  <c r="U667" i="16"/>
  <c r="U651" i="16"/>
  <c r="U635" i="16"/>
  <c r="U619" i="16"/>
  <c r="U603" i="16"/>
  <c r="U587" i="16"/>
  <c r="U571" i="16"/>
  <c r="U555" i="16"/>
  <c r="U539" i="16"/>
  <c r="U523" i="16"/>
  <c r="U507" i="16"/>
  <c r="U491" i="16"/>
  <c r="U475" i="16"/>
  <c r="U459" i="16"/>
  <c r="U443" i="16"/>
  <c r="U427" i="16"/>
  <c r="U411" i="16"/>
  <c r="U395" i="16"/>
  <c r="U379" i="16"/>
  <c r="U363" i="16"/>
  <c r="U347" i="16"/>
  <c r="U331" i="16"/>
  <c r="U315" i="16"/>
  <c r="U299" i="16"/>
  <c r="U283" i="16"/>
  <c r="U267" i="16"/>
  <c r="U251" i="16"/>
  <c r="U235" i="16"/>
  <c r="U219" i="16"/>
  <c r="U203" i="16"/>
  <c r="U187" i="16"/>
  <c r="U171" i="16"/>
  <c r="U155" i="16"/>
  <c r="U139" i="16"/>
  <c r="U123" i="16"/>
  <c r="U107" i="16"/>
  <c r="U91" i="16"/>
  <c r="U75" i="16"/>
  <c r="U59" i="16"/>
  <c r="U43" i="16"/>
  <c r="U27" i="16"/>
  <c r="U11" i="16"/>
  <c r="U140" i="16"/>
  <c r="U516" i="16"/>
  <c r="U821" i="16"/>
  <c r="U1124" i="16"/>
  <c r="U1158" i="16"/>
  <c r="U1142" i="16"/>
  <c r="U1126" i="16"/>
  <c r="U1110" i="16"/>
  <c r="U1094" i="16"/>
  <c r="U1078" i="16"/>
  <c r="U1062" i="16"/>
  <c r="U1046" i="16"/>
  <c r="U1030" i="16"/>
  <c r="U1014" i="16"/>
  <c r="U998" i="16"/>
  <c r="U982" i="16"/>
  <c r="U966" i="16"/>
  <c r="U950" i="16"/>
  <c r="U934" i="16"/>
  <c r="U918" i="16"/>
  <c r="U902" i="16"/>
  <c r="U886" i="16"/>
  <c r="U870" i="16"/>
  <c r="U854" i="16"/>
  <c r="U838" i="16"/>
  <c r="U822" i="16"/>
  <c r="U806" i="16"/>
  <c r="U790" i="16"/>
  <c r="U774" i="16"/>
  <c r="U758" i="16"/>
  <c r="U742" i="16"/>
  <c r="U726" i="16"/>
  <c r="U710" i="16"/>
  <c r="U694" i="16"/>
  <c r="U678" i="16"/>
  <c r="U662" i="16"/>
  <c r="U646" i="16"/>
  <c r="U630" i="16"/>
  <c r="U614" i="16"/>
  <c r="U598" i="16"/>
  <c r="U582" i="16"/>
  <c r="U566" i="16"/>
  <c r="U550" i="16"/>
  <c r="U534" i="16"/>
  <c r="U518" i="16"/>
  <c r="U502" i="16"/>
  <c r="U486" i="16"/>
  <c r="U470" i="16"/>
  <c r="U454" i="16"/>
  <c r="U438" i="16"/>
  <c r="U422" i="16"/>
  <c r="U406" i="16"/>
  <c r="U390" i="16"/>
  <c r="U374" i="16"/>
  <c r="U358" i="16"/>
  <c r="U342" i="16"/>
  <c r="U326" i="16"/>
  <c r="U310" i="16"/>
  <c r="U294" i="16"/>
  <c r="U278" i="16"/>
  <c r="U262" i="16"/>
  <c r="U246" i="16"/>
  <c r="U230" i="16"/>
  <c r="U214" i="16"/>
  <c r="U198" i="16"/>
  <c r="U182" i="16"/>
  <c r="U166" i="16"/>
  <c r="U150" i="16"/>
  <c r="U134" i="16"/>
  <c r="U118" i="16"/>
  <c r="U102" i="16"/>
  <c r="U86" i="16"/>
  <c r="U70" i="16"/>
  <c r="U54" i="16"/>
  <c r="U38" i="16"/>
  <c r="U22" i="16"/>
  <c r="U6" i="16"/>
  <c r="U1159" i="16"/>
  <c r="U1143" i="16"/>
  <c r="U1127" i="16"/>
  <c r="U1111" i="16"/>
  <c r="U1095" i="16"/>
  <c r="U1079" i="16"/>
  <c r="U1063" i="16"/>
  <c r="U1047" i="16"/>
  <c r="U1031" i="16"/>
  <c r="U1015" i="16"/>
  <c r="U999" i="16"/>
  <c r="U983" i="16"/>
  <c r="U967" i="16"/>
  <c r="U951" i="16"/>
  <c r="U935" i="16"/>
  <c r="U919" i="16"/>
  <c r="U903" i="16"/>
  <c r="U887" i="16"/>
  <c r="U871" i="16"/>
  <c r="U855" i="16"/>
  <c r="U839" i="16"/>
  <c r="U823" i="16"/>
  <c r="U807" i="16"/>
  <c r="U791" i="16"/>
  <c r="U775" i="16"/>
  <c r="U759" i="16"/>
  <c r="U743" i="16"/>
  <c r="U727" i="16"/>
  <c r="U711" i="16"/>
  <c r="U695" i="16"/>
  <c r="U679" i="16"/>
  <c r="U663" i="16"/>
  <c r="U647" i="16"/>
  <c r="U631" i="16"/>
  <c r="U615" i="16"/>
  <c r="U599" i="16"/>
  <c r="U583" i="16"/>
  <c r="U567" i="16"/>
  <c r="U551" i="16"/>
  <c r="U535" i="16"/>
  <c r="U519" i="16"/>
  <c r="U503" i="16"/>
  <c r="U487" i="16"/>
  <c r="U471" i="16"/>
  <c r="U455" i="16"/>
  <c r="U439" i="16"/>
  <c r="U423" i="16"/>
  <c r="U407" i="16"/>
  <c r="U391" i="16"/>
  <c r="U375" i="16"/>
  <c r="U359" i="16"/>
  <c r="U343" i="16"/>
  <c r="U327" i="16"/>
  <c r="U311" i="16"/>
  <c r="U295" i="16"/>
  <c r="U279" i="16"/>
  <c r="U263" i="16"/>
  <c r="U247" i="16"/>
  <c r="U231" i="16"/>
  <c r="U215" i="16"/>
  <c r="U199" i="16"/>
  <c r="U183" i="16"/>
  <c r="U167" i="16"/>
  <c r="U151" i="16"/>
  <c r="U135" i="16"/>
  <c r="U119" i="16"/>
  <c r="U103" i="16"/>
  <c r="U87" i="16"/>
  <c r="U71" i="16"/>
  <c r="U55" i="16"/>
  <c r="U39" i="16"/>
  <c r="U23" i="16"/>
  <c r="U7" i="16"/>
  <c r="U241" i="16"/>
  <c r="U593" i="16"/>
  <c r="U897" i="16"/>
  <c r="U1154" i="16"/>
  <c r="U1138" i="16"/>
  <c r="U1122" i="16"/>
  <c r="U1106" i="16"/>
  <c r="U1090" i="16"/>
  <c r="U1074" i="16"/>
  <c r="U1058" i="16"/>
  <c r="U1042" i="16"/>
  <c r="U1026" i="16"/>
  <c r="U1010" i="16"/>
  <c r="U994" i="16"/>
  <c r="U978" i="16"/>
  <c r="U962" i="16"/>
  <c r="U946" i="16"/>
  <c r="U930" i="16"/>
  <c r="U914" i="16"/>
  <c r="U898" i="16"/>
  <c r="U882" i="16"/>
  <c r="U866" i="16"/>
  <c r="U850" i="16"/>
  <c r="U834" i="16"/>
  <c r="U818" i="16"/>
  <c r="U802" i="16"/>
  <c r="U786" i="16"/>
  <c r="U770" i="16"/>
  <c r="U668" i="16"/>
  <c r="U1134" i="16"/>
  <c r="U1070" i="16"/>
  <c r="U1006" i="16"/>
  <c r="U942" i="16"/>
  <c r="U878" i="16"/>
  <c r="U814" i="16"/>
  <c r="U754" i="16"/>
  <c r="U722" i="16"/>
  <c r="U690" i="16"/>
  <c r="U658" i="16"/>
  <c r="U626" i="16"/>
  <c r="U594" i="16"/>
  <c r="U562" i="16"/>
  <c r="U530" i="16"/>
  <c r="U498" i="16"/>
  <c r="U466" i="16"/>
  <c r="U434" i="16"/>
  <c r="U402" i="16"/>
  <c r="U370" i="16"/>
  <c r="U338" i="16"/>
  <c r="U306" i="16"/>
  <c r="U274" i="16"/>
  <c r="U242" i="16"/>
  <c r="U210" i="16"/>
  <c r="U178" i="16"/>
  <c r="U146" i="16"/>
  <c r="U114" i="16"/>
  <c r="U82" i="16"/>
  <c r="U50" i="16"/>
  <c r="U18" i="16"/>
  <c r="U1139" i="16"/>
  <c r="U1107" i="16"/>
  <c r="U1075" i="16"/>
  <c r="U1043" i="16"/>
  <c r="U1011" i="16"/>
  <c r="U979" i="16"/>
  <c r="U947" i="16"/>
  <c r="U915" i="16"/>
  <c r="U883" i="16"/>
  <c r="U851" i="16"/>
  <c r="U819" i="16"/>
  <c r="U787" i="16"/>
  <c r="U755" i="16"/>
  <c r="U723" i="16"/>
  <c r="U691" i="16"/>
  <c r="U659" i="16"/>
  <c r="U627" i="16"/>
  <c r="U595" i="16"/>
  <c r="U563" i="16"/>
  <c r="U531" i="16"/>
  <c r="U499" i="16"/>
  <c r="U467" i="16"/>
  <c r="U435" i="16"/>
  <c r="U403" i="16"/>
  <c r="U371" i="16"/>
  <c r="U339" i="16"/>
  <c r="U307" i="16"/>
  <c r="U275" i="16"/>
  <c r="U243" i="16"/>
  <c r="U211" i="16"/>
  <c r="U179" i="16"/>
  <c r="U147" i="16"/>
  <c r="U115" i="16"/>
  <c r="U83" i="16"/>
  <c r="U51" i="16"/>
  <c r="U19" i="16"/>
  <c r="U972" i="16"/>
  <c r="U1118" i="16"/>
  <c r="U1054" i="16"/>
  <c r="U990" i="16"/>
  <c r="U926" i="16"/>
  <c r="U862" i="16"/>
  <c r="U798" i="16"/>
  <c r="U750" i="16"/>
  <c r="U718" i="16"/>
  <c r="U686" i="16"/>
  <c r="U654" i="16"/>
  <c r="U622" i="16"/>
  <c r="U590" i="16"/>
  <c r="U558" i="16"/>
  <c r="U526" i="16"/>
  <c r="U494" i="16"/>
  <c r="U462" i="16"/>
  <c r="U430" i="16"/>
  <c r="U398" i="16"/>
  <c r="U366" i="16"/>
  <c r="U334" i="16"/>
  <c r="U302" i="16"/>
  <c r="U270" i="16"/>
  <c r="U238" i="16"/>
  <c r="U206" i="16"/>
  <c r="U174" i="16"/>
  <c r="U142" i="16"/>
  <c r="U110" i="16"/>
  <c r="U78" i="16"/>
  <c r="U46" i="16"/>
  <c r="U14" i="16"/>
  <c r="U1135" i="16"/>
  <c r="U1103" i="16"/>
  <c r="U1071" i="16"/>
  <c r="U1039" i="16"/>
  <c r="U1007" i="16"/>
  <c r="U975" i="16"/>
  <c r="U943" i="16"/>
  <c r="U911" i="16"/>
  <c r="U879" i="16"/>
  <c r="U847" i="16"/>
  <c r="U815" i="16"/>
  <c r="U783" i="16"/>
  <c r="U751" i="16"/>
  <c r="U719" i="16"/>
  <c r="U687" i="16"/>
  <c r="U655" i="16"/>
  <c r="U623" i="16"/>
  <c r="U591" i="16"/>
  <c r="U559" i="16"/>
  <c r="U527" i="16"/>
  <c r="U495" i="16"/>
  <c r="U463" i="16"/>
  <c r="U431" i="16"/>
  <c r="U399" i="16"/>
  <c r="U367" i="16"/>
  <c r="U335" i="16"/>
  <c r="U303" i="16"/>
  <c r="U271" i="16"/>
  <c r="U239" i="16"/>
  <c r="U207" i="16"/>
  <c r="U175" i="16"/>
  <c r="U143" i="16"/>
  <c r="U111" i="16"/>
  <c r="U79" i="16"/>
  <c r="U47" i="16"/>
  <c r="U15" i="16"/>
  <c r="U1102" i="16"/>
  <c r="U1038" i="16"/>
  <c r="U974" i="16"/>
  <c r="U910" i="16"/>
  <c r="U846" i="16"/>
  <c r="U782" i="16"/>
  <c r="U738" i="16"/>
  <c r="U706" i="16"/>
  <c r="U674" i="16"/>
  <c r="U642" i="16"/>
  <c r="U610" i="16"/>
  <c r="U578" i="16"/>
  <c r="U546" i="16"/>
  <c r="U514" i="16"/>
  <c r="U482" i="16"/>
  <c r="U450" i="16"/>
  <c r="U418" i="16"/>
  <c r="U386" i="16"/>
  <c r="U354" i="16"/>
  <c r="U322" i="16"/>
  <c r="U290" i="16"/>
  <c r="U258" i="16"/>
  <c r="U226" i="16"/>
  <c r="U194" i="16"/>
  <c r="U162" i="16"/>
  <c r="U130" i="16"/>
  <c r="U98" i="16"/>
  <c r="U66" i="16"/>
  <c r="U34" i="16"/>
  <c r="U2" i="16"/>
  <c r="U1155" i="16"/>
  <c r="U1123" i="16"/>
  <c r="U1091" i="16"/>
  <c r="U1059" i="16"/>
  <c r="U1027" i="16"/>
  <c r="U995" i="16"/>
  <c r="U963" i="16"/>
  <c r="U931" i="16"/>
  <c r="U899" i="16"/>
  <c r="U867" i="16"/>
  <c r="U835" i="16"/>
  <c r="U803" i="16"/>
  <c r="U771" i="16"/>
  <c r="U739" i="16"/>
  <c r="U707" i="16"/>
  <c r="U675" i="16"/>
  <c r="U643" i="16"/>
  <c r="U611" i="16"/>
  <c r="U579" i="16"/>
  <c r="U547" i="16"/>
  <c r="U515" i="16"/>
  <c r="U483" i="16"/>
  <c r="U451" i="16"/>
  <c r="U419" i="16"/>
  <c r="U387" i="16"/>
  <c r="U355" i="16"/>
  <c r="U323" i="16"/>
  <c r="U291" i="16"/>
  <c r="U259" i="16"/>
  <c r="U227" i="16"/>
  <c r="U195" i="16"/>
  <c r="U163" i="16"/>
  <c r="U131" i="16"/>
  <c r="U99" i="16"/>
  <c r="U67" i="16"/>
  <c r="U35" i="16"/>
  <c r="U344" i="16"/>
  <c r="U1150" i="16"/>
  <c r="U1086" i="16"/>
  <c r="U1022" i="16"/>
  <c r="U958" i="16"/>
  <c r="U894" i="16"/>
  <c r="U830" i="16"/>
  <c r="U766" i="16"/>
  <c r="U734" i="16"/>
  <c r="U702" i="16"/>
  <c r="U670" i="16"/>
  <c r="U638" i="16"/>
  <c r="U606" i="16"/>
  <c r="U574" i="16"/>
  <c r="U542" i="16"/>
  <c r="U510" i="16"/>
  <c r="U478" i="16"/>
  <c r="U446" i="16"/>
  <c r="U414" i="16"/>
  <c r="U382" i="16"/>
  <c r="U350" i="16"/>
  <c r="U318" i="16"/>
  <c r="U286" i="16"/>
  <c r="U254" i="16"/>
  <c r="U222" i="16"/>
  <c r="U190" i="16"/>
  <c r="U158" i="16"/>
  <c r="U126" i="16"/>
  <c r="U94" i="16"/>
  <c r="U62" i="16"/>
  <c r="U30" i="16"/>
  <c r="U1151" i="16"/>
  <c r="U1119" i="16"/>
  <c r="U1087" i="16"/>
  <c r="U1055" i="16"/>
  <c r="U1023" i="16"/>
  <c r="U991" i="16"/>
  <c r="U959" i="16"/>
  <c r="U927" i="16"/>
  <c r="U895" i="16"/>
  <c r="U863" i="16"/>
  <c r="U831" i="16"/>
  <c r="U799" i="16"/>
  <c r="U767" i="16"/>
  <c r="U735" i="16"/>
  <c r="U703" i="16"/>
  <c r="U671" i="16"/>
  <c r="U639" i="16"/>
  <c r="U607" i="16"/>
  <c r="U575" i="16"/>
  <c r="U543" i="16"/>
  <c r="U511" i="16"/>
  <c r="U479" i="16"/>
  <c r="U447" i="16"/>
  <c r="U415" i="16"/>
  <c r="U383" i="16"/>
  <c r="U351" i="16"/>
  <c r="U319" i="16"/>
  <c r="U287" i="16"/>
  <c r="U255" i="16"/>
  <c r="U223" i="16"/>
  <c r="U191" i="16"/>
  <c r="U159" i="16"/>
  <c r="U127" i="16"/>
  <c r="U95" i="16"/>
  <c r="U63" i="16"/>
  <c r="U31" i="16"/>
  <c r="D7" i="18"/>
  <c r="D5" i="18"/>
  <c r="D10" i="18"/>
  <c r="Z737" i="16"/>
  <c r="Z913" i="16"/>
  <c r="Z169" i="16"/>
  <c r="Z153" i="16"/>
  <c r="Z989" i="16"/>
  <c r="Z1128" i="16"/>
  <c r="Z577" i="16"/>
  <c r="Z185" i="16"/>
  <c r="Z777" i="16"/>
  <c r="Z513" i="16"/>
  <c r="Z257" i="16"/>
  <c r="C28" i="14"/>
  <c r="W355" i="12"/>
  <c r="W366" i="12"/>
  <c r="W357" i="12"/>
  <c r="W358" i="12"/>
  <c r="W369" i="12"/>
  <c r="W353" i="12"/>
  <c r="W374" i="12"/>
  <c r="W363" i="12"/>
  <c r="W371" i="12"/>
  <c r="W361" i="12"/>
  <c r="W359" i="12"/>
  <c r="W367" i="12"/>
  <c r="W364" i="12"/>
  <c r="W375" i="12"/>
  <c r="W354" i="12"/>
  <c r="W362" i="12"/>
  <c r="W368" i="12"/>
  <c r="W370" i="12"/>
  <c r="W356" i="12"/>
  <c r="W372" i="12"/>
  <c r="W373" i="12"/>
  <c r="W360" i="12"/>
  <c r="W365" i="12"/>
  <c r="W376" i="12"/>
  <c r="D7" i="14"/>
  <c r="E44" i="14"/>
  <c r="E43" i="14"/>
  <c r="D5" i="14"/>
  <c r="D10" i="14"/>
  <c r="B44" i="14"/>
  <c r="B43" i="14"/>
  <c r="T1156" i="16"/>
  <c r="T1140" i="16"/>
  <c r="T1124" i="16"/>
  <c r="T1108" i="16"/>
  <c r="T1092" i="16"/>
  <c r="T1076" i="16"/>
  <c r="T1060" i="16"/>
  <c r="T1044" i="16"/>
  <c r="T1157" i="16"/>
  <c r="T1135" i="16"/>
  <c r="T1114" i="16"/>
  <c r="T1093" i="16"/>
  <c r="T1071" i="16"/>
  <c r="T1050" i="16"/>
  <c r="T1152" i="16"/>
  <c r="T1136" i="16"/>
  <c r="T1120" i="16"/>
  <c r="T1104" i="16"/>
  <c r="T1088" i="16"/>
  <c r="T1072" i="16"/>
  <c r="T1056" i="16"/>
  <c r="T1040" i="16"/>
  <c r="T1151" i="16"/>
  <c r="T1130" i="16"/>
  <c r="T1109" i="16"/>
  <c r="T1087" i="16"/>
  <c r="T1066" i="16"/>
  <c r="T1045" i="16"/>
  <c r="T1026" i="16"/>
  <c r="T1010" i="16"/>
  <c r="T994" i="16"/>
  <c r="T978" i="16"/>
  <c r="T962" i="16"/>
  <c r="T946" i="16"/>
  <c r="T930" i="16"/>
  <c r="T914" i="16"/>
  <c r="T898" i="16"/>
  <c r="T882" i="16"/>
  <c r="T866" i="16"/>
  <c r="T850" i="16"/>
  <c r="T834" i="16"/>
  <c r="T818" i="16"/>
  <c r="T802" i="16"/>
  <c r="T786" i="16"/>
  <c r="T770" i="16"/>
  <c r="T754" i="16"/>
  <c r="T738" i="16"/>
  <c r="T1160" i="16"/>
  <c r="T1128" i="16"/>
  <c r="T1096" i="16"/>
  <c r="T1064" i="16"/>
  <c r="T1162" i="16"/>
  <c r="T1119" i="16"/>
  <c r="T1077" i="16"/>
  <c r="T1034" i="16"/>
  <c r="T1014" i="16"/>
  <c r="T990" i="16"/>
  <c r="T970" i="16"/>
  <c r="T950" i="16"/>
  <c r="T926" i="16"/>
  <c r="T906" i="16"/>
  <c r="T886" i="16"/>
  <c r="T862" i="16"/>
  <c r="T842" i="16"/>
  <c r="T822" i="16"/>
  <c r="T798" i="16"/>
  <c r="T778" i="16"/>
  <c r="T758" i="16"/>
  <c r="T734" i="16"/>
  <c r="T718" i="16"/>
  <c r="T702" i="16"/>
  <c r="T686" i="16"/>
  <c r="T670" i="16"/>
  <c r="T654" i="16"/>
  <c r="T638" i="16"/>
  <c r="T622" i="16"/>
  <c r="T1155" i="16"/>
  <c r="T1134" i="16"/>
  <c r="T1113" i="16"/>
  <c r="T1091" i="16"/>
  <c r="T1070" i="16"/>
  <c r="T1049" i="16"/>
  <c r="T1029" i="16"/>
  <c r="T1013" i="16"/>
  <c r="T997" i="16"/>
  <c r="T981" i="16"/>
  <c r="T965" i="16"/>
  <c r="T949" i="16"/>
  <c r="T933" i="16"/>
  <c r="T917" i="16"/>
  <c r="T901" i="16"/>
  <c r="T885" i="16"/>
  <c r="T869" i="16"/>
  <c r="T853" i="16"/>
  <c r="T837" i="16"/>
  <c r="T821" i="16"/>
  <c r="T805" i="16"/>
  <c r="T789" i="16"/>
  <c r="T773" i="16"/>
  <c r="T757" i="16"/>
  <c r="T741" i="16"/>
  <c r="T725" i="16"/>
  <c r="T709" i="16"/>
  <c r="T693" i="16"/>
  <c r="T677" i="16"/>
  <c r="T661" i="16"/>
  <c r="T645" i="16"/>
  <c r="T629" i="16"/>
  <c r="T613" i="16"/>
  <c r="T597" i="16"/>
  <c r="T581" i="16"/>
  <c r="T565" i="16"/>
  <c r="T549" i="16"/>
  <c r="T533" i="16"/>
  <c r="T517" i="16"/>
  <c r="T501" i="16"/>
  <c r="T485" i="16"/>
  <c r="T469" i="16"/>
  <c r="T453" i="16"/>
  <c r="T437" i="16"/>
  <c r="T421" i="16"/>
  <c r="T405" i="16"/>
  <c r="T389" i="16"/>
  <c r="T373" i="16"/>
  <c r="T357" i="16"/>
  <c r="T341" i="16"/>
  <c r="T325" i="16"/>
  <c r="T309" i="16"/>
  <c r="T293" i="16"/>
  <c r="T277" i="16"/>
  <c r="T261" i="16"/>
  <c r="T245" i="16"/>
  <c r="T229" i="16"/>
  <c r="T213" i="16"/>
  <c r="T197" i="16"/>
  <c r="T181" i="16"/>
  <c r="T165" i="16"/>
  <c r="T149" i="16"/>
  <c r="T133" i="16"/>
  <c r="T117" i="16"/>
  <c r="T101" i="16"/>
  <c r="T85" i="16"/>
  <c r="T69" i="16"/>
  <c r="T53" i="16"/>
  <c r="T37" i="16"/>
  <c r="T21" i="16"/>
  <c r="T5" i="16"/>
  <c r="T1143" i="16"/>
  <c r="T1122" i="16"/>
  <c r="T1101" i="16"/>
  <c r="T1079" i="16"/>
  <c r="T1058" i="16"/>
  <c r="T1037" i="16"/>
  <c r="T1020" i="16"/>
  <c r="T1004" i="16"/>
  <c r="T988" i="16"/>
  <c r="T972" i="16"/>
  <c r="T956" i="16"/>
  <c r="T940" i="16"/>
  <c r="T924" i="16"/>
  <c r="T908" i="16"/>
  <c r="T892" i="16"/>
  <c r="T876" i="16"/>
  <c r="T860" i="16"/>
  <c r="T844" i="16"/>
  <c r="T828" i="16"/>
  <c r="T812" i="16"/>
  <c r="T796" i="16"/>
  <c r="T780" i="16"/>
  <c r="T764" i="16"/>
  <c r="T748" i="16"/>
  <c r="T732" i="16"/>
  <c r="T716" i="16"/>
  <c r="T700" i="16"/>
  <c r="T684" i="16"/>
  <c r="T668" i="16"/>
  <c r="T652" i="16"/>
  <c r="T636" i="16"/>
  <c r="T620" i="16"/>
  <c r="T604" i="16"/>
  <c r="T588" i="16"/>
  <c r="T572" i="16"/>
  <c r="T556" i="16"/>
  <c r="T540" i="16"/>
  <c r="T524" i="16"/>
  <c r="T508" i="16"/>
  <c r="T492" i="16"/>
  <c r="T476" i="16"/>
  <c r="T460" i="16"/>
  <c r="T444" i="16"/>
  <c r="T428" i="16"/>
  <c r="T412" i="16"/>
  <c r="T396" i="16"/>
  <c r="T380" i="16"/>
  <c r="T364" i="16"/>
  <c r="T348" i="16"/>
  <c r="T332" i="16"/>
  <c r="T316" i="16"/>
  <c r="T300" i="16"/>
  <c r="T284" i="16"/>
  <c r="T268" i="16"/>
  <c r="T252" i="16"/>
  <c r="T236" i="16"/>
  <c r="T220" i="16"/>
  <c r="T204" i="16"/>
  <c r="T1147" i="16"/>
  <c r="T1126" i="16"/>
  <c r="T1105" i="16"/>
  <c r="T1083" i="16"/>
  <c r="T1062" i="16"/>
  <c r="T1041" i="16"/>
  <c r="T1023" i="16"/>
  <c r="T1007" i="16"/>
  <c r="T991" i="16"/>
  <c r="T975" i="16"/>
  <c r="T959" i="16"/>
  <c r="T943" i="16"/>
  <c r="T927" i="16"/>
  <c r="T911" i="16"/>
  <c r="T895" i="16"/>
  <c r="T879" i="16"/>
  <c r="T863" i="16"/>
  <c r="T847" i="16"/>
  <c r="T831" i="16"/>
  <c r="T815" i="16"/>
  <c r="T799" i="16"/>
  <c r="T783" i="16"/>
  <c r="T767" i="16"/>
  <c r="T751" i="16"/>
  <c r="T735" i="16"/>
  <c r="T719" i="16"/>
  <c r="T703" i="16"/>
  <c r="T687" i="16"/>
  <c r="T671" i="16"/>
  <c r="T655" i="16"/>
  <c r="T639" i="16"/>
  <c r="T623" i="16"/>
  <c r="T607" i="16"/>
  <c r="T591" i="16"/>
  <c r="T575" i="16"/>
  <c r="T559" i="16"/>
  <c r="T543" i="16"/>
  <c r="T527" i="16"/>
  <c r="T511" i="16"/>
  <c r="T495" i="16"/>
  <c r="T479" i="16"/>
  <c r="T463" i="16"/>
  <c r="T447" i="16"/>
  <c r="T431" i="16"/>
  <c r="T415" i="16"/>
  <c r="T399" i="16"/>
  <c r="T383" i="16"/>
  <c r="T367" i="16"/>
  <c r="T351" i="16"/>
  <c r="T335" i="16"/>
  <c r="T319" i="16"/>
  <c r="T303" i="16"/>
  <c r="T287" i="16"/>
  <c r="T271" i="16"/>
  <c r="T255" i="16"/>
  <c r="T239" i="16"/>
  <c r="T223" i="16"/>
  <c r="T207" i="16"/>
  <c r="T191" i="16"/>
  <c r="T175" i="16"/>
  <c r="T159" i="16"/>
  <c r="T143" i="16"/>
  <c r="T127" i="16"/>
  <c r="T111" i="16"/>
  <c r="T95" i="16"/>
  <c r="T79" i="16"/>
  <c r="T63" i="16"/>
  <c r="T47" i="16"/>
  <c r="T31" i="16"/>
  <c r="T15" i="16"/>
  <c r="T598" i="16"/>
  <c r="T534" i="16"/>
  <c r="T470" i="16"/>
  <c r="T406" i="16"/>
  <c r="T342" i="16"/>
  <c r="T278" i="16"/>
  <c r="T214" i="16"/>
  <c r="T174" i="16"/>
  <c r="T142" i="16"/>
  <c r="T110" i="16"/>
  <c r="T78" i="16"/>
  <c r="T46" i="16"/>
  <c r="T14" i="16"/>
  <c r="T578" i="16"/>
  <c r="T514" i="16"/>
  <c r="T450" i="16"/>
  <c r="T386" i="16"/>
  <c r="T322" i="16"/>
  <c r="T258" i="16"/>
  <c r="T196" i="16"/>
  <c r="T164" i="16"/>
  <c r="T132" i="16"/>
  <c r="T100" i="16"/>
  <c r="T68" i="16"/>
  <c r="T36" i="16"/>
  <c r="T4" i="16"/>
  <c r="T554" i="16"/>
  <c r="T490" i="16"/>
  <c r="T426" i="16"/>
  <c r="T362" i="16"/>
  <c r="T298" i="16"/>
  <c r="T234" i="16"/>
  <c r="T184" i="16"/>
  <c r="T152" i="16"/>
  <c r="T120" i="16"/>
  <c r="T88" i="16"/>
  <c r="T56" i="16"/>
  <c r="T24" i="16"/>
  <c r="T494" i="16"/>
  <c r="T238" i="16"/>
  <c r="T90" i="16"/>
  <c r="T542" i="16"/>
  <c r="T286" i="16"/>
  <c r="T114" i="16"/>
  <c r="T590" i="16"/>
  <c r="T334" i="16"/>
  <c r="T138" i="16"/>
  <c r="T10" i="16"/>
  <c r="T382" i="16"/>
  <c r="T162" i="16"/>
  <c r="T34" i="16"/>
  <c r="T1148" i="16"/>
  <c r="T1116" i="16"/>
  <c r="T1084" i="16"/>
  <c r="T1052" i="16"/>
  <c r="T1146" i="16"/>
  <c r="T1103" i="16"/>
  <c r="T1061" i="16"/>
  <c r="T1030" i="16"/>
  <c r="T1006" i="16"/>
  <c r="T986" i="16"/>
  <c r="T966" i="16"/>
  <c r="T942" i="16"/>
  <c r="T922" i="16"/>
  <c r="T902" i="16"/>
  <c r="T878" i="16"/>
  <c r="T858" i="16"/>
  <c r="T838" i="16"/>
  <c r="T814" i="16"/>
  <c r="T794" i="16"/>
  <c r="T774" i="16"/>
  <c r="T750" i="16"/>
  <c r="T730" i="16"/>
  <c r="T714" i="16"/>
  <c r="T698" i="16"/>
  <c r="T682" i="16"/>
  <c r="T666" i="16"/>
  <c r="T650" i="16"/>
  <c r="T634" i="16"/>
  <c r="T618" i="16"/>
  <c r="T1150" i="16"/>
  <c r="T1129" i="16"/>
  <c r="T1107" i="16"/>
  <c r="T1086" i="16"/>
  <c r="T1065" i="16"/>
  <c r="T1043" i="16"/>
  <c r="T1025" i="16"/>
  <c r="T1009" i="16"/>
  <c r="T993" i="16"/>
  <c r="T977" i="16"/>
  <c r="T961" i="16"/>
  <c r="T945" i="16"/>
  <c r="T929" i="16"/>
  <c r="T913" i="16"/>
  <c r="T897" i="16"/>
  <c r="T881" i="16"/>
  <c r="T865" i="16"/>
  <c r="T849" i="16"/>
  <c r="T833" i="16"/>
  <c r="T817" i="16"/>
  <c r="T801" i="16"/>
  <c r="T785" i="16"/>
  <c r="T769" i="16"/>
  <c r="T753" i="16"/>
  <c r="T737" i="16"/>
  <c r="T721" i="16"/>
  <c r="T705" i="16"/>
  <c r="T689" i="16"/>
  <c r="T673" i="16"/>
  <c r="T657" i="16"/>
  <c r="T641" i="16"/>
  <c r="T625" i="16"/>
  <c r="T609" i="16"/>
  <c r="T593" i="16"/>
  <c r="T577" i="16"/>
  <c r="T561" i="16"/>
  <c r="T545" i="16"/>
  <c r="T529" i="16"/>
  <c r="T513" i="16"/>
  <c r="T497" i="16"/>
  <c r="T481" i="16"/>
  <c r="T465" i="16"/>
  <c r="T449" i="16"/>
  <c r="T433" i="16"/>
  <c r="T417" i="16"/>
  <c r="T401" i="16"/>
  <c r="T385" i="16"/>
  <c r="T369" i="16"/>
  <c r="T353" i="16"/>
  <c r="T337" i="16"/>
  <c r="T321" i="16"/>
  <c r="T305" i="16"/>
  <c r="T289" i="16"/>
  <c r="T273" i="16"/>
  <c r="T257" i="16"/>
  <c r="T241" i="16"/>
  <c r="T225" i="16"/>
  <c r="T209" i="16"/>
  <c r="T193" i="16"/>
  <c r="T177" i="16"/>
  <c r="T161" i="16"/>
  <c r="T145" i="16"/>
  <c r="T129" i="16"/>
  <c r="T113" i="16"/>
  <c r="T97" i="16"/>
  <c r="T81" i="16"/>
  <c r="T65" i="16"/>
  <c r="T49" i="16"/>
  <c r="T33" i="16"/>
  <c r="T17" i="16"/>
  <c r="T1159" i="16"/>
  <c r="T1138" i="16"/>
  <c r="T1117" i="16"/>
  <c r="T1095" i="16"/>
  <c r="T1074" i="16"/>
  <c r="T1053" i="16"/>
  <c r="T1032" i="16"/>
  <c r="T1016" i="16"/>
  <c r="T1000" i="16"/>
  <c r="T984" i="16"/>
  <c r="T968" i="16"/>
  <c r="T952" i="16"/>
  <c r="T936" i="16"/>
  <c r="T920" i="16"/>
  <c r="T904" i="16"/>
  <c r="T888" i="16"/>
  <c r="T872" i="16"/>
  <c r="T856" i="16"/>
  <c r="T840" i="16"/>
  <c r="T824" i="16"/>
  <c r="T808" i="16"/>
  <c r="T792" i="16"/>
  <c r="T776" i="16"/>
  <c r="T760" i="16"/>
  <c r="T744" i="16"/>
  <c r="T728" i="16"/>
  <c r="T712" i="16"/>
  <c r="T696" i="16"/>
  <c r="T680" i="16"/>
  <c r="T664" i="16"/>
  <c r="T648" i="16"/>
  <c r="T632" i="16"/>
  <c r="T616" i="16"/>
  <c r="T600" i="16"/>
  <c r="T584" i="16"/>
  <c r="T568" i="16"/>
  <c r="T552" i="16"/>
  <c r="T536" i="16"/>
  <c r="T520" i="16"/>
  <c r="T504" i="16"/>
  <c r="T488" i="16"/>
  <c r="T472" i="16"/>
  <c r="T456" i="16"/>
  <c r="T440" i="16"/>
  <c r="T424" i="16"/>
  <c r="T408" i="16"/>
  <c r="T392" i="16"/>
  <c r="T376" i="16"/>
  <c r="T360" i="16"/>
  <c r="T344" i="16"/>
  <c r="T328" i="16"/>
  <c r="T312" i="16"/>
  <c r="T296" i="16"/>
  <c r="T280" i="16"/>
  <c r="T264" i="16"/>
  <c r="T248" i="16"/>
  <c r="T232" i="16"/>
  <c r="T216" i="16"/>
  <c r="T200" i="16"/>
  <c r="T1142" i="16"/>
  <c r="T1121" i="16"/>
  <c r="T1099" i="16"/>
  <c r="T1078" i="16"/>
  <c r="T1057" i="16"/>
  <c r="T1035" i="16"/>
  <c r="T1019" i="16"/>
  <c r="T1003" i="16"/>
  <c r="T987" i="16"/>
  <c r="T971" i="16"/>
  <c r="T955" i="16"/>
  <c r="T939" i="16"/>
  <c r="T923" i="16"/>
  <c r="T907" i="16"/>
  <c r="T891" i="16"/>
  <c r="T875" i="16"/>
  <c r="T859" i="16"/>
  <c r="T843" i="16"/>
  <c r="T827" i="16"/>
  <c r="T811" i="16"/>
  <c r="T795" i="16"/>
  <c r="T779" i="16"/>
  <c r="T763" i="16"/>
  <c r="T747" i="16"/>
  <c r="T731" i="16"/>
  <c r="T715" i="16"/>
  <c r="T699" i="16"/>
  <c r="T683" i="16"/>
  <c r="T667" i="16"/>
  <c r="T651" i="16"/>
  <c r="T635" i="16"/>
  <c r="T619" i="16"/>
  <c r="T603" i="16"/>
  <c r="T587" i="16"/>
  <c r="T571" i="16"/>
  <c r="T555" i="16"/>
  <c r="T539" i="16"/>
  <c r="T523" i="16"/>
  <c r="T507" i="16"/>
  <c r="T491" i="16"/>
  <c r="T475" i="16"/>
  <c r="T459" i="16"/>
  <c r="T443" i="16"/>
  <c r="T427" i="16"/>
  <c r="T411" i="16"/>
  <c r="T395" i="16"/>
  <c r="T379" i="16"/>
  <c r="T363" i="16"/>
  <c r="T347" i="16"/>
  <c r="T331" i="16"/>
  <c r="T315" i="16"/>
  <c r="T299" i="16"/>
  <c r="T283" i="16"/>
  <c r="T267" i="16"/>
  <c r="T251" i="16"/>
  <c r="T235" i="16"/>
  <c r="T219" i="16"/>
  <c r="T203" i="16"/>
  <c r="T187" i="16"/>
  <c r="T171" i="16"/>
  <c r="T155" i="16"/>
  <c r="T139" i="16"/>
  <c r="T123" i="16"/>
  <c r="T107" i="16"/>
  <c r="T91" i="16"/>
  <c r="T75" i="16"/>
  <c r="T59" i="16"/>
  <c r="T43" i="16"/>
  <c r="T27" i="16"/>
  <c r="T11" i="16"/>
  <c r="T582" i="16"/>
  <c r="T518" i="16"/>
  <c r="T454" i="16"/>
  <c r="T390" i="16"/>
  <c r="T326" i="16"/>
  <c r="T262" i="16"/>
  <c r="T198" i="16"/>
  <c r="T166" i="16"/>
  <c r="T134" i="16"/>
  <c r="T102" i="16"/>
  <c r="T70" i="16"/>
  <c r="T38" i="16"/>
  <c r="T6" i="16"/>
  <c r="T562" i="16"/>
  <c r="T498" i="16"/>
  <c r="T434" i="16"/>
  <c r="T370" i="16"/>
  <c r="T306" i="16"/>
  <c r="T242" i="16"/>
  <c r="T188" i="16"/>
  <c r="T156" i="16"/>
  <c r="T124" i="16"/>
  <c r="T92" i="16"/>
  <c r="T60" i="16"/>
  <c r="T28" i="16"/>
  <c r="T602" i="16"/>
  <c r="T538" i="16"/>
  <c r="T474" i="16"/>
  <c r="T410" i="16"/>
  <c r="T346" i="16"/>
  <c r="T282" i="16"/>
  <c r="T218" i="16"/>
  <c r="T176" i="16"/>
  <c r="T144" i="16"/>
  <c r="T112" i="16"/>
  <c r="T80" i="16"/>
  <c r="T48" i="16"/>
  <c r="T16" i="16"/>
  <c r="T430" i="16"/>
  <c r="T186" i="16"/>
  <c r="T58" i="16"/>
  <c r="T478" i="16"/>
  <c r="T222" i="16"/>
  <c r="T82" i="16"/>
  <c r="T526" i="16"/>
  <c r="T270" i="16"/>
  <c r="T106" i="16"/>
  <c r="T574" i="16"/>
  <c r="T318" i="16"/>
  <c r="T130" i="16"/>
  <c r="T2" i="16"/>
  <c r="T1144" i="16"/>
  <c r="T1112" i="16"/>
  <c r="T1080" i="16"/>
  <c r="T1048" i="16"/>
  <c r="T1141" i="16"/>
  <c r="T1098" i="16"/>
  <c r="T1055" i="16"/>
  <c r="T1022" i="16"/>
  <c r="T1002" i="16"/>
  <c r="T982" i="16"/>
  <c r="T958" i="16"/>
  <c r="T938" i="16"/>
  <c r="T918" i="16"/>
  <c r="T894" i="16"/>
  <c r="T874" i="16"/>
  <c r="T854" i="16"/>
  <c r="T830" i="16"/>
  <c r="T810" i="16"/>
  <c r="T790" i="16"/>
  <c r="T766" i="16"/>
  <c r="T746" i="16"/>
  <c r="T726" i="16"/>
  <c r="T710" i="16"/>
  <c r="T694" i="16"/>
  <c r="T678" i="16"/>
  <c r="T662" i="16"/>
  <c r="T646" i="16"/>
  <c r="T630" i="16"/>
  <c r="T614" i="16"/>
  <c r="T1145" i="16"/>
  <c r="T1123" i="16"/>
  <c r="T1102" i="16"/>
  <c r="T1081" i="16"/>
  <c r="T1059" i="16"/>
  <c r="T1038" i="16"/>
  <c r="T1021" i="16"/>
  <c r="T1005" i="16"/>
  <c r="T989" i="16"/>
  <c r="T973" i="16"/>
  <c r="T957" i="16"/>
  <c r="T941" i="16"/>
  <c r="T925" i="16"/>
  <c r="T909" i="16"/>
  <c r="T893" i="16"/>
  <c r="T877" i="16"/>
  <c r="T861" i="16"/>
  <c r="T845" i="16"/>
  <c r="T829" i="16"/>
  <c r="T813" i="16"/>
  <c r="T797" i="16"/>
  <c r="T781" i="16"/>
  <c r="T765" i="16"/>
  <c r="T749" i="16"/>
  <c r="T733" i="16"/>
  <c r="T717" i="16"/>
  <c r="T701" i="16"/>
  <c r="T685" i="16"/>
  <c r="T669" i="16"/>
  <c r="T653" i="16"/>
  <c r="T637" i="16"/>
  <c r="T621" i="16"/>
  <c r="T605" i="16"/>
  <c r="T589" i="16"/>
  <c r="T573" i="16"/>
  <c r="T557" i="16"/>
  <c r="T541" i="16"/>
  <c r="T525" i="16"/>
  <c r="T509" i="16"/>
  <c r="T493" i="16"/>
  <c r="T477" i="16"/>
  <c r="T461" i="16"/>
  <c r="T445" i="16"/>
  <c r="T429" i="16"/>
  <c r="T413" i="16"/>
  <c r="T397" i="16"/>
  <c r="T381" i="16"/>
  <c r="T365" i="16"/>
  <c r="T349" i="16"/>
  <c r="T333" i="16"/>
  <c r="T317" i="16"/>
  <c r="T301" i="16"/>
  <c r="T285" i="16"/>
  <c r="T269" i="16"/>
  <c r="T253" i="16"/>
  <c r="T237" i="16"/>
  <c r="T221" i="16"/>
  <c r="T205" i="16"/>
  <c r="T189" i="16"/>
  <c r="T173" i="16"/>
  <c r="T157" i="16"/>
  <c r="T141" i="16"/>
  <c r="T125" i="16"/>
  <c r="T109" i="16"/>
  <c r="T93" i="16"/>
  <c r="T77" i="16"/>
  <c r="T61" i="16"/>
  <c r="T45" i="16"/>
  <c r="T29" i="16"/>
  <c r="T13" i="16"/>
  <c r="T1154" i="16"/>
  <c r="T1133" i="16"/>
  <c r="T1111" i="16"/>
  <c r="T1090" i="16"/>
  <c r="T1069" i="16"/>
  <c r="T1047" i="16"/>
  <c r="T1028" i="16"/>
  <c r="T1012" i="16"/>
  <c r="T996" i="16"/>
  <c r="T980" i="16"/>
  <c r="T964" i="16"/>
  <c r="T948" i="16"/>
  <c r="T932" i="16"/>
  <c r="T916" i="16"/>
  <c r="T900" i="16"/>
  <c r="T884" i="16"/>
  <c r="T868" i="16"/>
  <c r="T852" i="16"/>
  <c r="T836" i="16"/>
  <c r="T820" i="16"/>
  <c r="T804" i="16"/>
  <c r="T788" i="16"/>
  <c r="T772" i="16"/>
  <c r="T756" i="16"/>
  <c r="T740" i="16"/>
  <c r="T724" i="16"/>
  <c r="T708" i="16"/>
  <c r="T692" i="16"/>
  <c r="T676" i="16"/>
  <c r="T660" i="16"/>
  <c r="T644" i="16"/>
  <c r="T628" i="16"/>
  <c r="T612" i="16"/>
  <c r="T596" i="16"/>
  <c r="T580" i="16"/>
  <c r="T564" i="16"/>
  <c r="T548" i="16"/>
  <c r="T532" i="16"/>
  <c r="T516" i="16"/>
  <c r="T500" i="16"/>
  <c r="T484" i="16"/>
  <c r="T468" i="16"/>
  <c r="T452" i="16"/>
  <c r="T436" i="16"/>
  <c r="T420" i="16"/>
  <c r="T404" i="16"/>
  <c r="T388" i="16"/>
  <c r="T372" i="16"/>
  <c r="T356" i="16"/>
  <c r="T340" i="16"/>
  <c r="T324" i="16"/>
  <c r="T308" i="16"/>
  <c r="T292" i="16"/>
  <c r="T276" i="16"/>
  <c r="T260" i="16"/>
  <c r="T244" i="16"/>
  <c r="T228" i="16"/>
  <c r="T212" i="16"/>
  <c r="T1158" i="16"/>
  <c r="T1137" i="16"/>
  <c r="T1115" i="16"/>
  <c r="T1094" i="16"/>
  <c r="T1073" i="16"/>
  <c r="T1051" i="16"/>
  <c r="T1031" i="16"/>
  <c r="T1015" i="16"/>
  <c r="T999" i="16"/>
  <c r="T983" i="16"/>
  <c r="T967" i="16"/>
  <c r="T951" i="16"/>
  <c r="T935" i="16"/>
  <c r="T919" i="16"/>
  <c r="T903" i="16"/>
  <c r="T887" i="16"/>
  <c r="T871" i="16"/>
  <c r="T855" i="16"/>
  <c r="T839" i="16"/>
  <c r="T823" i="16"/>
  <c r="T807" i="16"/>
  <c r="T791" i="16"/>
  <c r="T775" i="16"/>
  <c r="T759" i="16"/>
  <c r="T743" i="16"/>
  <c r="T727" i="16"/>
  <c r="T711" i="16"/>
  <c r="T695" i="16"/>
  <c r="T679" i="16"/>
  <c r="T663" i="16"/>
  <c r="T647" i="16"/>
  <c r="T631" i="16"/>
  <c r="T615" i="16"/>
  <c r="T599" i="16"/>
  <c r="T583" i="16"/>
  <c r="T567" i="16"/>
  <c r="T551" i="16"/>
  <c r="T535" i="16"/>
  <c r="T519" i="16"/>
  <c r="T503" i="16"/>
  <c r="T487" i="16"/>
  <c r="T471" i="16"/>
  <c r="T455" i="16"/>
  <c r="T439" i="16"/>
  <c r="T423" i="16"/>
  <c r="T407" i="16"/>
  <c r="T391" i="16"/>
  <c r="T375" i="16"/>
  <c r="T359" i="16"/>
  <c r="T343" i="16"/>
  <c r="T327" i="16"/>
  <c r="T311" i="16"/>
  <c r="T295" i="16"/>
  <c r="T279" i="16"/>
  <c r="T263" i="16"/>
  <c r="T247" i="16"/>
  <c r="T231" i="16"/>
  <c r="T215" i="16"/>
  <c r="T199" i="16"/>
  <c r="T183" i="16"/>
  <c r="T167" i="16"/>
  <c r="T151" i="16"/>
  <c r="T135" i="16"/>
  <c r="T119" i="16"/>
  <c r="T103" i="16"/>
  <c r="T87" i="16"/>
  <c r="T71" i="16"/>
  <c r="T55" i="16"/>
  <c r="T39" i="16"/>
  <c r="T23" i="16"/>
  <c r="T7" i="16"/>
  <c r="T566" i="16"/>
  <c r="T502" i="16"/>
  <c r="T438" i="16"/>
  <c r="T374" i="16"/>
  <c r="T310" i="16"/>
  <c r="T246" i="16"/>
  <c r="T190" i="16"/>
  <c r="T158" i="16"/>
  <c r="T126" i="16"/>
  <c r="T94" i="16"/>
  <c r="T62" i="16"/>
  <c r="T30" i="16"/>
  <c r="T610" i="16"/>
  <c r="T546" i="16"/>
  <c r="T482" i="16"/>
  <c r="T418" i="16"/>
  <c r="T354" i="16"/>
  <c r="T290" i="16"/>
  <c r="T226" i="16"/>
  <c r="T180" i="16"/>
  <c r="T148" i="16"/>
  <c r="T116" i="16"/>
  <c r="T84" i="16"/>
  <c r="T52" i="16"/>
  <c r="T20" i="16"/>
  <c r="T586" i="16"/>
  <c r="T522" i="16"/>
  <c r="T458" i="16"/>
  <c r="T394" i="16"/>
  <c r="T330" i="16"/>
  <c r="T266" i="16"/>
  <c r="T202" i="16"/>
  <c r="T168" i="16"/>
  <c r="T136" i="16"/>
  <c r="T104" i="16"/>
  <c r="T72" i="16"/>
  <c r="T40" i="16"/>
  <c r="T8" i="16"/>
  <c r="T366" i="16"/>
  <c r="T154" i="16"/>
  <c r="T26" i="16"/>
  <c r="T414" i="16"/>
  <c r="T178" i="16"/>
  <c r="T50" i="16"/>
  <c r="T462" i="16"/>
  <c r="T206" i="16"/>
  <c r="T74" i="16"/>
  <c r="T510" i="16"/>
  <c r="T254" i="16"/>
  <c r="T98" i="16"/>
  <c r="T1132" i="16"/>
  <c r="T1100" i="16"/>
  <c r="T1068" i="16"/>
  <c r="T1036" i="16"/>
  <c r="T1125" i="16"/>
  <c r="T1082" i="16"/>
  <c r="T1039" i="16"/>
  <c r="T1018" i="16"/>
  <c r="T998" i="16"/>
  <c r="T974" i="16"/>
  <c r="T954" i="16"/>
  <c r="T934" i="16"/>
  <c r="T910" i="16"/>
  <c r="T890" i="16"/>
  <c r="T870" i="16"/>
  <c r="T846" i="16"/>
  <c r="T826" i="16"/>
  <c r="T806" i="16"/>
  <c r="T782" i="16"/>
  <c r="T762" i="16"/>
  <c r="T742" i="16"/>
  <c r="T722" i="16"/>
  <c r="T706" i="16"/>
  <c r="T690" i="16"/>
  <c r="T674" i="16"/>
  <c r="T658" i="16"/>
  <c r="T642" i="16"/>
  <c r="T626" i="16"/>
  <c r="T1161" i="16"/>
  <c r="T1139" i="16"/>
  <c r="T1118" i="16"/>
  <c r="T1097" i="16"/>
  <c r="T1075" i="16"/>
  <c r="T1054" i="16"/>
  <c r="T1033" i="16"/>
  <c r="T1017" i="16"/>
  <c r="T1001" i="16"/>
  <c r="T985" i="16"/>
  <c r="T969" i="16"/>
  <c r="T953" i="16"/>
  <c r="T937" i="16"/>
  <c r="T921" i="16"/>
  <c r="T905" i="16"/>
  <c r="T889" i="16"/>
  <c r="T873" i="16"/>
  <c r="T857" i="16"/>
  <c r="T841" i="16"/>
  <c r="T825" i="16"/>
  <c r="T809" i="16"/>
  <c r="T793" i="16"/>
  <c r="T777" i="16"/>
  <c r="T761" i="16"/>
  <c r="T745" i="16"/>
  <c r="T729" i="16"/>
  <c r="T713" i="16"/>
  <c r="T697" i="16"/>
  <c r="T681" i="16"/>
  <c r="T665" i="16"/>
  <c r="T649" i="16"/>
  <c r="T633" i="16"/>
  <c r="T617" i="16"/>
  <c r="T601" i="16"/>
  <c r="T585" i="16"/>
  <c r="T569" i="16"/>
  <c r="T553" i="16"/>
  <c r="T537" i="16"/>
  <c r="T521" i="16"/>
  <c r="T505" i="16"/>
  <c r="T489" i="16"/>
  <c r="T473" i="16"/>
  <c r="T457" i="16"/>
  <c r="T441" i="16"/>
  <c r="T425" i="16"/>
  <c r="T409" i="16"/>
  <c r="T393" i="16"/>
  <c r="T377" i="16"/>
  <c r="T361" i="16"/>
  <c r="T345" i="16"/>
  <c r="T329" i="16"/>
  <c r="T313" i="16"/>
  <c r="T297" i="16"/>
  <c r="T281" i="16"/>
  <c r="T265" i="16"/>
  <c r="T249" i="16"/>
  <c r="T233" i="16"/>
  <c r="T217" i="16"/>
  <c r="T201" i="16"/>
  <c r="T185" i="16"/>
  <c r="T169" i="16"/>
  <c r="T153" i="16"/>
  <c r="T137" i="16"/>
  <c r="T121" i="16"/>
  <c r="T105" i="16"/>
  <c r="T89" i="16"/>
  <c r="T73" i="16"/>
  <c r="T57" i="16"/>
  <c r="T41" i="16"/>
  <c r="T25" i="16"/>
  <c r="T9" i="16"/>
  <c r="T1149" i="16"/>
  <c r="T1127" i="16"/>
  <c r="T1106" i="16"/>
  <c r="T1085" i="16"/>
  <c r="T1063" i="16"/>
  <c r="T1042" i="16"/>
  <c r="T1024" i="16"/>
  <c r="T1008" i="16"/>
  <c r="T992" i="16"/>
  <c r="T976" i="16"/>
  <c r="T960" i="16"/>
  <c r="T944" i="16"/>
  <c r="T928" i="16"/>
  <c r="T912" i="16"/>
  <c r="T896" i="16"/>
  <c r="T880" i="16"/>
  <c r="T864" i="16"/>
  <c r="T848" i="16"/>
  <c r="T832" i="16"/>
  <c r="T816" i="16"/>
  <c r="T800" i="16"/>
  <c r="T784" i="16"/>
  <c r="T768" i="16"/>
  <c r="T752" i="16"/>
  <c r="T736" i="16"/>
  <c r="T720" i="16"/>
  <c r="T704" i="16"/>
  <c r="T688" i="16"/>
  <c r="T672" i="16"/>
  <c r="T656" i="16"/>
  <c r="T640" i="16"/>
  <c r="T624" i="16"/>
  <c r="T608" i="16"/>
  <c r="T592" i="16"/>
  <c r="T576" i="16"/>
  <c r="T560" i="16"/>
  <c r="T544" i="16"/>
  <c r="T528" i="16"/>
  <c r="T512" i="16"/>
  <c r="T496" i="16"/>
  <c r="T480" i="16"/>
  <c r="T464" i="16"/>
  <c r="T448" i="16"/>
  <c r="T432" i="16"/>
  <c r="T416" i="16"/>
  <c r="T400" i="16"/>
  <c r="T384" i="16"/>
  <c r="T368" i="16"/>
  <c r="T352" i="16"/>
  <c r="T336" i="16"/>
  <c r="T320" i="16"/>
  <c r="T304" i="16"/>
  <c r="T288" i="16"/>
  <c r="T272" i="16"/>
  <c r="T256" i="16"/>
  <c r="T240" i="16"/>
  <c r="T224" i="16"/>
  <c r="T208" i="16"/>
  <c r="T1153" i="16"/>
  <c r="T1131" i="16"/>
  <c r="T1110" i="16"/>
  <c r="T1089" i="16"/>
  <c r="T1067" i="16"/>
  <c r="T1046" i="16"/>
  <c r="T1027" i="16"/>
  <c r="T1011" i="16"/>
  <c r="T995" i="16"/>
  <c r="T979" i="16"/>
  <c r="T963" i="16"/>
  <c r="T947" i="16"/>
  <c r="T931" i="16"/>
  <c r="T915" i="16"/>
  <c r="T899" i="16"/>
  <c r="T883" i="16"/>
  <c r="T867" i="16"/>
  <c r="T851" i="16"/>
  <c r="T835" i="16"/>
  <c r="T819" i="16"/>
  <c r="T803" i="16"/>
  <c r="T787" i="16"/>
  <c r="T771" i="16"/>
  <c r="T755" i="16"/>
  <c r="T739" i="16"/>
  <c r="T723" i="16"/>
  <c r="T707" i="16"/>
  <c r="T691" i="16"/>
  <c r="T675" i="16"/>
  <c r="T659" i="16"/>
  <c r="T643" i="16"/>
  <c r="T627" i="16"/>
  <c r="T611" i="16"/>
  <c r="T595" i="16"/>
  <c r="T579" i="16"/>
  <c r="T563" i="16"/>
  <c r="T547" i="16"/>
  <c r="T531" i="16"/>
  <c r="T515" i="16"/>
  <c r="T499" i="16"/>
  <c r="T483" i="16"/>
  <c r="T467" i="16"/>
  <c r="T451" i="16"/>
  <c r="T435" i="16"/>
  <c r="T419" i="16"/>
  <c r="T403" i="16"/>
  <c r="T387" i="16"/>
  <c r="T371" i="16"/>
  <c r="T355" i="16"/>
  <c r="T339" i="16"/>
  <c r="T323" i="16"/>
  <c r="T307" i="16"/>
  <c r="T291" i="16"/>
  <c r="T275" i="16"/>
  <c r="T259" i="16"/>
  <c r="T243" i="16"/>
  <c r="T227" i="16"/>
  <c r="T211" i="16"/>
  <c r="T195" i="16"/>
  <c r="T179" i="16"/>
  <c r="T163" i="16"/>
  <c r="T147" i="16"/>
  <c r="T131" i="16"/>
  <c r="T115" i="16"/>
  <c r="T99" i="16"/>
  <c r="T83" i="16"/>
  <c r="T67" i="16"/>
  <c r="T51" i="16"/>
  <c r="T35" i="16"/>
  <c r="T19" i="16"/>
  <c r="T3" i="16"/>
  <c r="T550" i="16"/>
  <c r="T486" i="16"/>
  <c r="T422" i="16"/>
  <c r="T358" i="16"/>
  <c r="T294" i="16"/>
  <c r="T230" i="16"/>
  <c r="T182" i="16"/>
  <c r="T150" i="16"/>
  <c r="T118" i="16"/>
  <c r="T86" i="16"/>
  <c r="T54" i="16"/>
  <c r="T22" i="16"/>
  <c r="T594" i="16"/>
  <c r="T530" i="16"/>
  <c r="T466" i="16"/>
  <c r="T402" i="16"/>
  <c r="T338" i="16"/>
  <c r="T274" i="16"/>
  <c r="T210" i="16"/>
  <c r="T172" i="16"/>
  <c r="T140" i="16"/>
  <c r="T108" i="16"/>
  <c r="T76" i="16"/>
  <c r="T44" i="16"/>
  <c r="T12" i="16"/>
  <c r="T570" i="16"/>
  <c r="T506" i="16"/>
  <c r="T442" i="16"/>
  <c r="T378" i="16"/>
  <c r="T314" i="16"/>
  <c r="T250" i="16"/>
  <c r="T192" i="16"/>
  <c r="T160" i="16"/>
  <c r="T128" i="16"/>
  <c r="T96" i="16"/>
  <c r="T64" i="16"/>
  <c r="T32" i="16"/>
  <c r="T558" i="16"/>
  <c r="T302" i="16"/>
  <c r="T122" i="16"/>
  <c r="T606" i="16"/>
  <c r="T350" i="16"/>
  <c r="T146" i="16"/>
  <c r="T18" i="16"/>
  <c r="T398" i="16"/>
  <c r="T170" i="16"/>
  <c r="T42" i="16"/>
  <c r="T446" i="16"/>
  <c r="T194" i="16"/>
  <c r="T66" i="16"/>
  <c r="Z689" i="16"/>
  <c r="E8" i="6"/>
  <c r="E9" i="6"/>
  <c r="F14" i="6"/>
  <c r="M7" i="16"/>
  <c r="M19" i="16"/>
  <c r="M30" i="16"/>
  <c r="M39" i="16"/>
  <c r="M51" i="16"/>
  <c r="M62" i="16"/>
  <c r="M70" i="16"/>
  <c r="M78" i="16"/>
  <c r="M84" i="16"/>
  <c r="M91" i="16"/>
  <c r="M99" i="16"/>
  <c r="M106" i="16"/>
  <c r="M112" i="16"/>
  <c r="M120" i="16"/>
  <c r="M125" i="16"/>
  <c r="M130" i="16"/>
  <c r="M136" i="16"/>
  <c r="M141" i="16"/>
  <c r="M146" i="16"/>
  <c r="M152" i="16"/>
  <c r="M157" i="16"/>
  <c r="M162" i="16"/>
  <c r="M168" i="16"/>
  <c r="M173" i="16"/>
  <c r="M178" i="16"/>
  <c r="M184" i="16"/>
  <c r="M189" i="16"/>
  <c r="M194" i="16"/>
  <c r="M200" i="16"/>
  <c r="M205" i="16"/>
  <c r="M210" i="16"/>
  <c r="M216" i="16"/>
  <c r="M221" i="16"/>
  <c r="M226" i="16"/>
  <c r="M232" i="16"/>
  <c r="M237" i="16"/>
  <c r="M242" i="16"/>
  <c r="M246" i="16"/>
  <c r="M250" i="16"/>
  <c r="M254" i="16"/>
  <c r="M258" i="16"/>
  <c r="M262" i="16"/>
  <c r="M266" i="16"/>
  <c r="M270" i="16"/>
  <c r="M274" i="16"/>
  <c r="M278" i="16"/>
  <c r="M282" i="16"/>
  <c r="M286" i="16"/>
  <c r="M290" i="16"/>
  <c r="M294" i="16"/>
  <c r="M298" i="16"/>
  <c r="M302" i="16"/>
  <c r="M306" i="16"/>
  <c r="M310" i="16"/>
  <c r="M314" i="16"/>
  <c r="M318" i="16"/>
  <c r="M322" i="16"/>
  <c r="M326" i="16"/>
  <c r="M330" i="16"/>
  <c r="M334" i="16"/>
  <c r="M338" i="16"/>
  <c r="M342" i="16"/>
  <c r="M346" i="16"/>
  <c r="M350" i="16"/>
  <c r="M354" i="16"/>
  <c r="M358" i="16"/>
  <c r="M362" i="16"/>
  <c r="M366" i="16"/>
  <c r="M370" i="16"/>
  <c r="M374" i="16"/>
  <c r="M378" i="16"/>
  <c r="M382" i="16"/>
  <c r="M386" i="16"/>
  <c r="M390" i="16"/>
  <c r="M394" i="16"/>
  <c r="M398" i="16"/>
  <c r="M402" i="16"/>
  <c r="M406" i="16"/>
  <c r="M410" i="16"/>
  <c r="M414" i="16"/>
  <c r="M418" i="16"/>
  <c r="M422" i="16"/>
  <c r="M426" i="16"/>
  <c r="M430" i="16"/>
  <c r="M434" i="16"/>
  <c r="M438" i="16"/>
  <c r="M10" i="16"/>
  <c r="M3" i="16"/>
  <c r="M15" i="16"/>
  <c r="M31" i="16"/>
  <c r="M46" i="16"/>
  <c r="M59" i="16"/>
  <c r="M72" i="16"/>
  <c r="M80" i="16"/>
  <c r="M90" i="16"/>
  <c r="M100" i="16"/>
  <c r="M22" i="16"/>
  <c r="M38" i="16"/>
  <c r="M55" i="16"/>
  <c r="M74" i="16"/>
  <c r="M86" i="16"/>
  <c r="M96" i="16"/>
  <c r="M110" i="16"/>
  <c r="M118" i="16"/>
  <c r="M126" i="16"/>
  <c r="M133" i="16"/>
  <c r="M140" i="16"/>
  <c r="M148" i="16"/>
  <c r="M154" i="16"/>
  <c r="M161" i="16"/>
  <c r="M169" i="16"/>
  <c r="M176" i="16"/>
  <c r="M182" i="16"/>
  <c r="M190" i="16"/>
  <c r="M197" i="16"/>
  <c r="M204" i="16"/>
  <c r="M212" i="16"/>
  <c r="M218" i="16"/>
  <c r="M225" i="16"/>
  <c r="M233" i="16"/>
  <c r="M240" i="16"/>
  <c r="M245" i="16"/>
  <c r="M251" i="16"/>
  <c r="M256" i="16"/>
  <c r="M261" i="16"/>
  <c r="M267" i="16"/>
  <c r="M272" i="16"/>
  <c r="M277" i="16"/>
  <c r="M283" i="16"/>
  <c r="M288" i="16"/>
  <c r="M293" i="16"/>
  <c r="M299" i="16"/>
  <c r="M304" i="16"/>
  <c r="M309" i="16"/>
  <c r="M315" i="16"/>
  <c r="M320" i="16"/>
  <c r="M325" i="16"/>
  <c r="M331" i="16"/>
  <c r="M336" i="16"/>
  <c r="M341" i="16"/>
  <c r="M347" i="16"/>
  <c r="M352" i="16"/>
  <c r="M357" i="16"/>
  <c r="M363" i="16"/>
  <c r="M368" i="16"/>
  <c r="M373" i="16"/>
  <c r="M379" i="16"/>
  <c r="M384" i="16"/>
  <c r="M389" i="16"/>
  <c r="M14" i="16"/>
  <c r="M43" i="16"/>
  <c r="M67" i="16"/>
  <c r="M83" i="16"/>
  <c r="M102" i="16"/>
  <c r="M115" i="16"/>
  <c r="M124" i="16"/>
  <c r="M134" i="16"/>
  <c r="M144" i="16"/>
  <c r="M153" i="16"/>
  <c r="M164" i="16"/>
  <c r="M172" i="16"/>
  <c r="M181" i="16"/>
  <c r="M192" i="16"/>
  <c r="M201" i="16"/>
  <c r="M209" i="16"/>
  <c r="M220" i="16"/>
  <c r="M229" i="16"/>
  <c r="M238" i="16"/>
  <c r="M247" i="16"/>
  <c r="M253" i="16"/>
  <c r="M260" i="16"/>
  <c r="M268" i="16"/>
  <c r="M275" i="16"/>
  <c r="M281" i="16"/>
  <c r="M289" i="16"/>
  <c r="M296" i="16"/>
  <c r="M303" i="16"/>
  <c r="M311" i="16"/>
  <c r="M317" i="16"/>
  <c r="M324" i="16"/>
  <c r="M332" i="16"/>
  <c r="M339" i="16"/>
  <c r="M345" i="16"/>
  <c r="M353" i="16"/>
  <c r="M360" i="16"/>
  <c r="M367" i="16"/>
  <c r="M375" i="16"/>
  <c r="M381" i="16"/>
  <c r="M388" i="16"/>
  <c r="M395" i="16"/>
  <c r="M400" i="16"/>
  <c r="M405" i="16"/>
  <c r="M411" i="16"/>
  <c r="M416" i="16"/>
  <c r="M421" i="16"/>
  <c r="M427" i="16"/>
  <c r="M432" i="16"/>
  <c r="M437" i="16"/>
  <c r="M442" i="16"/>
  <c r="M446" i="16"/>
  <c r="M450" i="16"/>
  <c r="M454" i="16"/>
  <c r="M458" i="16"/>
  <c r="M462" i="16"/>
  <c r="M466" i="16"/>
  <c r="M470" i="16"/>
  <c r="M474" i="16"/>
  <c r="M478" i="16"/>
  <c r="M482" i="16"/>
  <c r="M486" i="16"/>
  <c r="M490" i="16"/>
  <c r="M494" i="16"/>
  <c r="M498" i="16"/>
  <c r="M502" i="16"/>
  <c r="M506" i="16"/>
  <c r="M510" i="16"/>
  <c r="M514" i="16"/>
  <c r="M518" i="16"/>
  <c r="M522" i="16"/>
  <c r="M526" i="16"/>
  <c r="M530" i="16"/>
  <c r="M534" i="16"/>
  <c r="M538" i="16"/>
  <c r="M542" i="16"/>
  <c r="M546" i="16"/>
  <c r="M550" i="16"/>
  <c r="M554" i="16"/>
  <c r="M558" i="16"/>
  <c r="M562" i="16"/>
  <c r="M566" i="16"/>
  <c r="M570" i="16"/>
  <c r="M574" i="16"/>
  <c r="M578" i="16"/>
  <c r="M582" i="16"/>
  <c r="M586" i="16"/>
  <c r="M590" i="16"/>
  <c r="M594" i="16"/>
  <c r="M598" i="16"/>
  <c r="M602" i="16"/>
  <c r="M606" i="16"/>
  <c r="M610" i="16"/>
  <c r="M614" i="16"/>
  <c r="M618" i="16"/>
  <c r="M622" i="16"/>
  <c r="M626" i="16"/>
  <c r="M630" i="16"/>
  <c r="M634" i="16"/>
  <c r="M638" i="16"/>
  <c r="M642" i="16"/>
  <c r="M646" i="16"/>
  <c r="M650" i="16"/>
  <c r="M654" i="16"/>
  <c r="M658" i="16"/>
  <c r="M662" i="16"/>
  <c r="M666" i="16"/>
  <c r="M670" i="16"/>
  <c r="M674" i="16"/>
  <c r="M678" i="16"/>
  <c r="M682" i="16"/>
  <c r="M686" i="16"/>
  <c r="M690" i="16"/>
  <c r="M694" i="16"/>
  <c r="M698" i="16"/>
  <c r="M702" i="16"/>
  <c r="M706" i="16"/>
  <c r="M710" i="16"/>
  <c r="M714" i="16"/>
  <c r="M718" i="16"/>
  <c r="M722" i="16"/>
  <c r="M726" i="16"/>
  <c r="M730" i="16"/>
  <c r="M734" i="16"/>
  <c r="M738" i="16"/>
  <c r="M742" i="16"/>
  <c r="M746" i="16"/>
  <c r="M750" i="16"/>
  <c r="M754" i="16"/>
  <c r="M758" i="16"/>
  <c r="M762" i="16"/>
  <c r="M766" i="16"/>
  <c r="M770" i="16"/>
  <c r="M774" i="16"/>
  <c r="M778" i="16"/>
  <c r="M782" i="16"/>
  <c r="M786" i="16"/>
  <c r="M790" i="16"/>
  <c r="M794" i="16"/>
  <c r="M798" i="16"/>
  <c r="M802" i="16"/>
  <c r="M806" i="16"/>
  <c r="M810" i="16"/>
  <c r="M814" i="16"/>
  <c r="M818" i="16"/>
  <c r="M822" i="16"/>
  <c r="M826" i="16"/>
  <c r="M830" i="16"/>
  <c r="M834" i="16"/>
  <c r="M838" i="16"/>
  <c r="M842" i="16"/>
  <c r="M846" i="16"/>
  <c r="M850" i="16"/>
  <c r="M854" i="16"/>
  <c r="M858" i="16"/>
  <c r="M862" i="16"/>
  <c r="M866" i="16"/>
  <c r="M870" i="16"/>
  <c r="M874" i="16"/>
  <c r="M878" i="16"/>
  <c r="M882" i="16"/>
  <c r="M886" i="16"/>
  <c r="M890" i="16"/>
  <c r="M894" i="16"/>
  <c r="M898" i="16"/>
  <c r="M902" i="16"/>
  <c r="M906" i="16"/>
  <c r="M910" i="16"/>
  <c r="M914" i="16"/>
  <c r="M918" i="16"/>
  <c r="M922" i="16"/>
  <c r="M926" i="16"/>
  <c r="M930" i="16"/>
  <c r="M934" i="16"/>
  <c r="M938" i="16"/>
  <c r="M942" i="16"/>
  <c r="M946" i="16"/>
  <c r="M950" i="16"/>
  <c r="M954" i="16"/>
  <c r="M958" i="16"/>
  <c r="M962" i="16"/>
  <c r="M966" i="16"/>
  <c r="M970" i="16"/>
  <c r="M974" i="16"/>
  <c r="M978" i="16"/>
  <c r="M982" i="16"/>
  <c r="M986" i="16"/>
  <c r="M990" i="16"/>
  <c r="M994" i="16"/>
  <c r="M998" i="16"/>
  <c r="M1002" i="16"/>
  <c r="M1006" i="16"/>
  <c r="M1010" i="16"/>
  <c r="M1014" i="16"/>
  <c r="M1018" i="16"/>
  <c r="M1022" i="16"/>
  <c r="M1026" i="16"/>
  <c r="M1030" i="16"/>
  <c r="M1034" i="16"/>
  <c r="M1038" i="16"/>
  <c r="M1042" i="16"/>
  <c r="M1046" i="16"/>
  <c r="M1050" i="16"/>
  <c r="M1054" i="16"/>
  <c r="M1058" i="16"/>
  <c r="M1062" i="16"/>
  <c r="M1066" i="16"/>
  <c r="M1070" i="16"/>
  <c r="M1074" i="16"/>
  <c r="M1078" i="16"/>
  <c r="M1082" i="16"/>
  <c r="M1086" i="16"/>
  <c r="M1090" i="16"/>
  <c r="M1094" i="16"/>
  <c r="M1098" i="16"/>
  <c r="M1102" i="16"/>
  <c r="M1106" i="16"/>
  <c r="M1110" i="16"/>
  <c r="M1114" i="16"/>
  <c r="M1118" i="16"/>
  <c r="M1122" i="16"/>
  <c r="M1126" i="16"/>
  <c r="M1130" i="16"/>
  <c r="M1134" i="16"/>
  <c r="M1138" i="16"/>
  <c r="M1142" i="16"/>
  <c r="B14" i="15"/>
  <c r="B18" i="15"/>
  <c r="B22" i="15"/>
  <c r="B26" i="15"/>
  <c r="B30" i="15"/>
  <c r="B34" i="15"/>
  <c r="M23" i="16"/>
  <c r="M47" i="16"/>
  <c r="M68" i="16"/>
  <c r="M88" i="16"/>
  <c r="M104" i="16"/>
  <c r="M116" i="16"/>
  <c r="M128" i="16"/>
  <c r="M137" i="16"/>
  <c r="M145" i="16"/>
  <c r="M156" i="16"/>
  <c r="M165" i="16"/>
  <c r="M174" i="16"/>
  <c r="M185" i="16"/>
  <c r="M193" i="16"/>
  <c r="M202" i="16"/>
  <c r="M213" i="16"/>
  <c r="M222" i="16"/>
  <c r="M230" i="16"/>
  <c r="M241" i="16"/>
  <c r="M248" i="16"/>
  <c r="M255" i="16"/>
  <c r="M263" i="16"/>
  <c r="M269" i="16"/>
  <c r="M276" i="16"/>
  <c r="M284" i="16"/>
  <c r="M291" i="16"/>
  <c r="M297" i="16"/>
  <c r="M305" i="16"/>
  <c r="M312" i="16"/>
  <c r="M319" i="16"/>
  <c r="M327" i="16"/>
  <c r="M333" i="16"/>
  <c r="M340" i="16"/>
  <c r="M348" i="16"/>
  <c r="M355" i="16"/>
  <c r="M361" i="16"/>
  <c r="M369" i="16"/>
  <c r="M376" i="16"/>
  <c r="M383" i="16"/>
  <c r="M391" i="16"/>
  <c r="M396" i="16"/>
  <c r="M401" i="16"/>
  <c r="M407" i="16"/>
  <c r="M412" i="16"/>
  <c r="M417" i="16"/>
  <c r="M423" i="16"/>
  <c r="M428" i="16"/>
  <c r="M433" i="16"/>
  <c r="M439" i="16"/>
  <c r="M443" i="16"/>
  <c r="M447" i="16"/>
  <c r="M451" i="16"/>
  <c r="M455" i="16"/>
  <c r="M459" i="16"/>
  <c r="M463" i="16"/>
  <c r="M467" i="16"/>
  <c r="M471" i="16"/>
  <c r="M475" i="16"/>
  <c r="M479" i="16"/>
  <c r="M483" i="16"/>
  <c r="M487" i="16"/>
  <c r="M491" i="16"/>
  <c r="M495" i="16"/>
  <c r="M499" i="16"/>
  <c r="M503" i="16"/>
  <c r="M507" i="16"/>
  <c r="M511" i="16"/>
  <c r="M515" i="16"/>
  <c r="M519" i="16"/>
  <c r="M523" i="16"/>
  <c r="M527" i="16"/>
  <c r="M531" i="16"/>
  <c r="M535" i="16"/>
  <c r="M539" i="16"/>
  <c r="M543" i="16"/>
  <c r="M547" i="16"/>
  <c r="M551" i="16"/>
  <c r="M555" i="16"/>
  <c r="M559" i="16"/>
  <c r="M563" i="16"/>
  <c r="M567" i="16"/>
  <c r="M571" i="16"/>
  <c r="M575" i="16"/>
  <c r="M579" i="16"/>
  <c r="M583" i="16"/>
  <c r="M587" i="16"/>
  <c r="M591" i="16"/>
  <c r="M595" i="16"/>
  <c r="M599" i="16"/>
  <c r="M603" i="16"/>
  <c r="M607" i="16"/>
  <c r="M611" i="16"/>
  <c r="M615" i="16"/>
  <c r="M619" i="16"/>
  <c r="M623" i="16"/>
  <c r="M627" i="16"/>
  <c r="M631" i="16"/>
  <c r="M635" i="16"/>
  <c r="M639" i="16"/>
  <c r="M643" i="16"/>
  <c r="M647" i="16"/>
  <c r="M651" i="16"/>
  <c r="M655" i="16"/>
  <c r="M659" i="16"/>
  <c r="M663" i="16"/>
  <c r="M667" i="16"/>
  <c r="M671" i="16"/>
  <c r="M675" i="16"/>
  <c r="M679" i="16"/>
  <c r="M683" i="16"/>
  <c r="M687" i="16"/>
  <c r="M691" i="16"/>
  <c r="M695" i="16"/>
  <c r="M699" i="16"/>
  <c r="M703" i="16"/>
  <c r="M707" i="16"/>
  <c r="M711" i="16"/>
  <c r="M715" i="16"/>
  <c r="M719" i="16"/>
  <c r="M723" i="16"/>
  <c r="M727" i="16"/>
  <c r="M731" i="16"/>
  <c r="M735" i="16"/>
  <c r="M739" i="16"/>
  <c r="M743" i="16"/>
  <c r="M747" i="16"/>
  <c r="M751" i="16"/>
  <c r="M755" i="16"/>
  <c r="M759" i="16"/>
  <c r="M763" i="16"/>
  <c r="M767" i="16"/>
  <c r="M771" i="16"/>
  <c r="M775" i="16"/>
  <c r="M779" i="16"/>
  <c r="M783" i="16"/>
  <c r="M787" i="16"/>
  <c r="M791" i="16"/>
  <c r="M795" i="16"/>
  <c r="M799" i="16"/>
  <c r="M803" i="16"/>
  <c r="M807" i="16"/>
  <c r="M811" i="16"/>
  <c r="M815" i="16"/>
  <c r="M819" i="16"/>
  <c r="M823" i="16"/>
  <c r="M827" i="16"/>
  <c r="M831" i="16"/>
  <c r="M835" i="16"/>
  <c r="M839" i="16"/>
  <c r="M843" i="16"/>
  <c r="M847" i="16"/>
  <c r="M851" i="16"/>
  <c r="M855" i="16"/>
  <c r="M859" i="16"/>
  <c r="M863" i="16"/>
  <c r="M867" i="16"/>
  <c r="M871" i="16"/>
  <c r="M875" i="16"/>
  <c r="M879" i="16"/>
  <c r="M883" i="16"/>
  <c r="M887" i="16"/>
  <c r="M891" i="16"/>
  <c r="M895" i="16"/>
  <c r="M899" i="16"/>
  <c r="M903" i="16"/>
  <c r="M907" i="16"/>
  <c r="M911" i="16"/>
  <c r="M915" i="16"/>
  <c r="M919" i="16"/>
  <c r="M923" i="16"/>
  <c r="M927" i="16"/>
  <c r="M931" i="16"/>
  <c r="M935" i="16"/>
  <c r="M939" i="16"/>
  <c r="M943" i="16"/>
  <c r="M947" i="16"/>
  <c r="M951" i="16"/>
  <c r="M955" i="16"/>
  <c r="M959" i="16"/>
  <c r="M963" i="16"/>
  <c r="M967" i="16"/>
  <c r="M971" i="16"/>
  <c r="M975" i="16"/>
  <c r="M979" i="16"/>
  <c r="M983" i="16"/>
  <c r="M987" i="16"/>
  <c r="M991" i="16"/>
  <c r="M995" i="16"/>
  <c r="M999" i="16"/>
  <c r="M1003" i="16"/>
  <c r="M1007" i="16"/>
  <c r="M1011" i="16"/>
  <c r="M1015" i="16"/>
  <c r="M1019" i="16"/>
  <c r="M1023" i="16"/>
  <c r="M1027" i="16"/>
  <c r="M1031" i="16"/>
  <c r="M1035" i="16"/>
  <c r="M1039" i="16"/>
  <c r="M1043" i="16"/>
  <c r="M1047" i="16"/>
  <c r="M1051" i="16"/>
  <c r="M1055" i="16"/>
  <c r="M1059" i="16"/>
  <c r="M1063" i="16"/>
  <c r="M1067" i="16"/>
  <c r="M1071" i="16"/>
  <c r="M1075" i="16"/>
  <c r="M1079" i="16"/>
  <c r="M1083" i="16"/>
  <c r="M1087" i="16"/>
  <c r="M1091" i="16"/>
  <c r="M1095" i="16"/>
  <c r="M1099" i="16"/>
  <c r="M1103" i="16"/>
  <c r="M1107" i="16"/>
  <c r="M1111" i="16"/>
  <c r="M1115" i="16"/>
  <c r="M1119" i="16"/>
  <c r="M1123" i="16"/>
  <c r="M1127" i="16"/>
  <c r="M1131" i="16"/>
  <c r="M1135" i="16"/>
  <c r="M1139" i="16"/>
  <c r="B15" i="15"/>
  <c r="B19" i="15"/>
  <c r="B23" i="15"/>
  <c r="B27" i="15"/>
  <c r="M6" i="16"/>
  <c r="M27" i="16"/>
  <c r="M54" i="16"/>
  <c r="M75" i="16"/>
  <c r="M94" i="16"/>
  <c r="M107" i="16"/>
  <c r="M121" i="16"/>
  <c r="M129" i="16"/>
  <c r="M138" i="16"/>
  <c r="M149" i="16"/>
  <c r="M158" i="16"/>
  <c r="M166" i="16"/>
  <c r="M177" i="16"/>
  <c r="M186" i="16"/>
  <c r="M196" i="16"/>
  <c r="M206" i="16"/>
  <c r="M214" i="16"/>
  <c r="M224" i="16"/>
  <c r="M234" i="16"/>
  <c r="M243" i="16"/>
  <c r="M249" i="16"/>
  <c r="M257" i="16"/>
  <c r="M264" i="16"/>
  <c r="M271" i="16"/>
  <c r="M279" i="16"/>
  <c r="M285" i="16"/>
  <c r="M292" i="16"/>
  <c r="M300" i="16"/>
  <c r="M307" i="16"/>
  <c r="M313" i="16"/>
  <c r="M321" i="16"/>
  <c r="M328" i="16"/>
  <c r="M335" i="16"/>
  <c r="M343" i="16"/>
  <c r="M349" i="16"/>
  <c r="M356" i="16"/>
  <c r="M364" i="16"/>
  <c r="M371" i="16"/>
  <c r="M377" i="16"/>
  <c r="M385" i="16"/>
  <c r="M392" i="16"/>
  <c r="M397" i="16"/>
  <c r="M403" i="16"/>
  <c r="M408" i="16"/>
  <c r="M413" i="16"/>
  <c r="M419" i="16"/>
  <c r="M424" i="16"/>
  <c r="M429" i="16"/>
  <c r="M435" i="16"/>
  <c r="M440" i="16"/>
  <c r="M444" i="16"/>
  <c r="M448" i="16"/>
  <c r="M452" i="16"/>
  <c r="M456" i="16"/>
  <c r="M460" i="16"/>
  <c r="M464" i="16"/>
  <c r="M468" i="16"/>
  <c r="M472" i="16"/>
  <c r="M476" i="16"/>
  <c r="M480" i="16"/>
  <c r="M484" i="16"/>
  <c r="M488" i="16"/>
  <c r="M492" i="16"/>
  <c r="M496" i="16"/>
  <c r="M500" i="16"/>
  <c r="M504" i="16"/>
  <c r="M508" i="16"/>
  <c r="M512" i="16"/>
  <c r="M516" i="16"/>
  <c r="M520" i="16"/>
  <c r="M524" i="16"/>
  <c r="M528" i="16"/>
  <c r="M532" i="16"/>
  <c r="M536" i="16"/>
  <c r="M540" i="16"/>
  <c r="M544" i="16"/>
  <c r="M548" i="16"/>
  <c r="M552" i="16"/>
  <c r="M556" i="16"/>
  <c r="M560" i="16"/>
  <c r="M564" i="16"/>
  <c r="M568" i="16"/>
  <c r="M572" i="16"/>
  <c r="M576" i="16"/>
  <c r="M580" i="16"/>
  <c r="M584" i="16"/>
  <c r="M588" i="16"/>
  <c r="M592" i="16"/>
  <c r="M596" i="16"/>
  <c r="M600" i="16"/>
  <c r="M604" i="16"/>
  <c r="M608" i="16"/>
  <c r="M612" i="16"/>
  <c r="M616" i="16"/>
  <c r="M620" i="16"/>
  <c r="M624" i="16"/>
  <c r="M628" i="16"/>
  <c r="M632" i="16"/>
  <c r="M636" i="16"/>
  <c r="M640" i="16"/>
  <c r="M644" i="16"/>
  <c r="M648" i="16"/>
  <c r="M652" i="16"/>
  <c r="M656" i="16"/>
  <c r="M660" i="16"/>
  <c r="M664" i="16"/>
  <c r="M668" i="16"/>
  <c r="M672" i="16"/>
  <c r="M676" i="16"/>
  <c r="M680" i="16"/>
  <c r="M684" i="16"/>
  <c r="M688" i="16"/>
  <c r="M692" i="16"/>
  <c r="M696" i="16"/>
  <c r="M700" i="16"/>
  <c r="M704" i="16"/>
  <c r="M708" i="16"/>
  <c r="M712" i="16"/>
  <c r="M716" i="16"/>
  <c r="M720" i="16"/>
  <c r="M724" i="16"/>
  <c r="M728" i="16"/>
  <c r="M732" i="16"/>
  <c r="M736" i="16"/>
  <c r="M740" i="16"/>
  <c r="M744" i="16"/>
  <c r="M748" i="16"/>
  <c r="M752" i="16"/>
  <c r="M756" i="16"/>
  <c r="M760" i="16"/>
  <c r="M764" i="16"/>
  <c r="M768" i="16"/>
  <c r="M772" i="16"/>
  <c r="M776" i="16"/>
  <c r="M780" i="16"/>
  <c r="M784" i="16"/>
  <c r="M788" i="16"/>
  <c r="M792" i="16"/>
  <c r="M796" i="16"/>
  <c r="M800" i="16"/>
  <c r="M804" i="16"/>
  <c r="M808" i="16"/>
  <c r="M812" i="16"/>
  <c r="M816" i="16"/>
  <c r="M820" i="16"/>
  <c r="M824" i="16"/>
  <c r="M828" i="16"/>
  <c r="M832" i="16"/>
  <c r="M836" i="16"/>
  <c r="M840" i="16"/>
  <c r="M844" i="16"/>
  <c r="M848" i="16"/>
  <c r="M852" i="16"/>
  <c r="M856" i="16"/>
  <c r="M860" i="16"/>
  <c r="M864" i="16"/>
  <c r="M868" i="16"/>
  <c r="M872" i="16"/>
  <c r="M876" i="16"/>
  <c r="M880" i="16"/>
  <c r="M884" i="16"/>
  <c r="M888" i="16"/>
  <c r="M892" i="16"/>
  <c r="M896" i="16"/>
  <c r="M900" i="16"/>
  <c r="M904" i="16"/>
  <c r="M908" i="16"/>
  <c r="M912" i="16"/>
  <c r="M916" i="16"/>
  <c r="M920" i="16"/>
  <c r="M924" i="16"/>
  <c r="M928" i="16"/>
  <c r="M932" i="16"/>
  <c r="M936" i="16"/>
  <c r="M940" i="16"/>
  <c r="M944" i="16"/>
  <c r="M948" i="16"/>
  <c r="M952" i="16"/>
  <c r="M956" i="16"/>
  <c r="M960" i="16"/>
  <c r="M964" i="16"/>
  <c r="M968" i="16"/>
  <c r="M972" i="16"/>
  <c r="M976" i="16"/>
  <c r="M980" i="16"/>
  <c r="M984" i="16"/>
  <c r="M988" i="16"/>
  <c r="M992" i="16"/>
  <c r="M996" i="16"/>
  <c r="M1000" i="16"/>
  <c r="M1004" i="16"/>
  <c r="M1008" i="16"/>
  <c r="M1012" i="16"/>
  <c r="M1016" i="16"/>
  <c r="M1020" i="16"/>
  <c r="M1024" i="16"/>
  <c r="M1028" i="16"/>
  <c r="M1032" i="16"/>
  <c r="M1036" i="16"/>
  <c r="M1040" i="16"/>
  <c r="M1044" i="16"/>
  <c r="M1048" i="16"/>
  <c r="M1052" i="16"/>
  <c r="M1056" i="16"/>
  <c r="M1060" i="16"/>
  <c r="M1064" i="16"/>
  <c r="M1068" i="16"/>
  <c r="M1072" i="16"/>
  <c r="M1076" i="16"/>
  <c r="M1080" i="16"/>
  <c r="M1084" i="16"/>
  <c r="M1088" i="16"/>
  <c r="M1092" i="16"/>
  <c r="M1096" i="16"/>
  <c r="M1100" i="16"/>
  <c r="M1104" i="16"/>
  <c r="M1108" i="16"/>
  <c r="M1112" i="16"/>
  <c r="M1116" i="16"/>
  <c r="M1120" i="16"/>
  <c r="M1124" i="16"/>
  <c r="M1128" i="16"/>
  <c r="M1132" i="16"/>
  <c r="M1136" i="16"/>
  <c r="M1140" i="16"/>
  <c r="B16" i="15"/>
  <c r="B20" i="15"/>
  <c r="B24" i="15"/>
  <c r="B28" i="15"/>
  <c r="B32" i="15"/>
  <c r="M63" i="16"/>
  <c r="M122" i="16"/>
  <c r="M160" i="16"/>
  <c r="M198" i="16"/>
  <c r="M236" i="16"/>
  <c r="M265" i="16"/>
  <c r="M295" i="16"/>
  <c r="M323" i="16"/>
  <c r="M351" i="16"/>
  <c r="M380" i="16"/>
  <c r="M404" i="16"/>
  <c r="M425" i="16"/>
  <c r="M445" i="16"/>
  <c r="M461" i="16"/>
  <c r="M477" i="16"/>
  <c r="M493" i="16"/>
  <c r="M509" i="16"/>
  <c r="M525" i="16"/>
  <c r="M541" i="16"/>
  <c r="M557" i="16"/>
  <c r="M573" i="16"/>
  <c r="M589" i="16"/>
  <c r="M605" i="16"/>
  <c r="M621" i="16"/>
  <c r="M637" i="16"/>
  <c r="M653" i="16"/>
  <c r="M669" i="16"/>
  <c r="M685" i="16"/>
  <c r="M701" i="16"/>
  <c r="M717" i="16"/>
  <c r="M733" i="16"/>
  <c r="M749" i="16"/>
  <c r="M765" i="16"/>
  <c r="M781" i="16"/>
  <c r="M797" i="16"/>
  <c r="M813" i="16"/>
  <c r="M829" i="16"/>
  <c r="M845" i="16"/>
  <c r="M861" i="16"/>
  <c r="M877" i="16"/>
  <c r="M893" i="16"/>
  <c r="M909" i="16"/>
  <c r="M925" i="16"/>
  <c r="M941" i="16"/>
  <c r="M957" i="16"/>
  <c r="M973" i="16"/>
  <c r="M989" i="16"/>
  <c r="M1005" i="16"/>
  <c r="M1021" i="16"/>
  <c r="M1037" i="16"/>
  <c r="M1053" i="16"/>
  <c r="M1069" i="16"/>
  <c r="M1085" i="16"/>
  <c r="M1101" i="16"/>
  <c r="M1117" i="16"/>
  <c r="M1133" i="16"/>
  <c r="B21" i="15"/>
  <c r="B33" i="15"/>
  <c r="M231" i="16"/>
  <c r="M215" i="16"/>
  <c r="M199" i="16"/>
  <c r="M183" i="16"/>
  <c r="M167" i="16"/>
  <c r="M151" i="16"/>
  <c r="M135" i="16"/>
  <c r="M119" i="16"/>
  <c r="M98" i="16"/>
  <c r="M76" i="16"/>
  <c r="M50" i="16"/>
  <c r="M18" i="16"/>
  <c r="M13" i="16"/>
  <c r="M29" i="16"/>
  <c r="M45" i="16"/>
  <c r="M61" i="16"/>
  <c r="M77" i="16"/>
  <c r="M93" i="16"/>
  <c r="M109" i="16"/>
  <c r="M8" i="16"/>
  <c r="M24" i="16"/>
  <c r="M40" i="16"/>
  <c r="M56" i="16"/>
  <c r="M79" i="16"/>
  <c r="M132" i="16"/>
  <c r="M170" i="16"/>
  <c r="M208" i="16"/>
  <c r="M244" i="16"/>
  <c r="M273" i="16"/>
  <c r="M301" i="16"/>
  <c r="M329" i="16"/>
  <c r="M359" i="16"/>
  <c r="M387" i="16"/>
  <c r="M409" i="16"/>
  <c r="M431" i="16"/>
  <c r="M449" i="16"/>
  <c r="M465" i="16"/>
  <c r="M481" i="16"/>
  <c r="M497" i="16"/>
  <c r="M513" i="16"/>
  <c r="M529" i="16"/>
  <c r="M545" i="16"/>
  <c r="M561" i="16"/>
  <c r="M577" i="16"/>
  <c r="M593" i="16"/>
  <c r="M609" i="16"/>
  <c r="M625" i="16"/>
  <c r="M641" i="16"/>
  <c r="M657" i="16"/>
  <c r="M673" i="16"/>
  <c r="M689" i="16"/>
  <c r="M705" i="16"/>
  <c r="M721" i="16"/>
  <c r="M737" i="16"/>
  <c r="M753" i="16"/>
  <c r="M769" i="16"/>
  <c r="M785" i="16"/>
  <c r="M801" i="16"/>
  <c r="M817" i="16"/>
  <c r="M833" i="16"/>
  <c r="M849" i="16"/>
  <c r="M865" i="16"/>
  <c r="M881" i="16"/>
  <c r="M897" i="16"/>
  <c r="M913" i="16"/>
  <c r="M929" i="16"/>
  <c r="M945" i="16"/>
  <c r="M961" i="16"/>
  <c r="M977" i="16"/>
  <c r="M993" i="16"/>
  <c r="M1009" i="16"/>
  <c r="M1025" i="16"/>
  <c r="M1041" i="16"/>
  <c r="M1057" i="16"/>
  <c r="M1073" i="16"/>
  <c r="M1089" i="16"/>
  <c r="M1105" i="16"/>
  <c r="M1121" i="16"/>
  <c r="M1137" i="16"/>
  <c r="B25" i="15"/>
  <c r="M11" i="16"/>
  <c r="M95" i="16"/>
  <c r="M142" i="16"/>
  <c r="M180" i="16"/>
  <c r="M217" i="16"/>
  <c r="M252" i="16"/>
  <c r="M280" i="16"/>
  <c r="M308" i="16"/>
  <c r="M337" i="16"/>
  <c r="M365" i="16"/>
  <c r="M393" i="16"/>
  <c r="M415" i="16"/>
  <c r="M436" i="16"/>
  <c r="M453" i="16"/>
  <c r="M469" i="16"/>
  <c r="M485" i="16"/>
  <c r="M501" i="16"/>
  <c r="M517" i="16"/>
  <c r="M533" i="16"/>
  <c r="M549" i="16"/>
  <c r="M565" i="16"/>
  <c r="M581" i="16"/>
  <c r="M597" i="16"/>
  <c r="M613" i="16"/>
  <c r="M629" i="16"/>
  <c r="M645" i="16"/>
  <c r="M661" i="16"/>
  <c r="M677" i="16"/>
  <c r="M693" i="16"/>
  <c r="M709" i="16"/>
  <c r="M725" i="16"/>
  <c r="M741" i="16"/>
  <c r="M757" i="16"/>
  <c r="M773" i="16"/>
  <c r="M789" i="16"/>
  <c r="M805" i="16"/>
  <c r="M821" i="16"/>
  <c r="M837" i="16"/>
  <c r="M853" i="16"/>
  <c r="M869" i="16"/>
  <c r="M885" i="16"/>
  <c r="M901" i="16"/>
  <c r="M917" i="16"/>
  <c r="M933" i="16"/>
  <c r="M949" i="16"/>
  <c r="M965" i="16"/>
  <c r="M981" i="16"/>
  <c r="M997" i="16"/>
  <c r="M1013" i="16"/>
  <c r="M1029" i="16"/>
  <c r="M1045" i="16"/>
  <c r="M1061" i="16"/>
  <c r="M1077" i="16"/>
  <c r="M1093" i="16"/>
  <c r="M1109" i="16"/>
  <c r="M1125" i="16"/>
  <c r="M1141" i="16"/>
  <c r="M35" i="16"/>
  <c r="M228" i="16"/>
  <c r="M344" i="16"/>
  <c r="M441" i="16"/>
  <c r="M505" i="16"/>
  <c r="M569" i="16"/>
  <c r="M633" i="16"/>
  <c r="M697" i="16"/>
  <c r="M761" i="16"/>
  <c r="M825" i="16"/>
  <c r="M889" i="16"/>
  <c r="M953" i="16"/>
  <c r="M1017" i="16"/>
  <c r="M1081" i="16"/>
  <c r="B31" i="15"/>
  <c r="M239" i="16"/>
  <c r="M219" i="16"/>
  <c r="M195" i="16"/>
  <c r="M175" i="16"/>
  <c r="M155" i="16"/>
  <c r="M131" i="16"/>
  <c r="M108" i="16"/>
  <c r="M82" i="16"/>
  <c r="M42" i="16"/>
  <c r="M17" i="16"/>
  <c r="M37" i="16"/>
  <c r="M57" i="16"/>
  <c r="M81" i="16"/>
  <c r="M101" i="16"/>
  <c r="M4" i="16"/>
  <c r="M28" i="16"/>
  <c r="M48" i="16"/>
  <c r="M111" i="16"/>
  <c r="M259" i="16"/>
  <c r="M372" i="16"/>
  <c r="M457" i="16"/>
  <c r="M521" i="16"/>
  <c r="M585" i="16"/>
  <c r="M649" i="16"/>
  <c r="M713" i="16"/>
  <c r="M777" i="16"/>
  <c r="M841" i="16"/>
  <c r="M905" i="16"/>
  <c r="M969" i="16"/>
  <c r="M1033" i="16"/>
  <c r="M1097" i="16"/>
  <c r="M235" i="16"/>
  <c r="M211" i="16"/>
  <c r="M191" i="16"/>
  <c r="M171" i="16"/>
  <c r="M147" i="16"/>
  <c r="M127" i="16"/>
  <c r="M103" i="16"/>
  <c r="M71" i="16"/>
  <c r="M34" i="16"/>
  <c r="M2" i="16"/>
  <c r="M21" i="16"/>
  <c r="M41" i="16"/>
  <c r="M65" i="16"/>
  <c r="M85" i="16"/>
  <c r="M105" i="16"/>
  <c r="M12" i="16"/>
  <c r="M32" i="16"/>
  <c r="M52" i="16"/>
  <c r="M150" i="16"/>
  <c r="M287" i="16"/>
  <c r="M399" i="16"/>
  <c r="M473" i="16"/>
  <c r="M537" i="16"/>
  <c r="M601" i="16"/>
  <c r="M665" i="16"/>
  <c r="M729" i="16"/>
  <c r="M793" i="16"/>
  <c r="M857" i="16"/>
  <c r="M921" i="16"/>
  <c r="M985" i="16"/>
  <c r="M1049" i="16"/>
  <c r="M1113" i="16"/>
  <c r="B17" i="15"/>
  <c r="M227" i="16"/>
  <c r="M207" i="16"/>
  <c r="M187" i="16"/>
  <c r="M163" i="16"/>
  <c r="M143" i="16"/>
  <c r="M123" i="16"/>
  <c r="M92" i="16"/>
  <c r="M66" i="16"/>
  <c r="M26" i="16"/>
  <c r="M5" i="16"/>
  <c r="M25" i="16"/>
  <c r="M49" i="16"/>
  <c r="M69" i="16"/>
  <c r="M89" i="16"/>
  <c r="M113" i="16"/>
  <c r="M16" i="16"/>
  <c r="M36" i="16"/>
  <c r="M60" i="16"/>
  <c r="M489" i="16"/>
  <c r="M745" i="16"/>
  <c r="M1001" i="16"/>
  <c r="M223" i="16"/>
  <c r="M139" i="16"/>
  <c r="M53" i="16"/>
  <c r="M20" i="16"/>
  <c r="M188" i="16"/>
  <c r="M553" i="16"/>
  <c r="M809" i="16"/>
  <c r="M1065" i="16"/>
  <c r="B29" i="15"/>
  <c r="M203" i="16"/>
  <c r="M114" i="16"/>
  <c r="M73" i="16"/>
  <c r="M44" i="16"/>
  <c r="M316" i="16"/>
  <c r="M617" i="16"/>
  <c r="M873" i="16"/>
  <c r="M1129" i="16"/>
  <c r="M179" i="16"/>
  <c r="M87" i="16"/>
  <c r="M9" i="16"/>
  <c r="M97" i="16"/>
  <c r="M64" i="16"/>
  <c r="M420" i="16"/>
  <c r="M681" i="16"/>
  <c r="M937" i="16"/>
  <c r="M159" i="16"/>
  <c r="M58" i="16"/>
  <c r="M33" i="16"/>
  <c r="M117" i="16"/>
  <c r="Z825" i="16"/>
  <c r="Z1082" i="16"/>
  <c r="Z337" i="16"/>
  <c r="Z41" i="16"/>
  <c r="Z729" i="16"/>
  <c r="Z1005" i="16"/>
  <c r="Z241" i="16"/>
  <c r="Z977" i="16"/>
  <c r="Z721" i="16"/>
  <c r="Z521" i="16"/>
  <c r="Z217" i="16"/>
  <c r="Z889" i="16"/>
  <c r="Z697" i="16"/>
  <c r="Z1045" i="16"/>
  <c r="Z369" i="16"/>
  <c r="Z137" i="16"/>
  <c r="Z921" i="16"/>
  <c r="Z793" i="16"/>
  <c r="Z625" i="16"/>
  <c r="Z1021" i="16"/>
  <c r="Z401" i="16"/>
  <c r="Z233" i="16"/>
  <c r="Z57" i="16"/>
  <c r="Z897" i="16"/>
  <c r="Z809" i="16"/>
  <c r="Z681" i="16"/>
  <c r="Z553" i="16"/>
  <c r="Z997" i="16"/>
  <c r="Z417" i="16"/>
  <c r="Z289" i="16"/>
  <c r="Z161" i="16"/>
  <c r="Z33" i="16"/>
  <c r="B8" i="14"/>
  <c r="B9" i="14"/>
  <c r="C15" i="14"/>
  <c r="C31" i="14"/>
  <c r="C19" i="6"/>
  <c r="H41" i="11"/>
  <c r="C24" i="6"/>
  <c r="B48" i="11"/>
  <c r="E59" i="15"/>
  <c r="R10" i="22"/>
  <c r="R4" i="22"/>
  <c r="R7" i="22"/>
  <c r="R2" i="22"/>
  <c r="R8" i="22"/>
  <c r="R9" i="22"/>
  <c r="R3" i="22"/>
  <c r="R6" i="22"/>
  <c r="R5" i="22"/>
  <c r="C17" i="7"/>
  <c r="E43" i="8"/>
  <c r="G25" i="8"/>
  <c r="C23" i="26"/>
  <c r="C33" i="26"/>
  <c r="C34" i="14"/>
  <c r="L2" i="17"/>
  <c r="L18" i="17"/>
  <c r="L34" i="17"/>
  <c r="L50" i="17"/>
  <c r="L66" i="17"/>
  <c r="L82" i="17"/>
  <c r="L98" i="17"/>
  <c r="L114" i="17"/>
  <c r="L130" i="17"/>
  <c r="L146" i="17"/>
  <c r="L162" i="17"/>
  <c r="L178" i="17"/>
  <c r="L194" i="17"/>
  <c r="L7" i="17"/>
  <c r="L23" i="17"/>
  <c r="L39" i="17"/>
  <c r="L55" i="17"/>
  <c r="L71" i="17"/>
  <c r="L87" i="17"/>
  <c r="L103" i="17"/>
  <c r="L119" i="17"/>
  <c r="L135" i="17"/>
  <c r="L151" i="17"/>
  <c r="L167" i="17"/>
  <c r="L183" i="17"/>
  <c r="L199" i="17"/>
  <c r="L21" i="17"/>
  <c r="L53" i="17"/>
  <c r="L85" i="17"/>
  <c r="L117" i="17"/>
  <c r="L149" i="17"/>
  <c r="L181" i="17"/>
  <c r="L249" i="17"/>
  <c r="L32" i="17"/>
  <c r="L64" i="17"/>
  <c r="L96" i="17"/>
  <c r="L128" i="17"/>
  <c r="L160" i="17"/>
  <c r="L192" i="17"/>
  <c r="L17" i="17"/>
  <c r="L49" i="17"/>
  <c r="L81" i="17"/>
  <c r="L113" i="17"/>
  <c r="L145" i="17"/>
  <c r="L177" i="17"/>
  <c r="L4" i="17"/>
  <c r="L36" i="17"/>
  <c r="L68" i="17"/>
  <c r="L100" i="17"/>
  <c r="L132" i="17"/>
  <c r="L164" i="17"/>
  <c r="L196" i="17"/>
  <c r="B17" i="18"/>
  <c r="B25" i="18"/>
  <c r="B33" i="18"/>
  <c r="B34" i="18"/>
  <c r="B28" i="18"/>
  <c r="L6" i="17"/>
  <c r="L22" i="17"/>
  <c r="L38" i="17"/>
  <c r="L54" i="17"/>
  <c r="L70" i="17"/>
  <c r="L86" i="17"/>
  <c r="L102" i="17"/>
  <c r="L118" i="17"/>
  <c r="L134" i="17"/>
  <c r="L150" i="17"/>
  <c r="L166" i="17"/>
  <c r="L182" i="17"/>
  <c r="L198" i="17"/>
  <c r="L11" i="17"/>
  <c r="L27" i="17"/>
  <c r="L43" i="17"/>
  <c r="L59" i="17"/>
  <c r="L75" i="17"/>
  <c r="L91" i="17"/>
  <c r="L107" i="17"/>
  <c r="L123" i="17"/>
  <c r="L139" i="17"/>
  <c r="L155" i="17"/>
  <c r="L171" i="17"/>
  <c r="L187" i="17"/>
  <c r="L203" i="17"/>
  <c r="L29" i="17"/>
  <c r="L61" i="17"/>
  <c r="L93" i="17"/>
  <c r="L125" i="17"/>
  <c r="L157" i="17"/>
  <c r="L189" i="17"/>
  <c r="L8" i="17"/>
  <c r="L40" i="17"/>
  <c r="L72" i="17"/>
  <c r="L104" i="17"/>
  <c r="L136" i="17"/>
  <c r="L168" i="17"/>
  <c r="L200" i="17"/>
  <c r="L25" i="17"/>
  <c r="L57" i="17"/>
  <c r="L89" i="17"/>
  <c r="L121" i="17"/>
  <c r="L153" i="17"/>
  <c r="L185" i="17"/>
  <c r="L12" i="17"/>
  <c r="L44" i="17"/>
  <c r="L76" i="17"/>
  <c r="L108" i="17"/>
  <c r="L140" i="17"/>
  <c r="L172" i="17"/>
  <c r="L204" i="17"/>
  <c r="B19" i="18"/>
  <c r="B27" i="18"/>
  <c r="B16" i="18"/>
  <c r="B18" i="18"/>
  <c r="B32" i="18"/>
  <c r="L10" i="17"/>
  <c r="L26" i="17"/>
  <c r="L42" i="17"/>
  <c r="L58" i="17"/>
  <c r="L74" i="17"/>
  <c r="L90" i="17"/>
  <c r="L106" i="17"/>
  <c r="L122" i="17"/>
  <c r="L138" i="17"/>
  <c r="L154" i="17"/>
  <c r="L170" i="17"/>
  <c r="L186" i="17"/>
  <c r="L202" i="17"/>
  <c r="L15" i="17"/>
  <c r="L31" i="17"/>
  <c r="L47" i="17"/>
  <c r="L63" i="17"/>
  <c r="L79" i="17"/>
  <c r="L95" i="17"/>
  <c r="L111" i="17"/>
  <c r="L127" i="17"/>
  <c r="L143" i="17"/>
  <c r="L159" i="17"/>
  <c r="L175" i="17"/>
  <c r="L191" i="17"/>
  <c r="L5" i="17"/>
  <c r="L37" i="17"/>
  <c r="L69" i="17"/>
  <c r="L101" i="17"/>
  <c r="L133" i="17"/>
  <c r="L165" i="17"/>
  <c r="L197" i="17"/>
  <c r="L16" i="17"/>
  <c r="L48" i="17"/>
  <c r="L80" i="17"/>
  <c r="L112" i="17"/>
  <c r="L144" i="17"/>
  <c r="L176" i="17"/>
  <c r="L248" i="17"/>
  <c r="L33" i="17"/>
  <c r="L65" i="17"/>
  <c r="L97" i="17"/>
  <c r="L129" i="17"/>
  <c r="L161" i="17"/>
  <c r="L193" i="17"/>
  <c r="L20" i="17"/>
  <c r="L52" i="17"/>
  <c r="L84" i="17"/>
  <c r="L116" i="17"/>
  <c r="L148" i="17"/>
  <c r="L180" i="17"/>
  <c r="B14" i="18"/>
  <c r="B21" i="18"/>
  <c r="B29" i="18"/>
  <c r="B24" i="18"/>
  <c r="B26" i="18"/>
  <c r="B22" i="18"/>
  <c r="L14" i="17"/>
  <c r="L30" i="17"/>
  <c r="L46" i="17"/>
  <c r="L62" i="17"/>
  <c r="L78" i="17"/>
  <c r="L94" i="17"/>
  <c r="L110" i="17"/>
  <c r="L126" i="17"/>
  <c r="L142" i="17"/>
  <c r="L158" i="17"/>
  <c r="L3" i="17"/>
  <c r="L67" i="17"/>
  <c r="L131" i="17"/>
  <c r="L195" i="17"/>
  <c r="L109" i="17"/>
  <c r="L24" i="17"/>
  <c r="L152" i="17"/>
  <c r="L73" i="17"/>
  <c r="L201" i="17"/>
  <c r="L124" i="17"/>
  <c r="B23" i="18"/>
  <c r="L19" i="17"/>
  <c r="L83" i="17"/>
  <c r="L147" i="17"/>
  <c r="L13" i="17"/>
  <c r="L141" i="17"/>
  <c r="L56" i="17"/>
  <c r="L184" i="17"/>
  <c r="L105" i="17"/>
  <c r="L28" i="17"/>
  <c r="L156" i="17"/>
  <c r="B31" i="18"/>
  <c r="L190" i="17"/>
  <c r="L115" i="17"/>
  <c r="L77" i="17"/>
  <c r="L120" i="17"/>
  <c r="L169" i="17"/>
  <c r="B15" i="18"/>
  <c r="L174" i="17"/>
  <c r="L35" i="17"/>
  <c r="L99" i="17"/>
  <c r="L163" i="17"/>
  <c r="L45" i="17"/>
  <c r="L173" i="17"/>
  <c r="L88" i="17"/>
  <c r="L9" i="17"/>
  <c r="L137" i="17"/>
  <c r="L60" i="17"/>
  <c r="L188" i="17"/>
  <c r="B30" i="18"/>
  <c r="L51" i="17"/>
  <c r="L179" i="17"/>
  <c r="L205" i="17"/>
  <c r="L41" i="17"/>
  <c r="L92" i="17"/>
  <c r="B20" i="18"/>
  <c r="T152" i="17"/>
  <c r="T136" i="17"/>
  <c r="T120" i="17"/>
  <c r="T104" i="17"/>
  <c r="T164" i="17"/>
  <c r="T207" i="17"/>
  <c r="T80" i="17"/>
  <c r="T64" i="17"/>
  <c r="T48" i="17"/>
  <c r="T32" i="17"/>
  <c r="T16" i="17"/>
  <c r="T151" i="17"/>
  <c r="T135" i="17"/>
  <c r="T119" i="17"/>
  <c r="T103" i="17"/>
  <c r="T163" i="17"/>
  <c r="T206" i="17"/>
  <c r="T79" i="17"/>
  <c r="T63" i="17"/>
  <c r="T47" i="17"/>
  <c r="T31" i="17"/>
  <c r="T15" i="17"/>
  <c r="T150" i="17"/>
  <c r="T134" i="17"/>
  <c r="T118" i="17"/>
  <c r="T102" i="17"/>
  <c r="T162" i="17"/>
  <c r="T94" i="17"/>
  <c r="T78" i="17"/>
  <c r="T62" i="17"/>
  <c r="T46" i="17"/>
  <c r="T30" i="17"/>
  <c r="T14" i="17"/>
  <c r="T149" i="17"/>
  <c r="T133" i="17"/>
  <c r="T117" i="17"/>
  <c r="T101" i="17"/>
  <c r="T161" i="17"/>
  <c r="T93" i="17"/>
  <c r="T77" i="17"/>
  <c r="T61" i="17"/>
  <c r="T45" i="17"/>
  <c r="T29" i="17"/>
  <c r="T13" i="17"/>
  <c r="T148" i="17"/>
  <c r="T132" i="17"/>
  <c r="T116" i="17"/>
  <c r="T100" i="17"/>
  <c r="T160" i="17"/>
  <c r="T92" i="17"/>
  <c r="T76" i="17"/>
  <c r="T60" i="17"/>
  <c r="T44" i="17"/>
  <c r="T28" i="17"/>
  <c r="T12" i="17"/>
  <c r="T147" i="17"/>
  <c r="T131" i="17"/>
  <c r="T115" i="17"/>
  <c r="T99" i="17"/>
  <c r="T159" i="17"/>
  <c r="T91" i="17"/>
  <c r="T75" i="17"/>
  <c r="T59" i="17"/>
  <c r="T43" i="17"/>
  <c r="T27" i="17"/>
  <c r="T11" i="17"/>
  <c r="T146" i="17"/>
  <c r="T130" i="17"/>
  <c r="T114" i="17"/>
  <c r="T98" i="17"/>
  <c r="T158" i="17"/>
  <c r="T90" i="17"/>
  <c r="T74" i="17"/>
  <c r="T58" i="17"/>
  <c r="T42" i="17"/>
  <c r="T26" i="17"/>
  <c r="T10" i="17"/>
  <c r="T145" i="17"/>
  <c r="T129" i="17"/>
  <c r="T113" i="17"/>
  <c r="T97" i="17"/>
  <c r="T157" i="17"/>
  <c r="T89" i="17"/>
  <c r="T73" i="17"/>
  <c r="T57" i="17"/>
  <c r="T41" i="17"/>
  <c r="T25" i="17"/>
  <c r="T9" i="17"/>
  <c r="T140" i="17"/>
  <c r="T108" i="17"/>
  <c r="T211" i="17"/>
  <c r="T68" i="17"/>
  <c r="T36" i="17"/>
  <c r="T4" i="17"/>
  <c r="T123" i="17"/>
  <c r="T241" i="17"/>
  <c r="T83" i="17"/>
  <c r="T51" i="17"/>
  <c r="T19" i="17"/>
  <c r="T138" i="17"/>
  <c r="T106" i="17"/>
  <c r="T209" i="17"/>
  <c r="T66" i="17"/>
  <c r="T34" i="17"/>
  <c r="T2" i="17"/>
  <c r="H41" i="18"/>
  <c r="E42" i="18"/>
  <c r="T121" i="17"/>
  <c r="T239" i="17"/>
  <c r="T81" i="17"/>
  <c r="T49" i="17"/>
  <c r="T17" i="17"/>
  <c r="T128" i="17"/>
  <c r="T96" i="17"/>
  <c r="T88" i="17"/>
  <c r="T56" i="17"/>
  <c r="T24" i="17"/>
  <c r="T143" i="17"/>
  <c r="T111" i="17"/>
  <c r="T155" i="17"/>
  <c r="T71" i="17"/>
  <c r="T39" i="17"/>
  <c r="T7" i="17"/>
  <c r="T126" i="17"/>
  <c r="T244" i="17"/>
  <c r="T86" i="17"/>
  <c r="T54" i="17"/>
  <c r="T22" i="17"/>
  <c r="T141" i="17"/>
  <c r="T109" i="17"/>
  <c r="T212" i="17"/>
  <c r="T69" i="17"/>
  <c r="T37" i="17"/>
  <c r="T5" i="17"/>
  <c r="T124" i="17"/>
  <c r="T242" i="17"/>
  <c r="T84" i="17"/>
  <c r="T52" i="17"/>
  <c r="T20" i="17"/>
  <c r="T139" i="17"/>
  <c r="T107" i="17"/>
  <c r="T210" i="17"/>
  <c r="T67" i="17"/>
  <c r="T35" i="17"/>
  <c r="T3" i="17"/>
  <c r="T122" i="17"/>
  <c r="T240" i="17"/>
  <c r="T82" i="17"/>
  <c r="T50" i="17"/>
  <c r="T18" i="17"/>
  <c r="T137" i="17"/>
  <c r="T105" i="17"/>
  <c r="T208" i="17"/>
  <c r="T65" i="17"/>
  <c r="T33" i="17"/>
  <c r="T144" i="17"/>
  <c r="T112" i="17"/>
  <c r="T156" i="17"/>
  <c r="T72" i="17"/>
  <c r="T40" i="17"/>
  <c r="T8" i="17"/>
  <c r="T127" i="17"/>
  <c r="T95" i="17"/>
  <c r="T87" i="17"/>
  <c r="T55" i="17"/>
  <c r="T23" i="17"/>
  <c r="T142" i="17"/>
  <c r="T110" i="17"/>
  <c r="T213" i="17"/>
  <c r="T70" i="17"/>
  <c r="T38" i="17"/>
  <c r="T6" i="17"/>
  <c r="T125" i="17"/>
  <c r="T243" i="17"/>
  <c r="T85" i="17"/>
  <c r="T53" i="17"/>
  <c r="T21" i="17"/>
  <c r="C15" i="8"/>
  <c r="C25" i="11"/>
  <c r="C28" i="19"/>
  <c r="C21" i="19"/>
  <c r="B8" i="19"/>
  <c r="B9" i="19"/>
  <c r="B11" i="19"/>
  <c r="C26" i="14"/>
  <c r="B34" i="21"/>
  <c r="B22" i="21"/>
  <c r="B25" i="21"/>
  <c r="B28" i="21"/>
  <c r="B32" i="21"/>
  <c r="B15" i="21"/>
  <c r="L4" i="22"/>
  <c r="B30" i="21"/>
  <c r="B18" i="21"/>
  <c r="B21" i="21"/>
  <c r="B24" i="21"/>
  <c r="B27" i="21"/>
  <c r="L6" i="22"/>
  <c r="L3" i="22"/>
  <c r="B31" i="21"/>
  <c r="B14" i="21"/>
  <c r="B17" i="21"/>
  <c r="B20" i="21"/>
  <c r="B23" i="21"/>
  <c r="L2" i="22"/>
  <c r="B26" i="21"/>
  <c r="B29" i="21"/>
  <c r="B33" i="21"/>
  <c r="B16" i="21"/>
  <c r="B19" i="21"/>
  <c r="L5" i="22"/>
  <c r="F15" i="6"/>
  <c r="F29" i="6"/>
  <c r="F28" i="6"/>
  <c r="F16" i="6"/>
  <c r="F23" i="6"/>
  <c r="F27" i="6"/>
  <c r="F17" i="6"/>
  <c r="F18" i="6"/>
  <c r="F25" i="6"/>
  <c r="F21" i="6"/>
  <c r="F24" i="6"/>
  <c r="E11" i="6"/>
  <c r="F26" i="6"/>
  <c r="F22" i="6"/>
  <c r="F20" i="6"/>
  <c r="I43" i="8"/>
  <c r="H59" i="15"/>
  <c r="C33" i="14"/>
  <c r="B86" i="21"/>
  <c r="C29" i="27"/>
  <c r="C21" i="27"/>
  <c r="C25" i="7"/>
  <c r="C19" i="7"/>
  <c r="G23" i="8"/>
  <c r="G22" i="8"/>
  <c r="F7" i="8"/>
  <c r="F8" i="8"/>
  <c r="F10" i="8"/>
  <c r="G16" i="8"/>
  <c r="C15" i="26"/>
  <c r="C30" i="26"/>
  <c r="A27" i="8"/>
  <c r="D26" i="8"/>
  <c r="E26" i="8"/>
  <c r="B41" i="11"/>
  <c r="C29" i="14"/>
  <c r="T10" i="22"/>
  <c r="T7" i="22"/>
  <c r="H79" i="21"/>
  <c r="T8" i="22"/>
  <c r="T9" i="22"/>
  <c r="C21" i="8"/>
  <c r="C15" i="11"/>
  <c r="C32" i="19"/>
  <c r="C31" i="19"/>
  <c r="C15" i="19"/>
  <c r="C26" i="19"/>
  <c r="C33" i="19"/>
  <c r="C17" i="19"/>
  <c r="C19" i="14"/>
  <c r="B39" i="6"/>
  <c r="C20" i="15"/>
  <c r="S966" i="13"/>
  <c r="S950" i="13"/>
  <c r="S934" i="13"/>
  <c r="S918" i="13"/>
  <c r="S902" i="13"/>
  <c r="S886" i="13"/>
  <c r="S870" i="13"/>
  <c r="S854" i="13"/>
  <c r="S838" i="13"/>
  <c r="S822" i="13"/>
  <c r="S806" i="13"/>
  <c r="S778" i="13"/>
  <c r="S762" i="13"/>
  <c r="S746" i="13"/>
  <c r="S794" i="13"/>
  <c r="S722" i="13"/>
  <c r="S706" i="13"/>
  <c r="S690" i="13"/>
  <c r="S674" i="13"/>
  <c r="S658" i="13"/>
  <c r="S642" i="13"/>
  <c r="S626" i="13"/>
  <c r="S610" i="13"/>
  <c r="S594" i="13"/>
  <c r="S578" i="13"/>
  <c r="S562" i="13"/>
  <c r="S546" i="13"/>
  <c r="S530" i="13"/>
  <c r="S514" i="13"/>
  <c r="S498" i="13"/>
  <c r="S482" i="13"/>
  <c r="S466" i="13"/>
  <c r="S450" i="13"/>
  <c r="S434" i="13"/>
  <c r="S418" i="13"/>
  <c r="S402" i="13"/>
  <c r="S386" i="13"/>
  <c r="S370" i="13"/>
  <c r="S354" i="13"/>
  <c r="S338" i="13"/>
  <c r="S322" i="13"/>
  <c r="S306" i="13"/>
  <c r="S290" i="13"/>
  <c r="S274" i="13"/>
  <c r="S258" i="13"/>
  <c r="S242" i="13"/>
  <c r="S226" i="13"/>
  <c r="S210" i="13"/>
  <c r="S194" i="13"/>
  <c r="S178" i="13"/>
  <c r="S788" i="13"/>
  <c r="S956" i="13"/>
  <c r="S940" i="13"/>
  <c r="S924" i="13"/>
  <c r="S908" i="13"/>
  <c r="S892" i="13"/>
  <c r="S876" i="13"/>
  <c r="S860" i="13"/>
  <c r="S844" i="13"/>
  <c r="S828" i="13"/>
  <c r="S812" i="13"/>
  <c r="S784" i="13"/>
  <c r="S768" i="13"/>
  <c r="S752" i="13"/>
  <c r="S736" i="13"/>
  <c r="S728" i="13"/>
  <c r="S712" i="13"/>
  <c r="S696" i="13"/>
  <c r="S680" i="13"/>
  <c r="S664" i="13"/>
  <c r="S648" i="13"/>
  <c r="S632" i="13"/>
  <c r="S616" i="13"/>
  <c r="S600" i="13"/>
  <c r="S584" i="13"/>
  <c r="S963" i="13"/>
  <c r="S947" i="13"/>
  <c r="S931" i="13"/>
  <c r="S915" i="13"/>
  <c r="S899" i="13"/>
  <c r="S883" i="13"/>
  <c r="S867" i="13"/>
  <c r="S851" i="13"/>
  <c r="S835" i="13"/>
  <c r="S819" i="13"/>
  <c r="S803" i="13"/>
  <c r="S775" i="13"/>
  <c r="S759" i="13"/>
  <c r="S743" i="13"/>
  <c r="S791" i="13"/>
  <c r="S719" i="13"/>
  <c r="S703" i="13"/>
  <c r="S687" i="13"/>
  <c r="S671" i="13"/>
  <c r="S655" i="13"/>
  <c r="S639" i="13"/>
  <c r="S623" i="13"/>
  <c r="S607" i="13"/>
  <c r="S591" i="13"/>
  <c r="S575" i="13"/>
  <c r="S559" i="13"/>
  <c r="S543" i="13"/>
  <c r="S527" i="13"/>
  <c r="S511" i="13"/>
  <c r="S495" i="13"/>
  <c r="S479" i="13"/>
  <c r="S463" i="13"/>
  <c r="S447" i="13"/>
  <c r="S431" i="13"/>
  <c r="S415" i="13"/>
  <c r="S399" i="13"/>
  <c r="S383" i="13"/>
  <c r="S367" i="13"/>
  <c r="S351" i="13"/>
  <c r="S335" i="13"/>
  <c r="S319" i="13"/>
  <c r="S303" i="13"/>
  <c r="S287" i="13"/>
  <c r="S271" i="13"/>
  <c r="S255" i="13"/>
  <c r="S239" i="13"/>
  <c r="S223" i="13"/>
  <c r="S207" i="13"/>
  <c r="S191" i="13"/>
  <c r="S175" i="13"/>
  <c r="S159" i="13"/>
  <c r="S143" i="13"/>
  <c r="S127" i="13"/>
  <c r="S111" i="13"/>
  <c r="S95" i="13"/>
  <c r="S79" i="13"/>
  <c r="S63" i="13"/>
  <c r="S47" i="13"/>
  <c r="S31" i="13"/>
  <c r="S15" i="13"/>
  <c r="S961" i="13"/>
  <c r="S897" i="13"/>
  <c r="S833" i="13"/>
  <c r="S757" i="13"/>
  <c r="S701" i="13"/>
  <c r="S637" i="13"/>
  <c r="S576" i="13"/>
  <c r="S544" i="13"/>
  <c r="S512" i="13"/>
  <c r="S480" i="13"/>
  <c r="S448" i="13"/>
  <c r="S416" i="13"/>
  <c r="S384" i="13"/>
  <c r="S352" i="13"/>
  <c r="S320" i="13"/>
  <c r="S288" i="13"/>
  <c r="S256" i="13"/>
  <c r="S224" i="13"/>
  <c r="S192" i="13"/>
  <c r="S161" i="13"/>
  <c r="S140" i="13"/>
  <c r="S118" i="13"/>
  <c r="S97" i="13"/>
  <c r="S76" i="13"/>
  <c r="S54" i="13"/>
  <c r="S33" i="13"/>
  <c r="S12" i="13"/>
  <c r="S925" i="13"/>
  <c r="S861" i="13"/>
  <c r="S797" i="13"/>
  <c r="S729" i="13"/>
  <c r="S665" i="13"/>
  <c r="S601" i="13"/>
  <c r="S557" i="13"/>
  <c r="S525" i="13"/>
  <c r="S493" i="13"/>
  <c r="S461" i="13"/>
  <c r="S429" i="13"/>
  <c r="S397" i="13"/>
  <c r="S365" i="13"/>
  <c r="S333" i="13"/>
  <c r="S301" i="13"/>
  <c r="S269" i="13"/>
  <c r="S237" i="13"/>
  <c r="S205" i="13"/>
  <c r="S173" i="13"/>
  <c r="S149" i="13"/>
  <c r="S128" i="13"/>
  <c r="S106" i="13"/>
  <c r="S85" i="13"/>
  <c r="S64" i="13"/>
  <c r="S42" i="13"/>
  <c r="S21" i="13"/>
  <c r="S785" i="13"/>
  <c r="S905" i="13"/>
  <c r="S841" i="13"/>
  <c r="S765" i="13"/>
  <c r="S709" i="13"/>
  <c r="S645" i="13"/>
  <c r="S581" i="13"/>
  <c r="S548" i="13"/>
  <c r="S516" i="13"/>
  <c r="S484" i="13"/>
  <c r="S452" i="13"/>
  <c r="S420" i="13"/>
  <c r="S388" i="13"/>
  <c r="S356" i="13"/>
  <c r="S324" i="13"/>
  <c r="S292" i="13"/>
  <c r="S260" i="13"/>
  <c r="S228" i="13"/>
  <c r="S196" i="13"/>
  <c r="S164" i="13"/>
  <c r="S142" i="13"/>
  <c r="S121" i="13"/>
  <c r="S100" i="13"/>
  <c r="S78" i="13"/>
  <c r="S57" i="13"/>
  <c r="S36" i="13"/>
  <c r="S14" i="13"/>
  <c r="S949" i="13"/>
  <c r="S885" i="13"/>
  <c r="S821" i="13"/>
  <c r="S745" i="13"/>
  <c r="S689" i="13"/>
  <c r="S625" i="13"/>
  <c r="S569" i="13"/>
  <c r="S537" i="13"/>
  <c r="S505" i="13"/>
  <c r="S473" i="13"/>
  <c r="S441" i="13"/>
  <c r="S409" i="13"/>
  <c r="S377" i="13"/>
  <c r="S345" i="13"/>
  <c r="S313" i="13"/>
  <c r="S281" i="13"/>
  <c r="S249" i="13"/>
  <c r="S217" i="13"/>
  <c r="S185" i="13"/>
  <c r="S157" i="13"/>
  <c r="S136" i="13"/>
  <c r="S114" i="13"/>
  <c r="S93" i="13"/>
  <c r="S72" i="13"/>
  <c r="S50" i="13"/>
  <c r="S29" i="13"/>
  <c r="S8" i="13"/>
  <c r="S954" i="13"/>
  <c r="S930" i="13"/>
  <c r="S910" i="13"/>
  <c r="S890" i="13"/>
  <c r="S866" i="13"/>
  <c r="S846" i="13"/>
  <c r="S826" i="13"/>
  <c r="S802" i="13"/>
  <c r="S770" i="13"/>
  <c r="S750" i="13"/>
  <c r="S790" i="13"/>
  <c r="S714" i="13"/>
  <c r="S694" i="13"/>
  <c r="S670" i="13"/>
  <c r="S650" i="13"/>
  <c r="S630" i="13"/>
  <c r="S606" i="13"/>
  <c r="S586" i="13"/>
  <c r="S566" i="13"/>
  <c r="S542" i="13"/>
  <c r="S522" i="13"/>
  <c r="S502" i="13"/>
  <c r="S478" i="13"/>
  <c r="S458" i="13"/>
  <c r="S438" i="13"/>
  <c r="S414" i="13"/>
  <c r="S394" i="13"/>
  <c r="S374" i="13"/>
  <c r="S350" i="13"/>
  <c r="S330" i="13"/>
  <c r="S310" i="13"/>
  <c r="S286" i="13"/>
  <c r="S266" i="13"/>
  <c r="S246" i="13"/>
  <c r="S222" i="13"/>
  <c r="S202" i="13"/>
  <c r="S182" i="13"/>
  <c r="S968" i="13"/>
  <c r="S948" i="13"/>
  <c r="S928" i="13"/>
  <c r="S904" i="13"/>
  <c r="S884" i="13"/>
  <c r="S864" i="13"/>
  <c r="S840" i="13"/>
  <c r="S820" i="13"/>
  <c r="S800" i="13"/>
  <c r="S764" i="13"/>
  <c r="S744" i="13"/>
  <c r="S732" i="13"/>
  <c r="S708" i="13"/>
  <c r="S688" i="13"/>
  <c r="S668" i="13"/>
  <c r="S644" i="13"/>
  <c r="S624" i="13"/>
  <c r="S604" i="13"/>
  <c r="S580" i="13"/>
  <c r="S955" i="13"/>
  <c r="S935" i="13"/>
  <c r="S911" i="13"/>
  <c r="S891" i="13"/>
  <c r="S871" i="13"/>
  <c r="S847" i="13"/>
  <c r="S827" i="13"/>
  <c r="S807" i="13"/>
  <c r="S771" i="13"/>
  <c r="S751" i="13"/>
  <c r="S795" i="13"/>
  <c r="S715" i="13"/>
  <c r="S695" i="13"/>
  <c r="S675" i="13"/>
  <c r="S651" i="13"/>
  <c r="S631" i="13"/>
  <c r="S611" i="13"/>
  <c r="S587" i="13"/>
  <c r="S567" i="13"/>
  <c r="S547" i="13"/>
  <c r="S523" i="13"/>
  <c r="S503" i="13"/>
  <c r="S483" i="13"/>
  <c r="S459" i="13"/>
  <c r="S439" i="13"/>
  <c r="S419" i="13"/>
  <c r="S395" i="13"/>
  <c r="S375" i="13"/>
  <c r="S355" i="13"/>
  <c r="S331" i="13"/>
  <c r="S311" i="13"/>
  <c r="S291" i="13"/>
  <c r="S267" i="13"/>
  <c r="S247" i="13"/>
  <c r="S227" i="13"/>
  <c r="S203" i="13"/>
  <c r="S183" i="13"/>
  <c r="S163" i="13"/>
  <c r="S139" i="13"/>
  <c r="S119" i="13"/>
  <c r="S99" i="13"/>
  <c r="S75" i="13"/>
  <c r="S55" i="13"/>
  <c r="S35" i="13"/>
  <c r="S11" i="13"/>
  <c r="S929" i="13"/>
  <c r="S849" i="13"/>
  <c r="S741" i="13"/>
  <c r="S669" i="13"/>
  <c r="S589" i="13"/>
  <c r="S536" i="13"/>
  <c r="S496" i="13"/>
  <c r="S456" i="13"/>
  <c r="S408" i="13"/>
  <c r="S368" i="13"/>
  <c r="S328" i="13"/>
  <c r="S280" i="13"/>
  <c r="S240" i="13"/>
  <c r="S200" i="13"/>
  <c r="S156" i="13"/>
  <c r="S129" i="13"/>
  <c r="S102" i="13"/>
  <c r="S70" i="13"/>
  <c r="S44" i="13"/>
  <c r="S17" i="13"/>
  <c r="S909" i="13"/>
  <c r="S829" i="13"/>
  <c r="S737" i="13"/>
  <c r="S649" i="13"/>
  <c r="S573" i="13"/>
  <c r="S533" i="13"/>
  <c r="S485" i="13"/>
  <c r="S445" i="13"/>
  <c r="S405" i="13"/>
  <c r="S357" i="13"/>
  <c r="S317" i="13"/>
  <c r="S277" i="13"/>
  <c r="S229" i="13"/>
  <c r="S189" i="13"/>
  <c r="S154" i="13"/>
  <c r="S122" i="13"/>
  <c r="S96" i="13"/>
  <c r="S69" i="13"/>
  <c r="S37" i="13"/>
  <c r="S10" i="13"/>
  <c r="S921" i="13"/>
  <c r="S825" i="13"/>
  <c r="S733" i="13"/>
  <c r="S661" i="13"/>
  <c r="S572" i="13"/>
  <c r="S532" i="13"/>
  <c r="S492" i="13"/>
  <c r="S444" i="13"/>
  <c r="S404" i="13"/>
  <c r="S364" i="13"/>
  <c r="S316" i="13"/>
  <c r="S276" i="13"/>
  <c r="S236" i="13"/>
  <c r="S188" i="13"/>
  <c r="S153" i="13"/>
  <c r="S126" i="13"/>
  <c r="S94" i="13"/>
  <c r="S68" i="13"/>
  <c r="S41" i="13"/>
  <c r="S9" i="13"/>
  <c r="S917" i="13"/>
  <c r="S837" i="13"/>
  <c r="S793" i="13"/>
  <c r="S657" i="13"/>
  <c r="S577" i="13"/>
  <c r="S529" i="13"/>
  <c r="S489" i="13"/>
  <c r="S449" i="13"/>
  <c r="S401" i="13"/>
  <c r="S361" i="13"/>
  <c r="S321" i="13"/>
  <c r="S273" i="13"/>
  <c r="S233" i="13"/>
  <c r="S193" i="13"/>
  <c r="S152" i="13"/>
  <c r="S125" i="13"/>
  <c r="S98" i="13"/>
  <c r="S66" i="13"/>
  <c r="S40" i="13"/>
  <c r="S13" i="13"/>
  <c r="S786" i="13"/>
  <c r="S946" i="13"/>
  <c r="S926" i="13"/>
  <c r="S906" i="13"/>
  <c r="S882" i="13"/>
  <c r="S862" i="13"/>
  <c r="S842" i="13"/>
  <c r="S818" i="13"/>
  <c r="S798" i="13"/>
  <c r="S766" i="13"/>
  <c r="S742" i="13"/>
  <c r="S730" i="13"/>
  <c r="S710" i="13"/>
  <c r="S686" i="13"/>
  <c r="S666" i="13"/>
  <c r="S646" i="13"/>
  <c r="S622" i="13"/>
  <c r="S602" i="13"/>
  <c r="S582" i="13"/>
  <c r="S558" i="13"/>
  <c r="S538" i="13"/>
  <c r="S518" i="13"/>
  <c r="S494" i="13"/>
  <c r="S474" i="13"/>
  <c r="S454" i="13"/>
  <c r="S430" i="13"/>
  <c r="S410" i="13"/>
  <c r="S390" i="13"/>
  <c r="S366" i="13"/>
  <c r="S346" i="13"/>
  <c r="S326" i="13"/>
  <c r="S302" i="13"/>
  <c r="S282" i="13"/>
  <c r="S262" i="13"/>
  <c r="S238" i="13"/>
  <c r="S218" i="13"/>
  <c r="S198" i="13"/>
  <c r="S174" i="13"/>
  <c r="S964" i="13"/>
  <c r="S944" i="13"/>
  <c r="S920" i="13"/>
  <c r="S900" i="13"/>
  <c r="S880" i="13"/>
  <c r="S856" i="13"/>
  <c r="S836" i="13"/>
  <c r="S816" i="13"/>
  <c r="S780" i="13"/>
  <c r="S760" i="13"/>
  <c r="S740" i="13"/>
  <c r="S724" i="13"/>
  <c r="S704" i="13"/>
  <c r="S684" i="13"/>
  <c r="S660" i="13"/>
  <c r="S640" i="13"/>
  <c r="S620" i="13"/>
  <c r="S596" i="13"/>
  <c r="S787" i="13"/>
  <c r="S951" i="13"/>
  <c r="S927" i="13"/>
  <c r="S907" i="13"/>
  <c r="S887" i="13"/>
  <c r="S863" i="13"/>
  <c r="S843" i="13"/>
  <c r="S823" i="13"/>
  <c r="S799" i="13"/>
  <c r="S767" i="13"/>
  <c r="S747" i="13"/>
  <c r="S731" i="13"/>
  <c r="S711" i="13"/>
  <c r="S691" i="13"/>
  <c r="S667" i="13"/>
  <c r="S647" i="13"/>
  <c r="S627" i="13"/>
  <c r="S603" i="13"/>
  <c r="S583" i="13"/>
  <c r="S563" i="13"/>
  <c r="S539" i="13"/>
  <c r="S519" i="13"/>
  <c r="S499" i="13"/>
  <c r="S475" i="13"/>
  <c r="S455" i="13"/>
  <c r="S435" i="13"/>
  <c r="S411" i="13"/>
  <c r="S391" i="13"/>
  <c r="S371" i="13"/>
  <c r="S347" i="13"/>
  <c r="S327" i="13"/>
  <c r="S307" i="13"/>
  <c r="S283" i="13"/>
  <c r="S263" i="13"/>
  <c r="S243" i="13"/>
  <c r="S219" i="13"/>
  <c r="S199" i="13"/>
  <c r="S179" i="13"/>
  <c r="S155" i="13"/>
  <c r="S135" i="13"/>
  <c r="S115" i="13"/>
  <c r="S91" i="13"/>
  <c r="S71" i="13"/>
  <c r="S51" i="13"/>
  <c r="S27" i="13"/>
  <c r="S7" i="13"/>
  <c r="S913" i="13"/>
  <c r="S817" i="13"/>
  <c r="S789" i="13"/>
  <c r="S653" i="13"/>
  <c r="S568" i="13"/>
  <c r="S528" i="13"/>
  <c r="S488" i="13"/>
  <c r="S440" i="13"/>
  <c r="S400" i="13"/>
  <c r="S360" i="13"/>
  <c r="S312" i="13"/>
  <c r="S272" i="13"/>
  <c r="S232" i="13"/>
  <c r="S184" i="13"/>
  <c r="S150" i="13"/>
  <c r="S124" i="13"/>
  <c r="S92" i="13"/>
  <c r="S65" i="13"/>
  <c r="S38" i="13"/>
  <c r="S6" i="13"/>
  <c r="S893" i="13"/>
  <c r="S813" i="13"/>
  <c r="S713" i="13"/>
  <c r="S633" i="13"/>
  <c r="S565" i="13"/>
  <c r="S517" i="13"/>
  <c r="S477" i="13"/>
  <c r="S437" i="13"/>
  <c r="S389" i="13"/>
  <c r="S349" i="13"/>
  <c r="S309" i="13"/>
  <c r="S261" i="13"/>
  <c r="S221" i="13"/>
  <c r="S181" i="13"/>
  <c r="S144" i="13"/>
  <c r="S117" i="13"/>
  <c r="S90" i="13"/>
  <c r="S58" i="13"/>
  <c r="S32" i="13"/>
  <c r="S5" i="13"/>
  <c r="S889" i="13"/>
  <c r="S809" i="13"/>
  <c r="S725" i="13"/>
  <c r="S629" i="13"/>
  <c r="S564" i="13"/>
  <c r="S524" i="13"/>
  <c r="S476" i="13"/>
  <c r="S436" i="13"/>
  <c r="S396" i="13"/>
  <c r="S348" i="13"/>
  <c r="S308" i="13"/>
  <c r="S268" i="13"/>
  <c r="S220" i="13"/>
  <c r="S180" i="13"/>
  <c r="S148" i="13"/>
  <c r="S116" i="13"/>
  <c r="S89" i="13"/>
  <c r="S62" i="13"/>
  <c r="S30" i="13"/>
  <c r="S4" i="13"/>
  <c r="S901" i="13"/>
  <c r="S805" i="13"/>
  <c r="S721" i="13"/>
  <c r="S641" i="13"/>
  <c r="S561" i="13"/>
  <c r="S521" i="13"/>
  <c r="S481" i="13"/>
  <c r="S433" i="13"/>
  <c r="S393" i="13"/>
  <c r="S353" i="13"/>
  <c r="S305" i="13"/>
  <c r="S265" i="13"/>
  <c r="S225" i="13"/>
  <c r="S177" i="13"/>
  <c r="S146" i="13"/>
  <c r="S120" i="13"/>
  <c r="S88" i="13"/>
  <c r="S61" i="13"/>
  <c r="S34" i="13"/>
  <c r="S2" i="13"/>
  <c r="S962" i="13"/>
  <c r="S942" i="13"/>
  <c r="S922" i="13"/>
  <c r="S898" i="13"/>
  <c r="S878" i="13"/>
  <c r="S858" i="13"/>
  <c r="S834" i="13"/>
  <c r="S814" i="13"/>
  <c r="S782" i="13"/>
  <c r="S758" i="13"/>
  <c r="S738" i="13"/>
  <c r="S726" i="13"/>
  <c r="S702" i="13"/>
  <c r="S682" i="13"/>
  <c r="S662" i="13"/>
  <c r="S638" i="13"/>
  <c r="S618" i="13"/>
  <c r="S598" i="13"/>
  <c r="S574" i="13"/>
  <c r="S554" i="13"/>
  <c r="S534" i="13"/>
  <c r="S510" i="13"/>
  <c r="S490" i="13"/>
  <c r="S470" i="13"/>
  <c r="S446" i="13"/>
  <c r="S426" i="13"/>
  <c r="S406" i="13"/>
  <c r="S382" i="13"/>
  <c r="S362" i="13"/>
  <c r="S342" i="13"/>
  <c r="S318" i="13"/>
  <c r="S298" i="13"/>
  <c r="S278" i="13"/>
  <c r="S254" i="13"/>
  <c r="S234" i="13"/>
  <c r="S214" i="13"/>
  <c r="S190" i="13"/>
  <c r="S170" i="13"/>
  <c r="S960" i="13"/>
  <c r="S936" i="13"/>
  <c r="S916" i="13"/>
  <c r="S896" i="13"/>
  <c r="S872" i="13"/>
  <c r="S852" i="13"/>
  <c r="S832" i="13"/>
  <c r="S808" i="13"/>
  <c r="S776" i="13"/>
  <c r="S756" i="13"/>
  <c r="S796" i="13"/>
  <c r="S720" i="13"/>
  <c r="S700" i="13"/>
  <c r="S676" i="13"/>
  <c r="S656" i="13"/>
  <c r="S636" i="13"/>
  <c r="S612" i="13"/>
  <c r="S592" i="13"/>
  <c r="S967" i="13"/>
  <c r="S943" i="13"/>
  <c r="S923" i="13"/>
  <c r="S903" i="13"/>
  <c r="S879" i="13"/>
  <c r="S859" i="13"/>
  <c r="S839" i="13"/>
  <c r="S815" i="13"/>
  <c r="S783" i="13"/>
  <c r="S763" i="13"/>
  <c r="S739" i="13"/>
  <c r="S727" i="13"/>
  <c r="S707" i="13"/>
  <c r="S683" i="13"/>
  <c r="S663" i="13"/>
  <c r="S643" i="13"/>
  <c r="S619" i="13"/>
  <c r="S599" i="13"/>
  <c r="S579" i="13"/>
  <c r="S555" i="13"/>
  <c r="S535" i="13"/>
  <c r="S515" i="13"/>
  <c r="S491" i="13"/>
  <c r="S471" i="13"/>
  <c r="S451" i="13"/>
  <c r="S427" i="13"/>
  <c r="S407" i="13"/>
  <c r="S387" i="13"/>
  <c r="S363" i="13"/>
  <c r="S343" i="13"/>
  <c r="S323" i="13"/>
  <c r="S299" i="13"/>
  <c r="S279" i="13"/>
  <c r="S259" i="13"/>
  <c r="S235" i="13"/>
  <c r="S215" i="13"/>
  <c r="S195" i="13"/>
  <c r="S171" i="13"/>
  <c r="S151" i="13"/>
  <c r="S131" i="13"/>
  <c r="S107" i="13"/>
  <c r="S87" i="13"/>
  <c r="S67" i="13"/>
  <c r="S43" i="13"/>
  <c r="S23" i="13"/>
  <c r="S3" i="13"/>
  <c r="S881" i="13"/>
  <c r="S801" i="13"/>
  <c r="S717" i="13"/>
  <c r="S621" i="13"/>
  <c r="S560" i="13"/>
  <c r="S520" i="13"/>
  <c r="S472" i="13"/>
  <c r="S432" i="13"/>
  <c r="S392" i="13"/>
  <c r="S344" i="13"/>
  <c r="S304" i="13"/>
  <c r="S264" i="13"/>
  <c r="S216" i="13"/>
  <c r="S176" i="13"/>
  <c r="S145" i="13"/>
  <c r="S113" i="13"/>
  <c r="S86" i="13"/>
  <c r="S60" i="13"/>
  <c r="S28" i="13"/>
  <c r="S957" i="13"/>
  <c r="S877" i="13"/>
  <c r="S769" i="13"/>
  <c r="S697" i="13"/>
  <c r="S617" i="13"/>
  <c r="S549" i="13"/>
  <c r="S509" i="13"/>
  <c r="S469" i="13"/>
  <c r="S421" i="13"/>
  <c r="S381" i="13"/>
  <c r="S341" i="13"/>
  <c r="S293" i="13"/>
  <c r="S253" i="13"/>
  <c r="S213" i="13"/>
  <c r="S165" i="13"/>
  <c r="S138" i="13"/>
  <c r="S112" i="13"/>
  <c r="S80" i="13"/>
  <c r="S53" i="13"/>
  <c r="S26" i="13"/>
  <c r="S953" i="13"/>
  <c r="S873" i="13"/>
  <c r="S781" i="13"/>
  <c r="S693" i="13"/>
  <c r="S613" i="13"/>
  <c r="S556" i="13"/>
  <c r="S508" i="13"/>
  <c r="S468" i="13"/>
  <c r="S428" i="13"/>
  <c r="S380" i="13"/>
  <c r="S340" i="13"/>
  <c r="S300" i="13"/>
  <c r="S252" i="13"/>
  <c r="S212" i="13"/>
  <c r="S172" i="13"/>
  <c r="S137" i="13"/>
  <c r="S110" i="13"/>
  <c r="S84" i="13"/>
  <c r="S52" i="13"/>
  <c r="S25" i="13"/>
  <c r="S965" i="13"/>
  <c r="S869" i="13"/>
  <c r="S777" i="13"/>
  <c r="S705" i="13"/>
  <c r="S609" i="13"/>
  <c r="S553" i="13"/>
  <c r="S513" i="13"/>
  <c r="S465" i="13"/>
  <c r="S425" i="13"/>
  <c r="S385" i="13"/>
  <c r="S337" i="13"/>
  <c r="S297" i="13"/>
  <c r="S257" i="13"/>
  <c r="S209" i="13"/>
  <c r="S169" i="13"/>
  <c r="S141" i="13"/>
  <c r="S109" i="13"/>
  <c r="S82" i="13"/>
  <c r="S56" i="13"/>
  <c r="S24" i="13"/>
  <c r="S958" i="13"/>
  <c r="S938" i="13"/>
  <c r="S914" i="13"/>
  <c r="S894" i="13"/>
  <c r="S874" i="13"/>
  <c r="S850" i="13"/>
  <c r="S830" i="13"/>
  <c r="S810" i="13"/>
  <c r="S774" i="13"/>
  <c r="S754" i="13"/>
  <c r="S734" i="13"/>
  <c r="S718" i="13"/>
  <c r="S698" i="13"/>
  <c r="S678" i="13"/>
  <c r="S654" i="13"/>
  <c r="S634" i="13"/>
  <c r="S614" i="13"/>
  <c r="S590" i="13"/>
  <c r="S570" i="13"/>
  <c r="S550" i="13"/>
  <c r="S526" i="13"/>
  <c r="S506" i="13"/>
  <c r="S486" i="13"/>
  <c r="S462" i="13"/>
  <c r="S442" i="13"/>
  <c r="S422" i="13"/>
  <c r="S398" i="13"/>
  <c r="S378" i="13"/>
  <c r="S358" i="13"/>
  <c r="S334" i="13"/>
  <c r="S314" i="13"/>
  <c r="S294" i="13"/>
  <c r="S270" i="13"/>
  <c r="S250" i="13"/>
  <c r="S230" i="13"/>
  <c r="S206" i="13"/>
  <c r="S186" i="13"/>
  <c r="S166" i="13"/>
  <c r="S952" i="13"/>
  <c r="S932" i="13"/>
  <c r="S912" i="13"/>
  <c r="S888" i="13"/>
  <c r="S868" i="13"/>
  <c r="S848" i="13"/>
  <c r="S824" i="13"/>
  <c r="S804" i="13"/>
  <c r="S772" i="13"/>
  <c r="S748" i="13"/>
  <c r="S792" i="13"/>
  <c r="S716" i="13"/>
  <c r="S692" i="13"/>
  <c r="S672" i="13"/>
  <c r="S652" i="13"/>
  <c r="S628" i="13"/>
  <c r="S608" i="13"/>
  <c r="S588" i="13"/>
  <c r="S959" i="13"/>
  <c r="S939" i="13"/>
  <c r="S919" i="13"/>
  <c r="S895" i="13"/>
  <c r="S875" i="13"/>
  <c r="S855" i="13"/>
  <c r="S831" i="13"/>
  <c r="S811" i="13"/>
  <c r="S779" i="13"/>
  <c r="S755" i="13"/>
  <c r="S735" i="13"/>
  <c r="S723" i="13"/>
  <c r="S699" i="13"/>
  <c r="S679" i="13"/>
  <c r="S659" i="13"/>
  <c r="S635" i="13"/>
  <c r="S615" i="13"/>
  <c r="S595" i="13"/>
  <c r="S571" i="13"/>
  <c r="S551" i="13"/>
  <c r="S531" i="13"/>
  <c r="S507" i="13"/>
  <c r="S487" i="13"/>
  <c r="S467" i="13"/>
  <c r="S443" i="13"/>
  <c r="S423" i="13"/>
  <c r="S403" i="13"/>
  <c r="S379" i="13"/>
  <c r="S359" i="13"/>
  <c r="S339" i="13"/>
  <c r="S315" i="13"/>
  <c r="S295" i="13"/>
  <c r="S275" i="13"/>
  <c r="S251" i="13"/>
  <c r="S231" i="13"/>
  <c r="S211" i="13"/>
  <c r="S187" i="13"/>
  <c r="S167" i="13"/>
  <c r="S147" i="13"/>
  <c r="S123" i="13"/>
  <c r="S103" i="13"/>
  <c r="S83" i="13"/>
  <c r="S59" i="13"/>
  <c r="S39" i="13"/>
  <c r="S19" i="13"/>
  <c r="S945" i="13"/>
  <c r="S865" i="13"/>
  <c r="S773" i="13"/>
  <c r="S685" i="13"/>
  <c r="S605" i="13"/>
  <c r="S552" i="13"/>
  <c r="S504" i="13"/>
  <c r="S464" i="13"/>
  <c r="S424" i="13"/>
  <c r="S376" i="13"/>
  <c r="S336" i="13"/>
  <c r="S296" i="13"/>
  <c r="S248" i="13"/>
  <c r="S208" i="13"/>
  <c r="S168" i="13"/>
  <c r="S134" i="13"/>
  <c r="S108" i="13"/>
  <c r="S81" i="13"/>
  <c r="S49" i="13"/>
  <c r="S22" i="13"/>
  <c r="S941" i="13"/>
  <c r="S845" i="13"/>
  <c r="S753" i="13"/>
  <c r="S681" i="13"/>
  <c r="S585" i="13"/>
  <c r="S541" i="13"/>
  <c r="S501" i="13"/>
  <c r="S453" i="13"/>
  <c r="S413" i="13"/>
  <c r="S373" i="13"/>
  <c r="S325" i="13"/>
  <c r="S285" i="13"/>
  <c r="S245" i="13"/>
  <c r="S197" i="13"/>
  <c r="S160" i="13"/>
  <c r="S133" i="13"/>
  <c r="S101" i="13"/>
  <c r="S74" i="13"/>
  <c r="S48" i="13"/>
  <c r="S16" i="13"/>
  <c r="S937" i="13"/>
  <c r="S857" i="13"/>
  <c r="S749" i="13"/>
  <c r="S677" i="13"/>
  <c r="S597" i="13"/>
  <c r="S540" i="13"/>
  <c r="S500" i="13"/>
  <c r="S460" i="13"/>
  <c r="S412" i="13"/>
  <c r="S372" i="13"/>
  <c r="S332" i="13"/>
  <c r="S284" i="13"/>
  <c r="S244" i="13"/>
  <c r="S204" i="13"/>
  <c r="S158" i="13"/>
  <c r="S132" i="13"/>
  <c r="S105" i="13"/>
  <c r="S73" i="13"/>
  <c r="S46" i="13"/>
  <c r="S20" i="13"/>
  <c r="S933" i="13"/>
  <c r="S853" i="13"/>
  <c r="S761" i="13"/>
  <c r="S673" i="13"/>
  <c r="S593" i="13"/>
  <c r="S545" i="13"/>
  <c r="S497" i="13"/>
  <c r="S457" i="13"/>
  <c r="S417" i="13"/>
  <c r="S369" i="13"/>
  <c r="S329" i="13"/>
  <c r="S289" i="13"/>
  <c r="S241" i="13"/>
  <c r="S201" i="13"/>
  <c r="S162" i="13"/>
  <c r="S130" i="13"/>
  <c r="S104" i="13"/>
  <c r="S77" i="13"/>
  <c r="S45" i="13"/>
  <c r="S18" i="13"/>
  <c r="C29" i="15"/>
  <c r="C32" i="15"/>
  <c r="C20" i="14"/>
  <c r="B8" i="15"/>
  <c r="B9" i="15"/>
  <c r="B11" i="15"/>
  <c r="C28" i="15"/>
  <c r="C15" i="15"/>
  <c r="C22" i="15"/>
  <c r="M966" i="13"/>
  <c r="M962" i="13"/>
  <c r="M958" i="13"/>
  <c r="M954" i="13"/>
  <c r="M950" i="13"/>
  <c r="M946" i="13"/>
  <c r="M942" i="13"/>
  <c r="M965" i="13"/>
  <c r="M960" i="13"/>
  <c r="M955" i="13"/>
  <c r="M949" i="13"/>
  <c r="M944" i="13"/>
  <c r="M967" i="13"/>
  <c r="M959" i="13"/>
  <c r="M952" i="13"/>
  <c r="M945" i="13"/>
  <c r="M961" i="13"/>
  <c r="M951" i="13"/>
  <c r="M968" i="13"/>
  <c r="M956" i="13"/>
  <c r="M943" i="13"/>
  <c r="M964" i="13"/>
  <c r="M953" i="13"/>
  <c r="M963" i="13"/>
  <c r="M948" i="13"/>
  <c r="M947" i="13"/>
  <c r="M957" i="13"/>
  <c r="D16" i="14"/>
  <c r="D24" i="14"/>
  <c r="D32" i="14"/>
  <c r="D21" i="14"/>
  <c r="D29" i="14"/>
  <c r="D14" i="14"/>
  <c r="D22" i="14"/>
  <c r="D30" i="14"/>
  <c r="D15" i="14"/>
  <c r="D23" i="14"/>
  <c r="D31" i="14"/>
  <c r="D25" i="14"/>
  <c r="D34" i="14"/>
  <c r="D20" i="14"/>
  <c r="D33" i="14"/>
  <c r="D19" i="14"/>
  <c r="D28" i="14"/>
  <c r="D18" i="14"/>
  <c r="D27" i="14"/>
  <c r="D17" i="14"/>
  <c r="D26" i="14"/>
  <c r="F19" i="6"/>
  <c r="B8" i="27"/>
  <c r="B9" i="27"/>
  <c r="B11" i="27"/>
  <c r="C34" i="7"/>
  <c r="B8" i="7"/>
  <c r="B9" i="7"/>
  <c r="B11" i="7"/>
  <c r="C20" i="7"/>
  <c r="F26" i="8"/>
  <c r="G26" i="8"/>
  <c r="G13" i="8"/>
  <c r="G15" i="8"/>
  <c r="C31" i="26"/>
  <c r="C34" i="26"/>
  <c r="E41" i="11"/>
  <c r="E42" i="11"/>
  <c r="B51" i="21"/>
  <c r="B67" i="21"/>
  <c r="B64" i="21"/>
  <c r="B57" i="21"/>
  <c r="B50" i="21"/>
  <c r="B66" i="21"/>
  <c r="L30" i="22"/>
  <c r="L14" i="22"/>
  <c r="L29" i="22"/>
  <c r="L13" i="22"/>
  <c r="L20" i="22"/>
  <c r="L27" i="22"/>
  <c r="L24" i="22"/>
  <c r="L23" i="22"/>
  <c r="B55" i="21"/>
  <c r="B52" i="21"/>
  <c r="B68" i="21"/>
  <c r="B61" i="21"/>
  <c r="B54" i="21"/>
  <c r="L42" i="22"/>
  <c r="L26" i="22"/>
  <c r="L41" i="22"/>
  <c r="L25" i="22"/>
  <c r="L44" i="22"/>
  <c r="L12" i="22"/>
  <c r="L19" i="22"/>
  <c r="L16" i="22"/>
  <c r="L15" i="22"/>
  <c r="B59" i="21"/>
  <c r="B56" i="21"/>
  <c r="B49" i="21"/>
  <c r="B65" i="21"/>
  <c r="B58" i="21"/>
  <c r="L38" i="22"/>
  <c r="L22" i="22"/>
  <c r="L37" i="22"/>
  <c r="L21" i="22"/>
  <c r="L36" i="22"/>
  <c r="L43" i="22"/>
  <c r="L11" i="22"/>
  <c r="L40" i="22"/>
  <c r="L39" i="22"/>
  <c r="B63" i="21"/>
  <c r="B60" i="21"/>
  <c r="B53" i="21"/>
  <c r="B69" i="21"/>
  <c r="B62" i="21"/>
  <c r="L34" i="22"/>
  <c r="L18" i="22"/>
  <c r="L33" i="22"/>
  <c r="L17" i="22"/>
  <c r="L28" i="22"/>
  <c r="L35" i="22"/>
  <c r="L32" i="22"/>
  <c r="L31" i="22"/>
  <c r="R187" i="17"/>
  <c r="R171" i="17"/>
  <c r="R145" i="17"/>
  <c r="R129" i="17"/>
  <c r="R113" i="17"/>
  <c r="R97" i="17"/>
  <c r="R157" i="17"/>
  <c r="R89" i="17"/>
  <c r="R73" i="17"/>
  <c r="R57" i="17"/>
  <c r="R41" i="17"/>
  <c r="R194" i="17"/>
  <c r="R178" i="17"/>
  <c r="R185" i="17"/>
  <c r="R169" i="17"/>
  <c r="R143" i="17"/>
  <c r="R127" i="17"/>
  <c r="R111" i="17"/>
  <c r="R95" i="17"/>
  <c r="R155" i="17"/>
  <c r="R87" i="17"/>
  <c r="R71" i="17"/>
  <c r="R55" i="17"/>
  <c r="R39" i="17"/>
  <c r="R23" i="17"/>
  <c r="R7" i="17"/>
  <c r="R188" i="17"/>
  <c r="R172" i="17"/>
  <c r="R146" i="17"/>
  <c r="R130" i="17"/>
  <c r="R114" i="17"/>
  <c r="R98" i="17"/>
  <c r="R158" i="17"/>
  <c r="R90" i="17"/>
  <c r="R74" i="17"/>
  <c r="R58" i="17"/>
  <c r="R42" i="17"/>
  <c r="R26" i="17"/>
  <c r="R10" i="17"/>
  <c r="R144" i="17"/>
  <c r="R156" i="17"/>
  <c r="R40" i="17"/>
  <c r="R166" i="17"/>
  <c r="R242" i="17"/>
  <c r="R52" i="17"/>
  <c r="R8" i="17"/>
  <c r="R104" i="17"/>
  <c r="R64" i="17"/>
  <c r="R13" i="17"/>
  <c r="R116" i="17"/>
  <c r="R76" i="17"/>
  <c r="R20" i="17"/>
  <c r="R179" i="17"/>
  <c r="R149" i="17"/>
  <c r="R125" i="17"/>
  <c r="R105" i="17"/>
  <c r="R161" i="17"/>
  <c r="R85" i="17"/>
  <c r="R65" i="17"/>
  <c r="R45" i="17"/>
  <c r="R190" i="17"/>
  <c r="R193" i="17"/>
  <c r="R173" i="17"/>
  <c r="R139" i="17"/>
  <c r="R119" i="17"/>
  <c r="R99" i="17"/>
  <c r="R210" i="17"/>
  <c r="R79" i="17"/>
  <c r="R59" i="17"/>
  <c r="R35" i="17"/>
  <c r="R15" i="17"/>
  <c r="R192" i="17"/>
  <c r="R168" i="17"/>
  <c r="R138" i="17"/>
  <c r="R118" i="17"/>
  <c r="R244" i="17"/>
  <c r="R209" i="17"/>
  <c r="R78" i="17"/>
  <c r="R54" i="17"/>
  <c r="R34" i="17"/>
  <c r="R14" i="17"/>
  <c r="R128" i="17"/>
  <c r="R72" i="17"/>
  <c r="R9" i="17"/>
  <c r="R211" i="17"/>
  <c r="R24" i="17"/>
  <c r="R120" i="17"/>
  <c r="R48" i="17"/>
  <c r="R148" i="17"/>
  <c r="R92" i="17"/>
  <c r="R12" i="17"/>
  <c r="R195" i="17"/>
  <c r="R175" i="17"/>
  <c r="R141" i="17"/>
  <c r="R121" i="17"/>
  <c r="R101" i="17"/>
  <c r="R212" i="17"/>
  <c r="R81" i="17"/>
  <c r="R61" i="17"/>
  <c r="R37" i="17"/>
  <c r="R186" i="17"/>
  <c r="R189" i="17"/>
  <c r="R165" i="17"/>
  <c r="R135" i="17"/>
  <c r="R115" i="17"/>
  <c r="R241" i="17"/>
  <c r="R206" i="17"/>
  <c r="R75" i="17"/>
  <c r="R51" i="17"/>
  <c r="R31" i="17"/>
  <c r="R11" i="17"/>
  <c r="R184" i="17"/>
  <c r="R154" i="17"/>
  <c r="R134" i="17"/>
  <c r="R110" i="17"/>
  <c r="R240" i="17"/>
  <c r="R94" i="17"/>
  <c r="R70" i="17"/>
  <c r="R50" i="17"/>
  <c r="R30" i="17"/>
  <c r="R6" i="17"/>
  <c r="R112" i="17"/>
  <c r="R56" i="17"/>
  <c r="R140" i="17"/>
  <c r="R84" i="17"/>
  <c r="R16" i="17"/>
  <c r="R164" i="17"/>
  <c r="R32" i="17"/>
  <c r="R132" i="17"/>
  <c r="R60" i="17"/>
  <c r="R4" i="17"/>
  <c r="R191" i="17"/>
  <c r="R167" i="17"/>
  <c r="R137" i="17"/>
  <c r="R117" i="17"/>
  <c r="R243" i="17"/>
  <c r="R208" i="17"/>
  <c r="R77" i="17"/>
  <c r="R53" i="17"/>
  <c r="R33" i="17"/>
  <c r="R182" i="17"/>
  <c r="R181" i="17"/>
  <c r="R151" i="17"/>
  <c r="R131" i="17"/>
  <c r="R107" i="17"/>
  <c r="R163" i="17"/>
  <c r="R91" i="17"/>
  <c r="R67" i="17"/>
  <c r="R47" i="17"/>
  <c r="R27" i="17"/>
  <c r="R3" i="17"/>
  <c r="R180" i="17"/>
  <c r="R150" i="17"/>
  <c r="R126" i="17"/>
  <c r="R106" i="17"/>
  <c r="R162" i="17"/>
  <c r="R86" i="17"/>
  <c r="R66" i="17"/>
  <c r="R46" i="17"/>
  <c r="R22" i="17"/>
  <c r="R2" i="17"/>
  <c r="R96" i="17"/>
  <c r="R25" i="17"/>
  <c r="R124" i="17"/>
  <c r="R68" i="17"/>
  <c r="R152" i="17"/>
  <c r="R207" i="17"/>
  <c r="R21" i="17"/>
  <c r="R100" i="17"/>
  <c r="R44" i="17"/>
  <c r="R183" i="17"/>
  <c r="R239" i="17"/>
  <c r="R29" i="17"/>
  <c r="R123" i="17"/>
  <c r="R63" i="17"/>
  <c r="R176" i="17"/>
  <c r="R213" i="17"/>
  <c r="R18" i="17"/>
  <c r="R108" i="17"/>
  <c r="R5" i="17"/>
  <c r="R153" i="17"/>
  <c r="R93" i="17"/>
  <c r="R174" i="17"/>
  <c r="R103" i="17"/>
  <c r="R43" i="17"/>
  <c r="R142" i="17"/>
  <c r="R82" i="17"/>
  <c r="R170" i="17"/>
  <c r="R36" i="17"/>
  <c r="R160" i="17"/>
  <c r="R133" i="17"/>
  <c r="R69" i="17"/>
  <c r="R177" i="17"/>
  <c r="R159" i="17"/>
  <c r="R19" i="17"/>
  <c r="R122" i="17"/>
  <c r="R62" i="17"/>
  <c r="R88" i="17"/>
  <c r="R136" i="17"/>
  <c r="R28" i="17"/>
  <c r="R109" i="17"/>
  <c r="R49" i="17"/>
  <c r="R147" i="17"/>
  <c r="R83" i="17"/>
  <c r="R196" i="17"/>
  <c r="R102" i="17"/>
  <c r="R38" i="17"/>
  <c r="R17" i="17"/>
  <c r="R80" i="17"/>
  <c r="C25" i="8"/>
  <c r="B7" i="8"/>
  <c r="B8" i="8"/>
  <c r="B10" i="8"/>
  <c r="C32" i="11"/>
  <c r="B8" i="11"/>
  <c r="B9" i="11"/>
  <c r="B11" i="11"/>
  <c r="C19" i="11"/>
  <c r="C26" i="11"/>
  <c r="C20" i="19"/>
  <c r="C16" i="19"/>
  <c r="C27" i="19"/>
  <c r="C22" i="19"/>
  <c r="C29" i="19"/>
  <c r="C23" i="15"/>
  <c r="L217" i="17"/>
  <c r="L233" i="17"/>
  <c r="L210" i="17"/>
  <c r="L226" i="17"/>
  <c r="L242" i="17"/>
  <c r="L236" i="17"/>
  <c r="L223" i="17"/>
  <c r="L216" i="17"/>
  <c r="L211" i="17"/>
  <c r="L243" i="17"/>
  <c r="D27" i="18"/>
  <c r="D19" i="18"/>
  <c r="D26" i="18"/>
  <c r="D16" i="18"/>
  <c r="D28" i="18"/>
  <c r="L209" i="17"/>
  <c r="L229" i="17"/>
  <c r="L214" i="17"/>
  <c r="L234" i="17"/>
  <c r="L228" i="17"/>
  <c r="L231" i="17"/>
  <c r="L232" i="17"/>
  <c r="L235" i="17"/>
  <c r="D25" i="18"/>
  <c r="D15" i="18"/>
  <c r="D24" i="18"/>
  <c r="D20" i="18"/>
  <c r="L213" i="17"/>
  <c r="L237" i="17"/>
  <c r="L218" i="17"/>
  <c r="L238" i="17"/>
  <c r="L244" i="17"/>
  <c r="L239" i="17"/>
  <c r="L240" i="17"/>
  <c r="D33" i="18"/>
  <c r="D23" i="18"/>
  <c r="D34" i="18"/>
  <c r="D30" i="18"/>
  <c r="L221" i="17"/>
  <c r="L241" i="17"/>
  <c r="L222" i="17"/>
  <c r="L212" i="17"/>
  <c r="L207" i="17"/>
  <c r="L208" i="17"/>
  <c r="L219" i="17"/>
  <c r="D31" i="18"/>
  <c r="D21" i="18"/>
  <c r="D18" i="18"/>
  <c r="D22" i="18"/>
  <c r="L225" i="17"/>
  <c r="L206" i="17"/>
  <c r="L230" i="17"/>
  <c r="L220" i="17"/>
  <c r="L215" i="17"/>
  <c r="L224" i="17"/>
  <c r="L227" i="17"/>
  <c r="D29" i="18"/>
  <c r="D17" i="18"/>
  <c r="D32" i="18"/>
  <c r="D14" i="18"/>
  <c r="S2" i="22"/>
  <c r="S3" i="22"/>
  <c r="S4" i="22"/>
  <c r="S5" i="22"/>
  <c r="S6" i="22"/>
  <c r="C14" i="27"/>
  <c r="C19" i="15"/>
  <c r="C26" i="15"/>
  <c r="C27" i="14"/>
  <c r="C32" i="14"/>
  <c r="C22" i="14"/>
  <c r="C17" i="14"/>
  <c r="C30" i="14"/>
  <c r="C14" i="14"/>
  <c r="C16" i="14"/>
  <c r="C24" i="14"/>
  <c r="B11" i="14"/>
  <c r="C25" i="14"/>
  <c r="C17" i="15"/>
  <c r="C31" i="15"/>
  <c r="C25" i="15"/>
  <c r="C33" i="15"/>
  <c r="C24" i="15"/>
  <c r="C27" i="15"/>
  <c r="C34" i="15"/>
  <c r="C18" i="15"/>
  <c r="C18" i="14"/>
  <c r="T966" i="13"/>
  <c r="T950" i="13"/>
  <c r="T943" i="13"/>
  <c r="T954" i="13"/>
  <c r="T958" i="13"/>
  <c r="T948" i="13"/>
  <c r="T964" i="13"/>
  <c r="T953" i="13"/>
  <c r="T942" i="13"/>
  <c r="E45" i="14"/>
  <c r="E46" i="14"/>
  <c r="T959" i="13"/>
  <c r="T946" i="13"/>
  <c r="T956" i="13"/>
  <c r="T949" i="13"/>
  <c r="T947" i="13"/>
  <c r="T967" i="13"/>
  <c r="T962" i="13"/>
  <c r="T960" i="13"/>
  <c r="T957" i="13"/>
  <c r="T951" i="13"/>
  <c r="T944" i="13"/>
  <c r="T968" i="13"/>
  <c r="T961" i="13"/>
  <c r="T955" i="13"/>
  <c r="T945" i="13"/>
  <c r="T965" i="13"/>
  <c r="T963" i="13"/>
  <c r="T952" i="13"/>
  <c r="C23" i="14"/>
  <c r="C28" i="27"/>
  <c r="C16" i="27"/>
  <c r="C18" i="27"/>
  <c r="C20" i="27"/>
  <c r="C22" i="27"/>
  <c r="C24" i="27"/>
  <c r="C26" i="27"/>
  <c r="C33" i="7"/>
  <c r="C28" i="7"/>
  <c r="C15" i="7"/>
  <c r="G14" i="8"/>
  <c r="G20" i="8"/>
  <c r="B8" i="26"/>
  <c r="B9" i="26"/>
  <c r="B11" i="26"/>
  <c r="C16" i="26"/>
  <c r="C32" i="26"/>
  <c r="E40" i="6"/>
  <c r="C21" i="14"/>
  <c r="H82" i="15"/>
  <c r="E83" i="15"/>
  <c r="B86" i="15"/>
  <c r="D30" i="21"/>
  <c r="D14" i="21"/>
  <c r="D21" i="21"/>
  <c r="D24" i="21"/>
  <c r="D27" i="21"/>
  <c r="L10" i="22"/>
  <c r="D34" i="21"/>
  <c r="D33" i="21"/>
  <c r="D32" i="21"/>
  <c r="D31" i="21"/>
  <c r="L9" i="22"/>
  <c r="D26" i="21"/>
  <c r="D29" i="21"/>
  <c r="D28" i="21"/>
  <c r="D23" i="21"/>
  <c r="L8" i="22"/>
  <c r="D22" i="21"/>
  <c r="D25" i="21"/>
  <c r="D20" i="21"/>
  <c r="D19" i="21"/>
  <c r="L7" i="22"/>
  <c r="D18" i="21"/>
  <c r="D17" i="21"/>
  <c r="D16" i="21"/>
  <c r="D15" i="21"/>
  <c r="B48" i="18"/>
  <c r="C22" i="8"/>
  <c r="C20" i="8"/>
  <c r="C33" i="11"/>
  <c r="C17" i="11"/>
  <c r="C20" i="11"/>
  <c r="C23" i="11"/>
  <c r="C27" i="11"/>
  <c r="C30" i="11"/>
  <c r="C23" i="19"/>
  <c r="C34" i="19"/>
  <c r="C18" i="19"/>
  <c r="C25" i="19"/>
  <c r="E34" i="21"/>
  <c r="C24" i="8"/>
  <c r="C18" i="26"/>
  <c r="C35" i="7"/>
  <c r="E27" i="14"/>
  <c r="E32" i="14"/>
  <c r="D8" i="14"/>
  <c r="D9" i="14"/>
  <c r="D11" i="14"/>
  <c r="B45" i="6"/>
  <c r="B43" i="6"/>
  <c r="C21" i="11"/>
  <c r="C31" i="11"/>
  <c r="C14" i="8"/>
  <c r="B47" i="11"/>
  <c r="B45" i="11"/>
  <c r="C14" i="26"/>
  <c r="C23" i="7"/>
  <c r="C26" i="7"/>
  <c r="C19" i="27"/>
  <c r="C16" i="15"/>
  <c r="B8" i="21"/>
  <c r="B9" i="21"/>
  <c r="B11" i="21"/>
  <c r="C27" i="21"/>
  <c r="C14" i="19"/>
  <c r="C24" i="19"/>
  <c r="C18" i="11"/>
  <c r="C26" i="8"/>
  <c r="C29" i="18"/>
  <c r="C17" i="26"/>
  <c r="G19" i="8"/>
  <c r="G24" i="8"/>
  <c r="C27" i="7"/>
  <c r="B79" i="21"/>
  <c r="E60" i="15"/>
  <c r="E21" i="21"/>
  <c r="E34" i="18"/>
  <c r="E26" i="18"/>
  <c r="E19" i="14"/>
  <c r="E30" i="14"/>
  <c r="C18" i="21"/>
  <c r="B8" i="18"/>
  <c r="B9" i="18"/>
  <c r="B11" i="18"/>
  <c r="E22" i="21"/>
  <c r="E23" i="18"/>
  <c r="E32" i="18"/>
  <c r="D8" i="18"/>
  <c r="D9" i="18"/>
  <c r="D11" i="18"/>
  <c r="E21" i="18"/>
  <c r="E20" i="18"/>
  <c r="E28" i="18"/>
  <c r="E27" i="18"/>
  <c r="C13" i="8"/>
  <c r="B41" i="18"/>
  <c r="B43" i="21"/>
  <c r="B44" i="21"/>
  <c r="B46" i="21"/>
  <c r="C68" i="21"/>
  <c r="C51" i="21"/>
  <c r="C25" i="26"/>
  <c r="C21" i="7"/>
  <c r="E18" i="14"/>
  <c r="E20" i="14"/>
  <c r="E23" i="14"/>
  <c r="E14" i="14"/>
  <c r="E24" i="14"/>
  <c r="B45" i="14"/>
  <c r="C29" i="11"/>
  <c r="C18" i="8"/>
  <c r="C21" i="26"/>
  <c r="C24" i="7"/>
  <c r="C25" i="27"/>
  <c r="C17" i="27"/>
  <c r="C33" i="21"/>
  <c r="C31" i="21"/>
  <c r="C25" i="21"/>
  <c r="C30" i="19"/>
  <c r="C24" i="11"/>
  <c r="C34" i="11"/>
  <c r="C20" i="18"/>
  <c r="C22" i="18"/>
  <c r="C27" i="18"/>
  <c r="B88" i="15"/>
  <c r="C20" i="26"/>
  <c r="G18" i="8"/>
  <c r="E44" i="8"/>
  <c r="C32" i="7"/>
  <c r="C30" i="15"/>
  <c r="E18" i="21"/>
  <c r="E29" i="18"/>
  <c r="C56" i="21"/>
  <c r="C64" i="21"/>
  <c r="E17" i="14"/>
  <c r="E25" i="14"/>
  <c r="C15" i="18"/>
  <c r="C28" i="18"/>
  <c r="D8" i="21"/>
  <c r="D9" i="21"/>
  <c r="D11" i="21"/>
  <c r="E29" i="21"/>
  <c r="E18" i="18"/>
  <c r="E19" i="18"/>
  <c r="C23" i="8"/>
  <c r="E26" i="21"/>
  <c r="E32" i="21"/>
  <c r="E27" i="21"/>
  <c r="C22" i="26"/>
  <c r="E17" i="21"/>
  <c r="E20" i="21"/>
  <c r="E33" i="21"/>
  <c r="E24" i="21"/>
  <c r="C29" i="26"/>
  <c r="C19" i="26"/>
  <c r="C22" i="7"/>
  <c r="E79" i="21"/>
  <c r="E80" i="21"/>
  <c r="E17" i="18"/>
  <c r="E31" i="18"/>
  <c r="E30" i="18"/>
  <c r="E24" i="18"/>
  <c r="E16" i="18"/>
  <c r="C14" i="11"/>
  <c r="C16" i="11"/>
  <c r="C19" i="8"/>
  <c r="C62" i="21"/>
  <c r="C49" i="21"/>
  <c r="C57" i="21"/>
  <c r="C28" i="26"/>
  <c r="C29" i="7"/>
  <c r="C27" i="27"/>
  <c r="E26" i="14"/>
  <c r="E28" i="14"/>
  <c r="E34" i="14"/>
  <c r="E15" i="14"/>
  <c r="E29" i="14"/>
  <c r="E16" i="14"/>
  <c r="C16" i="7"/>
  <c r="C14" i="15"/>
  <c r="C22" i="11"/>
  <c r="C16" i="8"/>
  <c r="A28" i="8"/>
  <c r="D27" i="8"/>
  <c r="E27" i="8"/>
  <c r="B27" i="8"/>
  <c r="C27" i="8"/>
  <c r="F27" i="8"/>
  <c r="G27" i="8"/>
  <c r="C24" i="26"/>
  <c r="G21" i="8"/>
  <c r="C31" i="7"/>
  <c r="C23" i="27"/>
  <c r="C15" i="27"/>
  <c r="C29" i="21"/>
  <c r="C21" i="21"/>
  <c r="C22" i="21"/>
  <c r="C19" i="19"/>
  <c r="C28" i="11"/>
  <c r="C17" i="8"/>
  <c r="C26" i="18"/>
  <c r="C32" i="18"/>
  <c r="C25" i="18"/>
  <c r="C26" i="26"/>
  <c r="C27" i="26"/>
  <c r="G17" i="8"/>
  <c r="C18" i="7"/>
  <c r="C30" i="7"/>
  <c r="C21" i="15"/>
  <c r="A29" i="8"/>
  <c r="D28" i="8"/>
  <c r="E28" i="8"/>
  <c r="B28" i="8"/>
  <c r="C28" i="8"/>
  <c r="F28" i="8"/>
  <c r="G28" i="8"/>
  <c r="B45" i="18"/>
  <c r="B47" i="18"/>
  <c r="B63" i="15"/>
  <c r="B65" i="15"/>
  <c r="C66" i="21"/>
  <c r="C53" i="21"/>
  <c r="C17" i="18"/>
  <c r="C19" i="21"/>
  <c r="C14" i="18"/>
  <c r="C20" i="21"/>
  <c r="C63" i="21"/>
  <c r="E23" i="21"/>
  <c r="E30" i="21"/>
  <c r="E19" i="21"/>
  <c r="E14" i="21"/>
  <c r="C18" i="18"/>
  <c r="C55" i="21"/>
  <c r="C21" i="18"/>
  <c r="C24" i="21"/>
  <c r="C65" i="21"/>
  <c r="E33" i="18"/>
  <c r="E16" i="21"/>
  <c r="E15" i="21"/>
  <c r="C26" i="21"/>
  <c r="E22" i="18"/>
  <c r="B83" i="21"/>
  <c r="B85" i="21"/>
  <c r="C23" i="18"/>
  <c r="C14" i="21"/>
  <c r="E22" i="14"/>
  <c r="C61" i="21"/>
  <c r="C24" i="18"/>
  <c r="E21" i="14"/>
  <c r="E28" i="21"/>
  <c r="C28" i="21"/>
  <c r="E31" i="14"/>
  <c r="C59" i="21"/>
  <c r="E25" i="18"/>
  <c r="C32" i="21"/>
  <c r="C54" i="21"/>
  <c r="B51" i="14"/>
  <c r="B49" i="14"/>
  <c r="C34" i="18"/>
  <c r="C19" i="18"/>
  <c r="C15" i="21"/>
  <c r="C52" i="21"/>
  <c r="C30" i="18"/>
  <c r="B49" i="8"/>
  <c r="C33" i="18"/>
  <c r="C31" i="18"/>
  <c r="C23" i="21"/>
  <c r="C50" i="21"/>
  <c r="C60" i="21"/>
  <c r="E14" i="18"/>
  <c r="C34" i="21"/>
  <c r="E15" i="18"/>
  <c r="E25" i="21"/>
  <c r="C16" i="18"/>
  <c r="C30" i="21"/>
  <c r="C16" i="21"/>
  <c r="E33" i="14"/>
  <c r="C67" i="21"/>
  <c r="C58" i="21"/>
  <c r="E31" i="21"/>
  <c r="C17" i="21"/>
  <c r="C69" i="21"/>
  <c r="D29" i="8"/>
  <c r="E29" i="8"/>
  <c r="A30" i="8"/>
  <c r="F29" i="8"/>
  <c r="G29" i="8"/>
  <c r="B29" i="8"/>
  <c r="C29" i="8"/>
  <c r="A31" i="8"/>
  <c r="D30" i="8"/>
  <c r="E30" i="8"/>
  <c r="B30" i="8"/>
  <c r="C30" i="8"/>
  <c r="F30" i="8"/>
  <c r="G30" i="8"/>
  <c r="A32" i="8"/>
  <c r="D31" i="8"/>
  <c r="E31" i="8"/>
  <c r="F31" i="8"/>
  <c r="G31" i="8"/>
  <c r="B31" i="8"/>
  <c r="C31" i="8"/>
  <c r="A33" i="8"/>
  <c r="D32" i="8"/>
  <c r="E32" i="8"/>
  <c r="F32" i="8"/>
  <c r="G32" i="8"/>
  <c r="B32" i="8"/>
  <c r="C32" i="8"/>
  <c r="D33" i="8"/>
  <c r="E33" i="8"/>
  <c r="B33" i="8"/>
  <c r="C33" i="8"/>
  <c r="F33" i="8"/>
  <c r="G33" i="8"/>
  <c r="H41" i="9"/>
  <c r="X311" i="5"/>
  <c r="X350" i="5"/>
  <c r="E41" i="9"/>
  <c r="B5" i="9"/>
  <c r="B10" i="9"/>
  <c r="C10" i="9"/>
  <c r="X324" i="5"/>
  <c r="X368" i="5"/>
  <c r="X323" i="5"/>
  <c r="X331" i="5"/>
  <c r="X353" i="5"/>
  <c r="X346" i="5"/>
  <c r="X309" i="5"/>
  <c r="X326" i="5"/>
  <c r="X383" i="5"/>
  <c r="X382" i="5"/>
  <c r="E40" i="9"/>
  <c r="B45" i="9"/>
  <c r="B7" i="9"/>
  <c r="B40" i="9"/>
  <c r="B41" i="9"/>
  <c r="C5" i="9"/>
  <c r="X351" i="5"/>
  <c r="X317" i="5"/>
  <c r="X328" i="5"/>
  <c r="X360" i="5"/>
  <c r="X332" i="5"/>
  <c r="X312" i="5"/>
  <c r="X330" i="5"/>
  <c r="X337" i="5"/>
  <c r="X322" i="5"/>
  <c r="X363" i="5"/>
  <c r="X319" i="5"/>
  <c r="X357" i="5"/>
  <c r="X376" i="5"/>
  <c r="X361" i="5"/>
  <c r="X365" i="5"/>
  <c r="X381" i="5"/>
  <c r="X314" i="5"/>
  <c r="X340" i="5"/>
  <c r="X378" i="5"/>
  <c r="X375" i="5"/>
  <c r="X372" i="5"/>
  <c r="X379" i="5"/>
  <c r="X347" i="5"/>
  <c r="X364" i="5"/>
  <c r="X358" i="5"/>
  <c r="X377" i="5"/>
  <c r="X374" i="5"/>
  <c r="X333" i="5"/>
  <c r="X339" i="5"/>
  <c r="X343" i="5"/>
  <c r="X321" i="5"/>
  <c r="X380" i="5"/>
  <c r="X370" i="5"/>
  <c r="X325" i="5"/>
  <c r="X352" i="5"/>
  <c r="X348" i="5"/>
  <c r="X320" i="5"/>
  <c r="X327" i="5"/>
  <c r="X344" i="5"/>
  <c r="X342" i="5"/>
  <c r="X354" i="5"/>
  <c r="X367" i="5"/>
  <c r="X373" i="5"/>
  <c r="X334" i="5"/>
  <c r="X355" i="5"/>
  <c r="X356" i="5"/>
  <c r="X359" i="5"/>
  <c r="X310" i="5"/>
  <c r="X316" i="5"/>
  <c r="X335" i="5"/>
  <c r="X341" i="5"/>
  <c r="X366" i="5"/>
  <c r="X362" i="5"/>
  <c r="X349" i="5"/>
  <c r="X313" i="5"/>
  <c r="X318" i="5"/>
  <c r="X345" i="5"/>
  <c r="X338" i="5"/>
  <c r="X329" i="5"/>
  <c r="X336" i="5"/>
  <c r="X371" i="5"/>
  <c r="X369" i="5"/>
  <c r="X315" i="5"/>
  <c r="B25" i="9"/>
  <c r="N19" i="5"/>
  <c r="N62" i="5"/>
  <c r="N105" i="5"/>
  <c r="N147" i="5"/>
  <c r="N190" i="5"/>
  <c r="N233" i="5"/>
  <c r="N275" i="5"/>
  <c r="N318" i="5"/>
  <c r="N361" i="5"/>
  <c r="N388" i="5"/>
  <c r="N260" i="5"/>
  <c r="N132" i="5"/>
  <c r="N4" i="5"/>
  <c r="N21" i="5"/>
  <c r="N63" i="5"/>
  <c r="N106" i="5"/>
  <c r="N149" i="5"/>
  <c r="N191" i="5"/>
  <c r="N234" i="5"/>
  <c r="N277" i="5"/>
  <c r="N319" i="5"/>
  <c r="N362" i="5"/>
  <c r="B26" i="9"/>
  <c r="N86" i="5"/>
  <c r="N171" i="5"/>
  <c r="N257" i="5"/>
  <c r="N342" i="5"/>
  <c r="N352" i="5"/>
  <c r="N184" i="5"/>
  <c r="N12" i="5"/>
  <c r="N45" i="5"/>
  <c r="N130" i="5"/>
  <c r="N215" i="5"/>
  <c r="N301" i="5"/>
  <c r="N386" i="5"/>
  <c r="N264" i="5"/>
  <c r="N92" i="5"/>
  <c r="N6" i="5"/>
  <c r="N91" i="5"/>
  <c r="N177" i="5"/>
  <c r="N262" i="5"/>
  <c r="N347" i="5"/>
  <c r="N344" i="5"/>
  <c r="N172" i="5"/>
  <c r="B21" i="9"/>
  <c r="N317" i="5"/>
  <c r="N29" i="5"/>
  <c r="N370" i="5"/>
  <c r="N125" i="5"/>
  <c r="B22" i="9"/>
  <c r="N35" i="5"/>
  <c r="N78" i="5"/>
  <c r="N121" i="5"/>
  <c r="N163" i="5"/>
  <c r="N206" i="5"/>
  <c r="N249" i="5"/>
  <c r="N291" i="5"/>
  <c r="N334" i="5"/>
  <c r="N377" i="5"/>
  <c r="N340" i="5"/>
  <c r="N212" i="5"/>
  <c r="N84" i="5"/>
  <c r="B24" i="9"/>
  <c r="N37" i="5"/>
  <c r="B14" i="9"/>
  <c r="N9" i="5"/>
  <c r="N51" i="5"/>
  <c r="N94" i="5"/>
  <c r="N137" i="5"/>
  <c r="N179" i="5"/>
  <c r="N222" i="5"/>
  <c r="N265" i="5"/>
  <c r="N307" i="5"/>
  <c r="N350" i="5"/>
  <c r="N393" i="5"/>
  <c r="N292" i="5"/>
  <c r="N164" i="5"/>
  <c r="N36" i="5"/>
  <c r="N10" i="5"/>
  <c r="N53" i="5"/>
  <c r="N95" i="5"/>
  <c r="N138" i="5"/>
  <c r="N181" i="5"/>
  <c r="N223" i="5"/>
  <c r="N266" i="5"/>
  <c r="N309" i="5"/>
  <c r="N351" i="5"/>
  <c r="N394" i="5"/>
  <c r="N65" i="5"/>
  <c r="N150" i="5"/>
  <c r="N235" i="5"/>
  <c r="N321" i="5"/>
  <c r="N396" i="5"/>
  <c r="N224" i="5"/>
  <c r="N56" i="5"/>
  <c r="N23" i="5"/>
  <c r="N109" i="5"/>
  <c r="N194" i="5"/>
  <c r="N279" i="5"/>
  <c r="N365" i="5"/>
  <c r="N304" i="5"/>
  <c r="N136" i="5"/>
  <c r="B18" i="9"/>
  <c r="N70" i="5"/>
  <c r="N155" i="5"/>
  <c r="N241" i="5"/>
  <c r="N326" i="5"/>
  <c r="N384" i="5"/>
  <c r="N216" i="5"/>
  <c r="N44" i="5"/>
  <c r="N231" i="5"/>
  <c r="N40" i="5"/>
  <c r="N285" i="5"/>
  <c r="N39" i="5"/>
  <c r="B20" i="9"/>
  <c r="N41" i="5"/>
  <c r="N110" i="5"/>
  <c r="N174" i="5"/>
  <c r="N243" i="5"/>
  <c r="N313" i="5"/>
  <c r="N382" i="5"/>
  <c r="N244" i="5"/>
  <c r="N52" i="5"/>
  <c r="N31" i="5"/>
  <c r="N90" i="5"/>
  <c r="N154" i="5"/>
  <c r="N207" i="5"/>
  <c r="N261" i="5"/>
  <c r="N325" i="5"/>
  <c r="N378" i="5"/>
  <c r="N54" i="5"/>
  <c r="N182" i="5"/>
  <c r="N289" i="5"/>
  <c r="N395" i="5"/>
  <c r="N160" i="5"/>
  <c r="B28" i="9"/>
  <c r="N98" i="5"/>
  <c r="N226" i="5"/>
  <c r="N333" i="5"/>
  <c r="N328" i="5"/>
  <c r="N72" i="5"/>
  <c r="N38" i="5"/>
  <c r="N145" i="5"/>
  <c r="N273" i="5"/>
  <c r="N379" i="5"/>
  <c r="N236" i="5"/>
  <c r="N18" i="5"/>
  <c r="N296" i="5"/>
  <c r="N242" i="5"/>
  <c r="N167" i="5"/>
  <c r="N168" i="5"/>
  <c r="N221" i="5"/>
  <c r="N144" i="5"/>
  <c r="B30" i="9"/>
  <c r="N46" i="5"/>
  <c r="N115" i="5"/>
  <c r="N185" i="5"/>
  <c r="N254" i="5"/>
  <c r="N323" i="5"/>
  <c r="N387" i="5"/>
  <c r="N228" i="5"/>
  <c r="N20" i="5"/>
  <c r="N42" i="5"/>
  <c r="N101" i="5"/>
  <c r="N159" i="5"/>
  <c r="N213" i="5"/>
  <c r="N271" i="5"/>
  <c r="N330" i="5"/>
  <c r="N383" i="5"/>
  <c r="N75" i="5"/>
  <c r="N193" i="5"/>
  <c r="N299" i="5"/>
  <c r="N376" i="5"/>
  <c r="N140" i="5"/>
  <c r="N2" i="5"/>
  <c r="N119" i="5"/>
  <c r="N237" i="5"/>
  <c r="N343" i="5"/>
  <c r="N284" i="5"/>
  <c r="N48" i="5"/>
  <c r="N49" i="5"/>
  <c r="N166" i="5"/>
  <c r="N283" i="5"/>
  <c r="N390" i="5"/>
  <c r="N192" i="5"/>
  <c r="N61" i="5"/>
  <c r="N208" i="5"/>
  <c r="N327" i="5"/>
  <c r="N210" i="5"/>
  <c r="N80" i="5"/>
  <c r="N263" i="5"/>
  <c r="N60" i="5"/>
  <c r="N3" i="5"/>
  <c r="N73" i="5"/>
  <c r="N142" i="5"/>
  <c r="N211" i="5"/>
  <c r="N281" i="5"/>
  <c r="N345" i="5"/>
  <c r="N356" i="5"/>
  <c r="N148" i="5"/>
  <c r="B32" i="9"/>
  <c r="N69" i="5"/>
  <c r="N122" i="5"/>
  <c r="N175" i="5"/>
  <c r="N239" i="5"/>
  <c r="N293" i="5"/>
  <c r="N346" i="5"/>
  <c r="N11" i="5"/>
  <c r="N118" i="5"/>
  <c r="N225" i="5"/>
  <c r="N353" i="5"/>
  <c r="N288" i="5"/>
  <c r="N76" i="5"/>
  <c r="N55" i="5"/>
  <c r="N162" i="5"/>
  <c r="N269" i="5"/>
  <c r="N397" i="5"/>
  <c r="N200" i="5"/>
  <c r="B19" i="9"/>
  <c r="N102" i="5"/>
  <c r="N209" i="5"/>
  <c r="N315" i="5"/>
  <c r="N320" i="5"/>
  <c r="N108" i="5"/>
  <c r="N189" i="5"/>
  <c r="N71" i="5"/>
  <c r="N188" i="5"/>
  <c r="N338" i="5"/>
  <c r="N50" i="5"/>
  <c r="N391" i="5"/>
  <c r="N14" i="5"/>
  <c r="N83" i="5"/>
  <c r="N153" i="5"/>
  <c r="N217" i="5"/>
  <c r="N286" i="5"/>
  <c r="N355" i="5"/>
  <c r="N324" i="5"/>
  <c r="N116" i="5"/>
  <c r="N5" i="5"/>
  <c r="N74" i="5"/>
  <c r="N127" i="5"/>
  <c r="N186" i="5"/>
  <c r="N245" i="5"/>
  <c r="N298" i="5"/>
  <c r="N357" i="5"/>
  <c r="N22" i="5"/>
  <c r="N129" i="5"/>
  <c r="N246" i="5"/>
  <c r="N363" i="5"/>
  <c r="N268" i="5"/>
  <c r="N32" i="5"/>
  <c r="N66" i="5"/>
  <c r="N173" i="5"/>
  <c r="N290" i="5"/>
  <c r="N392" i="5"/>
  <c r="N176" i="5"/>
  <c r="B33" i="9"/>
  <c r="N113" i="5"/>
  <c r="N219" i="5"/>
  <c r="N337" i="5"/>
  <c r="N300" i="5"/>
  <c r="N88" i="5"/>
  <c r="N274" i="5"/>
  <c r="N114" i="5"/>
  <c r="N104" i="5"/>
  <c r="N381" i="5"/>
  <c r="N93" i="5"/>
  <c r="N400" i="5"/>
  <c r="N25" i="5"/>
  <c r="N89" i="5"/>
  <c r="N158" i="5"/>
  <c r="N227" i="5"/>
  <c r="N297" i="5"/>
  <c r="N366" i="5"/>
  <c r="N308" i="5"/>
  <c r="N100" i="5"/>
  <c r="N15" i="5"/>
  <c r="N79" i="5"/>
  <c r="N133" i="5"/>
  <c r="N197" i="5"/>
  <c r="N250" i="5"/>
  <c r="N303" i="5"/>
  <c r="N367" i="5"/>
  <c r="N33" i="5"/>
  <c r="N139" i="5"/>
  <c r="N267" i="5"/>
  <c r="N374" i="5"/>
  <c r="N248" i="5"/>
  <c r="B27" i="9"/>
  <c r="N77" i="5"/>
  <c r="N183" i="5"/>
  <c r="N311" i="5"/>
  <c r="N368" i="5"/>
  <c r="N156" i="5"/>
  <c r="N17" i="5"/>
  <c r="N123" i="5"/>
  <c r="N230" i="5"/>
  <c r="N358" i="5"/>
  <c r="N280" i="5"/>
  <c r="N64" i="5"/>
  <c r="N359" i="5"/>
  <c r="N157" i="5"/>
  <c r="N16" i="5"/>
  <c r="N336" i="5"/>
  <c r="N135" i="5"/>
  <c r="N316" i="5"/>
  <c r="N126" i="5"/>
  <c r="N302" i="5"/>
  <c r="N180" i="5"/>
  <c r="N111" i="5"/>
  <c r="N255" i="5"/>
  <c r="N399" i="5"/>
  <c r="N310" i="5"/>
  <c r="B15" i="9"/>
  <c r="N258" i="5"/>
  <c r="N28" i="5"/>
  <c r="N251" i="5"/>
  <c r="N128" i="5"/>
  <c r="N360" i="5"/>
  <c r="N178" i="5"/>
  <c r="N57" i="5"/>
  <c r="N47" i="5"/>
  <c r="N341" i="5"/>
  <c r="N204" i="5"/>
  <c r="N134" i="5"/>
  <c r="N124" i="5"/>
  <c r="N131" i="5"/>
  <c r="N329" i="5"/>
  <c r="N68" i="5"/>
  <c r="N117" i="5"/>
  <c r="N282" i="5"/>
  <c r="N43" i="5"/>
  <c r="N331" i="5"/>
  <c r="N13" i="5"/>
  <c r="N322" i="5"/>
  <c r="N8" i="5"/>
  <c r="N294" i="5"/>
  <c r="N24" i="5"/>
  <c r="N272" i="5"/>
  <c r="N306" i="5"/>
  <c r="N238" i="5"/>
  <c r="N202" i="5"/>
  <c r="N203" i="5"/>
  <c r="N240" i="5"/>
  <c r="N364" i="5"/>
  <c r="N252" i="5"/>
  <c r="B16" i="9"/>
  <c r="N169" i="5"/>
  <c r="N339" i="5"/>
  <c r="B23" i="9"/>
  <c r="N143" i="5"/>
  <c r="N287" i="5"/>
  <c r="N97" i="5"/>
  <c r="N385" i="5"/>
  <c r="N34" i="5"/>
  <c r="N354" i="5"/>
  <c r="N27" i="5"/>
  <c r="N305" i="5"/>
  <c r="N103" i="5"/>
  <c r="N82" i="5"/>
  <c r="N349" i="5"/>
  <c r="N372" i="5"/>
  <c r="N151" i="5"/>
  <c r="B29" i="9"/>
  <c r="N195" i="5"/>
  <c r="N371" i="5"/>
  <c r="B17" i="9"/>
  <c r="N165" i="5"/>
  <c r="N314" i="5"/>
  <c r="N107" i="5"/>
  <c r="N332" i="5"/>
  <c r="N87" i="5"/>
  <c r="N375" i="5"/>
  <c r="N59" i="5"/>
  <c r="N369" i="5"/>
  <c r="N146" i="5"/>
  <c r="N253" i="5"/>
  <c r="N232" i="5"/>
  <c r="N30" i="5"/>
  <c r="N201" i="5"/>
  <c r="N398" i="5"/>
  <c r="N26" i="5"/>
  <c r="N170" i="5"/>
  <c r="N335" i="5"/>
  <c r="N161" i="5"/>
  <c r="N312" i="5"/>
  <c r="N141" i="5"/>
  <c r="N348" i="5"/>
  <c r="N81" i="5"/>
  <c r="N401" i="5"/>
  <c r="N380" i="5"/>
  <c r="N295" i="5"/>
  <c r="N67" i="5"/>
  <c r="N259" i="5"/>
  <c r="N276" i="5"/>
  <c r="N58" i="5"/>
  <c r="N218" i="5"/>
  <c r="N373" i="5"/>
  <c r="N214" i="5"/>
  <c r="N120" i="5"/>
  <c r="N205" i="5"/>
  <c r="N220" i="5"/>
  <c r="N187" i="5"/>
  <c r="N256" i="5"/>
  <c r="B34" i="9"/>
  <c r="B31" i="9"/>
  <c r="N196" i="5"/>
  <c r="N198" i="5"/>
  <c r="N85" i="5"/>
  <c r="N152" i="5"/>
  <c r="N229" i="5"/>
  <c r="N199" i="5"/>
  <c r="N389" i="5"/>
  <c r="N7" i="5"/>
  <c r="N278" i="5"/>
  <c r="N96" i="5"/>
  <c r="N99" i="5"/>
  <c r="N247" i="5"/>
  <c r="N270" i="5"/>
  <c r="N112" i="5"/>
  <c r="W116" i="5"/>
  <c r="W155" i="5"/>
  <c r="W82" i="5"/>
  <c r="W290" i="5"/>
  <c r="W3" i="5"/>
  <c r="W249" i="5"/>
  <c r="W184" i="5"/>
  <c r="W254" i="5"/>
  <c r="W11" i="5"/>
  <c r="W177" i="5"/>
  <c r="W66" i="5"/>
  <c r="W27" i="5"/>
  <c r="W297" i="5"/>
  <c r="W247" i="5"/>
  <c r="W197" i="5"/>
  <c r="W293" i="5"/>
  <c r="W230" i="5"/>
  <c r="W159" i="5"/>
  <c r="W101" i="5"/>
  <c r="W201" i="5"/>
  <c r="W199" i="5"/>
  <c r="W151" i="5"/>
  <c r="W108" i="5"/>
  <c r="W44" i="5"/>
  <c r="W96" i="5"/>
  <c r="W239" i="5"/>
  <c r="W141" i="5"/>
  <c r="W158" i="5"/>
  <c r="W245" i="5"/>
  <c r="W218" i="5"/>
  <c r="W138" i="5"/>
  <c r="W114" i="5"/>
  <c r="W215" i="5"/>
  <c r="W46" i="5"/>
  <c r="W195" i="5"/>
  <c r="W307" i="5"/>
  <c r="W128" i="5"/>
  <c r="W42" i="5"/>
  <c r="W86" i="5"/>
  <c r="W12" i="5"/>
  <c r="W237" i="5"/>
  <c r="W182" i="5"/>
  <c r="W198" i="5"/>
  <c r="W63" i="5"/>
  <c r="W7" i="5"/>
  <c r="W166" i="5"/>
  <c r="W272" i="5"/>
  <c r="W92" i="5"/>
  <c r="W193" i="5"/>
  <c r="W157" i="5"/>
  <c r="W84" i="5"/>
  <c r="W175" i="5"/>
  <c r="W111" i="5"/>
  <c r="W36" i="5"/>
  <c r="W48" i="5"/>
  <c r="W207" i="5"/>
  <c r="W17" i="5"/>
  <c r="W234" i="5"/>
  <c r="W301" i="5"/>
  <c r="W283" i="5"/>
  <c r="W132" i="5"/>
  <c r="W34" i="5"/>
  <c r="W171" i="5"/>
  <c r="W163" i="5"/>
  <c r="W87" i="5"/>
  <c r="W305" i="5"/>
  <c r="W179" i="5"/>
  <c r="W192" i="5"/>
  <c r="W188" i="5"/>
  <c r="W273" i="5"/>
  <c r="W97" i="5"/>
  <c r="W5" i="5"/>
  <c r="W13" i="5"/>
  <c r="W303" i="5"/>
  <c r="W33" i="5"/>
  <c r="W20" i="5"/>
  <c r="W285" i="5"/>
  <c r="W278" i="5"/>
  <c r="W156" i="5"/>
  <c r="W78" i="5"/>
  <c r="W85" i="5"/>
  <c r="W107" i="5"/>
  <c r="W174" i="5"/>
  <c r="W21" i="5"/>
  <c r="W53" i="5"/>
  <c r="W10" i="5"/>
  <c r="W90" i="5"/>
  <c r="W8" i="5"/>
  <c r="W152" i="5"/>
  <c r="W144" i="5"/>
  <c r="W70" i="5"/>
  <c r="W167" i="5"/>
  <c r="W191" i="5"/>
  <c r="W118" i="5"/>
  <c r="W102" i="5"/>
  <c r="W109" i="5"/>
  <c r="W76" i="5"/>
  <c r="W22" i="5"/>
  <c r="W106" i="5"/>
  <c r="W145" i="5"/>
  <c r="W100" i="5"/>
  <c r="W275" i="5"/>
  <c r="W224" i="5"/>
  <c r="W178" i="5"/>
  <c r="W93" i="5"/>
  <c r="W266" i="5"/>
  <c r="W306" i="5"/>
  <c r="W183" i="5"/>
  <c r="W168" i="5"/>
  <c r="W302" i="5"/>
  <c r="W19" i="5"/>
  <c r="W30" i="5"/>
  <c r="W172" i="5"/>
  <c r="W129" i="5"/>
  <c r="W32" i="5"/>
  <c r="W300" i="5"/>
  <c r="W58" i="5"/>
  <c r="W279" i="5"/>
  <c r="W25" i="5"/>
  <c r="W258" i="5"/>
  <c r="W142" i="5"/>
  <c r="W99" i="5"/>
  <c r="W126" i="5"/>
  <c r="W24" i="5"/>
  <c r="W75" i="5"/>
  <c r="W83" i="5"/>
  <c r="W162" i="5"/>
  <c r="W260" i="5"/>
  <c r="W219" i="5"/>
  <c r="W61" i="5"/>
  <c r="W298" i="5"/>
  <c r="W120" i="5"/>
  <c r="W135" i="5"/>
  <c r="W287" i="5"/>
  <c r="W134" i="5"/>
  <c r="W39" i="5"/>
  <c r="W103" i="5"/>
  <c r="W9" i="5"/>
  <c r="W274" i="5"/>
  <c r="W59" i="5"/>
  <c r="W2" i="5"/>
  <c r="W229" i="5"/>
  <c r="W267" i="5"/>
  <c r="W176" i="5"/>
  <c r="W242" i="5"/>
  <c r="W243" i="5"/>
  <c r="W259" i="5"/>
  <c r="W212" i="5"/>
  <c r="W4" i="5"/>
  <c r="W271" i="5"/>
  <c r="W45" i="5"/>
  <c r="W136" i="5"/>
  <c r="W49" i="5"/>
  <c r="W270" i="5"/>
  <c r="W51" i="5"/>
  <c r="W190" i="5"/>
  <c r="W104" i="5"/>
  <c r="W35" i="5"/>
  <c r="W43" i="5"/>
  <c r="W226" i="5"/>
  <c r="W18" i="5"/>
  <c r="W187" i="5"/>
  <c r="W52" i="5"/>
  <c r="W222" i="5"/>
  <c r="W257" i="5"/>
  <c r="W133" i="5"/>
  <c r="W236" i="5"/>
  <c r="W161" i="5"/>
  <c r="W225" i="5"/>
  <c r="W64" i="5"/>
  <c r="W235" i="5"/>
  <c r="W56" i="5"/>
  <c r="W143" i="5"/>
  <c r="W57" i="5"/>
  <c r="W263" i="5"/>
  <c r="W205" i="5"/>
  <c r="W220" i="5"/>
  <c r="W223" i="5"/>
  <c r="W47" i="5"/>
  <c r="W112" i="5"/>
  <c r="W292" i="5"/>
  <c r="W291" i="5"/>
  <c r="W299" i="5"/>
  <c r="W148" i="5"/>
  <c r="W29" i="5"/>
  <c r="W65" i="5"/>
  <c r="W28" i="5"/>
  <c r="W88" i="5"/>
  <c r="W231" i="5"/>
  <c r="W264" i="5"/>
  <c r="W31" i="5"/>
  <c r="W69" i="5"/>
  <c r="W169" i="5"/>
  <c r="W130" i="5"/>
  <c r="W206" i="5"/>
  <c r="W105" i="5"/>
  <c r="W164" i="5"/>
  <c r="W72" i="5"/>
  <c r="W289" i="5"/>
  <c r="W6" i="5"/>
  <c r="W140" i="5"/>
  <c r="W170" i="5"/>
  <c r="W94" i="5"/>
  <c r="W246" i="5"/>
  <c r="W261" i="5"/>
  <c r="W186" i="5"/>
  <c r="W294" i="5"/>
  <c r="W262" i="5"/>
  <c r="W253" i="5"/>
  <c r="W77" i="5"/>
  <c r="W150" i="5"/>
  <c r="W284" i="5"/>
  <c r="W50" i="5"/>
  <c r="W296" i="5"/>
  <c r="W60" i="5"/>
  <c r="W80" i="5"/>
  <c r="W165" i="5"/>
  <c r="W119" i="5"/>
  <c r="W281" i="5"/>
  <c r="W95" i="5"/>
  <c r="W238" i="5"/>
  <c r="W276" i="5"/>
  <c r="W55" i="5"/>
  <c r="W16" i="5"/>
  <c r="W54" i="5"/>
  <c r="W308" i="5"/>
  <c r="W153" i="5"/>
  <c r="W255" i="5"/>
  <c r="W216" i="5"/>
  <c r="W217" i="5"/>
  <c r="W241" i="5"/>
  <c r="W248" i="5"/>
  <c r="W232" i="5"/>
  <c r="W124" i="5"/>
  <c r="W204" i="5"/>
  <c r="W200" i="5"/>
  <c r="W68" i="5"/>
  <c r="W304" i="5"/>
  <c r="W268" i="5"/>
  <c r="W227" i="5"/>
  <c r="W288" i="5"/>
  <c r="W252" i="5"/>
  <c r="W173" i="5"/>
  <c r="W208" i="5"/>
  <c r="W113" i="5"/>
  <c r="W137" i="5"/>
  <c r="W91" i="5"/>
  <c r="W256" i="5"/>
  <c r="W277" i="5"/>
  <c r="W147" i="5"/>
  <c r="W110" i="5"/>
  <c r="W181" i="5"/>
  <c r="W213" i="5"/>
  <c r="W74" i="5"/>
  <c r="W154" i="5"/>
  <c r="W117" i="5"/>
  <c r="W40" i="5"/>
  <c r="W203" i="5"/>
  <c r="W202" i="5"/>
  <c r="W15" i="5"/>
  <c r="W295" i="5"/>
  <c r="W37" i="5"/>
  <c r="W125" i="5"/>
  <c r="W214" i="5"/>
  <c r="W286" i="5"/>
  <c r="W221" i="5"/>
  <c r="W79" i="5"/>
  <c r="W160" i="5"/>
  <c r="W228" i="5"/>
  <c r="W269" i="5"/>
  <c r="W23" i="5"/>
  <c r="W71" i="5"/>
  <c r="W73" i="5"/>
  <c r="W240" i="5"/>
  <c r="W233" i="5"/>
  <c r="W26" i="5"/>
  <c r="W122" i="5"/>
  <c r="W38" i="5"/>
  <c r="W41" i="5"/>
  <c r="W194" i="5"/>
  <c r="W127" i="5"/>
  <c r="W185" i="5"/>
  <c r="W209" i="5"/>
  <c r="W280" i="5"/>
  <c r="W89" i="5"/>
  <c r="W121" i="5"/>
  <c r="W265" i="5"/>
  <c r="W146" i="5"/>
  <c r="W123" i="5"/>
  <c r="W180" i="5"/>
  <c r="W67" i="5"/>
  <c r="W14" i="5"/>
  <c r="W251" i="5"/>
  <c r="W211" i="5"/>
  <c r="W81" i="5"/>
  <c r="W139" i="5"/>
  <c r="W189" i="5"/>
  <c r="W282" i="5"/>
  <c r="W250" i="5"/>
  <c r="W62" i="5"/>
  <c r="W244" i="5"/>
  <c r="W115" i="5"/>
  <c r="W131" i="5"/>
  <c r="W210" i="5"/>
  <c r="W149" i="5"/>
  <c r="W98" i="5"/>
  <c r="W196" i="5"/>
  <c r="H42" i="9"/>
  <c r="V86" i="5"/>
  <c r="V20" i="5"/>
  <c r="V318" i="5"/>
  <c r="V360" i="5"/>
  <c r="V236" i="5"/>
  <c r="V175" i="5"/>
  <c r="V237" i="5"/>
  <c r="V130" i="5"/>
  <c r="V103" i="5"/>
  <c r="V140" i="5"/>
  <c r="V114" i="5"/>
  <c r="V12" i="5"/>
  <c r="V319" i="5"/>
  <c r="V358" i="5"/>
  <c r="V30" i="5"/>
  <c r="V288" i="5"/>
  <c r="V65" i="5"/>
  <c r="V359" i="5"/>
  <c r="V337" i="5"/>
  <c r="V242" i="5"/>
  <c r="V192" i="5"/>
  <c r="V211" i="5"/>
  <c r="V226" i="5"/>
  <c r="V51" i="5"/>
  <c r="V213" i="5"/>
  <c r="V61" i="5"/>
  <c r="V199" i="5"/>
  <c r="V252" i="5"/>
  <c r="V311" i="5"/>
  <c r="V314" i="5"/>
  <c r="V361" i="5"/>
  <c r="V341" i="5"/>
  <c r="V95" i="5"/>
  <c r="V36" i="5"/>
  <c r="V333" i="5"/>
  <c r="V76" i="5"/>
  <c r="V101" i="5"/>
  <c r="V146" i="5"/>
  <c r="V241" i="5"/>
  <c r="V127" i="5"/>
  <c r="V197" i="5"/>
  <c r="V304" i="5"/>
  <c r="V334" i="5"/>
  <c r="V43" i="5"/>
  <c r="V50" i="5"/>
  <c r="V322" i="5"/>
  <c r="V377" i="5"/>
  <c r="V3" i="5"/>
  <c r="V52" i="5"/>
  <c r="V266" i="5"/>
  <c r="V313" i="5"/>
  <c r="V315" i="5"/>
  <c r="V265" i="5"/>
  <c r="V355" i="5"/>
  <c r="V223" i="5"/>
  <c r="V106" i="5"/>
  <c r="V291" i="5"/>
  <c r="V280" i="5"/>
  <c r="V48" i="5"/>
  <c r="V115" i="5"/>
  <c r="V183" i="5"/>
  <c r="V145" i="5"/>
  <c r="V203" i="5"/>
  <c r="V208" i="5"/>
  <c r="V23" i="5"/>
  <c r="V224" i="5"/>
  <c r="V8" i="5"/>
  <c r="V124" i="5"/>
  <c r="V35" i="5"/>
  <c r="V187" i="5"/>
  <c r="V31" i="5"/>
  <c r="V372" i="5"/>
  <c r="V257" i="5"/>
  <c r="V207" i="5"/>
  <c r="V364" i="5"/>
  <c r="V90" i="5"/>
  <c r="V279" i="5"/>
  <c r="V188" i="5"/>
  <c r="V120" i="5"/>
  <c r="V13" i="5"/>
  <c r="V185" i="5"/>
  <c r="V174" i="5"/>
  <c r="V2" i="5"/>
  <c r="V67" i="5"/>
  <c r="V262" i="5"/>
  <c r="V249" i="5"/>
  <c r="V287" i="5"/>
  <c r="V283" i="5"/>
  <c r="V99" i="5"/>
  <c r="V323" i="5"/>
  <c r="V363" i="5"/>
  <c r="V138" i="5"/>
  <c r="V9" i="5"/>
  <c r="V234" i="5"/>
  <c r="V267" i="5"/>
  <c r="V60" i="5"/>
  <c r="V119" i="5"/>
  <c r="V228" i="5"/>
  <c r="V196" i="5"/>
  <c r="V167" i="5"/>
  <c r="V109" i="5"/>
  <c r="V132" i="5"/>
  <c r="V33" i="5"/>
  <c r="V243" i="5"/>
  <c r="V165" i="5"/>
  <c r="V248" i="5"/>
  <c r="V289" i="5"/>
  <c r="V218" i="5"/>
  <c r="V38" i="5"/>
  <c r="V382" i="5"/>
  <c r="V338" i="5"/>
  <c r="V335" i="5"/>
  <c r="V296" i="5"/>
  <c r="V181" i="5"/>
  <c r="V137" i="5"/>
  <c r="V259" i="5"/>
  <c r="V171" i="5"/>
  <c r="V206" i="5"/>
  <c r="V374" i="5"/>
  <c r="V219" i="5"/>
  <c r="V110" i="5"/>
  <c r="V357" i="5"/>
  <c r="V366" i="5"/>
  <c r="V162" i="5"/>
  <c r="V232" i="5"/>
  <c r="V177" i="5"/>
  <c r="V70" i="5"/>
  <c r="V348" i="5"/>
  <c r="V326" i="5"/>
  <c r="V309" i="5"/>
  <c r="V19" i="5"/>
  <c r="V209" i="5"/>
  <c r="V321" i="5"/>
  <c r="V59" i="5"/>
  <c r="V233" i="5"/>
  <c r="V331" i="5"/>
  <c r="V166" i="5"/>
  <c r="V135" i="5"/>
  <c r="V40" i="5"/>
  <c r="V240" i="5"/>
  <c r="V142" i="5"/>
  <c r="V56" i="5"/>
  <c r="V351" i="5"/>
  <c r="V342" i="5"/>
  <c r="V72" i="5"/>
  <c r="V126" i="5"/>
  <c r="V179" i="5"/>
  <c r="V200" i="5"/>
  <c r="V275" i="5"/>
  <c r="V303" i="5"/>
  <c r="V216" i="5"/>
  <c r="V317" i="5"/>
  <c r="V365" i="5"/>
  <c r="V108" i="5"/>
  <c r="V202" i="5"/>
  <c r="V116" i="5"/>
  <c r="V276" i="5"/>
  <c r="V343" i="5"/>
  <c r="V324" i="5"/>
  <c r="V330" i="5"/>
  <c r="V27" i="5"/>
  <c r="V14" i="5"/>
  <c r="V169" i="5"/>
  <c r="V85" i="5"/>
  <c r="V310" i="5"/>
  <c r="V88" i="5"/>
  <c r="V54" i="5"/>
  <c r="V73" i="5"/>
  <c r="V98" i="5"/>
  <c r="V205" i="5"/>
  <c r="V239" i="5"/>
  <c r="V278" i="5"/>
  <c r="V5" i="5"/>
  <c r="V238" i="5"/>
  <c r="V15" i="5"/>
  <c r="V129" i="5"/>
  <c r="V306" i="5"/>
  <c r="V91" i="5"/>
  <c r="V260" i="5"/>
  <c r="V102" i="5"/>
  <c r="V284" i="5"/>
  <c r="V294" i="5"/>
  <c r="V163" i="5"/>
  <c r="V290" i="5"/>
  <c r="V344" i="5"/>
  <c r="V316" i="5"/>
  <c r="V37" i="5"/>
  <c r="V153" i="5"/>
  <c r="V79" i="5"/>
  <c r="V172" i="5"/>
  <c r="V369" i="5"/>
  <c r="V160" i="5"/>
  <c r="V305" i="5"/>
  <c r="V227" i="5"/>
  <c r="V376" i="5"/>
  <c r="V34" i="5"/>
  <c r="V307" i="5"/>
  <c r="V87" i="5"/>
  <c r="V176" i="5"/>
  <c r="V139" i="5"/>
  <c r="V230" i="5"/>
  <c r="V247" i="5"/>
  <c r="V244" i="5"/>
  <c r="V136" i="5"/>
  <c r="V191" i="5"/>
  <c r="V327" i="5"/>
  <c r="V256" i="5"/>
  <c r="V320" i="5"/>
  <c r="V225" i="5"/>
  <c r="V352" i="5"/>
  <c r="V123" i="5"/>
  <c r="V112" i="5"/>
  <c r="V11" i="5"/>
  <c r="V277" i="5"/>
  <c r="V204" i="5"/>
  <c r="V178" i="5"/>
  <c r="V17" i="5"/>
  <c r="V151" i="5"/>
  <c r="V149" i="5"/>
  <c r="V75" i="5"/>
  <c r="V312" i="5"/>
  <c r="V332" i="5"/>
  <c r="V97" i="5"/>
  <c r="V6" i="5"/>
  <c r="V194" i="5"/>
  <c r="V118" i="5"/>
  <c r="V92" i="5"/>
  <c r="V349" i="5"/>
  <c r="V350" i="5"/>
  <c r="V180" i="5"/>
  <c r="V293" i="5"/>
  <c r="V329" i="5"/>
  <c r="V339" i="5"/>
  <c r="V373" i="5"/>
  <c r="V328" i="5"/>
  <c r="V131" i="5"/>
  <c r="V93" i="5"/>
  <c r="V221" i="5"/>
  <c r="V347" i="5"/>
  <c r="V255" i="5"/>
  <c r="V154" i="5"/>
  <c r="V141" i="5"/>
  <c r="V220" i="5"/>
  <c r="V133" i="5"/>
  <c r="V336" i="5"/>
  <c r="V368" i="5"/>
  <c r="V229" i="5"/>
  <c r="V210" i="5"/>
  <c r="V164" i="5"/>
  <c r="V83" i="5"/>
  <c r="V301" i="5"/>
  <c r="V66" i="5"/>
  <c r="V53" i="5"/>
  <c r="V94" i="5"/>
  <c r="V261" i="5"/>
  <c r="V345" i="5"/>
  <c r="V356" i="5"/>
  <c r="V55" i="5"/>
  <c r="V57" i="5"/>
  <c r="V89" i="5"/>
  <c r="V370" i="5"/>
  <c r="V77" i="5"/>
  <c r="V25" i="5"/>
  <c r="V158" i="5"/>
  <c r="V21" i="5"/>
  <c r="V58" i="5"/>
  <c r="V212" i="5"/>
  <c r="V28" i="5"/>
  <c r="V253" i="5"/>
  <c r="V10" i="5"/>
  <c r="V282" i="5"/>
  <c r="V263" i="5"/>
  <c r="V82" i="5"/>
  <c r="V186" i="5"/>
  <c r="V16" i="5"/>
  <c r="V268" i="5"/>
  <c r="V104" i="5"/>
  <c r="V182" i="5"/>
  <c r="V292" i="5"/>
  <c r="V295" i="5"/>
  <c r="V215" i="5"/>
  <c r="V125" i="5"/>
  <c r="V340" i="5"/>
  <c r="V308" i="5"/>
  <c r="V184" i="5"/>
  <c r="V84" i="5"/>
  <c r="V26" i="5"/>
  <c r="V297" i="5"/>
  <c r="V367" i="5"/>
  <c r="V274" i="5"/>
  <c r="V96" i="5"/>
  <c r="V222" i="5"/>
  <c r="V246" i="5"/>
  <c r="V251" i="5"/>
  <c r="V121" i="5"/>
  <c r="V254" i="5"/>
  <c r="V299" i="5"/>
  <c r="V4" i="5"/>
  <c r="V134" i="5"/>
  <c r="V170" i="5"/>
  <c r="V63" i="5"/>
  <c r="V198" i="5"/>
  <c r="V168" i="5"/>
  <c r="V69" i="5"/>
  <c r="V46" i="5"/>
  <c r="V217" i="5"/>
  <c r="V41" i="5"/>
  <c r="V271" i="5"/>
  <c r="V78" i="5"/>
  <c r="V325" i="5"/>
  <c r="V371" i="5"/>
  <c r="V245" i="5"/>
  <c r="V144" i="5"/>
  <c r="V381" i="5"/>
  <c r="V156" i="5"/>
  <c r="V189" i="5"/>
  <c r="V42" i="5"/>
  <c r="V375" i="5"/>
  <c r="V258" i="5"/>
  <c r="V147" i="5"/>
  <c r="V80" i="5"/>
  <c r="V269" i="5"/>
  <c r="V195" i="5"/>
  <c r="V24" i="5"/>
  <c r="V250" i="5"/>
  <c r="V122" i="5"/>
  <c r="V128" i="5"/>
  <c r="V285" i="5"/>
  <c r="V74" i="5"/>
  <c r="V39" i="5"/>
  <c r="V148" i="5"/>
  <c r="V362" i="5"/>
  <c r="V81" i="5"/>
  <c r="V71" i="5"/>
  <c r="V18" i="5"/>
  <c r="V272" i="5"/>
  <c r="V354" i="5"/>
  <c r="V29" i="5"/>
  <c r="V281" i="5"/>
  <c r="V270" i="5"/>
  <c r="V45" i="5"/>
  <c r="V264" i="5"/>
  <c r="V111" i="5"/>
  <c r="V193" i="5"/>
  <c r="V32" i="5"/>
  <c r="V286" i="5"/>
  <c r="V105" i="5"/>
  <c r="V44" i="5"/>
  <c r="V47" i="5"/>
  <c r="V235" i="5"/>
  <c r="V7" i="5"/>
  <c r="V150" i="5"/>
  <c r="V152" i="5"/>
  <c r="V68" i="5"/>
  <c r="V100" i="5"/>
  <c r="V107" i="5"/>
  <c r="V231" i="5"/>
  <c r="V346" i="5"/>
  <c r="V117" i="5"/>
  <c r="V161" i="5"/>
  <c r="V62" i="5"/>
  <c r="V379" i="5"/>
  <c r="V298" i="5"/>
  <c r="V383" i="5"/>
  <c r="V214" i="5"/>
  <c r="V302" i="5"/>
  <c r="V201" i="5"/>
  <c r="V380" i="5"/>
  <c r="V273" i="5"/>
  <c r="V143" i="5"/>
  <c r="V190" i="5"/>
  <c r="V22" i="5"/>
  <c r="V173" i="5"/>
  <c r="V353" i="5"/>
  <c r="V113" i="5"/>
  <c r="V49" i="5"/>
  <c r="V157" i="5"/>
  <c r="V378" i="5"/>
  <c r="V300" i="5"/>
  <c r="V155" i="5"/>
  <c r="V159" i="5"/>
  <c r="V64" i="5"/>
  <c r="B47" i="9"/>
  <c r="B49" i="9"/>
  <c r="B8" i="9"/>
  <c r="B9" i="9"/>
  <c r="B11" i="9"/>
  <c r="B42" i="9"/>
  <c r="E42" i="9"/>
  <c r="E43" i="9"/>
  <c r="C26" i="9"/>
  <c r="C27" i="9"/>
  <c r="C22" i="9"/>
  <c r="C29" i="9"/>
  <c r="C25" i="9"/>
  <c r="C30" i="9"/>
  <c r="C21" i="9"/>
  <c r="C28" i="9"/>
  <c r="C15" i="9"/>
  <c r="C34" i="9"/>
  <c r="C17" i="9"/>
  <c r="C14" i="9"/>
  <c r="C20" i="9"/>
  <c r="C24" i="9"/>
  <c r="C32" i="9"/>
  <c r="C19" i="9"/>
  <c r="C18" i="9"/>
  <c r="C33" i="9"/>
  <c r="C16" i="9"/>
  <c r="C23" i="9"/>
  <c r="C31" i="9"/>
  <c r="B48" i="9"/>
  <c r="B46" i="9"/>
</calcChain>
</file>

<file path=xl/sharedStrings.xml><?xml version="1.0" encoding="utf-8"?>
<sst xmlns="http://schemas.openxmlformats.org/spreadsheetml/2006/main" count="29081" uniqueCount="1452">
  <si>
    <t>skim, 30 % solids</t>
  </si>
  <si>
    <t>skim, 42 % solids</t>
  </si>
  <si>
    <t>skim, 51 % solids</t>
  </si>
  <si>
    <t>skim, raw</t>
  </si>
  <si>
    <t>skim, sterile</t>
  </si>
  <si>
    <t>whole, raw</t>
  </si>
  <si>
    <t>whole, sterile</t>
  </si>
  <si>
    <t>whole, commercially sterile</t>
  </si>
  <si>
    <t>sterile</t>
  </si>
  <si>
    <t>naturally contaminated</t>
  </si>
  <si>
    <t>reconstituted nonfat dry</t>
  </si>
  <si>
    <t>Meat</t>
  </si>
  <si>
    <t>Ice-cream</t>
  </si>
  <si>
    <t>ground, cured</t>
  </si>
  <si>
    <t>homogenate</t>
  </si>
  <si>
    <t>steak, homogenate</t>
  </si>
  <si>
    <t>Carrot</t>
  </si>
  <si>
    <t>slurry (20% meat, 80% water)</t>
  </si>
  <si>
    <t>whole and skim, pasteurized</t>
  </si>
  <si>
    <t>whole, homogenate</t>
  </si>
  <si>
    <t>mix (pork+beef)</t>
  </si>
  <si>
    <t xml:space="preserve">Carrot </t>
  </si>
  <si>
    <t>Lobster</t>
  </si>
  <si>
    <t>meat</t>
  </si>
  <si>
    <t>35 °C, 24h</t>
  </si>
  <si>
    <t>Crawfish</t>
  </si>
  <si>
    <t>tail meat</t>
  </si>
  <si>
    <t>27 °C, overnight</t>
  </si>
  <si>
    <t>liver</t>
  </si>
  <si>
    <t>37 °C, overnight</t>
  </si>
  <si>
    <t>ground, roast</t>
  </si>
  <si>
    <t>fermented beaker</t>
  </si>
  <si>
    <t>trypticase</t>
  </si>
  <si>
    <t>Heat shock, 48 °C, 10 min</t>
  </si>
  <si>
    <t>tryptone soya</t>
  </si>
  <si>
    <t>37 °C, 22-24h</t>
  </si>
  <si>
    <t>emulsion</t>
  </si>
  <si>
    <t>7.7M glycerol (9818), oil, pumpkin, heat resistant</t>
  </si>
  <si>
    <t>37 °C, 22-24h, heated to 60 °C at 0.5 °C/min</t>
  </si>
  <si>
    <t>Product group</t>
  </si>
  <si>
    <t>Cereals</t>
  </si>
  <si>
    <t>Dry products</t>
  </si>
  <si>
    <t>Dairy</t>
  </si>
  <si>
    <t>Vegetables</t>
  </si>
  <si>
    <t>Media</t>
  </si>
  <si>
    <t>Liquids</t>
  </si>
  <si>
    <t>Fish</t>
  </si>
  <si>
    <t>Ready-to-eat</t>
  </si>
  <si>
    <t>SEC</t>
  </si>
  <si>
    <t>Phosphate buffer (10 mM)</t>
  </si>
  <si>
    <t>+ glycerol</t>
  </si>
  <si>
    <t>Phosphate buffer (11 mM)</t>
  </si>
  <si>
    <t>+ Nutrient broth</t>
  </si>
  <si>
    <t>+ sucrose</t>
  </si>
  <si>
    <t>+ glucose</t>
  </si>
  <si>
    <t>ground, naturally contaminated</t>
  </si>
  <si>
    <t>Data analysis Listeria monocytogenes</t>
  </si>
  <si>
    <t>Scott A</t>
  </si>
  <si>
    <t>V7</t>
  </si>
  <si>
    <t>7 °C, 0d in gravy prior to heating</t>
  </si>
  <si>
    <t>7 °C, 1d in gravy prior to heating</t>
  </si>
  <si>
    <t>7 °C, 3d in gravy prior to heating</t>
  </si>
  <si>
    <t>7 °C, 5d in gravy prior to heating</t>
  </si>
  <si>
    <t>7 °C, 10d in gravy prior to heating</t>
  </si>
  <si>
    <t>Species</t>
  </si>
  <si>
    <t>Strain</t>
  </si>
  <si>
    <t>Salmonella</t>
  </si>
  <si>
    <t>senftenberg</t>
  </si>
  <si>
    <t>TSB + 2YE</t>
  </si>
  <si>
    <t>TSB</t>
  </si>
  <si>
    <t>typhimurium</t>
  </si>
  <si>
    <t>775W rough colony form</t>
  </si>
  <si>
    <t>775W smooth colony form</t>
  </si>
  <si>
    <t>NaCl 0.5%</t>
  </si>
  <si>
    <t>bouillon</t>
  </si>
  <si>
    <t>Pea (green)</t>
  </si>
  <si>
    <t>soup</t>
  </si>
  <si>
    <t>Chocolate (milk)</t>
  </si>
  <si>
    <t>Dry heat</t>
  </si>
  <si>
    <t>sterile, homogenised</t>
  </si>
  <si>
    <t>anatum</t>
  </si>
  <si>
    <t>binza</t>
  </si>
  <si>
    <t>cubana</t>
  </si>
  <si>
    <t>meleagridis</t>
  </si>
  <si>
    <t>new brunswick</t>
  </si>
  <si>
    <t>tennessee</t>
  </si>
  <si>
    <t>Aq glycerol</t>
  </si>
  <si>
    <t>alachua</t>
  </si>
  <si>
    <t>montevideo</t>
  </si>
  <si>
    <t>Aq sucrose</t>
  </si>
  <si>
    <t>infantis</t>
  </si>
  <si>
    <t>TSB + 10 % MS</t>
  </si>
  <si>
    <t>TSB + 30 % MS</t>
  </si>
  <si>
    <t>TSB + 42 % MS</t>
  </si>
  <si>
    <t>TSB + 51 % MS</t>
  </si>
  <si>
    <t>eastbourne</t>
  </si>
  <si>
    <t>bedford</t>
  </si>
  <si>
    <t>heat resistant</t>
  </si>
  <si>
    <t>heat sensitive</t>
  </si>
  <si>
    <t>HIA (heat infusion agar)</t>
  </si>
  <si>
    <t>aw = 0.87</t>
  </si>
  <si>
    <t>aw = 0.85</t>
  </si>
  <si>
    <t>aw = 0.92</t>
  </si>
  <si>
    <t>bovis morbificans</t>
  </si>
  <si>
    <t>brandenburg</t>
  </si>
  <si>
    <t>carrau/madelia</t>
  </si>
  <si>
    <t>cerro</t>
  </si>
  <si>
    <t>derby</t>
  </si>
  <si>
    <t>dublin</t>
  </si>
  <si>
    <t>enteritidis</t>
  </si>
  <si>
    <t>godesberg</t>
  </si>
  <si>
    <t>indiana</t>
  </si>
  <si>
    <t>irumu/colorado</t>
  </si>
  <si>
    <t>menston</t>
  </si>
  <si>
    <t>newport</t>
  </si>
  <si>
    <t>oranienburg</t>
  </si>
  <si>
    <t>panama</t>
  </si>
  <si>
    <t>stanley</t>
  </si>
  <si>
    <t>Aq glucose</t>
  </si>
  <si>
    <t>PSW (poultry scald water)</t>
  </si>
  <si>
    <t>skin, macerate</t>
  </si>
  <si>
    <t>Thomas et al.</t>
  </si>
  <si>
    <t>Thomas, C.T., White, J.C., Longree, K.</t>
  </si>
  <si>
    <t>thermal resistance of Salmonellae and Staphylococci in foods</t>
  </si>
  <si>
    <t>Applied Microbiology</t>
  </si>
  <si>
    <t>815-820</t>
  </si>
  <si>
    <t>Data analysis Salmonella</t>
  </si>
  <si>
    <t>Chocolate</t>
  </si>
  <si>
    <t>logD</t>
  </si>
  <si>
    <t>Log D (95 %)</t>
  </si>
  <si>
    <t>A,B,F (P)</t>
  </si>
  <si>
    <t>G (P)</t>
  </si>
  <si>
    <t>NP + lysozyme</t>
  </si>
  <si>
    <t>log Dref 95%:</t>
  </si>
  <si>
    <t>Iversen, C., Hagreaves, A., Forsythe, S.</t>
  </si>
  <si>
    <t>log Dref 95%</t>
  </si>
  <si>
    <t>Data analysis S. aureus</t>
  </si>
  <si>
    <t>Staphylococcus</t>
  </si>
  <si>
    <t>aureus</t>
  </si>
  <si>
    <t>MF 31</t>
  </si>
  <si>
    <t>Phosphate buffer (0.1 M)</t>
  </si>
  <si>
    <t>Brain Heart Infusion</t>
  </si>
  <si>
    <t>NCTC 10652</t>
  </si>
  <si>
    <t>Pork</t>
  </si>
  <si>
    <t>macerate</t>
  </si>
  <si>
    <t>macerate+ 500 ppm NaNO2</t>
  </si>
  <si>
    <t>macerate + 3.27% NaCl</t>
  </si>
  <si>
    <t>macerate + 4.15% NaCl</t>
  </si>
  <si>
    <t>macerate + 3.27% NaCl + 500 ppm NaNO2</t>
  </si>
  <si>
    <t>macerate + 4.15% NaCl + 500 ppm NaNO2</t>
  </si>
  <si>
    <t>macerate + 8.45% NaCl</t>
  </si>
  <si>
    <t>macerate + 8.45% NaCl + 500 ppm NaNO2</t>
  </si>
  <si>
    <t>Stiles and Witter</t>
  </si>
  <si>
    <t>Bean and Roberts</t>
  </si>
  <si>
    <t>Stiles, M.E. and Witter, L.D.</t>
  </si>
  <si>
    <t>Thermal inactivation, heat injury and recovery of Staphylococcus aureus</t>
  </si>
  <si>
    <t>Journal of Dairy Science</t>
  </si>
  <si>
    <t>677-681</t>
  </si>
  <si>
    <t>Bean, P.G. and Roberts, T.A.</t>
  </si>
  <si>
    <t>Effect of sodium chloride and sodium nitrite on the heat resistance of Staphylococcus aureus NCTC 10652 in buffer and meat macerate</t>
  </si>
  <si>
    <t>Journal of Food Technology</t>
  </si>
  <si>
    <t>327-332</t>
  </si>
  <si>
    <t>186E</t>
  </si>
  <si>
    <t>Experimental non-fermented</t>
  </si>
  <si>
    <t>Buffer</t>
  </si>
  <si>
    <t>Milk, beans, peas, beef</t>
  </si>
  <si>
    <t>strain NCTC 10652</t>
  </si>
  <si>
    <t>UHT</t>
  </si>
  <si>
    <t>Patterson and Kilpatrick</t>
  </si>
  <si>
    <t>Patterson, M.F., Kilpatrick, D.J.</t>
  </si>
  <si>
    <t>The combined effect of high hydrostatic pressure and mild heat on inactivation of pathogens in milk and poultry</t>
  </si>
  <si>
    <t>432-436</t>
  </si>
  <si>
    <t>Calculated from survival data</t>
  </si>
  <si>
    <t>Grown at 37 °C</t>
  </si>
  <si>
    <t>Grown at 46 °C</t>
  </si>
  <si>
    <t>Organisms grown in milk</t>
  </si>
  <si>
    <t>Pasta (Semolina-egg dough)</t>
  </si>
  <si>
    <t>aw = 0.61</t>
  </si>
  <si>
    <t>aw = 0.76</t>
  </si>
  <si>
    <t>aw = 0.83</t>
  </si>
  <si>
    <t>Oil</t>
  </si>
  <si>
    <t>Dried with sand</t>
  </si>
  <si>
    <t>NaCl (5%)</t>
  </si>
  <si>
    <t>MS149</t>
  </si>
  <si>
    <t>196E</t>
  </si>
  <si>
    <t>UM115 soil</t>
  </si>
  <si>
    <t>F106 faeces</t>
  </si>
  <si>
    <t>A91 pathology specimen</t>
  </si>
  <si>
    <t>Hobbs3 beef</t>
  </si>
  <si>
    <t>Hobbs2 beef</t>
  </si>
  <si>
    <t>A48 chicken</t>
  </si>
  <si>
    <t>FH 153 faeces</t>
  </si>
  <si>
    <t>Buffer (tris-maleate)</t>
  </si>
  <si>
    <t>+NaNO2 (200 ppm)</t>
  </si>
  <si>
    <t>+NaCl (4%)</t>
  </si>
  <si>
    <t>+NaCl (4%) + NaNO2 (200 ppm)</t>
  </si>
  <si>
    <t>+NaCl (4%) + NaNO2 (400 ppm)</t>
  </si>
  <si>
    <t>+NaNO2 (400 ppm)</t>
  </si>
  <si>
    <t>+NaCl (8%)</t>
  </si>
  <si>
    <t>+NaCl (8%) + NaNO2 (200 ppm)</t>
  </si>
  <si>
    <t>+NaCl (8%) + NaNO2 (400 ppm)</t>
  </si>
  <si>
    <t>slope</t>
  </si>
  <si>
    <t>intercept</t>
  </si>
  <si>
    <t>Nakamura</t>
  </si>
  <si>
    <t>Nakamura, M. and Converse, J.D.</t>
  </si>
  <si>
    <t>Heat resistance of spores of Clostridium welchii</t>
  </si>
  <si>
    <t>J. Hyg. Camb</t>
  </si>
  <si>
    <t>359-365</t>
  </si>
  <si>
    <t>strain isolated from dry milk</t>
  </si>
  <si>
    <t>All (without phosphate buffer with logD = -1.52 (outlier))</t>
  </si>
  <si>
    <t>All (without soil strain in phosphate buffer(outlier))</t>
  </si>
  <si>
    <t>All (without oil)</t>
  </si>
  <si>
    <t>Streptococcus</t>
  </si>
  <si>
    <t>Data analysis Streptococcus</t>
  </si>
  <si>
    <t>sterilised</t>
  </si>
  <si>
    <t>Food</t>
  </si>
  <si>
    <t>pasteurised</t>
  </si>
  <si>
    <t>Vibrio</t>
  </si>
  <si>
    <t>cholerae</t>
  </si>
  <si>
    <t>Medium</t>
  </si>
  <si>
    <t>Peptone water (1%)</t>
  </si>
  <si>
    <t>parahaemolyticus</t>
  </si>
  <si>
    <t>KPO4 (0.1M)</t>
  </si>
  <si>
    <t>+ 0.5% NaCl</t>
  </si>
  <si>
    <t>+3% NaCl</t>
  </si>
  <si>
    <t>Clam</t>
  </si>
  <si>
    <t>Crab</t>
  </si>
  <si>
    <t>Yersinia</t>
  </si>
  <si>
    <t>enterocolitica</t>
  </si>
  <si>
    <t>Data analysis Yersinia enterocolitica</t>
  </si>
  <si>
    <t>Mackerel</t>
  </si>
  <si>
    <t>+oil</t>
  </si>
  <si>
    <t>NCTC 10656</t>
  </si>
  <si>
    <t>68-7895</t>
  </si>
  <si>
    <t>Isolate V48</t>
  </si>
  <si>
    <t>Isolate M14</t>
  </si>
  <si>
    <t>Isolate 111</t>
  </si>
  <si>
    <t>48h old culture</t>
  </si>
  <si>
    <t>72h old culture</t>
  </si>
  <si>
    <t>96h old culture</t>
  </si>
  <si>
    <t>120h old culture</t>
  </si>
  <si>
    <t>Gaze</t>
  </si>
  <si>
    <t>Gaze, J.E.</t>
  </si>
  <si>
    <t>The effect of of oil on the heat resistance of Staphylocuccus aureus</t>
  </si>
  <si>
    <t>Food Microbiology</t>
  </si>
  <si>
    <t>277-283</t>
  </si>
  <si>
    <t>Soya oil</t>
  </si>
  <si>
    <t>Not dried with sand</t>
  </si>
  <si>
    <t>Data analysis Clostridium perfringens</t>
  </si>
  <si>
    <t>F-test for E. coli O157:H7</t>
  </si>
  <si>
    <t>Regression on all data:</t>
  </si>
  <si>
    <t>slope:</t>
  </si>
  <si>
    <t>intercept:</t>
  </si>
  <si>
    <t>Regression on O157:</t>
  </si>
  <si>
    <t>Regression on other strains:</t>
  </si>
  <si>
    <t>F-test</t>
  </si>
  <si>
    <t>log D (overall)</t>
  </si>
  <si>
    <t>log D (O157:H7)</t>
  </si>
  <si>
    <t>log D (rest)</t>
  </si>
  <si>
    <t>RSS</t>
  </si>
  <si>
    <t>RSS(total)</t>
  </si>
  <si>
    <t>lackoffit</t>
  </si>
  <si>
    <t>N=</t>
  </si>
  <si>
    <t>F-test for type of C. botulinum</t>
  </si>
  <si>
    <t>Regression on ABF</t>
  </si>
  <si>
    <t>Regression on G</t>
  </si>
  <si>
    <t>logD(overall)</t>
  </si>
  <si>
    <t>logD(ABF)</t>
  </si>
  <si>
    <t>logD(G)</t>
  </si>
  <si>
    <t>logD(all data)</t>
  </si>
  <si>
    <t>logD(rest)</t>
  </si>
  <si>
    <t>logD(all)</t>
  </si>
  <si>
    <t>logD(rest</t>
  </si>
  <si>
    <t>F-test for chocolate</t>
  </si>
  <si>
    <t>Regression on chocolate:</t>
  </si>
  <si>
    <t>Regression on rest:</t>
  </si>
  <si>
    <t>logD(chocolate)</t>
  </si>
  <si>
    <t>logD(milk/phosphate)</t>
  </si>
  <si>
    <t>F(df1=120;df2=120)</t>
  </si>
  <si>
    <t>F(df1=2;df2=120)</t>
  </si>
  <si>
    <t>F(df1=2;df2=inf)</t>
  </si>
  <si>
    <t>F(df1=inf;df2=inf)</t>
  </si>
  <si>
    <t>F(df1=60;df2=60)</t>
  </si>
  <si>
    <t>F(df1=2;df2=60)</t>
  </si>
  <si>
    <t>F-test for separate products</t>
  </si>
  <si>
    <t>Regression on crabmeat:</t>
  </si>
  <si>
    <t>Regression on peptone water:</t>
  </si>
  <si>
    <t>logD(crabmeat)</t>
  </si>
  <si>
    <t>logD(peptone water)</t>
  </si>
  <si>
    <t>F(df1=2;df2=5)</t>
  </si>
  <si>
    <t>F(df1=7;df2=5)</t>
  </si>
  <si>
    <t>Peptone</t>
  </si>
  <si>
    <t>log D (crabmeat)</t>
  </si>
  <si>
    <t>Unknown</t>
  </si>
  <si>
    <t>Forsythe</t>
  </si>
  <si>
    <t>Forsythe, S.J.</t>
  </si>
  <si>
    <t>The microbiology of safe food</t>
  </si>
  <si>
    <t>Blackwell Science Ltd</t>
  </si>
  <si>
    <t>Oxford</t>
  </si>
  <si>
    <t xml:space="preserve">Campylobacter </t>
  </si>
  <si>
    <t>jejuni</t>
  </si>
  <si>
    <t>toxin</t>
  </si>
  <si>
    <t>type A/B</t>
  </si>
  <si>
    <t>type B/E/F</t>
  </si>
  <si>
    <t>Apple</t>
  </si>
  <si>
    <t>Egg</t>
  </si>
  <si>
    <t>liquid, whole</t>
  </si>
  <si>
    <t>Saline</t>
  </si>
  <si>
    <t>Adams and Moss</t>
  </si>
  <si>
    <t>Adams, M.R. and Moss, m.O.</t>
  </si>
  <si>
    <t>The Royal Society of Chemistry</t>
  </si>
  <si>
    <t>Cambridge</t>
  </si>
  <si>
    <t>775W</t>
  </si>
  <si>
    <t>Gormley</t>
  </si>
  <si>
    <t>Gormley, T.R.</t>
  </si>
  <si>
    <t>Chilled foods</t>
  </si>
  <si>
    <t>Elsevier Applied Science</t>
  </si>
  <si>
    <t>Rijkelt</t>
  </si>
  <si>
    <t>Marcel</t>
  </si>
  <si>
    <t>Doyle and Mazzotta</t>
  </si>
  <si>
    <t>Precultured in broth</t>
  </si>
  <si>
    <t>Precultured in egg</t>
  </si>
  <si>
    <t>No heat shock</t>
  </si>
  <si>
    <t>liquid, whole + 10% sucrose</t>
  </si>
  <si>
    <t>liquid, whole + yolk + corn syrup</t>
  </si>
  <si>
    <t>liquid, yolk</t>
  </si>
  <si>
    <t>liquid, yolk + 10% NaCl</t>
  </si>
  <si>
    <t>liquid, yolk + 10% sucrose</t>
  </si>
  <si>
    <t>typhimurium + enteritidis</t>
  </si>
  <si>
    <t xml:space="preserve">775W </t>
  </si>
  <si>
    <t>liquid, white</t>
  </si>
  <si>
    <t>liquid, white+ 1500IU nisin/ml</t>
  </si>
  <si>
    <t>liquid, white+ 2500IU nisin/ml</t>
  </si>
  <si>
    <t>liquid, white + 10% sucrose</t>
  </si>
  <si>
    <t>liquid, white + PO4</t>
  </si>
  <si>
    <t>derby, orienburg, typhimurium</t>
  </si>
  <si>
    <t>enteritidis, typhimurium</t>
  </si>
  <si>
    <t>enteritidis, typhimurium, senftenberg</t>
  </si>
  <si>
    <t>liquid, white + H2O2</t>
  </si>
  <si>
    <t>raw, human</t>
  </si>
  <si>
    <t>typhimurium, infantis, hadar, agona, enteritidis, heidelberg, New-Port, Saint-paul, thompson, schwarzengrund</t>
  </si>
  <si>
    <t>muenster, kentucky, anatum, montevideo, mbandaka, albany, brandenbrug, sneftenberg, newington, california</t>
  </si>
  <si>
    <t>muenster</t>
  </si>
  <si>
    <t>thompson</t>
  </si>
  <si>
    <t>Heat shocked</t>
  </si>
  <si>
    <t>Attached to meat</t>
  </si>
  <si>
    <t>Rising temp 6 °C/h</t>
  </si>
  <si>
    <t>Rising temp 8.5 °C/h</t>
  </si>
  <si>
    <t>Rising temp 12.5 °C/h</t>
  </si>
  <si>
    <t>agona, bovis-morbificans, muenchen, newport, typhimurium</t>
  </si>
  <si>
    <t>ground + soy protein</t>
  </si>
  <si>
    <t>minced cook-chill roast</t>
  </si>
  <si>
    <t>Doyle, M.E. and Mazzotta, A.S.</t>
  </si>
  <si>
    <t>Review on the thermal resistance of Salmonellae</t>
  </si>
  <si>
    <t>Journal of Food Protection</t>
  </si>
  <si>
    <t>779-795</t>
  </si>
  <si>
    <t>CASO-YE</t>
  </si>
  <si>
    <t>LEMCO</t>
  </si>
  <si>
    <t>stationary phase cells</t>
  </si>
  <si>
    <t>log phase cells</t>
  </si>
  <si>
    <t>LB</t>
  </si>
  <si>
    <t>MM</t>
  </si>
  <si>
    <t>NB</t>
  </si>
  <si>
    <t>Linear decline</t>
  </si>
  <si>
    <t>Slower tail decrease</t>
  </si>
  <si>
    <t>TSBYE</t>
  </si>
  <si>
    <t>Stationary phase cells</t>
  </si>
  <si>
    <t>BHI</t>
  </si>
  <si>
    <t>agona</t>
  </si>
  <si>
    <t>london</t>
  </si>
  <si>
    <t>HI</t>
  </si>
  <si>
    <t>PO4</t>
  </si>
  <si>
    <t>S2</t>
  </si>
  <si>
    <t>R1</t>
  </si>
  <si>
    <t>R2</t>
  </si>
  <si>
    <t>R6</t>
  </si>
  <si>
    <t>Sucrose solutions</t>
  </si>
  <si>
    <t>Heat shock 30 min 42 °C</t>
  </si>
  <si>
    <t>Heat shock 30 min 48 °C</t>
  </si>
  <si>
    <t>Heat shock 30 min 52 °C</t>
  </si>
  <si>
    <t>Heat shock 60 min 42 °C, aerobic</t>
  </si>
  <si>
    <t>Heat shock 60 min 42 °C, anaerobic</t>
  </si>
  <si>
    <t>cells grown at 20 °C</t>
  </si>
  <si>
    <t>cells grown at 37 °C</t>
  </si>
  <si>
    <t>cells grown at 44 °C</t>
  </si>
  <si>
    <t>Heat with lactoperoxidase</t>
  </si>
  <si>
    <t>Competitive flora &lt; 1E8/ml</t>
  </si>
  <si>
    <t>Survivors counted on NB agar</t>
  </si>
  <si>
    <t>Survivors counted on XLD agar</t>
  </si>
  <si>
    <t>+ 500 IU nisin/ml</t>
  </si>
  <si>
    <t>+ 1000 IU nisin/ml</t>
  </si>
  <si>
    <t>+ 1500 IU nisin/ml</t>
  </si>
  <si>
    <t>Unattached planctonic cells in LB</t>
  </si>
  <si>
    <t>Attached to glass in LB</t>
  </si>
  <si>
    <t>Attached to stainless steel in LB</t>
  </si>
  <si>
    <t>Unattached planctonic cells in MM</t>
  </si>
  <si>
    <t>Attached to glass in MM</t>
  </si>
  <si>
    <t>Attached to stainless steel in MM</t>
  </si>
  <si>
    <t>Shah et al.</t>
  </si>
  <si>
    <t>Heat shock 30 min 37 °C</t>
  </si>
  <si>
    <t>Shah, D.B., Bradshwa, J.G. and Peeler, J.T.</t>
  </si>
  <si>
    <t>391-393</t>
  </si>
  <si>
    <t>Thermal resistance of egg-associated epidemic strains of Salmonella enteritidis</t>
  </si>
  <si>
    <t>NCTC 11467</t>
  </si>
  <si>
    <t>NTUCC 823</t>
  </si>
  <si>
    <t>Iversen et al.</t>
  </si>
  <si>
    <t>ready made</t>
  </si>
  <si>
    <t>Log phase cells</t>
  </si>
  <si>
    <t>Competitive flora &gt; 1E8/ml</t>
  </si>
  <si>
    <t>Tryptose Phosphate Broth</t>
  </si>
  <si>
    <t>LCDC 81-861</t>
  </si>
  <si>
    <t>DA-3</t>
  </si>
  <si>
    <t>Brie-1</t>
  </si>
  <si>
    <t>F5059</t>
  </si>
  <si>
    <t>SLU 10</t>
  </si>
  <si>
    <t>Physiological saline</t>
  </si>
  <si>
    <t>SLU 110</t>
  </si>
  <si>
    <t>SLU 136</t>
  </si>
  <si>
    <t>SLU 594</t>
  </si>
  <si>
    <t>ATCC 19111</t>
  </si>
  <si>
    <t>NCTC 5105</t>
  </si>
  <si>
    <t>SLU 92</t>
  </si>
  <si>
    <t>SLU 196</t>
  </si>
  <si>
    <t>NCTC 7973</t>
  </si>
  <si>
    <t>Cells grown in batch</t>
  </si>
  <si>
    <t>Cells grown in chemostat</t>
  </si>
  <si>
    <t>Trypticase Soy Broth</t>
  </si>
  <si>
    <t>F5069</t>
  </si>
  <si>
    <t>Trypticase Soy with Yeast Extract</t>
  </si>
  <si>
    <t>precultured 30 min 48 °C</t>
  </si>
  <si>
    <t>precultured 15 min 48 °C</t>
  </si>
  <si>
    <t>precultured 10 min 48 °C</t>
  </si>
  <si>
    <t>No heat shock; survivors grown aerobically</t>
  </si>
  <si>
    <t>No heat shock; survivors grown anaerobically</t>
  </si>
  <si>
    <t>precultured 10 min 48 °C; survivors grown aerobically</t>
  </si>
  <si>
    <t>13-249</t>
  </si>
  <si>
    <t>No heat shock; log phase cells</t>
  </si>
  <si>
    <t>No heat shock; stationary phase cells</t>
  </si>
  <si>
    <t>Cells grown at 10 °C in batch</t>
  </si>
  <si>
    <t>Cells grown at 10 °C in chemostat</t>
  </si>
  <si>
    <t>Cells grown at 30 °C in batch</t>
  </si>
  <si>
    <t>Cells grown at 30 °C in chemostat</t>
  </si>
  <si>
    <t>Cells grown at 10 °C</t>
  </si>
  <si>
    <t>Cells grown at 37 °C</t>
  </si>
  <si>
    <t>+NaCl</t>
  </si>
  <si>
    <t>Grown at 0.09M and heated at 0.5M NaCl</t>
  </si>
  <si>
    <t>Grown at 0.09M and heated at 1M NaCl</t>
  </si>
  <si>
    <t>Grown at 0.09M and heated at 1.5M NaCl</t>
  </si>
  <si>
    <t>Grown at 0.5M and heated at 0.5M NaCl</t>
  </si>
  <si>
    <t>24h old culture</t>
  </si>
  <si>
    <t xml:space="preserve">  </t>
  </si>
  <si>
    <t>Grown at 1M and heated at 1M NaCl</t>
  </si>
  <si>
    <t>Grown at 1.5M and heated at 1.5M NaCl</t>
  </si>
  <si>
    <t>Grown at 1.5M and heated at 0.09M NaCl</t>
  </si>
  <si>
    <t>+acetic acid</t>
  </si>
  <si>
    <t>+lactic acid</t>
  </si>
  <si>
    <t>+ lactic acid</t>
  </si>
  <si>
    <t>Trypticase Soy Broth with Yeast Extract</t>
  </si>
  <si>
    <t>Log phase cells; starved 138-156h</t>
  </si>
  <si>
    <t>+4-8% ethanol</t>
  </si>
  <si>
    <t>+ HCl</t>
  </si>
  <si>
    <t>+500 ppm H2O2</t>
  </si>
  <si>
    <t>Cooked, &lt;7% fat</t>
  </si>
  <si>
    <t>NCTC 11994</t>
  </si>
  <si>
    <t>Raw</t>
  </si>
  <si>
    <t>Meat slurry, 1.25% fat</t>
  </si>
  <si>
    <t>20% fat</t>
  </si>
  <si>
    <t>30.5% fat</t>
  </si>
  <si>
    <t>2% fat</t>
  </si>
  <si>
    <t>2.35% fat</t>
  </si>
  <si>
    <t>3.1% fat</t>
  </si>
  <si>
    <t>3.1% fat+2.4% lactate</t>
  </si>
  <si>
    <t>3.1% fat+4.8% lactate</t>
  </si>
  <si>
    <t>Cells grown in 0.09M NaCl</t>
  </si>
  <si>
    <t>Cells grown in 1.5M NaCl</t>
  </si>
  <si>
    <t>+1.5M NaCl</t>
  </si>
  <si>
    <t>Log phase cells;heat shock 30 min 46 °C</t>
  </si>
  <si>
    <t>Stationary phase cells; heat shock 30 min 46 °C</t>
  </si>
  <si>
    <t>Heating rate &gt; 10 °C/min</t>
  </si>
  <si>
    <t>Heating rate 0.6 °C/min</t>
  </si>
  <si>
    <t>Heating rate 0.3 °C/min</t>
  </si>
  <si>
    <t>CRA 433</t>
  </si>
  <si>
    <t>P(10)4</t>
  </si>
  <si>
    <t>Cooked</t>
  </si>
  <si>
    <t>Raw, leg</t>
  </si>
  <si>
    <t>old (3 months storage)</t>
  </si>
  <si>
    <t>Heating rate 1.3 °C/min</t>
  </si>
  <si>
    <t>Heating rate 2.2 °C/min</t>
  </si>
  <si>
    <t>Heating rate 8 °C/min</t>
  </si>
  <si>
    <t>+ soy hulls</t>
  </si>
  <si>
    <t>Doyle et al.</t>
  </si>
  <si>
    <t>Doyle, M.E., Mazotto, A.S., Wang, T., Wiseman, D.W., Scott, V.N/</t>
  </si>
  <si>
    <t>Heat resistance of Listeria monocytogenes</t>
  </si>
  <si>
    <t>410-429</t>
  </si>
  <si>
    <t>NQ2-Environ</t>
  </si>
  <si>
    <t>NQ3-Environ</t>
  </si>
  <si>
    <t>LCDC 674</t>
  </si>
  <si>
    <t>CDC A3(10)</t>
  </si>
  <si>
    <t>NQ1-Environ</t>
  </si>
  <si>
    <t>EWFAKRC11NNV 1493</t>
  </si>
  <si>
    <t>SK 90</t>
  </si>
  <si>
    <t>LCDC 648</t>
  </si>
  <si>
    <t>4.01C</t>
  </si>
  <si>
    <t>Edelson-Mammel and Buchanan</t>
  </si>
  <si>
    <t>in press</t>
  </si>
  <si>
    <t>Edelson-Mammel, S.G., Buchanan, R.L.</t>
  </si>
  <si>
    <t>Thermal inactivation of Enterobacter sakazakii in rehydrated infant formula</t>
  </si>
  <si>
    <t>Stationary phase cells; heat resistant strain</t>
  </si>
  <si>
    <t>Stationary phase cells; heat sensitive strain</t>
  </si>
  <si>
    <t>aw</t>
  </si>
  <si>
    <t xml:space="preserve"> 0.995</t>
  </si>
  <si>
    <t xml:space="preserve"> 0.98</t>
  </si>
  <si>
    <t xml:space="preserve"> 0.94</t>
  </si>
  <si>
    <t xml:space="preserve"> 0.9</t>
  </si>
  <si>
    <t xml:space="preserve"> 0.85</t>
  </si>
  <si>
    <t xml:space="preserve"> 0.99</t>
  </si>
  <si>
    <t xml:space="preserve"> 0.75</t>
  </si>
  <si>
    <t xml:space="preserve"> 0.96</t>
  </si>
  <si>
    <t xml:space="preserve"> 0.93</t>
  </si>
  <si>
    <t xml:space="preserve"> 0.87</t>
  </si>
  <si>
    <t xml:space="preserve"> 0.998</t>
  </si>
  <si>
    <t xml:space="preserve"> 0.92</t>
  </si>
  <si>
    <t xml:space="preserve"> 0.90</t>
  </si>
  <si>
    <t xml:space="preserve"> 0.89</t>
  </si>
  <si>
    <t xml:space="preserve"> 0.83</t>
  </si>
  <si>
    <t>39H</t>
  </si>
  <si>
    <t>Phosphate buffer (0.1M)</t>
  </si>
  <si>
    <t>Corry</t>
  </si>
  <si>
    <t>Corry, J.E.L.</t>
  </si>
  <si>
    <t>The effect of sugars and polyols on the heat resistance of Salmonellae</t>
  </si>
  <si>
    <t>Journal of Applied Bacteriology</t>
  </si>
  <si>
    <t>31-43</t>
  </si>
  <si>
    <t>simulate milk utrafiltrate</t>
  </si>
  <si>
    <t>simulate milk utrafiltrate without divalent cations</t>
  </si>
  <si>
    <t>simulate milk utrafiltrate + 4.8% lactose</t>
  </si>
  <si>
    <t>skimmed</t>
  </si>
  <si>
    <t>whey + NaOH</t>
  </si>
  <si>
    <t>whey + McIlvaine components</t>
  </si>
  <si>
    <t>simulate milk utrafiltrate + 5% ß-lactoglobulin</t>
  </si>
  <si>
    <t>after cell incubation in whole milk (48 °C, 5s)</t>
  </si>
  <si>
    <t>after cell incubation in whole milk (20 °C, 20 min)</t>
  </si>
  <si>
    <t>McIlvaine buffer</t>
  </si>
  <si>
    <t>liquid + McIlvaine components</t>
  </si>
  <si>
    <t>Manas et al.</t>
  </si>
  <si>
    <t>&gt;0.99</t>
  </si>
  <si>
    <t>Alvarez et al.</t>
  </si>
  <si>
    <r>
      <t xml:space="preserve">Inactivation of </t>
    </r>
    <r>
      <rPr>
        <i/>
        <sz val="10"/>
        <rFont val="Arial"/>
        <family val="2"/>
      </rPr>
      <t>Salmonella enterica</t>
    </r>
    <r>
      <rPr>
        <sz val="10"/>
        <rFont val="Arial"/>
        <family val="2"/>
      </rPr>
      <t>serovar enteritidis by ultrasonic waves under pressure at different water activities</t>
    </r>
  </si>
  <si>
    <t>Applied and Environmental Microbiology</t>
  </si>
  <si>
    <t>668-672</t>
  </si>
  <si>
    <t>broth (3% fat)</t>
  </si>
  <si>
    <t>DT104; H3402 clinical</t>
  </si>
  <si>
    <t>DT104; H3380 clinical</t>
  </si>
  <si>
    <t>DT104; H3278 clinical</t>
  </si>
  <si>
    <t>DT104; H2662 clinical</t>
  </si>
  <si>
    <t>DT104; FDIU S-3461 bovine</t>
  </si>
  <si>
    <t>DT104; FDIU S-3455 bovine</t>
  </si>
  <si>
    <t>DT104; FDIU S-3307 bovine</t>
  </si>
  <si>
    <t>DT104; FDIU S-2490 bovine</t>
  </si>
  <si>
    <t>ground, 19.1% fat</t>
  </si>
  <si>
    <t>Juneja, V.K., Eblen, B.S.</t>
  </si>
  <si>
    <r>
      <t xml:space="preserve">Heat inactivation of </t>
    </r>
    <r>
      <rPr>
        <i/>
        <sz val="10"/>
        <rFont val="Arial"/>
        <family val="2"/>
      </rPr>
      <t>Salmonella typhimurium</t>
    </r>
    <r>
      <rPr>
        <sz val="10"/>
        <rFont val="Arial"/>
      </rPr>
      <t xml:space="preserve"> DT104 in beef as affaced by fat content</t>
    </r>
  </si>
  <si>
    <t>461-467</t>
  </si>
  <si>
    <t>Juneja and Eblen</t>
  </si>
  <si>
    <t>DT104-10127</t>
  </si>
  <si>
    <t>ground, 4.8% fat</t>
  </si>
  <si>
    <t>DT104-10601</t>
  </si>
  <si>
    <t>DT104-01071</t>
  </si>
  <si>
    <t>Smith et al.</t>
  </si>
  <si>
    <t>Duck</t>
  </si>
  <si>
    <t>muscle</t>
  </si>
  <si>
    <t>senftenber, typhimurium, heidelberg, mission, montevideo, california</t>
  </si>
  <si>
    <t>skin</t>
  </si>
  <si>
    <t>Murphy et al.</t>
  </si>
  <si>
    <t>Murphy, R.Y., Duncan, L.K., Beard, B.L., Driscoll, K.H.</t>
  </si>
  <si>
    <t>D and z values of Salmonella, Listeria innocua and Listeria monocytogenes in fully cooked poultry products</t>
  </si>
  <si>
    <t>1443-1447</t>
  </si>
  <si>
    <t>Turkey</t>
  </si>
  <si>
    <t>bovis morboficans</t>
  </si>
  <si>
    <t>heat resistant strain</t>
  </si>
  <si>
    <t>heat sensitive strain</t>
  </si>
  <si>
    <t>Baird-Parker et al.</t>
  </si>
  <si>
    <t>Baird-Parker, A.C., Boothroyd, M., Jones, E.</t>
  </si>
  <si>
    <t>The effect of water activity on the heat reistance of heat sensitive and heat resistant strains of Salmonellae</t>
  </si>
  <si>
    <t>515-522</t>
  </si>
  <si>
    <t>Phosphate buffer (0.01M)</t>
  </si>
  <si>
    <t>GF</t>
  </si>
  <si>
    <t>Goepfert et al.</t>
  </si>
  <si>
    <t>Goepfert, J.M., Iskander, I.K., Amundson, C.H.</t>
  </si>
  <si>
    <t>Relation of the heat resistance of Salmonelle to the water activity of the environment</t>
  </si>
  <si>
    <t>429-433</t>
  </si>
  <si>
    <t>Raw, breast</t>
  </si>
  <si>
    <t>formulated</t>
  </si>
  <si>
    <t>Chhabra et al.</t>
  </si>
  <si>
    <t>Chhabra, A.T., Carter, W.H., Linton, R.H., Cousin, M.A.</t>
  </si>
  <si>
    <r>
      <t xml:space="preserve">A predictive model to determine the effects of pH, milkfat and temperature on thermal inactivation of </t>
    </r>
    <r>
      <rPr>
        <i/>
        <sz val="10"/>
        <rFont val="Arial"/>
        <family val="2"/>
      </rPr>
      <t>Listeria monocytogenes</t>
    </r>
  </si>
  <si>
    <t>1143-1149</t>
  </si>
  <si>
    <t>thick slurry</t>
  </si>
  <si>
    <t>NCTC 9863</t>
  </si>
  <si>
    <t>MacKey and Bratchell</t>
  </si>
  <si>
    <t>Mackey, B.M., Bratchell, N.</t>
  </si>
  <si>
    <r>
      <t xml:space="preserve">The heat resistance of </t>
    </r>
    <r>
      <rPr>
        <i/>
        <sz val="10"/>
        <rFont val="Arial"/>
        <family val="2"/>
      </rPr>
      <t>Listeria monocytogenes</t>
    </r>
  </si>
  <si>
    <t>89-94</t>
  </si>
  <si>
    <t>half (13.4% fat)</t>
  </si>
  <si>
    <t>UHT, double (55.6% fat)</t>
  </si>
  <si>
    <t>Butter</t>
  </si>
  <si>
    <t>(82.7% fat)</t>
  </si>
  <si>
    <t>Casadei et al.</t>
  </si>
  <si>
    <t>Casadei, M.A., Esteves de Matos, R., Harrison, S,T., Gaze, J.E.</t>
  </si>
  <si>
    <r>
      <t xml:space="preserve">Heat resistance of </t>
    </r>
    <r>
      <rPr>
        <i/>
        <sz val="10"/>
        <rFont val="Arial"/>
        <family val="2"/>
      </rPr>
      <t>Listeria monocytogenes</t>
    </r>
    <r>
      <rPr>
        <sz val="10"/>
        <rFont val="Arial"/>
      </rPr>
      <t xml:space="preserve"> in dairy products as affacted by the growth medium</t>
    </r>
  </si>
  <si>
    <t>Journal of Applied Microbiology</t>
  </si>
  <si>
    <t>234-239</t>
  </si>
  <si>
    <t>23% beef, 77% pork</t>
  </si>
  <si>
    <t>pork only</t>
  </si>
  <si>
    <t>pork liver</t>
  </si>
  <si>
    <t>HO-VJ-S</t>
  </si>
  <si>
    <t>summer sausage</t>
  </si>
  <si>
    <t>Heat shock, 30 min 48 °C</t>
  </si>
  <si>
    <t>Heat shock, 60 min 48 °C</t>
  </si>
  <si>
    <t>Heat shock, 120 min 48 °C</t>
  </si>
  <si>
    <t>Ham</t>
  </si>
  <si>
    <t>Heat shock, 60 min 42 °C</t>
  </si>
  <si>
    <t>BS-9</t>
  </si>
  <si>
    <t>SE-31</t>
  </si>
  <si>
    <t>V7; F6861</t>
  </si>
  <si>
    <t>ATCC 19113</t>
  </si>
  <si>
    <t>ATCC 19115</t>
  </si>
  <si>
    <t>Water sample at t = 0</t>
  </si>
  <si>
    <t>Water sample at t = 0; resistant subpopulation</t>
  </si>
  <si>
    <t>Water sample at t = 10h</t>
  </si>
  <si>
    <t>Yang et al.</t>
  </si>
  <si>
    <t>Yuang, H., Li, Y., Johnson, M.G.</t>
  </si>
  <si>
    <t>Juneja, V.K. and Marmer, B.S.</t>
  </si>
  <si>
    <t>Thermal inactivation of Clostridium perfringens vegetative cells in ground beef and turkey as affected by sodium pyrophosphate</t>
  </si>
  <si>
    <t>281-287</t>
  </si>
  <si>
    <t>Survival and death of Salmonella typhimurium and Campylobacter jejuni in processing water and on chicken skin during poultry scalding and chilling</t>
  </si>
  <si>
    <t>770-776</t>
  </si>
  <si>
    <t>Chicken sampled at t = 0h</t>
  </si>
  <si>
    <t>Chicken sampled at t = 0h; resistant subpopulation</t>
  </si>
  <si>
    <t>Aus 3</t>
  </si>
  <si>
    <t>Aus 31</t>
  </si>
  <si>
    <t>C 1017</t>
  </si>
  <si>
    <t>Lovett et al.</t>
  </si>
  <si>
    <t>Lovett, J., Bradshaw, J.G., Peeler, J.T.</t>
  </si>
  <si>
    <t>Thermal inactivation of Yersinia enterocolitica in milk</t>
  </si>
  <si>
    <t>517-519</t>
  </si>
  <si>
    <t>With lysozyme in recovery medium</t>
  </si>
  <si>
    <t>Bradshaw, J.G., Peeler, J.T., Twedt, R.M.</t>
  </si>
  <si>
    <t>BC Br</t>
  </si>
  <si>
    <t>BC 8</t>
  </si>
  <si>
    <t>Thermal inactivation of ileal loop-reactive Clostridium perfringens type A strains in phosphate buffer and beef gravy</t>
  </si>
  <si>
    <t>280-284</t>
  </si>
  <si>
    <t>ground, autoclaved</t>
  </si>
  <si>
    <t>Constant growth at 37 °C</t>
  </si>
  <si>
    <t>Constant growth at 41 °C</t>
  </si>
  <si>
    <t>Constant growth at 49 °C</t>
  </si>
  <si>
    <t>Linearly rising growth T from 25-50 °C, rate = 4 °C/hr</t>
  </si>
  <si>
    <t>Constant growth at 45 °C</t>
  </si>
  <si>
    <t>Linearly rising growth T from 25-50 °C, rate = 6 °C/hr</t>
  </si>
  <si>
    <t>Linearly rising growth T from 25-50 °C, rate = 7.5 °C/hr</t>
  </si>
  <si>
    <t>Roy et al.</t>
  </si>
  <si>
    <t>Roy, R.J., Busta, F.F., Thompsoon, D.R.</t>
  </si>
  <si>
    <t>Thermal inactivation of Clostridium perfringens after growth at several constant and linearly rising temperatures</t>
  </si>
  <si>
    <t>1586-1591</t>
  </si>
  <si>
    <t>F5027</t>
  </si>
  <si>
    <t>intracellular</t>
  </si>
  <si>
    <t>NCTC 98635S</t>
  </si>
  <si>
    <t>NCTC 98635R</t>
  </si>
  <si>
    <t>NCTC 11994S</t>
  </si>
  <si>
    <t>NCTC 11994R</t>
  </si>
  <si>
    <t>Growth 37 °C, aerobic</t>
  </si>
  <si>
    <t>Growth 37 °C, anaerobic</t>
  </si>
  <si>
    <t>Growth 43 °C, aerobic</t>
  </si>
  <si>
    <t>Growth 43 °C, anaerobic</t>
  </si>
  <si>
    <t>Growth 37 °C</t>
  </si>
  <si>
    <t>Growth 42.8 °C</t>
  </si>
  <si>
    <t>Heat shock, 15 min 48 °C</t>
  </si>
  <si>
    <t>Acid shock, 24h</t>
  </si>
  <si>
    <t>Acid shock, 4h</t>
  </si>
  <si>
    <t>Acid shock, instantly</t>
  </si>
  <si>
    <t>with H2O2</t>
  </si>
  <si>
    <t>with lactoperoxidase</t>
  </si>
  <si>
    <t>sealed tube</t>
  </si>
  <si>
    <t>California</t>
  </si>
  <si>
    <t>HAL 957E1</t>
  </si>
  <si>
    <t>NCF-U2K3</t>
  </si>
  <si>
    <t>NCF-FIKK4</t>
  </si>
  <si>
    <t>liquid, whole + 10 µg nisin/ml</t>
  </si>
  <si>
    <t>Scott A 2045</t>
  </si>
  <si>
    <t>ST.L.</t>
  </si>
  <si>
    <t>V-7</t>
  </si>
  <si>
    <t>O57</t>
  </si>
  <si>
    <t>Salmon</t>
  </si>
  <si>
    <t>Cod</t>
  </si>
  <si>
    <t>O62</t>
  </si>
  <si>
    <t>cooked, tail meat</t>
  </si>
  <si>
    <t>Mussels</t>
  </si>
  <si>
    <t>heated, brined</t>
  </si>
  <si>
    <t>imitation</t>
  </si>
  <si>
    <t>LCDC 810861</t>
  </si>
  <si>
    <t>slices</t>
  </si>
  <si>
    <t>Potato</t>
  </si>
  <si>
    <t>Onions</t>
  </si>
  <si>
    <t>Broccoli</t>
  </si>
  <si>
    <t>Pepper (green)</t>
  </si>
  <si>
    <t>Mushrooms</t>
  </si>
  <si>
    <t>11% nonfat milk solids</t>
  </si>
  <si>
    <t>Donnelly and Briggs</t>
  </si>
  <si>
    <t>Donnelly, C.W., Briggs, E.H.</t>
  </si>
  <si>
    <t>Psychotrophic growth and thermal inactivation of Listeria monocytogenes as a function of milk composition</t>
  </si>
  <si>
    <t>994-998</t>
  </si>
  <si>
    <t>heat shock 30 min 46 °C; log phase cells</t>
  </si>
  <si>
    <t>heat shock 30 min 46 °C; stationary phase cells</t>
  </si>
  <si>
    <t>5S</t>
  </si>
  <si>
    <t>Grown and heated in 0.09M NaCl</t>
  </si>
  <si>
    <t>Pre-incubated with nisin for 2h</t>
  </si>
  <si>
    <t>Smith, S.E., Maurer, J.L., Orta-Ramiirez, A., Ryser, E.T., Smith, D.M.</t>
  </si>
  <si>
    <r>
      <t xml:space="preserve">Thermal inactivation of </t>
    </r>
    <r>
      <rPr>
        <i/>
        <sz val="10"/>
        <rFont val="Arial"/>
        <family val="2"/>
      </rPr>
      <t>Salmonella</t>
    </r>
    <r>
      <rPr>
        <sz val="10"/>
        <rFont val="Arial"/>
      </rPr>
      <t xml:space="preserve"> spp., </t>
    </r>
    <r>
      <rPr>
        <i/>
        <sz val="10"/>
        <rFont val="Arial"/>
        <family val="2"/>
      </rPr>
      <t>Salmonella typhimurium</t>
    </r>
    <r>
      <rPr>
        <sz val="10"/>
        <rFont val="Arial"/>
      </rPr>
      <t xml:space="preserve"> DT104 and </t>
    </r>
    <r>
      <rPr>
        <i/>
        <sz val="10"/>
        <rFont val="Arial"/>
        <family val="2"/>
      </rPr>
      <t>Escherichia coli</t>
    </r>
    <r>
      <rPr>
        <sz val="10"/>
        <rFont val="Arial"/>
      </rPr>
      <t xml:space="preserve"> O157:H7 in ground beef</t>
    </r>
  </si>
  <si>
    <t>1164-1168</t>
  </si>
  <si>
    <t>+ sucrose (15.4%)</t>
  </si>
  <si>
    <t>+ sucrose (39.6%)</t>
  </si>
  <si>
    <t>+ sucrose (51.3%)</t>
  </si>
  <si>
    <t>+ sucrose (58.6%)</t>
  </si>
  <si>
    <t>+ sucrose (63.7%)</t>
  </si>
  <si>
    <t>+ glycerol(4.9%)</t>
  </si>
  <si>
    <t>+ glycerol(33.9%)</t>
  </si>
  <si>
    <t>+ glycerol(57.7%)</t>
  </si>
  <si>
    <t>+ glycerol (33.9%)</t>
  </si>
  <si>
    <t>+ glycerol (4.9%)</t>
  </si>
  <si>
    <t>+ glycerol (57.7%)</t>
  </si>
  <si>
    <t>+ fructose</t>
  </si>
  <si>
    <t>+ sorbitol</t>
  </si>
  <si>
    <t>thompson, enteritidis, typhimurium, hadar, copenhagen, montevideo, heidelberg</t>
  </si>
  <si>
    <t>log phase cells after frozen storage of meat</t>
  </si>
  <si>
    <t>stationary phase cells after frozen storage of meat</t>
  </si>
  <si>
    <t>whey ultrafiltrate</t>
  </si>
  <si>
    <t>+ glucose (30%)</t>
  </si>
  <si>
    <t>+ glycerol (30%)</t>
  </si>
  <si>
    <t>+ sorbitol (30%)</t>
  </si>
  <si>
    <t>+ sucrose (30%)</t>
  </si>
  <si>
    <t>+ sucrose (40%) + glucose (5%)</t>
  </si>
  <si>
    <t>+ sucrose (48%)</t>
  </si>
  <si>
    <t>+ fructose (70%)</t>
  </si>
  <si>
    <t>+ sorbitol (70%)</t>
  </si>
  <si>
    <t>+ sucrose (70%)</t>
  </si>
  <si>
    <t>+ sucrose (13%)+ glucose (24%)</t>
  </si>
  <si>
    <t>+ sucrose (17%) + glycerol (34%)</t>
  </si>
  <si>
    <t>+ sucrose (20%) + glucose (20%)</t>
  </si>
  <si>
    <t>+ sucrose (22%)+ glycerol (11%)</t>
  </si>
  <si>
    <t>+ glycerol (25%)</t>
  </si>
  <si>
    <t>+ fructose (30%)</t>
  </si>
  <si>
    <t>+ sucrose (30%) + glucose (8%)</t>
  </si>
  <si>
    <t>+ sucrose (32%) + glucose (32%)</t>
  </si>
  <si>
    <t>+ sucrose (33%) + glucose (10%)</t>
  </si>
  <si>
    <t>+ glucose (35%)</t>
  </si>
  <si>
    <t>+ sucrose (36%) + glycerol (5%)</t>
  </si>
  <si>
    <t>+ sucrose (39%) + glycerol (19.5%)</t>
  </si>
  <si>
    <t>+ sucrose (4%) + glycerol (20%)</t>
  </si>
  <si>
    <t>+ sucrose (40%) + glycerol (3%)</t>
  </si>
  <si>
    <t>+ glycerol (45%)</t>
  </si>
  <si>
    <t>+ sucrose (50%) + glucose (16%)</t>
  </si>
  <si>
    <t>+ sucrose (55%) + glycerol (9%)</t>
  </si>
  <si>
    <t>+ sucrose (6%) + glucose (30%)</t>
  </si>
  <si>
    <t>+ sucrose (60%) + glucose (7%)</t>
  </si>
  <si>
    <t>+ sucrose (65%) + glucose (2.5%)</t>
  </si>
  <si>
    <t>+ sucrose (66%)</t>
  </si>
  <si>
    <t>+ glucose (70%)</t>
  </si>
  <si>
    <t>+ glycerol (70%)</t>
  </si>
  <si>
    <t>+ sucrose (8.5%) + glycerol (40%)</t>
  </si>
  <si>
    <t>+ sucrose (9%) + glycerol (18%)</t>
  </si>
  <si>
    <t>braenderup, lexington, manhattan, muenchen, newport</t>
  </si>
  <si>
    <t>Heat shocked, 30 min 48 °C</t>
  </si>
  <si>
    <t>liquid, white + H2O2 (0.875%)</t>
  </si>
  <si>
    <t>liquid, yolk + sucrose (10%)</t>
  </si>
  <si>
    <t>liquid, whole + 10 µg nisin/ml + NaCl (10%)</t>
  </si>
  <si>
    <t>liquid, whole + NaCl (10%)</t>
  </si>
  <si>
    <t>liquid, yolk + NaCl (10%)</t>
  </si>
  <si>
    <t>liquid, yolk + NaCl (10%) + sucrose (5%)</t>
  </si>
  <si>
    <t>liquid, yolk + NaCl (5%) + sucrose (5%)</t>
  </si>
  <si>
    <t>liquid, yolk + NaCl (20%)</t>
  </si>
  <si>
    <t>liquid, yolk + NaCl (10%)+ sucrose (5%)</t>
  </si>
  <si>
    <t>+ 11% egg fat</t>
  </si>
  <si>
    <t xml:space="preserve">Roering  et al. </t>
  </si>
  <si>
    <t>Roering, A.M., Wierzba, R.K., Thnot, A.M., Luchansky, J.B.</t>
  </si>
  <si>
    <t>Conclusion: LOF-test gives significant difference, but F-test not, so all data are described with 1 line</t>
  </si>
  <si>
    <t>Conclusion: increase in logD values for O157:H7 of 0.9 or -0.4 gives significant difference for both tests (for -0.8 no visual difference???)</t>
  </si>
  <si>
    <t>Calculated by authors; unreliable result</t>
  </si>
  <si>
    <t>Peterson et al.</t>
  </si>
  <si>
    <t>Peterson, M.E., Pelroy, G.A., Poysky, E.T., Paranjpye, R.N., Dong, F.M., Pigott, G.M., Eklund, M.W.</t>
  </si>
  <si>
    <t>Heat-pasteurization process for inactivation of nonproteolytic types of Clostridium botulinum in picked dungeness crabmeat</t>
  </si>
  <si>
    <t>928-934</t>
  </si>
  <si>
    <t>pyogenes</t>
  </si>
  <si>
    <t>logD(BEF)</t>
  </si>
  <si>
    <t>Regression on BEF(NP), C(P)</t>
  </si>
  <si>
    <t>Conclusion:  LOF-test and F-test both give significant differences between 1 line or 3 lines for the 3 different C. bot types.</t>
  </si>
  <si>
    <t>Vibrio paraheamolyticus/vulnificus</t>
  </si>
  <si>
    <t>Pasteruization of vacuum-sealed packages of summer suasage inoculated with Listeria monocytogenes</t>
  </si>
  <si>
    <t>49-56</t>
  </si>
  <si>
    <t>molten added with 1% moisture</t>
  </si>
  <si>
    <t>molten added with 2% moisture</t>
  </si>
  <si>
    <t>molten added with 4% moisture</t>
  </si>
  <si>
    <t>Sucrose solutions (54%)</t>
  </si>
  <si>
    <t>Lee et al.</t>
  </si>
  <si>
    <t>Lee, B.H., Kermasha, S., Baker, B.E.</t>
  </si>
  <si>
    <r>
      <t xml:space="preserve">Thermal, ultrasonic and ultraviolet inactivation of </t>
    </r>
    <r>
      <rPr>
        <i/>
        <sz val="10"/>
        <rFont val="Arial"/>
        <family val="2"/>
      </rPr>
      <t>Salmonella</t>
    </r>
    <r>
      <rPr>
        <sz val="10"/>
        <rFont val="Arial"/>
      </rPr>
      <t xml:space="preserve"> in thin films of aquous media and chocolate</t>
    </r>
  </si>
  <si>
    <t>143-152</t>
  </si>
  <si>
    <t>NCTC 8238</t>
  </si>
  <si>
    <t>NCTC 8239</t>
  </si>
  <si>
    <t>NCTC 10239</t>
  </si>
  <si>
    <t>FD 1041</t>
  </si>
  <si>
    <t>C-1841</t>
  </si>
  <si>
    <t>F 4969</t>
  </si>
  <si>
    <t>NB 16</t>
  </si>
  <si>
    <t>B 40</t>
  </si>
  <si>
    <t>Heat shock, 10 min 48 °C</t>
  </si>
  <si>
    <t xml:space="preserve">Juneja et al. </t>
  </si>
  <si>
    <t>Juneja, V.K., Novak, J.S., Eblen, B.S., McClane, B.A.</t>
  </si>
  <si>
    <t>F-test for tail-effect</t>
  </si>
  <si>
    <t>Heat resistance of Clostridium perfringens vegetative cells as affacted by prior heat shock</t>
  </si>
  <si>
    <t>127-139</t>
  </si>
  <si>
    <t>FD-1</t>
  </si>
  <si>
    <t>FD-1041</t>
  </si>
  <si>
    <t>FTG</t>
  </si>
  <si>
    <t>E 13</t>
  </si>
  <si>
    <t>F5603</t>
  </si>
  <si>
    <t>Cells grown at 43 °C</t>
  </si>
  <si>
    <t>NCTC 8798</t>
  </si>
  <si>
    <t>Cells grown at 37 °C in ground beef</t>
  </si>
  <si>
    <t>Spores</t>
  </si>
  <si>
    <t>Vegetative cells</t>
  </si>
  <si>
    <t>NCTC 8679</t>
  </si>
  <si>
    <t>H6</t>
  </si>
  <si>
    <t>Cells incubated at 28 °C, 60 min prioir to inactivation</t>
  </si>
  <si>
    <t>Cells incubated at 37 °C, 60 min prioir to inactivation</t>
  </si>
  <si>
    <t>Cells incubated at 46 °C, 60 min prioir to inactivation</t>
  </si>
  <si>
    <t>Cells stored at 4 °C and incubated at 28 °C, 60 min prioir to inactivation</t>
  </si>
  <si>
    <t>Cells stored at 4 °C and incubated at 37 °C, 60 min prioir to inactivation</t>
  </si>
  <si>
    <t>Cells stored at 4 °C and incubated at 46 °C, 60 min prioir to inactivation</t>
  </si>
  <si>
    <t>Novak et al.</t>
  </si>
  <si>
    <t>Novak, J.S., Tunick, M.H., Juneja, V.K.</t>
  </si>
  <si>
    <r>
      <t xml:space="preserve">Heat treatment adaptations in </t>
    </r>
    <r>
      <rPr>
        <i/>
        <sz val="10"/>
        <rFont val="Arial"/>
        <family val="2"/>
      </rPr>
      <t>Clostridium perfringens</t>
    </r>
    <r>
      <rPr>
        <sz val="10"/>
        <rFont val="Arial"/>
      </rPr>
      <t xml:space="preserve"> vegetative cells</t>
    </r>
  </si>
  <si>
    <t>1527-1534</t>
  </si>
  <si>
    <t>logD(spores)</t>
  </si>
  <si>
    <t>logD(vegetatives)</t>
  </si>
  <si>
    <t>F-test for spores/vegetatives</t>
  </si>
  <si>
    <t>Regression on spores:</t>
  </si>
  <si>
    <t>Broth and buffers</t>
  </si>
  <si>
    <t>Poultry</t>
  </si>
  <si>
    <t>Red</t>
  </si>
  <si>
    <t>Stringer et al.</t>
  </si>
  <si>
    <t>Stringer, S.C., George, S.M., Peck, M.W.</t>
  </si>
  <si>
    <t>Thermal inactivation of Escherichia coli O157:H7</t>
  </si>
  <si>
    <t>79S-89S</t>
  </si>
  <si>
    <t>Bradshaw et al.</t>
  </si>
  <si>
    <t>D-value calculated from endpoint measurement (time divided by 5 log reductions)</t>
  </si>
  <si>
    <r>
      <t xml:space="preserve">Thermal resistance of </t>
    </r>
    <r>
      <rPr>
        <i/>
        <sz val="10"/>
        <rFont val="Arial"/>
        <family val="2"/>
      </rPr>
      <t>Listeria monocytogenes</t>
    </r>
    <r>
      <rPr>
        <sz val="10"/>
        <rFont val="Arial"/>
      </rPr>
      <t xml:space="preserve"> in dairy products</t>
    </r>
  </si>
  <si>
    <t>543-544</t>
  </si>
  <si>
    <t>F(df1=6;df2=295)</t>
  </si>
  <si>
    <t>Food isolates</t>
  </si>
  <si>
    <t>Rajkowski and mikolacik</t>
  </si>
  <si>
    <t>Rajkoski, K.T. and Mikolajcik, E.M.</t>
  </si>
  <si>
    <t>Charcteristics of selected strains of Bacillus cereus</t>
  </si>
  <si>
    <t>199-205</t>
  </si>
  <si>
    <t>B2ac</t>
  </si>
  <si>
    <t>B4ac</t>
  </si>
  <si>
    <t>4810/72</t>
  </si>
  <si>
    <t>B6ac</t>
  </si>
  <si>
    <t>Phosphate buffer 0.025 M</t>
  </si>
  <si>
    <t>F4552/75</t>
  </si>
  <si>
    <t>F4433/73</t>
  </si>
  <si>
    <t>Johnson et al.</t>
  </si>
  <si>
    <t>Jonhnson, K.M., Nelson, C.L., Busta, F.F.</t>
  </si>
  <si>
    <t>Germination and heat resistance of Bacillus cereus spores from strains associated with diarrheal and emetic food-brone illnesses</t>
  </si>
  <si>
    <t>1268-1212</t>
  </si>
  <si>
    <t>F3484/77</t>
  </si>
  <si>
    <t>F4810/72</t>
  </si>
  <si>
    <t>F2769/77</t>
  </si>
  <si>
    <t>FIRD 446</t>
  </si>
  <si>
    <t>SHMD 21/84</t>
  </si>
  <si>
    <t>F 21468/74</t>
  </si>
  <si>
    <t>F 4174/75</t>
  </si>
  <si>
    <t>Álvarez, I., Mañas, P., Sala, F.J., Condón</t>
  </si>
  <si>
    <t>Bradshaw, J.G., Peeler, J.T., Corwin, J.J., Hunt, J.M., Twedt, R.M.</t>
  </si>
  <si>
    <t>Holsinger et al.</t>
  </si>
  <si>
    <t>All(except summer sausage)</t>
  </si>
  <si>
    <t>Holsinger, V.H., Smith, P.W., Smith, J.L., Palumbo, S.A.</t>
  </si>
  <si>
    <t>Thermal destruction of Listeria monocytogenes in ice cream mix</t>
  </si>
  <si>
    <t>234-237</t>
  </si>
  <si>
    <t>DT104</t>
  </si>
  <si>
    <t>+ fat (12%)</t>
  </si>
  <si>
    <t>Clavero, S.Rochelle, M., Beuchat, L.R., Doyle, M.P.</t>
  </si>
  <si>
    <t>Clavero et al.</t>
  </si>
  <si>
    <t>+ fat (18%)</t>
  </si>
  <si>
    <t>+ fat (24%)</t>
  </si>
  <si>
    <t>+ fat (7%)</t>
  </si>
  <si>
    <t>D-value including lag phase: D = (5*D+lag)/5</t>
  </si>
  <si>
    <t>Conclusion: LOF-test and F-test both give significant differences between chocolate and other products, so 2 lines to describe the data.</t>
  </si>
  <si>
    <t>Conclusion: Both LOF-test and F-test give significant differences, so 2 lines are used to describe the data. More data are necessary</t>
  </si>
  <si>
    <t>Sensitivity statistical tests:</t>
  </si>
  <si>
    <t>delta(logD)</t>
  </si>
  <si>
    <t>Conclusion: Both LOF-test and F-test give significant difference, 2 lines to describe the data?</t>
  </si>
  <si>
    <t>Conclusion: decrease in logD values for milk/phosphate of -0.03 gives significant difference for both tests</t>
  </si>
  <si>
    <t>Conclusion: increase in logD values for chocoltae of more than -1 gives significant difference for both tests</t>
  </si>
  <si>
    <t>delta (logD)</t>
  </si>
  <si>
    <t>Conclusion: increase in logD values for sporeforemers of 0.2 gives significant difference for both tests</t>
  </si>
  <si>
    <t>Conclusion: decrease in logD values for crabmeat of -0.1 gives no significant difference for F-test</t>
  </si>
  <si>
    <t>logD (all)</t>
  </si>
  <si>
    <t>logD (rest)</t>
  </si>
  <si>
    <t>Regression on 10% NaCl:</t>
  </si>
  <si>
    <t>+10% NaCl</t>
  </si>
  <si>
    <t>Doubtful results: T is temp of waterbath and not of sausage!!</t>
  </si>
  <si>
    <t>F-test for NaCl</t>
  </si>
  <si>
    <t>Conclusion: Both LOF-test and F-test give significant difference between eggs with more than 10% NaCl and other products, 2 lines are used to describe the data.</t>
  </si>
  <si>
    <t>Conclusion: increase in logD values for 10% NaCl of more than -0.1 gives significant difference for both tests</t>
  </si>
  <si>
    <t>logD (10% NaCl)</t>
  </si>
  <si>
    <t>Sporulation T = 20 °C</t>
  </si>
  <si>
    <t>Sporulation T = 25 °C</t>
  </si>
  <si>
    <t>Sporulation T = 30 °C</t>
  </si>
  <si>
    <t>Sporulation T = 35 °C</t>
  </si>
  <si>
    <t>Sporulation T = 40 °C</t>
  </si>
  <si>
    <t>Sporulation T = 45 °C</t>
  </si>
  <si>
    <t>Gonzalez et al.</t>
  </si>
  <si>
    <t>González, I., López, M., Martínez, S., Bernardo, A., González, J.</t>
  </si>
  <si>
    <t>Thermal inactivation of Bacillus cereus spores formed at different temperatures</t>
  </si>
  <si>
    <t>International Journal of Food Microbiology</t>
  </si>
  <si>
    <t>81-84</t>
  </si>
  <si>
    <t>Mazas, M., Martínez, S., López, M., Alvarez, A.B., Martin, R.</t>
  </si>
  <si>
    <t>Thermal inactivation of Bacillus cereus spores affected by the solutes used to control water activity of the heating medium</t>
  </si>
  <si>
    <t>61-97</t>
  </si>
  <si>
    <t>+NaCl (0.5M)</t>
  </si>
  <si>
    <t>+NaCl (1M)</t>
  </si>
  <si>
    <t>+NaCl (2M)</t>
  </si>
  <si>
    <t>+NaCl (4M)</t>
  </si>
  <si>
    <t>+NaCl (5.6M)</t>
  </si>
  <si>
    <t>Aqueous solution</t>
  </si>
  <si>
    <t>+LiCl (1M)</t>
  </si>
  <si>
    <t>+LiCl (2M)</t>
  </si>
  <si>
    <t>+LiCl (5M)</t>
  </si>
  <si>
    <t>+sucrose (0.87M)</t>
  </si>
  <si>
    <t>+sucrose (1.42M)</t>
  </si>
  <si>
    <t>+sucrose (2.22M)</t>
  </si>
  <si>
    <t>+glycerol (1.46M)</t>
  </si>
  <si>
    <t>+glycerol (3.89M)</t>
  </si>
  <si>
    <t>+glycerol (5.5M)</t>
  </si>
  <si>
    <t>+glycerol (7.77M)</t>
  </si>
  <si>
    <t>Mazas et al.</t>
  </si>
  <si>
    <t>Oil (olive)</t>
  </si>
  <si>
    <t>Oil (soybean)</t>
  </si>
  <si>
    <t>Activation rate = 0.5 °C/min; Inactivation rate = 0.5 °C/min</t>
  </si>
  <si>
    <t>Activation rate = 0.5 °C/min; Inactivation rate = 1 °C/min</t>
  </si>
  <si>
    <t>Activation rate = 1 °C/min; Inactivation rate = 0.5 °C/min</t>
  </si>
  <si>
    <t>Activation rate = 1 °C/min; Inactivation rate = 1 °C/min</t>
  </si>
  <si>
    <t>Activation rate = 2 °C/min; Inactivation rate = 0.5 °C/min</t>
  </si>
  <si>
    <t>Activation rate = 2 °C/min; Inactivation rate = 1 °C/min</t>
  </si>
  <si>
    <t>Fernández, A., Ocio, M.J., Fernández, P.S., Martínez, A.</t>
  </si>
  <si>
    <t>Effect of heat activation and inactivation conditions on germination and thermal resistance parameters of Bacillus cereus spores</t>
  </si>
  <si>
    <t>257-264</t>
  </si>
  <si>
    <t>AV TZ415</t>
  </si>
  <si>
    <t>AV Z421</t>
  </si>
  <si>
    <t>Fernandez et al.</t>
  </si>
  <si>
    <t>Fernandez et al.(b)</t>
  </si>
  <si>
    <t>1999a</t>
  </si>
  <si>
    <t>1999b</t>
  </si>
  <si>
    <t>Fernández, A., Ocio, M.J., Fernández, P.S., Rodrigo, M.,Martínez, A.</t>
  </si>
  <si>
    <t>Application of nonlinear regression analysis to the estimation of kinetic parameters for two enterotoxigenic strains of Bacillus cereus spores</t>
  </si>
  <si>
    <t>607-613</t>
  </si>
  <si>
    <t>Fernández, A., Salmerón,C., Fernández, P.S.,Martínez, A.</t>
  </si>
  <si>
    <t>Application of a frequency distribution model to describe the thermal inactivation of two strains of Bacillus cereus</t>
  </si>
  <si>
    <t>Trends in Food Science &amp; Technology</t>
  </si>
  <si>
    <t>158-162</t>
  </si>
  <si>
    <t>CNRZ 110</t>
  </si>
  <si>
    <t>ground, precooked</t>
  </si>
  <si>
    <t xml:space="preserve">skim (10% reconstituted) </t>
  </si>
  <si>
    <t>skim, 1x concentrated</t>
  </si>
  <si>
    <t>skim, 2x concentrated</t>
  </si>
  <si>
    <t>F-test for mackerel</t>
  </si>
  <si>
    <t>Regression on mackerel:</t>
  </si>
  <si>
    <t>ground, precooked + 0.15% sodium pyrophosphate</t>
  </si>
  <si>
    <t>ground, precooked + 0.3% sodium pyrophosphate</t>
  </si>
  <si>
    <t>Conclusion: Both LOF-test and F-test give significant difference, 2 lines are used to describe the data.</t>
  </si>
  <si>
    <t>KAP B5</t>
  </si>
  <si>
    <t>slurry</t>
  </si>
  <si>
    <t>slurry + 1% salt</t>
  </si>
  <si>
    <t>slurry + 2% salt</t>
  </si>
  <si>
    <t>slurry + 3% salt</t>
  </si>
  <si>
    <t>1% salt in recovery medium</t>
  </si>
  <si>
    <t>2% salt in recovery medium</t>
  </si>
  <si>
    <t>3% salt in recovery medium</t>
  </si>
  <si>
    <t>17B</t>
  </si>
  <si>
    <t>Juneja et al.</t>
  </si>
  <si>
    <t>logD(9818)</t>
  </si>
  <si>
    <t>Regression on all strains</t>
  </si>
  <si>
    <t>F-test for strains</t>
  </si>
  <si>
    <t>Regression on senftenberg:</t>
  </si>
  <si>
    <t>Juneja, V.K. and Eblen, B.S.</t>
  </si>
  <si>
    <t>Influence of sodium chloride on thermal inactivation and recovery of nonproteolytic Clostridium botulinum type B strain KAP B5 spores</t>
  </si>
  <si>
    <t>813-816</t>
  </si>
  <si>
    <t>Juneja, V.K., Eblen, B.S., Marmer, B.S., Williams, A.C., Palumbo, S.A. and Miller, A.J.</t>
  </si>
  <si>
    <t>Thermal resistance of nonproteolytic type B and type E Clostridium botulinum spores in phosphate buffer and turkey slurry</t>
  </si>
  <si>
    <t>758-763</t>
  </si>
  <si>
    <t>CBW5</t>
  </si>
  <si>
    <t>RCM as recovery medium</t>
  </si>
  <si>
    <t>Alaska</t>
  </si>
  <si>
    <t>Whitefish</t>
  </si>
  <si>
    <t>TSA as recovery medium</t>
  </si>
  <si>
    <t>Tuna</t>
  </si>
  <si>
    <t>Sardines</t>
  </si>
  <si>
    <t>Phosphate buffer (0.017M)</t>
  </si>
  <si>
    <t>Phosphate buffer (0.067M)</t>
  </si>
  <si>
    <t>Data analysis Enterobacter sakazaki</t>
  </si>
  <si>
    <t>Enterobacter</t>
  </si>
  <si>
    <t>sakazaki</t>
  </si>
  <si>
    <t>Infant formula</t>
  </si>
  <si>
    <t>reconstituted</t>
  </si>
  <si>
    <t>Breeuwer et al.</t>
  </si>
  <si>
    <t>Desiccation and heat tolerance of Enterobacter sakazakii</t>
  </si>
  <si>
    <t>DSM 10062</t>
  </si>
  <si>
    <t>typhhimurium</t>
  </si>
  <si>
    <t>Clinical</t>
  </si>
  <si>
    <t>Nazarowec-White and Farber</t>
  </si>
  <si>
    <t>Breeuwer, P., Lardeau, A., Peterz, M., Joosten, H.M.</t>
  </si>
  <si>
    <t>Nazarowec-White, M. and Farber, J.M.</t>
  </si>
  <si>
    <t>Thermal resistance of Enterobacter sakazakii in reconstituted dried-infant formula</t>
  </si>
  <si>
    <t>9-13</t>
  </si>
  <si>
    <t>ENT C9490</t>
  </si>
  <si>
    <t>45753-35</t>
  </si>
  <si>
    <t>A9218-C1</t>
  </si>
  <si>
    <t>30-2C4</t>
  </si>
  <si>
    <t>B6914</t>
  </si>
  <si>
    <t>A-124-C1</t>
  </si>
  <si>
    <t>45753-32</t>
  </si>
  <si>
    <t>A8959-C7</t>
  </si>
  <si>
    <t>EDL-931</t>
  </si>
  <si>
    <t>C984</t>
  </si>
  <si>
    <t>B1409</t>
  </si>
  <si>
    <t>C7927</t>
  </si>
  <si>
    <t>SEA 13B88</t>
  </si>
  <si>
    <t>Whiting and Golden</t>
  </si>
  <si>
    <t>Whiting, R.C. and Golden, M.H.</t>
  </si>
  <si>
    <t>Variation among Escherichia coli O157:H7 strains relative to their growth, survival, thermal inactivation and toxin production in broth</t>
  </si>
  <si>
    <t>127-133</t>
  </si>
  <si>
    <t>Pepperoni</t>
  </si>
  <si>
    <t>batter</t>
  </si>
  <si>
    <t>Acid adapted cells</t>
  </si>
  <si>
    <t>Non-acid adapted cells</t>
  </si>
  <si>
    <t>sausage</t>
  </si>
  <si>
    <t>Riordan et al.</t>
  </si>
  <si>
    <t>Shigella</t>
  </si>
  <si>
    <t>flexneri</t>
  </si>
  <si>
    <t>+ NaCl (4%)</t>
  </si>
  <si>
    <t>+ NaCl (6%)</t>
  </si>
  <si>
    <t>+ NaCl (8%)</t>
  </si>
  <si>
    <t>Zaika</t>
  </si>
  <si>
    <t>D-value including lag-phase</t>
  </si>
  <si>
    <t>Zaika, L.L.</t>
  </si>
  <si>
    <t>The effect of NaCl on survival of Shigella flexneri in broth as affacted by temperature and pH</t>
  </si>
  <si>
    <t>774-779</t>
  </si>
  <si>
    <t>+ HCl (0.04M)</t>
  </si>
  <si>
    <t>+ Acetic acid (0.04M)</t>
  </si>
  <si>
    <t>+Citric acid (0.04M)</t>
  </si>
  <si>
    <t>+ Lactic acid (0.04M)</t>
  </si>
  <si>
    <t>+ Tartaric acid (0.04M)</t>
  </si>
  <si>
    <t>+ Malic acid (0.04M)</t>
  </si>
  <si>
    <t>2002b</t>
  </si>
  <si>
    <t>2002a</t>
  </si>
  <si>
    <t>Heat resistance of ileal loop reactive Bacillus cereus strains isolated from commercially canned foods</t>
  </si>
  <si>
    <t>943-945</t>
  </si>
  <si>
    <t>NCIB 5893</t>
  </si>
  <si>
    <t>ATCC 14579-5</t>
  </si>
  <si>
    <t>R96</t>
  </si>
  <si>
    <t>B, C, E,F (NP)</t>
  </si>
  <si>
    <t>Mañas, P.,Pagan, R., Leguérinel, I., Condon, S., Mafart, P., Sala, F.</t>
  </si>
  <si>
    <t>Effect of sodium chloride concentration on the heat resistance and recovery of Salmonella typhimurium</t>
  </si>
  <si>
    <t>209-216</t>
  </si>
  <si>
    <t>Regression on strain 9818 and 1:</t>
  </si>
  <si>
    <t>Effect of organic acids and temperature on survival of Shigella flexneri in broth atpH 4</t>
  </si>
  <si>
    <t>1417-1421</t>
  </si>
  <si>
    <t>The effect of temperature and low pH on survival of Shigella flexneri in broth</t>
  </si>
  <si>
    <t>1162-1165</t>
  </si>
  <si>
    <t>sonnei</t>
  </si>
  <si>
    <t xml:space="preserve">Tomato </t>
  </si>
  <si>
    <t>Lemon</t>
  </si>
  <si>
    <t xml:space="preserve">All </t>
  </si>
  <si>
    <t>Data analysis Shigella</t>
  </si>
  <si>
    <t>380-94</t>
  </si>
  <si>
    <t>Riordan, D.C., Duffy, G., Sheridan, J.J., Whiting, R.C., Blair, I.S., McDowell, D.A.</t>
  </si>
  <si>
    <t>Effects of acid adaptation, product pH and heating on survival of Escherichia coli O157:H7 in pepperoni</t>
  </si>
  <si>
    <t>1726-1729</t>
  </si>
  <si>
    <t>Gaillard et al.</t>
  </si>
  <si>
    <t>Gaillard, S., Leguerinel, I., Mafart, P.</t>
  </si>
  <si>
    <t>model for combined effects of temperature, pH and water activity on thermal inactivation of Bacillus cereus spores</t>
  </si>
  <si>
    <t>887-889</t>
  </si>
  <si>
    <t>+ NaCl (0.5%)</t>
  </si>
  <si>
    <t>P167807</t>
  </si>
  <si>
    <t>Blackburn et al.</t>
  </si>
  <si>
    <t>Blackburn, C. de W., Curtis, L.M., Humpheson, L., Billon, C., McClure, P.J.</t>
  </si>
  <si>
    <t>Development of thermal inactivation models for Salmonella enteritidis and Escherchia coli O157:H7 with temperature, pH and NaCl as controlling factors</t>
  </si>
  <si>
    <t>31-44</t>
  </si>
  <si>
    <t>E30138</t>
  </si>
  <si>
    <t>+NaCl (0.5%)</t>
  </si>
  <si>
    <t>+NaCl (3.5%)</t>
  </si>
  <si>
    <t>+NaCl (8.5%)</t>
  </si>
  <si>
    <t>E30228</t>
  </si>
  <si>
    <t>E30480</t>
  </si>
  <si>
    <t>E32511</t>
  </si>
  <si>
    <t>Aerobic incubation of agar plates</t>
  </si>
  <si>
    <t>Anaerobic incubation of agar plates</t>
  </si>
  <si>
    <t>Aerobic incubation of plates</t>
  </si>
  <si>
    <t>Anerobic incubation of plates</t>
  </si>
  <si>
    <t>+ NaCl (3.5%) + lactic acid (0.5%)</t>
  </si>
  <si>
    <t>+ NaCl (3.5%) + lactic acid (1%)</t>
  </si>
  <si>
    <t>Huang and Juneja</t>
  </si>
  <si>
    <t>E8</t>
  </si>
  <si>
    <t>E9</t>
  </si>
  <si>
    <t>E12</t>
  </si>
  <si>
    <t>E16</t>
  </si>
  <si>
    <t>E18</t>
  </si>
  <si>
    <t>E29</t>
  </si>
  <si>
    <t>E92</t>
  </si>
  <si>
    <t>E101</t>
  </si>
  <si>
    <t>E105</t>
  </si>
  <si>
    <t>E130</t>
  </si>
  <si>
    <t>Vibrio cholerae</t>
  </si>
  <si>
    <t>MSMA recovery medium</t>
  </si>
  <si>
    <t>MEMB recovery medium</t>
  </si>
  <si>
    <t>Huang, L. and Juneja, V.K.</t>
  </si>
  <si>
    <t>A new kinetic model for thermal inactivation of microorganisms: developmen and validation using Escherichia coli O157:H7 as a test organism</t>
  </si>
  <si>
    <t>2078-2082</t>
  </si>
  <si>
    <t>Thermal inactivation of Escherichia coli O157:H7 isolated from ground beef and bovine feces, and suitability of media for enumeration</t>
  </si>
  <si>
    <t>285-289</t>
  </si>
  <si>
    <t>cider</t>
  </si>
  <si>
    <t>cider + malic acid (0.5%)</t>
  </si>
  <si>
    <t>cider + sorbate (0.1%)</t>
  </si>
  <si>
    <t>cider + benzoate (0.1%)</t>
  </si>
  <si>
    <t>cider + malic acid (0.5%) + sorbate (0.1%) + benzoate (0.1%)</t>
  </si>
  <si>
    <t>cider + malic acid (0.5%) + sorbate (0.2%) + benzoate (0.2%)</t>
  </si>
  <si>
    <t>cider + sorbate (0.1%) + benzoate (0.1%)</t>
  </si>
  <si>
    <t>cider + malic acid (1%) + benzoate (0.1%)</t>
  </si>
  <si>
    <t>cider + malic acid (1%) + sorbate (0.2%) + benzoate (0.1%)</t>
  </si>
  <si>
    <t xml:space="preserve">cider + malic acid (1%) + sorbate (0.1%) </t>
  </si>
  <si>
    <t>cider + sorbate (0.1%) + benzoate (0.2%)</t>
  </si>
  <si>
    <t>cider + malic acid (1%) + sorbate (0.1%) + benzoate (0.2%)</t>
  </si>
  <si>
    <t>cider + malic acid (0.5%) + sorbate (0.2%)</t>
  </si>
  <si>
    <t>cider + malic acid (0.5%) + benzoate (0.2%)</t>
  </si>
  <si>
    <t>Dock, L.L., J.D. Florors, R.H. Linton</t>
  </si>
  <si>
    <t>Heat inactivation of Escherichia coli O157:H7 in apple cider containing mailc acid, sodium bencoate and potassium sorbate</t>
  </si>
  <si>
    <t>1026-1031</t>
  </si>
  <si>
    <t>Dock et al.</t>
  </si>
  <si>
    <t>Orange</t>
  </si>
  <si>
    <t>Grape (white)</t>
  </si>
  <si>
    <t>Mazzotta</t>
  </si>
  <si>
    <t>Mazzotta, A.S.</t>
  </si>
  <si>
    <t>Thermal inactivation of stationary-phase and acid-adapted Escherichia coli O157:H7, Salmonella and Listeria monocytogenes in fruit juices</t>
  </si>
  <si>
    <t>315-320</t>
  </si>
  <si>
    <t>Thermal inactivation of Escherichia coli O157:H7 in ground beef supplemented with sodium lactate</t>
  </si>
  <si>
    <t>664-667</t>
  </si>
  <si>
    <t>ground + NaLactate (1.5%)</t>
  </si>
  <si>
    <t>ground + NaLactate (3%)</t>
  </si>
  <si>
    <t>ground + NaLactate (4.5%)</t>
  </si>
  <si>
    <t>early log phase cells</t>
  </si>
  <si>
    <t>whole, 1x concentrated</t>
  </si>
  <si>
    <t>whole, 2x concentrated</t>
  </si>
  <si>
    <t>967-973</t>
  </si>
  <si>
    <t>60-63</t>
  </si>
  <si>
    <r>
      <t xml:space="preserve">The growth profile, thermotolerance and biofilm formation of </t>
    </r>
    <r>
      <rPr>
        <i/>
        <sz val="10"/>
        <rFont val="Arial"/>
        <family val="2"/>
      </rPr>
      <t>Enterobacter sakazakii</t>
    </r>
    <r>
      <rPr>
        <sz val="10"/>
        <rFont val="Arial"/>
      </rPr>
      <t xml:space="preserve"> grown in infant formula milk</t>
    </r>
  </si>
  <si>
    <t>whole, 4x concentrated</t>
  </si>
  <si>
    <t>skim, 4x concentrated</t>
  </si>
  <si>
    <t>skim, 3.5x concentrated</t>
  </si>
  <si>
    <t>Kornacki and Marth</t>
  </si>
  <si>
    <t>Kornacki, J.L., Marth, E.H.</t>
  </si>
  <si>
    <t>Thermal inactivation of Staphylococcus aureus in retentates from ultrafiltered milk</t>
  </si>
  <si>
    <t>631-637</t>
  </si>
  <si>
    <t>541-543</t>
  </si>
  <si>
    <t>Heat-inactivation of Streptococcus faecium var. casseliflavus in skim milk cultures with Pseudomonas fluorescens</t>
  </si>
  <si>
    <t>vulnificus</t>
  </si>
  <si>
    <t>ATCC 27562</t>
  </si>
  <si>
    <t>+ NaCl (2%)</t>
  </si>
  <si>
    <t>304C</t>
  </si>
  <si>
    <t>MO6-24</t>
  </si>
  <si>
    <t>starved cells</t>
  </si>
  <si>
    <t>Bang and drake</t>
  </si>
  <si>
    <t>Data analysis Vibrio</t>
  </si>
  <si>
    <t>bang, W. and Drake, m.A.</t>
  </si>
  <si>
    <t>Resistance of cold- and starvation-stressed Vibrio vulnificus to heat and freeze-thaw exposure</t>
  </si>
  <si>
    <t>975-980</t>
  </si>
  <si>
    <t>Buffer (various)</t>
  </si>
  <si>
    <t>homogenates</t>
  </si>
  <si>
    <t>Weakfish</t>
  </si>
  <si>
    <t>Ama, A.A., Hamdy, M.K., Toledo, R.T.</t>
  </si>
  <si>
    <t>Effects of heating, pH and thermoradiation on inactivation of Vibrio vulnificus</t>
  </si>
  <si>
    <t>215-227</t>
  </si>
  <si>
    <t>Vacutainer</t>
  </si>
  <si>
    <t>Vacuum pack</t>
  </si>
  <si>
    <t>Bolton et al.</t>
  </si>
  <si>
    <t>solid</t>
  </si>
  <si>
    <t>Heated in commercial retort, PALCAM as culture medium</t>
  </si>
  <si>
    <t>Heated in commercial retort, TSA as culture medium</t>
  </si>
  <si>
    <t>Bolton, D.J., McMahon, C.M., Doherty, A.M., Sheridan, J.J., McDowell, D.A., Blair, I.S. and Harrington, D.</t>
  </si>
  <si>
    <t>Thermal inactibation of Listeria monocytogenes and yersinia enterocolitica in minced beef under laboratory conditions and sous-vide prepared minced and solid beef cooked in a commercial retort</t>
  </si>
  <si>
    <t>626-632</t>
  </si>
  <si>
    <t>Heated in commercial retort, YSA as culture medium</t>
  </si>
  <si>
    <t>Ama et al.</t>
  </si>
  <si>
    <t>+ NaCl (3.5%) + lactic acid (2%)</t>
  </si>
  <si>
    <t>+NaCl (0.5%) + citric acid (0.5%)</t>
  </si>
  <si>
    <t>+NaCl (0.5%) + acetic acid (0.5%)</t>
  </si>
  <si>
    <t>+NaCl (0.5%) + lactic acid (0.5%)</t>
  </si>
  <si>
    <t>+ NaCl (3.5%) + Acetic acid (0.5%)</t>
  </si>
  <si>
    <t>+ NaCl (3.5%) + citric acid (0.5%)</t>
  </si>
  <si>
    <t>+ NaCl (3.5%) + Acetic acid (1%)</t>
  </si>
  <si>
    <t>+ NaCl (3.5%) + citric acid (1%)</t>
  </si>
  <si>
    <t>+ NaCl (3.5%) + citric acid (2%)</t>
  </si>
  <si>
    <t>+ NaCl (3.5%) + Acetic acid (2%)</t>
  </si>
  <si>
    <t>+NaCl (0.5%) + acetic acid (1%)</t>
  </si>
  <si>
    <t>+NaCl (0.5%) + citric acid (1%)</t>
  </si>
  <si>
    <t>+NaCl (0.5%) + lactic acid (1%)</t>
  </si>
  <si>
    <t>+NaCl (0.5%) + acetic acid (2%)</t>
  </si>
  <si>
    <t>+NaCl (0.5%) + citric acid (2%)</t>
  </si>
  <si>
    <t>+NaCl (0.5%) + lactic acid (2%)</t>
  </si>
  <si>
    <t>yolk</t>
  </si>
  <si>
    <t>albumen</t>
  </si>
  <si>
    <t>minced</t>
  </si>
  <si>
    <t>ground (acidified)</t>
  </si>
  <si>
    <t>Microorganism</t>
  </si>
  <si>
    <t>Product</t>
  </si>
  <si>
    <t>Ref</t>
  </si>
  <si>
    <t>Year</t>
  </si>
  <si>
    <t>Remarks</t>
  </si>
  <si>
    <t>ICMSF</t>
  </si>
  <si>
    <t>Campylobacter</t>
  </si>
  <si>
    <t>Clostridium</t>
  </si>
  <si>
    <t>T (°C)</t>
  </si>
  <si>
    <t>pH</t>
  </si>
  <si>
    <t>z (°C)</t>
  </si>
  <si>
    <t>D (min)</t>
  </si>
  <si>
    <t>spp</t>
  </si>
  <si>
    <t>botulinum</t>
  </si>
  <si>
    <t>type</t>
  </si>
  <si>
    <t>Bacillus</t>
  </si>
  <si>
    <t>cereus</t>
  </si>
  <si>
    <t>Infant formula (milk-based)</t>
  </si>
  <si>
    <t>Water</t>
  </si>
  <si>
    <t>Milk</t>
  </si>
  <si>
    <t>Squash (pumpkin)</t>
  </si>
  <si>
    <t>Spaghetti, tomato sauce and cheese</t>
  </si>
  <si>
    <t>Macaroni creole</t>
  </si>
  <si>
    <t>Asparagus</t>
  </si>
  <si>
    <t>Beets</t>
  </si>
  <si>
    <t>Corn</t>
  </si>
  <si>
    <t>Phosphate buffer (1/15 M)</t>
  </si>
  <si>
    <t>Bread</t>
  </si>
  <si>
    <t>Phosphate buffer 0.05 M</t>
  </si>
  <si>
    <t>Phosphate buffer 0.067 M</t>
  </si>
  <si>
    <t>spp.</t>
  </si>
  <si>
    <t>Phosphate buffer</t>
  </si>
  <si>
    <t>D-value estimated from survival/destruction data</t>
  </si>
  <si>
    <t>frozen</t>
  </si>
  <si>
    <t>Treatment</t>
  </si>
  <si>
    <t>Rice</t>
  </si>
  <si>
    <t>broth</t>
  </si>
  <si>
    <t>pie</t>
  </si>
  <si>
    <t>Pumpkin</t>
  </si>
  <si>
    <t>scald</t>
  </si>
  <si>
    <t>skim</t>
  </si>
  <si>
    <t>Beef</t>
  </si>
  <si>
    <t>ground</t>
  </si>
  <si>
    <t>Lamb</t>
  </si>
  <si>
    <t>cubes</t>
  </si>
  <si>
    <t>cooked</t>
  </si>
  <si>
    <t>Chicken</t>
  </si>
  <si>
    <t>puree</t>
  </si>
  <si>
    <t>distilled</t>
  </si>
  <si>
    <t>canned</t>
  </si>
  <si>
    <t>Peas</t>
  </si>
  <si>
    <t>Spinach</t>
  </si>
  <si>
    <t>Corn (yellow)</t>
  </si>
  <si>
    <t>raw</t>
  </si>
  <si>
    <t>Beans (green)</t>
  </si>
  <si>
    <t>Squash (hubbard)</t>
  </si>
  <si>
    <t>juice</t>
  </si>
  <si>
    <t>Tomato</t>
  </si>
  <si>
    <t>in water</t>
  </si>
  <si>
    <t>Oyster</t>
  </si>
  <si>
    <t>Crabmeat (Zuwai)</t>
  </si>
  <si>
    <t>Rice (Spanish)</t>
  </si>
  <si>
    <t>Tuna (Yellowfin)</t>
  </si>
  <si>
    <t>in oil</t>
  </si>
  <si>
    <t>Mackeral</t>
  </si>
  <si>
    <t>fresh, puree</t>
  </si>
  <si>
    <t>liquor</t>
  </si>
  <si>
    <t>Lobster (rock)</t>
  </si>
  <si>
    <t>Corn (yelow)</t>
  </si>
  <si>
    <t>Corn (white)</t>
  </si>
  <si>
    <t>whole</t>
  </si>
  <si>
    <t>whole, 20% solids</t>
  </si>
  <si>
    <t>Beans (snap)</t>
  </si>
  <si>
    <t>fresh</t>
  </si>
  <si>
    <t>Carrots</t>
  </si>
  <si>
    <t>WC value for z</t>
  </si>
  <si>
    <t>D-value estimated from survival/destruction data; WC value for z</t>
  </si>
  <si>
    <t>Mushroom</t>
  </si>
  <si>
    <t>Crabmeat (blue)</t>
  </si>
  <si>
    <t>Homogenate (OH)</t>
  </si>
  <si>
    <t>Surimi (menhaden)</t>
  </si>
  <si>
    <t>Crabmeat</t>
  </si>
  <si>
    <t>Incubated 1 week at 26 °C</t>
  </si>
  <si>
    <t>Incubated 10 weeks at 26 °C</t>
  </si>
  <si>
    <t>Extrapolated</t>
  </si>
  <si>
    <t>Ref.nr</t>
  </si>
  <si>
    <t>Authors</t>
  </si>
  <si>
    <t>Title</t>
  </si>
  <si>
    <t>Eds</t>
  </si>
  <si>
    <t>Book Title</t>
  </si>
  <si>
    <t>Publisher</t>
  </si>
  <si>
    <t>City</t>
  </si>
  <si>
    <t>Journal</t>
  </si>
  <si>
    <t>Volume</t>
  </si>
  <si>
    <t>nr</t>
  </si>
  <si>
    <t>pages</t>
  </si>
  <si>
    <t>Microorganisms in foods 5- Microbiological specifications of food pathogens</t>
  </si>
  <si>
    <t>Roberts, T.A., Baird-Parker, A.C., Tompkin, R.B.</t>
  </si>
  <si>
    <t>Blackie Academic &amp; Professional</t>
  </si>
  <si>
    <t>London</t>
  </si>
  <si>
    <t>Recalculated from raw data</t>
  </si>
  <si>
    <t>perfringens</t>
  </si>
  <si>
    <t>Calculated by authors</t>
  </si>
  <si>
    <t>spores</t>
  </si>
  <si>
    <t>spores and vegetative cells</t>
  </si>
  <si>
    <t>roast</t>
  </si>
  <si>
    <t>gravy</t>
  </si>
  <si>
    <t>vegetative cells</t>
  </si>
  <si>
    <t>Escherichia</t>
  </si>
  <si>
    <t>coli</t>
  </si>
  <si>
    <t>wild</t>
  </si>
  <si>
    <t>heated by microwave</t>
  </si>
  <si>
    <t>chocolate</t>
  </si>
  <si>
    <t>Cream</t>
  </si>
  <si>
    <t>Ice cream</t>
  </si>
  <si>
    <t>mix</t>
  </si>
  <si>
    <t>Milk (buffalo)</t>
  </si>
  <si>
    <t>Milk (human)</t>
  </si>
  <si>
    <t>stock</t>
  </si>
  <si>
    <t>ATCC 9637</t>
  </si>
  <si>
    <t>O157:H7</t>
  </si>
  <si>
    <t>Water from poultry processing plant</t>
  </si>
  <si>
    <t>log D</t>
  </si>
  <si>
    <t>log D (model)</t>
  </si>
  <si>
    <t>Data analysis Bacillus cereus</t>
  </si>
  <si>
    <t>Product:</t>
  </si>
  <si>
    <t>z:</t>
  </si>
  <si>
    <t>T</t>
  </si>
  <si>
    <t>All</t>
  </si>
  <si>
    <t>Tref:</t>
  </si>
  <si>
    <t>log Dref:</t>
  </si>
  <si>
    <t>log D (95%)</t>
  </si>
  <si>
    <t>student t:</t>
  </si>
  <si>
    <t>st dev:</t>
  </si>
  <si>
    <t>RSS:</t>
  </si>
  <si>
    <t>Data analysis Campylobacter</t>
  </si>
  <si>
    <t>Data analysis Clostridium</t>
  </si>
  <si>
    <t>Data analysis E coli</t>
  </si>
  <si>
    <t>type A</t>
  </si>
  <si>
    <t>type B</t>
  </si>
  <si>
    <t>P</t>
  </si>
  <si>
    <t>P/NP (proteolytic)</t>
  </si>
  <si>
    <t>NP</t>
  </si>
  <si>
    <t>type C</t>
  </si>
  <si>
    <t>type E</t>
  </si>
  <si>
    <t>type F</t>
  </si>
  <si>
    <t>type G</t>
  </si>
  <si>
    <t>Lysozym in recovery medium</t>
  </si>
  <si>
    <t>Lynt</t>
  </si>
  <si>
    <t>Heat resistance of nonproteolytic Clostridium botulinum type F in phosphae buffer and Crabmeat</t>
  </si>
  <si>
    <t>Journal of Food Science</t>
  </si>
  <si>
    <t>108-111</t>
  </si>
  <si>
    <t>Lynt, R.K., Kautter, D.A., Solomon, H.M.</t>
  </si>
  <si>
    <t>Spores not preheated and lysozyme permeable; 10 µg/l lysozyme in recovery medium</t>
  </si>
  <si>
    <t>Peck et al</t>
  </si>
  <si>
    <t>Peck, M.W., Fairbairn, D.A., Lund, B.M.</t>
  </si>
  <si>
    <t>Heat-resistance of spores of non-proteolytic Clostridium botulinum estimated on medium containing lysozyme</t>
  </si>
  <si>
    <t>Letters in Applied Microbiology</t>
  </si>
  <si>
    <t>126-131</t>
  </si>
  <si>
    <t>Scott and Bernard</t>
  </si>
  <si>
    <t>Scott, V.N., Bernard, D.T.</t>
  </si>
  <si>
    <t>Spores preheated 66°C/10 min; no lysozyme</t>
  </si>
  <si>
    <t>2739G</t>
  </si>
  <si>
    <t>89G</t>
  </si>
  <si>
    <t>heat-labile strain</t>
  </si>
  <si>
    <t>heat-resistant strain</t>
  </si>
  <si>
    <t>3129B</t>
  </si>
  <si>
    <t>ATCC17844</t>
  </si>
  <si>
    <t>CBW25</t>
  </si>
  <si>
    <t>17B (lot 1)</t>
  </si>
  <si>
    <t>17B (lot 2)</t>
  </si>
  <si>
    <t>Peck et al.</t>
  </si>
  <si>
    <t>5 µg/ml lysozyme in recovery medium; extrapolated values</t>
  </si>
  <si>
    <t>The effect of lysozyme on the apparent heat resistance of nonproteolytic type B Clostridium botulinum</t>
  </si>
  <si>
    <t>Journal of Food Safety</t>
  </si>
  <si>
    <t>145-154</t>
  </si>
  <si>
    <t>62A</t>
  </si>
  <si>
    <t>7272A</t>
  </si>
  <si>
    <t>A90</t>
  </si>
  <si>
    <t>B1G4</t>
  </si>
  <si>
    <t>A16037</t>
  </si>
  <si>
    <t>Spores preheated at 104.4 °C, 0.1 min</t>
  </si>
  <si>
    <t>Lab A35</t>
  </si>
  <si>
    <t>Amanna</t>
  </si>
  <si>
    <t>RH-19</t>
  </si>
  <si>
    <t>Spores preheated 80 °C, 13 min</t>
  </si>
  <si>
    <t>73-211B</t>
  </si>
  <si>
    <t>213B</t>
  </si>
  <si>
    <t>7 strains</t>
  </si>
  <si>
    <t>Saratoga</t>
  </si>
  <si>
    <t>Beluga</t>
  </si>
  <si>
    <t>F-4YRC</t>
  </si>
  <si>
    <t>F-PC</t>
  </si>
  <si>
    <t>F-Langeland</t>
  </si>
  <si>
    <t>var. albolactis</t>
  </si>
  <si>
    <t>oil</t>
  </si>
  <si>
    <t>food</t>
  </si>
  <si>
    <t>food poisining</t>
  </si>
  <si>
    <t>classical</t>
  </si>
  <si>
    <t>Stock</t>
  </si>
  <si>
    <t>path/non-path</t>
  </si>
  <si>
    <t>non-pathogenic</t>
  </si>
  <si>
    <t>H522</t>
  </si>
  <si>
    <t>non-pathogenic?</t>
  </si>
  <si>
    <t>O104:H7</t>
  </si>
  <si>
    <t>pathogenic</t>
  </si>
  <si>
    <t>O111:B4</t>
  </si>
  <si>
    <t>O7-nm</t>
  </si>
  <si>
    <t>O127:B8</t>
  </si>
  <si>
    <t>Singh and Ranganathan</t>
  </si>
  <si>
    <t>D-value estimated from reference</t>
  </si>
  <si>
    <t>+glucose</t>
  </si>
  <si>
    <t>+ NaCl</t>
  </si>
  <si>
    <t>D-value estimated from reference; cells grown in TSB, aw = 0.994</t>
  </si>
  <si>
    <t>D-value estimated from reference; cells grown in TSB+ glucose, aw = 0.98</t>
  </si>
  <si>
    <t>D-value estimated from reference; cells grown in TSB + NaCl, aw = 0.98</t>
  </si>
  <si>
    <t>Singh, R.S., Banganathan, B.</t>
  </si>
  <si>
    <t>Heat resistance of Escherichia coli in cow and buffalo milk</t>
  </si>
  <si>
    <t>376-380</t>
  </si>
  <si>
    <t>Listeria</t>
  </si>
  <si>
    <t>formulated (+ milkfat (2.5%))</t>
  </si>
  <si>
    <t>formulated (+ milkfat (5%))</t>
  </si>
  <si>
    <t>monocytogenes</t>
  </si>
  <si>
    <t>Cabbage</t>
  </si>
  <si>
    <t>leg</t>
  </si>
  <si>
    <t>breast</t>
  </si>
  <si>
    <t>Sausage</t>
  </si>
  <si>
    <t>fermented</t>
  </si>
  <si>
    <t>Broth</t>
  </si>
  <si>
    <t>tryptose phosphate</t>
  </si>
  <si>
    <t>skim, 10 % solids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</si>
</sst>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86" formatCode="0.0"/>
    <numFmt numFmtId="187" formatCode="0.000"/>
  </numFmts>
  <fonts count="6" x14ac:knownFonts="1">
    <font>
      <sz val="10"/>
      <name val="Arial"/>
    </font>
    <font>
      <sz val="14"/>
      <name val="Arial"/>
      <family val="2"/>
    </font>
    <font>
      <i/>
      <sz val="10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Fill="1" applyBorder="1"/>
    <xf numFmtId="0" fontId="0" fillId="0" borderId="0" xfId="0" applyBorder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center"/>
    </xf>
    <xf numFmtId="186" fontId="2" fillId="0" borderId="0" xfId="0" applyNumberFormat="1" applyFont="1" applyBorder="1" applyAlignment="1">
      <alignment horizontal="center"/>
    </xf>
    <xf numFmtId="9" fontId="0" fillId="0" borderId="0" xfId="0" applyNumberFormat="1" applyFill="1" applyBorder="1"/>
    <xf numFmtId="2" fontId="0" fillId="0" borderId="0" xfId="0" applyNumberFormat="1" applyFill="1" applyBorder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2" fontId="0" fillId="0" borderId="0" xfId="0" applyNumberFormat="1" applyBorder="1" applyAlignment="1">
      <alignment horizontal="center"/>
    </xf>
    <xf numFmtId="11" fontId="0" fillId="0" borderId="0" xfId="0" applyNumberFormat="1"/>
    <xf numFmtId="0" fontId="3" fillId="0" borderId="1" xfId="0" applyFont="1" applyBorder="1"/>
    <xf numFmtId="0" fontId="3" fillId="0" borderId="1" xfId="0" applyFont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left"/>
    </xf>
    <xf numFmtId="0" fontId="3" fillId="0" borderId="0" xfId="0" applyFont="1"/>
    <xf numFmtId="0" fontId="0" fillId="0" borderId="0" xfId="0" quotePrefix="1" applyFill="1" applyBorder="1"/>
    <xf numFmtId="2" fontId="3" fillId="0" borderId="1" xfId="0" applyNumberFormat="1" applyFont="1" applyFill="1" applyBorder="1" applyAlignment="1">
      <alignment horizontal="center"/>
    </xf>
    <xf numFmtId="0" fontId="0" fillId="0" borderId="0" xfId="0" quotePrefix="1"/>
    <xf numFmtId="0" fontId="5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0" fontId="5" fillId="0" borderId="0" xfId="0" applyFont="1"/>
    <xf numFmtId="2" fontId="4" fillId="0" borderId="0" xfId="0" applyNumberFormat="1" applyFont="1" applyAlignment="1">
      <alignment horizontal="right"/>
    </xf>
    <xf numFmtId="2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0" fillId="0" borderId="0" xfId="0" quotePrefix="1" applyNumberFormat="1" applyFill="1" applyBorder="1"/>
    <xf numFmtId="2" fontId="3" fillId="0" borderId="1" xfId="0" applyNumberFormat="1" applyFont="1" applyBorder="1" applyAlignment="1">
      <alignment horizontal="center"/>
    </xf>
    <xf numFmtId="2" fontId="0" fillId="0" borderId="0" xfId="0" quotePrefix="1" applyNumberFormat="1" applyFill="1" applyBorder="1" applyAlignment="1">
      <alignment horizontal="center"/>
    </xf>
    <xf numFmtId="187" fontId="0" fillId="0" borderId="0" xfId="0" applyNumberFormat="1"/>
    <xf numFmtId="0" fontId="3" fillId="0" borderId="0" xfId="0" applyFont="1" applyBorder="1"/>
    <xf numFmtId="0" fontId="5" fillId="0" borderId="0" xfId="0" quotePrefix="1" applyFont="1"/>
    <xf numFmtId="1" fontId="3" fillId="0" borderId="1" xfId="0" applyNumberFormat="1" applyFon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2" fontId="3" fillId="0" borderId="0" xfId="0" applyNumberFormat="1" applyFont="1"/>
    <xf numFmtId="0" fontId="0" fillId="0" borderId="0" xfId="0" applyAlignment="1"/>
    <xf numFmtId="0" fontId="0" fillId="0" borderId="0" xfId="0" quotePrefix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Bacillus cereus</a:t>
            </a:r>
          </a:p>
        </c:rich>
      </c:tx>
      <c:layout>
        <c:manualLayout>
          <c:xMode val="edge"/>
          <c:yMode val="edge"/>
          <c:x val="0.41622782926633645"/>
          <c:y val="2.941176470588235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485780409158289"/>
          <c:y val="0.1627454096687532"/>
          <c:w val="0.52897814361444595"/>
          <c:h val="0.69804055231417028"/>
        </c:manualLayout>
      </c:layout>
      <c:scatterChart>
        <c:scatterStyle val="lineMarker"/>
        <c:varyColors val="0"/>
        <c:ser>
          <c:idx val="2"/>
          <c:order val="0"/>
          <c:tx>
            <c:v>Milk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Bacillus!$I$6:$I$8</c:f>
              <c:numCache>
                <c:formatCode>General</c:formatCode>
                <c:ptCount val="3"/>
                <c:pt idx="0">
                  <c:v>95</c:v>
                </c:pt>
                <c:pt idx="1">
                  <c:v>95</c:v>
                </c:pt>
                <c:pt idx="2">
                  <c:v>95</c:v>
                </c:pt>
              </c:numCache>
            </c:numRef>
          </c:xVal>
          <c:yVal>
            <c:numRef>
              <c:f>Bacillus!$L$6:$L$8</c:f>
              <c:numCache>
                <c:formatCode>0.00</c:formatCode>
                <c:ptCount val="3"/>
                <c:pt idx="0">
                  <c:v>0.47712125471966244</c:v>
                </c:pt>
                <c:pt idx="1">
                  <c:v>0.25527250510330607</c:v>
                </c:pt>
                <c:pt idx="2">
                  <c:v>1.2810333672477277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52-4BE3-9575-A19ECDDFC98F}"/>
            </c:ext>
          </c:extLst>
        </c:ser>
        <c:ser>
          <c:idx val="6"/>
          <c:order val="1"/>
          <c:tx>
            <c:v>Water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Bacillus!$I$23:$I$58</c:f>
              <c:numCache>
                <c:formatCode>General</c:formatCode>
                <c:ptCount val="36"/>
                <c:pt idx="0">
                  <c:v>100</c:v>
                </c:pt>
                <c:pt idx="1">
                  <c:v>115</c:v>
                </c:pt>
                <c:pt idx="2">
                  <c:v>95</c:v>
                </c:pt>
                <c:pt idx="3">
                  <c:v>95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85</c:v>
                </c:pt>
                <c:pt idx="9">
                  <c:v>85</c:v>
                </c:pt>
                <c:pt idx="10">
                  <c:v>90</c:v>
                </c:pt>
                <c:pt idx="11">
                  <c:v>90</c:v>
                </c:pt>
                <c:pt idx="12">
                  <c:v>95</c:v>
                </c:pt>
                <c:pt idx="13">
                  <c:v>95</c:v>
                </c:pt>
                <c:pt idx="14">
                  <c:v>100</c:v>
                </c:pt>
                <c:pt idx="15">
                  <c:v>100</c:v>
                </c:pt>
                <c:pt idx="16">
                  <c:v>90</c:v>
                </c:pt>
                <c:pt idx="17">
                  <c:v>90</c:v>
                </c:pt>
                <c:pt idx="18">
                  <c:v>90</c:v>
                </c:pt>
                <c:pt idx="19">
                  <c:v>90</c:v>
                </c:pt>
                <c:pt idx="20">
                  <c:v>90</c:v>
                </c:pt>
                <c:pt idx="21">
                  <c:v>90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95</c:v>
                </c:pt>
                <c:pt idx="28">
                  <c:v>90</c:v>
                </c:pt>
                <c:pt idx="29">
                  <c:v>95</c:v>
                </c:pt>
                <c:pt idx="30">
                  <c:v>95</c:v>
                </c:pt>
                <c:pt idx="31">
                  <c:v>97.5</c:v>
                </c:pt>
                <c:pt idx="32">
                  <c:v>100</c:v>
                </c:pt>
                <c:pt idx="33">
                  <c:v>100</c:v>
                </c:pt>
                <c:pt idx="34">
                  <c:v>102.5</c:v>
                </c:pt>
                <c:pt idx="35">
                  <c:v>105</c:v>
                </c:pt>
              </c:numCache>
            </c:numRef>
          </c:xVal>
          <c:yVal>
            <c:numRef>
              <c:f>Bacillus!$L$23:$L$58</c:f>
              <c:numCache>
                <c:formatCode>0.00</c:formatCode>
                <c:ptCount val="36"/>
                <c:pt idx="0">
                  <c:v>0.74036268949424389</c:v>
                </c:pt>
                <c:pt idx="1">
                  <c:v>-0.88605664769316317</c:v>
                </c:pt>
                <c:pt idx="2">
                  <c:v>1.209515014542631</c:v>
                </c:pt>
                <c:pt idx="3">
                  <c:v>1.2944662261615929</c:v>
                </c:pt>
                <c:pt idx="4">
                  <c:v>1.3802112417116059</c:v>
                </c:pt>
                <c:pt idx="5">
                  <c:v>1.5587085705331658</c:v>
                </c:pt>
                <c:pt idx="6">
                  <c:v>0.17609125905568124</c:v>
                </c:pt>
                <c:pt idx="7">
                  <c:v>0.97772360528884772</c:v>
                </c:pt>
                <c:pt idx="8">
                  <c:v>1.2041199826559248</c:v>
                </c:pt>
                <c:pt idx="9">
                  <c:v>1.2304489213782739</c:v>
                </c:pt>
                <c:pt idx="10">
                  <c:v>0.59106460702649921</c:v>
                </c:pt>
                <c:pt idx="11">
                  <c:v>0.61278385671973545</c:v>
                </c:pt>
                <c:pt idx="12">
                  <c:v>-2.6872146400301365E-2</c:v>
                </c:pt>
                <c:pt idx="13">
                  <c:v>-8.7739243075051505E-3</c:v>
                </c:pt>
                <c:pt idx="14">
                  <c:v>-0.65757731917779372</c:v>
                </c:pt>
                <c:pt idx="15">
                  <c:v>-0.65757731917779372</c:v>
                </c:pt>
                <c:pt idx="16">
                  <c:v>0.49136169383427269</c:v>
                </c:pt>
                <c:pt idx="17">
                  <c:v>0.54406804435027567</c:v>
                </c:pt>
                <c:pt idx="18">
                  <c:v>0.59106460702649921</c:v>
                </c:pt>
                <c:pt idx="19">
                  <c:v>0.66275783168157409</c:v>
                </c:pt>
                <c:pt idx="20">
                  <c:v>0.67209785793571752</c:v>
                </c:pt>
                <c:pt idx="21">
                  <c:v>0.69897000433601886</c:v>
                </c:pt>
                <c:pt idx="22">
                  <c:v>-0.35654732351381258</c:v>
                </c:pt>
                <c:pt idx="23">
                  <c:v>-0.33724216831842591</c:v>
                </c:pt>
                <c:pt idx="24">
                  <c:v>-0.20760831050174613</c:v>
                </c:pt>
                <c:pt idx="25">
                  <c:v>-0.18045606445813131</c:v>
                </c:pt>
                <c:pt idx="26">
                  <c:v>4.1392685158225077E-2</c:v>
                </c:pt>
                <c:pt idx="27">
                  <c:v>6.8185861746161619E-2</c:v>
                </c:pt>
                <c:pt idx="28">
                  <c:v>1.6020599913279623</c:v>
                </c:pt>
                <c:pt idx="29">
                  <c:v>1.0413926851582251</c:v>
                </c:pt>
                <c:pt idx="30">
                  <c:v>1.146128035678238</c:v>
                </c:pt>
                <c:pt idx="31">
                  <c:v>0.77085201164214423</c:v>
                </c:pt>
                <c:pt idx="32">
                  <c:v>0.3979400086720376</c:v>
                </c:pt>
                <c:pt idx="33">
                  <c:v>0.3979400086720376</c:v>
                </c:pt>
                <c:pt idx="34">
                  <c:v>0.17609125905568124</c:v>
                </c:pt>
                <c:pt idx="35">
                  <c:v>-0.22184874961635639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52-4BE3-9575-A19ECDDFC98F}"/>
            </c:ext>
          </c:extLst>
        </c:ser>
        <c:ser>
          <c:idx val="10"/>
          <c:order val="2"/>
          <c:tx>
            <c:v>Aqueous solution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CC00"/>
              </a:solidFill>
              <a:ln>
                <a:solidFill>
                  <a:srgbClr val="FFCC00"/>
                </a:solidFill>
                <a:prstDash val="solid"/>
              </a:ln>
            </c:spPr>
          </c:marker>
          <c:xVal>
            <c:numRef>
              <c:f>Bacillus!$I$59:$I$252</c:f>
              <c:numCache>
                <c:formatCode>General</c:formatCode>
                <c:ptCount val="194"/>
                <c:pt idx="0">
                  <c:v>105</c:v>
                </c:pt>
                <c:pt idx="1">
                  <c:v>95</c:v>
                </c:pt>
                <c:pt idx="2">
                  <c:v>95</c:v>
                </c:pt>
                <c:pt idx="3">
                  <c:v>98</c:v>
                </c:pt>
                <c:pt idx="4">
                  <c:v>100</c:v>
                </c:pt>
                <c:pt idx="5">
                  <c:v>106</c:v>
                </c:pt>
                <c:pt idx="6">
                  <c:v>110</c:v>
                </c:pt>
                <c:pt idx="7">
                  <c:v>92</c:v>
                </c:pt>
                <c:pt idx="8">
                  <c:v>96</c:v>
                </c:pt>
                <c:pt idx="9">
                  <c:v>100</c:v>
                </c:pt>
                <c:pt idx="10">
                  <c:v>106</c:v>
                </c:pt>
                <c:pt idx="11">
                  <c:v>100</c:v>
                </c:pt>
                <c:pt idx="12">
                  <c:v>103</c:v>
                </c:pt>
                <c:pt idx="13">
                  <c:v>110</c:v>
                </c:pt>
                <c:pt idx="14">
                  <c:v>115</c:v>
                </c:pt>
                <c:pt idx="15">
                  <c:v>98</c:v>
                </c:pt>
                <c:pt idx="16">
                  <c:v>100</c:v>
                </c:pt>
                <c:pt idx="17">
                  <c:v>106</c:v>
                </c:pt>
                <c:pt idx="18">
                  <c:v>110</c:v>
                </c:pt>
                <c:pt idx="19">
                  <c:v>92</c:v>
                </c:pt>
                <c:pt idx="20">
                  <c:v>96</c:v>
                </c:pt>
                <c:pt idx="21">
                  <c:v>100</c:v>
                </c:pt>
                <c:pt idx="22">
                  <c:v>106</c:v>
                </c:pt>
                <c:pt idx="23">
                  <c:v>100</c:v>
                </c:pt>
                <c:pt idx="24">
                  <c:v>103</c:v>
                </c:pt>
                <c:pt idx="25">
                  <c:v>110</c:v>
                </c:pt>
                <c:pt idx="26">
                  <c:v>115</c:v>
                </c:pt>
                <c:pt idx="27">
                  <c:v>100</c:v>
                </c:pt>
                <c:pt idx="28">
                  <c:v>106</c:v>
                </c:pt>
                <c:pt idx="29">
                  <c:v>110</c:v>
                </c:pt>
                <c:pt idx="30">
                  <c:v>115</c:v>
                </c:pt>
                <c:pt idx="31">
                  <c:v>96</c:v>
                </c:pt>
                <c:pt idx="32">
                  <c:v>100</c:v>
                </c:pt>
                <c:pt idx="33">
                  <c:v>106</c:v>
                </c:pt>
                <c:pt idx="34">
                  <c:v>110</c:v>
                </c:pt>
                <c:pt idx="35">
                  <c:v>103</c:v>
                </c:pt>
                <c:pt idx="36">
                  <c:v>110</c:v>
                </c:pt>
                <c:pt idx="37">
                  <c:v>115</c:v>
                </c:pt>
                <c:pt idx="38">
                  <c:v>120</c:v>
                </c:pt>
                <c:pt idx="39">
                  <c:v>100</c:v>
                </c:pt>
                <c:pt idx="40">
                  <c:v>106</c:v>
                </c:pt>
                <c:pt idx="41">
                  <c:v>110</c:v>
                </c:pt>
                <c:pt idx="42">
                  <c:v>115</c:v>
                </c:pt>
                <c:pt idx="43">
                  <c:v>100</c:v>
                </c:pt>
                <c:pt idx="44">
                  <c:v>106</c:v>
                </c:pt>
                <c:pt idx="45">
                  <c:v>110</c:v>
                </c:pt>
                <c:pt idx="46">
                  <c:v>115</c:v>
                </c:pt>
                <c:pt idx="47">
                  <c:v>98</c:v>
                </c:pt>
                <c:pt idx="48">
                  <c:v>100</c:v>
                </c:pt>
                <c:pt idx="49">
                  <c:v>106</c:v>
                </c:pt>
                <c:pt idx="50">
                  <c:v>110</c:v>
                </c:pt>
                <c:pt idx="51">
                  <c:v>92</c:v>
                </c:pt>
                <c:pt idx="52">
                  <c:v>96</c:v>
                </c:pt>
                <c:pt idx="53">
                  <c:v>100</c:v>
                </c:pt>
                <c:pt idx="54">
                  <c:v>103</c:v>
                </c:pt>
                <c:pt idx="55">
                  <c:v>106</c:v>
                </c:pt>
                <c:pt idx="56">
                  <c:v>100</c:v>
                </c:pt>
                <c:pt idx="57">
                  <c:v>103</c:v>
                </c:pt>
                <c:pt idx="58">
                  <c:v>110</c:v>
                </c:pt>
                <c:pt idx="59">
                  <c:v>115</c:v>
                </c:pt>
                <c:pt idx="60">
                  <c:v>98</c:v>
                </c:pt>
                <c:pt idx="61">
                  <c:v>100</c:v>
                </c:pt>
                <c:pt idx="62">
                  <c:v>106</c:v>
                </c:pt>
                <c:pt idx="63">
                  <c:v>110</c:v>
                </c:pt>
                <c:pt idx="64">
                  <c:v>92</c:v>
                </c:pt>
                <c:pt idx="65">
                  <c:v>96</c:v>
                </c:pt>
                <c:pt idx="66">
                  <c:v>100</c:v>
                </c:pt>
                <c:pt idx="67">
                  <c:v>106</c:v>
                </c:pt>
                <c:pt idx="68">
                  <c:v>100</c:v>
                </c:pt>
                <c:pt idx="69">
                  <c:v>103</c:v>
                </c:pt>
                <c:pt idx="70">
                  <c:v>110</c:v>
                </c:pt>
                <c:pt idx="71">
                  <c:v>115</c:v>
                </c:pt>
                <c:pt idx="72">
                  <c:v>98</c:v>
                </c:pt>
                <c:pt idx="73">
                  <c:v>100</c:v>
                </c:pt>
                <c:pt idx="74">
                  <c:v>106</c:v>
                </c:pt>
                <c:pt idx="75">
                  <c:v>110</c:v>
                </c:pt>
                <c:pt idx="76">
                  <c:v>115</c:v>
                </c:pt>
                <c:pt idx="77">
                  <c:v>96</c:v>
                </c:pt>
                <c:pt idx="78">
                  <c:v>100</c:v>
                </c:pt>
                <c:pt idx="79">
                  <c:v>103</c:v>
                </c:pt>
                <c:pt idx="80">
                  <c:v>106</c:v>
                </c:pt>
                <c:pt idx="81">
                  <c:v>100</c:v>
                </c:pt>
                <c:pt idx="82">
                  <c:v>103</c:v>
                </c:pt>
                <c:pt idx="83">
                  <c:v>110</c:v>
                </c:pt>
                <c:pt idx="84">
                  <c:v>115</c:v>
                </c:pt>
                <c:pt idx="85">
                  <c:v>98</c:v>
                </c:pt>
                <c:pt idx="86">
                  <c:v>100</c:v>
                </c:pt>
                <c:pt idx="87">
                  <c:v>106</c:v>
                </c:pt>
                <c:pt idx="88">
                  <c:v>110</c:v>
                </c:pt>
                <c:pt idx="89">
                  <c:v>92</c:v>
                </c:pt>
                <c:pt idx="90">
                  <c:v>96</c:v>
                </c:pt>
                <c:pt idx="91">
                  <c:v>100</c:v>
                </c:pt>
                <c:pt idx="92">
                  <c:v>106</c:v>
                </c:pt>
                <c:pt idx="93">
                  <c:v>100</c:v>
                </c:pt>
                <c:pt idx="94">
                  <c:v>103</c:v>
                </c:pt>
                <c:pt idx="95">
                  <c:v>110</c:v>
                </c:pt>
                <c:pt idx="96">
                  <c:v>115</c:v>
                </c:pt>
                <c:pt idx="97">
                  <c:v>98</c:v>
                </c:pt>
                <c:pt idx="98">
                  <c:v>100</c:v>
                </c:pt>
                <c:pt idx="99">
                  <c:v>106</c:v>
                </c:pt>
                <c:pt idx="100">
                  <c:v>110</c:v>
                </c:pt>
                <c:pt idx="101">
                  <c:v>92</c:v>
                </c:pt>
                <c:pt idx="102">
                  <c:v>96</c:v>
                </c:pt>
                <c:pt idx="103">
                  <c:v>100</c:v>
                </c:pt>
                <c:pt idx="104">
                  <c:v>106</c:v>
                </c:pt>
                <c:pt idx="105">
                  <c:v>100</c:v>
                </c:pt>
                <c:pt idx="106">
                  <c:v>103</c:v>
                </c:pt>
                <c:pt idx="107">
                  <c:v>110</c:v>
                </c:pt>
                <c:pt idx="108">
                  <c:v>115</c:v>
                </c:pt>
                <c:pt idx="109">
                  <c:v>98</c:v>
                </c:pt>
                <c:pt idx="110">
                  <c:v>100</c:v>
                </c:pt>
                <c:pt idx="111">
                  <c:v>106</c:v>
                </c:pt>
                <c:pt idx="112">
                  <c:v>110</c:v>
                </c:pt>
                <c:pt idx="113">
                  <c:v>92</c:v>
                </c:pt>
                <c:pt idx="114">
                  <c:v>96</c:v>
                </c:pt>
                <c:pt idx="115">
                  <c:v>100</c:v>
                </c:pt>
                <c:pt idx="116">
                  <c:v>106</c:v>
                </c:pt>
                <c:pt idx="117">
                  <c:v>110</c:v>
                </c:pt>
                <c:pt idx="118">
                  <c:v>100</c:v>
                </c:pt>
                <c:pt idx="119">
                  <c:v>103</c:v>
                </c:pt>
                <c:pt idx="120">
                  <c:v>110</c:v>
                </c:pt>
                <c:pt idx="121">
                  <c:v>115</c:v>
                </c:pt>
                <c:pt idx="122">
                  <c:v>98</c:v>
                </c:pt>
                <c:pt idx="123">
                  <c:v>100</c:v>
                </c:pt>
                <c:pt idx="124">
                  <c:v>106</c:v>
                </c:pt>
                <c:pt idx="125">
                  <c:v>110</c:v>
                </c:pt>
                <c:pt idx="126">
                  <c:v>92</c:v>
                </c:pt>
                <c:pt idx="127">
                  <c:v>96</c:v>
                </c:pt>
                <c:pt idx="128">
                  <c:v>100</c:v>
                </c:pt>
                <c:pt idx="129">
                  <c:v>106</c:v>
                </c:pt>
                <c:pt idx="130">
                  <c:v>110</c:v>
                </c:pt>
                <c:pt idx="131">
                  <c:v>100</c:v>
                </c:pt>
                <c:pt idx="132">
                  <c:v>103</c:v>
                </c:pt>
                <c:pt idx="133">
                  <c:v>110</c:v>
                </c:pt>
                <c:pt idx="134">
                  <c:v>115</c:v>
                </c:pt>
                <c:pt idx="135">
                  <c:v>120</c:v>
                </c:pt>
                <c:pt idx="136">
                  <c:v>98</c:v>
                </c:pt>
                <c:pt idx="137">
                  <c:v>100</c:v>
                </c:pt>
                <c:pt idx="138">
                  <c:v>106</c:v>
                </c:pt>
                <c:pt idx="139">
                  <c:v>110</c:v>
                </c:pt>
                <c:pt idx="140">
                  <c:v>96</c:v>
                </c:pt>
                <c:pt idx="141">
                  <c:v>100</c:v>
                </c:pt>
                <c:pt idx="142">
                  <c:v>106</c:v>
                </c:pt>
                <c:pt idx="143">
                  <c:v>110</c:v>
                </c:pt>
                <c:pt idx="144">
                  <c:v>103</c:v>
                </c:pt>
                <c:pt idx="145">
                  <c:v>110</c:v>
                </c:pt>
                <c:pt idx="146">
                  <c:v>115</c:v>
                </c:pt>
                <c:pt idx="147">
                  <c:v>120</c:v>
                </c:pt>
                <c:pt idx="148">
                  <c:v>98</c:v>
                </c:pt>
                <c:pt idx="149">
                  <c:v>100</c:v>
                </c:pt>
                <c:pt idx="150">
                  <c:v>106</c:v>
                </c:pt>
                <c:pt idx="151">
                  <c:v>110</c:v>
                </c:pt>
                <c:pt idx="152">
                  <c:v>92</c:v>
                </c:pt>
                <c:pt idx="153">
                  <c:v>96</c:v>
                </c:pt>
                <c:pt idx="154">
                  <c:v>100</c:v>
                </c:pt>
                <c:pt idx="155">
                  <c:v>106</c:v>
                </c:pt>
                <c:pt idx="156">
                  <c:v>100</c:v>
                </c:pt>
                <c:pt idx="157">
                  <c:v>103</c:v>
                </c:pt>
                <c:pt idx="158">
                  <c:v>110</c:v>
                </c:pt>
                <c:pt idx="159">
                  <c:v>115</c:v>
                </c:pt>
                <c:pt idx="160">
                  <c:v>98</c:v>
                </c:pt>
                <c:pt idx="161">
                  <c:v>100</c:v>
                </c:pt>
                <c:pt idx="162">
                  <c:v>106</c:v>
                </c:pt>
                <c:pt idx="163">
                  <c:v>110</c:v>
                </c:pt>
                <c:pt idx="164">
                  <c:v>92</c:v>
                </c:pt>
                <c:pt idx="165">
                  <c:v>96</c:v>
                </c:pt>
                <c:pt idx="166">
                  <c:v>100</c:v>
                </c:pt>
                <c:pt idx="167">
                  <c:v>106</c:v>
                </c:pt>
                <c:pt idx="168">
                  <c:v>100</c:v>
                </c:pt>
                <c:pt idx="169">
                  <c:v>103</c:v>
                </c:pt>
                <c:pt idx="170">
                  <c:v>110</c:v>
                </c:pt>
                <c:pt idx="171">
                  <c:v>115</c:v>
                </c:pt>
                <c:pt idx="172">
                  <c:v>98</c:v>
                </c:pt>
                <c:pt idx="173">
                  <c:v>100</c:v>
                </c:pt>
                <c:pt idx="174">
                  <c:v>106</c:v>
                </c:pt>
                <c:pt idx="175">
                  <c:v>110</c:v>
                </c:pt>
                <c:pt idx="176">
                  <c:v>92</c:v>
                </c:pt>
                <c:pt idx="177">
                  <c:v>96</c:v>
                </c:pt>
                <c:pt idx="178">
                  <c:v>100</c:v>
                </c:pt>
                <c:pt idx="179">
                  <c:v>106</c:v>
                </c:pt>
                <c:pt idx="180">
                  <c:v>100</c:v>
                </c:pt>
                <c:pt idx="181">
                  <c:v>103</c:v>
                </c:pt>
                <c:pt idx="182">
                  <c:v>110</c:v>
                </c:pt>
                <c:pt idx="183">
                  <c:v>115</c:v>
                </c:pt>
                <c:pt idx="184">
                  <c:v>98</c:v>
                </c:pt>
                <c:pt idx="185">
                  <c:v>98</c:v>
                </c:pt>
                <c:pt idx="186">
                  <c:v>98</c:v>
                </c:pt>
                <c:pt idx="187">
                  <c:v>98</c:v>
                </c:pt>
                <c:pt idx="188">
                  <c:v>100</c:v>
                </c:pt>
                <c:pt idx="189">
                  <c:v>106</c:v>
                </c:pt>
                <c:pt idx="190">
                  <c:v>110</c:v>
                </c:pt>
                <c:pt idx="191">
                  <c:v>92</c:v>
                </c:pt>
                <c:pt idx="192">
                  <c:v>92</c:v>
                </c:pt>
                <c:pt idx="193">
                  <c:v>96</c:v>
                </c:pt>
              </c:numCache>
            </c:numRef>
          </c:xVal>
          <c:yVal>
            <c:numRef>
              <c:f>Bacillus!$L$59:$L$252</c:f>
              <c:numCache>
                <c:formatCode>0.00</c:formatCode>
                <c:ptCount val="194"/>
                <c:pt idx="0">
                  <c:v>-0.11918640771920865</c:v>
                </c:pt>
                <c:pt idx="1">
                  <c:v>1.5563025007672873</c:v>
                </c:pt>
                <c:pt idx="2">
                  <c:v>1.5563025007672873</c:v>
                </c:pt>
                <c:pt idx="3">
                  <c:v>7.9181246047624818E-2</c:v>
                </c:pt>
                <c:pt idx="4">
                  <c:v>-0.17392519729917355</c:v>
                </c:pt>
                <c:pt idx="5">
                  <c:v>-0.88605664769316317</c:v>
                </c:pt>
                <c:pt idx="6">
                  <c:v>-1.3467874862246563</c:v>
                </c:pt>
                <c:pt idx="7">
                  <c:v>0.39269695325966575</c:v>
                </c:pt>
                <c:pt idx="8">
                  <c:v>-4.5757490560675115E-2</c:v>
                </c:pt>
                <c:pt idx="9">
                  <c:v>-0.65757731917779372</c:v>
                </c:pt>
                <c:pt idx="10">
                  <c:v>-1.2924298239020637</c:v>
                </c:pt>
                <c:pt idx="11">
                  <c:v>0.54406804435027567</c:v>
                </c:pt>
                <c:pt idx="12">
                  <c:v>0.21218760440395779</c:v>
                </c:pt>
                <c:pt idx="13">
                  <c:v>-0.48148606012211248</c:v>
                </c:pt>
                <c:pt idx="14">
                  <c:v>-0.95860731484177497</c:v>
                </c:pt>
                <c:pt idx="15">
                  <c:v>0.31806333496276157</c:v>
                </c:pt>
                <c:pt idx="16">
                  <c:v>0.14301480025409505</c:v>
                </c:pt>
                <c:pt idx="17">
                  <c:v>-0.65757731917779372</c:v>
                </c:pt>
                <c:pt idx="18">
                  <c:v>-1.0087739243075051</c:v>
                </c:pt>
                <c:pt idx="19">
                  <c:v>0.72263392253381231</c:v>
                </c:pt>
                <c:pt idx="20">
                  <c:v>7.9181246047624818E-2</c:v>
                </c:pt>
                <c:pt idx="21">
                  <c:v>-0.35654732351381258</c:v>
                </c:pt>
                <c:pt idx="22">
                  <c:v>-0.95860731484177497</c:v>
                </c:pt>
                <c:pt idx="23">
                  <c:v>0.56229286445647475</c:v>
                </c:pt>
                <c:pt idx="24">
                  <c:v>0.32014628611105395</c:v>
                </c:pt>
                <c:pt idx="25">
                  <c:v>-0.37675070960209955</c:v>
                </c:pt>
                <c:pt idx="26">
                  <c:v>-0.92081875395237522</c:v>
                </c:pt>
                <c:pt idx="27">
                  <c:v>0.75663610824584804</c:v>
                </c:pt>
                <c:pt idx="28">
                  <c:v>7.554696139253074E-2</c:v>
                </c:pt>
                <c:pt idx="29">
                  <c:v>-0.46852108295774486</c:v>
                </c:pt>
                <c:pt idx="30">
                  <c:v>-1.1023729087095586</c:v>
                </c:pt>
                <c:pt idx="31">
                  <c:v>0.78746047451841505</c:v>
                </c:pt>
                <c:pt idx="32">
                  <c:v>0.33645973384852951</c:v>
                </c:pt>
                <c:pt idx="33">
                  <c:v>-0.29242982390206362</c:v>
                </c:pt>
                <c:pt idx="34">
                  <c:v>-0.769551078621726</c:v>
                </c:pt>
                <c:pt idx="35">
                  <c:v>1.1687920203141817</c:v>
                </c:pt>
                <c:pt idx="36">
                  <c:v>0.44404479591807622</c:v>
                </c:pt>
                <c:pt idx="37">
                  <c:v>5.3078443483419682E-2</c:v>
                </c:pt>
                <c:pt idx="38">
                  <c:v>-0.53760200210104392</c:v>
                </c:pt>
                <c:pt idx="39">
                  <c:v>1.3304137733491908</c:v>
                </c:pt>
                <c:pt idx="40">
                  <c:v>0.60852603357719404</c:v>
                </c:pt>
                <c:pt idx="41">
                  <c:v>2.5305865264770262E-2</c:v>
                </c:pt>
                <c:pt idx="42">
                  <c:v>-0.58502665202918203</c:v>
                </c:pt>
                <c:pt idx="43">
                  <c:v>1.0390173219974119</c:v>
                </c:pt>
                <c:pt idx="44">
                  <c:v>0.44247976906444858</c:v>
                </c:pt>
                <c:pt idx="45">
                  <c:v>-4.0958607678906384E-2</c:v>
                </c:pt>
                <c:pt idx="46">
                  <c:v>-0.69897000433601875</c:v>
                </c:pt>
                <c:pt idx="47">
                  <c:v>0.22010808804005508</c:v>
                </c:pt>
                <c:pt idx="48">
                  <c:v>-0.10790539730951958</c:v>
                </c:pt>
                <c:pt idx="49">
                  <c:v>-0.74472749489669399</c:v>
                </c:pt>
                <c:pt idx="50">
                  <c:v>-1.1674910872937636</c:v>
                </c:pt>
                <c:pt idx="51">
                  <c:v>0.64048143697042181</c:v>
                </c:pt>
                <c:pt idx="52">
                  <c:v>0.30963016742589877</c:v>
                </c:pt>
                <c:pt idx="53">
                  <c:v>-0.33724216831842591</c:v>
                </c:pt>
                <c:pt idx="54">
                  <c:v>-0.49485002168009401</c:v>
                </c:pt>
                <c:pt idx="55">
                  <c:v>-0.88605664769316317</c:v>
                </c:pt>
                <c:pt idx="56">
                  <c:v>0.90145832139611237</c:v>
                </c:pt>
                <c:pt idx="57">
                  <c:v>0.66275783168157409</c:v>
                </c:pt>
                <c:pt idx="58">
                  <c:v>-0.14874165128092473</c:v>
                </c:pt>
                <c:pt idx="59">
                  <c:v>-0.65757731917779372</c:v>
                </c:pt>
                <c:pt idx="60">
                  <c:v>0.18752072083646307</c:v>
                </c:pt>
                <c:pt idx="61">
                  <c:v>-7.5720713938118356E-2</c:v>
                </c:pt>
                <c:pt idx="62">
                  <c:v>-0.769551078621726</c:v>
                </c:pt>
                <c:pt idx="63">
                  <c:v>-1.1135092748275182</c:v>
                </c:pt>
                <c:pt idx="64">
                  <c:v>0.61700034112089897</c:v>
                </c:pt>
                <c:pt idx="65">
                  <c:v>0.23044892137827391</c:v>
                </c:pt>
                <c:pt idx="66">
                  <c:v>-0.35654732351381258</c:v>
                </c:pt>
                <c:pt idx="67">
                  <c:v>-0.88605664769316317</c:v>
                </c:pt>
                <c:pt idx="68">
                  <c:v>0.91539983521226986</c:v>
                </c:pt>
                <c:pt idx="69">
                  <c:v>0.62428209583566829</c:v>
                </c:pt>
                <c:pt idx="70">
                  <c:v>-0.10237290870955855</c:v>
                </c:pt>
                <c:pt idx="71">
                  <c:v>-0.46852108295774486</c:v>
                </c:pt>
                <c:pt idx="72">
                  <c:v>0.51188336097887432</c:v>
                </c:pt>
                <c:pt idx="73">
                  <c:v>0.20682587603184974</c:v>
                </c:pt>
                <c:pt idx="74">
                  <c:v>-0.35654732351381258</c:v>
                </c:pt>
                <c:pt idx="75">
                  <c:v>-0.65757731917779372</c:v>
                </c:pt>
                <c:pt idx="76">
                  <c:v>-1.1135092748275182</c:v>
                </c:pt>
                <c:pt idx="77">
                  <c:v>2.1189299069938092E-2</c:v>
                </c:pt>
                <c:pt idx="78">
                  <c:v>-0.26760624017703144</c:v>
                </c:pt>
                <c:pt idx="79">
                  <c:v>-0.56863623584101264</c:v>
                </c:pt>
                <c:pt idx="80">
                  <c:v>-0.82390874094431876</c:v>
                </c:pt>
                <c:pt idx="81">
                  <c:v>0.90848501887864974</c:v>
                </c:pt>
                <c:pt idx="82">
                  <c:v>0.59879050676311507</c:v>
                </c:pt>
                <c:pt idx="83">
                  <c:v>-3.6212172654444715E-2</c:v>
                </c:pt>
                <c:pt idx="84">
                  <c:v>-0.45593195564972439</c:v>
                </c:pt>
                <c:pt idx="85">
                  <c:v>0.65801139665711239</c:v>
                </c:pt>
                <c:pt idx="86">
                  <c:v>0.35793484700045375</c:v>
                </c:pt>
                <c:pt idx="87">
                  <c:v>-0.32790214206428259</c:v>
                </c:pt>
                <c:pt idx="88">
                  <c:v>-0.82390874094431876</c:v>
                </c:pt>
                <c:pt idx="89">
                  <c:v>0.5158738437116791</c:v>
                </c:pt>
                <c:pt idx="90">
                  <c:v>0</c:v>
                </c:pt>
                <c:pt idx="91">
                  <c:v>-0.43179827593300502</c:v>
                </c:pt>
                <c:pt idx="92">
                  <c:v>-1.2596373105057561</c:v>
                </c:pt>
                <c:pt idx="93">
                  <c:v>1.1690863574870227</c:v>
                </c:pt>
                <c:pt idx="94">
                  <c:v>0.81822589361395548</c:v>
                </c:pt>
                <c:pt idx="95">
                  <c:v>7.554696139253074E-2</c:v>
                </c:pt>
                <c:pt idx="96">
                  <c:v>-0.45593195564972439</c:v>
                </c:pt>
                <c:pt idx="97">
                  <c:v>0.61804809671209271</c:v>
                </c:pt>
                <c:pt idx="98">
                  <c:v>0.28330122870354957</c:v>
                </c:pt>
                <c:pt idx="99">
                  <c:v>-0.30980391997148632</c:v>
                </c:pt>
                <c:pt idx="100">
                  <c:v>-0.92081875395237522</c:v>
                </c:pt>
                <c:pt idx="101">
                  <c:v>0.51188336097887432</c:v>
                </c:pt>
                <c:pt idx="102">
                  <c:v>0</c:v>
                </c:pt>
                <c:pt idx="103">
                  <c:v>-0.38721614328026455</c:v>
                </c:pt>
                <c:pt idx="104">
                  <c:v>-1.1804560644581312</c:v>
                </c:pt>
                <c:pt idx="105">
                  <c:v>1.0519239160461065</c:v>
                </c:pt>
                <c:pt idx="106">
                  <c:v>0.91115760873997664</c:v>
                </c:pt>
                <c:pt idx="107">
                  <c:v>0.10380372095595687</c:v>
                </c:pt>
                <c:pt idx="108">
                  <c:v>-0.36653154442041347</c:v>
                </c:pt>
                <c:pt idx="109">
                  <c:v>0.44560420327359757</c:v>
                </c:pt>
                <c:pt idx="110">
                  <c:v>0.11394335230683679</c:v>
                </c:pt>
                <c:pt idx="111">
                  <c:v>-0.69897000433601875</c:v>
                </c:pt>
                <c:pt idx="112">
                  <c:v>-1.1307682802690238</c:v>
                </c:pt>
                <c:pt idx="113">
                  <c:v>0.65321251377534373</c:v>
                </c:pt>
                <c:pt idx="114">
                  <c:v>0.19589965240923377</c:v>
                </c:pt>
                <c:pt idx="115">
                  <c:v>-0.30980391997148632</c:v>
                </c:pt>
                <c:pt idx="116">
                  <c:v>-1.0655015487564323</c:v>
                </c:pt>
                <c:pt idx="117">
                  <c:v>-1.4202164033831899</c:v>
                </c:pt>
                <c:pt idx="118">
                  <c:v>1.1354506993455138</c:v>
                </c:pt>
                <c:pt idx="119">
                  <c:v>0.91698004732038219</c:v>
                </c:pt>
                <c:pt idx="120">
                  <c:v>0.14612803567823801</c:v>
                </c:pt>
                <c:pt idx="121">
                  <c:v>-0.32790214206428259</c:v>
                </c:pt>
                <c:pt idx="122">
                  <c:v>0.57634135020579291</c:v>
                </c:pt>
                <c:pt idx="123">
                  <c:v>0.42651126136457523</c:v>
                </c:pt>
                <c:pt idx="124">
                  <c:v>-0.20065945054641829</c:v>
                </c:pt>
                <c:pt idx="125">
                  <c:v>-0.6777807052660807</c:v>
                </c:pt>
                <c:pt idx="126">
                  <c:v>0.70842090013471271</c:v>
                </c:pt>
                <c:pt idx="127">
                  <c:v>0.2966651902615311</c:v>
                </c:pt>
                <c:pt idx="128">
                  <c:v>-0.16115090926274472</c:v>
                </c:pt>
                <c:pt idx="129">
                  <c:v>-0.72124639904717103</c:v>
                </c:pt>
                <c:pt idx="130">
                  <c:v>-6.5501548756432285E-2</c:v>
                </c:pt>
                <c:pt idx="131">
                  <c:v>1.2964457942063963</c:v>
                </c:pt>
                <c:pt idx="132">
                  <c:v>0.91592721169711577</c:v>
                </c:pt>
                <c:pt idx="133">
                  <c:v>0.34242268082220628</c:v>
                </c:pt>
                <c:pt idx="134">
                  <c:v>-7.0581074285707285E-2</c:v>
                </c:pt>
                <c:pt idx="135">
                  <c:v>-0.63827216398240705</c:v>
                </c:pt>
                <c:pt idx="136">
                  <c:v>0.84509804001425681</c:v>
                </c:pt>
                <c:pt idx="137">
                  <c:v>0.55630250076728727</c:v>
                </c:pt>
                <c:pt idx="138">
                  <c:v>4.1392685158225077E-2</c:v>
                </c:pt>
                <c:pt idx="139">
                  <c:v>-0.3010299956639812</c:v>
                </c:pt>
                <c:pt idx="140">
                  <c:v>0.62013605497375746</c:v>
                </c:pt>
                <c:pt idx="141">
                  <c:v>0.21218760440395779</c:v>
                </c:pt>
                <c:pt idx="142">
                  <c:v>-0.29242982390206362</c:v>
                </c:pt>
                <c:pt idx="143">
                  <c:v>-0.79588001734407521</c:v>
                </c:pt>
                <c:pt idx="144">
                  <c:v>1.1473671077937864</c:v>
                </c:pt>
                <c:pt idx="145">
                  <c:v>0.49968708261840383</c:v>
                </c:pt>
                <c:pt idx="146">
                  <c:v>-2.2276394711152253E-2</c:v>
                </c:pt>
                <c:pt idx="147">
                  <c:v>-0.35654732351381258</c:v>
                </c:pt>
                <c:pt idx="148">
                  <c:v>4.1392685158225077E-2</c:v>
                </c:pt>
                <c:pt idx="149">
                  <c:v>-0.19382002601611281</c:v>
                </c:pt>
                <c:pt idx="150">
                  <c:v>-0.92081875395237522</c:v>
                </c:pt>
                <c:pt idx="151">
                  <c:v>-1.3372421683184259</c:v>
                </c:pt>
                <c:pt idx="152">
                  <c:v>0.34635297445063867</c:v>
                </c:pt>
                <c:pt idx="153">
                  <c:v>-0.13076828026902382</c:v>
                </c:pt>
                <c:pt idx="154">
                  <c:v>-0.6020599913279624</c:v>
                </c:pt>
                <c:pt idx="155">
                  <c:v>-1.2924298239020637</c:v>
                </c:pt>
                <c:pt idx="156">
                  <c:v>0.71767050300226209</c:v>
                </c:pt>
                <c:pt idx="157">
                  <c:v>0.38021124171160603</c:v>
                </c:pt>
                <c:pt idx="158">
                  <c:v>-0.28399665636520083</c:v>
                </c:pt>
                <c:pt idx="159">
                  <c:v>-0.6777807052660807</c:v>
                </c:pt>
                <c:pt idx="160">
                  <c:v>0.17026171539495738</c:v>
                </c:pt>
                <c:pt idx="161">
                  <c:v>-3.6212172654444715E-2</c:v>
                </c:pt>
                <c:pt idx="162">
                  <c:v>-0.82390874094431876</c:v>
                </c:pt>
                <c:pt idx="163">
                  <c:v>-1.3010299956639813</c:v>
                </c:pt>
                <c:pt idx="164">
                  <c:v>0.36921585741014279</c:v>
                </c:pt>
                <c:pt idx="165">
                  <c:v>0</c:v>
                </c:pt>
                <c:pt idx="166">
                  <c:v>-0.37675070960209955</c:v>
                </c:pt>
                <c:pt idx="167">
                  <c:v>-1</c:v>
                </c:pt>
                <c:pt idx="168">
                  <c:v>0.85125834871907524</c:v>
                </c:pt>
                <c:pt idx="169">
                  <c:v>0.55990662503611255</c:v>
                </c:pt>
                <c:pt idx="170">
                  <c:v>-0.13667713987954411</c:v>
                </c:pt>
                <c:pt idx="171">
                  <c:v>-0.6020599913279624</c:v>
                </c:pt>
                <c:pt idx="172">
                  <c:v>0.65513843481138212</c:v>
                </c:pt>
                <c:pt idx="173">
                  <c:v>0.44560420327359757</c:v>
                </c:pt>
                <c:pt idx="174">
                  <c:v>-0.34678748622465633</c:v>
                </c:pt>
                <c:pt idx="175">
                  <c:v>-0.79588001734407521</c:v>
                </c:pt>
                <c:pt idx="176">
                  <c:v>0.26717172840301384</c:v>
                </c:pt>
                <c:pt idx="177">
                  <c:v>-1.7728766960431602E-2</c:v>
                </c:pt>
                <c:pt idx="178">
                  <c:v>-0.37675070960209955</c:v>
                </c:pt>
                <c:pt idx="179">
                  <c:v>-0.95860731484177497</c:v>
                </c:pt>
                <c:pt idx="180">
                  <c:v>0.77815125038364363</c:v>
                </c:pt>
                <c:pt idx="181">
                  <c:v>0.48144262850230496</c:v>
                </c:pt>
                <c:pt idx="182">
                  <c:v>-0.14874165128092473</c:v>
                </c:pt>
                <c:pt idx="183">
                  <c:v>-0.55284196865778079</c:v>
                </c:pt>
                <c:pt idx="184">
                  <c:v>0.3010299956639812</c:v>
                </c:pt>
                <c:pt idx="185">
                  <c:v>0.3010299956639812</c:v>
                </c:pt>
                <c:pt idx="186">
                  <c:v>0.3010299956639812</c:v>
                </c:pt>
                <c:pt idx="187">
                  <c:v>0.3010299956639812</c:v>
                </c:pt>
                <c:pt idx="188">
                  <c:v>2.1189299069938092E-2</c:v>
                </c:pt>
                <c:pt idx="189">
                  <c:v>-0.65757731917779372</c:v>
                </c:pt>
                <c:pt idx="190">
                  <c:v>-1.2218487496163564</c:v>
                </c:pt>
                <c:pt idx="191">
                  <c:v>0.34242268082220628</c:v>
                </c:pt>
                <c:pt idx="192">
                  <c:v>0.41995574848975786</c:v>
                </c:pt>
                <c:pt idx="193">
                  <c:v>-5.0609993355087209E-2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552-4BE3-9575-A19ECDDFC98F}"/>
            </c:ext>
          </c:extLst>
        </c:ser>
        <c:ser>
          <c:idx val="3"/>
          <c:order val="3"/>
          <c:tx>
            <c:v>Buffer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Bacillus!$I$253:$I$455</c:f>
              <c:numCache>
                <c:formatCode>General</c:formatCode>
                <c:ptCount val="203"/>
                <c:pt idx="0">
                  <c:v>100</c:v>
                </c:pt>
                <c:pt idx="1">
                  <c:v>100</c:v>
                </c:pt>
                <c:pt idx="2">
                  <c:v>106</c:v>
                </c:pt>
                <c:pt idx="3">
                  <c:v>100</c:v>
                </c:pt>
                <c:pt idx="4">
                  <c:v>103</c:v>
                </c:pt>
                <c:pt idx="5">
                  <c:v>103</c:v>
                </c:pt>
                <c:pt idx="6">
                  <c:v>110</c:v>
                </c:pt>
                <c:pt idx="7">
                  <c:v>115</c:v>
                </c:pt>
                <c:pt idx="8">
                  <c:v>95</c:v>
                </c:pt>
                <c:pt idx="9">
                  <c:v>98</c:v>
                </c:pt>
                <c:pt idx="10">
                  <c:v>100</c:v>
                </c:pt>
                <c:pt idx="11">
                  <c:v>100</c:v>
                </c:pt>
                <c:pt idx="12">
                  <c:v>102</c:v>
                </c:pt>
                <c:pt idx="13">
                  <c:v>106</c:v>
                </c:pt>
                <c:pt idx="14">
                  <c:v>110</c:v>
                </c:pt>
                <c:pt idx="15">
                  <c:v>95</c:v>
                </c:pt>
                <c:pt idx="16">
                  <c:v>98</c:v>
                </c:pt>
                <c:pt idx="17">
                  <c:v>100</c:v>
                </c:pt>
                <c:pt idx="18">
                  <c:v>102</c:v>
                </c:pt>
                <c:pt idx="19">
                  <c:v>106</c:v>
                </c:pt>
                <c:pt idx="20">
                  <c:v>110</c:v>
                </c:pt>
                <c:pt idx="21">
                  <c:v>114</c:v>
                </c:pt>
                <c:pt idx="22">
                  <c:v>95</c:v>
                </c:pt>
                <c:pt idx="23">
                  <c:v>98</c:v>
                </c:pt>
                <c:pt idx="24">
                  <c:v>100</c:v>
                </c:pt>
                <c:pt idx="25">
                  <c:v>102</c:v>
                </c:pt>
                <c:pt idx="26">
                  <c:v>106</c:v>
                </c:pt>
                <c:pt idx="27">
                  <c:v>110</c:v>
                </c:pt>
                <c:pt idx="28">
                  <c:v>114</c:v>
                </c:pt>
                <c:pt idx="29">
                  <c:v>98</c:v>
                </c:pt>
                <c:pt idx="30">
                  <c:v>100</c:v>
                </c:pt>
                <c:pt idx="31">
                  <c:v>102</c:v>
                </c:pt>
                <c:pt idx="32">
                  <c:v>106</c:v>
                </c:pt>
                <c:pt idx="33">
                  <c:v>110</c:v>
                </c:pt>
                <c:pt idx="34">
                  <c:v>114</c:v>
                </c:pt>
                <c:pt idx="35">
                  <c:v>98</c:v>
                </c:pt>
                <c:pt idx="36">
                  <c:v>100</c:v>
                </c:pt>
                <c:pt idx="37">
                  <c:v>102</c:v>
                </c:pt>
                <c:pt idx="38">
                  <c:v>106</c:v>
                </c:pt>
                <c:pt idx="39">
                  <c:v>110</c:v>
                </c:pt>
                <c:pt idx="40">
                  <c:v>114</c:v>
                </c:pt>
                <c:pt idx="41">
                  <c:v>98</c:v>
                </c:pt>
                <c:pt idx="42">
                  <c:v>100</c:v>
                </c:pt>
                <c:pt idx="43">
                  <c:v>102</c:v>
                </c:pt>
                <c:pt idx="44">
                  <c:v>106</c:v>
                </c:pt>
                <c:pt idx="45">
                  <c:v>110</c:v>
                </c:pt>
                <c:pt idx="46">
                  <c:v>114</c:v>
                </c:pt>
                <c:pt idx="47">
                  <c:v>92</c:v>
                </c:pt>
                <c:pt idx="48">
                  <c:v>96</c:v>
                </c:pt>
                <c:pt idx="49">
                  <c:v>100</c:v>
                </c:pt>
                <c:pt idx="50">
                  <c:v>102</c:v>
                </c:pt>
                <c:pt idx="51">
                  <c:v>92</c:v>
                </c:pt>
                <c:pt idx="52">
                  <c:v>96</c:v>
                </c:pt>
                <c:pt idx="53">
                  <c:v>100</c:v>
                </c:pt>
                <c:pt idx="54">
                  <c:v>102</c:v>
                </c:pt>
                <c:pt idx="55">
                  <c:v>92</c:v>
                </c:pt>
                <c:pt idx="56">
                  <c:v>96</c:v>
                </c:pt>
                <c:pt idx="57">
                  <c:v>100</c:v>
                </c:pt>
                <c:pt idx="58">
                  <c:v>102</c:v>
                </c:pt>
                <c:pt idx="59">
                  <c:v>106</c:v>
                </c:pt>
                <c:pt idx="60">
                  <c:v>92</c:v>
                </c:pt>
                <c:pt idx="61">
                  <c:v>96</c:v>
                </c:pt>
                <c:pt idx="62">
                  <c:v>100</c:v>
                </c:pt>
                <c:pt idx="63">
                  <c:v>102</c:v>
                </c:pt>
                <c:pt idx="64">
                  <c:v>106</c:v>
                </c:pt>
                <c:pt idx="65">
                  <c:v>92</c:v>
                </c:pt>
                <c:pt idx="66">
                  <c:v>96</c:v>
                </c:pt>
                <c:pt idx="67">
                  <c:v>100</c:v>
                </c:pt>
                <c:pt idx="68">
                  <c:v>102</c:v>
                </c:pt>
                <c:pt idx="69">
                  <c:v>106</c:v>
                </c:pt>
                <c:pt idx="70">
                  <c:v>92</c:v>
                </c:pt>
                <c:pt idx="71">
                  <c:v>96</c:v>
                </c:pt>
                <c:pt idx="72">
                  <c:v>100</c:v>
                </c:pt>
                <c:pt idx="73">
                  <c:v>102</c:v>
                </c:pt>
                <c:pt idx="74">
                  <c:v>106</c:v>
                </c:pt>
                <c:pt idx="75">
                  <c:v>98</c:v>
                </c:pt>
                <c:pt idx="76">
                  <c:v>98</c:v>
                </c:pt>
                <c:pt idx="77">
                  <c:v>98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103</c:v>
                </c:pt>
                <c:pt idx="85">
                  <c:v>103</c:v>
                </c:pt>
                <c:pt idx="86">
                  <c:v>103</c:v>
                </c:pt>
                <c:pt idx="87">
                  <c:v>103</c:v>
                </c:pt>
                <c:pt idx="88">
                  <c:v>103</c:v>
                </c:pt>
                <c:pt idx="89">
                  <c:v>103</c:v>
                </c:pt>
                <c:pt idx="90">
                  <c:v>106</c:v>
                </c:pt>
                <c:pt idx="91">
                  <c:v>106</c:v>
                </c:pt>
                <c:pt idx="92">
                  <c:v>106</c:v>
                </c:pt>
                <c:pt idx="93">
                  <c:v>106</c:v>
                </c:pt>
                <c:pt idx="94">
                  <c:v>106</c:v>
                </c:pt>
                <c:pt idx="95">
                  <c:v>106</c:v>
                </c:pt>
                <c:pt idx="96">
                  <c:v>110</c:v>
                </c:pt>
                <c:pt idx="97">
                  <c:v>110</c:v>
                </c:pt>
                <c:pt idx="98">
                  <c:v>110</c:v>
                </c:pt>
                <c:pt idx="99">
                  <c:v>110</c:v>
                </c:pt>
                <c:pt idx="100">
                  <c:v>110</c:v>
                </c:pt>
                <c:pt idx="101">
                  <c:v>115</c:v>
                </c:pt>
                <c:pt idx="102">
                  <c:v>115</c:v>
                </c:pt>
                <c:pt idx="103">
                  <c:v>115</c:v>
                </c:pt>
                <c:pt idx="104">
                  <c:v>115</c:v>
                </c:pt>
                <c:pt idx="105">
                  <c:v>115</c:v>
                </c:pt>
                <c:pt idx="106">
                  <c:v>85</c:v>
                </c:pt>
                <c:pt idx="107">
                  <c:v>85</c:v>
                </c:pt>
                <c:pt idx="108">
                  <c:v>85</c:v>
                </c:pt>
                <c:pt idx="109">
                  <c:v>85</c:v>
                </c:pt>
                <c:pt idx="110">
                  <c:v>95</c:v>
                </c:pt>
                <c:pt idx="111">
                  <c:v>95</c:v>
                </c:pt>
                <c:pt idx="112">
                  <c:v>95</c:v>
                </c:pt>
                <c:pt idx="113">
                  <c:v>95</c:v>
                </c:pt>
                <c:pt idx="114">
                  <c:v>105</c:v>
                </c:pt>
                <c:pt idx="115">
                  <c:v>105</c:v>
                </c:pt>
                <c:pt idx="116">
                  <c:v>105</c:v>
                </c:pt>
                <c:pt idx="117">
                  <c:v>105</c:v>
                </c:pt>
                <c:pt idx="118">
                  <c:v>85</c:v>
                </c:pt>
                <c:pt idx="119">
                  <c:v>85</c:v>
                </c:pt>
                <c:pt idx="120">
                  <c:v>85</c:v>
                </c:pt>
                <c:pt idx="121">
                  <c:v>85</c:v>
                </c:pt>
                <c:pt idx="122">
                  <c:v>95</c:v>
                </c:pt>
                <c:pt idx="123">
                  <c:v>95</c:v>
                </c:pt>
                <c:pt idx="124">
                  <c:v>95</c:v>
                </c:pt>
                <c:pt idx="125">
                  <c:v>95</c:v>
                </c:pt>
                <c:pt idx="126">
                  <c:v>95</c:v>
                </c:pt>
                <c:pt idx="127">
                  <c:v>95</c:v>
                </c:pt>
                <c:pt idx="128">
                  <c:v>95</c:v>
                </c:pt>
                <c:pt idx="129">
                  <c:v>95</c:v>
                </c:pt>
                <c:pt idx="130">
                  <c:v>95</c:v>
                </c:pt>
                <c:pt idx="131">
                  <c:v>95</c:v>
                </c:pt>
                <c:pt idx="132">
                  <c:v>95</c:v>
                </c:pt>
                <c:pt idx="133">
                  <c:v>95</c:v>
                </c:pt>
                <c:pt idx="134">
                  <c:v>95</c:v>
                </c:pt>
                <c:pt idx="135">
                  <c:v>95</c:v>
                </c:pt>
                <c:pt idx="136">
                  <c:v>105</c:v>
                </c:pt>
                <c:pt idx="137">
                  <c:v>105</c:v>
                </c:pt>
                <c:pt idx="138">
                  <c:v>105</c:v>
                </c:pt>
                <c:pt idx="139">
                  <c:v>105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95</c:v>
                </c:pt>
                <c:pt idx="145">
                  <c:v>95</c:v>
                </c:pt>
                <c:pt idx="146">
                  <c:v>95</c:v>
                </c:pt>
                <c:pt idx="147">
                  <c:v>95</c:v>
                </c:pt>
                <c:pt idx="148">
                  <c:v>105</c:v>
                </c:pt>
                <c:pt idx="149">
                  <c:v>105</c:v>
                </c:pt>
                <c:pt idx="150">
                  <c:v>105</c:v>
                </c:pt>
                <c:pt idx="151">
                  <c:v>105</c:v>
                </c:pt>
                <c:pt idx="152">
                  <c:v>85</c:v>
                </c:pt>
                <c:pt idx="153">
                  <c:v>95</c:v>
                </c:pt>
                <c:pt idx="154">
                  <c:v>105</c:v>
                </c:pt>
                <c:pt idx="155">
                  <c:v>85</c:v>
                </c:pt>
                <c:pt idx="156">
                  <c:v>95</c:v>
                </c:pt>
                <c:pt idx="157">
                  <c:v>95</c:v>
                </c:pt>
                <c:pt idx="158">
                  <c:v>105</c:v>
                </c:pt>
                <c:pt idx="159">
                  <c:v>85</c:v>
                </c:pt>
                <c:pt idx="160">
                  <c:v>95</c:v>
                </c:pt>
                <c:pt idx="161">
                  <c:v>105</c:v>
                </c:pt>
                <c:pt idx="162">
                  <c:v>85</c:v>
                </c:pt>
                <c:pt idx="163">
                  <c:v>90</c:v>
                </c:pt>
                <c:pt idx="164">
                  <c:v>95</c:v>
                </c:pt>
                <c:pt idx="165">
                  <c:v>100</c:v>
                </c:pt>
                <c:pt idx="166">
                  <c:v>85</c:v>
                </c:pt>
                <c:pt idx="167">
                  <c:v>85</c:v>
                </c:pt>
                <c:pt idx="168">
                  <c:v>85</c:v>
                </c:pt>
                <c:pt idx="169">
                  <c:v>85</c:v>
                </c:pt>
                <c:pt idx="170">
                  <c:v>85</c:v>
                </c:pt>
                <c:pt idx="171">
                  <c:v>85</c:v>
                </c:pt>
                <c:pt idx="172">
                  <c:v>85</c:v>
                </c:pt>
                <c:pt idx="173">
                  <c:v>85</c:v>
                </c:pt>
                <c:pt idx="174">
                  <c:v>95</c:v>
                </c:pt>
                <c:pt idx="175">
                  <c:v>95</c:v>
                </c:pt>
                <c:pt idx="176">
                  <c:v>95</c:v>
                </c:pt>
                <c:pt idx="177">
                  <c:v>95</c:v>
                </c:pt>
                <c:pt idx="178">
                  <c:v>95</c:v>
                </c:pt>
                <c:pt idx="179">
                  <c:v>95</c:v>
                </c:pt>
                <c:pt idx="180">
                  <c:v>97.5</c:v>
                </c:pt>
                <c:pt idx="181">
                  <c:v>100</c:v>
                </c:pt>
                <c:pt idx="182">
                  <c:v>102.5</c:v>
                </c:pt>
                <c:pt idx="183">
                  <c:v>107.5</c:v>
                </c:pt>
                <c:pt idx="184">
                  <c:v>95</c:v>
                </c:pt>
                <c:pt idx="185">
                  <c:v>90</c:v>
                </c:pt>
                <c:pt idx="186">
                  <c:v>97.5</c:v>
                </c:pt>
                <c:pt idx="187">
                  <c:v>100</c:v>
                </c:pt>
                <c:pt idx="188">
                  <c:v>90</c:v>
                </c:pt>
                <c:pt idx="189">
                  <c:v>95</c:v>
                </c:pt>
                <c:pt idx="190">
                  <c:v>97.5</c:v>
                </c:pt>
                <c:pt idx="191">
                  <c:v>102.5</c:v>
                </c:pt>
                <c:pt idx="192">
                  <c:v>90</c:v>
                </c:pt>
                <c:pt idx="193">
                  <c:v>97.5</c:v>
                </c:pt>
                <c:pt idx="194">
                  <c:v>100</c:v>
                </c:pt>
                <c:pt idx="195">
                  <c:v>90</c:v>
                </c:pt>
                <c:pt idx="196">
                  <c:v>95</c:v>
                </c:pt>
                <c:pt idx="197">
                  <c:v>97.5</c:v>
                </c:pt>
                <c:pt idx="198">
                  <c:v>100</c:v>
                </c:pt>
                <c:pt idx="199">
                  <c:v>102.5</c:v>
                </c:pt>
                <c:pt idx="200">
                  <c:v>95</c:v>
                </c:pt>
                <c:pt idx="201">
                  <c:v>97.5</c:v>
                </c:pt>
                <c:pt idx="202">
                  <c:v>100</c:v>
                </c:pt>
              </c:numCache>
            </c:numRef>
          </c:xVal>
          <c:yVal>
            <c:numRef>
              <c:f>Bacillus!$L$253:$L$455</c:f>
              <c:numCache>
                <c:formatCode>0.00</c:formatCode>
                <c:ptCount val="203"/>
                <c:pt idx="0">
                  <c:v>-0.44611697335612566</c:v>
                </c:pt>
                <c:pt idx="1">
                  <c:v>-0.37468754903832607</c:v>
                </c:pt>
                <c:pt idx="2">
                  <c:v>-1.2924298239020637</c:v>
                </c:pt>
                <c:pt idx="3">
                  <c:v>0.96754797621886202</c:v>
                </c:pt>
                <c:pt idx="4">
                  <c:v>0.64738297011461976</c:v>
                </c:pt>
                <c:pt idx="5">
                  <c:v>0.66838591669000014</c:v>
                </c:pt>
                <c:pt idx="6">
                  <c:v>-0.13667713987954411</c:v>
                </c:pt>
                <c:pt idx="7">
                  <c:v>-0.6020599913279624</c:v>
                </c:pt>
                <c:pt idx="8">
                  <c:v>0.26245108973042947</c:v>
                </c:pt>
                <c:pt idx="9">
                  <c:v>-0.15490195998574319</c:v>
                </c:pt>
                <c:pt idx="10">
                  <c:v>-0.44369749923271273</c:v>
                </c:pt>
                <c:pt idx="11">
                  <c:v>-0.31875876262441277</c:v>
                </c:pt>
                <c:pt idx="12">
                  <c:v>-0.6020599913279624</c:v>
                </c:pt>
                <c:pt idx="13">
                  <c:v>-1.2218487496163564</c:v>
                </c:pt>
                <c:pt idx="14">
                  <c:v>-1.7958800173440752</c:v>
                </c:pt>
                <c:pt idx="15">
                  <c:v>0.6444385894678385</c:v>
                </c:pt>
                <c:pt idx="16">
                  <c:v>0.2528530309798932</c:v>
                </c:pt>
                <c:pt idx="17">
                  <c:v>6.445798922691845E-2</c:v>
                </c:pt>
                <c:pt idx="18">
                  <c:v>-0.16115090926274472</c:v>
                </c:pt>
                <c:pt idx="19">
                  <c:v>-0.769551078621726</c:v>
                </c:pt>
                <c:pt idx="20">
                  <c:v>-1.2924298239020637</c:v>
                </c:pt>
                <c:pt idx="21">
                  <c:v>-1.853871964321762</c:v>
                </c:pt>
                <c:pt idx="22">
                  <c:v>0.66558099101795309</c:v>
                </c:pt>
                <c:pt idx="23">
                  <c:v>0.26481782300953649</c:v>
                </c:pt>
                <c:pt idx="24">
                  <c:v>0.10037054511756291</c:v>
                </c:pt>
                <c:pt idx="25">
                  <c:v>-0.16115090926274472</c:v>
                </c:pt>
                <c:pt idx="26">
                  <c:v>-0.72124639904717103</c:v>
                </c:pt>
                <c:pt idx="27">
                  <c:v>-1.2596373105057561</c:v>
                </c:pt>
                <c:pt idx="28">
                  <c:v>-1.8239087409443189</c:v>
                </c:pt>
                <c:pt idx="29">
                  <c:v>0.59217675739586684</c:v>
                </c:pt>
                <c:pt idx="30">
                  <c:v>0.30319605742048883</c:v>
                </c:pt>
                <c:pt idx="31">
                  <c:v>8.6359830674748214E-2</c:v>
                </c:pt>
                <c:pt idx="32">
                  <c:v>-0.48148606012211248</c:v>
                </c:pt>
                <c:pt idx="33">
                  <c:v>-1.0969100130080565</c:v>
                </c:pt>
                <c:pt idx="34">
                  <c:v>-1.5686362358410126</c:v>
                </c:pt>
                <c:pt idx="35">
                  <c:v>0.98272338766854528</c:v>
                </c:pt>
                <c:pt idx="36">
                  <c:v>0.6599162000698503</c:v>
                </c:pt>
                <c:pt idx="37">
                  <c:v>0.32428245529769262</c:v>
                </c:pt>
                <c:pt idx="38">
                  <c:v>-0.25963731050575611</c:v>
                </c:pt>
                <c:pt idx="39">
                  <c:v>-0.74472749489669399</c:v>
                </c:pt>
                <c:pt idx="40">
                  <c:v>-1.2218487496163564</c:v>
                </c:pt>
                <c:pt idx="41">
                  <c:v>1.0293837776852097</c:v>
                </c:pt>
                <c:pt idx="42">
                  <c:v>0.70156798505592743</c:v>
                </c:pt>
                <c:pt idx="43">
                  <c:v>0.36735592102601899</c:v>
                </c:pt>
                <c:pt idx="44">
                  <c:v>-0.18708664335714442</c:v>
                </c:pt>
                <c:pt idx="45">
                  <c:v>-0.63827216398240705</c:v>
                </c:pt>
                <c:pt idx="46">
                  <c:v>-1.2218487496163564</c:v>
                </c:pt>
                <c:pt idx="47">
                  <c:v>-0.20065945054641829</c:v>
                </c:pt>
                <c:pt idx="48">
                  <c:v>-0.82390874094431876</c:v>
                </c:pt>
                <c:pt idx="49">
                  <c:v>-1.1870866433571443</c:v>
                </c:pt>
                <c:pt idx="50">
                  <c:v>-1.4814860601221125</c:v>
                </c:pt>
                <c:pt idx="51">
                  <c:v>-0.22184874961635639</c:v>
                </c:pt>
                <c:pt idx="52">
                  <c:v>-0.79588001734407521</c:v>
                </c:pt>
                <c:pt idx="53">
                  <c:v>-1.2076083105017461</c:v>
                </c:pt>
                <c:pt idx="54">
                  <c:v>-1.4202164033831899</c:v>
                </c:pt>
                <c:pt idx="55">
                  <c:v>0.45024910831936105</c:v>
                </c:pt>
                <c:pt idx="56">
                  <c:v>-3.6212172654444715E-2</c:v>
                </c:pt>
                <c:pt idx="57">
                  <c:v>-0.61978875828839397</c:v>
                </c:pt>
                <c:pt idx="58">
                  <c:v>-0.92081875395237522</c:v>
                </c:pt>
                <c:pt idx="59">
                  <c:v>-1.3010299956639813</c:v>
                </c:pt>
                <c:pt idx="60">
                  <c:v>0.66464197555612547</c:v>
                </c:pt>
                <c:pt idx="61">
                  <c:v>8.2785370316450071E-2</c:v>
                </c:pt>
                <c:pt idx="62">
                  <c:v>-0.45593195564972439</c:v>
                </c:pt>
                <c:pt idx="63">
                  <c:v>-0.69897000433601875</c:v>
                </c:pt>
                <c:pt idx="64">
                  <c:v>-1.2006594505464183</c:v>
                </c:pt>
                <c:pt idx="65">
                  <c:v>0.26951294421791633</c:v>
                </c:pt>
                <c:pt idx="66">
                  <c:v>-0.23657200643706275</c:v>
                </c:pt>
                <c:pt idx="67">
                  <c:v>-0.79588001734407521</c:v>
                </c:pt>
                <c:pt idx="68">
                  <c:v>-1.0457574905606752</c:v>
                </c:pt>
                <c:pt idx="69">
                  <c:v>-1.6382721639824072</c:v>
                </c:pt>
                <c:pt idx="70">
                  <c:v>6.445798922691845E-2</c:v>
                </c:pt>
                <c:pt idx="71">
                  <c:v>-0.40893539297350079</c:v>
                </c:pt>
                <c:pt idx="72">
                  <c:v>-0.92081875395237522</c:v>
                </c:pt>
                <c:pt idx="73">
                  <c:v>-1.1549019599857431</c:v>
                </c:pt>
                <c:pt idx="74">
                  <c:v>-1.7212463990471711</c:v>
                </c:pt>
                <c:pt idx="75">
                  <c:v>0.23044892137827391</c:v>
                </c:pt>
                <c:pt idx="76">
                  <c:v>0.64246452024212131</c:v>
                </c:pt>
                <c:pt idx="77">
                  <c:v>0.74663419893757876</c:v>
                </c:pt>
                <c:pt idx="78">
                  <c:v>6.445798922691845E-2</c:v>
                </c:pt>
                <c:pt idx="79">
                  <c:v>0.3344537511509309</c:v>
                </c:pt>
                <c:pt idx="80">
                  <c:v>0.55388302664387434</c:v>
                </c:pt>
                <c:pt idx="81">
                  <c:v>0.7930916001765802</c:v>
                </c:pt>
                <c:pt idx="82">
                  <c:v>0.9258275746247423</c:v>
                </c:pt>
                <c:pt idx="83">
                  <c:v>1.0038911662369105</c:v>
                </c:pt>
                <c:pt idx="84">
                  <c:v>-0.36653154442041347</c:v>
                </c:pt>
                <c:pt idx="85">
                  <c:v>-8.7739243075051505E-3</c:v>
                </c:pt>
                <c:pt idx="86">
                  <c:v>0.16136800223497488</c:v>
                </c:pt>
                <c:pt idx="87">
                  <c:v>0.49136169383427269</c:v>
                </c:pt>
                <c:pt idx="88">
                  <c:v>0.58206336291170868</c:v>
                </c:pt>
                <c:pt idx="89">
                  <c:v>0.65513843481138212</c:v>
                </c:pt>
                <c:pt idx="90">
                  <c:v>-0.72124639904717103</c:v>
                </c:pt>
                <c:pt idx="91">
                  <c:v>-0.40893539297350079</c:v>
                </c:pt>
                <c:pt idx="92">
                  <c:v>-0.26760624017703144</c:v>
                </c:pt>
                <c:pt idx="93">
                  <c:v>0.12385164096708581</c:v>
                </c:pt>
                <c:pt idx="94">
                  <c:v>0.18184358794477254</c:v>
                </c:pt>
                <c:pt idx="95">
                  <c:v>0.24054924828259971</c:v>
                </c:pt>
                <c:pt idx="96">
                  <c:v>-0.92081875395237522</c:v>
                </c:pt>
                <c:pt idx="97">
                  <c:v>-0.74472749489669399</c:v>
                </c:pt>
                <c:pt idx="98">
                  <c:v>-0.44369749923271273</c:v>
                </c:pt>
                <c:pt idx="99">
                  <c:v>-0.25963731050575611</c:v>
                </c:pt>
                <c:pt idx="100">
                  <c:v>-0.17392519729917355</c:v>
                </c:pt>
                <c:pt idx="101">
                  <c:v>-1.494850021680094</c:v>
                </c:pt>
                <c:pt idx="102">
                  <c:v>-1.431798275933005</c:v>
                </c:pt>
                <c:pt idx="103">
                  <c:v>-1.1135092748275182</c:v>
                </c:pt>
                <c:pt idx="104">
                  <c:v>-0.85387196432176193</c:v>
                </c:pt>
                <c:pt idx="105">
                  <c:v>-0.769551078621726</c:v>
                </c:pt>
                <c:pt idx="106">
                  <c:v>1.5303277897780863</c:v>
                </c:pt>
                <c:pt idx="107">
                  <c:v>1.3677844122811538</c:v>
                </c:pt>
                <c:pt idx="108">
                  <c:v>1.2118144304568184</c:v>
                </c:pt>
                <c:pt idx="109">
                  <c:v>0.98439227852426558</c:v>
                </c:pt>
                <c:pt idx="110">
                  <c:v>0.89075625191821817</c:v>
                </c:pt>
                <c:pt idx="111">
                  <c:v>0.42160392686983106</c:v>
                </c:pt>
                <c:pt idx="112">
                  <c:v>0.14891099310935643</c:v>
                </c:pt>
                <c:pt idx="113">
                  <c:v>-4.9635145623876928E-2</c:v>
                </c:pt>
                <c:pt idx="114">
                  <c:v>-0.32330639037513342</c:v>
                </c:pt>
                <c:pt idx="115">
                  <c:v>-0.65560772631488928</c:v>
                </c:pt>
                <c:pt idx="116">
                  <c:v>-0.82390874094431876</c:v>
                </c:pt>
                <c:pt idx="117">
                  <c:v>-0.88941028970075098</c:v>
                </c:pt>
                <c:pt idx="118">
                  <c:v>1.9616109080912807</c:v>
                </c:pt>
                <c:pt idx="119">
                  <c:v>1.6050355490912556</c:v>
                </c:pt>
                <c:pt idx="120">
                  <c:v>1.4848690327204024</c:v>
                </c:pt>
                <c:pt idx="121">
                  <c:v>1.2746426946993255</c:v>
                </c:pt>
                <c:pt idx="122">
                  <c:v>1.4659179532119353</c:v>
                </c:pt>
                <c:pt idx="123">
                  <c:v>1.2308064284688831</c:v>
                </c:pt>
                <c:pt idx="124">
                  <c:v>1.3592851538934703</c:v>
                </c:pt>
                <c:pt idx="125">
                  <c:v>1.1336985461157765</c:v>
                </c:pt>
                <c:pt idx="126">
                  <c:v>1.1617571952617272</c:v>
                </c:pt>
                <c:pt idx="127">
                  <c:v>0.92147838037569008</c:v>
                </c:pt>
                <c:pt idx="128">
                  <c:v>0.89938270553326505</c:v>
                </c:pt>
                <c:pt idx="129">
                  <c:v>0.88349109018893002</c:v>
                </c:pt>
                <c:pt idx="130">
                  <c:v>0.63668844795328272</c:v>
                </c:pt>
                <c:pt idx="131">
                  <c:v>0.56572978783112693</c:v>
                </c:pt>
                <c:pt idx="132">
                  <c:v>0.45453998496481873</c:v>
                </c:pt>
                <c:pt idx="133">
                  <c:v>0.40191725051757465</c:v>
                </c:pt>
                <c:pt idx="134">
                  <c:v>0.21958452621425473</c:v>
                </c:pt>
                <c:pt idx="135">
                  <c:v>0.16494737262184164</c:v>
                </c:pt>
                <c:pt idx="136">
                  <c:v>-9.2588639225413813E-2</c:v>
                </c:pt>
                <c:pt idx="137">
                  <c:v>-0.64975198166583714</c:v>
                </c:pt>
                <c:pt idx="138">
                  <c:v>-0.89962945488243706</c:v>
                </c:pt>
                <c:pt idx="139">
                  <c:v>-0.97881070093006195</c:v>
                </c:pt>
                <c:pt idx="140">
                  <c:v>1.8382759475255852</c:v>
                </c:pt>
                <c:pt idx="141">
                  <c:v>2.0117606964824608</c:v>
                </c:pt>
                <c:pt idx="142">
                  <c:v>1.8588558840430764</c:v>
                </c:pt>
                <c:pt idx="143">
                  <c:v>1.8013899880159985</c:v>
                </c:pt>
                <c:pt idx="144">
                  <c:v>1.1411988449047372</c:v>
                </c:pt>
                <c:pt idx="145">
                  <c:v>0.87477163718429829</c:v>
                </c:pt>
                <c:pt idx="146">
                  <c:v>0.69983772586724569</c:v>
                </c:pt>
                <c:pt idx="147">
                  <c:v>0.45788189673399232</c:v>
                </c:pt>
                <c:pt idx="148">
                  <c:v>0.10788802518279862</c:v>
                </c:pt>
                <c:pt idx="149">
                  <c:v>-0.34198860334288755</c:v>
                </c:pt>
                <c:pt idx="150">
                  <c:v>-0.55595520408192367</c:v>
                </c:pt>
                <c:pt idx="151">
                  <c:v>-0.71669877129645043</c:v>
                </c:pt>
                <c:pt idx="152">
                  <c:v>0.70260284134042705</c:v>
                </c:pt>
                <c:pt idx="153">
                  <c:v>-0.29157909986528724</c:v>
                </c:pt>
                <c:pt idx="154">
                  <c:v>-1.0757207139381184</c:v>
                </c:pt>
                <c:pt idx="155">
                  <c:v>1.1167737269758997</c:v>
                </c:pt>
                <c:pt idx="156">
                  <c:v>1.703333929878037E-2</c:v>
                </c:pt>
                <c:pt idx="157">
                  <c:v>-9.6611452123985687E-3</c:v>
                </c:pt>
                <c:pt idx="158">
                  <c:v>-1.031517051446065</c:v>
                </c:pt>
                <c:pt idx="159">
                  <c:v>1.8020755575242526</c:v>
                </c:pt>
                <c:pt idx="160">
                  <c:v>0.37767043933432309</c:v>
                </c:pt>
                <c:pt idx="161">
                  <c:v>-0.82102305270683062</c:v>
                </c:pt>
                <c:pt idx="162">
                  <c:v>2.3424226808222062</c:v>
                </c:pt>
                <c:pt idx="163">
                  <c:v>1.8512583487190752</c:v>
                </c:pt>
                <c:pt idx="164">
                  <c:v>1.1139433523068367</c:v>
                </c:pt>
                <c:pt idx="165">
                  <c:v>0.90308998699194354</c:v>
                </c:pt>
                <c:pt idx="166">
                  <c:v>1.8756399370041683</c:v>
                </c:pt>
                <c:pt idx="167">
                  <c:v>1.5065050324048721</c:v>
                </c:pt>
                <c:pt idx="168">
                  <c:v>1.887054378050957</c:v>
                </c:pt>
                <c:pt idx="169">
                  <c:v>1.5365584425715302</c:v>
                </c:pt>
                <c:pt idx="170">
                  <c:v>2.0253058652647704</c:v>
                </c:pt>
                <c:pt idx="171">
                  <c:v>1.6998377258672457</c:v>
                </c:pt>
                <c:pt idx="172">
                  <c:v>1.8733206018153987</c:v>
                </c:pt>
                <c:pt idx="173">
                  <c:v>1.5289167002776547</c:v>
                </c:pt>
                <c:pt idx="174">
                  <c:v>0.44715803134221921</c:v>
                </c:pt>
                <c:pt idx="175">
                  <c:v>0.53147891704225514</c:v>
                </c:pt>
                <c:pt idx="176">
                  <c:v>0.3222192947339193</c:v>
                </c:pt>
                <c:pt idx="177">
                  <c:v>0.38021124171160603</c:v>
                </c:pt>
                <c:pt idx="178">
                  <c:v>0.46239799789895608</c:v>
                </c:pt>
                <c:pt idx="179">
                  <c:v>0.47712125471966244</c:v>
                </c:pt>
                <c:pt idx="180">
                  <c:v>0.91381385238371671</c:v>
                </c:pt>
                <c:pt idx="181">
                  <c:v>0.64345267648618742</c:v>
                </c:pt>
                <c:pt idx="182">
                  <c:v>0.51851393987788741</c:v>
                </c:pt>
                <c:pt idx="183">
                  <c:v>-0.22184874961635639</c:v>
                </c:pt>
                <c:pt idx="184">
                  <c:v>0.41497334797081797</c:v>
                </c:pt>
                <c:pt idx="185">
                  <c:v>0.95424250943932487</c:v>
                </c:pt>
                <c:pt idx="186">
                  <c:v>0.17609125905568124</c:v>
                </c:pt>
                <c:pt idx="187">
                  <c:v>-4.5757490560675115E-2</c:v>
                </c:pt>
                <c:pt idx="188">
                  <c:v>1.6127838567197355</c:v>
                </c:pt>
                <c:pt idx="189">
                  <c:v>1.1335389083702174</c:v>
                </c:pt>
                <c:pt idx="190">
                  <c:v>0.97772360528884772</c:v>
                </c:pt>
                <c:pt idx="191">
                  <c:v>0.36172783601759284</c:v>
                </c:pt>
                <c:pt idx="192">
                  <c:v>1.2787536009528289</c:v>
                </c:pt>
                <c:pt idx="193">
                  <c:v>0.6020599913279624</c:v>
                </c:pt>
                <c:pt idx="194">
                  <c:v>0.34242268082220628</c:v>
                </c:pt>
                <c:pt idx="195">
                  <c:v>1.414973347970818</c:v>
                </c:pt>
                <c:pt idx="196">
                  <c:v>0.50514997831990605</c:v>
                </c:pt>
                <c:pt idx="197">
                  <c:v>0.34242268082220628</c:v>
                </c:pt>
                <c:pt idx="198">
                  <c:v>0.23044892137827391</c:v>
                </c:pt>
                <c:pt idx="199">
                  <c:v>0.11394335230683679</c:v>
                </c:pt>
                <c:pt idx="200">
                  <c:v>1.3364597338485296</c:v>
                </c:pt>
                <c:pt idx="201">
                  <c:v>1.2455126678141499</c:v>
                </c:pt>
                <c:pt idx="202">
                  <c:v>0.83884909073725533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52-4BE3-9575-A19ECDDFC98F}"/>
            </c:ext>
          </c:extLst>
        </c:ser>
        <c:ser>
          <c:idx val="7"/>
          <c:order val="4"/>
          <c:tx>
            <c:v>Unknown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9900"/>
              </a:solidFill>
              <a:ln>
                <a:solidFill>
                  <a:srgbClr val="FF9900"/>
                </a:solidFill>
                <a:prstDash val="solid"/>
              </a:ln>
            </c:spPr>
          </c:marker>
          <c:xVal>
            <c:numRef>
              <c:f>Bacillus!$I$456:$I$458</c:f>
              <c:numCache>
                <c:formatCode>General</c:formatCode>
                <c:ptCount val="3"/>
                <c:pt idx="0">
                  <c:v>102.5</c:v>
                </c:pt>
                <c:pt idx="1">
                  <c:v>104.4</c:v>
                </c:pt>
                <c:pt idx="2">
                  <c:v>104.4</c:v>
                </c:pt>
              </c:numCache>
            </c:numRef>
          </c:xVal>
          <c:yVal>
            <c:numRef>
              <c:f>Bacillus!$L$456:$L$458</c:f>
              <c:numCache>
                <c:formatCode>0.00</c:formatCode>
                <c:ptCount val="3"/>
                <c:pt idx="0">
                  <c:v>0.64345267648618742</c:v>
                </c:pt>
                <c:pt idx="1">
                  <c:v>0.16136800223497488</c:v>
                </c:pt>
                <c:pt idx="2">
                  <c:v>0.20682587603184974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52-4BE3-9575-A19ECDDFC98F}"/>
            </c:ext>
          </c:extLst>
        </c:ser>
        <c:ser>
          <c:idx val="8"/>
          <c:order val="5"/>
          <c:tx>
            <c:v>log D (model)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GraphBacillus!$A$14:$A$29</c:f>
              <c:numCache>
                <c:formatCode>General</c:formatCode>
                <c:ptCount val="16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  <c:pt idx="11">
                  <c:v>125</c:v>
                </c:pt>
                <c:pt idx="12">
                  <c:v>130</c:v>
                </c:pt>
                <c:pt idx="13">
                  <c:v>135</c:v>
                </c:pt>
                <c:pt idx="14">
                  <c:v>140</c:v>
                </c:pt>
                <c:pt idx="15">
                  <c:v>145</c:v>
                </c:pt>
              </c:numCache>
            </c:numRef>
          </c:xVal>
          <c:yVal>
            <c:numRef>
              <c:f>GraphBacillus!$B$14:$B$29</c:f>
              <c:numCache>
                <c:formatCode>0.00</c:formatCode>
                <c:ptCount val="16"/>
                <c:pt idx="0">
                  <c:v>2.5104845905033457</c:v>
                </c:pt>
                <c:pt idx="1">
                  <c:v>2.1212485562755541</c:v>
                </c:pt>
                <c:pt idx="2">
                  <c:v>1.7320125220477629</c:v>
                </c:pt>
                <c:pt idx="3">
                  <c:v>1.3427764878199717</c:v>
                </c:pt>
                <c:pt idx="4">
                  <c:v>0.95354045359218009</c:v>
                </c:pt>
                <c:pt idx="5">
                  <c:v>0.56430441936438891</c:v>
                </c:pt>
                <c:pt idx="6">
                  <c:v>0.1750683851365975</c:v>
                </c:pt>
                <c:pt idx="7">
                  <c:v>-0.2141676490911939</c:v>
                </c:pt>
                <c:pt idx="8">
                  <c:v>-0.6034036833189852</c:v>
                </c:pt>
                <c:pt idx="9">
                  <c:v>-0.99263971754677649</c:v>
                </c:pt>
                <c:pt idx="10">
                  <c:v>-1.3818757517745679</c:v>
                </c:pt>
                <c:pt idx="11">
                  <c:v>-1.7711117860023593</c:v>
                </c:pt>
                <c:pt idx="12">
                  <c:v>-2.1603478202301507</c:v>
                </c:pt>
                <c:pt idx="13">
                  <c:v>-2.5495838544579419</c:v>
                </c:pt>
                <c:pt idx="14">
                  <c:v>-2.9388198886857335</c:v>
                </c:pt>
                <c:pt idx="15">
                  <c:v>-3.3280559229135247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552-4BE3-9575-A19ECDDFC98F}"/>
            </c:ext>
          </c:extLst>
        </c:ser>
        <c:ser>
          <c:idx val="9"/>
          <c:order val="6"/>
          <c:tx>
            <c:v>95% cfi</c:v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GraphBacillus!$A$14:$A$29</c:f>
              <c:numCache>
                <c:formatCode>General</c:formatCode>
                <c:ptCount val="16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  <c:pt idx="11">
                  <c:v>125</c:v>
                </c:pt>
                <c:pt idx="12">
                  <c:v>130</c:v>
                </c:pt>
                <c:pt idx="13">
                  <c:v>135</c:v>
                </c:pt>
                <c:pt idx="14">
                  <c:v>140</c:v>
                </c:pt>
                <c:pt idx="15">
                  <c:v>145</c:v>
                </c:pt>
              </c:numCache>
            </c:numRef>
          </c:xVal>
          <c:yVal>
            <c:numRef>
              <c:f>GraphBacillus!$C$14:$C$29</c:f>
              <c:numCache>
                <c:formatCode>0.00</c:formatCode>
                <c:ptCount val="16"/>
                <c:pt idx="0">
                  <c:v>3.612322721410635</c:v>
                </c:pt>
                <c:pt idx="1">
                  <c:v>3.2230866871828434</c:v>
                </c:pt>
                <c:pt idx="2">
                  <c:v>2.8338506529550518</c:v>
                </c:pt>
                <c:pt idx="3">
                  <c:v>2.444614618727261</c:v>
                </c:pt>
                <c:pt idx="4">
                  <c:v>2.0553785844994694</c:v>
                </c:pt>
                <c:pt idx="5">
                  <c:v>1.666142550271678</c:v>
                </c:pt>
                <c:pt idx="6">
                  <c:v>1.2769065160438866</c:v>
                </c:pt>
                <c:pt idx="7">
                  <c:v>0.8876704818160952</c:v>
                </c:pt>
                <c:pt idx="8">
                  <c:v>0.49843444758830391</c:v>
                </c:pt>
                <c:pt idx="9">
                  <c:v>0.10919841336051261</c:v>
                </c:pt>
                <c:pt idx="10">
                  <c:v>-0.28003762086727879</c:v>
                </c:pt>
                <c:pt idx="11">
                  <c:v>-0.6692736550950702</c:v>
                </c:pt>
                <c:pt idx="12">
                  <c:v>-1.0585096893228616</c:v>
                </c:pt>
                <c:pt idx="13">
                  <c:v>-1.4477457235506528</c:v>
                </c:pt>
                <c:pt idx="14">
                  <c:v>-1.8369817577784444</c:v>
                </c:pt>
                <c:pt idx="15">
                  <c:v>-2.2262177920062358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552-4BE3-9575-A19ECDDFC98F}"/>
            </c:ext>
          </c:extLst>
        </c:ser>
        <c:ser>
          <c:idx val="0"/>
          <c:order val="7"/>
          <c:tx>
            <c:v>Bread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Bacillus!$I$2:$I$3</c:f>
              <c:numCache>
                <c:formatCode>General</c:formatCode>
                <c:ptCount val="2"/>
                <c:pt idx="0">
                  <c:v>95</c:v>
                </c:pt>
                <c:pt idx="1">
                  <c:v>95</c:v>
                </c:pt>
              </c:numCache>
            </c:numRef>
          </c:xVal>
          <c:yVal>
            <c:numRef>
              <c:f>Bacillus!$L$2:$L$3</c:f>
              <c:numCache>
                <c:formatCode>0.00</c:formatCode>
                <c:ptCount val="2"/>
                <c:pt idx="0">
                  <c:v>0.46239799789895608</c:v>
                </c:pt>
                <c:pt idx="1">
                  <c:v>1.5587085705331658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552-4BE3-9575-A19ECDDFC98F}"/>
            </c:ext>
          </c:extLst>
        </c:ser>
        <c:ser>
          <c:idx val="5"/>
          <c:order val="8"/>
          <c:tx>
            <c:v>Rice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Bacillus!$I$4:$I$5</c:f>
              <c:numCache>
                <c:formatCode>General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Bacillus!$L$4:$L$5</c:f>
              <c:numCache>
                <c:formatCode>0.00</c:formatCode>
                <c:ptCount val="2"/>
                <c:pt idx="0">
                  <c:v>0.79934054945358168</c:v>
                </c:pt>
                <c:pt idx="1">
                  <c:v>0.62324929039790045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552-4BE3-9575-A19ECDDFC98F}"/>
            </c:ext>
          </c:extLst>
        </c:ser>
        <c:ser>
          <c:idx val="1"/>
          <c:order val="9"/>
          <c:tx>
            <c:v>Infant formula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Bacillus!$I$9:$I$22</c:f>
              <c:numCache>
                <c:formatCode>General</c:formatCode>
                <c:ptCount val="14"/>
                <c:pt idx="0">
                  <c:v>95</c:v>
                </c:pt>
                <c:pt idx="1">
                  <c:v>90</c:v>
                </c:pt>
                <c:pt idx="2">
                  <c:v>97.5</c:v>
                </c:pt>
                <c:pt idx="3">
                  <c:v>90</c:v>
                </c:pt>
                <c:pt idx="4">
                  <c:v>95</c:v>
                </c:pt>
                <c:pt idx="5">
                  <c:v>97.5</c:v>
                </c:pt>
                <c:pt idx="6">
                  <c:v>100</c:v>
                </c:pt>
                <c:pt idx="7">
                  <c:v>90</c:v>
                </c:pt>
                <c:pt idx="8">
                  <c:v>95</c:v>
                </c:pt>
                <c:pt idx="9">
                  <c:v>97.5</c:v>
                </c:pt>
                <c:pt idx="10">
                  <c:v>100</c:v>
                </c:pt>
                <c:pt idx="11">
                  <c:v>95</c:v>
                </c:pt>
                <c:pt idx="12">
                  <c:v>97.5</c:v>
                </c:pt>
                <c:pt idx="13">
                  <c:v>100</c:v>
                </c:pt>
              </c:numCache>
            </c:numRef>
          </c:xVal>
          <c:yVal>
            <c:numRef>
              <c:f>Bacillus!$L$9:$L$22</c:f>
              <c:numCache>
                <c:formatCode>0.00</c:formatCode>
                <c:ptCount val="14"/>
                <c:pt idx="0">
                  <c:v>0.43136376415898736</c:v>
                </c:pt>
                <c:pt idx="1">
                  <c:v>1.0374264979406236</c:v>
                </c:pt>
                <c:pt idx="2">
                  <c:v>0.11394335230683679</c:v>
                </c:pt>
                <c:pt idx="3">
                  <c:v>1.6434526764861874</c:v>
                </c:pt>
                <c:pt idx="4">
                  <c:v>0.96848294855393513</c:v>
                </c:pt>
                <c:pt idx="5">
                  <c:v>0.82607480270082645</c:v>
                </c:pt>
                <c:pt idx="6">
                  <c:v>0.46239799789895608</c:v>
                </c:pt>
                <c:pt idx="7">
                  <c:v>1.3521825181113625</c:v>
                </c:pt>
                <c:pt idx="8">
                  <c:v>0.77085201164214423</c:v>
                </c:pt>
                <c:pt idx="9">
                  <c:v>0.43136376415898736</c:v>
                </c:pt>
                <c:pt idx="10">
                  <c:v>0.20411998265592479</c:v>
                </c:pt>
                <c:pt idx="11">
                  <c:v>1.1846914308175989</c:v>
                </c:pt>
                <c:pt idx="12">
                  <c:v>0.91381385238371671</c:v>
                </c:pt>
                <c:pt idx="13">
                  <c:v>0.62324929039790045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552-4BE3-9575-A19ECDDFC98F}"/>
            </c:ext>
          </c:extLst>
        </c:ser>
        <c:ser>
          <c:idx val="11"/>
          <c:order val="10"/>
          <c:tx>
            <c:v>Olive oil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99CC"/>
              </a:solidFill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Bacillus!$I$464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Ref>
              <c:f>Bacillus!$L$464</c:f>
              <c:numCache>
                <c:formatCode>0.00</c:formatCode>
                <c:ptCount val="1"/>
                <c:pt idx="0">
                  <c:v>0.69897000433601886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552-4BE3-9575-A19ECDDFC98F}"/>
            </c:ext>
          </c:extLst>
        </c:ser>
        <c:ser>
          <c:idx val="12"/>
          <c:order val="11"/>
          <c:tx>
            <c:v>Soybean oil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Bacillus!$I$465:$I$466</c:f>
              <c:numCache>
                <c:formatCode>General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Bacillus!$L$465:$L$466</c:f>
              <c:numCache>
                <c:formatCode>0.00</c:formatCode>
                <c:ptCount val="2"/>
                <c:pt idx="0">
                  <c:v>0.43136376415898736</c:v>
                </c:pt>
                <c:pt idx="1">
                  <c:v>0.49136169383427269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552-4BE3-9575-A19ECDDFC98F}"/>
            </c:ext>
          </c:extLst>
        </c:ser>
        <c:ser>
          <c:idx val="4"/>
          <c:order val="12"/>
          <c:tx>
            <c:v>Pumpkin pie (food isolate)</c:v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Bacillus!$I$459:$I$461</c:f>
              <c:numCache>
                <c:formatCode>General</c:formatCode>
                <c:ptCount val="3"/>
                <c:pt idx="0">
                  <c:v>110</c:v>
                </c:pt>
                <c:pt idx="1">
                  <c:v>110</c:v>
                </c:pt>
                <c:pt idx="2">
                  <c:v>115.6</c:v>
                </c:pt>
              </c:numCache>
            </c:numRef>
          </c:xVal>
          <c:yVal>
            <c:numRef>
              <c:f>Bacillus!$L$459:$L$461</c:f>
              <c:numCache>
                <c:formatCode>0.00</c:formatCode>
                <c:ptCount val="3"/>
                <c:pt idx="0">
                  <c:v>-0.27572413039921095</c:v>
                </c:pt>
                <c:pt idx="1">
                  <c:v>-0.28399665636520083</c:v>
                </c:pt>
                <c:pt idx="2">
                  <c:v>-0.88605664769316317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552-4BE3-9575-A19ECDDFC98F}"/>
            </c:ext>
          </c:extLst>
        </c:ser>
        <c:ser>
          <c:idx val="16"/>
          <c:order val="13"/>
          <c:tx>
            <c:v>log D (strain 1/9818)</c:v>
          </c:tx>
          <c:spPr>
            <a:ln w="254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GraphBacillus!$A$14:$A$29</c:f>
              <c:numCache>
                <c:formatCode>General</c:formatCode>
                <c:ptCount val="16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  <c:pt idx="11">
                  <c:v>125</c:v>
                </c:pt>
                <c:pt idx="12">
                  <c:v>130</c:v>
                </c:pt>
                <c:pt idx="13">
                  <c:v>135</c:v>
                </c:pt>
                <c:pt idx="14">
                  <c:v>140</c:v>
                </c:pt>
                <c:pt idx="15">
                  <c:v>145</c:v>
                </c:pt>
              </c:numCache>
            </c:numRef>
          </c:xVal>
          <c:yVal>
            <c:numRef>
              <c:f>GraphBacillus!$E$14:$E$29</c:f>
              <c:numCache>
                <c:formatCode>0.00</c:formatCode>
                <c:ptCount val="16"/>
                <c:pt idx="0">
                  <c:v>4.6754643024973941</c:v>
                </c:pt>
                <c:pt idx="1">
                  <c:v>4.260739260885126</c:v>
                </c:pt>
                <c:pt idx="2">
                  <c:v>3.8460142192728566</c:v>
                </c:pt>
                <c:pt idx="3">
                  <c:v>3.4312891776605876</c:v>
                </c:pt>
                <c:pt idx="4">
                  <c:v>3.0165641360483191</c:v>
                </c:pt>
                <c:pt idx="5">
                  <c:v>2.6018390944360501</c:v>
                </c:pt>
                <c:pt idx="6">
                  <c:v>2.1871140528237811</c:v>
                </c:pt>
                <c:pt idx="7">
                  <c:v>1.7723890112115126</c:v>
                </c:pt>
                <c:pt idx="8">
                  <c:v>1.3576639695992436</c:v>
                </c:pt>
                <c:pt idx="9">
                  <c:v>0.94293892798697487</c:v>
                </c:pt>
                <c:pt idx="10">
                  <c:v>0.52821388637470612</c:v>
                </c:pt>
                <c:pt idx="11">
                  <c:v>0.11348884476243731</c:v>
                </c:pt>
                <c:pt idx="12">
                  <c:v>-0.30123619684983149</c:v>
                </c:pt>
                <c:pt idx="13">
                  <c:v>-0.71596123846210036</c:v>
                </c:pt>
                <c:pt idx="14">
                  <c:v>-1.1306862800743691</c:v>
                </c:pt>
                <c:pt idx="15">
                  <c:v>-1.5454113216866379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552-4BE3-9575-A19ECDDFC98F}"/>
            </c:ext>
          </c:extLst>
        </c:ser>
        <c:ser>
          <c:idx val="17"/>
          <c:order val="14"/>
          <c:tx>
            <c:v>log D 95% CI (strain 1/9818)</c:v>
          </c:tx>
          <c:spPr>
            <a:ln w="25400">
              <a:solidFill>
                <a:srgbClr val="CC99FF"/>
              </a:solidFill>
              <a:prstDash val="lgDash"/>
            </a:ln>
          </c:spPr>
          <c:marker>
            <c:symbol val="none"/>
          </c:marker>
          <c:xVal>
            <c:numRef>
              <c:f>GraphBacillus!$A$14:$A$29</c:f>
              <c:numCache>
                <c:formatCode>General</c:formatCode>
                <c:ptCount val="16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  <c:pt idx="11">
                  <c:v>125</c:v>
                </c:pt>
                <c:pt idx="12">
                  <c:v>130</c:v>
                </c:pt>
                <c:pt idx="13">
                  <c:v>135</c:v>
                </c:pt>
                <c:pt idx="14">
                  <c:v>140</c:v>
                </c:pt>
                <c:pt idx="15">
                  <c:v>145</c:v>
                </c:pt>
              </c:numCache>
            </c:numRef>
          </c:xVal>
          <c:yVal>
            <c:numRef>
              <c:f>GraphBacillus!$F$14:$F$29</c:f>
              <c:numCache>
                <c:formatCode>0.00</c:formatCode>
                <c:ptCount val="16"/>
                <c:pt idx="0">
                  <c:v>5.688143389696152</c:v>
                </c:pt>
                <c:pt idx="1">
                  <c:v>5.2734183480838839</c:v>
                </c:pt>
                <c:pt idx="2">
                  <c:v>4.8586933064716149</c:v>
                </c:pt>
                <c:pt idx="3">
                  <c:v>4.4439682648593459</c:v>
                </c:pt>
                <c:pt idx="4">
                  <c:v>4.029243223247077</c:v>
                </c:pt>
                <c:pt idx="5">
                  <c:v>3.614518181634808</c:v>
                </c:pt>
                <c:pt idx="6">
                  <c:v>3.199793140022539</c:v>
                </c:pt>
                <c:pt idx="7">
                  <c:v>2.7850680984102709</c:v>
                </c:pt>
                <c:pt idx="8">
                  <c:v>2.3703430567980019</c:v>
                </c:pt>
                <c:pt idx="9">
                  <c:v>1.955618015185733</c:v>
                </c:pt>
                <c:pt idx="10">
                  <c:v>1.5408929735734642</c:v>
                </c:pt>
                <c:pt idx="11">
                  <c:v>1.1261679319611955</c:v>
                </c:pt>
                <c:pt idx="12">
                  <c:v>0.7114428903489266</c:v>
                </c:pt>
                <c:pt idx="13">
                  <c:v>0.29671784873665774</c:v>
                </c:pt>
                <c:pt idx="14">
                  <c:v>-0.11800719287561101</c:v>
                </c:pt>
                <c:pt idx="15">
                  <c:v>-0.53273223448787976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552-4BE3-9575-A19ECDDFC98F}"/>
            </c:ext>
          </c:extLst>
        </c:ser>
        <c:ser>
          <c:idx val="13"/>
          <c:order val="15"/>
          <c:tx>
            <c:v>heat resistant strain</c:v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FF99CC"/>
                </a:solidFill>
                <a:prstDash val="solid"/>
              </a:ln>
            </c:spPr>
          </c:marker>
          <c:xVal>
            <c:numRef>
              <c:f>Bacillus!$I$462:$I$481</c:f>
              <c:numCache>
                <c:formatCode>General</c:formatCode>
                <c:ptCount val="20"/>
                <c:pt idx="0">
                  <c:v>115.6</c:v>
                </c:pt>
                <c:pt idx="1">
                  <c:v>121.1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6">
                  <c:v>100</c:v>
                </c:pt>
                <c:pt idx="7">
                  <c:v>108</c:v>
                </c:pt>
                <c:pt idx="8">
                  <c:v>124</c:v>
                </c:pt>
                <c:pt idx="9">
                  <c:v>103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115.6</c:v>
                </c:pt>
                <c:pt idx="15">
                  <c:v>115.6</c:v>
                </c:pt>
                <c:pt idx="16">
                  <c:v>121.1</c:v>
                </c:pt>
                <c:pt idx="17">
                  <c:v>121.1</c:v>
                </c:pt>
                <c:pt idx="18">
                  <c:v>126.7</c:v>
                </c:pt>
                <c:pt idx="19">
                  <c:v>126.7</c:v>
                </c:pt>
              </c:numCache>
            </c:numRef>
          </c:xVal>
          <c:yVal>
            <c:numRef>
              <c:f>Bacillus!$L$462:$L$481</c:f>
              <c:numCache>
                <c:formatCode>0.00</c:formatCode>
                <c:ptCount val="20"/>
                <c:pt idx="0">
                  <c:v>-0.85387196432176193</c:v>
                </c:pt>
                <c:pt idx="1">
                  <c:v>-1.5228787452803376</c:v>
                </c:pt>
                <c:pt idx="2">
                  <c:v>0.69897000433601886</c:v>
                </c:pt>
                <c:pt idx="3">
                  <c:v>0.43136376415898736</c:v>
                </c:pt>
                <c:pt idx="4">
                  <c:v>0.49136169383427269</c:v>
                </c:pt>
                <c:pt idx="6">
                  <c:v>1.6020599913279623</c:v>
                </c:pt>
                <c:pt idx="7">
                  <c:v>1.0211892990699381</c:v>
                </c:pt>
                <c:pt idx="8">
                  <c:v>0.84509804001425681</c:v>
                </c:pt>
                <c:pt idx="9">
                  <c:v>2.0043213737826426</c:v>
                </c:pt>
                <c:pt idx="10">
                  <c:v>1.3692158574101427</c:v>
                </c:pt>
                <c:pt idx="11">
                  <c:v>0.95760728706009524</c:v>
                </c:pt>
                <c:pt idx="12">
                  <c:v>0.45484486000851021</c:v>
                </c:pt>
                <c:pt idx="13">
                  <c:v>-0.20065945054641829</c:v>
                </c:pt>
                <c:pt idx="14">
                  <c:v>1.0526939419249679</c:v>
                </c:pt>
                <c:pt idx="15">
                  <c:v>1.0584260244570054</c:v>
                </c:pt>
                <c:pt idx="16">
                  <c:v>0.36548798489089962</c:v>
                </c:pt>
                <c:pt idx="17">
                  <c:v>0.37474834601010387</c:v>
                </c:pt>
                <c:pt idx="18">
                  <c:v>-0.53760200210104392</c:v>
                </c:pt>
                <c:pt idx="19">
                  <c:v>-0.50863830616572736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552-4BE3-9575-A19ECDDFC98F}"/>
            </c:ext>
          </c:extLst>
        </c:ser>
        <c:ser>
          <c:idx val="14"/>
          <c:order val="16"/>
          <c:tx>
            <c:v>glycerol (7.7M) strain 9818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C99FF"/>
              </a:solidFill>
              <a:ln>
                <a:solidFill>
                  <a:srgbClr val="CC99FF"/>
                </a:solidFill>
                <a:prstDash val="solid"/>
              </a:ln>
            </c:spPr>
          </c:marker>
          <c:xVal>
            <c:numRef>
              <c:f>Bacillus!$I$464:$I$470</c:f>
              <c:numCache>
                <c:formatCode>General</c:formatCode>
                <c:ptCount val="7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4">
                  <c:v>100</c:v>
                </c:pt>
                <c:pt idx="5">
                  <c:v>108</c:v>
                </c:pt>
                <c:pt idx="6">
                  <c:v>124</c:v>
                </c:pt>
              </c:numCache>
            </c:numRef>
          </c:xVal>
          <c:yVal>
            <c:numRef>
              <c:f>Bacillus!$L$464:$L$470</c:f>
              <c:numCache>
                <c:formatCode>0.00</c:formatCode>
                <c:ptCount val="7"/>
                <c:pt idx="0">
                  <c:v>0.69897000433601886</c:v>
                </c:pt>
                <c:pt idx="1">
                  <c:v>0.43136376415898736</c:v>
                </c:pt>
                <c:pt idx="2">
                  <c:v>0.49136169383427269</c:v>
                </c:pt>
                <c:pt idx="4">
                  <c:v>1.6020599913279623</c:v>
                </c:pt>
                <c:pt idx="5">
                  <c:v>1.0211892990699381</c:v>
                </c:pt>
                <c:pt idx="6">
                  <c:v>0.84509804001425681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552-4BE3-9575-A19ECDDFC9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54176"/>
        <c:axId val="1"/>
      </c:scatterChart>
      <c:valAx>
        <c:axId val="486754176"/>
        <c:scaling>
          <c:orientation val="minMax"/>
          <c:max val="130"/>
          <c:min val="80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1825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T (</a:t>
                </a:r>
                <a:r>
                  <a:rPr lang="nl-NL" sz="1825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°</a:t>
                </a:r>
                <a:r>
                  <a:rPr lang="nl-NL" sz="1825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C)</a:t>
                </a:r>
              </a:p>
            </c:rich>
          </c:tx>
          <c:layout>
            <c:manualLayout>
              <c:xMode val="edge"/>
              <c:yMode val="edge"/>
              <c:x val="0.34141223390279585"/>
              <c:y val="0.9019624311666922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3"/>
          <c:min val="-2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Log D (log min)</a:t>
                </a:r>
              </a:p>
            </c:rich>
          </c:tx>
          <c:layout>
            <c:manualLayout>
              <c:xMode val="edge"/>
              <c:yMode val="edge"/>
              <c:x val="5.268703898840885E-3"/>
              <c:y val="0.258823941125006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867541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8925228656217761"/>
          <c:y val="0.19607884308579074"/>
          <c:w val="0.20231834034444329"/>
          <c:h val="0.6823541763161957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Strains</a:t>
            </a:r>
          </a:p>
        </c:rich>
      </c:tx>
      <c:layout>
        <c:manualLayout>
          <c:xMode val="edge"/>
          <c:yMode val="edge"/>
          <c:x val="0.45268171920150357"/>
          <c:y val="3.536977491961414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82650984149331"/>
          <c:y val="0.15755627009646303"/>
          <c:w val="0.68612040223931803"/>
          <c:h val="0.6688102893890675"/>
        </c:manualLayout>
      </c:layout>
      <c:scatterChart>
        <c:scatterStyle val="lineMarker"/>
        <c:varyColors val="0"/>
        <c:ser>
          <c:idx val="5"/>
          <c:order val="0"/>
          <c:tx>
            <c:v>7004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Bacillus!$I$108:$I$204</c:f>
              <c:numCache>
                <c:formatCode>General</c:formatCode>
                <c:ptCount val="97"/>
                <c:pt idx="0">
                  <c:v>106</c:v>
                </c:pt>
                <c:pt idx="1">
                  <c:v>110</c:v>
                </c:pt>
                <c:pt idx="2">
                  <c:v>92</c:v>
                </c:pt>
                <c:pt idx="3">
                  <c:v>96</c:v>
                </c:pt>
                <c:pt idx="4">
                  <c:v>100</c:v>
                </c:pt>
                <c:pt idx="5">
                  <c:v>103</c:v>
                </c:pt>
                <c:pt idx="6">
                  <c:v>106</c:v>
                </c:pt>
                <c:pt idx="7">
                  <c:v>100</c:v>
                </c:pt>
                <c:pt idx="8">
                  <c:v>103</c:v>
                </c:pt>
                <c:pt idx="9">
                  <c:v>110</c:v>
                </c:pt>
                <c:pt idx="10">
                  <c:v>115</c:v>
                </c:pt>
                <c:pt idx="11">
                  <c:v>98</c:v>
                </c:pt>
                <c:pt idx="12">
                  <c:v>100</c:v>
                </c:pt>
                <c:pt idx="13">
                  <c:v>106</c:v>
                </c:pt>
                <c:pt idx="14">
                  <c:v>110</c:v>
                </c:pt>
                <c:pt idx="15">
                  <c:v>92</c:v>
                </c:pt>
                <c:pt idx="16">
                  <c:v>96</c:v>
                </c:pt>
                <c:pt idx="17">
                  <c:v>100</c:v>
                </c:pt>
                <c:pt idx="18">
                  <c:v>106</c:v>
                </c:pt>
                <c:pt idx="19">
                  <c:v>100</c:v>
                </c:pt>
                <c:pt idx="20">
                  <c:v>103</c:v>
                </c:pt>
                <c:pt idx="21">
                  <c:v>110</c:v>
                </c:pt>
                <c:pt idx="22">
                  <c:v>115</c:v>
                </c:pt>
                <c:pt idx="23">
                  <c:v>98</c:v>
                </c:pt>
                <c:pt idx="24">
                  <c:v>100</c:v>
                </c:pt>
                <c:pt idx="25">
                  <c:v>106</c:v>
                </c:pt>
                <c:pt idx="26">
                  <c:v>110</c:v>
                </c:pt>
                <c:pt idx="27">
                  <c:v>115</c:v>
                </c:pt>
                <c:pt idx="28">
                  <c:v>96</c:v>
                </c:pt>
                <c:pt idx="29">
                  <c:v>100</c:v>
                </c:pt>
                <c:pt idx="30">
                  <c:v>103</c:v>
                </c:pt>
                <c:pt idx="31">
                  <c:v>106</c:v>
                </c:pt>
                <c:pt idx="32">
                  <c:v>100</c:v>
                </c:pt>
                <c:pt idx="33">
                  <c:v>103</c:v>
                </c:pt>
                <c:pt idx="34">
                  <c:v>110</c:v>
                </c:pt>
                <c:pt idx="35">
                  <c:v>115</c:v>
                </c:pt>
                <c:pt idx="36">
                  <c:v>98</c:v>
                </c:pt>
                <c:pt idx="37">
                  <c:v>100</c:v>
                </c:pt>
                <c:pt idx="38">
                  <c:v>106</c:v>
                </c:pt>
                <c:pt idx="39">
                  <c:v>110</c:v>
                </c:pt>
                <c:pt idx="40">
                  <c:v>92</c:v>
                </c:pt>
                <c:pt idx="41">
                  <c:v>96</c:v>
                </c:pt>
                <c:pt idx="42">
                  <c:v>100</c:v>
                </c:pt>
                <c:pt idx="43">
                  <c:v>106</c:v>
                </c:pt>
                <c:pt idx="44">
                  <c:v>100</c:v>
                </c:pt>
                <c:pt idx="45">
                  <c:v>103</c:v>
                </c:pt>
                <c:pt idx="46">
                  <c:v>110</c:v>
                </c:pt>
                <c:pt idx="47">
                  <c:v>115</c:v>
                </c:pt>
                <c:pt idx="48">
                  <c:v>98</c:v>
                </c:pt>
                <c:pt idx="49">
                  <c:v>100</c:v>
                </c:pt>
                <c:pt idx="50">
                  <c:v>106</c:v>
                </c:pt>
                <c:pt idx="51">
                  <c:v>110</c:v>
                </c:pt>
                <c:pt idx="52">
                  <c:v>92</c:v>
                </c:pt>
                <c:pt idx="53">
                  <c:v>96</c:v>
                </c:pt>
                <c:pt idx="54">
                  <c:v>100</c:v>
                </c:pt>
                <c:pt idx="55">
                  <c:v>106</c:v>
                </c:pt>
                <c:pt idx="56">
                  <c:v>100</c:v>
                </c:pt>
                <c:pt idx="57">
                  <c:v>103</c:v>
                </c:pt>
                <c:pt idx="58">
                  <c:v>110</c:v>
                </c:pt>
                <c:pt idx="59">
                  <c:v>115</c:v>
                </c:pt>
                <c:pt idx="60">
                  <c:v>98</c:v>
                </c:pt>
                <c:pt idx="61">
                  <c:v>100</c:v>
                </c:pt>
                <c:pt idx="62">
                  <c:v>106</c:v>
                </c:pt>
                <c:pt idx="63">
                  <c:v>110</c:v>
                </c:pt>
                <c:pt idx="64">
                  <c:v>92</c:v>
                </c:pt>
                <c:pt idx="65">
                  <c:v>96</c:v>
                </c:pt>
                <c:pt idx="66">
                  <c:v>100</c:v>
                </c:pt>
                <c:pt idx="67">
                  <c:v>106</c:v>
                </c:pt>
                <c:pt idx="68">
                  <c:v>110</c:v>
                </c:pt>
                <c:pt idx="69">
                  <c:v>100</c:v>
                </c:pt>
                <c:pt idx="70">
                  <c:v>103</c:v>
                </c:pt>
                <c:pt idx="71">
                  <c:v>110</c:v>
                </c:pt>
                <c:pt idx="72">
                  <c:v>115</c:v>
                </c:pt>
                <c:pt idx="73">
                  <c:v>98</c:v>
                </c:pt>
                <c:pt idx="74">
                  <c:v>100</c:v>
                </c:pt>
                <c:pt idx="75">
                  <c:v>106</c:v>
                </c:pt>
                <c:pt idx="76">
                  <c:v>110</c:v>
                </c:pt>
                <c:pt idx="77">
                  <c:v>92</c:v>
                </c:pt>
                <c:pt idx="78">
                  <c:v>96</c:v>
                </c:pt>
                <c:pt idx="79">
                  <c:v>100</c:v>
                </c:pt>
                <c:pt idx="80">
                  <c:v>106</c:v>
                </c:pt>
                <c:pt idx="81">
                  <c:v>110</c:v>
                </c:pt>
                <c:pt idx="82">
                  <c:v>100</c:v>
                </c:pt>
                <c:pt idx="83">
                  <c:v>103</c:v>
                </c:pt>
                <c:pt idx="84">
                  <c:v>110</c:v>
                </c:pt>
                <c:pt idx="85">
                  <c:v>115</c:v>
                </c:pt>
                <c:pt idx="86">
                  <c:v>120</c:v>
                </c:pt>
                <c:pt idx="87">
                  <c:v>98</c:v>
                </c:pt>
                <c:pt idx="88">
                  <c:v>100</c:v>
                </c:pt>
                <c:pt idx="89">
                  <c:v>106</c:v>
                </c:pt>
                <c:pt idx="90">
                  <c:v>110</c:v>
                </c:pt>
                <c:pt idx="91">
                  <c:v>96</c:v>
                </c:pt>
                <c:pt idx="92">
                  <c:v>100</c:v>
                </c:pt>
                <c:pt idx="93">
                  <c:v>106</c:v>
                </c:pt>
                <c:pt idx="94">
                  <c:v>110</c:v>
                </c:pt>
                <c:pt idx="95">
                  <c:v>103</c:v>
                </c:pt>
                <c:pt idx="96">
                  <c:v>110</c:v>
                </c:pt>
              </c:numCache>
            </c:numRef>
          </c:xVal>
          <c:yVal>
            <c:numRef>
              <c:f>Bacillus!$L$108:$L$204</c:f>
              <c:numCache>
                <c:formatCode>0.00</c:formatCode>
                <c:ptCount val="97"/>
                <c:pt idx="0">
                  <c:v>-0.74472749489669399</c:v>
                </c:pt>
                <c:pt idx="1">
                  <c:v>-1.1674910872937636</c:v>
                </c:pt>
                <c:pt idx="2">
                  <c:v>0.64048143697042181</c:v>
                </c:pt>
                <c:pt idx="3">
                  <c:v>0.30963016742589877</c:v>
                </c:pt>
                <c:pt idx="4">
                  <c:v>-0.33724216831842591</c:v>
                </c:pt>
                <c:pt idx="5">
                  <c:v>-0.49485002168009401</c:v>
                </c:pt>
                <c:pt idx="6">
                  <c:v>-0.88605664769316317</c:v>
                </c:pt>
                <c:pt idx="7">
                  <c:v>0.90145832139611237</c:v>
                </c:pt>
                <c:pt idx="8">
                  <c:v>0.66275783168157409</c:v>
                </c:pt>
                <c:pt idx="9">
                  <c:v>-0.14874165128092473</c:v>
                </c:pt>
                <c:pt idx="10">
                  <c:v>-0.65757731917779372</c:v>
                </c:pt>
                <c:pt idx="11">
                  <c:v>0.18752072083646307</c:v>
                </c:pt>
                <c:pt idx="12">
                  <c:v>-7.5720713938118356E-2</c:v>
                </c:pt>
                <c:pt idx="13">
                  <c:v>-0.769551078621726</c:v>
                </c:pt>
                <c:pt idx="14">
                  <c:v>-1.1135092748275182</c:v>
                </c:pt>
                <c:pt idx="15">
                  <c:v>0.61700034112089897</c:v>
                </c:pt>
                <c:pt idx="16">
                  <c:v>0.23044892137827391</c:v>
                </c:pt>
                <c:pt idx="17">
                  <c:v>-0.35654732351381258</c:v>
                </c:pt>
                <c:pt idx="18">
                  <c:v>-0.88605664769316317</c:v>
                </c:pt>
                <c:pt idx="19">
                  <c:v>0.91539983521226986</c:v>
                </c:pt>
                <c:pt idx="20">
                  <c:v>0.62428209583566829</c:v>
                </c:pt>
                <c:pt idx="21">
                  <c:v>-0.10237290870955855</c:v>
                </c:pt>
                <c:pt idx="22">
                  <c:v>-0.46852108295774486</c:v>
                </c:pt>
                <c:pt idx="23">
                  <c:v>0.51188336097887432</c:v>
                </c:pt>
                <c:pt idx="24">
                  <c:v>0.20682587603184974</c:v>
                </c:pt>
                <c:pt idx="25">
                  <c:v>-0.35654732351381258</c:v>
                </c:pt>
                <c:pt idx="26">
                  <c:v>-0.65757731917779372</c:v>
                </c:pt>
                <c:pt idx="27">
                  <c:v>-1.1135092748275182</c:v>
                </c:pt>
                <c:pt idx="28">
                  <c:v>2.1189299069938092E-2</c:v>
                </c:pt>
                <c:pt idx="29">
                  <c:v>-0.26760624017703144</c:v>
                </c:pt>
                <c:pt idx="30">
                  <c:v>-0.56863623584101264</c:v>
                </c:pt>
                <c:pt idx="31">
                  <c:v>-0.82390874094431876</c:v>
                </c:pt>
                <c:pt idx="32">
                  <c:v>0.90848501887864974</c:v>
                </c:pt>
                <c:pt idx="33">
                  <c:v>0.59879050676311507</c:v>
                </c:pt>
                <c:pt idx="34">
                  <c:v>-3.6212172654444715E-2</c:v>
                </c:pt>
                <c:pt idx="35">
                  <c:v>-0.45593195564972439</c:v>
                </c:pt>
                <c:pt idx="36">
                  <c:v>0.65801139665711239</c:v>
                </c:pt>
                <c:pt idx="37">
                  <c:v>0.35793484700045375</c:v>
                </c:pt>
                <c:pt idx="38">
                  <c:v>-0.32790214206428259</c:v>
                </c:pt>
                <c:pt idx="39">
                  <c:v>-0.82390874094431876</c:v>
                </c:pt>
                <c:pt idx="40">
                  <c:v>0.5158738437116791</c:v>
                </c:pt>
                <c:pt idx="41">
                  <c:v>0</c:v>
                </c:pt>
                <c:pt idx="42">
                  <c:v>-0.43179827593300502</c:v>
                </c:pt>
                <c:pt idx="43">
                  <c:v>-1.2596373105057561</c:v>
                </c:pt>
                <c:pt idx="44">
                  <c:v>1.1690863574870227</c:v>
                </c:pt>
                <c:pt idx="45">
                  <c:v>0.81822589361395548</c:v>
                </c:pt>
                <c:pt idx="46">
                  <c:v>7.554696139253074E-2</c:v>
                </c:pt>
                <c:pt idx="47">
                  <c:v>-0.45593195564972439</c:v>
                </c:pt>
                <c:pt idx="48">
                  <c:v>0.61804809671209271</c:v>
                </c:pt>
                <c:pt idx="49">
                  <c:v>0.28330122870354957</c:v>
                </c:pt>
                <c:pt idx="50">
                  <c:v>-0.30980391997148632</c:v>
                </c:pt>
                <c:pt idx="51">
                  <c:v>-0.92081875395237522</c:v>
                </c:pt>
                <c:pt idx="52">
                  <c:v>0.51188336097887432</c:v>
                </c:pt>
                <c:pt idx="53">
                  <c:v>0</c:v>
                </c:pt>
                <c:pt idx="54">
                  <c:v>-0.38721614328026455</c:v>
                </c:pt>
                <c:pt idx="55">
                  <c:v>-1.1804560644581312</c:v>
                </c:pt>
                <c:pt idx="56">
                  <c:v>1.0519239160461065</c:v>
                </c:pt>
                <c:pt idx="57">
                  <c:v>0.91115760873997664</c:v>
                </c:pt>
                <c:pt idx="58">
                  <c:v>0.10380372095595687</c:v>
                </c:pt>
                <c:pt idx="59">
                  <c:v>-0.36653154442041347</c:v>
                </c:pt>
                <c:pt idx="60">
                  <c:v>0.44560420327359757</c:v>
                </c:pt>
                <c:pt idx="61">
                  <c:v>0.11394335230683679</c:v>
                </c:pt>
                <c:pt idx="62">
                  <c:v>-0.69897000433601875</c:v>
                </c:pt>
                <c:pt idx="63">
                  <c:v>-1.1307682802690238</c:v>
                </c:pt>
                <c:pt idx="64">
                  <c:v>0.65321251377534373</c:v>
                </c:pt>
                <c:pt idx="65">
                  <c:v>0.19589965240923377</c:v>
                </c:pt>
                <c:pt idx="66">
                  <c:v>-0.30980391997148632</c:v>
                </c:pt>
                <c:pt idx="67">
                  <c:v>-1.0655015487564323</c:v>
                </c:pt>
                <c:pt idx="68">
                  <c:v>-1.4202164033831899</c:v>
                </c:pt>
                <c:pt idx="69">
                  <c:v>1.1354506993455138</c:v>
                </c:pt>
                <c:pt idx="70">
                  <c:v>0.91698004732038219</c:v>
                </c:pt>
                <c:pt idx="71">
                  <c:v>0.14612803567823801</c:v>
                </c:pt>
                <c:pt idx="72">
                  <c:v>-0.32790214206428259</c:v>
                </c:pt>
                <c:pt idx="73">
                  <c:v>0.57634135020579291</c:v>
                </c:pt>
                <c:pt idx="74">
                  <c:v>0.42651126136457523</c:v>
                </c:pt>
                <c:pt idx="75">
                  <c:v>-0.20065945054641829</c:v>
                </c:pt>
                <c:pt idx="76">
                  <c:v>-0.6777807052660807</c:v>
                </c:pt>
                <c:pt idx="77">
                  <c:v>0.70842090013471271</c:v>
                </c:pt>
                <c:pt idx="78">
                  <c:v>0.2966651902615311</c:v>
                </c:pt>
                <c:pt idx="79">
                  <c:v>-0.16115090926274472</c:v>
                </c:pt>
                <c:pt idx="80">
                  <c:v>-0.72124639904717103</c:v>
                </c:pt>
                <c:pt idx="81">
                  <c:v>-6.5501548756432285E-2</c:v>
                </c:pt>
                <c:pt idx="82">
                  <c:v>1.2964457942063963</c:v>
                </c:pt>
                <c:pt idx="83">
                  <c:v>0.91592721169711577</c:v>
                </c:pt>
                <c:pt idx="84">
                  <c:v>0.34242268082220628</c:v>
                </c:pt>
                <c:pt idx="85">
                  <c:v>-7.0581074285707285E-2</c:v>
                </c:pt>
                <c:pt idx="86">
                  <c:v>-0.63827216398240705</c:v>
                </c:pt>
                <c:pt idx="87">
                  <c:v>0.84509804001425681</c:v>
                </c:pt>
                <c:pt idx="88">
                  <c:v>0.55630250076728727</c:v>
                </c:pt>
                <c:pt idx="89">
                  <c:v>4.1392685158225077E-2</c:v>
                </c:pt>
                <c:pt idx="90">
                  <c:v>-0.3010299956639812</c:v>
                </c:pt>
                <c:pt idx="91">
                  <c:v>0.62013605497375746</c:v>
                </c:pt>
                <c:pt idx="92">
                  <c:v>0.21218760440395779</c:v>
                </c:pt>
                <c:pt idx="93">
                  <c:v>-0.29242982390206362</c:v>
                </c:pt>
                <c:pt idx="94">
                  <c:v>-0.79588001734407521</c:v>
                </c:pt>
                <c:pt idx="95">
                  <c:v>1.1473671077937864</c:v>
                </c:pt>
                <c:pt idx="96">
                  <c:v>0.49968708261840383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03-4247-A070-0B9E7DDA7192}"/>
            </c:ext>
          </c:extLst>
        </c:ser>
        <c:ser>
          <c:idx val="6"/>
          <c:order val="1"/>
          <c:tx>
            <c:v>9818</c:v>
          </c:tx>
          <c:spPr>
            <a:ln w="28575"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Bacillus!$I$359:$I$451</c:f>
              <c:numCache>
                <c:formatCode>General</c:formatCode>
                <c:ptCount val="93"/>
                <c:pt idx="0">
                  <c:v>85</c:v>
                </c:pt>
                <c:pt idx="1">
                  <c:v>85</c:v>
                </c:pt>
                <c:pt idx="2">
                  <c:v>85</c:v>
                </c:pt>
                <c:pt idx="3">
                  <c:v>85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105</c:v>
                </c:pt>
                <c:pt idx="9">
                  <c:v>105</c:v>
                </c:pt>
                <c:pt idx="10">
                  <c:v>105</c:v>
                </c:pt>
                <c:pt idx="11">
                  <c:v>105</c:v>
                </c:pt>
                <c:pt idx="12">
                  <c:v>85</c:v>
                </c:pt>
                <c:pt idx="13">
                  <c:v>85</c:v>
                </c:pt>
                <c:pt idx="14">
                  <c:v>85</c:v>
                </c:pt>
                <c:pt idx="15">
                  <c:v>85</c:v>
                </c:pt>
                <c:pt idx="16">
                  <c:v>95</c:v>
                </c:pt>
                <c:pt idx="17">
                  <c:v>95</c:v>
                </c:pt>
                <c:pt idx="18">
                  <c:v>95</c:v>
                </c:pt>
                <c:pt idx="19">
                  <c:v>95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95</c:v>
                </c:pt>
                <c:pt idx="28">
                  <c:v>95</c:v>
                </c:pt>
                <c:pt idx="29">
                  <c:v>95</c:v>
                </c:pt>
                <c:pt idx="30">
                  <c:v>105</c:v>
                </c:pt>
                <c:pt idx="31">
                  <c:v>105</c:v>
                </c:pt>
                <c:pt idx="32">
                  <c:v>105</c:v>
                </c:pt>
                <c:pt idx="33">
                  <c:v>105</c:v>
                </c:pt>
                <c:pt idx="34">
                  <c:v>85</c:v>
                </c:pt>
                <c:pt idx="35">
                  <c:v>85</c:v>
                </c:pt>
                <c:pt idx="36">
                  <c:v>85</c:v>
                </c:pt>
                <c:pt idx="37">
                  <c:v>85</c:v>
                </c:pt>
                <c:pt idx="38">
                  <c:v>95</c:v>
                </c:pt>
                <c:pt idx="39">
                  <c:v>95</c:v>
                </c:pt>
                <c:pt idx="40">
                  <c:v>95</c:v>
                </c:pt>
                <c:pt idx="41">
                  <c:v>95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85</c:v>
                </c:pt>
                <c:pt idx="47">
                  <c:v>95</c:v>
                </c:pt>
                <c:pt idx="48">
                  <c:v>105</c:v>
                </c:pt>
                <c:pt idx="49">
                  <c:v>85</c:v>
                </c:pt>
                <c:pt idx="50">
                  <c:v>95</c:v>
                </c:pt>
                <c:pt idx="51">
                  <c:v>95</c:v>
                </c:pt>
                <c:pt idx="52">
                  <c:v>105</c:v>
                </c:pt>
                <c:pt idx="53">
                  <c:v>85</c:v>
                </c:pt>
                <c:pt idx="54">
                  <c:v>95</c:v>
                </c:pt>
                <c:pt idx="55">
                  <c:v>105</c:v>
                </c:pt>
                <c:pt idx="56">
                  <c:v>85</c:v>
                </c:pt>
                <c:pt idx="57">
                  <c:v>90</c:v>
                </c:pt>
                <c:pt idx="58">
                  <c:v>95</c:v>
                </c:pt>
                <c:pt idx="59">
                  <c:v>100</c:v>
                </c:pt>
                <c:pt idx="60">
                  <c:v>85</c:v>
                </c:pt>
                <c:pt idx="61">
                  <c:v>85</c:v>
                </c:pt>
                <c:pt idx="62">
                  <c:v>85</c:v>
                </c:pt>
                <c:pt idx="63">
                  <c:v>85</c:v>
                </c:pt>
                <c:pt idx="64">
                  <c:v>85</c:v>
                </c:pt>
                <c:pt idx="65">
                  <c:v>85</c:v>
                </c:pt>
                <c:pt idx="66">
                  <c:v>85</c:v>
                </c:pt>
                <c:pt idx="67">
                  <c:v>85</c:v>
                </c:pt>
                <c:pt idx="68">
                  <c:v>95</c:v>
                </c:pt>
                <c:pt idx="69">
                  <c:v>95</c:v>
                </c:pt>
                <c:pt idx="70">
                  <c:v>95</c:v>
                </c:pt>
                <c:pt idx="71">
                  <c:v>95</c:v>
                </c:pt>
                <c:pt idx="72">
                  <c:v>95</c:v>
                </c:pt>
                <c:pt idx="73">
                  <c:v>95</c:v>
                </c:pt>
                <c:pt idx="74">
                  <c:v>97.5</c:v>
                </c:pt>
                <c:pt idx="75">
                  <c:v>100</c:v>
                </c:pt>
                <c:pt idx="76">
                  <c:v>102.5</c:v>
                </c:pt>
                <c:pt idx="77">
                  <c:v>107.5</c:v>
                </c:pt>
                <c:pt idx="78">
                  <c:v>95</c:v>
                </c:pt>
                <c:pt idx="79">
                  <c:v>90</c:v>
                </c:pt>
                <c:pt idx="80">
                  <c:v>97.5</c:v>
                </c:pt>
                <c:pt idx="81">
                  <c:v>100</c:v>
                </c:pt>
                <c:pt idx="82">
                  <c:v>90</c:v>
                </c:pt>
                <c:pt idx="83">
                  <c:v>95</c:v>
                </c:pt>
                <c:pt idx="84">
                  <c:v>97.5</c:v>
                </c:pt>
                <c:pt idx="85">
                  <c:v>102.5</c:v>
                </c:pt>
                <c:pt idx="86">
                  <c:v>90</c:v>
                </c:pt>
                <c:pt idx="87">
                  <c:v>97.5</c:v>
                </c:pt>
                <c:pt idx="88">
                  <c:v>100</c:v>
                </c:pt>
                <c:pt idx="89">
                  <c:v>90</c:v>
                </c:pt>
                <c:pt idx="90">
                  <c:v>95</c:v>
                </c:pt>
                <c:pt idx="91">
                  <c:v>97.5</c:v>
                </c:pt>
                <c:pt idx="92">
                  <c:v>100</c:v>
                </c:pt>
              </c:numCache>
            </c:numRef>
          </c:xVal>
          <c:yVal>
            <c:numRef>
              <c:f>Bacillus!$L$205:$L$207</c:f>
              <c:numCache>
                <c:formatCode>0.00</c:formatCode>
                <c:ptCount val="3"/>
                <c:pt idx="0">
                  <c:v>-2.2276394711152253E-2</c:v>
                </c:pt>
                <c:pt idx="1">
                  <c:v>-0.35654732351381258</c:v>
                </c:pt>
                <c:pt idx="2">
                  <c:v>4.1392685158225077E-2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703-4247-A070-0B9E7DDA7192}"/>
            </c:ext>
          </c:extLst>
        </c:ser>
        <c:ser>
          <c:idx val="9"/>
          <c:order val="2"/>
          <c:tx>
            <c:v>CNRZ 110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CCFFFF"/>
              </a:solidFill>
              <a:ln>
                <a:solidFill>
                  <a:srgbClr val="CCFFFF"/>
                </a:solidFill>
                <a:prstDash val="solid"/>
              </a:ln>
            </c:spPr>
          </c:marker>
          <c:xVal>
            <c:numRef>
              <c:f>Bacillus!$I$266:$I$321</c:f>
              <c:numCache>
                <c:formatCode>General</c:formatCode>
                <c:ptCount val="56"/>
                <c:pt idx="0">
                  <c:v>106</c:v>
                </c:pt>
                <c:pt idx="1">
                  <c:v>110</c:v>
                </c:pt>
                <c:pt idx="2">
                  <c:v>95</c:v>
                </c:pt>
                <c:pt idx="3">
                  <c:v>98</c:v>
                </c:pt>
                <c:pt idx="4">
                  <c:v>100</c:v>
                </c:pt>
                <c:pt idx="5">
                  <c:v>102</c:v>
                </c:pt>
                <c:pt idx="6">
                  <c:v>106</c:v>
                </c:pt>
                <c:pt idx="7">
                  <c:v>110</c:v>
                </c:pt>
                <c:pt idx="8">
                  <c:v>114</c:v>
                </c:pt>
                <c:pt idx="9">
                  <c:v>95</c:v>
                </c:pt>
                <c:pt idx="10">
                  <c:v>98</c:v>
                </c:pt>
                <c:pt idx="11">
                  <c:v>100</c:v>
                </c:pt>
                <c:pt idx="12">
                  <c:v>102</c:v>
                </c:pt>
                <c:pt idx="13">
                  <c:v>106</c:v>
                </c:pt>
                <c:pt idx="14">
                  <c:v>110</c:v>
                </c:pt>
                <c:pt idx="15">
                  <c:v>114</c:v>
                </c:pt>
                <c:pt idx="16">
                  <c:v>98</c:v>
                </c:pt>
                <c:pt idx="17">
                  <c:v>100</c:v>
                </c:pt>
                <c:pt idx="18">
                  <c:v>102</c:v>
                </c:pt>
                <c:pt idx="19">
                  <c:v>106</c:v>
                </c:pt>
                <c:pt idx="20">
                  <c:v>110</c:v>
                </c:pt>
                <c:pt idx="21">
                  <c:v>114</c:v>
                </c:pt>
                <c:pt idx="22">
                  <c:v>98</c:v>
                </c:pt>
                <c:pt idx="23">
                  <c:v>100</c:v>
                </c:pt>
                <c:pt idx="24">
                  <c:v>102</c:v>
                </c:pt>
                <c:pt idx="25">
                  <c:v>106</c:v>
                </c:pt>
                <c:pt idx="26">
                  <c:v>110</c:v>
                </c:pt>
                <c:pt idx="27">
                  <c:v>114</c:v>
                </c:pt>
                <c:pt idx="28">
                  <c:v>98</c:v>
                </c:pt>
                <c:pt idx="29">
                  <c:v>100</c:v>
                </c:pt>
                <c:pt idx="30">
                  <c:v>102</c:v>
                </c:pt>
                <c:pt idx="31">
                  <c:v>106</c:v>
                </c:pt>
                <c:pt idx="32">
                  <c:v>110</c:v>
                </c:pt>
                <c:pt idx="33">
                  <c:v>114</c:v>
                </c:pt>
                <c:pt idx="34">
                  <c:v>92</c:v>
                </c:pt>
                <c:pt idx="35">
                  <c:v>96</c:v>
                </c:pt>
                <c:pt idx="36">
                  <c:v>100</c:v>
                </c:pt>
                <c:pt idx="37">
                  <c:v>102</c:v>
                </c:pt>
                <c:pt idx="38">
                  <c:v>92</c:v>
                </c:pt>
                <c:pt idx="39">
                  <c:v>96</c:v>
                </c:pt>
                <c:pt idx="40">
                  <c:v>100</c:v>
                </c:pt>
                <c:pt idx="41">
                  <c:v>102</c:v>
                </c:pt>
                <c:pt idx="42">
                  <c:v>92</c:v>
                </c:pt>
                <c:pt idx="43">
                  <c:v>96</c:v>
                </c:pt>
                <c:pt idx="44">
                  <c:v>100</c:v>
                </c:pt>
                <c:pt idx="45">
                  <c:v>102</c:v>
                </c:pt>
                <c:pt idx="46">
                  <c:v>106</c:v>
                </c:pt>
                <c:pt idx="47">
                  <c:v>92</c:v>
                </c:pt>
                <c:pt idx="48">
                  <c:v>96</c:v>
                </c:pt>
                <c:pt idx="49">
                  <c:v>100</c:v>
                </c:pt>
                <c:pt idx="50">
                  <c:v>102</c:v>
                </c:pt>
                <c:pt idx="51">
                  <c:v>106</c:v>
                </c:pt>
                <c:pt idx="52">
                  <c:v>92</c:v>
                </c:pt>
                <c:pt idx="53">
                  <c:v>96</c:v>
                </c:pt>
                <c:pt idx="54">
                  <c:v>100</c:v>
                </c:pt>
                <c:pt idx="55">
                  <c:v>102</c:v>
                </c:pt>
              </c:numCache>
            </c:numRef>
          </c:xVal>
          <c:yVal>
            <c:numRef>
              <c:f>Bacillus!$L$266:$L$321</c:f>
              <c:numCache>
                <c:formatCode>0.00</c:formatCode>
                <c:ptCount val="56"/>
                <c:pt idx="0">
                  <c:v>-1.2218487496163564</c:v>
                </c:pt>
                <c:pt idx="1">
                  <c:v>-1.7958800173440752</c:v>
                </c:pt>
                <c:pt idx="2">
                  <c:v>0.6444385894678385</c:v>
                </c:pt>
                <c:pt idx="3">
                  <c:v>0.2528530309798932</c:v>
                </c:pt>
                <c:pt idx="4">
                  <c:v>6.445798922691845E-2</c:v>
                </c:pt>
                <c:pt idx="5">
                  <c:v>-0.16115090926274472</c:v>
                </c:pt>
                <c:pt idx="6">
                  <c:v>-0.769551078621726</c:v>
                </c:pt>
                <c:pt idx="7">
                  <c:v>-1.2924298239020637</c:v>
                </c:pt>
                <c:pt idx="8">
                  <c:v>-1.853871964321762</c:v>
                </c:pt>
                <c:pt idx="9">
                  <c:v>0.66558099101795309</c:v>
                </c:pt>
                <c:pt idx="10">
                  <c:v>0.26481782300953649</c:v>
                </c:pt>
                <c:pt idx="11">
                  <c:v>0.10037054511756291</c:v>
                </c:pt>
                <c:pt idx="12">
                  <c:v>-0.16115090926274472</c:v>
                </c:pt>
                <c:pt idx="13">
                  <c:v>-0.72124639904717103</c:v>
                </c:pt>
                <c:pt idx="14">
                  <c:v>-1.2596373105057561</c:v>
                </c:pt>
                <c:pt idx="15">
                  <c:v>-1.8239087409443189</c:v>
                </c:pt>
                <c:pt idx="16">
                  <c:v>0.59217675739586684</c:v>
                </c:pt>
                <c:pt idx="17">
                  <c:v>0.30319605742048883</c:v>
                </c:pt>
                <c:pt idx="18">
                  <c:v>8.6359830674748214E-2</c:v>
                </c:pt>
                <c:pt idx="19">
                  <c:v>-0.48148606012211248</c:v>
                </c:pt>
                <c:pt idx="20">
                  <c:v>-1.0969100130080565</c:v>
                </c:pt>
                <c:pt idx="21">
                  <c:v>-1.5686362358410126</c:v>
                </c:pt>
                <c:pt idx="22">
                  <c:v>0.98272338766854528</c:v>
                </c:pt>
                <c:pt idx="23">
                  <c:v>0.6599162000698503</c:v>
                </c:pt>
                <c:pt idx="24">
                  <c:v>0.32428245529769262</c:v>
                </c:pt>
                <c:pt idx="25">
                  <c:v>-0.25963731050575611</c:v>
                </c:pt>
                <c:pt idx="26">
                  <c:v>-0.74472749489669399</c:v>
                </c:pt>
                <c:pt idx="27">
                  <c:v>-1.2218487496163564</c:v>
                </c:pt>
                <c:pt idx="28">
                  <c:v>1.0293837776852097</c:v>
                </c:pt>
                <c:pt idx="29">
                  <c:v>0.70156798505592743</c:v>
                </c:pt>
                <c:pt idx="30">
                  <c:v>0.36735592102601899</c:v>
                </c:pt>
                <c:pt idx="31">
                  <c:v>-0.18708664335714442</c:v>
                </c:pt>
                <c:pt idx="32">
                  <c:v>-0.63827216398240705</c:v>
                </c:pt>
                <c:pt idx="33">
                  <c:v>-1.2218487496163564</c:v>
                </c:pt>
                <c:pt idx="34">
                  <c:v>-0.20065945054641829</c:v>
                </c:pt>
                <c:pt idx="35">
                  <c:v>-0.82390874094431876</c:v>
                </c:pt>
                <c:pt idx="36">
                  <c:v>-1.1870866433571443</c:v>
                </c:pt>
                <c:pt idx="37">
                  <c:v>-1.4814860601221125</c:v>
                </c:pt>
                <c:pt idx="38">
                  <c:v>-0.22184874961635639</c:v>
                </c:pt>
                <c:pt idx="39">
                  <c:v>-0.79588001734407521</c:v>
                </c:pt>
                <c:pt idx="40">
                  <c:v>-1.2076083105017461</c:v>
                </c:pt>
                <c:pt idx="41">
                  <c:v>-1.4202164033831899</c:v>
                </c:pt>
                <c:pt idx="42">
                  <c:v>0.45024910831936105</c:v>
                </c:pt>
                <c:pt idx="43">
                  <c:v>-3.6212172654444715E-2</c:v>
                </c:pt>
                <c:pt idx="44">
                  <c:v>-0.61978875828839397</c:v>
                </c:pt>
                <c:pt idx="45">
                  <c:v>-0.92081875395237522</c:v>
                </c:pt>
                <c:pt idx="46">
                  <c:v>-1.3010299956639813</c:v>
                </c:pt>
                <c:pt idx="47">
                  <c:v>0.66464197555612547</c:v>
                </c:pt>
                <c:pt idx="48">
                  <c:v>8.2785370316450071E-2</c:v>
                </c:pt>
                <c:pt idx="49">
                  <c:v>-0.45593195564972439</c:v>
                </c:pt>
                <c:pt idx="50">
                  <c:v>-0.69897000433601875</c:v>
                </c:pt>
                <c:pt idx="51">
                  <c:v>-1.2006594505464183</c:v>
                </c:pt>
                <c:pt idx="52">
                  <c:v>0.26951294421791633</c:v>
                </c:pt>
                <c:pt idx="53">
                  <c:v>-0.23657200643706275</c:v>
                </c:pt>
                <c:pt idx="54">
                  <c:v>-0.79588001734407521</c:v>
                </c:pt>
                <c:pt idx="55">
                  <c:v>-1.0457574905606752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703-4247-A070-0B9E7DDA7192}"/>
            </c:ext>
          </c:extLst>
        </c:ser>
        <c:ser>
          <c:idx val="10"/>
          <c:order val="3"/>
          <c:tx>
            <c:v>AV Z421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xVal>
            <c:numRef>
              <c:f>Bacillus!$I$236:$I$244</c:f>
              <c:numCache>
                <c:formatCode>General</c:formatCode>
                <c:ptCount val="9"/>
                <c:pt idx="0">
                  <c:v>96</c:v>
                </c:pt>
                <c:pt idx="1">
                  <c:v>100</c:v>
                </c:pt>
                <c:pt idx="2">
                  <c:v>106</c:v>
                </c:pt>
                <c:pt idx="3">
                  <c:v>100</c:v>
                </c:pt>
                <c:pt idx="4">
                  <c:v>103</c:v>
                </c:pt>
                <c:pt idx="5">
                  <c:v>110</c:v>
                </c:pt>
                <c:pt idx="6">
                  <c:v>115</c:v>
                </c:pt>
                <c:pt idx="7">
                  <c:v>98</c:v>
                </c:pt>
                <c:pt idx="8">
                  <c:v>98</c:v>
                </c:pt>
              </c:numCache>
            </c:numRef>
          </c:xVal>
          <c:yVal>
            <c:numRef>
              <c:f>Bacillus!$L$236:$L$244</c:f>
              <c:numCache>
                <c:formatCode>0.00</c:formatCode>
                <c:ptCount val="9"/>
                <c:pt idx="0">
                  <c:v>-1.7728766960431602E-2</c:v>
                </c:pt>
                <c:pt idx="1">
                  <c:v>-0.37675070960209955</c:v>
                </c:pt>
                <c:pt idx="2">
                  <c:v>-0.95860731484177497</c:v>
                </c:pt>
                <c:pt idx="3">
                  <c:v>0.77815125038364363</c:v>
                </c:pt>
                <c:pt idx="4">
                  <c:v>0.48144262850230496</c:v>
                </c:pt>
                <c:pt idx="5">
                  <c:v>-0.14874165128092473</c:v>
                </c:pt>
                <c:pt idx="6">
                  <c:v>-0.55284196865778079</c:v>
                </c:pt>
                <c:pt idx="7">
                  <c:v>0.3010299956639812</c:v>
                </c:pt>
                <c:pt idx="8">
                  <c:v>0.3010299956639812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703-4247-A070-0B9E7DDA7192}"/>
            </c:ext>
          </c:extLst>
        </c:ser>
        <c:ser>
          <c:idx val="11"/>
          <c:order val="4"/>
          <c:tx>
            <c:v>AV TZ415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99"/>
              </a:solidFill>
              <a:ln>
                <a:solidFill>
                  <a:srgbClr val="FFFF99"/>
                </a:solidFill>
                <a:prstDash val="solid"/>
              </a:ln>
            </c:spPr>
          </c:marker>
          <c:xVal>
            <c:numRef>
              <c:f>Bacillus!$I$216:$I$235</c:f>
              <c:numCache>
                <c:formatCode>General</c:formatCode>
                <c:ptCount val="20"/>
                <c:pt idx="0">
                  <c:v>103</c:v>
                </c:pt>
                <c:pt idx="1">
                  <c:v>110</c:v>
                </c:pt>
                <c:pt idx="2">
                  <c:v>115</c:v>
                </c:pt>
                <c:pt idx="3">
                  <c:v>98</c:v>
                </c:pt>
                <c:pt idx="4">
                  <c:v>100</c:v>
                </c:pt>
                <c:pt idx="5">
                  <c:v>106</c:v>
                </c:pt>
                <c:pt idx="6">
                  <c:v>110</c:v>
                </c:pt>
                <c:pt idx="7">
                  <c:v>92</c:v>
                </c:pt>
                <c:pt idx="8">
                  <c:v>96</c:v>
                </c:pt>
                <c:pt idx="9">
                  <c:v>100</c:v>
                </c:pt>
                <c:pt idx="10">
                  <c:v>106</c:v>
                </c:pt>
                <c:pt idx="11">
                  <c:v>100</c:v>
                </c:pt>
                <c:pt idx="12">
                  <c:v>103</c:v>
                </c:pt>
                <c:pt idx="13">
                  <c:v>110</c:v>
                </c:pt>
                <c:pt idx="14">
                  <c:v>115</c:v>
                </c:pt>
                <c:pt idx="15">
                  <c:v>98</c:v>
                </c:pt>
                <c:pt idx="16">
                  <c:v>100</c:v>
                </c:pt>
                <c:pt idx="17">
                  <c:v>106</c:v>
                </c:pt>
                <c:pt idx="18">
                  <c:v>110</c:v>
                </c:pt>
                <c:pt idx="19">
                  <c:v>92</c:v>
                </c:pt>
              </c:numCache>
            </c:numRef>
          </c:xVal>
          <c:yVal>
            <c:numRef>
              <c:f>Bacillus!$L$216:$L$235</c:f>
              <c:numCache>
                <c:formatCode>0.00</c:formatCode>
                <c:ptCount val="20"/>
                <c:pt idx="0">
                  <c:v>0.38021124171160603</c:v>
                </c:pt>
                <c:pt idx="1">
                  <c:v>-0.28399665636520083</c:v>
                </c:pt>
                <c:pt idx="2">
                  <c:v>-0.6777807052660807</c:v>
                </c:pt>
                <c:pt idx="3">
                  <c:v>0.17026171539495738</c:v>
                </c:pt>
                <c:pt idx="4">
                  <c:v>-3.6212172654444715E-2</c:v>
                </c:pt>
                <c:pt idx="5">
                  <c:v>-0.82390874094431876</c:v>
                </c:pt>
                <c:pt idx="6">
                  <c:v>-1.3010299956639813</c:v>
                </c:pt>
                <c:pt idx="7">
                  <c:v>0.36921585741014279</c:v>
                </c:pt>
                <c:pt idx="8">
                  <c:v>0</c:v>
                </c:pt>
                <c:pt idx="9">
                  <c:v>-0.37675070960209955</c:v>
                </c:pt>
                <c:pt idx="10">
                  <c:v>-1</c:v>
                </c:pt>
                <c:pt idx="11">
                  <c:v>0.85125834871907524</c:v>
                </c:pt>
                <c:pt idx="12">
                  <c:v>0.55990662503611255</c:v>
                </c:pt>
                <c:pt idx="13">
                  <c:v>-0.13667713987954411</c:v>
                </c:pt>
                <c:pt idx="14">
                  <c:v>-0.6020599913279624</c:v>
                </c:pt>
                <c:pt idx="15">
                  <c:v>0.65513843481138212</c:v>
                </c:pt>
                <c:pt idx="16">
                  <c:v>0.44560420327359757</c:v>
                </c:pt>
                <c:pt idx="17">
                  <c:v>-0.34678748622465633</c:v>
                </c:pt>
                <c:pt idx="18">
                  <c:v>-0.79588001734407521</c:v>
                </c:pt>
                <c:pt idx="19">
                  <c:v>0.26717172840301384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703-4247-A070-0B9E7DDA7192}"/>
            </c:ext>
          </c:extLst>
        </c:ser>
        <c:ser>
          <c:idx val="0"/>
          <c:order val="5"/>
          <c:tx>
            <c:strRef>
              <c:f>Bacillus!$C$479</c:f>
              <c:strCache>
                <c:ptCount val="1"/>
                <c:pt idx="0">
                  <c:v>heat resistant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Bacillus!$I$462:$I$481</c:f>
              <c:numCache>
                <c:formatCode>General</c:formatCode>
                <c:ptCount val="20"/>
                <c:pt idx="0">
                  <c:v>115.6</c:v>
                </c:pt>
                <c:pt idx="1">
                  <c:v>121.1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6">
                  <c:v>100</c:v>
                </c:pt>
                <c:pt idx="7">
                  <c:v>108</c:v>
                </c:pt>
                <c:pt idx="8">
                  <c:v>124</c:v>
                </c:pt>
                <c:pt idx="9">
                  <c:v>103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115.6</c:v>
                </c:pt>
                <c:pt idx="15">
                  <c:v>115.6</c:v>
                </c:pt>
                <c:pt idx="16">
                  <c:v>121.1</c:v>
                </c:pt>
                <c:pt idx="17">
                  <c:v>121.1</c:v>
                </c:pt>
                <c:pt idx="18">
                  <c:v>126.7</c:v>
                </c:pt>
                <c:pt idx="19">
                  <c:v>126.7</c:v>
                </c:pt>
              </c:numCache>
            </c:numRef>
          </c:xVal>
          <c:yVal>
            <c:numRef>
              <c:f>Bacillus!$L$462:$L$481</c:f>
              <c:numCache>
                <c:formatCode>0.00</c:formatCode>
                <c:ptCount val="20"/>
                <c:pt idx="0">
                  <c:v>-0.85387196432176193</c:v>
                </c:pt>
                <c:pt idx="1">
                  <c:v>-1.5228787452803376</c:v>
                </c:pt>
                <c:pt idx="2">
                  <c:v>0.69897000433601886</c:v>
                </c:pt>
                <c:pt idx="3">
                  <c:v>0.43136376415898736</c:v>
                </c:pt>
                <c:pt idx="4">
                  <c:v>0.49136169383427269</c:v>
                </c:pt>
                <c:pt idx="6">
                  <c:v>1.6020599913279623</c:v>
                </c:pt>
                <c:pt idx="7">
                  <c:v>1.0211892990699381</c:v>
                </c:pt>
                <c:pt idx="8">
                  <c:v>0.84509804001425681</c:v>
                </c:pt>
                <c:pt idx="9">
                  <c:v>2.0043213737826426</c:v>
                </c:pt>
                <c:pt idx="10">
                  <c:v>1.3692158574101427</c:v>
                </c:pt>
                <c:pt idx="11">
                  <c:v>0.95760728706009524</c:v>
                </c:pt>
                <c:pt idx="12">
                  <c:v>0.45484486000851021</c:v>
                </c:pt>
                <c:pt idx="13">
                  <c:v>-0.20065945054641829</c:v>
                </c:pt>
                <c:pt idx="14">
                  <c:v>1.0526939419249679</c:v>
                </c:pt>
                <c:pt idx="15">
                  <c:v>1.0584260244570054</c:v>
                </c:pt>
                <c:pt idx="16">
                  <c:v>0.36548798489089962</c:v>
                </c:pt>
                <c:pt idx="17">
                  <c:v>0.37474834601010387</c:v>
                </c:pt>
                <c:pt idx="18">
                  <c:v>-0.53760200210104392</c:v>
                </c:pt>
                <c:pt idx="19">
                  <c:v>-0.50863830616572736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703-4247-A070-0B9E7DDA7192}"/>
            </c:ext>
          </c:extLst>
        </c:ser>
        <c:ser>
          <c:idx val="12"/>
          <c:order val="6"/>
          <c:tx>
            <c:strRef>
              <c:f>Bacillus!$C$331</c:f>
              <c:strCache>
                <c:ptCount val="1"/>
                <c:pt idx="0">
                  <c:v>9818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99CCFF"/>
                </a:solidFill>
                <a:prstDash val="solid"/>
              </a:ln>
            </c:spPr>
          </c:marker>
          <c:xVal>
            <c:numRef>
              <c:f>Bacillus!$I$331:$I$337</c:f>
              <c:numCache>
                <c:formatCode>General</c:formatCode>
                <c:ptCount val="7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103</c:v>
                </c:pt>
              </c:numCache>
            </c:numRef>
          </c:xVal>
          <c:yVal>
            <c:numRef>
              <c:f>Bacillus!$L$331:$L$337</c:f>
              <c:numCache>
                <c:formatCode>0.00</c:formatCode>
                <c:ptCount val="7"/>
                <c:pt idx="0">
                  <c:v>6.445798922691845E-2</c:v>
                </c:pt>
                <c:pt idx="1">
                  <c:v>0.3344537511509309</c:v>
                </c:pt>
                <c:pt idx="2">
                  <c:v>0.55388302664387434</c:v>
                </c:pt>
                <c:pt idx="3">
                  <c:v>0.7930916001765802</c:v>
                </c:pt>
                <c:pt idx="4">
                  <c:v>0.9258275746247423</c:v>
                </c:pt>
                <c:pt idx="5">
                  <c:v>1.0038911662369105</c:v>
                </c:pt>
                <c:pt idx="6">
                  <c:v>-0.36653154442041347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703-4247-A070-0B9E7DDA7192}"/>
            </c:ext>
          </c:extLst>
        </c:ser>
        <c:ser>
          <c:idx val="13"/>
          <c:order val="7"/>
          <c:tx>
            <c:strRef>
              <c:f>Bacillus!$C$338</c:f>
              <c:strCache>
                <c:ptCount val="1"/>
                <c:pt idx="0">
                  <c:v>9818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FF99CC"/>
                </a:solidFill>
                <a:prstDash val="solid"/>
              </a:ln>
            </c:spPr>
          </c:marker>
          <c:xVal>
            <c:numRef>
              <c:f>Bacillus!$I$338:$I$344</c:f>
              <c:numCache>
                <c:formatCode>General</c:formatCode>
                <c:ptCount val="7"/>
                <c:pt idx="0">
                  <c:v>103</c:v>
                </c:pt>
                <c:pt idx="1">
                  <c:v>103</c:v>
                </c:pt>
                <c:pt idx="2">
                  <c:v>103</c:v>
                </c:pt>
                <c:pt idx="3">
                  <c:v>103</c:v>
                </c:pt>
                <c:pt idx="4">
                  <c:v>103</c:v>
                </c:pt>
                <c:pt idx="5">
                  <c:v>106</c:v>
                </c:pt>
                <c:pt idx="6">
                  <c:v>106</c:v>
                </c:pt>
              </c:numCache>
            </c:numRef>
          </c:xVal>
          <c:yVal>
            <c:numRef>
              <c:f>Bacillus!$L$338:$L$344</c:f>
              <c:numCache>
                <c:formatCode>0.00</c:formatCode>
                <c:ptCount val="7"/>
                <c:pt idx="0">
                  <c:v>-8.7739243075051505E-3</c:v>
                </c:pt>
                <c:pt idx="1">
                  <c:v>0.16136800223497488</c:v>
                </c:pt>
                <c:pt idx="2">
                  <c:v>0.49136169383427269</c:v>
                </c:pt>
                <c:pt idx="3">
                  <c:v>0.58206336291170868</c:v>
                </c:pt>
                <c:pt idx="4">
                  <c:v>0.65513843481138212</c:v>
                </c:pt>
                <c:pt idx="5">
                  <c:v>-0.72124639904717103</c:v>
                </c:pt>
                <c:pt idx="6">
                  <c:v>-0.40893539297350079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703-4247-A070-0B9E7DDA7192}"/>
            </c:ext>
          </c:extLst>
        </c:ser>
        <c:ser>
          <c:idx val="14"/>
          <c:order val="8"/>
          <c:tx>
            <c:strRef>
              <c:f>Bacillus!$C$345</c:f>
              <c:strCache>
                <c:ptCount val="1"/>
                <c:pt idx="0">
                  <c:v>9818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C99FF"/>
              </a:solidFill>
              <a:ln>
                <a:solidFill>
                  <a:srgbClr val="CC99FF"/>
                </a:solidFill>
                <a:prstDash val="solid"/>
              </a:ln>
            </c:spPr>
          </c:marker>
          <c:xVal>
            <c:numRef>
              <c:f>Bacillus!$I$345</c:f>
              <c:numCache>
                <c:formatCode>General</c:formatCode>
                <c:ptCount val="1"/>
                <c:pt idx="0">
                  <c:v>106</c:v>
                </c:pt>
              </c:numCache>
            </c:numRef>
          </c:xVal>
          <c:yVal>
            <c:numRef>
              <c:f>Bacillus!$L$345</c:f>
              <c:numCache>
                <c:formatCode>0.00</c:formatCode>
                <c:ptCount val="1"/>
                <c:pt idx="0">
                  <c:v>-0.26760624017703144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703-4247-A070-0B9E7DDA7192}"/>
            </c:ext>
          </c:extLst>
        </c:ser>
        <c:ser>
          <c:idx val="15"/>
          <c:order val="9"/>
          <c:tx>
            <c:strRef>
              <c:f>Bacillus!$C$346</c:f>
              <c:strCache>
                <c:ptCount val="1"/>
                <c:pt idx="0">
                  <c:v>9818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FFCC99"/>
                </a:solidFill>
                <a:prstDash val="solid"/>
              </a:ln>
            </c:spPr>
          </c:marker>
          <c:xVal>
            <c:numRef>
              <c:f>Bacillus!$I$346:$I$352</c:f>
              <c:numCache>
                <c:formatCode>General</c:formatCode>
                <c:ptCount val="7"/>
                <c:pt idx="0">
                  <c:v>106</c:v>
                </c:pt>
                <c:pt idx="1">
                  <c:v>106</c:v>
                </c:pt>
                <c:pt idx="2">
                  <c:v>106</c:v>
                </c:pt>
                <c:pt idx="3">
                  <c:v>110</c:v>
                </c:pt>
                <c:pt idx="4">
                  <c:v>110</c:v>
                </c:pt>
                <c:pt idx="5">
                  <c:v>110</c:v>
                </c:pt>
                <c:pt idx="6">
                  <c:v>110</c:v>
                </c:pt>
              </c:numCache>
            </c:numRef>
          </c:xVal>
          <c:yVal>
            <c:numRef>
              <c:f>Bacillus!$L$346:$L$352</c:f>
              <c:numCache>
                <c:formatCode>0.00</c:formatCode>
                <c:ptCount val="7"/>
                <c:pt idx="0">
                  <c:v>0.12385164096708581</c:v>
                </c:pt>
                <c:pt idx="1">
                  <c:v>0.18184358794477254</c:v>
                </c:pt>
                <c:pt idx="2">
                  <c:v>0.24054924828259971</c:v>
                </c:pt>
                <c:pt idx="3">
                  <c:v>-0.92081875395237522</c:v>
                </c:pt>
                <c:pt idx="4">
                  <c:v>-0.74472749489669399</c:v>
                </c:pt>
                <c:pt idx="5">
                  <c:v>-0.44369749923271273</c:v>
                </c:pt>
                <c:pt idx="6">
                  <c:v>-0.25963731050575611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703-4247-A070-0B9E7DDA7192}"/>
            </c:ext>
          </c:extLst>
        </c:ser>
        <c:ser>
          <c:idx val="16"/>
          <c:order val="10"/>
          <c:tx>
            <c:strRef>
              <c:f>Bacillus!$C$353</c:f>
              <c:strCache>
                <c:ptCount val="1"/>
                <c:pt idx="0">
                  <c:v>9818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5"/>
            <c:spPr>
              <a:noFill/>
              <a:ln>
                <a:solidFill>
                  <a:srgbClr val="3366FF"/>
                </a:solidFill>
                <a:prstDash val="solid"/>
              </a:ln>
            </c:spPr>
          </c:marker>
          <c:xVal>
            <c:numRef>
              <c:f>Bacillus!$I$353</c:f>
              <c:numCache>
                <c:formatCode>General</c:formatCode>
                <c:ptCount val="1"/>
                <c:pt idx="0">
                  <c:v>110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A-E703-4247-A070-0B9E7DDA7192}"/>
            </c:ext>
          </c:extLst>
        </c:ser>
        <c:ser>
          <c:idx val="17"/>
          <c:order val="11"/>
          <c:tx>
            <c:strRef>
              <c:f>Bacillus!$C$354</c:f>
              <c:strCache>
                <c:ptCount val="1"/>
                <c:pt idx="0">
                  <c:v>9818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5"/>
            <c:spPr>
              <a:noFill/>
              <a:ln>
                <a:solidFill>
                  <a:srgbClr val="33CCCC"/>
                </a:solidFill>
                <a:prstDash val="solid"/>
              </a:ln>
            </c:spPr>
          </c:marker>
          <c:xVal>
            <c:numRef>
              <c:f>Bacillus!$I$355:$I$358</c:f>
              <c:numCache>
                <c:formatCode>General</c:formatCode>
                <c:ptCount val="4"/>
                <c:pt idx="0">
                  <c:v>115</c:v>
                </c:pt>
                <c:pt idx="1">
                  <c:v>115</c:v>
                </c:pt>
                <c:pt idx="2">
                  <c:v>115</c:v>
                </c:pt>
                <c:pt idx="3">
                  <c:v>115</c:v>
                </c:pt>
              </c:numCache>
            </c:numRef>
          </c:xVal>
          <c:yVal>
            <c:numRef>
              <c:f>Bacillus!$L$355:$L$358</c:f>
              <c:numCache>
                <c:formatCode>0.00</c:formatCode>
                <c:ptCount val="4"/>
                <c:pt idx="0">
                  <c:v>-1.431798275933005</c:v>
                </c:pt>
                <c:pt idx="1">
                  <c:v>-1.1135092748275182</c:v>
                </c:pt>
                <c:pt idx="2">
                  <c:v>-0.85387196432176193</c:v>
                </c:pt>
                <c:pt idx="3">
                  <c:v>-0.769551078621726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703-4247-A070-0B9E7DDA7192}"/>
            </c:ext>
          </c:extLst>
        </c:ser>
        <c:ser>
          <c:idx val="18"/>
          <c:order val="12"/>
          <c:tx>
            <c:v>ICMSF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99CC00"/>
              </a:solidFill>
              <a:ln>
                <a:solidFill>
                  <a:srgbClr val="99CC00"/>
                </a:solidFill>
                <a:prstDash val="solid"/>
              </a:ln>
            </c:spPr>
          </c:marker>
          <c:xVal>
            <c:numRef>
              <c:f>Bacillus!$I$2:$I$11</c:f>
              <c:numCache>
                <c:formatCode>General</c:formatCode>
                <c:ptCount val="10"/>
                <c:pt idx="0">
                  <c:v>95</c:v>
                </c:pt>
                <c:pt idx="1">
                  <c:v>95</c:v>
                </c:pt>
                <c:pt idx="2">
                  <c:v>100</c:v>
                </c:pt>
                <c:pt idx="3">
                  <c:v>100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90</c:v>
                </c:pt>
                <c:pt idx="9">
                  <c:v>97.5</c:v>
                </c:pt>
              </c:numCache>
            </c:numRef>
          </c:xVal>
          <c:yVal>
            <c:numRef>
              <c:f>Bacillus!$L$2:$L$11</c:f>
              <c:numCache>
                <c:formatCode>0.00</c:formatCode>
                <c:ptCount val="10"/>
                <c:pt idx="0">
                  <c:v>0.46239799789895608</c:v>
                </c:pt>
                <c:pt idx="1">
                  <c:v>1.5587085705331658</c:v>
                </c:pt>
                <c:pt idx="2">
                  <c:v>0.79934054945358168</c:v>
                </c:pt>
                <c:pt idx="3">
                  <c:v>0.62324929039790045</c:v>
                </c:pt>
                <c:pt idx="4">
                  <c:v>0.47712125471966244</c:v>
                </c:pt>
                <c:pt idx="5">
                  <c:v>0.25527250510330607</c:v>
                </c:pt>
                <c:pt idx="6">
                  <c:v>1.2810333672477277</c:v>
                </c:pt>
                <c:pt idx="7">
                  <c:v>0.43136376415898736</c:v>
                </c:pt>
                <c:pt idx="8">
                  <c:v>1.0374264979406236</c:v>
                </c:pt>
                <c:pt idx="9">
                  <c:v>0.11394335230683679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703-4247-A070-0B9E7DDA7192}"/>
            </c:ext>
          </c:extLst>
        </c:ser>
        <c:ser>
          <c:idx val="19"/>
          <c:order val="13"/>
          <c:tx>
            <c:strRef>
              <c:f>Bacillus!$C$12</c:f>
              <c:strCache>
                <c:ptCount val="1"/>
                <c:pt idx="0">
                  <c:v>B2ac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CC00"/>
              </a:solidFill>
              <a:ln>
                <a:solidFill>
                  <a:srgbClr val="FFCC00"/>
                </a:solidFill>
                <a:prstDash val="solid"/>
              </a:ln>
            </c:spPr>
          </c:marker>
          <c:xVal>
            <c:numRef>
              <c:f>Bacillus!$I$12:$I$107</c:f>
              <c:numCache>
                <c:formatCode>General</c:formatCode>
                <c:ptCount val="96"/>
                <c:pt idx="0">
                  <c:v>90</c:v>
                </c:pt>
                <c:pt idx="1">
                  <c:v>95</c:v>
                </c:pt>
                <c:pt idx="2">
                  <c:v>97.5</c:v>
                </c:pt>
                <c:pt idx="3">
                  <c:v>100</c:v>
                </c:pt>
                <c:pt idx="4">
                  <c:v>90</c:v>
                </c:pt>
                <c:pt idx="5">
                  <c:v>95</c:v>
                </c:pt>
                <c:pt idx="6">
                  <c:v>97.5</c:v>
                </c:pt>
                <c:pt idx="7">
                  <c:v>100</c:v>
                </c:pt>
                <c:pt idx="8">
                  <c:v>95</c:v>
                </c:pt>
                <c:pt idx="9">
                  <c:v>97.5</c:v>
                </c:pt>
                <c:pt idx="10">
                  <c:v>100</c:v>
                </c:pt>
                <c:pt idx="11">
                  <c:v>100</c:v>
                </c:pt>
                <c:pt idx="12">
                  <c:v>115</c:v>
                </c:pt>
                <c:pt idx="13">
                  <c:v>95</c:v>
                </c:pt>
                <c:pt idx="14">
                  <c:v>95</c:v>
                </c:pt>
                <c:pt idx="15">
                  <c:v>95</c:v>
                </c:pt>
                <c:pt idx="16">
                  <c:v>95</c:v>
                </c:pt>
                <c:pt idx="17">
                  <c:v>95</c:v>
                </c:pt>
                <c:pt idx="18">
                  <c:v>95</c:v>
                </c:pt>
                <c:pt idx="19">
                  <c:v>85</c:v>
                </c:pt>
                <c:pt idx="20">
                  <c:v>85</c:v>
                </c:pt>
                <c:pt idx="21">
                  <c:v>90</c:v>
                </c:pt>
                <c:pt idx="22">
                  <c:v>90</c:v>
                </c:pt>
                <c:pt idx="23">
                  <c:v>95</c:v>
                </c:pt>
                <c:pt idx="24">
                  <c:v>95</c:v>
                </c:pt>
                <c:pt idx="25">
                  <c:v>100</c:v>
                </c:pt>
                <c:pt idx="26">
                  <c:v>100</c:v>
                </c:pt>
                <c:pt idx="27">
                  <c:v>90</c:v>
                </c:pt>
                <c:pt idx="28">
                  <c:v>90</c:v>
                </c:pt>
                <c:pt idx="29">
                  <c:v>90</c:v>
                </c:pt>
                <c:pt idx="30">
                  <c:v>90</c:v>
                </c:pt>
                <c:pt idx="31">
                  <c:v>90</c:v>
                </c:pt>
                <c:pt idx="32">
                  <c:v>90</c:v>
                </c:pt>
                <c:pt idx="33">
                  <c:v>95</c:v>
                </c:pt>
                <c:pt idx="34">
                  <c:v>95</c:v>
                </c:pt>
                <c:pt idx="35">
                  <c:v>95</c:v>
                </c:pt>
                <c:pt idx="36">
                  <c:v>95</c:v>
                </c:pt>
                <c:pt idx="37">
                  <c:v>95</c:v>
                </c:pt>
                <c:pt idx="38">
                  <c:v>95</c:v>
                </c:pt>
                <c:pt idx="39">
                  <c:v>90</c:v>
                </c:pt>
                <c:pt idx="40">
                  <c:v>95</c:v>
                </c:pt>
                <c:pt idx="41">
                  <c:v>95</c:v>
                </c:pt>
                <c:pt idx="42">
                  <c:v>97.5</c:v>
                </c:pt>
                <c:pt idx="43">
                  <c:v>100</c:v>
                </c:pt>
                <c:pt idx="44">
                  <c:v>100</c:v>
                </c:pt>
                <c:pt idx="45">
                  <c:v>102.5</c:v>
                </c:pt>
                <c:pt idx="46">
                  <c:v>105</c:v>
                </c:pt>
                <c:pt idx="47">
                  <c:v>105</c:v>
                </c:pt>
                <c:pt idx="48">
                  <c:v>95</c:v>
                </c:pt>
                <c:pt idx="49">
                  <c:v>95</c:v>
                </c:pt>
                <c:pt idx="50">
                  <c:v>98</c:v>
                </c:pt>
                <c:pt idx="51">
                  <c:v>100</c:v>
                </c:pt>
                <c:pt idx="52">
                  <c:v>106</c:v>
                </c:pt>
                <c:pt idx="53">
                  <c:v>110</c:v>
                </c:pt>
                <c:pt idx="54">
                  <c:v>92</c:v>
                </c:pt>
                <c:pt idx="55">
                  <c:v>96</c:v>
                </c:pt>
                <c:pt idx="56">
                  <c:v>100</c:v>
                </c:pt>
                <c:pt idx="57">
                  <c:v>106</c:v>
                </c:pt>
                <c:pt idx="58">
                  <c:v>100</c:v>
                </c:pt>
                <c:pt idx="59">
                  <c:v>103</c:v>
                </c:pt>
                <c:pt idx="60">
                  <c:v>110</c:v>
                </c:pt>
                <c:pt idx="61">
                  <c:v>115</c:v>
                </c:pt>
                <c:pt idx="62">
                  <c:v>98</c:v>
                </c:pt>
                <c:pt idx="63">
                  <c:v>100</c:v>
                </c:pt>
                <c:pt idx="64">
                  <c:v>106</c:v>
                </c:pt>
                <c:pt idx="65">
                  <c:v>110</c:v>
                </c:pt>
                <c:pt idx="66">
                  <c:v>92</c:v>
                </c:pt>
                <c:pt idx="67">
                  <c:v>96</c:v>
                </c:pt>
                <c:pt idx="68">
                  <c:v>100</c:v>
                </c:pt>
                <c:pt idx="69">
                  <c:v>106</c:v>
                </c:pt>
                <c:pt idx="70">
                  <c:v>100</c:v>
                </c:pt>
                <c:pt idx="71">
                  <c:v>103</c:v>
                </c:pt>
                <c:pt idx="72">
                  <c:v>110</c:v>
                </c:pt>
                <c:pt idx="73">
                  <c:v>115</c:v>
                </c:pt>
                <c:pt idx="74">
                  <c:v>100</c:v>
                </c:pt>
                <c:pt idx="75">
                  <c:v>106</c:v>
                </c:pt>
                <c:pt idx="76">
                  <c:v>110</c:v>
                </c:pt>
                <c:pt idx="77">
                  <c:v>115</c:v>
                </c:pt>
                <c:pt idx="78">
                  <c:v>96</c:v>
                </c:pt>
                <c:pt idx="79">
                  <c:v>100</c:v>
                </c:pt>
                <c:pt idx="80">
                  <c:v>106</c:v>
                </c:pt>
                <c:pt idx="81">
                  <c:v>110</c:v>
                </c:pt>
                <c:pt idx="82">
                  <c:v>103</c:v>
                </c:pt>
                <c:pt idx="83">
                  <c:v>110</c:v>
                </c:pt>
                <c:pt idx="84">
                  <c:v>115</c:v>
                </c:pt>
                <c:pt idx="85">
                  <c:v>120</c:v>
                </c:pt>
                <c:pt idx="86">
                  <c:v>100</c:v>
                </c:pt>
                <c:pt idx="87">
                  <c:v>106</c:v>
                </c:pt>
                <c:pt idx="88">
                  <c:v>110</c:v>
                </c:pt>
                <c:pt idx="89">
                  <c:v>115</c:v>
                </c:pt>
                <c:pt idx="90">
                  <c:v>100</c:v>
                </c:pt>
                <c:pt idx="91">
                  <c:v>106</c:v>
                </c:pt>
                <c:pt idx="92">
                  <c:v>110</c:v>
                </c:pt>
                <c:pt idx="93">
                  <c:v>115</c:v>
                </c:pt>
                <c:pt idx="94">
                  <c:v>98</c:v>
                </c:pt>
                <c:pt idx="95">
                  <c:v>100</c:v>
                </c:pt>
              </c:numCache>
            </c:numRef>
          </c:xVal>
          <c:yVal>
            <c:numRef>
              <c:f>Bacillus!$L$12:$L$107</c:f>
              <c:numCache>
                <c:formatCode>0.00</c:formatCode>
                <c:ptCount val="96"/>
                <c:pt idx="0">
                  <c:v>1.6434526764861874</c:v>
                </c:pt>
                <c:pt idx="1">
                  <c:v>0.96848294855393513</c:v>
                </c:pt>
                <c:pt idx="2">
                  <c:v>0.82607480270082645</c:v>
                </c:pt>
                <c:pt idx="3">
                  <c:v>0.46239799789895608</c:v>
                </c:pt>
                <c:pt idx="4">
                  <c:v>1.3521825181113625</c:v>
                </c:pt>
                <c:pt idx="5">
                  <c:v>0.77085201164214423</c:v>
                </c:pt>
                <c:pt idx="6">
                  <c:v>0.43136376415898736</c:v>
                </c:pt>
                <c:pt idx="7">
                  <c:v>0.20411998265592479</c:v>
                </c:pt>
                <c:pt idx="8">
                  <c:v>1.1846914308175989</c:v>
                </c:pt>
                <c:pt idx="9">
                  <c:v>0.91381385238371671</c:v>
                </c:pt>
                <c:pt idx="10">
                  <c:v>0.62324929039790045</c:v>
                </c:pt>
                <c:pt idx="11">
                  <c:v>0.74036268949424389</c:v>
                </c:pt>
                <c:pt idx="12">
                  <c:v>-0.88605664769316317</c:v>
                </c:pt>
                <c:pt idx="13">
                  <c:v>1.209515014542631</c:v>
                </c:pt>
                <c:pt idx="14">
                  <c:v>1.2944662261615929</c:v>
                </c:pt>
                <c:pt idx="15">
                  <c:v>1.3802112417116059</c:v>
                </c:pt>
                <c:pt idx="16">
                  <c:v>1.5587085705331658</c:v>
                </c:pt>
                <c:pt idx="17">
                  <c:v>0.17609125905568124</c:v>
                </c:pt>
                <c:pt idx="18">
                  <c:v>0.97772360528884772</c:v>
                </c:pt>
                <c:pt idx="19">
                  <c:v>1.2041199826559248</c:v>
                </c:pt>
                <c:pt idx="20">
                  <c:v>1.2304489213782739</c:v>
                </c:pt>
                <c:pt idx="21">
                  <c:v>0.59106460702649921</c:v>
                </c:pt>
                <c:pt idx="22">
                  <c:v>0.61278385671973545</c:v>
                </c:pt>
                <c:pt idx="23">
                  <c:v>-2.6872146400301365E-2</c:v>
                </c:pt>
                <c:pt idx="24">
                  <c:v>-8.7739243075051505E-3</c:v>
                </c:pt>
                <c:pt idx="25">
                  <c:v>-0.65757731917779372</c:v>
                </c:pt>
                <c:pt idx="26">
                  <c:v>-0.65757731917779372</c:v>
                </c:pt>
                <c:pt idx="27">
                  <c:v>0.49136169383427269</c:v>
                </c:pt>
                <c:pt idx="28">
                  <c:v>0.54406804435027567</c:v>
                </c:pt>
                <c:pt idx="29">
                  <c:v>0.59106460702649921</c:v>
                </c:pt>
                <c:pt idx="30">
                  <c:v>0.66275783168157409</c:v>
                </c:pt>
                <c:pt idx="31">
                  <c:v>0.67209785793571752</c:v>
                </c:pt>
                <c:pt idx="32">
                  <c:v>0.69897000433601886</c:v>
                </c:pt>
                <c:pt idx="33">
                  <c:v>-0.35654732351381258</c:v>
                </c:pt>
                <c:pt idx="34">
                  <c:v>-0.33724216831842591</c:v>
                </c:pt>
                <c:pt idx="35">
                  <c:v>-0.20760831050174613</c:v>
                </c:pt>
                <c:pt idx="36">
                  <c:v>-0.18045606445813131</c:v>
                </c:pt>
                <c:pt idx="37">
                  <c:v>4.1392685158225077E-2</c:v>
                </c:pt>
                <c:pt idx="38">
                  <c:v>6.8185861746161619E-2</c:v>
                </c:pt>
                <c:pt idx="39">
                  <c:v>1.6020599913279623</c:v>
                </c:pt>
                <c:pt idx="40">
                  <c:v>1.0413926851582251</c:v>
                </c:pt>
                <c:pt idx="41">
                  <c:v>1.146128035678238</c:v>
                </c:pt>
                <c:pt idx="42">
                  <c:v>0.77085201164214423</c:v>
                </c:pt>
                <c:pt idx="43">
                  <c:v>0.3979400086720376</c:v>
                </c:pt>
                <c:pt idx="44">
                  <c:v>0.3979400086720376</c:v>
                </c:pt>
                <c:pt idx="45">
                  <c:v>0.17609125905568124</c:v>
                </c:pt>
                <c:pt idx="46">
                  <c:v>-0.22184874961635639</c:v>
                </c:pt>
                <c:pt idx="47">
                  <c:v>-0.11918640771920865</c:v>
                </c:pt>
                <c:pt idx="48">
                  <c:v>1.5563025007672873</c:v>
                </c:pt>
                <c:pt idx="49">
                  <c:v>1.5563025007672873</c:v>
                </c:pt>
                <c:pt idx="50">
                  <c:v>7.9181246047624818E-2</c:v>
                </c:pt>
                <c:pt idx="51">
                  <c:v>-0.17392519729917355</c:v>
                </c:pt>
                <c:pt idx="52">
                  <c:v>-0.88605664769316317</c:v>
                </c:pt>
                <c:pt idx="53">
                  <c:v>-1.3467874862246563</c:v>
                </c:pt>
                <c:pt idx="54">
                  <c:v>0.39269695325966575</c:v>
                </c:pt>
                <c:pt idx="55">
                  <c:v>-4.5757490560675115E-2</c:v>
                </c:pt>
                <c:pt idx="56">
                  <c:v>-0.65757731917779372</c:v>
                </c:pt>
                <c:pt idx="57">
                  <c:v>-1.2924298239020637</c:v>
                </c:pt>
                <c:pt idx="58">
                  <c:v>0.54406804435027567</c:v>
                </c:pt>
                <c:pt idx="59">
                  <c:v>0.21218760440395779</c:v>
                </c:pt>
                <c:pt idx="60">
                  <c:v>-0.48148606012211248</c:v>
                </c:pt>
                <c:pt idx="61">
                  <c:v>-0.95860731484177497</c:v>
                </c:pt>
                <c:pt idx="62">
                  <c:v>0.31806333496276157</c:v>
                </c:pt>
                <c:pt idx="63">
                  <c:v>0.14301480025409505</c:v>
                </c:pt>
                <c:pt idx="64">
                  <c:v>-0.65757731917779372</c:v>
                </c:pt>
                <c:pt idx="65">
                  <c:v>-1.0087739243075051</c:v>
                </c:pt>
                <c:pt idx="66">
                  <c:v>0.72263392253381231</c:v>
                </c:pt>
                <c:pt idx="67">
                  <c:v>7.9181246047624818E-2</c:v>
                </c:pt>
                <c:pt idx="68">
                  <c:v>-0.35654732351381258</c:v>
                </c:pt>
                <c:pt idx="69">
                  <c:v>-0.95860731484177497</c:v>
                </c:pt>
                <c:pt idx="70">
                  <c:v>0.56229286445647475</c:v>
                </c:pt>
                <c:pt idx="71">
                  <c:v>0.32014628611105395</c:v>
                </c:pt>
                <c:pt idx="72">
                  <c:v>-0.37675070960209955</c:v>
                </c:pt>
                <c:pt idx="73">
                  <c:v>-0.92081875395237522</c:v>
                </c:pt>
                <c:pt idx="74">
                  <c:v>0.75663610824584804</c:v>
                </c:pt>
                <c:pt idx="75">
                  <c:v>7.554696139253074E-2</c:v>
                </c:pt>
                <c:pt idx="76">
                  <c:v>-0.46852108295774486</c:v>
                </c:pt>
                <c:pt idx="77">
                  <c:v>-1.1023729087095586</c:v>
                </c:pt>
                <c:pt idx="78">
                  <c:v>0.78746047451841505</c:v>
                </c:pt>
                <c:pt idx="79">
                  <c:v>0.33645973384852951</c:v>
                </c:pt>
                <c:pt idx="80">
                  <c:v>-0.29242982390206362</c:v>
                </c:pt>
                <c:pt idx="81">
                  <c:v>-0.769551078621726</c:v>
                </c:pt>
                <c:pt idx="82">
                  <c:v>1.1687920203141817</c:v>
                </c:pt>
                <c:pt idx="83">
                  <c:v>0.44404479591807622</c:v>
                </c:pt>
                <c:pt idx="84">
                  <c:v>5.3078443483419682E-2</c:v>
                </c:pt>
                <c:pt idx="85">
                  <c:v>-0.53760200210104392</c:v>
                </c:pt>
                <c:pt idx="86">
                  <c:v>1.3304137733491908</c:v>
                </c:pt>
                <c:pt idx="87">
                  <c:v>0.60852603357719404</c:v>
                </c:pt>
                <c:pt idx="88">
                  <c:v>2.5305865264770262E-2</c:v>
                </c:pt>
                <c:pt idx="89">
                  <c:v>-0.58502665202918203</c:v>
                </c:pt>
                <c:pt idx="90">
                  <c:v>1.0390173219974119</c:v>
                </c:pt>
                <c:pt idx="91">
                  <c:v>0.44247976906444858</c:v>
                </c:pt>
                <c:pt idx="92">
                  <c:v>-4.0958607678906384E-2</c:v>
                </c:pt>
                <c:pt idx="93">
                  <c:v>-0.69897000433601875</c:v>
                </c:pt>
                <c:pt idx="94">
                  <c:v>0.22010808804005508</c:v>
                </c:pt>
                <c:pt idx="95">
                  <c:v>-0.10790539730951958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703-4247-A070-0B9E7DDA7192}"/>
            </c:ext>
          </c:extLst>
        </c:ser>
        <c:ser>
          <c:idx val="1"/>
          <c:order val="14"/>
          <c:tx>
            <c:strRef>
              <c:f>Bacillus!$C$205</c:f>
              <c:strCache>
                <c:ptCount val="1"/>
                <c:pt idx="0">
                  <c:v>9818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Bacillus!$I$205:$I$208</c:f>
              <c:numCache>
                <c:formatCode>General</c:formatCode>
                <c:ptCount val="4"/>
                <c:pt idx="0">
                  <c:v>115</c:v>
                </c:pt>
                <c:pt idx="1">
                  <c:v>120</c:v>
                </c:pt>
                <c:pt idx="2">
                  <c:v>98</c:v>
                </c:pt>
                <c:pt idx="3">
                  <c:v>100</c:v>
                </c:pt>
              </c:numCache>
            </c:numRef>
          </c:xVal>
          <c:yVal>
            <c:numRef>
              <c:f>Bacillus!$L$205:$L$208</c:f>
              <c:numCache>
                <c:formatCode>0.00</c:formatCode>
                <c:ptCount val="4"/>
                <c:pt idx="0">
                  <c:v>-2.2276394711152253E-2</c:v>
                </c:pt>
                <c:pt idx="1">
                  <c:v>-0.35654732351381258</c:v>
                </c:pt>
                <c:pt idx="2">
                  <c:v>4.1392685158225077E-2</c:v>
                </c:pt>
                <c:pt idx="3">
                  <c:v>-0.19382002601611281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703-4247-A070-0B9E7DDA7192}"/>
            </c:ext>
          </c:extLst>
        </c:ser>
        <c:ser>
          <c:idx val="2"/>
          <c:order val="15"/>
          <c:tx>
            <c:strRef>
              <c:f>Bacillus!$C$209</c:f>
              <c:strCache>
                <c:ptCount val="1"/>
                <c:pt idx="0">
                  <c:v>4342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Bacillus!$I$209:$I$215</c:f>
              <c:numCache>
                <c:formatCode>General</c:formatCode>
                <c:ptCount val="7"/>
                <c:pt idx="0">
                  <c:v>106</c:v>
                </c:pt>
                <c:pt idx="1">
                  <c:v>110</c:v>
                </c:pt>
                <c:pt idx="2">
                  <c:v>92</c:v>
                </c:pt>
                <c:pt idx="3">
                  <c:v>96</c:v>
                </c:pt>
                <c:pt idx="4">
                  <c:v>100</c:v>
                </c:pt>
                <c:pt idx="5">
                  <c:v>106</c:v>
                </c:pt>
                <c:pt idx="6">
                  <c:v>100</c:v>
                </c:pt>
              </c:numCache>
            </c:numRef>
          </c:xVal>
          <c:yVal>
            <c:numRef>
              <c:f>Bacillus!$L$209:$L$215</c:f>
              <c:numCache>
                <c:formatCode>0.00</c:formatCode>
                <c:ptCount val="7"/>
                <c:pt idx="0">
                  <c:v>-0.92081875395237522</c:v>
                </c:pt>
                <c:pt idx="1">
                  <c:v>-1.3372421683184259</c:v>
                </c:pt>
                <c:pt idx="2">
                  <c:v>0.34635297445063867</c:v>
                </c:pt>
                <c:pt idx="3">
                  <c:v>-0.13076828026902382</c:v>
                </c:pt>
                <c:pt idx="4">
                  <c:v>-0.6020599913279624</c:v>
                </c:pt>
                <c:pt idx="5">
                  <c:v>-1.2924298239020637</c:v>
                </c:pt>
                <c:pt idx="6">
                  <c:v>0.71767050300226209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703-4247-A070-0B9E7DDA7192}"/>
            </c:ext>
          </c:extLst>
        </c:ser>
        <c:ser>
          <c:idx val="3"/>
          <c:order val="16"/>
          <c:tx>
            <c:v>B2ac</c:v>
          </c:tx>
          <c:spPr>
            <a:ln w="28575"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Bacillus!$I$245:$I$252</c:f>
              <c:numCache>
                <c:formatCode>General</c:formatCode>
                <c:ptCount val="8"/>
                <c:pt idx="0">
                  <c:v>98</c:v>
                </c:pt>
                <c:pt idx="1">
                  <c:v>98</c:v>
                </c:pt>
                <c:pt idx="2">
                  <c:v>100</c:v>
                </c:pt>
                <c:pt idx="3">
                  <c:v>106</c:v>
                </c:pt>
                <c:pt idx="4">
                  <c:v>110</c:v>
                </c:pt>
                <c:pt idx="5">
                  <c:v>92</c:v>
                </c:pt>
                <c:pt idx="6">
                  <c:v>92</c:v>
                </c:pt>
                <c:pt idx="7">
                  <c:v>96</c:v>
                </c:pt>
              </c:numCache>
            </c:numRef>
          </c:xVal>
          <c:yVal>
            <c:numRef>
              <c:f>Bacillus!$L$245:$L$252</c:f>
              <c:numCache>
                <c:formatCode>0.00</c:formatCode>
                <c:ptCount val="8"/>
                <c:pt idx="0">
                  <c:v>0.3010299956639812</c:v>
                </c:pt>
                <c:pt idx="1">
                  <c:v>0.3010299956639812</c:v>
                </c:pt>
                <c:pt idx="2">
                  <c:v>2.1189299069938092E-2</c:v>
                </c:pt>
                <c:pt idx="3">
                  <c:v>-0.65757731917779372</c:v>
                </c:pt>
                <c:pt idx="4">
                  <c:v>-1.2218487496163564</c:v>
                </c:pt>
                <c:pt idx="5">
                  <c:v>0.34242268082220628</c:v>
                </c:pt>
                <c:pt idx="6">
                  <c:v>0.41995574848975786</c:v>
                </c:pt>
                <c:pt idx="7">
                  <c:v>-5.0609993355087209E-2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703-4247-A070-0B9E7DDA7192}"/>
            </c:ext>
          </c:extLst>
        </c:ser>
        <c:ser>
          <c:idx val="4"/>
          <c:order val="17"/>
          <c:tx>
            <c:v>B4ac</c:v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Bacillus!$I$254:$I$260</c:f>
              <c:numCache>
                <c:formatCode>General</c:formatCode>
                <c:ptCount val="7"/>
                <c:pt idx="0">
                  <c:v>100</c:v>
                </c:pt>
                <c:pt idx="1">
                  <c:v>106</c:v>
                </c:pt>
                <c:pt idx="2">
                  <c:v>100</c:v>
                </c:pt>
                <c:pt idx="3">
                  <c:v>103</c:v>
                </c:pt>
                <c:pt idx="4">
                  <c:v>103</c:v>
                </c:pt>
                <c:pt idx="5">
                  <c:v>110</c:v>
                </c:pt>
                <c:pt idx="6">
                  <c:v>115</c:v>
                </c:pt>
              </c:numCache>
            </c:numRef>
          </c:xVal>
          <c:yVal>
            <c:numRef>
              <c:f>Bacillus!$L$254:$L$260</c:f>
              <c:numCache>
                <c:formatCode>0.00</c:formatCode>
                <c:ptCount val="7"/>
                <c:pt idx="0">
                  <c:v>-0.37468754903832607</c:v>
                </c:pt>
                <c:pt idx="1">
                  <c:v>-1.2924298239020637</c:v>
                </c:pt>
                <c:pt idx="2">
                  <c:v>0.96754797621886202</c:v>
                </c:pt>
                <c:pt idx="3">
                  <c:v>0.64738297011461976</c:v>
                </c:pt>
                <c:pt idx="4">
                  <c:v>0.66838591669000014</c:v>
                </c:pt>
                <c:pt idx="5">
                  <c:v>-0.13667713987954411</c:v>
                </c:pt>
                <c:pt idx="6">
                  <c:v>-0.6020599913279624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703-4247-A070-0B9E7DDA7192}"/>
            </c:ext>
          </c:extLst>
        </c:ser>
        <c:ser>
          <c:idx val="20"/>
          <c:order val="18"/>
          <c:tx>
            <c:v>B6ac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9900"/>
              </a:solidFill>
              <a:ln>
                <a:solidFill>
                  <a:srgbClr val="FF9900"/>
                </a:solidFill>
                <a:prstDash val="solid"/>
              </a:ln>
            </c:spPr>
          </c:marker>
          <c:xVal>
            <c:numRef>
              <c:f>Bacillus!$I$261:$I$265</c:f>
              <c:numCache>
                <c:formatCode>General</c:formatCode>
                <c:ptCount val="5"/>
                <c:pt idx="0">
                  <c:v>95</c:v>
                </c:pt>
                <c:pt idx="1">
                  <c:v>98</c:v>
                </c:pt>
                <c:pt idx="2">
                  <c:v>100</c:v>
                </c:pt>
                <c:pt idx="3">
                  <c:v>100</c:v>
                </c:pt>
                <c:pt idx="4">
                  <c:v>102</c:v>
                </c:pt>
              </c:numCache>
            </c:numRef>
          </c:xVal>
          <c:yVal>
            <c:numRef>
              <c:f>Bacillus!$L$261:$L$265</c:f>
              <c:numCache>
                <c:formatCode>0.00</c:formatCode>
                <c:ptCount val="5"/>
                <c:pt idx="0">
                  <c:v>0.26245108973042947</c:v>
                </c:pt>
                <c:pt idx="1">
                  <c:v>-0.15490195998574319</c:v>
                </c:pt>
                <c:pt idx="2">
                  <c:v>-0.44369749923271273</c:v>
                </c:pt>
                <c:pt idx="3">
                  <c:v>-0.31875876262441277</c:v>
                </c:pt>
                <c:pt idx="4">
                  <c:v>-0.6020599913279624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703-4247-A070-0B9E7DDA7192}"/>
            </c:ext>
          </c:extLst>
        </c:ser>
        <c:ser>
          <c:idx val="21"/>
          <c:order val="19"/>
          <c:tx>
            <c:strRef>
              <c:f>Bacillus!$C$322</c:f>
              <c:strCache>
                <c:ptCount val="1"/>
                <c:pt idx="0">
                  <c:v>7004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FF6600"/>
                </a:solidFill>
                <a:prstDash val="solid"/>
              </a:ln>
            </c:spPr>
          </c:marker>
          <c:xVal>
            <c:numRef>
              <c:f>Bacillus!$I$322</c:f>
              <c:numCache>
                <c:formatCode>General</c:formatCode>
                <c:ptCount val="1"/>
                <c:pt idx="0">
                  <c:v>106</c:v>
                </c:pt>
              </c:numCache>
            </c:numRef>
          </c:xVal>
          <c:yVal>
            <c:numRef>
              <c:f>Bacillus!$L$322</c:f>
              <c:numCache>
                <c:formatCode>0.00</c:formatCode>
                <c:ptCount val="1"/>
                <c:pt idx="0">
                  <c:v>-1.6382721639824072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703-4247-A070-0B9E7DDA7192}"/>
            </c:ext>
          </c:extLst>
        </c:ser>
        <c:ser>
          <c:idx val="22"/>
          <c:order val="20"/>
          <c:tx>
            <c:strRef>
              <c:f>Bacillus!$C$323</c:f>
              <c:strCache>
                <c:ptCount val="1"/>
                <c:pt idx="0">
                  <c:v>7004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666699"/>
                </a:solidFill>
                <a:prstDash val="solid"/>
              </a:ln>
            </c:spPr>
          </c:marker>
          <c:xVal>
            <c:numRef>
              <c:f>Bacillus!$I$323</c:f>
              <c:numCache>
                <c:formatCode>General</c:formatCode>
                <c:ptCount val="1"/>
                <c:pt idx="0">
                  <c:v>92</c:v>
                </c:pt>
              </c:numCache>
            </c:numRef>
          </c:xVal>
          <c:yVal>
            <c:numRef>
              <c:f>Bacillus!$L$323</c:f>
              <c:numCache>
                <c:formatCode>0.00</c:formatCode>
                <c:ptCount val="1"/>
                <c:pt idx="0">
                  <c:v>6.445798922691845E-2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703-4247-A070-0B9E7DDA7192}"/>
            </c:ext>
          </c:extLst>
        </c:ser>
        <c:ser>
          <c:idx val="23"/>
          <c:order val="21"/>
          <c:tx>
            <c:strRef>
              <c:f>Bacillus!$C$324</c:f>
              <c:strCache>
                <c:ptCount val="1"/>
                <c:pt idx="0">
                  <c:v>7004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969696"/>
              </a:solidFill>
              <a:ln>
                <a:solidFill>
                  <a:srgbClr val="969696"/>
                </a:solidFill>
                <a:prstDash val="solid"/>
              </a:ln>
            </c:spPr>
          </c:marker>
          <c:xVal>
            <c:numRef>
              <c:f>Bacillus!$I$324</c:f>
              <c:numCache>
                <c:formatCode>General</c:formatCode>
                <c:ptCount val="1"/>
                <c:pt idx="0">
                  <c:v>96</c:v>
                </c:pt>
              </c:numCache>
            </c:numRef>
          </c:xVal>
          <c:yVal>
            <c:numRef>
              <c:f>Bacillus!$L$324</c:f>
              <c:numCache>
                <c:formatCode>0.00</c:formatCode>
                <c:ptCount val="1"/>
                <c:pt idx="0">
                  <c:v>-0.40893539297350079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703-4247-A070-0B9E7DDA7192}"/>
            </c:ext>
          </c:extLst>
        </c:ser>
        <c:ser>
          <c:idx val="24"/>
          <c:order val="22"/>
          <c:tx>
            <c:strRef>
              <c:f>Bacillus!$C$325</c:f>
              <c:strCache>
                <c:ptCount val="1"/>
                <c:pt idx="0">
                  <c:v>7004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003366"/>
                </a:solidFill>
                <a:prstDash val="solid"/>
              </a:ln>
            </c:spPr>
          </c:marker>
          <c:xVal>
            <c:numRef>
              <c:f>Bacillus!$I$325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Ref>
              <c:f>Bacillus!$L$325</c:f>
              <c:numCache>
                <c:formatCode>0.00</c:formatCode>
                <c:ptCount val="1"/>
                <c:pt idx="0">
                  <c:v>-0.92081875395237522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703-4247-A070-0B9E7DDA7192}"/>
            </c:ext>
          </c:extLst>
        </c:ser>
        <c:ser>
          <c:idx val="25"/>
          <c:order val="23"/>
          <c:tx>
            <c:strRef>
              <c:f>Bacillus!$C$326</c:f>
              <c:strCache>
                <c:ptCount val="1"/>
                <c:pt idx="0">
                  <c:v>7004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5"/>
            <c:spPr>
              <a:noFill/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Bacillus!$I$326</c:f>
              <c:numCache>
                <c:formatCode>General</c:formatCode>
                <c:ptCount val="1"/>
                <c:pt idx="0">
                  <c:v>102</c:v>
                </c:pt>
              </c:numCache>
            </c:numRef>
          </c:xVal>
          <c:yVal>
            <c:numRef>
              <c:f>Bacillus!$L$326</c:f>
              <c:numCache>
                <c:formatCode>0.00</c:formatCode>
                <c:ptCount val="1"/>
                <c:pt idx="0">
                  <c:v>-1.1549019599857431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703-4247-A070-0B9E7DDA7192}"/>
            </c:ext>
          </c:extLst>
        </c:ser>
        <c:ser>
          <c:idx val="26"/>
          <c:order val="24"/>
          <c:tx>
            <c:strRef>
              <c:f>Bacillus!$C$327</c:f>
              <c:strCache>
                <c:ptCount val="1"/>
                <c:pt idx="0">
                  <c:v>7004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5"/>
            <c:spPr>
              <a:noFill/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Bacillus!$I$327:$I$328</c:f>
              <c:numCache>
                <c:formatCode>General</c:formatCode>
                <c:ptCount val="2"/>
                <c:pt idx="0">
                  <c:v>106</c:v>
                </c:pt>
                <c:pt idx="1">
                  <c:v>98</c:v>
                </c:pt>
              </c:numCache>
            </c:numRef>
          </c:xVal>
          <c:yVal>
            <c:numRef>
              <c:f>Bacillus!$L$327:$L$328</c:f>
              <c:numCache>
                <c:formatCode>0.00</c:formatCode>
                <c:ptCount val="2"/>
                <c:pt idx="0">
                  <c:v>-1.7212463990471711</c:v>
                </c:pt>
                <c:pt idx="1">
                  <c:v>0.23044892137827391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703-4247-A070-0B9E7DDA7192}"/>
            </c:ext>
          </c:extLst>
        </c:ser>
        <c:ser>
          <c:idx val="27"/>
          <c:order val="25"/>
          <c:tx>
            <c:strRef>
              <c:f>Bacillus!$C$329</c:f>
              <c:strCache>
                <c:ptCount val="1"/>
                <c:pt idx="0">
                  <c:v>9818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333300"/>
              </a:solidFill>
              <a:ln>
                <a:solidFill>
                  <a:srgbClr val="333300"/>
                </a:solidFill>
                <a:prstDash val="solid"/>
              </a:ln>
            </c:spPr>
          </c:marker>
          <c:xVal>
            <c:numRef>
              <c:f>Bacillus!$I$329</c:f>
              <c:numCache>
                <c:formatCode>General</c:formatCode>
                <c:ptCount val="1"/>
                <c:pt idx="0">
                  <c:v>98</c:v>
                </c:pt>
              </c:numCache>
            </c:numRef>
          </c:xVal>
          <c:yVal>
            <c:numRef>
              <c:f>Bacillus!$L$329</c:f>
              <c:numCache>
                <c:formatCode>0.00</c:formatCode>
                <c:ptCount val="1"/>
                <c:pt idx="0">
                  <c:v>0.64246452024212131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703-4247-A070-0B9E7DDA7192}"/>
            </c:ext>
          </c:extLst>
        </c:ser>
        <c:ser>
          <c:idx val="28"/>
          <c:order val="26"/>
          <c:tx>
            <c:strRef>
              <c:f>Bacillus!$C$330</c:f>
              <c:strCache>
                <c:ptCount val="1"/>
                <c:pt idx="0">
                  <c:v>9818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Bacillus!$I$330</c:f>
              <c:numCache>
                <c:formatCode>General</c:formatCode>
                <c:ptCount val="1"/>
                <c:pt idx="0">
                  <c:v>98</c:v>
                </c:pt>
              </c:numCache>
            </c:numRef>
          </c:xVal>
          <c:yVal>
            <c:numRef>
              <c:f>Bacillus!$L$330</c:f>
              <c:numCache>
                <c:formatCode>0.00</c:formatCode>
                <c:ptCount val="1"/>
                <c:pt idx="0">
                  <c:v>0.74663419893757876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703-4247-A070-0B9E7DDA7192}"/>
            </c:ext>
          </c:extLst>
        </c:ser>
        <c:ser>
          <c:idx val="29"/>
          <c:order val="27"/>
          <c:tx>
            <c:strRef>
              <c:f>Bacillus!$C$452</c:f>
              <c:strCache>
                <c:ptCount val="1"/>
                <c:pt idx="0">
                  <c:v>B6ac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993366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xVal>
            <c:numRef>
              <c:f>Bacillus!$I$452:$I$461</c:f>
              <c:numCache>
                <c:formatCode>General</c:formatCode>
                <c:ptCount val="10"/>
                <c:pt idx="0">
                  <c:v>102.5</c:v>
                </c:pt>
                <c:pt idx="1">
                  <c:v>95</c:v>
                </c:pt>
                <c:pt idx="2">
                  <c:v>97.5</c:v>
                </c:pt>
                <c:pt idx="3">
                  <c:v>100</c:v>
                </c:pt>
                <c:pt idx="4">
                  <c:v>102.5</c:v>
                </c:pt>
                <c:pt idx="5">
                  <c:v>104.4</c:v>
                </c:pt>
                <c:pt idx="6">
                  <c:v>104.4</c:v>
                </c:pt>
                <c:pt idx="7">
                  <c:v>110</c:v>
                </c:pt>
                <c:pt idx="8">
                  <c:v>110</c:v>
                </c:pt>
                <c:pt idx="9">
                  <c:v>115.6</c:v>
                </c:pt>
              </c:numCache>
            </c:numRef>
          </c:xVal>
          <c:yVal>
            <c:numRef>
              <c:f>Bacillus!$L$452:$L$461</c:f>
              <c:numCache>
                <c:formatCode>0.00</c:formatCode>
                <c:ptCount val="10"/>
                <c:pt idx="0">
                  <c:v>0.11394335230683679</c:v>
                </c:pt>
                <c:pt idx="1">
                  <c:v>1.3364597338485296</c:v>
                </c:pt>
                <c:pt idx="2">
                  <c:v>1.2455126678141499</c:v>
                </c:pt>
                <c:pt idx="3">
                  <c:v>0.83884909073725533</c:v>
                </c:pt>
                <c:pt idx="4">
                  <c:v>0.64345267648618742</c:v>
                </c:pt>
                <c:pt idx="5">
                  <c:v>0.16136800223497488</c:v>
                </c:pt>
                <c:pt idx="6">
                  <c:v>0.20682587603184974</c:v>
                </c:pt>
                <c:pt idx="7">
                  <c:v>-0.27572413039921095</c:v>
                </c:pt>
                <c:pt idx="8">
                  <c:v>-0.28399665636520083</c:v>
                </c:pt>
                <c:pt idx="9">
                  <c:v>-0.88605664769316317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703-4247-A070-0B9E7DDA7192}"/>
            </c:ext>
          </c:extLst>
        </c:ser>
        <c:ser>
          <c:idx val="7"/>
          <c:order val="28"/>
          <c:tx>
            <c:strRef>
              <c:f>Bacillus!$C$4</c:f>
              <c:strCache>
                <c:ptCount val="1"/>
                <c:pt idx="0">
                  <c:v>FIRD 446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Bacillus!$I$4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Ref>
              <c:f>Bacillus!$L$3</c:f>
              <c:numCache>
                <c:formatCode>0.00</c:formatCode>
                <c:ptCount val="1"/>
                <c:pt idx="0">
                  <c:v>1.5587085705331658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703-4247-A070-0B9E7DDA7192}"/>
            </c:ext>
          </c:extLst>
        </c:ser>
        <c:ser>
          <c:idx val="8"/>
          <c:order val="29"/>
          <c:tx>
            <c:strRef>
              <c:f>Bacillus!$C$5</c:f>
              <c:strCache>
                <c:ptCount val="1"/>
                <c:pt idx="0">
                  <c:v>SHMD 21/84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xVal>
            <c:numRef>
              <c:f>Bacillus!$I$5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Ref>
              <c:f>Bacillus!$L$5</c:f>
              <c:numCache>
                <c:formatCode>0.00</c:formatCode>
                <c:ptCount val="1"/>
                <c:pt idx="0">
                  <c:v>0.62324929039790045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703-4247-A070-0B9E7DDA7192}"/>
            </c:ext>
          </c:extLst>
        </c:ser>
        <c:ser>
          <c:idx val="30"/>
          <c:order val="30"/>
          <c:tx>
            <c:v>Unknown</c:v>
          </c:tx>
          <c:spPr>
            <a:ln w="28575"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333399"/>
                </a:solidFill>
                <a:prstDash val="solid"/>
              </a:ln>
            </c:spPr>
          </c:marker>
          <c:xVal>
            <c:numRef>
              <c:f>(Bacillus!$I$2:$I$3,Bacillus!$I$6:$I$11)</c:f>
              <c:numCache>
                <c:formatCode>General</c:formatCode>
                <c:ptCount val="8"/>
                <c:pt idx="0">
                  <c:v>95</c:v>
                </c:pt>
                <c:pt idx="1">
                  <c:v>95</c:v>
                </c:pt>
                <c:pt idx="2">
                  <c:v>95</c:v>
                </c:pt>
                <c:pt idx="3">
                  <c:v>95</c:v>
                </c:pt>
                <c:pt idx="4">
                  <c:v>95</c:v>
                </c:pt>
                <c:pt idx="5">
                  <c:v>95</c:v>
                </c:pt>
                <c:pt idx="6">
                  <c:v>90</c:v>
                </c:pt>
                <c:pt idx="7">
                  <c:v>97.5</c:v>
                </c:pt>
              </c:numCache>
            </c:numRef>
          </c:xVal>
          <c:yVal>
            <c:numRef>
              <c:f>(Bacillus!$L$2:$L$3,Bacillus!$L$6:$L$11)</c:f>
              <c:numCache>
                <c:formatCode>0.00</c:formatCode>
                <c:ptCount val="8"/>
                <c:pt idx="0">
                  <c:v>0.46239799789895608</c:v>
                </c:pt>
                <c:pt idx="1">
                  <c:v>1.5587085705331658</c:v>
                </c:pt>
                <c:pt idx="2">
                  <c:v>0.47712125471966244</c:v>
                </c:pt>
                <c:pt idx="3">
                  <c:v>0.25527250510330607</c:v>
                </c:pt>
                <c:pt idx="4">
                  <c:v>1.2810333672477277</c:v>
                </c:pt>
                <c:pt idx="5">
                  <c:v>0.43136376415898736</c:v>
                </c:pt>
                <c:pt idx="6">
                  <c:v>1.0374264979406236</c:v>
                </c:pt>
                <c:pt idx="7">
                  <c:v>0.11394335230683679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703-4247-A070-0B9E7DDA71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066384"/>
        <c:axId val="1"/>
      </c:scatterChart>
      <c:valAx>
        <c:axId val="481066384"/>
        <c:scaling>
          <c:orientation val="minMax"/>
          <c:min val="80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1175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T (</a:t>
                </a:r>
                <a:r>
                  <a:rPr lang="nl-NL" sz="1175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°</a:t>
                </a:r>
                <a:r>
                  <a:rPr lang="nl-NL" sz="1175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C)</a:t>
                </a:r>
              </a:p>
            </c:rich>
          </c:tx>
          <c:layout>
            <c:manualLayout>
              <c:xMode val="edge"/>
              <c:yMode val="edge"/>
              <c:x val="0.45268171920150357"/>
              <c:y val="0.8681672025723472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log D</a:t>
                </a:r>
              </a:p>
            </c:rich>
          </c:tx>
          <c:layout>
            <c:manualLayout>
              <c:xMode val="edge"/>
              <c:yMode val="edge"/>
              <c:x val="2.0504731861198739E-2"/>
              <c:y val="0.41800643086816719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810663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7539498414433203"/>
          <c:y val="0.15112540192926044"/>
          <c:w val="0.11198754729791272"/>
          <c:h val="0.810289389067524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Effect pH</a:t>
            </a:r>
          </a:p>
        </c:rich>
      </c:tx>
      <c:layout>
        <c:manualLayout>
          <c:xMode val="edge"/>
          <c:yMode val="edge"/>
          <c:x val="0.42362204724409447"/>
          <c:y val="3.211009174311926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275590551181104"/>
          <c:y val="0.18807360512113533"/>
          <c:w val="0.70236220472440947"/>
          <c:h val="0.68119342342655109"/>
        </c:manualLayout>
      </c:layout>
      <c:scatterChart>
        <c:scatterStyle val="lineMarker"/>
        <c:varyColors val="0"/>
        <c:ser>
          <c:idx val="0"/>
          <c:order val="0"/>
          <c:tx>
            <c:v>4.5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Bacillus!$I$2:$I$16</c:f>
              <c:numCache>
                <c:formatCode>General</c:formatCode>
                <c:ptCount val="15"/>
                <c:pt idx="0">
                  <c:v>95</c:v>
                </c:pt>
                <c:pt idx="1">
                  <c:v>95</c:v>
                </c:pt>
                <c:pt idx="2">
                  <c:v>100</c:v>
                </c:pt>
                <c:pt idx="3">
                  <c:v>100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90</c:v>
                </c:pt>
                <c:pt idx="9">
                  <c:v>97.5</c:v>
                </c:pt>
                <c:pt idx="10">
                  <c:v>90</c:v>
                </c:pt>
                <c:pt idx="11">
                  <c:v>95</c:v>
                </c:pt>
                <c:pt idx="12">
                  <c:v>97.5</c:v>
                </c:pt>
                <c:pt idx="13">
                  <c:v>100</c:v>
                </c:pt>
                <c:pt idx="14">
                  <c:v>90</c:v>
                </c:pt>
              </c:numCache>
            </c:numRef>
          </c:xVal>
          <c:yVal>
            <c:numRef>
              <c:f>Bacillus!$L$2:$L$16</c:f>
              <c:numCache>
                <c:formatCode>0.00</c:formatCode>
                <c:ptCount val="15"/>
                <c:pt idx="0">
                  <c:v>0.46239799789895608</c:v>
                </c:pt>
                <c:pt idx="1">
                  <c:v>1.5587085705331658</c:v>
                </c:pt>
                <c:pt idx="2">
                  <c:v>0.79934054945358168</c:v>
                </c:pt>
                <c:pt idx="3">
                  <c:v>0.62324929039790045</c:v>
                </c:pt>
                <c:pt idx="4">
                  <c:v>0.47712125471966244</c:v>
                </c:pt>
                <c:pt idx="5">
                  <c:v>0.25527250510330607</c:v>
                </c:pt>
                <c:pt idx="6">
                  <c:v>1.2810333672477277</c:v>
                </c:pt>
                <c:pt idx="7">
                  <c:v>0.43136376415898736</c:v>
                </c:pt>
                <c:pt idx="8">
                  <c:v>1.0374264979406236</c:v>
                </c:pt>
                <c:pt idx="9">
                  <c:v>0.11394335230683679</c:v>
                </c:pt>
                <c:pt idx="10">
                  <c:v>1.6434526764861874</c:v>
                </c:pt>
                <c:pt idx="11">
                  <c:v>0.96848294855393513</c:v>
                </c:pt>
                <c:pt idx="12">
                  <c:v>0.82607480270082645</c:v>
                </c:pt>
                <c:pt idx="13">
                  <c:v>0.46239799789895608</c:v>
                </c:pt>
                <c:pt idx="14">
                  <c:v>1.3521825181113625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31-46A3-AD8C-990375187D6E}"/>
            </c:ext>
          </c:extLst>
        </c:ser>
        <c:ser>
          <c:idx val="1"/>
          <c:order val="1"/>
          <c:tx>
            <c:v>5.5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Bacillus!$I$17:$I$39</c:f>
              <c:numCache>
                <c:formatCode>General</c:formatCode>
                <c:ptCount val="23"/>
                <c:pt idx="0">
                  <c:v>95</c:v>
                </c:pt>
                <c:pt idx="1">
                  <c:v>97.5</c:v>
                </c:pt>
                <c:pt idx="2">
                  <c:v>100</c:v>
                </c:pt>
                <c:pt idx="3">
                  <c:v>95</c:v>
                </c:pt>
                <c:pt idx="4">
                  <c:v>97.5</c:v>
                </c:pt>
                <c:pt idx="5">
                  <c:v>100</c:v>
                </c:pt>
                <c:pt idx="6">
                  <c:v>100</c:v>
                </c:pt>
                <c:pt idx="7">
                  <c:v>115</c:v>
                </c:pt>
                <c:pt idx="8">
                  <c:v>95</c:v>
                </c:pt>
                <c:pt idx="9">
                  <c:v>95</c:v>
                </c:pt>
                <c:pt idx="10">
                  <c:v>95</c:v>
                </c:pt>
                <c:pt idx="11">
                  <c:v>95</c:v>
                </c:pt>
                <c:pt idx="12">
                  <c:v>95</c:v>
                </c:pt>
                <c:pt idx="13">
                  <c:v>95</c:v>
                </c:pt>
                <c:pt idx="14">
                  <c:v>85</c:v>
                </c:pt>
                <c:pt idx="15">
                  <c:v>85</c:v>
                </c:pt>
                <c:pt idx="16">
                  <c:v>90</c:v>
                </c:pt>
                <c:pt idx="17">
                  <c:v>90</c:v>
                </c:pt>
                <c:pt idx="18">
                  <c:v>95</c:v>
                </c:pt>
                <c:pt idx="19">
                  <c:v>95</c:v>
                </c:pt>
                <c:pt idx="20">
                  <c:v>100</c:v>
                </c:pt>
                <c:pt idx="21">
                  <c:v>100</c:v>
                </c:pt>
                <c:pt idx="22">
                  <c:v>90</c:v>
                </c:pt>
              </c:numCache>
            </c:numRef>
          </c:xVal>
          <c:yVal>
            <c:numRef>
              <c:f>Bacillus!$L$17:$L$39</c:f>
              <c:numCache>
                <c:formatCode>0.00</c:formatCode>
                <c:ptCount val="23"/>
                <c:pt idx="0">
                  <c:v>0.77085201164214423</c:v>
                </c:pt>
                <c:pt idx="1">
                  <c:v>0.43136376415898736</c:v>
                </c:pt>
                <c:pt idx="2">
                  <c:v>0.20411998265592479</c:v>
                </c:pt>
                <c:pt idx="3">
                  <c:v>1.1846914308175989</c:v>
                </c:pt>
                <c:pt idx="4">
                  <c:v>0.91381385238371671</c:v>
                </c:pt>
                <c:pt idx="5">
                  <c:v>0.62324929039790045</c:v>
                </c:pt>
                <c:pt idx="6">
                  <c:v>0.74036268949424389</c:v>
                </c:pt>
                <c:pt idx="7">
                  <c:v>-0.88605664769316317</c:v>
                </c:pt>
                <c:pt idx="8">
                  <c:v>1.209515014542631</c:v>
                </c:pt>
                <c:pt idx="9">
                  <c:v>1.2944662261615929</c:v>
                </c:pt>
                <c:pt idx="10">
                  <c:v>1.3802112417116059</c:v>
                </c:pt>
                <c:pt idx="11">
                  <c:v>1.5587085705331658</c:v>
                </c:pt>
                <c:pt idx="12">
                  <c:v>0.17609125905568124</c:v>
                </c:pt>
                <c:pt idx="13">
                  <c:v>0.97772360528884772</c:v>
                </c:pt>
                <c:pt idx="14">
                  <c:v>1.2041199826559248</c:v>
                </c:pt>
                <c:pt idx="15">
                  <c:v>1.2304489213782739</c:v>
                </c:pt>
                <c:pt idx="16">
                  <c:v>0.59106460702649921</c:v>
                </c:pt>
                <c:pt idx="17">
                  <c:v>0.61278385671973545</c:v>
                </c:pt>
                <c:pt idx="18">
                  <c:v>-2.6872146400301365E-2</c:v>
                </c:pt>
                <c:pt idx="19">
                  <c:v>-8.7739243075051505E-3</c:v>
                </c:pt>
                <c:pt idx="20">
                  <c:v>-0.65757731917779372</c:v>
                </c:pt>
                <c:pt idx="21">
                  <c:v>-0.65757731917779372</c:v>
                </c:pt>
                <c:pt idx="22">
                  <c:v>0.49136169383427269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31-46A3-AD8C-990375187D6E}"/>
            </c:ext>
          </c:extLst>
        </c:ser>
        <c:ser>
          <c:idx val="2"/>
          <c:order val="2"/>
          <c:tx>
            <c:v>6.3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Bacillus!$I$40:$I$53</c:f>
              <c:numCache>
                <c:formatCode>General</c:formatCode>
                <c:ptCount val="14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95</c:v>
                </c:pt>
                <c:pt idx="9">
                  <c:v>95</c:v>
                </c:pt>
                <c:pt idx="10">
                  <c:v>95</c:v>
                </c:pt>
                <c:pt idx="11">
                  <c:v>90</c:v>
                </c:pt>
                <c:pt idx="12">
                  <c:v>95</c:v>
                </c:pt>
                <c:pt idx="13">
                  <c:v>95</c:v>
                </c:pt>
              </c:numCache>
            </c:numRef>
          </c:xVal>
          <c:yVal>
            <c:numRef>
              <c:f>Bacillus!$L$40:$L$53</c:f>
              <c:numCache>
                <c:formatCode>0.00</c:formatCode>
                <c:ptCount val="14"/>
                <c:pt idx="0">
                  <c:v>0.54406804435027567</c:v>
                </c:pt>
                <c:pt idx="1">
                  <c:v>0.59106460702649921</c:v>
                </c:pt>
                <c:pt idx="2">
                  <c:v>0.66275783168157409</c:v>
                </c:pt>
                <c:pt idx="3">
                  <c:v>0.67209785793571752</c:v>
                </c:pt>
                <c:pt idx="4">
                  <c:v>0.69897000433601886</c:v>
                </c:pt>
                <c:pt idx="5">
                  <c:v>-0.35654732351381258</c:v>
                </c:pt>
                <c:pt idx="6">
                  <c:v>-0.33724216831842591</c:v>
                </c:pt>
                <c:pt idx="7">
                  <c:v>-0.20760831050174613</c:v>
                </c:pt>
                <c:pt idx="8">
                  <c:v>-0.18045606445813131</c:v>
                </c:pt>
                <c:pt idx="9">
                  <c:v>4.1392685158225077E-2</c:v>
                </c:pt>
                <c:pt idx="10">
                  <c:v>6.8185861746161619E-2</c:v>
                </c:pt>
                <c:pt idx="11">
                  <c:v>1.6020599913279623</c:v>
                </c:pt>
                <c:pt idx="12">
                  <c:v>1.0413926851582251</c:v>
                </c:pt>
                <c:pt idx="13">
                  <c:v>1.146128035678238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E31-46A3-AD8C-990375187D6E}"/>
            </c:ext>
          </c:extLst>
        </c:ser>
        <c:ser>
          <c:idx val="3"/>
          <c:order val="3"/>
          <c:tx>
            <c:v>6.5</c:v>
          </c:tx>
          <c:spPr>
            <a:ln w="28575"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Bacillus!$I$54:$I$68</c:f>
              <c:numCache>
                <c:formatCode>General</c:formatCode>
                <c:ptCount val="15"/>
                <c:pt idx="0">
                  <c:v>97.5</c:v>
                </c:pt>
                <c:pt idx="1">
                  <c:v>100</c:v>
                </c:pt>
                <c:pt idx="2">
                  <c:v>100</c:v>
                </c:pt>
                <c:pt idx="3">
                  <c:v>102.5</c:v>
                </c:pt>
                <c:pt idx="4">
                  <c:v>105</c:v>
                </c:pt>
                <c:pt idx="5">
                  <c:v>105</c:v>
                </c:pt>
                <c:pt idx="6">
                  <c:v>95</c:v>
                </c:pt>
                <c:pt idx="7">
                  <c:v>95</c:v>
                </c:pt>
                <c:pt idx="8">
                  <c:v>98</c:v>
                </c:pt>
                <c:pt idx="9">
                  <c:v>100</c:v>
                </c:pt>
                <c:pt idx="10">
                  <c:v>106</c:v>
                </c:pt>
                <c:pt idx="11">
                  <c:v>110</c:v>
                </c:pt>
                <c:pt idx="12">
                  <c:v>92</c:v>
                </c:pt>
                <c:pt idx="13">
                  <c:v>96</c:v>
                </c:pt>
                <c:pt idx="14">
                  <c:v>100</c:v>
                </c:pt>
              </c:numCache>
            </c:numRef>
          </c:xVal>
          <c:yVal>
            <c:numRef>
              <c:f>Bacillus!$L$54:$L$68</c:f>
              <c:numCache>
                <c:formatCode>0.00</c:formatCode>
                <c:ptCount val="15"/>
                <c:pt idx="0">
                  <c:v>0.77085201164214423</c:v>
                </c:pt>
                <c:pt idx="1">
                  <c:v>0.3979400086720376</c:v>
                </c:pt>
                <c:pt idx="2">
                  <c:v>0.3979400086720376</c:v>
                </c:pt>
                <c:pt idx="3">
                  <c:v>0.17609125905568124</c:v>
                </c:pt>
                <c:pt idx="4">
                  <c:v>-0.22184874961635639</c:v>
                </c:pt>
                <c:pt idx="5">
                  <c:v>-0.11918640771920865</c:v>
                </c:pt>
                <c:pt idx="6">
                  <c:v>1.5563025007672873</c:v>
                </c:pt>
                <c:pt idx="7">
                  <c:v>1.5563025007672873</c:v>
                </c:pt>
                <c:pt idx="8">
                  <c:v>7.9181246047624818E-2</c:v>
                </c:pt>
                <c:pt idx="9">
                  <c:v>-0.17392519729917355</c:v>
                </c:pt>
                <c:pt idx="10">
                  <c:v>-0.88605664769316317</c:v>
                </c:pt>
                <c:pt idx="11">
                  <c:v>-1.3467874862246563</c:v>
                </c:pt>
                <c:pt idx="12">
                  <c:v>0.39269695325966575</c:v>
                </c:pt>
                <c:pt idx="13">
                  <c:v>-4.5757490560675115E-2</c:v>
                </c:pt>
                <c:pt idx="14">
                  <c:v>-0.65757731917779372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E31-46A3-AD8C-990375187D6E}"/>
            </c:ext>
          </c:extLst>
        </c:ser>
        <c:ser>
          <c:idx val="4"/>
          <c:order val="4"/>
          <c:tx>
            <c:v>6.55</c:v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Bacillus!$I$69:$I$80</c:f>
              <c:numCache>
                <c:formatCode>General</c:formatCode>
                <c:ptCount val="12"/>
                <c:pt idx="0">
                  <c:v>106</c:v>
                </c:pt>
                <c:pt idx="1">
                  <c:v>100</c:v>
                </c:pt>
                <c:pt idx="2">
                  <c:v>103</c:v>
                </c:pt>
                <c:pt idx="3">
                  <c:v>110</c:v>
                </c:pt>
                <c:pt idx="4">
                  <c:v>115</c:v>
                </c:pt>
                <c:pt idx="5">
                  <c:v>98</c:v>
                </c:pt>
                <c:pt idx="6">
                  <c:v>100</c:v>
                </c:pt>
                <c:pt idx="7">
                  <c:v>106</c:v>
                </c:pt>
                <c:pt idx="8">
                  <c:v>110</c:v>
                </c:pt>
                <c:pt idx="9">
                  <c:v>92</c:v>
                </c:pt>
                <c:pt idx="10">
                  <c:v>96</c:v>
                </c:pt>
                <c:pt idx="11">
                  <c:v>100</c:v>
                </c:pt>
              </c:numCache>
            </c:numRef>
          </c:xVal>
          <c:yVal>
            <c:numRef>
              <c:f>Bacillus!$L$69:$L$80</c:f>
              <c:numCache>
                <c:formatCode>0.00</c:formatCode>
                <c:ptCount val="12"/>
                <c:pt idx="0">
                  <c:v>-1.2924298239020637</c:v>
                </c:pt>
                <c:pt idx="1">
                  <c:v>0.54406804435027567</c:v>
                </c:pt>
                <c:pt idx="2">
                  <c:v>0.21218760440395779</c:v>
                </c:pt>
                <c:pt idx="3">
                  <c:v>-0.48148606012211248</c:v>
                </c:pt>
                <c:pt idx="4">
                  <c:v>-0.95860731484177497</c:v>
                </c:pt>
                <c:pt idx="5">
                  <c:v>0.31806333496276157</c:v>
                </c:pt>
                <c:pt idx="6">
                  <c:v>0.14301480025409505</c:v>
                </c:pt>
                <c:pt idx="7">
                  <c:v>-0.65757731917779372</c:v>
                </c:pt>
                <c:pt idx="8">
                  <c:v>-1.0087739243075051</c:v>
                </c:pt>
                <c:pt idx="9">
                  <c:v>0.72263392253381231</c:v>
                </c:pt>
                <c:pt idx="10">
                  <c:v>7.9181246047624818E-2</c:v>
                </c:pt>
                <c:pt idx="11">
                  <c:v>-0.35654732351381258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E31-46A3-AD8C-990375187D6E}"/>
            </c:ext>
          </c:extLst>
        </c:ser>
        <c:ser>
          <c:idx val="5"/>
          <c:order val="5"/>
          <c:tx>
            <c:v>7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Bacillus!$I$81:$I$147</c:f>
              <c:numCache>
                <c:formatCode>General</c:formatCode>
                <c:ptCount val="67"/>
                <c:pt idx="0">
                  <c:v>106</c:v>
                </c:pt>
                <c:pt idx="1">
                  <c:v>100</c:v>
                </c:pt>
                <c:pt idx="2">
                  <c:v>103</c:v>
                </c:pt>
                <c:pt idx="3">
                  <c:v>110</c:v>
                </c:pt>
                <c:pt idx="4">
                  <c:v>115</c:v>
                </c:pt>
                <c:pt idx="5">
                  <c:v>100</c:v>
                </c:pt>
                <c:pt idx="6">
                  <c:v>106</c:v>
                </c:pt>
                <c:pt idx="7">
                  <c:v>110</c:v>
                </c:pt>
                <c:pt idx="8">
                  <c:v>115</c:v>
                </c:pt>
                <c:pt idx="9">
                  <c:v>96</c:v>
                </c:pt>
                <c:pt idx="10">
                  <c:v>100</c:v>
                </c:pt>
                <c:pt idx="11">
                  <c:v>106</c:v>
                </c:pt>
                <c:pt idx="12">
                  <c:v>110</c:v>
                </c:pt>
                <c:pt idx="13">
                  <c:v>103</c:v>
                </c:pt>
                <c:pt idx="14">
                  <c:v>110</c:v>
                </c:pt>
                <c:pt idx="15">
                  <c:v>115</c:v>
                </c:pt>
                <c:pt idx="16">
                  <c:v>120</c:v>
                </c:pt>
                <c:pt idx="17">
                  <c:v>100</c:v>
                </c:pt>
                <c:pt idx="18">
                  <c:v>106</c:v>
                </c:pt>
                <c:pt idx="19">
                  <c:v>110</c:v>
                </c:pt>
                <c:pt idx="20">
                  <c:v>115</c:v>
                </c:pt>
                <c:pt idx="21">
                  <c:v>100</c:v>
                </c:pt>
                <c:pt idx="22">
                  <c:v>106</c:v>
                </c:pt>
                <c:pt idx="23">
                  <c:v>110</c:v>
                </c:pt>
                <c:pt idx="24">
                  <c:v>115</c:v>
                </c:pt>
                <c:pt idx="25">
                  <c:v>98</c:v>
                </c:pt>
                <c:pt idx="26">
                  <c:v>100</c:v>
                </c:pt>
                <c:pt idx="27">
                  <c:v>106</c:v>
                </c:pt>
                <c:pt idx="28">
                  <c:v>110</c:v>
                </c:pt>
                <c:pt idx="29">
                  <c:v>92</c:v>
                </c:pt>
                <c:pt idx="30">
                  <c:v>96</c:v>
                </c:pt>
                <c:pt idx="31">
                  <c:v>100</c:v>
                </c:pt>
                <c:pt idx="32">
                  <c:v>103</c:v>
                </c:pt>
                <c:pt idx="33">
                  <c:v>106</c:v>
                </c:pt>
                <c:pt idx="34">
                  <c:v>100</c:v>
                </c:pt>
                <c:pt idx="35">
                  <c:v>103</c:v>
                </c:pt>
                <c:pt idx="36">
                  <c:v>110</c:v>
                </c:pt>
                <c:pt idx="37">
                  <c:v>115</c:v>
                </c:pt>
                <c:pt idx="38">
                  <c:v>98</c:v>
                </c:pt>
                <c:pt idx="39">
                  <c:v>100</c:v>
                </c:pt>
                <c:pt idx="40">
                  <c:v>106</c:v>
                </c:pt>
                <c:pt idx="41">
                  <c:v>110</c:v>
                </c:pt>
                <c:pt idx="42">
                  <c:v>92</c:v>
                </c:pt>
                <c:pt idx="43">
                  <c:v>96</c:v>
                </c:pt>
                <c:pt idx="44">
                  <c:v>100</c:v>
                </c:pt>
                <c:pt idx="45">
                  <c:v>106</c:v>
                </c:pt>
                <c:pt idx="46">
                  <c:v>100</c:v>
                </c:pt>
                <c:pt idx="47">
                  <c:v>103</c:v>
                </c:pt>
                <c:pt idx="48">
                  <c:v>110</c:v>
                </c:pt>
                <c:pt idx="49">
                  <c:v>115</c:v>
                </c:pt>
                <c:pt idx="50">
                  <c:v>98</c:v>
                </c:pt>
                <c:pt idx="51">
                  <c:v>100</c:v>
                </c:pt>
                <c:pt idx="52">
                  <c:v>106</c:v>
                </c:pt>
                <c:pt idx="53">
                  <c:v>110</c:v>
                </c:pt>
                <c:pt idx="54">
                  <c:v>115</c:v>
                </c:pt>
                <c:pt idx="55">
                  <c:v>96</c:v>
                </c:pt>
                <c:pt idx="56">
                  <c:v>100</c:v>
                </c:pt>
                <c:pt idx="57">
                  <c:v>103</c:v>
                </c:pt>
                <c:pt idx="58">
                  <c:v>106</c:v>
                </c:pt>
                <c:pt idx="59">
                  <c:v>100</c:v>
                </c:pt>
                <c:pt idx="60">
                  <c:v>103</c:v>
                </c:pt>
                <c:pt idx="61">
                  <c:v>110</c:v>
                </c:pt>
                <c:pt idx="62">
                  <c:v>115</c:v>
                </c:pt>
                <c:pt idx="63">
                  <c:v>98</c:v>
                </c:pt>
                <c:pt idx="64">
                  <c:v>100</c:v>
                </c:pt>
                <c:pt idx="65">
                  <c:v>106</c:v>
                </c:pt>
                <c:pt idx="66">
                  <c:v>110</c:v>
                </c:pt>
              </c:numCache>
            </c:numRef>
          </c:xVal>
          <c:yVal>
            <c:numRef>
              <c:f>Bacillus!$L$81:$L$147</c:f>
              <c:numCache>
                <c:formatCode>0.00</c:formatCode>
                <c:ptCount val="67"/>
                <c:pt idx="0">
                  <c:v>-0.95860731484177497</c:v>
                </c:pt>
                <c:pt idx="1">
                  <c:v>0.56229286445647475</c:v>
                </c:pt>
                <c:pt idx="2">
                  <c:v>0.32014628611105395</c:v>
                </c:pt>
                <c:pt idx="3">
                  <c:v>-0.37675070960209955</c:v>
                </c:pt>
                <c:pt idx="4">
                  <c:v>-0.92081875395237522</c:v>
                </c:pt>
                <c:pt idx="5">
                  <c:v>0.75663610824584804</c:v>
                </c:pt>
                <c:pt idx="6">
                  <c:v>7.554696139253074E-2</c:v>
                </c:pt>
                <c:pt idx="7">
                  <c:v>-0.46852108295774486</c:v>
                </c:pt>
                <c:pt idx="8">
                  <c:v>-1.1023729087095586</c:v>
                </c:pt>
                <c:pt idx="9">
                  <c:v>0.78746047451841505</c:v>
                </c:pt>
                <c:pt idx="10">
                  <c:v>0.33645973384852951</c:v>
                </c:pt>
                <c:pt idx="11">
                  <c:v>-0.29242982390206362</c:v>
                </c:pt>
                <c:pt idx="12">
                  <c:v>-0.769551078621726</c:v>
                </c:pt>
                <c:pt idx="13">
                  <c:v>1.1687920203141817</c:v>
                </c:pt>
                <c:pt idx="14">
                  <c:v>0.44404479591807622</c:v>
                </c:pt>
                <c:pt idx="15">
                  <c:v>5.3078443483419682E-2</c:v>
                </c:pt>
                <c:pt idx="16">
                  <c:v>-0.53760200210104392</c:v>
                </c:pt>
                <c:pt idx="17">
                  <c:v>1.3304137733491908</c:v>
                </c:pt>
                <c:pt idx="18">
                  <c:v>0.60852603357719404</c:v>
                </c:pt>
                <c:pt idx="19">
                  <c:v>2.5305865264770262E-2</c:v>
                </c:pt>
                <c:pt idx="20">
                  <c:v>-0.58502665202918203</c:v>
                </c:pt>
                <c:pt idx="21">
                  <c:v>1.0390173219974119</c:v>
                </c:pt>
                <c:pt idx="22">
                  <c:v>0.44247976906444858</c:v>
                </c:pt>
                <c:pt idx="23">
                  <c:v>-4.0958607678906384E-2</c:v>
                </c:pt>
                <c:pt idx="24">
                  <c:v>-0.69897000433601875</c:v>
                </c:pt>
                <c:pt idx="25">
                  <c:v>0.22010808804005508</c:v>
                </c:pt>
                <c:pt idx="26">
                  <c:v>-0.10790539730951958</c:v>
                </c:pt>
                <c:pt idx="27">
                  <c:v>-0.74472749489669399</c:v>
                </c:pt>
                <c:pt idx="28">
                  <c:v>-1.1674910872937636</c:v>
                </c:pt>
                <c:pt idx="29">
                  <c:v>0.64048143697042181</c:v>
                </c:pt>
                <c:pt idx="30">
                  <c:v>0.30963016742589877</c:v>
                </c:pt>
                <c:pt idx="31">
                  <c:v>-0.33724216831842591</c:v>
                </c:pt>
                <c:pt idx="32">
                  <c:v>-0.49485002168009401</c:v>
                </c:pt>
                <c:pt idx="33">
                  <c:v>-0.88605664769316317</c:v>
                </c:pt>
                <c:pt idx="34">
                  <c:v>0.90145832139611237</c:v>
                </c:pt>
                <c:pt idx="35">
                  <c:v>0.66275783168157409</c:v>
                </c:pt>
                <c:pt idx="36">
                  <c:v>-0.14874165128092473</c:v>
                </c:pt>
                <c:pt idx="37">
                  <c:v>-0.65757731917779372</c:v>
                </c:pt>
                <c:pt idx="38">
                  <c:v>0.18752072083646307</c:v>
                </c:pt>
                <c:pt idx="39">
                  <c:v>-7.5720713938118356E-2</c:v>
                </c:pt>
                <c:pt idx="40">
                  <c:v>-0.769551078621726</c:v>
                </c:pt>
                <c:pt idx="41">
                  <c:v>-1.1135092748275182</c:v>
                </c:pt>
                <c:pt idx="42">
                  <c:v>0.61700034112089897</c:v>
                </c:pt>
                <c:pt idx="43">
                  <c:v>0.23044892137827391</c:v>
                </c:pt>
                <c:pt idx="44">
                  <c:v>-0.35654732351381258</c:v>
                </c:pt>
                <c:pt idx="45">
                  <c:v>-0.88605664769316317</c:v>
                </c:pt>
                <c:pt idx="46">
                  <c:v>0.91539983521226986</c:v>
                </c:pt>
                <c:pt idx="47">
                  <c:v>0.62428209583566829</c:v>
                </c:pt>
                <c:pt idx="48">
                  <c:v>-0.10237290870955855</c:v>
                </c:pt>
                <c:pt idx="49">
                  <c:v>-0.46852108295774486</c:v>
                </c:pt>
                <c:pt idx="50">
                  <c:v>0.51188336097887432</c:v>
                </c:pt>
                <c:pt idx="51">
                  <c:v>0.20682587603184974</c:v>
                </c:pt>
                <c:pt idx="52">
                  <c:v>-0.35654732351381258</c:v>
                </c:pt>
                <c:pt idx="53">
                  <c:v>-0.65757731917779372</c:v>
                </c:pt>
                <c:pt idx="54">
                  <c:v>-1.1135092748275182</c:v>
                </c:pt>
                <c:pt idx="55">
                  <c:v>2.1189299069938092E-2</c:v>
                </c:pt>
                <c:pt idx="56">
                  <c:v>-0.26760624017703144</c:v>
                </c:pt>
                <c:pt idx="57">
                  <c:v>-0.56863623584101264</c:v>
                </c:pt>
                <c:pt idx="58">
                  <c:v>-0.82390874094431876</c:v>
                </c:pt>
                <c:pt idx="59">
                  <c:v>0.90848501887864974</c:v>
                </c:pt>
                <c:pt idx="60">
                  <c:v>0.59879050676311507</c:v>
                </c:pt>
                <c:pt idx="61">
                  <c:v>-3.6212172654444715E-2</c:v>
                </c:pt>
                <c:pt idx="62">
                  <c:v>-0.45593195564972439</c:v>
                </c:pt>
                <c:pt idx="63">
                  <c:v>0.65801139665711239</c:v>
                </c:pt>
                <c:pt idx="64">
                  <c:v>0.35793484700045375</c:v>
                </c:pt>
                <c:pt idx="65">
                  <c:v>-0.32790214206428259</c:v>
                </c:pt>
                <c:pt idx="66">
                  <c:v>-0.82390874094431876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E31-46A3-AD8C-990375187D6E}"/>
            </c:ext>
          </c:extLst>
        </c:ser>
        <c:ser>
          <c:idx val="6"/>
          <c:order val="6"/>
          <c:tx>
            <c:v>7.28</c:v>
          </c:tx>
          <c:spPr>
            <a:ln w="28575"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Bacillus!$I$148:$I$155</c:f>
              <c:numCache>
                <c:formatCode>General</c:formatCode>
                <c:ptCount val="8"/>
                <c:pt idx="0">
                  <c:v>92</c:v>
                </c:pt>
                <c:pt idx="1">
                  <c:v>96</c:v>
                </c:pt>
                <c:pt idx="2">
                  <c:v>100</c:v>
                </c:pt>
                <c:pt idx="3">
                  <c:v>106</c:v>
                </c:pt>
                <c:pt idx="4">
                  <c:v>100</c:v>
                </c:pt>
                <c:pt idx="5">
                  <c:v>103</c:v>
                </c:pt>
                <c:pt idx="6">
                  <c:v>110</c:v>
                </c:pt>
                <c:pt idx="7">
                  <c:v>115</c:v>
                </c:pt>
              </c:numCache>
            </c:numRef>
          </c:xVal>
          <c:yVal>
            <c:numRef>
              <c:f>Bacillus!$L$148:$L$155</c:f>
              <c:numCache>
                <c:formatCode>0.00</c:formatCode>
                <c:ptCount val="8"/>
                <c:pt idx="0">
                  <c:v>0.5158738437116791</c:v>
                </c:pt>
                <c:pt idx="1">
                  <c:v>0</c:v>
                </c:pt>
                <c:pt idx="2">
                  <c:v>-0.43179827593300502</c:v>
                </c:pt>
                <c:pt idx="3">
                  <c:v>-1.2596373105057561</c:v>
                </c:pt>
                <c:pt idx="4">
                  <c:v>1.1690863574870227</c:v>
                </c:pt>
                <c:pt idx="5">
                  <c:v>0.81822589361395548</c:v>
                </c:pt>
                <c:pt idx="6">
                  <c:v>7.554696139253074E-2</c:v>
                </c:pt>
                <c:pt idx="7">
                  <c:v>-0.45593195564972439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E31-46A3-AD8C-990375187D6E}"/>
            </c:ext>
          </c:extLst>
        </c:ser>
        <c:ser>
          <c:idx val="7"/>
          <c:order val="7"/>
          <c:tx>
            <c:v>7.38</c:v>
          </c:tx>
          <c:spPr>
            <a:ln w="28575">
              <a:noFill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Bacillus!$I$156:$I$167</c:f>
              <c:numCache>
                <c:formatCode>General</c:formatCode>
                <c:ptCount val="12"/>
                <c:pt idx="0">
                  <c:v>98</c:v>
                </c:pt>
                <c:pt idx="1">
                  <c:v>100</c:v>
                </c:pt>
                <c:pt idx="2">
                  <c:v>106</c:v>
                </c:pt>
                <c:pt idx="3">
                  <c:v>110</c:v>
                </c:pt>
                <c:pt idx="4">
                  <c:v>92</c:v>
                </c:pt>
                <c:pt idx="5">
                  <c:v>96</c:v>
                </c:pt>
                <c:pt idx="6">
                  <c:v>100</c:v>
                </c:pt>
                <c:pt idx="7">
                  <c:v>106</c:v>
                </c:pt>
                <c:pt idx="8">
                  <c:v>100</c:v>
                </c:pt>
                <c:pt idx="9">
                  <c:v>103</c:v>
                </c:pt>
                <c:pt idx="10">
                  <c:v>110</c:v>
                </c:pt>
                <c:pt idx="11">
                  <c:v>115</c:v>
                </c:pt>
              </c:numCache>
            </c:numRef>
          </c:xVal>
          <c:yVal>
            <c:numRef>
              <c:f>Bacillus!$L$156:$L$167</c:f>
              <c:numCache>
                <c:formatCode>0.00</c:formatCode>
                <c:ptCount val="12"/>
                <c:pt idx="0">
                  <c:v>0.61804809671209271</c:v>
                </c:pt>
                <c:pt idx="1">
                  <c:v>0.28330122870354957</c:v>
                </c:pt>
                <c:pt idx="2">
                  <c:v>-0.30980391997148632</c:v>
                </c:pt>
                <c:pt idx="3">
                  <c:v>-0.92081875395237522</c:v>
                </c:pt>
                <c:pt idx="4">
                  <c:v>0.51188336097887432</c:v>
                </c:pt>
                <c:pt idx="5">
                  <c:v>0</c:v>
                </c:pt>
                <c:pt idx="6">
                  <c:v>-0.38721614328026455</c:v>
                </c:pt>
                <c:pt idx="7">
                  <c:v>-1.1804560644581312</c:v>
                </c:pt>
                <c:pt idx="8">
                  <c:v>1.0519239160461065</c:v>
                </c:pt>
                <c:pt idx="9">
                  <c:v>0.91115760873997664</c:v>
                </c:pt>
                <c:pt idx="10">
                  <c:v>0.10380372095595687</c:v>
                </c:pt>
                <c:pt idx="11">
                  <c:v>-0.36653154442041347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E31-46A3-AD8C-990375187D6E}"/>
            </c:ext>
          </c:extLst>
        </c:ser>
        <c:ser>
          <c:idx val="8"/>
          <c:order val="8"/>
          <c:tx>
            <c:v>7.6</c:v>
          </c:tx>
          <c:spPr>
            <a:ln w="28575">
              <a:noFill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xVal>
            <c:numRef>
              <c:f>Bacillus!$I$168:$I$179</c:f>
              <c:numCache>
                <c:formatCode>General</c:formatCode>
                <c:ptCount val="12"/>
                <c:pt idx="0">
                  <c:v>98</c:v>
                </c:pt>
                <c:pt idx="1">
                  <c:v>100</c:v>
                </c:pt>
                <c:pt idx="2">
                  <c:v>106</c:v>
                </c:pt>
                <c:pt idx="3">
                  <c:v>110</c:v>
                </c:pt>
                <c:pt idx="4">
                  <c:v>92</c:v>
                </c:pt>
                <c:pt idx="5">
                  <c:v>96</c:v>
                </c:pt>
                <c:pt idx="6">
                  <c:v>100</c:v>
                </c:pt>
                <c:pt idx="7">
                  <c:v>106</c:v>
                </c:pt>
                <c:pt idx="8">
                  <c:v>110</c:v>
                </c:pt>
                <c:pt idx="9">
                  <c:v>100</c:v>
                </c:pt>
                <c:pt idx="10">
                  <c:v>103</c:v>
                </c:pt>
                <c:pt idx="11">
                  <c:v>110</c:v>
                </c:pt>
              </c:numCache>
            </c:numRef>
          </c:xVal>
          <c:yVal>
            <c:numRef>
              <c:f>Bacillus!$L$168:$L$179</c:f>
              <c:numCache>
                <c:formatCode>0.00</c:formatCode>
                <c:ptCount val="12"/>
                <c:pt idx="0">
                  <c:v>0.44560420327359757</c:v>
                </c:pt>
                <c:pt idx="1">
                  <c:v>0.11394335230683679</c:v>
                </c:pt>
                <c:pt idx="2">
                  <c:v>-0.69897000433601875</c:v>
                </c:pt>
                <c:pt idx="3">
                  <c:v>-1.1307682802690238</c:v>
                </c:pt>
                <c:pt idx="4">
                  <c:v>0.65321251377534373</c:v>
                </c:pt>
                <c:pt idx="5">
                  <c:v>0.19589965240923377</c:v>
                </c:pt>
                <c:pt idx="6">
                  <c:v>-0.30980391997148632</c:v>
                </c:pt>
                <c:pt idx="7">
                  <c:v>-1.0655015487564323</c:v>
                </c:pt>
                <c:pt idx="8">
                  <c:v>-1.4202164033831899</c:v>
                </c:pt>
                <c:pt idx="9">
                  <c:v>1.1354506993455138</c:v>
                </c:pt>
                <c:pt idx="10">
                  <c:v>0.91698004732038219</c:v>
                </c:pt>
                <c:pt idx="11">
                  <c:v>0.14612803567823801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E31-46A3-AD8C-990375187D6E}"/>
            </c:ext>
          </c:extLst>
        </c:ser>
        <c:ser>
          <c:idx val="9"/>
          <c:order val="9"/>
          <c:tx>
            <c:v>8.35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CCFFFF"/>
              </a:solidFill>
              <a:ln>
                <a:solidFill>
                  <a:srgbClr val="CCFFFF"/>
                </a:solidFill>
                <a:prstDash val="solid"/>
              </a:ln>
            </c:spPr>
          </c:marker>
          <c:xVal>
            <c:numRef>
              <c:f>Bacillus!$I$180:$I$191</c:f>
              <c:numCache>
                <c:formatCode>General</c:formatCode>
                <c:ptCount val="12"/>
                <c:pt idx="0">
                  <c:v>115</c:v>
                </c:pt>
                <c:pt idx="1">
                  <c:v>98</c:v>
                </c:pt>
                <c:pt idx="2">
                  <c:v>100</c:v>
                </c:pt>
                <c:pt idx="3">
                  <c:v>106</c:v>
                </c:pt>
                <c:pt idx="4">
                  <c:v>110</c:v>
                </c:pt>
                <c:pt idx="5">
                  <c:v>92</c:v>
                </c:pt>
                <c:pt idx="6">
                  <c:v>96</c:v>
                </c:pt>
                <c:pt idx="7">
                  <c:v>100</c:v>
                </c:pt>
                <c:pt idx="8">
                  <c:v>106</c:v>
                </c:pt>
                <c:pt idx="9">
                  <c:v>110</c:v>
                </c:pt>
                <c:pt idx="10">
                  <c:v>100</c:v>
                </c:pt>
                <c:pt idx="11">
                  <c:v>103</c:v>
                </c:pt>
              </c:numCache>
            </c:numRef>
          </c:xVal>
          <c:yVal>
            <c:numRef>
              <c:f>Bacillus!$L$180:$L$191</c:f>
              <c:numCache>
                <c:formatCode>0.00</c:formatCode>
                <c:ptCount val="12"/>
                <c:pt idx="0">
                  <c:v>-0.32790214206428259</c:v>
                </c:pt>
                <c:pt idx="1">
                  <c:v>0.57634135020579291</c:v>
                </c:pt>
                <c:pt idx="2">
                  <c:v>0.42651126136457523</c:v>
                </c:pt>
                <c:pt idx="3">
                  <c:v>-0.20065945054641829</c:v>
                </c:pt>
                <c:pt idx="4">
                  <c:v>-0.6777807052660807</c:v>
                </c:pt>
                <c:pt idx="5">
                  <c:v>0.70842090013471271</c:v>
                </c:pt>
                <c:pt idx="6">
                  <c:v>0.2966651902615311</c:v>
                </c:pt>
                <c:pt idx="7">
                  <c:v>-0.16115090926274472</c:v>
                </c:pt>
                <c:pt idx="8">
                  <c:v>-0.72124639904717103</c:v>
                </c:pt>
                <c:pt idx="9">
                  <c:v>-6.5501548756432285E-2</c:v>
                </c:pt>
                <c:pt idx="10">
                  <c:v>1.2964457942063963</c:v>
                </c:pt>
                <c:pt idx="11">
                  <c:v>0.91592721169711577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E31-46A3-AD8C-990375187D6E}"/>
            </c:ext>
          </c:extLst>
        </c:ser>
        <c:ser>
          <c:idx val="10"/>
          <c:order val="10"/>
          <c:tx>
            <c:v>9.05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xVal>
            <c:numRef>
              <c:f>Bacillus!$I$192:$I$204</c:f>
              <c:numCache>
                <c:formatCode>General</c:formatCode>
                <c:ptCount val="13"/>
                <c:pt idx="0">
                  <c:v>110</c:v>
                </c:pt>
                <c:pt idx="1">
                  <c:v>115</c:v>
                </c:pt>
                <c:pt idx="2">
                  <c:v>120</c:v>
                </c:pt>
                <c:pt idx="3">
                  <c:v>98</c:v>
                </c:pt>
                <c:pt idx="4">
                  <c:v>100</c:v>
                </c:pt>
                <c:pt idx="5">
                  <c:v>106</c:v>
                </c:pt>
                <c:pt idx="6">
                  <c:v>110</c:v>
                </c:pt>
                <c:pt idx="7">
                  <c:v>96</c:v>
                </c:pt>
                <c:pt idx="8">
                  <c:v>100</c:v>
                </c:pt>
                <c:pt idx="9">
                  <c:v>106</c:v>
                </c:pt>
                <c:pt idx="10">
                  <c:v>110</c:v>
                </c:pt>
                <c:pt idx="11">
                  <c:v>103</c:v>
                </c:pt>
                <c:pt idx="12">
                  <c:v>110</c:v>
                </c:pt>
              </c:numCache>
            </c:numRef>
          </c:xVal>
          <c:yVal>
            <c:numRef>
              <c:f>Bacillus!$L$192:$L$204</c:f>
              <c:numCache>
                <c:formatCode>0.00</c:formatCode>
                <c:ptCount val="13"/>
                <c:pt idx="0">
                  <c:v>0.34242268082220628</c:v>
                </c:pt>
                <c:pt idx="1">
                  <c:v>-7.0581074285707285E-2</c:v>
                </c:pt>
                <c:pt idx="2">
                  <c:v>-0.63827216398240705</c:v>
                </c:pt>
                <c:pt idx="3">
                  <c:v>0.84509804001425681</c:v>
                </c:pt>
                <c:pt idx="4">
                  <c:v>0.55630250076728727</c:v>
                </c:pt>
                <c:pt idx="5">
                  <c:v>4.1392685158225077E-2</c:v>
                </c:pt>
                <c:pt idx="6">
                  <c:v>-0.3010299956639812</c:v>
                </c:pt>
                <c:pt idx="7">
                  <c:v>0.62013605497375746</c:v>
                </c:pt>
                <c:pt idx="8">
                  <c:v>0.21218760440395779</c:v>
                </c:pt>
                <c:pt idx="9">
                  <c:v>-0.29242982390206362</c:v>
                </c:pt>
                <c:pt idx="10">
                  <c:v>-0.79588001734407521</c:v>
                </c:pt>
                <c:pt idx="11">
                  <c:v>1.1473671077937864</c:v>
                </c:pt>
                <c:pt idx="12">
                  <c:v>0.49968708261840383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E31-46A3-AD8C-990375187D6E}"/>
            </c:ext>
          </c:extLst>
        </c:ser>
        <c:ser>
          <c:idx val="11"/>
          <c:order val="11"/>
          <c:tx>
            <c:v>9.48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99"/>
              </a:solidFill>
              <a:ln>
                <a:solidFill>
                  <a:srgbClr val="FFFF99"/>
                </a:solidFill>
                <a:prstDash val="solid"/>
              </a:ln>
            </c:spPr>
          </c:marker>
          <c:xVal>
            <c:numRef>
              <c:f>Bacillus!$I$205:$I$217</c:f>
              <c:numCache>
                <c:formatCode>General</c:formatCode>
                <c:ptCount val="13"/>
                <c:pt idx="0">
                  <c:v>115</c:v>
                </c:pt>
                <c:pt idx="1">
                  <c:v>120</c:v>
                </c:pt>
                <c:pt idx="2">
                  <c:v>98</c:v>
                </c:pt>
                <c:pt idx="3">
                  <c:v>100</c:v>
                </c:pt>
                <c:pt idx="4">
                  <c:v>106</c:v>
                </c:pt>
                <c:pt idx="5">
                  <c:v>110</c:v>
                </c:pt>
                <c:pt idx="6">
                  <c:v>92</c:v>
                </c:pt>
                <c:pt idx="7">
                  <c:v>96</c:v>
                </c:pt>
                <c:pt idx="8">
                  <c:v>100</c:v>
                </c:pt>
                <c:pt idx="9">
                  <c:v>106</c:v>
                </c:pt>
                <c:pt idx="10">
                  <c:v>100</c:v>
                </c:pt>
                <c:pt idx="11">
                  <c:v>103</c:v>
                </c:pt>
                <c:pt idx="12">
                  <c:v>110</c:v>
                </c:pt>
              </c:numCache>
            </c:numRef>
          </c:xVal>
          <c:yVal>
            <c:numRef>
              <c:f>Bacillus!$L$205:$L$217</c:f>
              <c:numCache>
                <c:formatCode>0.00</c:formatCode>
                <c:ptCount val="13"/>
                <c:pt idx="0">
                  <c:v>-2.2276394711152253E-2</c:v>
                </c:pt>
                <c:pt idx="1">
                  <c:v>-0.35654732351381258</c:v>
                </c:pt>
                <c:pt idx="2">
                  <c:v>4.1392685158225077E-2</c:v>
                </c:pt>
                <c:pt idx="3">
                  <c:v>-0.19382002601611281</c:v>
                </c:pt>
                <c:pt idx="4">
                  <c:v>-0.92081875395237522</c:v>
                </c:pt>
                <c:pt idx="5">
                  <c:v>-1.3372421683184259</c:v>
                </c:pt>
                <c:pt idx="6">
                  <c:v>0.34635297445063867</c:v>
                </c:pt>
                <c:pt idx="7">
                  <c:v>-0.13076828026902382</c:v>
                </c:pt>
                <c:pt idx="8">
                  <c:v>-0.6020599913279624</c:v>
                </c:pt>
                <c:pt idx="9">
                  <c:v>-1.2924298239020637</c:v>
                </c:pt>
                <c:pt idx="10">
                  <c:v>0.71767050300226209</c:v>
                </c:pt>
                <c:pt idx="11">
                  <c:v>0.38021124171160603</c:v>
                </c:pt>
                <c:pt idx="12">
                  <c:v>-0.28399665636520083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BE31-46A3-AD8C-990375187D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282752"/>
        <c:axId val="1"/>
      </c:scatterChart>
      <c:valAx>
        <c:axId val="488282752"/>
        <c:scaling>
          <c:orientation val="minMax"/>
          <c:min val="8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T</a:t>
                </a:r>
              </a:p>
            </c:rich>
          </c:tx>
          <c:layout>
            <c:manualLayout>
              <c:xMode val="edge"/>
              <c:yMode val="edge"/>
              <c:x val="0.49133858267716535"/>
              <c:y val="0.8990835319896939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log D</a:t>
                </a:r>
              </a:p>
            </c:rich>
          </c:tx>
          <c:layout>
            <c:manualLayout>
              <c:xMode val="edge"/>
              <c:yMode val="edge"/>
              <c:x val="2.5196850393700787E-2"/>
              <c:y val="0.4747711237930121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882827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5196850393700785"/>
          <c:y val="6.8795299670110039E-3"/>
          <c:w val="0.13700787401574799"/>
          <c:h val="0.993120470032988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Campylobacter</a:t>
            </a:r>
          </a:p>
        </c:rich>
      </c:tx>
      <c:layout>
        <c:manualLayout>
          <c:xMode val="edge"/>
          <c:yMode val="edge"/>
          <c:x val="0.38865307793972559"/>
          <c:y val="2.814258911819887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43974185469561"/>
          <c:y val="0.17073170731707318"/>
          <c:w val="0.58156108926347694"/>
          <c:h val="0.71106941838649151"/>
        </c:manualLayout>
      </c:layout>
      <c:scatterChart>
        <c:scatterStyle val="lineMarker"/>
        <c:varyColors val="0"/>
        <c:ser>
          <c:idx val="0"/>
          <c:order val="0"/>
          <c:tx>
            <c:v>Beef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Campylobacter!$H$2:$H$7</c:f>
              <c:numCache>
                <c:formatCode>General</c:formatCode>
                <c:ptCount val="6"/>
                <c:pt idx="0">
                  <c:v>50</c:v>
                </c:pt>
                <c:pt idx="1">
                  <c:v>50</c:v>
                </c:pt>
                <c:pt idx="2">
                  <c:v>56</c:v>
                </c:pt>
                <c:pt idx="3">
                  <c:v>56</c:v>
                </c:pt>
                <c:pt idx="4">
                  <c:v>50</c:v>
                </c:pt>
                <c:pt idx="5">
                  <c:v>50</c:v>
                </c:pt>
              </c:numCache>
            </c:numRef>
          </c:xVal>
          <c:yVal>
            <c:numRef>
              <c:f>Campylobacter!$K$2:$K$7</c:f>
              <c:numCache>
                <c:formatCode>0.00</c:formatCode>
                <c:ptCount val="6"/>
                <c:pt idx="0">
                  <c:v>0.77085201164214423</c:v>
                </c:pt>
                <c:pt idx="1">
                  <c:v>0.79934054945358168</c:v>
                </c:pt>
                <c:pt idx="2">
                  <c:v>-0.20760831050174613</c:v>
                </c:pt>
                <c:pt idx="3">
                  <c:v>-1.7728766960431602E-2</c:v>
                </c:pt>
                <c:pt idx="4">
                  <c:v>0.77085201164214423</c:v>
                </c:pt>
                <c:pt idx="5">
                  <c:v>0.79934054945358168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8-4A43-A873-C73DE878C13E}"/>
            </c:ext>
          </c:extLst>
        </c:ser>
        <c:ser>
          <c:idx val="3"/>
          <c:order val="1"/>
          <c:tx>
            <c:v>Buffer</c:v>
          </c:tx>
          <c:spPr>
            <a:ln w="28575"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Campylobacter!$H$8:$H$9</c:f>
              <c:numCache>
                <c:formatCode>General</c:formatCode>
                <c:ptCount val="2"/>
                <c:pt idx="0">
                  <c:v>50</c:v>
                </c:pt>
                <c:pt idx="1">
                  <c:v>50</c:v>
                </c:pt>
              </c:numCache>
            </c:numRef>
          </c:xVal>
          <c:yVal>
            <c:numRef>
              <c:f>Campylobacter!$K$8:$K$9</c:f>
              <c:numCache>
                <c:formatCode>0.00</c:formatCode>
                <c:ptCount val="2"/>
                <c:pt idx="0">
                  <c:v>-5.551732784983137E-2</c:v>
                </c:pt>
                <c:pt idx="1">
                  <c:v>0.21218760440395779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8-4A43-A873-C73DE878C13E}"/>
            </c:ext>
          </c:extLst>
        </c:ser>
        <c:ser>
          <c:idx val="1"/>
          <c:order val="2"/>
          <c:tx>
            <c:v>Chicken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Campylobacter!$H$10:$H$23</c:f>
              <c:numCache>
                <c:formatCode>General</c:formatCode>
                <c:ptCount val="14"/>
                <c:pt idx="0">
                  <c:v>55</c:v>
                </c:pt>
                <c:pt idx="1">
                  <c:v>55</c:v>
                </c:pt>
                <c:pt idx="2">
                  <c:v>57</c:v>
                </c:pt>
                <c:pt idx="3">
                  <c:v>57</c:v>
                </c:pt>
                <c:pt idx="4">
                  <c:v>50</c:v>
                </c:pt>
                <c:pt idx="5">
                  <c:v>55</c:v>
                </c:pt>
                <c:pt idx="6">
                  <c:v>55</c:v>
                </c:pt>
                <c:pt idx="7">
                  <c:v>60</c:v>
                </c:pt>
                <c:pt idx="8">
                  <c:v>60</c:v>
                </c:pt>
                <c:pt idx="9">
                  <c:v>50</c:v>
                </c:pt>
                <c:pt idx="10">
                  <c:v>50</c:v>
                </c:pt>
                <c:pt idx="11">
                  <c:v>55</c:v>
                </c:pt>
                <c:pt idx="12">
                  <c:v>55</c:v>
                </c:pt>
                <c:pt idx="13">
                  <c:v>60</c:v>
                </c:pt>
              </c:numCache>
            </c:numRef>
          </c:xVal>
          <c:yVal>
            <c:numRef>
              <c:f>Campylobacter!$K$10:$K$23</c:f>
              <c:numCache>
                <c:formatCode>0.00</c:formatCode>
                <c:ptCount val="14"/>
                <c:pt idx="0">
                  <c:v>0.32633586092875144</c:v>
                </c:pt>
                <c:pt idx="1">
                  <c:v>0.35218251811136247</c:v>
                </c:pt>
                <c:pt idx="2">
                  <c:v>-0.10237290870955855</c:v>
                </c:pt>
                <c:pt idx="3">
                  <c:v>-8.7739243075051505E-3</c:v>
                </c:pt>
                <c:pt idx="4">
                  <c:v>0.3222192947339193</c:v>
                </c:pt>
                <c:pt idx="5">
                  <c:v>0.34242268082220628</c:v>
                </c:pt>
                <c:pt idx="6">
                  <c:v>1.287801729930226</c:v>
                </c:pt>
                <c:pt idx="7">
                  <c:v>-0.3010299956639812</c:v>
                </c:pt>
                <c:pt idx="8">
                  <c:v>1.2624510897304295</c:v>
                </c:pt>
                <c:pt idx="9">
                  <c:v>0.14612803567823801</c:v>
                </c:pt>
                <c:pt idx="10">
                  <c:v>1.5797835966168101</c:v>
                </c:pt>
                <c:pt idx="11">
                  <c:v>0.17609125905568124</c:v>
                </c:pt>
                <c:pt idx="12">
                  <c:v>1.0086001717619175</c:v>
                </c:pt>
                <c:pt idx="13">
                  <c:v>-0.3010299956639812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8-4A43-A873-C73DE878C13E}"/>
            </c:ext>
          </c:extLst>
        </c:ser>
        <c:ser>
          <c:idx val="2"/>
          <c:order val="3"/>
          <c:tx>
            <c:v>Lamb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Campylobacter!$H$24:$H$29</c:f>
              <c:numCache>
                <c:formatCode>General</c:formatCode>
                <c:ptCount val="6"/>
                <c:pt idx="0">
                  <c:v>50</c:v>
                </c:pt>
                <c:pt idx="1">
                  <c:v>50</c:v>
                </c:pt>
                <c:pt idx="2">
                  <c:v>55</c:v>
                </c:pt>
                <c:pt idx="3">
                  <c:v>55</c:v>
                </c:pt>
                <c:pt idx="4">
                  <c:v>60</c:v>
                </c:pt>
                <c:pt idx="5">
                  <c:v>60</c:v>
                </c:pt>
              </c:numCache>
            </c:numRef>
          </c:xVal>
          <c:yVal>
            <c:numRef>
              <c:f>Campylobacter!$K$24:$K$29</c:f>
              <c:numCache>
                <c:formatCode>0.00</c:formatCode>
                <c:ptCount val="6"/>
                <c:pt idx="0">
                  <c:v>0.77085201164214423</c:v>
                </c:pt>
                <c:pt idx="1">
                  <c:v>1.1238516409670858</c:v>
                </c:pt>
                <c:pt idx="2">
                  <c:v>-1.7728766960431602E-2</c:v>
                </c:pt>
                <c:pt idx="3">
                  <c:v>0.10037054511756291</c:v>
                </c:pt>
                <c:pt idx="4">
                  <c:v>-0.6777807052660807</c:v>
                </c:pt>
                <c:pt idx="5">
                  <c:v>-0.58502665202918203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338-4A43-A873-C73DE878C13E}"/>
            </c:ext>
          </c:extLst>
        </c:ser>
        <c:ser>
          <c:idx val="4"/>
          <c:order val="4"/>
          <c:tx>
            <c:v>Milk</c:v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Campylobacter!$H$30:$H$35</c:f>
              <c:numCache>
                <c:formatCode>General</c:formatCode>
                <c:ptCount val="6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55</c:v>
                </c:pt>
                <c:pt idx="5">
                  <c:v>55</c:v>
                </c:pt>
              </c:numCache>
            </c:numRef>
          </c:xVal>
          <c:yVal>
            <c:numRef>
              <c:f>Campylobacter!$K$30:$K$35</c:f>
              <c:numCache>
                <c:formatCode>0.00</c:formatCode>
                <c:ptCount val="6"/>
                <c:pt idx="0">
                  <c:v>0.54406804435027567</c:v>
                </c:pt>
                <c:pt idx="1">
                  <c:v>0.7323937598229685</c:v>
                </c:pt>
                <c:pt idx="2">
                  <c:v>0.11394335230683679</c:v>
                </c:pt>
                <c:pt idx="3">
                  <c:v>0.65321251377534373</c:v>
                </c:pt>
                <c:pt idx="4">
                  <c:v>-0.13076828026902382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338-4A43-A873-C73DE878C13E}"/>
            </c:ext>
          </c:extLst>
        </c:ser>
        <c:ser>
          <c:idx val="6"/>
          <c:order val="5"/>
          <c:tx>
            <c:v>Unknown</c:v>
          </c:tx>
          <c:spPr>
            <a:ln w="28575">
              <a:noFill/>
            </a:ln>
          </c:spPr>
          <c:marker>
            <c:symbol val="plus"/>
            <c:size val="6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Campylobacter!$H$36</c:f>
              <c:numCache>
                <c:formatCode>General</c:formatCode>
                <c:ptCount val="1"/>
                <c:pt idx="0">
                  <c:v>60</c:v>
                </c:pt>
              </c:numCache>
            </c:numRef>
          </c:xVal>
          <c:yVal>
            <c:numRef>
              <c:f>Campylobacter!$K$36</c:f>
              <c:numCache>
                <c:formatCode>0.00</c:formatCode>
                <c:ptCount val="1"/>
                <c:pt idx="0">
                  <c:v>4.1392685158225077E-2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338-4A43-A873-C73DE878C13E}"/>
            </c:ext>
          </c:extLst>
        </c:ser>
        <c:ser>
          <c:idx val="5"/>
          <c:order val="6"/>
          <c:tx>
            <c:v>Water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Campylobacter!$H$37:$H$47</c:f>
              <c:numCache>
                <c:formatCode>General</c:formatCode>
                <c:ptCount val="11"/>
                <c:pt idx="0">
                  <c:v>52</c:v>
                </c:pt>
                <c:pt idx="1">
                  <c:v>52</c:v>
                </c:pt>
                <c:pt idx="2">
                  <c:v>52</c:v>
                </c:pt>
                <c:pt idx="3">
                  <c:v>52</c:v>
                </c:pt>
                <c:pt idx="4">
                  <c:v>52</c:v>
                </c:pt>
                <c:pt idx="5">
                  <c:v>52</c:v>
                </c:pt>
                <c:pt idx="6">
                  <c:v>50</c:v>
                </c:pt>
                <c:pt idx="7">
                  <c:v>55</c:v>
                </c:pt>
                <c:pt idx="8">
                  <c:v>55</c:v>
                </c:pt>
                <c:pt idx="9">
                  <c:v>50</c:v>
                </c:pt>
                <c:pt idx="10">
                  <c:v>55</c:v>
                </c:pt>
              </c:numCache>
            </c:numRef>
          </c:xVal>
          <c:yVal>
            <c:numRef>
              <c:f>Campylobacter!$K$37:$K$47</c:f>
              <c:numCache>
                <c:formatCode>0.00</c:formatCode>
                <c:ptCount val="11"/>
                <c:pt idx="0">
                  <c:v>-0.3979400086720376</c:v>
                </c:pt>
                <c:pt idx="1">
                  <c:v>0.94051648493256723</c:v>
                </c:pt>
                <c:pt idx="2">
                  <c:v>1.0606978403536116</c:v>
                </c:pt>
                <c:pt idx="3">
                  <c:v>0.80617997398388719</c:v>
                </c:pt>
                <c:pt idx="4">
                  <c:v>0.3010299956639812</c:v>
                </c:pt>
                <c:pt idx="5">
                  <c:v>0.77597433112936909</c:v>
                </c:pt>
                <c:pt idx="6">
                  <c:v>0.6020599913279624</c:v>
                </c:pt>
                <c:pt idx="7">
                  <c:v>-0.69897000433601875</c:v>
                </c:pt>
                <c:pt idx="8">
                  <c:v>1.1430148002540952</c:v>
                </c:pt>
                <c:pt idx="9">
                  <c:v>1.1238516409670858</c:v>
                </c:pt>
                <c:pt idx="10">
                  <c:v>-0.3979400086720376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338-4A43-A873-C73DE878C13E}"/>
            </c:ext>
          </c:extLst>
        </c:ser>
        <c:ser>
          <c:idx val="8"/>
          <c:order val="7"/>
          <c:tx>
            <c:v>log D (model)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GraphCampy!$A$15:$A$30</c:f>
              <c:numCache>
                <c:formatCode>General</c:formatCode>
                <c:ptCount val="16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</c:numCache>
            </c:numRef>
          </c:xVal>
          <c:yVal>
            <c:numRef>
              <c:f>GraphCampy!$B$15:$B$30</c:f>
              <c:numCache>
                <c:formatCode>0.00</c:formatCode>
                <c:ptCount val="16"/>
                <c:pt idx="0">
                  <c:v>1.0637458554911539</c:v>
                </c:pt>
                <c:pt idx="1">
                  <c:v>0.65862465405684123</c:v>
                </c:pt>
                <c:pt idx="2">
                  <c:v>0.25350345262252882</c:v>
                </c:pt>
                <c:pt idx="3">
                  <c:v>-0.15161774881178358</c:v>
                </c:pt>
                <c:pt idx="4">
                  <c:v>-0.55673895024609599</c:v>
                </c:pt>
                <c:pt idx="5">
                  <c:v>-0.96186015168040839</c:v>
                </c:pt>
                <c:pt idx="6">
                  <c:v>-1.3669813531147208</c:v>
                </c:pt>
                <c:pt idx="7">
                  <c:v>-1.7721025545490332</c:v>
                </c:pt>
                <c:pt idx="8">
                  <c:v>-2.1772237559833458</c:v>
                </c:pt>
                <c:pt idx="9">
                  <c:v>-2.582344957417658</c:v>
                </c:pt>
                <c:pt idx="10">
                  <c:v>-2.9874661588519706</c:v>
                </c:pt>
                <c:pt idx="11">
                  <c:v>-3.3925873602862828</c:v>
                </c:pt>
                <c:pt idx="12">
                  <c:v>-3.7977085617205955</c:v>
                </c:pt>
                <c:pt idx="13">
                  <c:v>-4.2028297631549076</c:v>
                </c:pt>
                <c:pt idx="14">
                  <c:v>-4.6079509645892198</c:v>
                </c:pt>
                <c:pt idx="15">
                  <c:v>-5.0130721660235329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338-4A43-A873-C73DE878C13E}"/>
            </c:ext>
          </c:extLst>
        </c:ser>
        <c:ser>
          <c:idx val="9"/>
          <c:order val="8"/>
          <c:tx>
            <c:v>95% cfi</c:v>
          </c:tx>
          <c:spPr>
            <a:ln w="25400">
              <a:solidFill>
                <a:srgbClr val="000080"/>
              </a:solidFill>
              <a:prstDash val="lgDash"/>
            </a:ln>
          </c:spPr>
          <c:marker>
            <c:symbol val="none"/>
          </c:marker>
          <c:xVal>
            <c:numRef>
              <c:f>GraphCampy!$A$15:$A$30</c:f>
              <c:numCache>
                <c:formatCode>General</c:formatCode>
                <c:ptCount val="16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</c:numCache>
            </c:numRef>
          </c:xVal>
          <c:yVal>
            <c:numRef>
              <c:f>GraphCampy!$C$15:$C$30</c:f>
              <c:numCache>
                <c:formatCode>0.00</c:formatCode>
                <c:ptCount val="16"/>
                <c:pt idx="0">
                  <c:v>2.0789641876287144</c:v>
                </c:pt>
                <c:pt idx="1">
                  <c:v>1.673842986194402</c:v>
                </c:pt>
                <c:pt idx="2">
                  <c:v>1.2687217847600896</c:v>
                </c:pt>
                <c:pt idx="3">
                  <c:v>0.86360058332577716</c:v>
                </c:pt>
                <c:pt idx="4">
                  <c:v>0.45847938189146475</c:v>
                </c:pt>
                <c:pt idx="5">
                  <c:v>5.3358180457152349E-2</c:v>
                </c:pt>
                <c:pt idx="6">
                  <c:v>-0.35176302097716006</c:v>
                </c:pt>
                <c:pt idx="7">
                  <c:v>-0.75688422241147246</c:v>
                </c:pt>
                <c:pt idx="8">
                  <c:v>-1.1620054238457851</c:v>
                </c:pt>
                <c:pt idx="9">
                  <c:v>-1.5671266252800973</c:v>
                </c:pt>
                <c:pt idx="10">
                  <c:v>-1.9722478267144099</c:v>
                </c:pt>
                <c:pt idx="11">
                  <c:v>-2.3773690281487223</c:v>
                </c:pt>
                <c:pt idx="12">
                  <c:v>-2.7824902295830345</c:v>
                </c:pt>
                <c:pt idx="13">
                  <c:v>-3.1876114310173467</c:v>
                </c:pt>
                <c:pt idx="14">
                  <c:v>-3.5927326324516589</c:v>
                </c:pt>
                <c:pt idx="15">
                  <c:v>-3.9978538338859719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338-4A43-A873-C73DE878C1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664264"/>
        <c:axId val="1"/>
      </c:scatterChart>
      <c:valAx>
        <c:axId val="480664264"/>
        <c:scaling>
          <c:orientation val="minMax"/>
          <c:max val="65"/>
          <c:min val="45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16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T (</a:t>
                </a:r>
                <a:r>
                  <a:rPr lang="nl-NL" sz="16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°</a:t>
                </a:r>
                <a:r>
                  <a:rPr lang="nl-NL" sz="16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C)</a:t>
                </a:r>
              </a:p>
            </c:rich>
          </c:tx>
          <c:layout>
            <c:manualLayout>
              <c:xMode val="edge"/>
              <c:yMode val="edge"/>
              <c:x val="0.43262470914539936"/>
              <c:y val="0.9155722326454033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2"/>
          <c:min val="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Log D (log min)</a:t>
                </a:r>
              </a:p>
            </c:rich>
          </c:tx>
          <c:layout>
            <c:manualLayout>
              <c:xMode val="edge"/>
              <c:yMode val="edge"/>
              <c:x val="1.4184397163120567E-2"/>
              <c:y val="0.3639774859287054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806642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1489465944416519"/>
          <c:y val="0.3902439024390244"/>
          <c:w val="0.27659619143351755"/>
          <c:h val="0.5347091932457785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Clostridium botulinum</a:t>
            </a:r>
          </a:p>
        </c:rich>
      </c:tx>
      <c:layout>
        <c:manualLayout>
          <c:xMode val="edge"/>
          <c:yMode val="edge"/>
          <c:x val="0.35411168431532264"/>
          <c:y val="2.94659300184162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58886886402006"/>
          <c:y val="0.1233888038616552"/>
          <c:w val="0.64986779485180268"/>
          <c:h val="0.76243231042873505"/>
        </c:manualLayout>
      </c:layout>
      <c:scatterChart>
        <c:scatterStyle val="lineMarker"/>
        <c:varyColors val="0"/>
        <c:ser>
          <c:idx val="4"/>
          <c:order val="0"/>
          <c:tx>
            <c:v>type A (P)</c:v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 botulinum'!$J$177:$J$255</c:f>
              <c:numCache>
                <c:formatCode>General</c:formatCode>
                <c:ptCount val="79"/>
                <c:pt idx="0">
                  <c:v>100</c:v>
                </c:pt>
                <c:pt idx="1">
                  <c:v>110</c:v>
                </c:pt>
                <c:pt idx="2">
                  <c:v>115</c:v>
                </c:pt>
                <c:pt idx="3">
                  <c:v>100</c:v>
                </c:pt>
                <c:pt idx="4">
                  <c:v>110</c:v>
                </c:pt>
                <c:pt idx="5">
                  <c:v>121</c:v>
                </c:pt>
                <c:pt idx="6">
                  <c:v>115.6</c:v>
                </c:pt>
                <c:pt idx="7">
                  <c:v>115.6</c:v>
                </c:pt>
                <c:pt idx="8">
                  <c:v>115.6</c:v>
                </c:pt>
                <c:pt idx="9">
                  <c:v>115.6</c:v>
                </c:pt>
                <c:pt idx="10">
                  <c:v>115.6</c:v>
                </c:pt>
                <c:pt idx="11">
                  <c:v>110</c:v>
                </c:pt>
                <c:pt idx="12">
                  <c:v>115</c:v>
                </c:pt>
                <c:pt idx="13">
                  <c:v>115.6</c:v>
                </c:pt>
                <c:pt idx="14">
                  <c:v>115</c:v>
                </c:pt>
                <c:pt idx="15">
                  <c:v>121</c:v>
                </c:pt>
                <c:pt idx="16">
                  <c:v>110</c:v>
                </c:pt>
                <c:pt idx="17">
                  <c:v>115.6</c:v>
                </c:pt>
                <c:pt idx="18">
                  <c:v>121</c:v>
                </c:pt>
                <c:pt idx="19">
                  <c:v>121</c:v>
                </c:pt>
                <c:pt idx="20">
                  <c:v>121</c:v>
                </c:pt>
                <c:pt idx="21">
                  <c:v>121</c:v>
                </c:pt>
                <c:pt idx="22">
                  <c:v>110</c:v>
                </c:pt>
                <c:pt idx="23">
                  <c:v>115.6</c:v>
                </c:pt>
                <c:pt idx="24">
                  <c:v>121.1</c:v>
                </c:pt>
                <c:pt idx="25">
                  <c:v>126.7</c:v>
                </c:pt>
                <c:pt idx="26">
                  <c:v>100</c:v>
                </c:pt>
                <c:pt idx="27">
                  <c:v>110</c:v>
                </c:pt>
                <c:pt idx="28">
                  <c:v>115</c:v>
                </c:pt>
                <c:pt idx="29">
                  <c:v>100</c:v>
                </c:pt>
                <c:pt idx="30">
                  <c:v>110</c:v>
                </c:pt>
                <c:pt idx="31">
                  <c:v>115.6</c:v>
                </c:pt>
                <c:pt idx="32">
                  <c:v>100</c:v>
                </c:pt>
                <c:pt idx="33">
                  <c:v>100</c:v>
                </c:pt>
                <c:pt idx="34">
                  <c:v>110</c:v>
                </c:pt>
                <c:pt idx="35">
                  <c:v>110</c:v>
                </c:pt>
                <c:pt idx="36">
                  <c:v>110</c:v>
                </c:pt>
                <c:pt idx="37">
                  <c:v>110</c:v>
                </c:pt>
                <c:pt idx="38">
                  <c:v>110</c:v>
                </c:pt>
                <c:pt idx="39">
                  <c:v>115</c:v>
                </c:pt>
                <c:pt idx="40">
                  <c:v>115</c:v>
                </c:pt>
                <c:pt idx="41">
                  <c:v>115</c:v>
                </c:pt>
                <c:pt idx="42">
                  <c:v>115</c:v>
                </c:pt>
                <c:pt idx="43">
                  <c:v>115.6</c:v>
                </c:pt>
                <c:pt idx="44">
                  <c:v>115.6</c:v>
                </c:pt>
                <c:pt idx="45">
                  <c:v>115.6</c:v>
                </c:pt>
                <c:pt idx="46">
                  <c:v>121</c:v>
                </c:pt>
                <c:pt idx="47">
                  <c:v>121.1</c:v>
                </c:pt>
                <c:pt idx="48">
                  <c:v>130</c:v>
                </c:pt>
                <c:pt idx="49">
                  <c:v>130</c:v>
                </c:pt>
                <c:pt idx="50">
                  <c:v>110</c:v>
                </c:pt>
                <c:pt idx="51">
                  <c:v>110</c:v>
                </c:pt>
                <c:pt idx="52">
                  <c:v>110</c:v>
                </c:pt>
                <c:pt idx="53">
                  <c:v>110</c:v>
                </c:pt>
                <c:pt idx="54">
                  <c:v>115</c:v>
                </c:pt>
                <c:pt idx="55">
                  <c:v>110</c:v>
                </c:pt>
                <c:pt idx="56">
                  <c:v>115.6</c:v>
                </c:pt>
                <c:pt idx="57">
                  <c:v>115.6</c:v>
                </c:pt>
                <c:pt idx="58">
                  <c:v>100</c:v>
                </c:pt>
                <c:pt idx="59">
                  <c:v>110</c:v>
                </c:pt>
                <c:pt idx="60">
                  <c:v>115</c:v>
                </c:pt>
                <c:pt idx="61">
                  <c:v>100</c:v>
                </c:pt>
                <c:pt idx="62">
                  <c:v>110</c:v>
                </c:pt>
                <c:pt idx="63">
                  <c:v>115.6</c:v>
                </c:pt>
                <c:pt idx="64">
                  <c:v>115.6</c:v>
                </c:pt>
                <c:pt idx="65">
                  <c:v>110</c:v>
                </c:pt>
                <c:pt idx="66">
                  <c:v>115.6</c:v>
                </c:pt>
                <c:pt idx="67">
                  <c:v>121.1</c:v>
                </c:pt>
                <c:pt idx="68">
                  <c:v>110</c:v>
                </c:pt>
                <c:pt idx="69">
                  <c:v>110</c:v>
                </c:pt>
                <c:pt idx="70">
                  <c:v>115.6</c:v>
                </c:pt>
                <c:pt idx="71">
                  <c:v>115.6</c:v>
                </c:pt>
                <c:pt idx="72">
                  <c:v>110</c:v>
                </c:pt>
                <c:pt idx="73">
                  <c:v>110</c:v>
                </c:pt>
                <c:pt idx="74">
                  <c:v>121</c:v>
                </c:pt>
                <c:pt idx="75">
                  <c:v>121</c:v>
                </c:pt>
                <c:pt idx="76">
                  <c:v>110</c:v>
                </c:pt>
                <c:pt idx="77">
                  <c:v>115.6</c:v>
                </c:pt>
                <c:pt idx="78">
                  <c:v>121.1</c:v>
                </c:pt>
              </c:numCache>
            </c:numRef>
          </c:xVal>
          <c:yVal>
            <c:numRef>
              <c:f>'C botulinum'!$M$177:$M$255</c:f>
              <c:numCache>
                <c:formatCode>0.00</c:formatCode>
                <c:ptCount val="79"/>
                <c:pt idx="0">
                  <c:v>1.0780941504064108</c:v>
                </c:pt>
                <c:pt idx="1">
                  <c:v>-0.21467016498923297</c:v>
                </c:pt>
                <c:pt idx="2">
                  <c:v>-0.85387196432176193</c:v>
                </c:pt>
                <c:pt idx="3">
                  <c:v>1.2370407913791908</c:v>
                </c:pt>
                <c:pt idx="4">
                  <c:v>8.6359830674748214E-2</c:v>
                </c:pt>
                <c:pt idx="5">
                  <c:v>-0.85387196432176193</c:v>
                </c:pt>
                <c:pt idx="6">
                  <c:v>-0.61978875828839397</c:v>
                </c:pt>
                <c:pt idx="7">
                  <c:v>-0.56863623584101264</c:v>
                </c:pt>
                <c:pt idx="8">
                  <c:v>-0.52287874528033762</c:v>
                </c:pt>
                <c:pt idx="9">
                  <c:v>-0.49485002168009401</c:v>
                </c:pt>
                <c:pt idx="10">
                  <c:v>-0.24412514432750865</c:v>
                </c:pt>
                <c:pt idx="11">
                  <c:v>0.27646180417324412</c:v>
                </c:pt>
                <c:pt idx="12">
                  <c:v>-8.092190762392612E-2</c:v>
                </c:pt>
                <c:pt idx="13">
                  <c:v>-0.49485002168009401</c:v>
                </c:pt>
                <c:pt idx="14">
                  <c:v>-0.24412514432750865</c:v>
                </c:pt>
                <c:pt idx="15">
                  <c:v>-0.63827216398240705</c:v>
                </c:pt>
                <c:pt idx="16">
                  <c:v>0.39445168082621629</c:v>
                </c:pt>
                <c:pt idx="17">
                  <c:v>-0.24412514432750865</c:v>
                </c:pt>
                <c:pt idx="18">
                  <c:v>-0.38721614328026455</c:v>
                </c:pt>
                <c:pt idx="19">
                  <c:v>-0.82390874094431876</c:v>
                </c:pt>
                <c:pt idx="20">
                  <c:v>-1.2218487496163564</c:v>
                </c:pt>
                <c:pt idx="21">
                  <c:v>-0.769551078621726</c:v>
                </c:pt>
                <c:pt idx="22">
                  <c:v>0.2966651902615311</c:v>
                </c:pt>
                <c:pt idx="23">
                  <c:v>-0.35654732351381258</c:v>
                </c:pt>
                <c:pt idx="24">
                  <c:v>-1.0506099933550872</c:v>
                </c:pt>
                <c:pt idx="25">
                  <c:v>-1.5228787452803376</c:v>
                </c:pt>
                <c:pt idx="26">
                  <c:v>1.355643050220869</c:v>
                </c:pt>
                <c:pt idx="27">
                  <c:v>-0.21467016498923297</c:v>
                </c:pt>
                <c:pt idx="28">
                  <c:v>-0.55284196865778079</c:v>
                </c:pt>
                <c:pt idx="29">
                  <c:v>1.3975924340381167</c:v>
                </c:pt>
                <c:pt idx="30">
                  <c:v>8.6359830674748214E-2</c:v>
                </c:pt>
                <c:pt idx="31">
                  <c:v>-0.49485002168009401</c:v>
                </c:pt>
                <c:pt idx="32">
                  <c:v>1.355643050220869</c:v>
                </c:pt>
                <c:pt idx="33">
                  <c:v>1.3246939138617746</c:v>
                </c:pt>
                <c:pt idx="34">
                  <c:v>4.3213737826425782E-3</c:v>
                </c:pt>
                <c:pt idx="35">
                  <c:v>-5.551732784983137E-2</c:v>
                </c:pt>
                <c:pt idx="36">
                  <c:v>0.24054924828259971</c:v>
                </c:pt>
                <c:pt idx="37">
                  <c:v>0.27875360095282892</c:v>
                </c:pt>
                <c:pt idx="38">
                  <c:v>0.12710479836480765</c:v>
                </c:pt>
                <c:pt idx="39">
                  <c:v>-0.55284196865778079</c:v>
                </c:pt>
                <c:pt idx="40">
                  <c:v>-0.30980391997148632</c:v>
                </c:pt>
                <c:pt idx="41">
                  <c:v>-0.50863830616572736</c:v>
                </c:pt>
                <c:pt idx="42">
                  <c:v>3.7426497940623665E-2</c:v>
                </c:pt>
                <c:pt idx="43">
                  <c:v>-0.63827216398240705</c:v>
                </c:pt>
                <c:pt idx="44">
                  <c:v>-0.46852108295774486</c:v>
                </c:pt>
                <c:pt idx="45">
                  <c:v>-0.11350927482751812</c:v>
                </c:pt>
                <c:pt idx="46">
                  <c:v>-0.88605664769316317</c:v>
                </c:pt>
                <c:pt idx="47">
                  <c:v>-1.2924298239020637</c:v>
                </c:pt>
                <c:pt idx="48">
                  <c:v>-2.2757241303992108</c:v>
                </c:pt>
                <c:pt idx="49">
                  <c:v>-1.7695510786217261</c:v>
                </c:pt>
                <c:pt idx="50">
                  <c:v>0.63245729218472424</c:v>
                </c:pt>
                <c:pt idx="51">
                  <c:v>0.6503075231319364</c:v>
                </c:pt>
                <c:pt idx="52">
                  <c:v>0.20411998265592479</c:v>
                </c:pt>
                <c:pt idx="53">
                  <c:v>0.23044892137827391</c:v>
                </c:pt>
                <c:pt idx="54">
                  <c:v>-9.6910013008056392E-2</c:v>
                </c:pt>
                <c:pt idx="55">
                  <c:v>0.37474834601010387</c:v>
                </c:pt>
                <c:pt idx="56">
                  <c:v>-0.25963731050575611</c:v>
                </c:pt>
                <c:pt idx="57">
                  <c:v>-0.28399665636520083</c:v>
                </c:pt>
                <c:pt idx="58">
                  <c:v>1.1658376246901283</c:v>
                </c:pt>
                <c:pt idx="59">
                  <c:v>-0.21467016498923297</c:v>
                </c:pt>
                <c:pt idx="60">
                  <c:v>-0.55284196865778079</c:v>
                </c:pt>
                <c:pt idx="61">
                  <c:v>1.2370407913791908</c:v>
                </c:pt>
                <c:pt idx="62">
                  <c:v>0.24054924828259971</c:v>
                </c:pt>
                <c:pt idx="63">
                  <c:v>-0.49485002168009401</c:v>
                </c:pt>
                <c:pt idx="64">
                  <c:v>-0.53760200210104392</c:v>
                </c:pt>
                <c:pt idx="65">
                  <c:v>0.30319605742048883</c:v>
                </c:pt>
                <c:pt idx="66">
                  <c:v>-0.27572413039921095</c:v>
                </c:pt>
                <c:pt idx="67">
                  <c:v>-0.87614835903291421</c:v>
                </c:pt>
                <c:pt idx="68">
                  <c:v>-3.6212172654444715E-2</c:v>
                </c:pt>
                <c:pt idx="69">
                  <c:v>-8.7739243075051505E-3</c:v>
                </c:pt>
                <c:pt idx="70">
                  <c:v>-0.42021640338318983</c:v>
                </c:pt>
                <c:pt idx="71">
                  <c:v>-0.3979400086720376</c:v>
                </c:pt>
                <c:pt idx="72">
                  <c:v>0.17609125905568124</c:v>
                </c:pt>
                <c:pt idx="73">
                  <c:v>0.20139712432045151</c:v>
                </c:pt>
                <c:pt idx="74">
                  <c:v>-0.6777807052660807</c:v>
                </c:pt>
                <c:pt idx="75">
                  <c:v>-0.95860731484177497</c:v>
                </c:pt>
                <c:pt idx="76">
                  <c:v>0.2528530309798932</c:v>
                </c:pt>
                <c:pt idx="77">
                  <c:v>-0.40893539297350079</c:v>
                </c:pt>
                <c:pt idx="78">
                  <c:v>-1.2218487496163564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6F-49DA-9711-D234278FBD57}"/>
            </c:ext>
          </c:extLst>
        </c:ser>
        <c:ser>
          <c:idx val="19"/>
          <c:order val="1"/>
          <c:tx>
            <c:v>type A/B (P)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 botulinum'!$J$256:$J$258</c:f>
              <c:numCache>
                <c:formatCode>General</c:formatCode>
                <c:ptCount val="3"/>
                <c:pt idx="0">
                  <c:v>121.1</c:v>
                </c:pt>
                <c:pt idx="1">
                  <c:v>121</c:v>
                </c:pt>
                <c:pt idx="2">
                  <c:v>121</c:v>
                </c:pt>
              </c:numCache>
            </c:numRef>
          </c:xVal>
          <c:yVal>
            <c:numRef>
              <c:f>'C botulinum'!$M$256:$M$258</c:f>
              <c:numCache>
                <c:formatCode>0.00</c:formatCode>
                <c:ptCount val="3"/>
                <c:pt idx="0">
                  <c:v>-0.6777807052660807</c:v>
                </c:pt>
                <c:pt idx="1">
                  <c:v>-1</c:v>
                </c:pt>
                <c:pt idx="2">
                  <c:v>-0.69897000433601875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76F-49DA-9711-D234278FBD57}"/>
            </c:ext>
          </c:extLst>
        </c:ser>
        <c:ser>
          <c:idx val="5"/>
          <c:order val="2"/>
          <c:tx>
            <c:v>type B (P)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 botulinum'!$J$259:$J$340</c:f>
              <c:numCache>
                <c:formatCode>General</c:formatCode>
                <c:ptCount val="82"/>
                <c:pt idx="0">
                  <c:v>100</c:v>
                </c:pt>
                <c:pt idx="1">
                  <c:v>110</c:v>
                </c:pt>
                <c:pt idx="2">
                  <c:v>100</c:v>
                </c:pt>
                <c:pt idx="3">
                  <c:v>110</c:v>
                </c:pt>
                <c:pt idx="4">
                  <c:v>110</c:v>
                </c:pt>
                <c:pt idx="5">
                  <c:v>115.6</c:v>
                </c:pt>
                <c:pt idx="6">
                  <c:v>115.6</c:v>
                </c:pt>
                <c:pt idx="7">
                  <c:v>110</c:v>
                </c:pt>
                <c:pt idx="8">
                  <c:v>110</c:v>
                </c:pt>
                <c:pt idx="9">
                  <c:v>115.6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110</c:v>
                </c:pt>
                <c:pt idx="14">
                  <c:v>115.6</c:v>
                </c:pt>
                <c:pt idx="15">
                  <c:v>110</c:v>
                </c:pt>
                <c:pt idx="16">
                  <c:v>115.6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110</c:v>
                </c:pt>
                <c:pt idx="21">
                  <c:v>110</c:v>
                </c:pt>
                <c:pt idx="22">
                  <c:v>115.6</c:v>
                </c:pt>
                <c:pt idx="23">
                  <c:v>121.1</c:v>
                </c:pt>
                <c:pt idx="24">
                  <c:v>115</c:v>
                </c:pt>
                <c:pt idx="25">
                  <c:v>110</c:v>
                </c:pt>
                <c:pt idx="26">
                  <c:v>115</c:v>
                </c:pt>
                <c:pt idx="27">
                  <c:v>120</c:v>
                </c:pt>
                <c:pt idx="28">
                  <c:v>110</c:v>
                </c:pt>
                <c:pt idx="29">
                  <c:v>110</c:v>
                </c:pt>
                <c:pt idx="30">
                  <c:v>115.6</c:v>
                </c:pt>
                <c:pt idx="31">
                  <c:v>115.6</c:v>
                </c:pt>
                <c:pt idx="32">
                  <c:v>110</c:v>
                </c:pt>
                <c:pt idx="33">
                  <c:v>110</c:v>
                </c:pt>
                <c:pt idx="34">
                  <c:v>100</c:v>
                </c:pt>
                <c:pt idx="35">
                  <c:v>110</c:v>
                </c:pt>
                <c:pt idx="36">
                  <c:v>100</c:v>
                </c:pt>
                <c:pt idx="37">
                  <c:v>110</c:v>
                </c:pt>
                <c:pt idx="38">
                  <c:v>115.6</c:v>
                </c:pt>
                <c:pt idx="39">
                  <c:v>115.6</c:v>
                </c:pt>
                <c:pt idx="40">
                  <c:v>100</c:v>
                </c:pt>
                <c:pt idx="41">
                  <c:v>100</c:v>
                </c:pt>
                <c:pt idx="42">
                  <c:v>110</c:v>
                </c:pt>
                <c:pt idx="43">
                  <c:v>110</c:v>
                </c:pt>
                <c:pt idx="44">
                  <c:v>110</c:v>
                </c:pt>
                <c:pt idx="45">
                  <c:v>110</c:v>
                </c:pt>
                <c:pt idx="46">
                  <c:v>110</c:v>
                </c:pt>
                <c:pt idx="47">
                  <c:v>110</c:v>
                </c:pt>
                <c:pt idx="48">
                  <c:v>110</c:v>
                </c:pt>
                <c:pt idx="49">
                  <c:v>115</c:v>
                </c:pt>
                <c:pt idx="50">
                  <c:v>115</c:v>
                </c:pt>
                <c:pt idx="51">
                  <c:v>115</c:v>
                </c:pt>
                <c:pt idx="52">
                  <c:v>115</c:v>
                </c:pt>
                <c:pt idx="53">
                  <c:v>115</c:v>
                </c:pt>
                <c:pt idx="54">
                  <c:v>115</c:v>
                </c:pt>
                <c:pt idx="55">
                  <c:v>115.6</c:v>
                </c:pt>
                <c:pt idx="56">
                  <c:v>120</c:v>
                </c:pt>
                <c:pt idx="57">
                  <c:v>120</c:v>
                </c:pt>
                <c:pt idx="58">
                  <c:v>120</c:v>
                </c:pt>
                <c:pt idx="59">
                  <c:v>120</c:v>
                </c:pt>
                <c:pt idx="60">
                  <c:v>125</c:v>
                </c:pt>
                <c:pt idx="61">
                  <c:v>125</c:v>
                </c:pt>
                <c:pt idx="62">
                  <c:v>130</c:v>
                </c:pt>
                <c:pt idx="63">
                  <c:v>130</c:v>
                </c:pt>
                <c:pt idx="64">
                  <c:v>135</c:v>
                </c:pt>
                <c:pt idx="65">
                  <c:v>135</c:v>
                </c:pt>
                <c:pt idx="66">
                  <c:v>138</c:v>
                </c:pt>
                <c:pt idx="67">
                  <c:v>138</c:v>
                </c:pt>
                <c:pt idx="68">
                  <c:v>140</c:v>
                </c:pt>
                <c:pt idx="69">
                  <c:v>110</c:v>
                </c:pt>
                <c:pt idx="70">
                  <c:v>110</c:v>
                </c:pt>
                <c:pt idx="71">
                  <c:v>115.6</c:v>
                </c:pt>
                <c:pt idx="72">
                  <c:v>115.6</c:v>
                </c:pt>
                <c:pt idx="73">
                  <c:v>82.2</c:v>
                </c:pt>
                <c:pt idx="74">
                  <c:v>110</c:v>
                </c:pt>
                <c:pt idx="75">
                  <c:v>82.2</c:v>
                </c:pt>
                <c:pt idx="76">
                  <c:v>100</c:v>
                </c:pt>
                <c:pt idx="77">
                  <c:v>110</c:v>
                </c:pt>
                <c:pt idx="78">
                  <c:v>100</c:v>
                </c:pt>
                <c:pt idx="79">
                  <c:v>110</c:v>
                </c:pt>
                <c:pt idx="80">
                  <c:v>110</c:v>
                </c:pt>
                <c:pt idx="81">
                  <c:v>115.6</c:v>
                </c:pt>
              </c:numCache>
            </c:numRef>
          </c:xVal>
          <c:yVal>
            <c:numRef>
              <c:f>'C botulinum'!$M$259:$M$340</c:f>
              <c:numCache>
                <c:formatCode>0.00</c:formatCode>
                <c:ptCount val="82"/>
                <c:pt idx="0">
                  <c:v>1.2494429614425822</c:v>
                </c:pt>
                <c:pt idx="1">
                  <c:v>2.5305865264770262E-2</c:v>
                </c:pt>
                <c:pt idx="2">
                  <c:v>1.0744507189545911</c:v>
                </c:pt>
                <c:pt idx="3">
                  <c:v>3.7426497940623665E-2</c:v>
                </c:pt>
                <c:pt idx="4">
                  <c:v>-6.5501548756432285E-2</c:v>
                </c:pt>
                <c:pt idx="5">
                  <c:v>-0.55284196865778079</c:v>
                </c:pt>
                <c:pt idx="6">
                  <c:v>-0.24412514432750865</c:v>
                </c:pt>
                <c:pt idx="7">
                  <c:v>6.8185861746161619E-2</c:v>
                </c:pt>
                <c:pt idx="8">
                  <c:v>-2.6872146400301365E-2</c:v>
                </c:pt>
                <c:pt idx="9">
                  <c:v>-0.58502665202918203</c:v>
                </c:pt>
                <c:pt idx="10">
                  <c:v>0.33243845991560533</c:v>
                </c:pt>
                <c:pt idx="11">
                  <c:v>-5.551732784983137E-2</c:v>
                </c:pt>
                <c:pt idx="12">
                  <c:v>-0.61978875828839397</c:v>
                </c:pt>
                <c:pt idx="13">
                  <c:v>0.45939248775923086</c:v>
                </c:pt>
                <c:pt idx="14">
                  <c:v>-4.5757490560675115E-2</c:v>
                </c:pt>
                <c:pt idx="15">
                  <c:v>1.2837224705172217E-2</c:v>
                </c:pt>
                <c:pt idx="16">
                  <c:v>-0.13667713987954411</c:v>
                </c:pt>
                <c:pt idx="17">
                  <c:v>-0.24412514432750865</c:v>
                </c:pt>
                <c:pt idx="18">
                  <c:v>-0.37675070960209955</c:v>
                </c:pt>
                <c:pt idx="19">
                  <c:v>-0.20065945054641829</c:v>
                </c:pt>
                <c:pt idx="20">
                  <c:v>0.47275644931721239</c:v>
                </c:pt>
                <c:pt idx="21">
                  <c:v>0.52244423350631986</c:v>
                </c:pt>
                <c:pt idx="22">
                  <c:v>5.6904851336472557E-2</c:v>
                </c:pt>
                <c:pt idx="23">
                  <c:v>-0.52287874528033762</c:v>
                </c:pt>
                <c:pt idx="24">
                  <c:v>-0.52287874528033762</c:v>
                </c:pt>
                <c:pt idx="25">
                  <c:v>-3.1517051446064863E-2</c:v>
                </c:pt>
                <c:pt idx="26">
                  <c:v>-0.6777807052660807</c:v>
                </c:pt>
                <c:pt idx="27">
                  <c:v>-1</c:v>
                </c:pt>
                <c:pt idx="28">
                  <c:v>-0.30980391997148632</c:v>
                </c:pt>
                <c:pt idx="29">
                  <c:v>-4.3648054024500883E-3</c:v>
                </c:pt>
                <c:pt idx="30">
                  <c:v>-0.92081875395237522</c:v>
                </c:pt>
                <c:pt idx="31">
                  <c:v>-0.40893539297350079</c:v>
                </c:pt>
                <c:pt idx="32">
                  <c:v>0.33041377334919086</c:v>
                </c:pt>
                <c:pt idx="33">
                  <c:v>1.0941215958405615</c:v>
                </c:pt>
                <c:pt idx="34">
                  <c:v>1.527114111639805</c:v>
                </c:pt>
                <c:pt idx="35">
                  <c:v>0.18184358794477254</c:v>
                </c:pt>
                <c:pt idx="36">
                  <c:v>1.4619484952037618</c:v>
                </c:pt>
                <c:pt idx="37">
                  <c:v>0.48713837547718647</c:v>
                </c:pt>
                <c:pt idx="38">
                  <c:v>-5.551732784983137E-2</c:v>
                </c:pt>
                <c:pt idx="39">
                  <c:v>7.1882007306125359E-2</c:v>
                </c:pt>
                <c:pt idx="40">
                  <c:v>1.3372595397502758</c:v>
                </c:pt>
                <c:pt idx="41">
                  <c:v>1.4073909044707316</c:v>
                </c:pt>
                <c:pt idx="42">
                  <c:v>7.554696139253074E-2</c:v>
                </c:pt>
                <c:pt idx="43">
                  <c:v>0.3010299956639812</c:v>
                </c:pt>
                <c:pt idx="44">
                  <c:v>0.26717172840301384</c:v>
                </c:pt>
                <c:pt idx="45">
                  <c:v>0.26717172840301384</c:v>
                </c:pt>
                <c:pt idx="46">
                  <c:v>0.3010299956639812</c:v>
                </c:pt>
                <c:pt idx="47">
                  <c:v>0.14612803567823801</c:v>
                </c:pt>
                <c:pt idx="48">
                  <c:v>0.20411998265592479</c:v>
                </c:pt>
                <c:pt idx="49">
                  <c:v>-0.10790539730951958</c:v>
                </c:pt>
                <c:pt idx="50">
                  <c:v>-0.43179827593300502</c:v>
                </c:pt>
                <c:pt idx="51">
                  <c:v>-0.61978875828839397</c:v>
                </c:pt>
                <c:pt idx="52">
                  <c:v>-0.10790539730951958</c:v>
                </c:pt>
                <c:pt idx="53">
                  <c:v>3.7426497940623665E-2</c:v>
                </c:pt>
                <c:pt idx="54">
                  <c:v>-0.3979400086720376</c:v>
                </c:pt>
                <c:pt idx="55">
                  <c:v>-0.42021640338318983</c:v>
                </c:pt>
                <c:pt idx="56">
                  <c:v>-0.88605664769316317</c:v>
                </c:pt>
                <c:pt idx="57">
                  <c:v>-0.82390874094431876</c:v>
                </c:pt>
                <c:pt idx="58">
                  <c:v>-0.72124639904717103</c:v>
                </c:pt>
                <c:pt idx="59">
                  <c:v>-4.5757490560675115E-2</c:v>
                </c:pt>
                <c:pt idx="60">
                  <c:v>-1.3767507096020994</c:v>
                </c:pt>
                <c:pt idx="61">
                  <c:v>-1.0555173278498313</c:v>
                </c:pt>
                <c:pt idx="62">
                  <c:v>-1.7958800173440752</c:v>
                </c:pt>
                <c:pt idx="63">
                  <c:v>-1.5228787452803376</c:v>
                </c:pt>
                <c:pt idx="64">
                  <c:v>-2.5686362358410126</c:v>
                </c:pt>
                <c:pt idx="65">
                  <c:v>-2.0969100130080562</c:v>
                </c:pt>
                <c:pt idx="66">
                  <c:v>-2.744727494896694</c:v>
                </c:pt>
                <c:pt idx="67">
                  <c:v>-2.0705810742857071</c:v>
                </c:pt>
                <c:pt idx="68">
                  <c:v>-2.5686362358410126</c:v>
                </c:pt>
                <c:pt idx="69">
                  <c:v>8.6001717619175692E-3</c:v>
                </c:pt>
                <c:pt idx="70">
                  <c:v>0.13987908640123647</c:v>
                </c:pt>
                <c:pt idx="71">
                  <c:v>-0.95860731484177497</c:v>
                </c:pt>
                <c:pt idx="72">
                  <c:v>-0.45593195564972439</c:v>
                </c:pt>
                <c:pt idx="73">
                  <c:v>2.6839471307515121</c:v>
                </c:pt>
                <c:pt idx="74">
                  <c:v>0.17609125905568124</c:v>
                </c:pt>
                <c:pt idx="75">
                  <c:v>2.9385197251764921</c:v>
                </c:pt>
                <c:pt idx="76">
                  <c:v>1.344981413927258</c:v>
                </c:pt>
                <c:pt idx="77">
                  <c:v>0.18752072083646307</c:v>
                </c:pt>
                <c:pt idx="78">
                  <c:v>1.0468851908377101</c:v>
                </c:pt>
                <c:pt idx="79">
                  <c:v>7.554696139253074E-2</c:v>
                </c:pt>
                <c:pt idx="80">
                  <c:v>0.24303804868629444</c:v>
                </c:pt>
                <c:pt idx="81">
                  <c:v>-0.25963731050575611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76F-49DA-9711-D234278FBD57}"/>
            </c:ext>
          </c:extLst>
        </c:ser>
        <c:ser>
          <c:idx val="6"/>
          <c:order val="3"/>
          <c:tx>
            <c:v>type F (P)</c:v>
          </c:tx>
          <c:spPr>
            <a:ln w="28575">
              <a:noFill/>
            </a:ln>
          </c:spPr>
          <c:marker>
            <c:symbol val="triangle"/>
            <c:size val="5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 botulinum'!$J$341:$J$352</c:f>
              <c:numCache>
                <c:formatCode>General</c:formatCode>
                <c:ptCount val="12"/>
                <c:pt idx="0">
                  <c:v>101.7</c:v>
                </c:pt>
                <c:pt idx="1">
                  <c:v>110</c:v>
                </c:pt>
                <c:pt idx="2">
                  <c:v>121.1</c:v>
                </c:pt>
                <c:pt idx="3">
                  <c:v>101.7</c:v>
                </c:pt>
                <c:pt idx="4">
                  <c:v>101.7</c:v>
                </c:pt>
                <c:pt idx="5">
                  <c:v>101.7</c:v>
                </c:pt>
                <c:pt idx="6">
                  <c:v>110</c:v>
                </c:pt>
                <c:pt idx="7">
                  <c:v>110</c:v>
                </c:pt>
                <c:pt idx="8">
                  <c:v>110</c:v>
                </c:pt>
                <c:pt idx="9">
                  <c:v>121.1</c:v>
                </c:pt>
                <c:pt idx="10">
                  <c:v>121.1</c:v>
                </c:pt>
                <c:pt idx="11">
                  <c:v>121.1</c:v>
                </c:pt>
              </c:numCache>
            </c:numRef>
          </c:xVal>
          <c:yVal>
            <c:numRef>
              <c:f>'C botulinum'!$M$341:$M$352</c:f>
              <c:numCache>
                <c:formatCode>0.00</c:formatCode>
                <c:ptCount val="12"/>
                <c:pt idx="0">
                  <c:v>0.70500795933333604</c:v>
                </c:pt>
                <c:pt idx="1">
                  <c:v>0.13033376849500614</c:v>
                </c:pt>
                <c:pt idx="2">
                  <c:v>-0.65757731917779372</c:v>
                </c:pt>
                <c:pt idx="3">
                  <c:v>1.0799044676667207</c:v>
                </c:pt>
                <c:pt idx="4">
                  <c:v>0.94250410616808067</c:v>
                </c:pt>
                <c:pt idx="5">
                  <c:v>0.72835378202122847</c:v>
                </c:pt>
                <c:pt idx="6">
                  <c:v>0.26007138798507479</c:v>
                </c:pt>
                <c:pt idx="7">
                  <c:v>0.2528530309798932</c:v>
                </c:pt>
                <c:pt idx="8">
                  <c:v>0.16136800223497488</c:v>
                </c:pt>
                <c:pt idx="9">
                  <c:v>-0.85387196432176193</c:v>
                </c:pt>
                <c:pt idx="10">
                  <c:v>-0.85387196432176193</c:v>
                </c:pt>
                <c:pt idx="11">
                  <c:v>-0.79588001734407521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76F-49DA-9711-D234278FBD57}"/>
            </c:ext>
          </c:extLst>
        </c:ser>
        <c:ser>
          <c:idx val="9"/>
          <c:order val="4"/>
          <c:tx>
            <c:v>log D (A,B,F (P))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GraphBotulinum!$A$13:$A$33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GraphBotulinum!$B$13:$B$33</c:f>
              <c:numCache>
                <c:formatCode>0.00</c:formatCode>
                <c:ptCount val="21"/>
                <c:pt idx="0">
                  <c:v>6.5584933701398729</c:v>
                </c:pt>
                <c:pt idx="1">
                  <c:v>6.068973901196463</c:v>
                </c:pt>
                <c:pt idx="2">
                  <c:v>5.579454432253053</c:v>
                </c:pt>
                <c:pt idx="3">
                  <c:v>5.089934963309644</c:v>
                </c:pt>
                <c:pt idx="4">
                  <c:v>4.6004154943662341</c:v>
                </c:pt>
                <c:pt idx="5">
                  <c:v>4.1108960254228242</c:v>
                </c:pt>
                <c:pt idx="6">
                  <c:v>3.6213765564794151</c:v>
                </c:pt>
                <c:pt idx="7">
                  <c:v>3.1318570875360052</c:v>
                </c:pt>
                <c:pt idx="8">
                  <c:v>2.6423376185925953</c:v>
                </c:pt>
                <c:pt idx="9">
                  <c:v>2.1528181496491858</c:v>
                </c:pt>
                <c:pt idx="10">
                  <c:v>1.6632986807057759</c:v>
                </c:pt>
                <c:pt idx="11">
                  <c:v>1.1737792117623664</c:v>
                </c:pt>
                <c:pt idx="12">
                  <c:v>0.68425974281895674</c:v>
                </c:pt>
                <c:pt idx="13">
                  <c:v>0.19474027387554704</c:v>
                </c:pt>
                <c:pt idx="14">
                  <c:v>-0.29477919506786265</c:v>
                </c:pt>
                <c:pt idx="15">
                  <c:v>-0.78429866401127235</c:v>
                </c:pt>
                <c:pt idx="16">
                  <c:v>-1.273818132954682</c:v>
                </c:pt>
                <c:pt idx="17">
                  <c:v>-1.7633376018980917</c:v>
                </c:pt>
                <c:pt idx="18">
                  <c:v>-2.2528570708415012</c:v>
                </c:pt>
                <c:pt idx="19">
                  <c:v>-2.7423765397849111</c:v>
                </c:pt>
                <c:pt idx="20">
                  <c:v>-3.2318960087283206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76F-49DA-9711-D234278FBD57}"/>
            </c:ext>
          </c:extLst>
        </c:ser>
        <c:ser>
          <c:idx val="10"/>
          <c:order val="5"/>
          <c:tx>
            <c:v>log D 95% (A,B,F (P))</c:v>
          </c:tx>
          <c:spPr>
            <a:ln w="25400">
              <a:solidFill>
                <a:srgbClr val="000080"/>
              </a:solidFill>
              <a:prstDash val="lgDash"/>
            </a:ln>
          </c:spPr>
          <c:marker>
            <c:symbol val="none"/>
          </c:marker>
          <c:xVal>
            <c:numRef>
              <c:f>GraphBotulinum!$A$13:$A$33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GraphBotulinum!$C$13:$C$33</c:f>
              <c:numCache>
                <c:formatCode>0.00</c:formatCode>
                <c:ptCount val="21"/>
                <c:pt idx="0">
                  <c:v>7.0215339104184764</c:v>
                </c:pt>
                <c:pt idx="1">
                  <c:v>6.5320144414750665</c:v>
                </c:pt>
                <c:pt idx="2">
                  <c:v>6.0424949725316566</c:v>
                </c:pt>
                <c:pt idx="3">
                  <c:v>5.5529755035882475</c:v>
                </c:pt>
                <c:pt idx="4">
                  <c:v>5.0634560346448376</c:v>
                </c:pt>
                <c:pt idx="5">
                  <c:v>4.5739365657014277</c:v>
                </c:pt>
                <c:pt idx="6">
                  <c:v>4.0844170967580187</c:v>
                </c:pt>
                <c:pt idx="7">
                  <c:v>3.5948976278146088</c:v>
                </c:pt>
                <c:pt idx="8">
                  <c:v>3.1053781588711988</c:v>
                </c:pt>
                <c:pt idx="9">
                  <c:v>2.6158586899277898</c:v>
                </c:pt>
                <c:pt idx="10">
                  <c:v>2.1263392209843799</c:v>
                </c:pt>
                <c:pt idx="11">
                  <c:v>1.6368197520409702</c:v>
                </c:pt>
                <c:pt idx="12">
                  <c:v>1.1473002830975605</c:v>
                </c:pt>
                <c:pt idx="13">
                  <c:v>0.65778081415415079</c:v>
                </c:pt>
                <c:pt idx="14">
                  <c:v>0.1682613452107411</c:v>
                </c:pt>
                <c:pt idx="15">
                  <c:v>-0.3212581237326686</c:v>
                </c:pt>
                <c:pt idx="16">
                  <c:v>-0.8107775926760783</c:v>
                </c:pt>
                <c:pt idx="17">
                  <c:v>-1.300297061619488</c:v>
                </c:pt>
                <c:pt idx="18">
                  <c:v>-1.7898165305628975</c:v>
                </c:pt>
                <c:pt idx="19">
                  <c:v>-2.2793359995063076</c:v>
                </c:pt>
                <c:pt idx="20">
                  <c:v>-2.7688554684497166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76F-49DA-9711-D234278FBD57}"/>
            </c:ext>
          </c:extLst>
        </c:ser>
        <c:ser>
          <c:idx val="7"/>
          <c:order val="6"/>
          <c:tx>
            <c:v>type B (NP + lysozyme)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'C botulinum'!$J$103:$J$142</c:f>
              <c:numCache>
                <c:formatCode>General</c:formatCode>
                <c:ptCount val="40"/>
                <c:pt idx="0">
                  <c:v>85</c:v>
                </c:pt>
                <c:pt idx="1">
                  <c:v>90</c:v>
                </c:pt>
                <c:pt idx="2">
                  <c:v>95</c:v>
                </c:pt>
                <c:pt idx="3">
                  <c:v>82.2</c:v>
                </c:pt>
                <c:pt idx="4">
                  <c:v>75</c:v>
                </c:pt>
                <c:pt idx="5">
                  <c:v>85</c:v>
                </c:pt>
                <c:pt idx="6">
                  <c:v>82.2</c:v>
                </c:pt>
                <c:pt idx="7">
                  <c:v>82.2</c:v>
                </c:pt>
                <c:pt idx="8">
                  <c:v>82.2</c:v>
                </c:pt>
                <c:pt idx="9">
                  <c:v>82.2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75</c:v>
                </c:pt>
                <c:pt idx="17">
                  <c:v>80</c:v>
                </c:pt>
                <c:pt idx="18">
                  <c:v>85</c:v>
                </c:pt>
                <c:pt idx="19">
                  <c:v>90</c:v>
                </c:pt>
                <c:pt idx="20">
                  <c:v>75</c:v>
                </c:pt>
                <c:pt idx="21">
                  <c:v>80</c:v>
                </c:pt>
                <c:pt idx="22">
                  <c:v>85</c:v>
                </c:pt>
                <c:pt idx="23">
                  <c:v>90</c:v>
                </c:pt>
                <c:pt idx="24">
                  <c:v>75</c:v>
                </c:pt>
                <c:pt idx="25">
                  <c:v>80</c:v>
                </c:pt>
                <c:pt idx="26">
                  <c:v>85</c:v>
                </c:pt>
                <c:pt idx="27">
                  <c:v>90</c:v>
                </c:pt>
                <c:pt idx="28">
                  <c:v>75</c:v>
                </c:pt>
                <c:pt idx="29">
                  <c:v>80</c:v>
                </c:pt>
                <c:pt idx="30">
                  <c:v>85</c:v>
                </c:pt>
                <c:pt idx="31">
                  <c:v>90</c:v>
                </c:pt>
                <c:pt idx="32">
                  <c:v>75</c:v>
                </c:pt>
                <c:pt idx="33">
                  <c:v>80</c:v>
                </c:pt>
                <c:pt idx="34">
                  <c:v>85</c:v>
                </c:pt>
                <c:pt idx="35">
                  <c:v>90</c:v>
                </c:pt>
                <c:pt idx="36">
                  <c:v>75</c:v>
                </c:pt>
                <c:pt idx="37">
                  <c:v>80</c:v>
                </c:pt>
                <c:pt idx="38">
                  <c:v>85</c:v>
                </c:pt>
                <c:pt idx="39">
                  <c:v>90</c:v>
                </c:pt>
              </c:numCache>
            </c:numRef>
          </c:xVal>
          <c:yVal>
            <c:numRef>
              <c:f>'C botulinum'!$M$103:$M$142</c:f>
              <c:numCache>
                <c:formatCode>0.00</c:formatCode>
                <c:ptCount val="40"/>
                <c:pt idx="0">
                  <c:v>2</c:v>
                </c:pt>
                <c:pt idx="1">
                  <c:v>1.271841606536499</c:v>
                </c:pt>
                <c:pt idx="2">
                  <c:v>0.64345267648618742</c:v>
                </c:pt>
                <c:pt idx="3">
                  <c:v>1.4502491083193612</c:v>
                </c:pt>
                <c:pt idx="4">
                  <c:v>2.4517864355242902</c:v>
                </c:pt>
                <c:pt idx="5">
                  <c:v>1.8825245379548805</c:v>
                </c:pt>
                <c:pt idx="6">
                  <c:v>2.1271047983648077</c:v>
                </c:pt>
                <c:pt idx="7">
                  <c:v>3.34713478291002</c:v>
                </c:pt>
                <c:pt idx="8">
                  <c:v>2.3891660843645326</c:v>
                </c:pt>
                <c:pt idx="9">
                  <c:v>1.8668778143374989</c:v>
                </c:pt>
                <c:pt idx="10">
                  <c:v>0.50785587169583091</c:v>
                </c:pt>
                <c:pt idx="11">
                  <c:v>0.50785587169583091</c:v>
                </c:pt>
                <c:pt idx="12">
                  <c:v>0.61172330800734176</c:v>
                </c:pt>
                <c:pt idx="13">
                  <c:v>0.57170883180868759</c:v>
                </c:pt>
                <c:pt idx="14">
                  <c:v>0.63447727016073152</c:v>
                </c:pt>
                <c:pt idx="15">
                  <c:v>0.40312052117581787</c:v>
                </c:pt>
                <c:pt idx="16">
                  <c:v>1.6242820958356683</c:v>
                </c:pt>
                <c:pt idx="17">
                  <c:v>1.2329961103921538</c:v>
                </c:pt>
                <c:pt idx="18">
                  <c:v>0.89209460269048035</c:v>
                </c:pt>
                <c:pt idx="19">
                  <c:v>4.1392685158225077E-2</c:v>
                </c:pt>
                <c:pt idx="20">
                  <c:v>1.4099331233312946</c:v>
                </c:pt>
                <c:pt idx="21">
                  <c:v>1.1789769472931695</c:v>
                </c:pt>
                <c:pt idx="22">
                  <c:v>0.74036268949424389</c:v>
                </c:pt>
                <c:pt idx="23">
                  <c:v>-0.22184874961635639</c:v>
                </c:pt>
                <c:pt idx="24">
                  <c:v>1.2479732663618066</c:v>
                </c:pt>
                <c:pt idx="25">
                  <c:v>1.1172712956557642</c:v>
                </c:pt>
                <c:pt idx="26">
                  <c:v>0.50514997831990605</c:v>
                </c:pt>
                <c:pt idx="27">
                  <c:v>-0.3010299956639812</c:v>
                </c:pt>
                <c:pt idx="28">
                  <c:v>1.4377505628203879</c:v>
                </c:pt>
                <c:pt idx="29">
                  <c:v>1.1205739312058498</c:v>
                </c:pt>
                <c:pt idx="30">
                  <c:v>0.69897000433601886</c:v>
                </c:pt>
                <c:pt idx="31">
                  <c:v>-9.6910013008056392E-2</c:v>
                </c:pt>
                <c:pt idx="32">
                  <c:v>1.2988530764097066</c:v>
                </c:pt>
                <c:pt idx="33">
                  <c:v>1.1003705451175629</c:v>
                </c:pt>
                <c:pt idx="34">
                  <c:v>0.63346845557958653</c:v>
                </c:pt>
                <c:pt idx="35">
                  <c:v>-0.3979400086720376</c:v>
                </c:pt>
                <c:pt idx="36">
                  <c:v>1.2278867046136734</c:v>
                </c:pt>
                <c:pt idx="37">
                  <c:v>0.91381385238371671</c:v>
                </c:pt>
                <c:pt idx="38">
                  <c:v>0.41497334797081797</c:v>
                </c:pt>
                <c:pt idx="39">
                  <c:v>-0.52287874528033762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76F-49DA-9711-D234278FBD57}"/>
            </c:ext>
          </c:extLst>
        </c:ser>
        <c:ser>
          <c:idx val="8"/>
          <c:order val="7"/>
          <c:tx>
            <c:v>type E (NP + lysozyme)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'C botulinum'!$J$143:$J$155</c:f>
              <c:numCache>
                <c:formatCode>General</c:formatCode>
                <c:ptCount val="13"/>
                <c:pt idx="0">
                  <c:v>82.2</c:v>
                </c:pt>
                <c:pt idx="1">
                  <c:v>91</c:v>
                </c:pt>
                <c:pt idx="2">
                  <c:v>93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91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</c:numCache>
            </c:numRef>
          </c:xVal>
          <c:yVal>
            <c:numRef>
              <c:f>'C botulinum'!$M$143:$M$155</c:f>
              <c:numCache>
                <c:formatCode>0.00</c:formatCode>
                <c:ptCount val="13"/>
                <c:pt idx="0">
                  <c:v>1.3838153659804313</c:v>
                </c:pt>
                <c:pt idx="1">
                  <c:v>1.1303337684950061</c:v>
                </c:pt>
                <c:pt idx="2">
                  <c:v>0.57978359661681012</c:v>
                </c:pt>
                <c:pt idx="3">
                  <c:v>1.658964842664435</c:v>
                </c:pt>
                <c:pt idx="4">
                  <c:v>1.0718820073061255</c:v>
                </c:pt>
                <c:pt idx="5">
                  <c:v>0.44715803134221921</c:v>
                </c:pt>
                <c:pt idx="6">
                  <c:v>0.69897000433601886</c:v>
                </c:pt>
                <c:pt idx="7">
                  <c:v>0.63848925695463732</c:v>
                </c:pt>
                <c:pt idx="8">
                  <c:v>0.63447727016073152</c:v>
                </c:pt>
                <c:pt idx="9">
                  <c:v>0.65417654187796048</c:v>
                </c:pt>
                <c:pt idx="10">
                  <c:v>0.57978359661681012</c:v>
                </c:pt>
                <c:pt idx="11">
                  <c:v>1.2837224705172217E-2</c:v>
                </c:pt>
                <c:pt idx="12">
                  <c:v>-8.7739243075051505E-3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76F-49DA-9711-D234278FBD57}"/>
            </c:ext>
          </c:extLst>
        </c:ser>
        <c:ser>
          <c:idx val="0"/>
          <c:order val="8"/>
          <c:tx>
            <c:v>type C (NP)</c:v>
          </c:tx>
          <c:spPr>
            <a:ln w="28575"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'C botulinum'!$J$156:$J$176</c:f>
              <c:numCache>
                <c:formatCode>General</c:formatCode>
                <c:ptCount val="21"/>
                <c:pt idx="0">
                  <c:v>93</c:v>
                </c:pt>
                <c:pt idx="1">
                  <c:v>93</c:v>
                </c:pt>
                <c:pt idx="2">
                  <c:v>96</c:v>
                </c:pt>
                <c:pt idx="3">
                  <c:v>96</c:v>
                </c:pt>
                <c:pt idx="4">
                  <c:v>96</c:v>
                </c:pt>
                <c:pt idx="5">
                  <c:v>96</c:v>
                </c:pt>
                <c:pt idx="6">
                  <c:v>101</c:v>
                </c:pt>
                <c:pt idx="7">
                  <c:v>101</c:v>
                </c:pt>
                <c:pt idx="8">
                  <c:v>101</c:v>
                </c:pt>
                <c:pt idx="9">
                  <c:v>101</c:v>
                </c:pt>
                <c:pt idx="10">
                  <c:v>101</c:v>
                </c:pt>
                <c:pt idx="11">
                  <c:v>101</c:v>
                </c:pt>
                <c:pt idx="12">
                  <c:v>104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107</c:v>
                </c:pt>
                <c:pt idx="19">
                  <c:v>107</c:v>
                </c:pt>
                <c:pt idx="20">
                  <c:v>110</c:v>
                </c:pt>
              </c:numCache>
            </c:numRef>
          </c:xVal>
          <c:yVal>
            <c:numRef>
              <c:f>'C botulinum'!$M$156:$M$176</c:f>
              <c:numCache>
                <c:formatCode>0.00</c:formatCode>
                <c:ptCount val="21"/>
                <c:pt idx="0">
                  <c:v>0.36548798489089962</c:v>
                </c:pt>
                <c:pt idx="1">
                  <c:v>0.48000694295715063</c:v>
                </c:pt>
                <c:pt idx="2">
                  <c:v>0.41830129131974547</c:v>
                </c:pt>
                <c:pt idx="3">
                  <c:v>0.40654018043395512</c:v>
                </c:pt>
                <c:pt idx="4">
                  <c:v>4.5322978786657475E-2</c:v>
                </c:pt>
                <c:pt idx="5">
                  <c:v>-4.0958607678906384E-2</c:v>
                </c:pt>
                <c:pt idx="6">
                  <c:v>0.38738982633872943</c:v>
                </c:pt>
                <c:pt idx="7">
                  <c:v>5.6904851336472557E-2</c:v>
                </c:pt>
                <c:pt idx="8">
                  <c:v>-0.61978875828839397</c:v>
                </c:pt>
                <c:pt idx="9">
                  <c:v>-0.56863623584101264</c:v>
                </c:pt>
                <c:pt idx="10">
                  <c:v>-1.0457574905606752</c:v>
                </c:pt>
                <c:pt idx="11">
                  <c:v>-1.1549019599857431</c:v>
                </c:pt>
                <c:pt idx="12">
                  <c:v>-4.5757490560675115E-2</c:v>
                </c:pt>
                <c:pt idx="13">
                  <c:v>-0.3979400086720376</c:v>
                </c:pt>
                <c:pt idx="14">
                  <c:v>-0.92081875395237522</c:v>
                </c:pt>
                <c:pt idx="15">
                  <c:v>-1.0969100130080565</c:v>
                </c:pt>
                <c:pt idx="16">
                  <c:v>-1.3979400086720375</c:v>
                </c:pt>
                <c:pt idx="17">
                  <c:v>-1.6989700043360187</c:v>
                </c:pt>
                <c:pt idx="18">
                  <c:v>-0.55284196865778079</c:v>
                </c:pt>
                <c:pt idx="19">
                  <c:v>-0.92081875395237522</c:v>
                </c:pt>
                <c:pt idx="20">
                  <c:v>-0.92081875395237522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76F-49DA-9711-D234278FBD57}"/>
            </c:ext>
          </c:extLst>
        </c:ser>
        <c:ser>
          <c:idx val="16"/>
          <c:order val="9"/>
          <c:tx>
            <c:v>type B (NP)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'C botulinum'!$J$2:$J$27</c:f>
              <c:numCache>
                <c:formatCode>General</c:formatCode>
                <c:ptCount val="26"/>
                <c:pt idx="0">
                  <c:v>82.2</c:v>
                </c:pt>
                <c:pt idx="1">
                  <c:v>82.2</c:v>
                </c:pt>
                <c:pt idx="2">
                  <c:v>82.2</c:v>
                </c:pt>
                <c:pt idx="3">
                  <c:v>82.2</c:v>
                </c:pt>
                <c:pt idx="4">
                  <c:v>82.2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88.9</c:v>
                </c:pt>
                <c:pt idx="16">
                  <c:v>89.4</c:v>
                </c:pt>
                <c:pt idx="17">
                  <c:v>90</c:v>
                </c:pt>
                <c:pt idx="18">
                  <c:v>90.6</c:v>
                </c:pt>
                <c:pt idx="19">
                  <c:v>91.1</c:v>
                </c:pt>
                <c:pt idx="20">
                  <c:v>91.7</c:v>
                </c:pt>
                <c:pt idx="21">
                  <c:v>92.2</c:v>
                </c:pt>
                <c:pt idx="22">
                  <c:v>92.8</c:v>
                </c:pt>
                <c:pt idx="23">
                  <c:v>93.3</c:v>
                </c:pt>
                <c:pt idx="24">
                  <c:v>93.9</c:v>
                </c:pt>
                <c:pt idx="25">
                  <c:v>94.4</c:v>
                </c:pt>
              </c:numCache>
            </c:numRef>
          </c:xVal>
          <c:yVal>
            <c:numRef>
              <c:f>'C botulinum'!$M$2:$M$27</c:f>
              <c:numCache>
                <c:formatCode>0.00</c:formatCode>
                <c:ptCount val="26"/>
                <c:pt idx="0">
                  <c:v>1.2227164711475833</c:v>
                </c:pt>
                <c:pt idx="1">
                  <c:v>-8.092190762392612E-2</c:v>
                </c:pt>
                <c:pt idx="2">
                  <c:v>1.5092025223311027</c:v>
                </c:pt>
                <c:pt idx="3">
                  <c:v>0.62013605497375746</c:v>
                </c:pt>
                <c:pt idx="4">
                  <c:v>0.17318626841227402</c:v>
                </c:pt>
                <c:pt idx="5">
                  <c:v>1.5122840632818535</c:v>
                </c:pt>
                <c:pt idx="6">
                  <c:v>1.1821292140529984</c:v>
                </c:pt>
                <c:pt idx="7">
                  <c:v>0.68574173860226362</c:v>
                </c:pt>
                <c:pt idx="8">
                  <c:v>-9.6910013008056392E-2</c:v>
                </c:pt>
                <c:pt idx="9">
                  <c:v>-0.22184874961635639</c:v>
                </c:pt>
                <c:pt idx="10">
                  <c:v>-0.17392519729917355</c:v>
                </c:pt>
                <c:pt idx="11">
                  <c:v>0.27875360095282892</c:v>
                </c:pt>
                <c:pt idx="12">
                  <c:v>-1.7728766960431602E-2</c:v>
                </c:pt>
                <c:pt idx="13">
                  <c:v>0.18469143081759881</c:v>
                </c:pt>
                <c:pt idx="14">
                  <c:v>0.35218251811136247</c:v>
                </c:pt>
                <c:pt idx="15">
                  <c:v>1.110589710299249</c:v>
                </c:pt>
                <c:pt idx="16">
                  <c:v>1.0453229787866574</c:v>
                </c:pt>
                <c:pt idx="17">
                  <c:v>0.97772360528884772</c:v>
                </c:pt>
                <c:pt idx="18">
                  <c:v>0.91381385238371671</c:v>
                </c:pt>
                <c:pt idx="19">
                  <c:v>0.85125834871907524</c:v>
                </c:pt>
                <c:pt idx="20">
                  <c:v>0.78532983501076703</c:v>
                </c:pt>
                <c:pt idx="21">
                  <c:v>0.72427586960078905</c:v>
                </c:pt>
                <c:pt idx="22">
                  <c:v>0.65321251377534373</c:v>
                </c:pt>
                <c:pt idx="23">
                  <c:v>0.59106460702649921</c:v>
                </c:pt>
                <c:pt idx="24">
                  <c:v>0.53147891704225514</c:v>
                </c:pt>
                <c:pt idx="25">
                  <c:v>0.46239799789895608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76F-49DA-9711-D234278FBD57}"/>
            </c:ext>
          </c:extLst>
        </c:ser>
        <c:ser>
          <c:idx val="18"/>
          <c:order val="10"/>
          <c:tx>
            <c:v>type B/E/F (NP)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'C botulinum'!$J$28:$J$29</c:f>
              <c:numCache>
                <c:formatCode>General</c:formatCode>
                <c:ptCount val="2"/>
                <c:pt idx="0">
                  <c:v>82.2</c:v>
                </c:pt>
                <c:pt idx="1">
                  <c:v>82.2</c:v>
                </c:pt>
              </c:numCache>
            </c:numRef>
          </c:xVal>
          <c:yVal>
            <c:numRef>
              <c:f>'C botulinum'!$M$28:$M$29</c:f>
              <c:numCache>
                <c:formatCode>0.00</c:formatCode>
                <c:ptCount val="2"/>
                <c:pt idx="0">
                  <c:v>-0.30980391997148632</c:v>
                </c:pt>
                <c:pt idx="1">
                  <c:v>-0.13076828026902382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76F-49DA-9711-D234278FBD57}"/>
            </c:ext>
          </c:extLst>
        </c:ser>
        <c:ser>
          <c:idx val="1"/>
          <c:order val="11"/>
          <c:tx>
            <c:v>type E (NP)</c:v>
          </c:tx>
          <c:spPr>
            <a:ln w="28575">
              <a:noFill/>
            </a:ln>
          </c:spPr>
          <c:marker>
            <c:symbol val="square"/>
            <c:size val="6"/>
            <c:spPr>
              <a:noFill/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'C botulinum'!$J$30:$J$84</c:f>
              <c:numCache>
                <c:formatCode>General</c:formatCode>
                <c:ptCount val="55"/>
                <c:pt idx="0">
                  <c:v>73.8</c:v>
                </c:pt>
                <c:pt idx="1">
                  <c:v>73.8</c:v>
                </c:pt>
                <c:pt idx="2">
                  <c:v>76.599999999999994</c:v>
                </c:pt>
                <c:pt idx="3">
                  <c:v>76.599999999999994</c:v>
                </c:pt>
                <c:pt idx="4">
                  <c:v>79.400000000000006</c:v>
                </c:pt>
                <c:pt idx="5">
                  <c:v>79.400000000000006</c:v>
                </c:pt>
                <c:pt idx="6">
                  <c:v>82.2</c:v>
                </c:pt>
                <c:pt idx="7">
                  <c:v>82.2</c:v>
                </c:pt>
                <c:pt idx="8">
                  <c:v>85</c:v>
                </c:pt>
                <c:pt idx="9">
                  <c:v>73.8</c:v>
                </c:pt>
                <c:pt idx="10">
                  <c:v>73.8</c:v>
                </c:pt>
                <c:pt idx="11">
                  <c:v>76.599999999999994</c:v>
                </c:pt>
                <c:pt idx="12">
                  <c:v>76.599999999999994</c:v>
                </c:pt>
                <c:pt idx="13">
                  <c:v>79.400000000000006</c:v>
                </c:pt>
                <c:pt idx="14">
                  <c:v>79.400000000000006</c:v>
                </c:pt>
                <c:pt idx="15">
                  <c:v>82.2</c:v>
                </c:pt>
                <c:pt idx="16">
                  <c:v>82.2</c:v>
                </c:pt>
                <c:pt idx="17">
                  <c:v>85</c:v>
                </c:pt>
                <c:pt idx="18">
                  <c:v>74</c:v>
                </c:pt>
                <c:pt idx="19">
                  <c:v>74</c:v>
                </c:pt>
                <c:pt idx="20">
                  <c:v>76.7</c:v>
                </c:pt>
                <c:pt idx="21">
                  <c:v>76.7</c:v>
                </c:pt>
                <c:pt idx="22">
                  <c:v>79.400000000000006</c:v>
                </c:pt>
                <c:pt idx="23">
                  <c:v>79.400000000000006</c:v>
                </c:pt>
                <c:pt idx="24">
                  <c:v>82.2</c:v>
                </c:pt>
                <c:pt idx="25">
                  <c:v>82.2</c:v>
                </c:pt>
                <c:pt idx="26">
                  <c:v>85</c:v>
                </c:pt>
                <c:pt idx="27">
                  <c:v>50</c:v>
                </c:pt>
                <c:pt idx="28">
                  <c:v>55</c:v>
                </c:pt>
                <c:pt idx="29">
                  <c:v>60</c:v>
                </c:pt>
                <c:pt idx="30">
                  <c:v>70</c:v>
                </c:pt>
                <c:pt idx="31">
                  <c:v>80</c:v>
                </c:pt>
                <c:pt idx="32">
                  <c:v>79.400000000000006</c:v>
                </c:pt>
                <c:pt idx="33">
                  <c:v>82.2</c:v>
                </c:pt>
                <c:pt idx="34">
                  <c:v>73.900000000000006</c:v>
                </c:pt>
                <c:pt idx="35">
                  <c:v>76.7</c:v>
                </c:pt>
                <c:pt idx="36">
                  <c:v>79.400000000000006</c:v>
                </c:pt>
                <c:pt idx="37">
                  <c:v>82.2</c:v>
                </c:pt>
                <c:pt idx="38">
                  <c:v>80</c:v>
                </c:pt>
                <c:pt idx="39">
                  <c:v>80</c:v>
                </c:pt>
                <c:pt idx="40">
                  <c:v>79.400000000000006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70</c:v>
                </c:pt>
                <c:pt idx="48">
                  <c:v>75</c:v>
                </c:pt>
                <c:pt idx="49">
                  <c:v>80</c:v>
                </c:pt>
                <c:pt idx="50">
                  <c:v>85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80</c:v>
                </c:pt>
              </c:numCache>
            </c:numRef>
          </c:xVal>
          <c:yVal>
            <c:numRef>
              <c:f>'C botulinum'!$M$30:$M$84</c:f>
              <c:numCache>
                <c:formatCode>0.00</c:formatCode>
                <c:ptCount val="55"/>
                <c:pt idx="0">
                  <c:v>0.79239168949825389</c:v>
                </c:pt>
                <c:pt idx="1">
                  <c:v>1.0334237554869496</c:v>
                </c:pt>
                <c:pt idx="2">
                  <c:v>0.17609125905568124</c:v>
                </c:pt>
                <c:pt idx="3">
                  <c:v>0.44715803134221921</c:v>
                </c:pt>
                <c:pt idx="4">
                  <c:v>-0.15490195998574319</c:v>
                </c:pt>
                <c:pt idx="5">
                  <c:v>0.11394335230683679</c:v>
                </c:pt>
                <c:pt idx="6">
                  <c:v>-0.3979400086720376</c:v>
                </c:pt>
                <c:pt idx="7">
                  <c:v>-0.22184874961635639</c:v>
                </c:pt>
                <c:pt idx="8">
                  <c:v>-0.82390874094431876</c:v>
                </c:pt>
                <c:pt idx="9">
                  <c:v>0.79239168949825389</c:v>
                </c:pt>
                <c:pt idx="10">
                  <c:v>1.0492180226701815</c:v>
                </c:pt>
                <c:pt idx="11">
                  <c:v>0.23044892137827391</c:v>
                </c:pt>
                <c:pt idx="12">
                  <c:v>0.44715803134221921</c:v>
                </c:pt>
                <c:pt idx="13">
                  <c:v>4.1392685158225077E-2</c:v>
                </c:pt>
                <c:pt idx="14">
                  <c:v>0.17609125905568124</c:v>
                </c:pt>
                <c:pt idx="15">
                  <c:v>-0.3010299956639812</c:v>
                </c:pt>
                <c:pt idx="16">
                  <c:v>-9.6910013008056392E-2</c:v>
                </c:pt>
                <c:pt idx="17">
                  <c:v>-0.52287874528033762</c:v>
                </c:pt>
                <c:pt idx="18">
                  <c:v>0.83250891270623628</c:v>
                </c:pt>
                <c:pt idx="19">
                  <c:v>1.1139433523068367</c:v>
                </c:pt>
                <c:pt idx="20">
                  <c:v>0.38021124171160603</c:v>
                </c:pt>
                <c:pt idx="21">
                  <c:v>0.61278385671973545</c:v>
                </c:pt>
                <c:pt idx="22">
                  <c:v>4.1392685158225077E-2</c:v>
                </c:pt>
                <c:pt idx="23">
                  <c:v>0.20411998265592479</c:v>
                </c:pt>
                <c:pt idx="24">
                  <c:v>-0.30980391997148632</c:v>
                </c:pt>
                <c:pt idx="25">
                  <c:v>-0.13076828026902382</c:v>
                </c:pt>
                <c:pt idx="26">
                  <c:v>-0.53760200210104392</c:v>
                </c:pt>
                <c:pt idx="27">
                  <c:v>3.899984562549391</c:v>
                </c:pt>
                <c:pt idx="28">
                  <c:v>3.1000257301078626</c:v>
                </c:pt>
                <c:pt idx="29">
                  <c:v>2.8898617212581885</c:v>
                </c:pt>
                <c:pt idx="30">
                  <c:v>1.8573324964312685</c:v>
                </c:pt>
                <c:pt idx="31">
                  <c:v>-0.10790539730951958</c:v>
                </c:pt>
                <c:pt idx="32">
                  <c:v>0.11394335230683679</c:v>
                </c:pt>
                <c:pt idx="33">
                  <c:v>-0.48148606012211248</c:v>
                </c:pt>
                <c:pt idx="34">
                  <c:v>0.9375178920173467</c:v>
                </c:pt>
                <c:pt idx="35">
                  <c:v>0.5428254269591799</c:v>
                </c:pt>
                <c:pt idx="36">
                  <c:v>0.33243845991560533</c:v>
                </c:pt>
                <c:pt idx="37">
                  <c:v>8.6359830674748214E-2</c:v>
                </c:pt>
                <c:pt idx="38">
                  <c:v>-1</c:v>
                </c:pt>
                <c:pt idx="39">
                  <c:v>0.47712125471966244</c:v>
                </c:pt>
                <c:pt idx="40">
                  <c:v>-0.22184874961635639</c:v>
                </c:pt>
                <c:pt idx="41">
                  <c:v>0.59217675739586684</c:v>
                </c:pt>
                <c:pt idx="42">
                  <c:v>0.41497334797081797</c:v>
                </c:pt>
                <c:pt idx="43">
                  <c:v>0.55750720190565795</c:v>
                </c:pt>
                <c:pt idx="44">
                  <c:v>0.57634135020579291</c:v>
                </c:pt>
                <c:pt idx="45">
                  <c:v>-0.40893539297350079</c:v>
                </c:pt>
                <c:pt idx="46">
                  <c:v>-0.40893539297350079</c:v>
                </c:pt>
                <c:pt idx="47">
                  <c:v>1.7150836706949273</c:v>
                </c:pt>
                <c:pt idx="48">
                  <c:v>1.256717745977487</c:v>
                </c:pt>
                <c:pt idx="49">
                  <c:v>1.1261314072619844</c:v>
                </c:pt>
                <c:pt idx="50">
                  <c:v>7.1882007306125359E-2</c:v>
                </c:pt>
                <c:pt idx="51">
                  <c:v>1.0211892990699381</c:v>
                </c:pt>
                <c:pt idx="52">
                  <c:v>0.65321251377534373</c:v>
                </c:pt>
                <c:pt idx="53">
                  <c:v>4.1392685158225077E-2</c:v>
                </c:pt>
                <c:pt idx="54">
                  <c:v>0.14612803567823801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76F-49DA-9711-D234278FBD57}"/>
            </c:ext>
          </c:extLst>
        </c:ser>
        <c:ser>
          <c:idx val="2"/>
          <c:order val="12"/>
          <c:tx>
            <c:v>type F (NP)</c:v>
          </c:tx>
          <c:spPr>
            <a:ln w="28575">
              <a:noFill/>
            </a:ln>
          </c:spPr>
          <c:marker>
            <c:symbol val="diamond"/>
            <c:size val="7"/>
            <c:spPr>
              <a:noFill/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'C botulinum'!$J$85:$J$102</c:f>
              <c:numCache>
                <c:formatCode>General</c:formatCode>
                <c:ptCount val="18"/>
                <c:pt idx="0">
                  <c:v>76.599999999999994</c:v>
                </c:pt>
                <c:pt idx="1">
                  <c:v>79.400000000000006</c:v>
                </c:pt>
                <c:pt idx="2">
                  <c:v>82.2</c:v>
                </c:pt>
                <c:pt idx="3">
                  <c:v>85</c:v>
                </c:pt>
                <c:pt idx="4">
                  <c:v>71.099999999999994</c:v>
                </c:pt>
                <c:pt idx="5">
                  <c:v>71.099999999999994</c:v>
                </c:pt>
                <c:pt idx="6">
                  <c:v>73.8</c:v>
                </c:pt>
                <c:pt idx="7">
                  <c:v>73.8</c:v>
                </c:pt>
                <c:pt idx="8">
                  <c:v>76.599999999999994</c:v>
                </c:pt>
                <c:pt idx="9">
                  <c:v>76.599999999999994</c:v>
                </c:pt>
                <c:pt idx="10">
                  <c:v>76.599999999999994</c:v>
                </c:pt>
                <c:pt idx="11">
                  <c:v>79.400000000000006</c:v>
                </c:pt>
                <c:pt idx="12">
                  <c:v>79.400000000000006</c:v>
                </c:pt>
                <c:pt idx="13">
                  <c:v>79.400000000000006</c:v>
                </c:pt>
                <c:pt idx="14">
                  <c:v>82.2</c:v>
                </c:pt>
                <c:pt idx="15">
                  <c:v>82.2</c:v>
                </c:pt>
                <c:pt idx="16">
                  <c:v>82.2</c:v>
                </c:pt>
                <c:pt idx="17">
                  <c:v>85</c:v>
                </c:pt>
              </c:numCache>
            </c:numRef>
          </c:xVal>
          <c:yVal>
            <c:numRef>
              <c:f>'C botulinum'!$M$85:$M$102</c:f>
              <c:numCache>
                <c:formatCode>0.00</c:formatCode>
                <c:ptCount val="18"/>
                <c:pt idx="0">
                  <c:v>0.97772360528884772</c:v>
                </c:pt>
                <c:pt idx="1">
                  <c:v>0.5502283530550941</c:v>
                </c:pt>
                <c:pt idx="2">
                  <c:v>6.445798922691845E-2</c:v>
                </c:pt>
                <c:pt idx="3">
                  <c:v>-0.27572413039921095</c:v>
                </c:pt>
                <c:pt idx="4">
                  <c:v>1.4924810101288766</c:v>
                </c:pt>
                <c:pt idx="5">
                  <c:v>1.6274682724597096</c:v>
                </c:pt>
                <c:pt idx="6">
                  <c:v>0.95760728706009524</c:v>
                </c:pt>
                <c:pt idx="7">
                  <c:v>1.1031192535457139</c:v>
                </c:pt>
                <c:pt idx="8">
                  <c:v>0.22010808804005508</c:v>
                </c:pt>
                <c:pt idx="9">
                  <c:v>0.63245729218472424</c:v>
                </c:pt>
                <c:pt idx="10">
                  <c:v>0.8221680793680175</c:v>
                </c:pt>
                <c:pt idx="11">
                  <c:v>1.2837224705172217E-2</c:v>
                </c:pt>
                <c:pt idx="12">
                  <c:v>-3.1517051446064863E-2</c:v>
                </c:pt>
                <c:pt idx="13">
                  <c:v>0.32633586092875144</c:v>
                </c:pt>
                <c:pt idx="14">
                  <c:v>-0.6020599913279624</c:v>
                </c:pt>
                <c:pt idx="15">
                  <c:v>-0.48148606012211248</c:v>
                </c:pt>
                <c:pt idx="16">
                  <c:v>-7.5720713938118356E-2</c:v>
                </c:pt>
                <c:pt idx="17">
                  <c:v>-0.43179827593300502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976F-49DA-9711-D234278FBD57}"/>
            </c:ext>
          </c:extLst>
        </c:ser>
        <c:ser>
          <c:idx val="11"/>
          <c:order val="13"/>
          <c:tx>
            <c:v>log D (E,F (NP))</c:v>
          </c:tx>
          <c:spPr>
            <a:ln w="254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GraphBotulinum!$A$13:$A$33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GraphBotulinum!$D$13:$D$33</c:f>
              <c:numCache>
                <c:formatCode>0.00</c:formatCode>
                <c:ptCount val="21"/>
                <c:pt idx="0">
                  <c:v>2.5655657313956972</c:v>
                </c:pt>
                <c:pt idx="1">
                  <c:v>2.2967716061256067</c:v>
                </c:pt>
                <c:pt idx="2">
                  <c:v>2.0279774808555162</c:v>
                </c:pt>
                <c:pt idx="3">
                  <c:v>1.7591833555854257</c:v>
                </c:pt>
                <c:pt idx="4">
                  <c:v>1.4903892303153348</c:v>
                </c:pt>
                <c:pt idx="5">
                  <c:v>1.2215951050452443</c:v>
                </c:pt>
                <c:pt idx="6">
                  <c:v>0.95280097977515332</c:v>
                </c:pt>
                <c:pt idx="7">
                  <c:v>0.68400685450506282</c:v>
                </c:pt>
                <c:pt idx="8">
                  <c:v>0.4152127292349721</c:v>
                </c:pt>
                <c:pt idx="9">
                  <c:v>0.1464186039648816</c:v>
                </c:pt>
                <c:pt idx="10">
                  <c:v>-0.12237552130520912</c:v>
                </c:pt>
                <c:pt idx="11">
                  <c:v>-0.39116964657529985</c:v>
                </c:pt>
                <c:pt idx="12">
                  <c:v>-0.65996377184539046</c:v>
                </c:pt>
                <c:pt idx="13">
                  <c:v>-0.92875789711548118</c:v>
                </c:pt>
                <c:pt idx="14">
                  <c:v>-1.1975520223855718</c:v>
                </c:pt>
                <c:pt idx="15">
                  <c:v>-1.4663461476556625</c:v>
                </c:pt>
                <c:pt idx="16">
                  <c:v>-1.7351402729257532</c:v>
                </c:pt>
                <c:pt idx="17">
                  <c:v>-2.003934398195844</c:v>
                </c:pt>
                <c:pt idx="18">
                  <c:v>-2.2727285234659345</c:v>
                </c:pt>
                <c:pt idx="19">
                  <c:v>-2.5415226487360254</c:v>
                </c:pt>
                <c:pt idx="20">
                  <c:v>-2.8103167740061159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76F-49DA-9711-D234278FBD57}"/>
            </c:ext>
          </c:extLst>
        </c:ser>
        <c:ser>
          <c:idx val="12"/>
          <c:order val="14"/>
          <c:tx>
            <c:v>log D 95% (E,F (NP)</c:v>
          </c:tx>
          <c:spPr>
            <a:ln w="25400">
              <a:solidFill>
                <a:srgbClr val="FFFF00"/>
              </a:solidFill>
              <a:prstDash val="lgDash"/>
            </a:ln>
          </c:spPr>
          <c:marker>
            <c:symbol val="none"/>
          </c:marker>
          <c:xVal>
            <c:numRef>
              <c:f>GraphBotulinum!$A$13:$A$33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GraphBotulinum!$E$13:$E$33</c:f>
              <c:numCache>
                <c:formatCode>0.00</c:formatCode>
                <c:ptCount val="21"/>
                <c:pt idx="0">
                  <c:v>3.9622120763898372</c:v>
                </c:pt>
                <c:pt idx="1">
                  <c:v>3.6934179511197467</c:v>
                </c:pt>
                <c:pt idx="2">
                  <c:v>3.4246238258496562</c:v>
                </c:pt>
                <c:pt idx="3">
                  <c:v>3.1558297005795657</c:v>
                </c:pt>
                <c:pt idx="4">
                  <c:v>2.8870355753094747</c:v>
                </c:pt>
                <c:pt idx="5">
                  <c:v>2.6182414500393842</c:v>
                </c:pt>
                <c:pt idx="6">
                  <c:v>2.3494473247692933</c:v>
                </c:pt>
                <c:pt idx="7">
                  <c:v>2.0806531994992028</c:v>
                </c:pt>
                <c:pt idx="8">
                  <c:v>1.8118590742291121</c:v>
                </c:pt>
                <c:pt idx="9">
                  <c:v>1.5430649489590216</c:v>
                </c:pt>
                <c:pt idx="10">
                  <c:v>1.2742708236889309</c:v>
                </c:pt>
                <c:pt idx="11">
                  <c:v>1.0054766984188401</c:v>
                </c:pt>
                <c:pt idx="12">
                  <c:v>0.73668257314874952</c:v>
                </c:pt>
                <c:pt idx="13">
                  <c:v>0.4678884478786588</c:v>
                </c:pt>
                <c:pt idx="14">
                  <c:v>0.19909432260856819</c:v>
                </c:pt>
                <c:pt idx="15">
                  <c:v>-6.9699802661522536E-2</c:v>
                </c:pt>
                <c:pt idx="16">
                  <c:v>-0.33849392793161326</c:v>
                </c:pt>
                <c:pt idx="17">
                  <c:v>-0.60728805320170398</c:v>
                </c:pt>
                <c:pt idx="18">
                  <c:v>-0.87608217847179448</c:v>
                </c:pt>
                <c:pt idx="19">
                  <c:v>-1.1448763037418854</c:v>
                </c:pt>
                <c:pt idx="20">
                  <c:v>-1.4136704290119759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76F-49DA-9711-D234278FBD57}"/>
            </c:ext>
          </c:extLst>
        </c:ser>
        <c:ser>
          <c:idx val="3"/>
          <c:order val="15"/>
          <c:tx>
            <c:v>type G (P)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'C botulinum'!$J$353:$J$376</c:f>
              <c:numCache>
                <c:formatCode>General</c:formatCode>
                <c:ptCount val="24"/>
                <c:pt idx="0">
                  <c:v>82.2</c:v>
                </c:pt>
                <c:pt idx="1">
                  <c:v>85</c:v>
                </c:pt>
                <c:pt idx="2">
                  <c:v>87.8</c:v>
                </c:pt>
                <c:pt idx="3">
                  <c:v>90.6</c:v>
                </c:pt>
                <c:pt idx="4">
                  <c:v>93.3</c:v>
                </c:pt>
                <c:pt idx="5">
                  <c:v>98.9</c:v>
                </c:pt>
                <c:pt idx="6">
                  <c:v>104.4</c:v>
                </c:pt>
                <c:pt idx="7">
                  <c:v>110</c:v>
                </c:pt>
                <c:pt idx="8">
                  <c:v>115.6</c:v>
                </c:pt>
                <c:pt idx="9">
                  <c:v>76.599999999999994</c:v>
                </c:pt>
                <c:pt idx="10">
                  <c:v>76.599999999999994</c:v>
                </c:pt>
                <c:pt idx="11">
                  <c:v>79.400000000000006</c:v>
                </c:pt>
                <c:pt idx="12">
                  <c:v>79.400000000000006</c:v>
                </c:pt>
                <c:pt idx="13">
                  <c:v>82.2</c:v>
                </c:pt>
                <c:pt idx="14">
                  <c:v>82.2</c:v>
                </c:pt>
                <c:pt idx="15">
                  <c:v>85</c:v>
                </c:pt>
                <c:pt idx="16">
                  <c:v>87.8</c:v>
                </c:pt>
                <c:pt idx="17">
                  <c:v>98.9</c:v>
                </c:pt>
                <c:pt idx="18">
                  <c:v>98.9</c:v>
                </c:pt>
                <c:pt idx="19">
                  <c:v>104.4</c:v>
                </c:pt>
                <c:pt idx="20">
                  <c:v>104.4</c:v>
                </c:pt>
                <c:pt idx="21">
                  <c:v>110</c:v>
                </c:pt>
                <c:pt idx="22">
                  <c:v>110</c:v>
                </c:pt>
                <c:pt idx="23">
                  <c:v>115.6</c:v>
                </c:pt>
              </c:numCache>
            </c:numRef>
          </c:xVal>
          <c:yVal>
            <c:numRef>
              <c:f>'C botulinum'!$M$353:$M$376</c:f>
              <c:numCache>
                <c:formatCode>0.00</c:formatCode>
                <c:ptCount val="24"/>
                <c:pt idx="0">
                  <c:v>0.77085201164214423</c:v>
                </c:pt>
                <c:pt idx="1">
                  <c:v>0.53147891704225514</c:v>
                </c:pt>
                <c:pt idx="2">
                  <c:v>0.27875360095282892</c:v>
                </c:pt>
                <c:pt idx="3">
                  <c:v>0.20411998265592479</c:v>
                </c:pt>
                <c:pt idx="4">
                  <c:v>-4.5757490560675115E-2</c:v>
                </c:pt>
                <c:pt idx="5">
                  <c:v>0.17026171539495738</c:v>
                </c:pt>
                <c:pt idx="6">
                  <c:v>4.9218022670181653E-2</c:v>
                </c:pt>
                <c:pt idx="7">
                  <c:v>-0.26760624017703144</c:v>
                </c:pt>
                <c:pt idx="8">
                  <c:v>-0.6020599913279624</c:v>
                </c:pt>
                <c:pt idx="9">
                  <c:v>0.79934054945358168</c:v>
                </c:pt>
                <c:pt idx="10">
                  <c:v>0.83884909073725533</c:v>
                </c:pt>
                <c:pt idx="11">
                  <c:v>0.56820172406699498</c:v>
                </c:pt>
                <c:pt idx="12">
                  <c:v>0.62324929039790045</c:v>
                </c:pt>
                <c:pt idx="13">
                  <c:v>0.25527250510330607</c:v>
                </c:pt>
                <c:pt idx="14">
                  <c:v>0.50514997831990605</c:v>
                </c:pt>
                <c:pt idx="15">
                  <c:v>0.47712125471966244</c:v>
                </c:pt>
                <c:pt idx="16">
                  <c:v>-0.22184874961635639</c:v>
                </c:pt>
                <c:pt idx="17">
                  <c:v>0.17897694729316943</c:v>
                </c:pt>
                <c:pt idx="18">
                  <c:v>7.554696139253074E-2</c:v>
                </c:pt>
                <c:pt idx="19">
                  <c:v>-4.3648054024500883E-3</c:v>
                </c:pt>
                <c:pt idx="20">
                  <c:v>-8.092190762392612E-2</c:v>
                </c:pt>
                <c:pt idx="21">
                  <c:v>-0.34678748622465633</c:v>
                </c:pt>
                <c:pt idx="22">
                  <c:v>-0.27572413039921095</c:v>
                </c:pt>
                <c:pt idx="23">
                  <c:v>-0.53760200210104392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76F-49DA-9711-D234278FBD57}"/>
            </c:ext>
          </c:extLst>
        </c:ser>
        <c:ser>
          <c:idx val="15"/>
          <c:order val="16"/>
          <c:tx>
            <c:v>log D (G (P))</c:v>
          </c:tx>
          <c:spPr>
            <a:ln w="254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GraphBotulinum!$A$13:$A$33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GraphBotulinum!$F$13:$F$33</c:f>
              <c:numCache>
                <c:formatCode>0.00</c:formatCode>
                <c:ptCount val="21"/>
                <c:pt idx="0">
                  <c:v>1.609964747575988</c:v>
                </c:pt>
                <c:pt idx="1">
                  <c:v>1.4628504574071681</c:v>
                </c:pt>
                <c:pt idx="2">
                  <c:v>1.3157361672383487</c:v>
                </c:pt>
                <c:pt idx="3">
                  <c:v>1.1686218770695291</c:v>
                </c:pt>
                <c:pt idx="4">
                  <c:v>1.0215075869007095</c:v>
                </c:pt>
                <c:pt idx="5">
                  <c:v>0.87439329673188992</c:v>
                </c:pt>
                <c:pt idx="6">
                  <c:v>0.72727900656307032</c:v>
                </c:pt>
                <c:pt idx="7">
                  <c:v>0.58016471639425049</c:v>
                </c:pt>
                <c:pt idx="8">
                  <c:v>0.43305042622543088</c:v>
                </c:pt>
                <c:pt idx="9">
                  <c:v>0.28593613605661139</c:v>
                </c:pt>
                <c:pt idx="10">
                  <c:v>0.13882184588779178</c:v>
                </c:pt>
                <c:pt idx="11">
                  <c:v>-8.2924442810279331E-3</c:v>
                </c:pt>
                <c:pt idx="12">
                  <c:v>-0.15540673444984748</c:v>
                </c:pt>
                <c:pt idx="13">
                  <c:v>-0.30252102461866714</c:v>
                </c:pt>
                <c:pt idx="14">
                  <c:v>-0.44963531478748675</c:v>
                </c:pt>
                <c:pt idx="15">
                  <c:v>-0.59674960495630636</c:v>
                </c:pt>
                <c:pt idx="16">
                  <c:v>-0.74386389512512596</c:v>
                </c:pt>
                <c:pt idx="17">
                  <c:v>-0.89097818529394557</c:v>
                </c:pt>
                <c:pt idx="18">
                  <c:v>-1.0380924754627652</c:v>
                </c:pt>
                <c:pt idx="19">
                  <c:v>-1.1852067656315848</c:v>
                </c:pt>
                <c:pt idx="20">
                  <c:v>-1.3323210558004046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976F-49DA-9711-D234278FBD57}"/>
            </c:ext>
          </c:extLst>
        </c:ser>
        <c:ser>
          <c:idx val="17"/>
          <c:order val="17"/>
          <c:tx>
            <c:v>log D 95% (G (P))</c:v>
          </c:tx>
          <c:spPr>
            <a:ln w="25400">
              <a:solidFill>
                <a:srgbClr val="00FF00"/>
              </a:solidFill>
              <a:prstDash val="lgDash"/>
            </a:ln>
          </c:spPr>
          <c:marker>
            <c:symbol val="none"/>
          </c:marker>
          <c:xVal>
            <c:numRef>
              <c:f>GraphBotulinum!$A$13:$A$33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GraphBotulinum!$G$13:$G$33</c:f>
              <c:numCache>
                <c:formatCode>0.00</c:formatCode>
                <c:ptCount val="21"/>
                <c:pt idx="0">
                  <c:v>1.9821719338734605</c:v>
                </c:pt>
                <c:pt idx="1">
                  <c:v>1.8350576437046406</c:v>
                </c:pt>
                <c:pt idx="2">
                  <c:v>1.6879433535358213</c:v>
                </c:pt>
                <c:pt idx="3">
                  <c:v>1.5408290633670017</c:v>
                </c:pt>
                <c:pt idx="4">
                  <c:v>1.393714773198182</c:v>
                </c:pt>
                <c:pt idx="5">
                  <c:v>1.2466004830293624</c:v>
                </c:pt>
                <c:pt idx="6">
                  <c:v>1.0994861928605428</c:v>
                </c:pt>
                <c:pt idx="7">
                  <c:v>0.952371902691723</c:v>
                </c:pt>
                <c:pt idx="8">
                  <c:v>0.8052576125229034</c:v>
                </c:pt>
                <c:pt idx="9">
                  <c:v>0.65814332235408379</c:v>
                </c:pt>
                <c:pt idx="10">
                  <c:v>0.51102903218526419</c:v>
                </c:pt>
                <c:pt idx="11">
                  <c:v>0.36391474201644453</c:v>
                </c:pt>
                <c:pt idx="12">
                  <c:v>0.21680045184762498</c:v>
                </c:pt>
                <c:pt idx="13">
                  <c:v>6.9686161678805314E-2</c:v>
                </c:pt>
                <c:pt idx="14">
                  <c:v>-7.7428128490014292E-2</c:v>
                </c:pt>
                <c:pt idx="15">
                  <c:v>-0.2245424186588339</c:v>
                </c:pt>
                <c:pt idx="16">
                  <c:v>-0.3716567088276535</c:v>
                </c:pt>
                <c:pt idx="17">
                  <c:v>-0.51877099899647305</c:v>
                </c:pt>
                <c:pt idx="18">
                  <c:v>-0.66588528916529266</c:v>
                </c:pt>
                <c:pt idx="19">
                  <c:v>-0.81299957933411227</c:v>
                </c:pt>
                <c:pt idx="20">
                  <c:v>-0.96011386950293209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76F-49DA-9711-D234278FBD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242456"/>
        <c:axId val="1"/>
      </c:scatterChart>
      <c:valAx>
        <c:axId val="478242456"/>
        <c:scaling>
          <c:orientation val="minMax"/>
          <c:max val="130"/>
          <c:min val="50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1575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T (</a:t>
                </a:r>
                <a:r>
                  <a:rPr lang="nl-NL" sz="1575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°</a:t>
                </a:r>
                <a:r>
                  <a:rPr lang="nl-NL" sz="1575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C)</a:t>
                </a:r>
              </a:p>
            </c:rich>
          </c:tx>
          <c:layout>
            <c:manualLayout>
              <c:xMode val="edge"/>
              <c:yMode val="edge"/>
              <c:x val="0.43103476123839957"/>
              <c:y val="0.918970432563332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4"/>
          <c:min val="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5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Log D (log min)</a:t>
                </a:r>
              </a:p>
            </c:rich>
          </c:tx>
          <c:layout>
            <c:manualLayout>
              <c:xMode val="edge"/>
              <c:yMode val="edge"/>
              <c:x val="6.6312997347480109E-3"/>
              <c:y val="0.2633521362315898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78242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3978821612815642"/>
          <c:y val="1.289134438305709E-2"/>
          <c:w val="0.45092866044264357"/>
          <c:h val="0.8195227254051806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Clostridium botulinum</a:t>
            </a:r>
          </a:p>
        </c:rich>
      </c:tx>
      <c:layout>
        <c:manualLayout>
          <c:xMode val="edge"/>
          <c:yMode val="edge"/>
          <c:x val="0.35496688741721855"/>
          <c:y val="2.85204991087344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569536423841059"/>
          <c:y val="0.12121233221286662"/>
          <c:w val="0.64900662251655628"/>
          <c:h val="0.7700548164111527"/>
        </c:manualLayout>
      </c:layout>
      <c:scatterChart>
        <c:scatterStyle val="lineMarker"/>
        <c:varyColors val="0"/>
        <c:ser>
          <c:idx val="7"/>
          <c:order val="0"/>
          <c:tx>
            <c:v>type B (NP + lysozyme)</c:v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'C botulinum'!$J$103:$J$142</c:f>
              <c:numCache>
                <c:formatCode>General</c:formatCode>
                <c:ptCount val="40"/>
                <c:pt idx="0">
                  <c:v>85</c:v>
                </c:pt>
                <c:pt idx="1">
                  <c:v>90</c:v>
                </c:pt>
                <c:pt idx="2">
                  <c:v>95</c:v>
                </c:pt>
                <c:pt idx="3">
                  <c:v>82.2</c:v>
                </c:pt>
                <c:pt idx="4">
                  <c:v>75</c:v>
                </c:pt>
                <c:pt idx="5">
                  <c:v>85</c:v>
                </c:pt>
                <c:pt idx="6">
                  <c:v>82.2</c:v>
                </c:pt>
                <c:pt idx="7">
                  <c:v>82.2</c:v>
                </c:pt>
                <c:pt idx="8">
                  <c:v>82.2</c:v>
                </c:pt>
                <c:pt idx="9">
                  <c:v>82.2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75</c:v>
                </c:pt>
                <c:pt idx="17">
                  <c:v>80</c:v>
                </c:pt>
                <c:pt idx="18">
                  <c:v>85</c:v>
                </c:pt>
                <c:pt idx="19">
                  <c:v>90</c:v>
                </c:pt>
                <c:pt idx="20">
                  <c:v>75</c:v>
                </c:pt>
                <c:pt idx="21">
                  <c:v>80</c:v>
                </c:pt>
                <c:pt idx="22">
                  <c:v>85</c:v>
                </c:pt>
                <c:pt idx="23">
                  <c:v>90</c:v>
                </c:pt>
                <c:pt idx="24">
                  <c:v>75</c:v>
                </c:pt>
                <c:pt idx="25">
                  <c:v>80</c:v>
                </c:pt>
                <c:pt idx="26">
                  <c:v>85</c:v>
                </c:pt>
                <c:pt idx="27">
                  <c:v>90</c:v>
                </c:pt>
                <c:pt idx="28">
                  <c:v>75</c:v>
                </c:pt>
                <c:pt idx="29">
                  <c:v>80</c:v>
                </c:pt>
                <c:pt idx="30">
                  <c:v>85</c:v>
                </c:pt>
                <c:pt idx="31">
                  <c:v>90</c:v>
                </c:pt>
                <c:pt idx="32">
                  <c:v>75</c:v>
                </c:pt>
                <c:pt idx="33">
                  <c:v>80</c:v>
                </c:pt>
                <c:pt idx="34">
                  <c:v>85</c:v>
                </c:pt>
                <c:pt idx="35">
                  <c:v>90</c:v>
                </c:pt>
                <c:pt idx="36">
                  <c:v>75</c:v>
                </c:pt>
                <c:pt idx="37">
                  <c:v>80</c:v>
                </c:pt>
                <c:pt idx="38">
                  <c:v>85</c:v>
                </c:pt>
                <c:pt idx="39">
                  <c:v>90</c:v>
                </c:pt>
              </c:numCache>
            </c:numRef>
          </c:xVal>
          <c:yVal>
            <c:numRef>
              <c:f>'C botulinum'!$M$103:$M$142</c:f>
              <c:numCache>
                <c:formatCode>0.00</c:formatCode>
                <c:ptCount val="40"/>
                <c:pt idx="0">
                  <c:v>2</c:v>
                </c:pt>
                <c:pt idx="1">
                  <c:v>1.271841606536499</c:v>
                </c:pt>
                <c:pt idx="2">
                  <c:v>0.64345267648618742</c:v>
                </c:pt>
                <c:pt idx="3">
                  <c:v>1.4502491083193612</c:v>
                </c:pt>
                <c:pt idx="4">
                  <c:v>2.4517864355242902</c:v>
                </c:pt>
                <c:pt idx="5">
                  <c:v>1.8825245379548805</c:v>
                </c:pt>
                <c:pt idx="6">
                  <c:v>2.1271047983648077</c:v>
                </c:pt>
                <c:pt idx="7">
                  <c:v>3.34713478291002</c:v>
                </c:pt>
                <c:pt idx="8">
                  <c:v>2.3891660843645326</c:v>
                </c:pt>
                <c:pt idx="9">
                  <c:v>1.8668778143374989</c:v>
                </c:pt>
                <c:pt idx="10">
                  <c:v>0.50785587169583091</c:v>
                </c:pt>
                <c:pt idx="11">
                  <c:v>0.50785587169583091</c:v>
                </c:pt>
                <c:pt idx="12">
                  <c:v>0.61172330800734176</c:v>
                </c:pt>
                <c:pt idx="13">
                  <c:v>0.57170883180868759</c:v>
                </c:pt>
                <c:pt idx="14">
                  <c:v>0.63447727016073152</c:v>
                </c:pt>
                <c:pt idx="15">
                  <c:v>0.40312052117581787</c:v>
                </c:pt>
                <c:pt idx="16">
                  <c:v>1.6242820958356683</c:v>
                </c:pt>
                <c:pt idx="17">
                  <c:v>1.2329961103921538</c:v>
                </c:pt>
                <c:pt idx="18">
                  <c:v>0.89209460269048035</c:v>
                </c:pt>
                <c:pt idx="19">
                  <c:v>4.1392685158225077E-2</c:v>
                </c:pt>
                <c:pt idx="20">
                  <c:v>1.4099331233312946</c:v>
                </c:pt>
                <c:pt idx="21">
                  <c:v>1.1789769472931695</c:v>
                </c:pt>
                <c:pt idx="22">
                  <c:v>0.74036268949424389</c:v>
                </c:pt>
                <c:pt idx="23">
                  <c:v>-0.22184874961635639</c:v>
                </c:pt>
                <c:pt idx="24">
                  <c:v>1.2479732663618066</c:v>
                </c:pt>
                <c:pt idx="25">
                  <c:v>1.1172712956557642</c:v>
                </c:pt>
                <c:pt idx="26">
                  <c:v>0.50514997831990605</c:v>
                </c:pt>
                <c:pt idx="27">
                  <c:v>-0.3010299956639812</c:v>
                </c:pt>
                <c:pt idx="28">
                  <c:v>1.4377505628203879</c:v>
                </c:pt>
                <c:pt idx="29">
                  <c:v>1.1205739312058498</c:v>
                </c:pt>
                <c:pt idx="30">
                  <c:v>0.69897000433601886</c:v>
                </c:pt>
                <c:pt idx="31">
                  <c:v>-9.6910013008056392E-2</c:v>
                </c:pt>
                <c:pt idx="32">
                  <c:v>1.2988530764097066</c:v>
                </c:pt>
                <c:pt idx="33">
                  <c:v>1.1003705451175629</c:v>
                </c:pt>
                <c:pt idx="34">
                  <c:v>0.63346845557958653</c:v>
                </c:pt>
                <c:pt idx="35">
                  <c:v>-0.3979400086720376</c:v>
                </c:pt>
                <c:pt idx="36">
                  <c:v>1.2278867046136734</c:v>
                </c:pt>
                <c:pt idx="37">
                  <c:v>0.91381385238371671</c:v>
                </c:pt>
                <c:pt idx="38">
                  <c:v>0.41497334797081797</c:v>
                </c:pt>
                <c:pt idx="39">
                  <c:v>-0.52287874528033762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12-47C7-86F4-23A44962CB5A}"/>
            </c:ext>
          </c:extLst>
        </c:ser>
        <c:ser>
          <c:idx val="8"/>
          <c:order val="1"/>
          <c:tx>
            <c:v>type E (NP + lysozyme)</c:v>
          </c:tx>
          <c:spPr>
            <a:ln w="28575">
              <a:noFill/>
            </a:ln>
          </c:spPr>
          <c:marker>
            <c:symbol val="squar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'C botulinum'!$J$143:$J$155</c:f>
              <c:numCache>
                <c:formatCode>General</c:formatCode>
                <c:ptCount val="13"/>
                <c:pt idx="0">
                  <c:v>82.2</c:v>
                </c:pt>
                <c:pt idx="1">
                  <c:v>91</c:v>
                </c:pt>
                <c:pt idx="2">
                  <c:v>93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91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</c:numCache>
            </c:numRef>
          </c:xVal>
          <c:yVal>
            <c:numRef>
              <c:f>'C botulinum'!$M$143:$M$155</c:f>
              <c:numCache>
                <c:formatCode>0.00</c:formatCode>
                <c:ptCount val="13"/>
                <c:pt idx="0">
                  <c:v>1.3838153659804313</c:v>
                </c:pt>
                <c:pt idx="1">
                  <c:v>1.1303337684950061</c:v>
                </c:pt>
                <c:pt idx="2">
                  <c:v>0.57978359661681012</c:v>
                </c:pt>
                <c:pt idx="3">
                  <c:v>1.658964842664435</c:v>
                </c:pt>
                <c:pt idx="4">
                  <c:v>1.0718820073061255</c:v>
                </c:pt>
                <c:pt idx="5">
                  <c:v>0.44715803134221921</c:v>
                </c:pt>
                <c:pt idx="6">
                  <c:v>0.69897000433601886</c:v>
                </c:pt>
                <c:pt idx="7">
                  <c:v>0.63848925695463732</c:v>
                </c:pt>
                <c:pt idx="8">
                  <c:v>0.63447727016073152</c:v>
                </c:pt>
                <c:pt idx="9">
                  <c:v>0.65417654187796048</c:v>
                </c:pt>
                <c:pt idx="10">
                  <c:v>0.57978359661681012</c:v>
                </c:pt>
                <c:pt idx="11">
                  <c:v>1.2837224705172217E-2</c:v>
                </c:pt>
                <c:pt idx="12">
                  <c:v>-8.7739243075051505E-3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112-47C7-86F4-23A44962CB5A}"/>
            </c:ext>
          </c:extLst>
        </c:ser>
        <c:ser>
          <c:idx val="0"/>
          <c:order val="2"/>
          <c:tx>
            <c:v>type C (P)</c:v>
          </c:tx>
          <c:spPr>
            <a:ln w="28575">
              <a:noFill/>
            </a:ln>
          </c:spPr>
          <c:marker>
            <c:symbol val="plus"/>
            <c:size val="6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'C botulinum'!$J$156:$J$176</c:f>
              <c:numCache>
                <c:formatCode>General</c:formatCode>
                <c:ptCount val="21"/>
                <c:pt idx="0">
                  <c:v>93</c:v>
                </c:pt>
                <c:pt idx="1">
                  <c:v>93</c:v>
                </c:pt>
                <c:pt idx="2">
                  <c:v>96</c:v>
                </c:pt>
                <c:pt idx="3">
                  <c:v>96</c:v>
                </c:pt>
                <c:pt idx="4">
                  <c:v>96</c:v>
                </c:pt>
                <c:pt idx="5">
                  <c:v>96</c:v>
                </c:pt>
                <c:pt idx="6">
                  <c:v>101</c:v>
                </c:pt>
                <c:pt idx="7">
                  <c:v>101</c:v>
                </c:pt>
                <c:pt idx="8">
                  <c:v>101</c:v>
                </c:pt>
                <c:pt idx="9">
                  <c:v>101</c:v>
                </c:pt>
                <c:pt idx="10">
                  <c:v>101</c:v>
                </c:pt>
                <c:pt idx="11">
                  <c:v>101</c:v>
                </c:pt>
                <c:pt idx="12">
                  <c:v>104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107</c:v>
                </c:pt>
                <c:pt idx="19">
                  <c:v>107</c:v>
                </c:pt>
                <c:pt idx="20">
                  <c:v>110</c:v>
                </c:pt>
              </c:numCache>
            </c:numRef>
          </c:xVal>
          <c:yVal>
            <c:numRef>
              <c:f>'C botulinum'!$M$156:$M$176</c:f>
              <c:numCache>
                <c:formatCode>0.00</c:formatCode>
                <c:ptCount val="21"/>
                <c:pt idx="0">
                  <c:v>0.36548798489089962</c:v>
                </c:pt>
                <c:pt idx="1">
                  <c:v>0.48000694295715063</c:v>
                </c:pt>
                <c:pt idx="2">
                  <c:v>0.41830129131974547</c:v>
                </c:pt>
                <c:pt idx="3">
                  <c:v>0.40654018043395512</c:v>
                </c:pt>
                <c:pt idx="4">
                  <c:v>4.5322978786657475E-2</c:v>
                </c:pt>
                <c:pt idx="5">
                  <c:v>-4.0958607678906384E-2</c:v>
                </c:pt>
                <c:pt idx="6">
                  <c:v>0.38738982633872943</c:v>
                </c:pt>
                <c:pt idx="7">
                  <c:v>5.6904851336472557E-2</c:v>
                </c:pt>
                <c:pt idx="8">
                  <c:v>-0.61978875828839397</c:v>
                </c:pt>
                <c:pt idx="9">
                  <c:v>-0.56863623584101264</c:v>
                </c:pt>
                <c:pt idx="10">
                  <c:v>-1.0457574905606752</c:v>
                </c:pt>
                <c:pt idx="11">
                  <c:v>-1.1549019599857431</c:v>
                </c:pt>
                <c:pt idx="12">
                  <c:v>-4.5757490560675115E-2</c:v>
                </c:pt>
                <c:pt idx="13">
                  <c:v>-0.3979400086720376</c:v>
                </c:pt>
                <c:pt idx="14">
                  <c:v>-0.92081875395237522</c:v>
                </c:pt>
                <c:pt idx="15">
                  <c:v>-1.0969100130080565</c:v>
                </c:pt>
                <c:pt idx="16">
                  <c:v>-1.3979400086720375</c:v>
                </c:pt>
                <c:pt idx="17">
                  <c:v>-1.6989700043360187</c:v>
                </c:pt>
                <c:pt idx="18">
                  <c:v>-0.55284196865778079</c:v>
                </c:pt>
                <c:pt idx="19">
                  <c:v>-0.92081875395237522</c:v>
                </c:pt>
                <c:pt idx="20">
                  <c:v>-0.92081875395237522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112-47C7-86F4-23A44962CB5A}"/>
            </c:ext>
          </c:extLst>
        </c:ser>
        <c:ser>
          <c:idx val="13"/>
          <c:order val="3"/>
          <c:tx>
            <c:v>log D (C (P), B,E (NP+lysozym)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GraphBotulinum!$A$13:$A$33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GraphBotulinum!#REF!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112-47C7-86F4-23A44962CB5A}"/>
            </c:ext>
          </c:extLst>
        </c:ser>
        <c:ser>
          <c:idx val="14"/>
          <c:order val="4"/>
          <c:tx>
            <c:v>log D 95% (C (P), B,E, (NP+lysozym)</c:v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GraphBotulinum!$A$13:$A$33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GraphBotulinum!#REF!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112-47C7-86F4-23A44962CB5A}"/>
            </c:ext>
          </c:extLst>
        </c:ser>
        <c:ser>
          <c:idx val="16"/>
          <c:order val="5"/>
          <c:tx>
            <c:v>type B (NP)</c:v>
          </c:tx>
          <c:spPr>
            <a:ln w="28575">
              <a:noFill/>
            </a:ln>
          </c:spPr>
          <c:marker>
            <c:symbol val="diamond"/>
            <c:size val="6"/>
            <c:spPr>
              <a:noFill/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'C botulinum'!$J$2:$J$16</c:f>
              <c:numCache>
                <c:formatCode>General</c:formatCode>
                <c:ptCount val="15"/>
                <c:pt idx="0">
                  <c:v>82.2</c:v>
                </c:pt>
                <c:pt idx="1">
                  <c:v>82.2</c:v>
                </c:pt>
                <c:pt idx="2">
                  <c:v>82.2</c:v>
                </c:pt>
                <c:pt idx="3">
                  <c:v>82.2</c:v>
                </c:pt>
                <c:pt idx="4">
                  <c:v>82.2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</c:numCache>
            </c:numRef>
          </c:xVal>
          <c:yVal>
            <c:numRef>
              <c:f>'C botulinum'!$M$2:$M$16</c:f>
              <c:numCache>
                <c:formatCode>0.00</c:formatCode>
                <c:ptCount val="15"/>
                <c:pt idx="0">
                  <c:v>1.2227164711475833</c:v>
                </c:pt>
                <c:pt idx="1">
                  <c:v>-8.092190762392612E-2</c:v>
                </c:pt>
                <c:pt idx="2">
                  <c:v>1.5092025223311027</c:v>
                </c:pt>
                <c:pt idx="3">
                  <c:v>0.62013605497375746</c:v>
                </c:pt>
                <c:pt idx="4">
                  <c:v>0.17318626841227402</c:v>
                </c:pt>
                <c:pt idx="5">
                  <c:v>1.5122840632818535</c:v>
                </c:pt>
                <c:pt idx="6">
                  <c:v>1.1821292140529984</c:v>
                </c:pt>
                <c:pt idx="7">
                  <c:v>0.68574173860226362</c:v>
                </c:pt>
                <c:pt idx="8">
                  <c:v>-9.6910013008056392E-2</c:v>
                </c:pt>
                <c:pt idx="9">
                  <c:v>-0.22184874961635639</c:v>
                </c:pt>
                <c:pt idx="10">
                  <c:v>-0.17392519729917355</c:v>
                </c:pt>
                <c:pt idx="11">
                  <c:v>0.27875360095282892</c:v>
                </c:pt>
                <c:pt idx="12">
                  <c:v>-1.7728766960431602E-2</c:v>
                </c:pt>
                <c:pt idx="13">
                  <c:v>0.18469143081759881</c:v>
                </c:pt>
                <c:pt idx="14">
                  <c:v>0.35218251811136247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112-47C7-86F4-23A44962CB5A}"/>
            </c:ext>
          </c:extLst>
        </c:ser>
        <c:ser>
          <c:idx val="1"/>
          <c:order val="6"/>
          <c:tx>
            <c:v>type E (NP)</c:v>
          </c:tx>
          <c:spPr>
            <a:ln w="28575">
              <a:noFill/>
            </a:ln>
          </c:spPr>
          <c:marker>
            <c:symbol val="square"/>
            <c:size val="6"/>
            <c:spPr>
              <a:noFill/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'C botulinum'!$J$30:$J$84</c:f>
              <c:numCache>
                <c:formatCode>General</c:formatCode>
                <c:ptCount val="55"/>
                <c:pt idx="0">
                  <c:v>73.8</c:v>
                </c:pt>
                <c:pt idx="1">
                  <c:v>73.8</c:v>
                </c:pt>
                <c:pt idx="2">
                  <c:v>76.599999999999994</c:v>
                </c:pt>
                <c:pt idx="3">
                  <c:v>76.599999999999994</c:v>
                </c:pt>
                <c:pt idx="4">
                  <c:v>79.400000000000006</c:v>
                </c:pt>
                <c:pt idx="5">
                  <c:v>79.400000000000006</c:v>
                </c:pt>
                <c:pt idx="6">
                  <c:v>82.2</c:v>
                </c:pt>
                <c:pt idx="7">
                  <c:v>82.2</c:v>
                </c:pt>
                <c:pt idx="8">
                  <c:v>85</c:v>
                </c:pt>
                <c:pt idx="9">
                  <c:v>73.8</c:v>
                </c:pt>
                <c:pt idx="10">
                  <c:v>73.8</c:v>
                </c:pt>
                <c:pt idx="11">
                  <c:v>76.599999999999994</c:v>
                </c:pt>
                <c:pt idx="12">
                  <c:v>76.599999999999994</c:v>
                </c:pt>
                <c:pt idx="13">
                  <c:v>79.400000000000006</c:v>
                </c:pt>
                <c:pt idx="14">
                  <c:v>79.400000000000006</c:v>
                </c:pt>
                <c:pt idx="15">
                  <c:v>82.2</c:v>
                </c:pt>
                <c:pt idx="16">
                  <c:v>82.2</c:v>
                </c:pt>
                <c:pt idx="17">
                  <c:v>85</c:v>
                </c:pt>
                <c:pt idx="18">
                  <c:v>74</c:v>
                </c:pt>
                <c:pt idx="19">
                  <c:v>74</c:v>
                </c:pt>
                <c:pt idx="20">
                  <c:v>76.7</c:v>
                </c:pt>
                <c:pt idx="21">
                  <c:v>76.7</c:v>
                </c:pt>
                <c:pt idx="22">
                  <c:v>79.400000000000006</c:v>
                </c:pt>
                <c:pt idx="23">
                  <c:v>79.400000000000006</c:v>
                </c:pt>
                <c:pt idx="24">
                  <c:v>82.2</c:v>
                </c:pt>
                <c:pt idx="25">
                  <c:v>82.2</c:v>
                </c:pt>
                <c:pt idx="26">
                  <c:v>85</c:v>
                </c:pt>
                <c:pt idx="27">
                  <c:v>50</c:v>
                </c:pt>
                <c:pt idx="28">
                  <c:v>55</c:v>
                </c:pt>
                <c:pt idx="29">
                  <c:v>60</c:v>
                </c:pt>
                <c:pt idx="30">
                  <c:v>70</c:v>
                </c:pt>
                <c:pt idx="31">
                  <c:v>80</c:v>
                </c:pt>
                <c:pt idx="32">
                  <c:v>79.400000000000006</c:v>
                </c:pt>
                <c:pt idx="33">
                  <c:v>82.2</c:v>
                </c:pt>
                <c:pt idx="34">
                  <c:v>73.900000000000006</c:v>
                </c:pt>
                <c:pt idx="35">
                  <c:v>76.7</c:v>
                </c:pt>
                <c:pt idx="36">
                  <c:v>79.400000000000006</c:v>
                </c:pt>
                <c:pt idx="37">
                  <c:v>82.2</c:v>
                </c:pt>
                <c:pt idx="38">
                  <c:v>80</c:v>
                </c:pt>
                <c:pt idx="39">
                  <c:v>80</c:v>
                </c:pt>
                <c:pt idx="40">
                  <c:v>79.400000000000006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70</c:v>
                </c:pt>
                <c:pt idx="48">
                  <c:v>75</c:v>
                </c:pt>
                <c:pt idx="49">
                  <c:v>80</c:v>
                </c:pt>
                <c:pt idx="50">
                  <c:v>85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80</c:v>
                </c:pt>
              </c:numCache>
            </c:numRef>
          </c:xVal>
          <c:yVal>
            <c:numRef>
              <c:f>'C botulinum'!$M$30:$M$84</c:f>
              <c:numCache>
                <c:formatCode>0.00</c:formatCode>
                <c:ptCount val="55"/>
                <c:pt idx="0">
                  <c:v>0.79239168949825389</c:v>
                </c:pt>
                <c:pt idx="1">
                  <c:v>1.0334237554869496</c:v>
                </c:pt>
                <c:pt idx="2">
                  <c:v>0.17609125905568124</c:v>
                </c:pt>
                <c:pt idx="3">
                  <c:v>0.44715803134221921</c:v>
                </c:pt>
                <c:pt idx="4">
                  <c:v>-0.15490195998574319</c:v>
                </c:pt>
                <c:pt idx="5">
                  <c:v>0.11394335230683679</c:v>
                </c:pt>
                <c:pt idx="6">
                  <c:v>-0.3979400086720376</c:v>
                </c:pt>
                <c:pt idx="7">
                  <c:v>-0.22184874961635639</c:v>
                </c:pt>
                <c:pt idx="8">
                  <c:v>-0.82390874094431876</c:v>
                </c:pt>
                <c:pt idx="9">
                  <c:v>0.79239168949825389</c:v>
                </c:pt>
                <c:pt idx="10">
                  <c:v>1.0492180226701815</c:v>
                </c:pt>
                <c:pt idx="11">
                  <c:v>0.23044892137827391</c:v>
                </c:pt>
                <c:pt idx="12">
                  <c:v>0.44715803134221921</c:v>
                </c:pt>
                <c:pt idx="13">
                  <c:v>4.1392685158225077E-2</c:v>
                </c:pt>
                <c:pt idx="14">
                  <c:v>0.17609125905568124</c:v>
                </c:pt>
                <c:pt idx="15">
                  <c:v>-0.3010299956639812</c:v>
                </c:pt>
                <c:pt idx="16">
                  <c:v>-9.6910013008056392E-2</c:v>
                </c:pt>
                <c:pt idx="17">
                  <c:v>-0.52287874528033762</c:v>
                </c:pt>
                <c:pt idx="18">
                  <c:v>0.83250891270623628</c:v>
                </c:pt>
                <c:pt idx="19">
                  <c:v>1.1139433523068367</c:v>
                </c:pt>
                <c:pt idx="20">
                  <c:v>0.38021124171160603</c:v>
                </c:pt>
                <c:pt idx="21">
                  <c:v>0.61278385671973545</c:v>
                </c:pt>
                <c:pt idx="22">
                  <c:v>4.1392685158225077E-2</c:v>
                </c:pt>
                <c:pt idx="23">
                  <c:v>0.20411998265592479</c:v>
                </c:pt>
                <c:pt idx="24">
                  <c:v>-0.30980391997148632</c:v>
                </c:pt>
                <c:pt idx="25">
                  <c:v>-0.13076828026902382</c:v>
                </c:pt>
                <c:pt idx="26">
                  <c:v>-0.53760200210104392</c:v>
                </c:pt>
                <c:pt idx="27">
                  <c:v>3.899984562549391</c:v>
                </c:pt>
                <c:pt idx="28">
                  <c:v>3.1000257301078626</c:v>
                </c:pt>
                <c:pt idx="29">
                  <c:v>2.8898617212581885</c:v>
                </c:pt>
                <c:pt idx="30">
                  <c:v>1.8573324964312685</c:v>
                </c:pt>
                <c:pt idx="31">
                  <c:v>-0.10790539730951958</c:v>
                </c:pt>
                <c:pt idx="32">
                  <c:v>0.11394335230683679</c:v>
                </c:pt>
                <c:pt idx="33">
                  <c:v>-0.48148606012211248</c:v>
                </c:pt>
                <c:pt idx="34">
                  <c:v>0.9375178920173467</c:v>
                </c:pt>
                <c:pt idx="35">
                  <c:v>0.5428254269591799</c:v>
                </c:pt>
                <c:pt idx="36">
                  <c:v>0.33243845991560533</c:v>
                </c:pt>
                <c:pt idx="37">
                  <c:v>8.6359830674748214E-2</c:v>
                </c:pt>
                <c:pt idx="38">
                  <c:v>-1</c:v>
                </c:pt>
                <c:pt idx="39">
                  <c:v>0.47712125471966244</c:v>
                </c:pt>
                <c:pt idx="40">
                  <c:v>-0.22184874961635639</c:v>
                </c:pt>
                <c:pt idx="41">
                  <c:v>0.59217675739586684</c:v>
                </c:pt>
                <c:pt idx="42">
                  <c:v>0.41497334797081797</c:v>
                </c:pt>
                <c:pt idx="43">
                  <c:v>0.55750720190565795</c:v>
                </c:pt>
                <c:pt idx="44">
                  <c:v>0.57634135020579291</c:v>
                </c:pt>
                <c:pt idx="45">
                  <c:v>-0.40893539297350079</c:v>
                </c:pt>
                <c:pt idx="46">
                  <c:v>-0.40893539297350079</c:v>
                </c:pt>
                <c:pt idx="47">
                  <c:v>1.7150836706949273</c:v>
                </c:pt>
                <c:pt idx="48">
                  <c:v>1.256717745977487</c:v>
                </c:pt>
                <c:pt idx="49">
                  <c:v>1.1261314072619844</c:v>
                </c:pt>
                <c:pt idx="50">
                  <c:v>7.1882007306125359E-2</c:v>
                </c:pt>
                <c:pt idx="51">
                  <c:v>1.0211892990699381</c:v>
                </c:pt>
                <c:pt idx="52">
                  <c:v>0.65321251377534373</c:v>
                </c:pt>
                <c:pt idx="53">
                  <c:v>4.1392685158225077E-2</c:v>
                </c:pt>
                <c:pt idx="54">
                  <c:v>0.14612803567823801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112-47C7-86F4-23A44962C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239936"/>
        <c:axId val="1"/>
      </c:scatterChart>
      <c:valAx>
        <c:axId val="478239936"/>
        <c:scaling>
          <c:orientation val="minMax"/>
          <c:max val="130"/>
          <c:min val="50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1575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T (</a:t>
                </a:r>
                <a:r>
                  <a:rPr lang="nl-NL" sz="1575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°</a:t>
                </a:r>
                <a:r>
                  <a:rPr lang="nl-NL" sz="1575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C)</a:t>
                </a:r>
              </a:p>
            </c:rich>
          </c:tx>
          <c:layout>
            <c:manualLayout>
              <c:xMode val="edge"/>
              <c:yMode val="edge"/>
              <c:x val="0.43046357615894038"/>
              <c:y val="0.9233528429267197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4"/>
          <c:min val="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5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Log D (log min)</a:t>
                </a:r>
              </a:p>
            </c:rich>
          </c:tx>
          <c:layout>
            <c:manualLayout>
              <c:xMode val="edge"/>
              <c:yMode val="edge"/>
              <c:x val="6.6225165562913907E-3"/>
              <c:y val="0.2691627717658287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782399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3245033112582785"/>
          <c:y val="1.6042780748663103E-2"/>
          <c:w val="0.45033112582781454"/>
          <c:h val="0.7932276914583538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 sz="1600" b="1" i="1" u="none" strike="noStrike" baseline="0">
                <a:solidFill>
                  <a:srgbClr val="000000"/>
                </a:solidFill>
                <a:latin typeface="Arial"/>
                <a:cs typeface="Arial"/>
              </a:rPr>
              <a:t>C perfringens</a:t>
            </a:r>
            <a:r>
              <a:rPr lang="nl-NL" sz="16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all cells</a:t>
            </a:r>
          </a:p>
        </c:rich>
      </c:tx>
      <c:layout>
        <c:manualLayout>
          <c:xMode val="edge"/>
          <c:yMode val="edge"/>
          <c:x val="0.32561777000097208"/>
          <c:y val="3.01075268817204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051592115753"/>
          <c:y val="0.18924770927358298"/>
          <c:w val="0.54629711958839633"/>
          <c:h val="0.69247457256924683"/>
        </c:manualLayout>
      </c:layout>
      <c:scatterChart>
        <c:scatterStyle val="lineMarker"/>
        <c:varyColors val="0"/>
        <c:ser>
          <c:idx val="0"/>
          <c:order val="0"/>
          <c:tx>
            <c:v>Beef spores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FFFF"/>
              </a:solidFill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'C perfringens'!$I$2:$I$17</c:f>
              <c:numCache>
                <c:formatCode>General</c:formatCode>
                <c:ptCount val="16"/>
                <c:pt idx="0">
                  <c:v>98.9</c:v>
                </c:pt>
                <c:pt idx="1">
                  <c:v>98.9</c:v>
                </c:pt>
                <c:pt idx="2">
                  <c:v>104.4</c:v>
                </c:pt>
                <c:pt idx="3">
                  <c:v>104.4</c:v>
                </c:pt>
                <c:pt idx="4">
                  <c:v>110</c:v>
                </c:pt>
                <c:pt idx="5">
                  <c:v>110</c:v>
                </c:pt>
                <c:pt idx="6">
                  <c:v>115.6</c:v>
                </c:pt>
                <c:pt idx="7">
                  <c:v>115.6</c:v>
                </c:pt>
                <c:pt idx="8">
                  <c:v>98.9</c:v>
                </c:pt>
                <c:pt idx="9">
                  <c:v>98.9</c:v>
                </c:pt>
                <c:pt idx="10">
                  <c:v>104.4</c:v>
                </c:pt>
                <c:pt idx="11">
                  <c:v>104.4</c:v>
                </c:pt>
                <c:pt idx="12">
                  <c:v>110</c:v>
                </c:pt>
                <c:pt idx="13">
                  <c:v>110</c:v>
                </c:pt>
                <c:pt idx="14">
                  <c:v>115.6</c:v>
                </c:pt>
                <c:pt idx="15">
                  <c:v>115.6</c:v>
                </c:pt>
              </c:numCache>
            </c:numRef>
          </c:xVal>
          <c:yVal>
            <c:numRef>
              <c:f>'C perfringens'!$L$2:$L$17</c:f>
              <c:numCache>
                <c:formatCode>0.00</c:formatCode>
                <c:ptCount val="16"/>
                <c:pt idx="0">
                  <c:v>1.4969296480732148</c:v>
                </c:pt>
                <c:pt idx="1">
                  <c:v>1.4563660331290431</c:v>
                </c:pt>
                <c:pt idx="2">
                  <c:v>0.81954393554186866</c:v>
                </c:pt>
                <c:pt idx="3">
                  <c:v>0.85733249643126852</c:v>
                </c:pt>
                <c:pt idx="4">
                  <c:v>-0.29242982390206362</c:v>
                </c:pt>
                <c:pt idx="5">
                  <c:v>-0.25963731050575611</c:v>
                </c:pt>
                <c:pt idx="6">
                  <c:v>-0.69897000433601875</c:v>
                </c:pt>
                <c:pt idx="7">
                  <c:v>-0.72124639904717103</c:v>
                </c:pt>
                <c:pt idx="8">
                  <c:v>1.414973347970818</c:v>
                </c:pt>
                <c:pt idx="9">
                  <c:v>1.4424797690644486</c:v>
                </c:pt>
                <c:pt idx="10">
                  <c:v>0.90308998699194354</c:v>
                </c:pt>
                <c:pt idx="11">
                  <c:v>0.88081359228079137</c:v>
                </c:pt>
                <c:pt idx="12">
                  <c:v>-2.2276394711152253E-2</c:v>
                </c:pt>
                <c:pt idx="13">
                  <c:v>-4.5757490560675115E-2</c:v>
                </c:pt>
                <c:pt idx="14">
                  <c:v>-0.85387196432176193</c:v>
                </c:pt>
                <c:pt idx="15">
                  <c:v>-0.6777807052660807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27-4E55-BA2C-5C378FBAA2C7}"/>
            </c:ext>
          </c:extLst>
        </c:ser>
        <c:ser>
          <c:idx val="11"/>
          <c:order val="1"/>
          <c:tx>
            <c:v>Beef vegetatives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'C perfringens'!$I$66:$I$173</c:f>
              <c:numCache>
                <c:formatCode>General</c:formatCode>
                <c:ptCount val="108"/>
                <c:pt idx="0">
                  <c:v>49</c:v>
                </c:pt>
                <c:pt idx="1">
                  <c:v>49</c:v>
                </c:pt>
                <c:pt idx="2">
                  <c:v>55</c:v>
                </c:pt>
                <c:pt idx="3">
                  <c:v>57</c:v>
                </c:pt>
                <c:pt idx="4">
                  <c:v>57</c:v>
                </c:pt>
                <c:pt idx="5">
                  <c:v>57.5</c:v>
                </c:pt>
                <c:pt idx="6">
                  <c:v>58</c:v>
                </c:pt>
                <c:pt idx="7">
                  <c:v>58</c:v>
                </c:pt>
                <c:pt idx="8">
                  <c:v>58</c:v>
                </c:pt>
                <c:pt idx="9">
                  <c:v>58</c:v>
                </c:pt>
                <c:pt idx="10">
                  <c:v>58</c:v>
                </c:pt>
                <c:pt idx="11">
                  <c:v>58</c:v>
                </c:pt>
                <c:pt idx="12">
                  <c:v>58</c:v>
                </c:pt>
                <c:pt idx="13">
                  <c:v>58</c:v>
                </c:pt>
                <c:pt idx="14">
                  <c:v>58</c:v>
                </c:pt>
                <c:pt idx="15">
                  <c:v>58</c:v>
                </c:pt>
                <c:pt idx="16">
                  <c:v>58</c:v>
                </c:pt>
                <c:pt idx="17">
                  <c:v>58</c:v>
                </c:pt>
                <c:pt idx="18">
                  <c:v>58</c:v>
                </c:pt>
                <c:pt idx="19">
                  <c:v>58</c:v>
                </c:pt>
                <c:pt idx="20">
                  <c:v>58</c:v>
                </c:pt>
                <c:pt idx="21">
                  <c:v>58</c:v>
                </c:pt>
                <c:pt idx="22">
                  <c:v>58</c:v>
                </c:pt>
                <c:pt idx="23">
                  <c:v>58</c:v>
                </c:pt>
                <c:pt idx="24">
                  <c:v>58</c:v>
                </c:pt>
                <c:pt idx="25">
                  <c:v>58</c:v>
                </c:pt>
                <c:pt idx="26">
                  <c:v>60</c:v>
                </c:pt>
                <c:pt idx="27">
                  <c:v>60</c:v>
                </c:pt>
                <c:pt idx="28">
                  <c:v>62.5</c:v>
                </c:pt>
                <c:pt idx="29">
                  <c:v>55</c:v>
                </c:pt>
                <c:pt idx="30">
                  <c:v>57.5</c:v>
                </c:pt>
                <c:pt idx="31">
                  <c:v>60</c:v>
                </c:pt>
                <c:pt idx="32">
                  <c:v>62.5</c:v>
                </c:pt>
                <c:pt idx="33">
                  <c:v>55</c:v>
                </c:pt>
                <c:pt idx="34">
                  <c:v>57.5</c:v>
                </c:pt>
                <c:pt idx="35">
                  <c:v>60</c:v>
                </c:pt>
                <c:pt idx="36">
                  <c:v>62.5</c:v>
                </c:pt>
                <c:pt idx="37">
                  <c:v>55</c:v>
                </c:pt>
                <c:pt idx="38">
                  <c:v>57.5</c:v>
                </c:pt>
                <c:pt idx="39">
                  <c:v>60</c:v>
                </c:pt>
                <c:pt idx="40">
                  <c:v>62.5</c:v>
                </c:pt>
                <c:pt idx="41">
                  <c:v>57</c:v>
                </c:pt>
                <c:pt idx="42">
                  <c:v>57</c:v>
                </c:pt>
                <c:pt idx="43">
                  <c:v>57</c:v>
                </c:pt>
                <c:pt idx="44">
                  <c:v>57</c:v>
                </c:pt>
                <c:pt idx="45">
                  <c:v>57</c:v>
                </c:pt>
                <c:pt idx="46">
                  <c:v>57</c:v>
                </c:pt>
                <c:pt idx="47">
                  <c:v>57</c:v>
                </c:pt>
                <c:pt idx="48">
                  <c:v>57</c:v>
                </c:pt>
                <c:pt idx="49">
                  <c:v>59</c:v>
                </c:pt>
                <c:pt idx="50">
                  <c:v>59</c:v>
                </c:pt>
                <c:pt idx="51">
                  <c:v>59</c:v>
                </c:pt>
                <c:pt idx="52">
                  <c:v>59</c:v>
                </c:pt>
                <c:pt idx="53">
                  <c:v>59</c:v>
                </c:pt>
                <c:pt idx="54">
                  <c:v>59</c:v>
                </c:pt>
                <c:pt idx="55">
                  <c:v>59</c:v>
                </c:pt>
                <c:pt idx="56">
                  <c:v>59</c:v>
                </c:pt>
                <c:pt idx="57">
                  <c:v>57</c:v>
                </c:pt>
                <c:pt idx="58">
                  <c:v>57</c:v>
                </c:pt>
                <c:pt idx="59">
                  <c:v>57</c:v>
                </c:pt>
                <c:pt idx="60">
                  <c:v>57</c:v>
                </c:pt>
                <c:pt idx="61">
                  <c:v>57</c:v>
                </c:pt>
                <c:pt idx="62">
                  <c:v>57</c:v>
                </c:pt>
                <c:pt idx="63">
                  <c:v>57</c:v>
                </c:pt>
                <c:pt idx="64">
                  <c:v>59</c:v>
                </c:pt>
                <c:pt idx="65">
                  <c:v>59</c:v>
                </c:pt>
                <c:pt idx="66">
                  <c:v>59</c:v>
                </c:pt>
                <c:pt idx="67">
                  <c:v>59</c:v>
                </c:pt>
                <c:pt idx="68">
                  <c:v>59</c:v>
                </c:pt>
                <c:pt idx="69">
                  <c:v>59</c:v>
                </c:pt>
                <c:pt idx="70">
                  <c:v>59</c:v>
                </c:pt>
                <c:pt idx="71">
                  <c:v>59</c:v>
                </c:pt>
                <c:pt idx="72">
                  <c:v>55</c:v>
                </c:pt>
                <c:pt idx="73">
                  <c:v>57</c:v>
                </c:pt>
                <c:pt idx="74">
                  <c:v>57</c:v>
                </c:pt>
                <c:pt idx="75">
                  <c:v>57</c:v>
                </c:pt>
                <c:pt idx="76">
                  <c:v>59</c:v>
                </c:pt>
                <c:pt idx="77">
                  <c:v>59</c:v>
                </c:pt>
                <c:pt idx="78">
                  <c:v>59</c:v>
                </c:pt>
                <c:pt idx="79">
                  <c:v>59</c:v>
                </c:pt>
                <c:pt idx="80">
                  <c:v>59</c:v>
                </c:pt>
                <c:pt idx="81">
                  <c:v>59</c:v>
                </c:pt>
                <c:pt idx="82">
                  <c:v>59</c:v>
                </c:pt>
                <c:pt idx="83">
                  <c:v>59</c:v>
                </c:pt>
                <c:pt idx="84">
                  <c:v>59</c:v>
                </c:pt>
                <c:pt idx="85">
                  <c:v>59</c:v>
                </c:pt>
                <c:pt idx="86">
                  <c:v>59</c:v>
                </c:pt>
                <c:pt idx="87">
                  <c:v>59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61</c:v>
                </c:pt>
                <c:pt idx="92">
                  <c:v>61</c:v>
                </c:pt>
                <c:pt idx="93">
                  <c:v>61</c:v>
                </c:pt>
                <c:pt idx="94">
                  <c:v>55</c:v>
                </c:pt>
                <c:pt idx="95">
                  <c:v>57</c:v>
                </c:pt>
                <c:pt idx="96">
                  <c:v>57</c:v>
                </c:pt>
                <c:pt idx="97">
                  <c:v>57</c:v>
                </c:pt>
                <c:pt idx="98">
                  <c:v>59</c:v>
                </c:pt>
                <c:pt idx="99">
                  <c:v>59</c:v>
                </c:pt>
                <c:pt idx="100">
                  <c:v>59</c:v>
                </c:pt>
                <c:pt idx="101">
                  <c:v>59</c:v>
                </c:pt>
                <c:pt idx="102">
                  <c:v>59</c:v>
                </c:pt>
                <c:pt idx="103">
                  <c:v>59</c:v>
                </c:pt>
                <c:pt idx="104">
                  <c:v>59</c:v>
                </c:pt>
                <c:pt idx="105">
                  <c:v>59</c:v>
                </c:pt>
                <c:pt idx="106">
                  <c:v>61</c:v>
                </c:pt>
                <c:pt idx="107">
                  <c:v>61</c:v>
                </c:pt>
              </c:numCache>
            </c:numRef>
          </c:xVal>
          <c:yVal>
            <c:numRef>
              <c:f>'C perfringens'!$L$66:$L$173</c:f>
              <c:numCache>
                <c:formatCode>0.00</c:formatCode>
                <c:ptCount val="108"/>
                <c:pt idx="0">
                  <c:v>0.36172783601759284</c:v>
                </c:pt>
                <c:pt idx="1">
                  <c:v>0.49136169383427269</c:v>
                </c:pt>
                <c:pt idx="2">
                  <c:v>1.3344537511509309</c:v>
                </c:pt>
                <c:pt idx="3">
                  <c:v>0.86332286012045589</c:v>
                </c:pt>
                <c:pt idx="4">
                  <c:v>1.0453229787866574</c:v>
                </c:pt>
                <c:pt idx="5">
                  <c:v>1.0086001717619175</c:v>
                </c:pt>
                <c:pt idx="6">
                  <c:v>0.13353890837021754</c:v>
                </c:pt>
                <c:pt idx="7">
                  <c:v>0.11727129565576427</c:v>
                </c:pt>
                <c:pt idx="8">
                  <c:v>0.19865708695442263</c:v>
                </c:pt>
                <c:pt idx="9">
                  <c:v>8.6359830674748214E-2</c:v>
                </c:pt>
                <c:pt idx="10">
                  <c:v>0.12057393120584989</c:v>
                </c:pt>
                <c:pt idx="11">
                  <c:v>0.11727129565576427</c:v>
                </c:pt>
                <c:pt idx="12">
                  <c:v>8.2785370316450071E-2</c:v>
                </c:pt>
                <c:pt idx="13">
                  <c:v>0.20411998265592479</c:v>
                </c:pt>
                <c:pt idx="14">
                  <c:v>0.17026171539495738</c:v>
                </c:pt>
                <c:pt idx="15">
                  <c:v>6.069784035361165E-2</c:v>
                </c:pt>
                <c:pt idx="16">
                  <c:v>0.21484384804769785</c:v>
                </c:pt>
                <c:pt idx="17">
                  <c:v>0.29003461136251801</c:v>
                </c:pt>
                <c:pt idx="18">
                  <c:v>0.35218251811136247</c:v>
                </c:pt>
                <c:pt idx="19">
                  <c:v>0.15228834438305647</c:v>
                </c:pt>
                <c:pt idx="20">
                  <c:v>0.16731733474817609</c:v>
                </c:pt>
                <c:pt idx="21">
                  <c:v>0.18184358794477254</c:v>
                </c:pt>
                <c:pt idx="22">
                  <c:v>0.24551266781414982</c:v>
                </c:pt>
                <c:pt idx="23">
                  <c:v>0.34830486304816066</c:v>
                </c:pt>
                <c:pt idx="24">
                  <c:v>0.29003461136251801</c:v>
                </c:pt>
                <c:pt idx="25">
                  <c:v>0.2380461031287954</c:v>
                </c:pt>
                <c:pt idx="26">
                  <c:v>0.72427586960078905</c:v>
                </c:pt>
                <c:pt idx="27">
                  <c:v>1.1613680022349748</c:v>
                </c:pt>
                <c:pt idx="28">
                  <c:v>0.20411998265592479</c:v>
                </c:pt>
                <c:pt idx="29">
                  <c:v>1.3344537511509309</c:v>
                </c:pt>
                <c:pt idx="30">
                  <c:v>1.0086001717619175</c:v>
                </c:pt>
                <c:pt idx="31">
                  <c:v>0.72427586960078905</c:v>
                </c:pt>
                <c:pt idx="32">
                  <c:v>0.20411998265592479</c:v>
                </c:pt>
                <c:pt idx="33">
                  <c:v>1.2528530309798931</c:v>
                </c:pt>
                <c:pt idx="34">
                  <c:v>0.97312785359969867</c:v>
                </c:pt>
                <c:pt idx="35">
                  <c:v>0.54406804435027567</c:v>
                </c:pt>
                <c:pt idx="36">
                  <c:v>7.9181246047624818E-2</c:v>
                </c:pt>
                <c:pt idx="37">
                  <c:v>1.209515014542631</c:v>
                </c:pt>
                <c:pt idx="38">
                  <c:v>0.89209460269048035</c:v>
                </c:pt>
                <c:pt idx="39">
                  <c:v>0.47712125471966244</c:v>
                </c:pt>
                <c:pt idx="40">
                  <c:v>0</c:v>
                </c:pt>
                <c:pt idx="41">
                  <c:v>0.91381385238371671</c:v>
                </c:pt>
                <c:pt idx="42">
                  <c:v>0.89762709129044149</c:v>
                </c:pt>
                <c:pt idx="43">
                  <c:v>0.77085201164214423</c:v>
                </c:pt>
                <c:pt idx="44">
                  <c:v>1.0170333392987803</c:v>
                </c:pt>
                <c:pt idx="45">
                  <c:v>1</c:v>
                </c:pt>
                <c:pt idx="46">
                  <c:v>1.1846914308175989</c:v>
                </c:pt>
                <c:pt idx="47">
                  <c:v>1.354108439147401</c:v>
                </c:pt>
                <c:pt idx="48">
                  <c:v>1.1702617153949575</c:v>
                </c:pt>
                <c:pt idx="49">
                  <c:v>0.38021124171160603</c:v>
                </c:pt>
                <c:pt idx="50">
                  <c:v>0.34242268082220628</c:v>
                </c:pt>
                <c:pt idx="51">
                  <c:v>0.3010299956639812</c:v>
                </c:pt>
                <c:pt idx="52">
                  <c:v>0.54406804435027567</c:v>
                </c:pt>
                <c:pt idx="53">
                  <c:v>0.57978359661681012</c:v>
                </c:pt>
                <c:pt idx="54">
                  <c:v>0.64345267648618742</c:v>
                </c:pt>
                <c:pt idx="55">
                  <c:v>0.79934054945358168</c:v>
                </c:pt>
                <c:pt idx="56">
                  <c:v>0.87506126339170009</c:v>
                </c:pt>
                <c:pt idx="57">
                  <c:v>1.0934216851622351</c:v>
                </c:pt>
                <c:pt idx="58">
                  <c:v>0.99122607569249488</c:v>
                </c:pt>
                <c:pt idx="59">
                  <c:v>1.0374264979406236</c:v>
                </c:pt>
                <c:pt idx="60">
                  <c:v>1.2355284469075489</c:v>
                </c:pt>
                <c:pt idx="61">
                  <c:v>1.2479732663618066</c:v>
                </c:pt>
                <c:pt idx="62">
                  <c:v>1.5428254269591799</c:v>
                </c:pt>
                <c:pt idx="63">
                  <c:v>1.3636119798921444</c:v>
                </c:pt>
                <c:pt idx="64">
                  <c:v>0.53147891704225514</c:v>
                </c:pt>
                <c:pt idx="65">
                  <c:v>0.44715803134221921</c:v>
                </c:pt>
                <c:pt idx="66">
                  <c:v>0.65321251377534373</c:v>
                </c:pt>
                <c:pt idx="67">
                  <c:v>0.63346845557958653</c:v>
                </c:pt>
                <c:pt idx="68">
                  <c:v>0.79934054945358168</c:v>
                </c:pt>
                <c:pt idx="69">
                  <c:v>0.90848501887864974</c:v>
                </c:pt>
                <c:pt idx="70">
                  <c:v>1.0374264979406236</c:v>
                </c:pt>
                <c:pt idx="71">
                  <c:v>1.0128372247051722</c:v>
                </c:pt>
                <c:pt idx="72">
                  <c:v>2.0863598306747484</c:v>
                </c:pt>
                <c:pt idx="73">
                  <c:v>1.2695129442179163</c:v>
                </c:pt>
                <c:pt idx="74">
                  <c:v>1.1986570869544226</c:v>
                </c:pt>
                <c:pt idx="75">
                  <c:v>1.2201080880400552</c:v>
                </c:pt>
                <c:pt idx="76">
                  <c:v>0.89209460269048035</c:v>
                </c:pt>
                <c:pt idx="77">
                  <c:v>0.92941892571429274</c:v>
                </c:pt>
                <c:pt idx="78">
                  <c:v>0.82607480270082645</c:v>
                </c:pt>
                <c:pt idx="79">
                  <c:v>1.1398790864012365</c:v>
                </c:pt>
                <c:pt idx="80">
                  <c:v>0.95424250943932487</c:v>
                </c:pt>
                <c:pt idx="81">
                  <c:v>0.88081359228079137</c:v>
                </c:pt>
                <c:pt idx="82">
                  <c:v>1.1789769472931695</c:v>
                </c:pt>
                <c:pt idx="83">
                  <c:v>1.2278867046136734</c:v>
                </c:pt>
                <c:pt idx="84">
                  <c:v>0.83884909073725533</c:v>
                </c:pt>
                <c:pt idx="85">
                  <c:v>0.88081359228079137</c:v>
                </c:pt>
                <c:pt idx="86">
                  <c:v>0.79934054945358168</c:v>
                </c:pt>
                <c:pt idx="87">
                  <c:v>0.81954393554186866</c:v>
                </c:pt>
                <c:pt idx="88">
                  <c:v>0.59106460702649921</c:v>
                </c:pt>
                <c:pt idx="89">
                  <c:v>0.53147891704225514</c:v>
                </c:pt>
                <c:pt idx="90">
                  <c:v>0.57978359661681012</c:v>
                </c:pt>
                <c:pt idx="91">
                  <c:v>0.46239799789895608</c:v>
                </c:pt>
                <c:pt idx="92">
                  <c:v>0.64345267648618742</c:v>
                </c:pt>
                <c:pt idx="93">
                  <c:v>0.59106460702649921</c:v>
                </c:pt>
                <c:pt idx="94">
                  <c:v>2.2528530309798933</c:v>
                </c:pt>
                <c:pt idx="95">
                  <c:v>1.2174839442139063</c:v>
                </c:pt>
                <c:pt idx="96">
                  <c:v>1.4216039268698311</c:v>
                </c:pt>
                <c:pt idx="97">
                  <c:v>1.3263358609287514</c:v>
                </c:pt>
                <c:pt idx="98">
                  <c:v>1.0492180226701815</c:v>
                </c:pt>
                <c:pt idx="99">
                  <c:v>1.0453229787866574</c:v>
                </c:pt>
                <c:pt idx="100">
                  <c:v>1.0253058652647702</c:v>
                </c:pt>
                <c:pt idx="101">
                  <c:v>0.95424250943932487</c:v>
                </c:pt>
                <c:pt idx="102">
                  <c:v>0.89762709129044149</c:v>
                </c:pt>
                <c:pt idx="103">
                  <c:v>0.79934054945358168</c:v>
                </c:pt>
                <c:pt idx="104">
                  <c:v>0.9242792860618817</c:v>
                </c:pt>
                <c:pt idx="105">
                  <c:v>0.91381385238371671</c:v>
                </c:pt>
                <c:pt idx="106">
                  <c:v>0.3222192947339193</c:v>
                </c:pt>
                <c:pt idx="107">
                  <c:v>0.46239799789895608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27-4E55-BA2C-5C378FBAA2C7}"/>
            </c:ext>
          </c:extLst>
        </c:ser>
        <c:ser>
          <c:idx val="6"/>
          <c:order val="2"/>
          <c:tx>
            <c:v>FTG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'C perfringens'!$I$190:$I$211</c:f>
              <c:numCache>
                <c:formatCode>General</c:formatCode>
                <c:ptCount val="22"/>
                <c:pt idx="0">
                  <c:v>55</c:v>
                </c:pt>
                <c:pt idx="1">
                  <c:v>55</c:v>
                </c:pt>
                <c:pt idx="2">
                  <c:v>55</c:v>
                </c:pt>
                <c:pt idx="3">
                  <c:v>55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  <c:pt idx="21">
                  <c:v>60</c:v>
                </c:pt>
              </c:numCache>
            </c:numRef>
          </c:xVal>
          <c:yVal>
            <c:numRef>
              <c:f>'C perfringens'!$L$190:$L$211</c:f>
              <c:numCache>
                <c:formatCode>0.00</c:formatCode>
                <c:ptCount val="22"/>
                <c:pt idx="0">
                  <c:v>0.95424250943932487</c:v>
                </c:pt>
                <c:pt idx="1">
                  <c:v>0.69897000433601886</c:v>
                </c:pt>
                <c:pt idx="2">
                  <c:v>1.0827853703164501</c:v>
                </c:pt>
                <c:pt idx="3">
                  <c:v>0.74818802700620035</c:v>
                </c:pt>
                <c:pt idx="4">
                  <c:v>0.28555730900777376</c:v>
                </c:pt>
                <c:pt idx="5">
                  <c:v>0.57403126772771884</c:v>
                </c:pt>
                <c:pt idx="6">
                  <c:v>0.58658730467175491</c:v>
                </c:pt>
                <c:pt idx="7">
                  <c:v>0.35983548233988799</c:v>
                </c:pt>
                <c:pt idx="8">
                  <c:v>0.48287358360875376</c:v>
                </c:pt>
                <c:pt idx="9">
                  <c:v>0.60745502321466849</c:v>
                </c:pt>
                <c:pt idx="10">
                  <c:v>0.41664050733828095</c:v>
                </c:pt>
                <c:pt idx="11">
                  <c:v>0.62531245096167387</c:v>
                </c:pt>
                <c:pt idx="12">
                  <c:v>0.52113808370403625</c:v>
                </c:pt>
                <c:pt idx="13">
                  <c:v>0.29003461136251801</c:v>
                </c:pt>
                <c:pt idx="14">
                  <c:v>0.46538285144841829</c:v>
                </c:pt>
                <c:pt idx="15">
                  <c:v>0.17318626841227402</c:v>
                </c:pt>
                <c:pt idx="16">
                  <c:v>0.35024801833416286</c:v>
                </c:pt>
                <c:pt idx="17">
                  <c:v>0.36921585741014279</c:v>
                </c:pt>
                <c:pt idx="18">
                  <c:v>0.48572142648158001</c:v>
                </c:pt>
                <c:pt idx="19">
                  <c:v>0.37106786227173627</c:v>
                </c:pt>
                <c:pt idx="20">
                  <c:v>0.27415784926367981</c:v>
                </c:pt>
                <c:pt idx="21">
                  <c:v>0.35793484700045375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327-4E55-BA2C-5C378FBAA2C7}"/>
            </c:ext>
          </c:extLst>
        </c:ser>
        <c:ser>
          <c:idx val="1"/>
          <c:order val="3"/>
          <c:tx>
            <c:v>Phosphate buffer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 perfringens'!$I$22:$I$57</c:f>
              <c:numCache>
                <c:formatCode>General</c:formatCode>
                <c:ptCount val="36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  <c:pt idx="6">
                  <c:v>98.9</c:v>
                </c:pt>
                <c:pt idx="7">
                  <c:v>98.9</c:v>
                </c:pt>
                <c:pt idx="8">
                  <c:v>98.9</c:v>
                </c:pt>
                <c:pt idx="9">
                  <c:v>98.9</c:v>
                </c:pt>
                <c:pt idx="10">
                  <c:v>104.4</c:v>
                </c:pt>
                <c:pt idx="11">
                  <c:v>104.4</c:v>
                </c:pt>
                <c:pt idx="12">
                  <c:v>104.4</c:v>
                </c:pt>
                <c:pt idx="13">
                  <c:v>104.4</c:v>
                </c:pt>
                <c:pt idx="14">
                  <c:v>110</c:v>
                </c:pt>
                <c:pt idx="15">
                  <c:v>110</c:v>
                </c:pt>
                <c:pt idx="16">
                  <c:v>110</c:v>
                </c:pt>
                <c:pt idx="17">
                  <c:v>115.6</c:v>
                </c:pt>
                <c:pt idx="18">
                  <c:v>115.6</c:v>
                </c:pt>
                <c:pt idx="19">
                  <c:v>115.6</c:v>
                </c:pt>
                <c:pt idx="20">
                  <c:v>115.6</c:v>
                </c:pt>
                <c:pt idx="21">
                  <c:v>98.9</c:v>
                </c:pt>
                <c:pt idx="22">
                  <c:v>98.9</c:v>
                </c:pt>
                <c:pt idx="23">
                  <c:v>98.9</c:v>
                </c:pt>
                <c:pt idx="24">
                  <c:v>98.9</c:v>
                </c:pt>
                <c:pt idx="25">
                  <c:v>104.4</c:v>
                </c:pt>
                <c:pt idx="26">
                  <c:v>104.4</c:v>
                </c:pt>
                <c:pt idx="27">
                  <c:v>104.4</c:v>
                </c:pt>
                <c:pt idx="28">
                  <c:v>104.4</c:v>
                </c:pt>
                <c:pt idx="29">
                  <c:v>110</c:v>
                </c:pt>
                <c:pt idx="30">
                  <c:v>110</c:v>
                </c:pt>
                <c:pt idx="31">
                  <c:v>110</c:v>
                </c:pt>
                <c:pt idx="32">
                  <c:v>110</c:v>
                </c:pt>
                <c:pt idx="33">
                  <c:v>115.6</c:v>
                </c:pt>
                <c:pt idx="34">
                  <c:v>115.6</c:v>
                </c:pt>
                <c:pt idx="35">
                  <c:v>115.6</c:v>
                </c:pt>
              </c:numCache>
            </c:numRef>
          </c:xVal>
          <c:yVal>
            <c:numRef>
              <c:f>'C perfringens'!$L$22:$L$57</c:f>
              <c:numCache>
                <c:formatCode>0.00</c:formatCode>
                <c:ptCount val="36"/>
                <c:pt idx="0">
                  <c:v>0.16136800223497488</c:v>
                </c:pt>
                <c:pt idx="1">
                  <c:v>0.35793484700045375</c:v>
                </c:pt>
                <c:pt idx="2">
                  <c:v>0.84941941379689945</c:v>
                </c:pt>
                <c:pt idx="3">
                  <c:v>0.69284691927722997</c:v>
                </c:pt>
                <c:pt idx="4">
                  <c:v>0.78175537465246892</c:v>
                </c:pt>
                <c:pt idx="5">
                  <c:v>0.93951925261861846</c:v>
                </c:pt>
                <c:pt idx="6">
                  <c:v>1.2688119037397805</c:v>
                </c:pt>
                <c:pt idx="7">
                  <c:v>1.230704313612569</c:v>
                </c:pt>
                <c:pt idx="8">
                  <c:v>1.0962145853464051</c:v>
                </c:pt>
                <c:pt idx="9">
                  <c:v>1.1112625136590653</c:v>
                </c:pt>
                <c:pt idx="10">
                  <c:v>0.49831055378960049</c:v>
                </c:pt>
                <c:pt idx="11">
                  <c:v>0.5158738437116791</c:v>
                </c:pt>
                <c:pt idx="12">
                  <c:v>0.35218251811136247</c:v>
                </c:pt>
                <c:pt idx="13">
                  <c:v>0.35983548233988799</c:v>
                </c:pt>
                <c:pt idx="14">
                  <c:v>0.11058971029924898</c:v>
                </c:pt>
                <c:pt idx="15">
                  <c:v>8.2785370316450071E-2</c:v>
                </c:pt>
                <c:pt idx="16">
                  <c:v>-0.12493873660829995</c:v>
                </c:pt>
                <c:pt idx="17">
                  <c:v>-0.22184874961635639</c:v>
                </c:pt>
                <c:pt idx="18">
                  <c:v>-0.14874165128092473</c:v>
                </c:pt>
                <c:pt idx="19">
                  <c:v>-0.56863623584101264</c:v>
                </c:pt>
                <c:pt idx="20">
                  <c:v>-0.58502665202918203</c:v>
                </c:pt>
                <c:pt idx="21">
                  <c:v>1.3506356082589543</c:v>
                </c:pt>
                <c:pt idx="22">
                  <c:v>1.2997251539756369</c:v>
                </c:pt>
                <c:pt idx="23">
                  <c:v>1.1846914308175989</c:v>
                </c:pt>
                <c:pt idx="24">
                  <c:v>1.1360860973840974</c:v>
                </c:pt>
                <c:pt idx="25">
                  <c:v>0.71432975974523305</c:v>
                </c:pt>
                <c:pt idx="26">
                  <c:v>0.6263403673750424</c:v>
                </c:pt>
                <c:pt idx="27">
                  <c:v>0.2576785748691845</c:v>
                </c:pt>
                <c:pt idx="28">
                  <c:v>0.14612803567823801</c:v>
                </c:pt>
                <c:pt idx="29">
                  <c:v>0.21484384804769785</c:v>
                </c:pt>
                <c:pt idx="30">
                  <c:v>0.20682587603184974</c:v>
                </c:pt>
                <c:pt idx="31">
                  <c:v>-0.18045606445813131</c:v>
                </c:pt>
                <c:pt idx="32">
                  <c:v>-0.21467016498923297</c:v>
                </c:pt>
                <c:pt idx="33">
                  <c:v>-9.6910013008056392E-2</c:v>
                </c:pt>
                <c:pt idx="34">
                  <c:v>-9.1514981121350217E-2</c:v>
                </c:pt>
                <c:pt idx="35">
                  <c:v>-0.65757731917779372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327-4E55-BA2C-5C378FBAA2C7}"/>
            </c:ext>
          </c:extLst>
        </c:ser>
        <c:ser>
          <c:idx val="2"/>
          <c:order val="4"/>
          <c:tx>
            <c:v>SEC broth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 perfringens'!$I$18:$I$21</c:f>
              <c:numCache>
                <c:formatCode>General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xVal>
          <c:yVal>
            <c:numRef>
              <c:f>'C perfringens'!$L$18:$L$21</c:f>
              <c:numCache>
                <c:formatCode>0.00</c:formatCode>
                <c:ptCount val="4"/>
                <c:pt idx="0">
                  <c:v>-0.50863830616572736</c:v>
                </c:pt>
                <c:pt idx="1">
                  <c:v>0</c:v>
                </c:pt>
                <c:pt idx="2">
                  <c:v>0.81954393554186866</c:v>
                </c:pt>
                <c:pt idx="3">
                  <c:v>1.1139433523068367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327-4E55-BA2C-5C378FBAA2C7}"/>
            </c:ext>
          </c:extLst>
        </c:ser>
        <c:ser>
          <c:idx val="7"/>
          <c:order val="5"/>
          <c:tx>
            <c:v>Turkey</c:v>
          </c:tx>
          <c:spPr>
            <a:ln w="28575">
              <a:noFill/>
            </a:ln>
          </c:spPr>
          <c:marker>
            <c:symbol val="triangle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'C perfringens'!$I$174:$I$189</c:f>
              <c:numCache>
                <c:formatCode>General</c:formatCode>
                <c:ptCount val="16"/>
                <c:pt idx="0">
                  <c:v>55</c:v>
                </c:pt>
                <c:pt idx="1">
                  <c:v>57.5</c:v>
                </c:pt>
                <c:pt idx="2">
                  <c:v>60</c:v>
                </c:pt>
                <c:pt idx="3">
                  <c:v>62.5</c:v>
                </c:pt>
                <c:pt idx="4">
                  <c:v>55</c:v>
                </c:pt>
                <c:pt idx="5">
                  <c:v>57.5</c:v>
                </c:pt>
                <c:pt idx="6">
                  <c:v>60</c:v>
                </c:pt>
                <c:pt idx="7">
                  <c:v>62.5</c:v>
                </c:pt>
                <c:pt idx="8">
                  <c:v>55</c:v>
                </c:pt>
                <c:pt idx="9">
                  <c:v>57.5</c:v>
                </c:pt>
                <c:pt idx="10">
                  <c:v>60</c:v>
                </c:pt>
                <c:pt idx="11">
                  <c:v>62.5</c:v>
                </c:pt>
                <c:pt idx="12">
                  <c:v>55</c:v>
                </c:pt>
                <c:pt idx="13">
                  <c:v>57.5</c:v>
                </c:pt>
                <c:pt idx="14">
                  <c:v>60</c:v>
                </c:pt>
                <c:pt idx="15">
                  <c:v>62.5</c:v>
                </c:pt>
              </c:numCache>
            </c:numRef>
          </c:xVal>
          <c:yVal>
            <c:numRef>
              <c:f>'C perfringens'!$L$174:$L$189</c:f>
              <c:numCache>
                <c:formatCode>0.00</c:formatCode>
                <c:ptCount val="16"/>
                <c:pt idx="0">
                  <c:v>1.2430380486862944</c:v>
                </c:pt>
                <c:pt idx="1">
                  <c:v>0.95904139232109353</c:v>
                </c:pt>
                <c:pt idx="2">
                  <c:v>0.62324929039790045</c:v>
                </c:pt>
                <c:pt idx="3">
                  <c:v>0.11394335230683679</c:v>
                </c:pt>
                <c:pt idx="4">
                  <c:v>1.2430380486862944</c:v>
                </c:pt>
                <c:pt idx="5">
                  <c:v>0.95904139232109353</c:v>
                </c:pt>
                <c:pt idx="6">
                  <c:v>0.62324929039790045</c:v>
                </c:pt>
                <c:pt idx="7">
                  <c:v>0.11394335230683679</c:v>
                </c:pt>
                <c:pt idx="8">
                  <c:v>1.209515014542631</c:v>
                </c:pt>
                <c:pt idx="9">
                  <c:v>0.83884909073725533</c:v>
                </c:pt>
                <c:pt idx="10">
                  <c:v>0.47712125471966244</c:v>
                </c:pt>
                <c:pt idx="11">
                  <c:v>4.1392685158225077E-2</c:v>
                </c:pt>
                <c:pt idx="12">
                  <c:v>1.1613680022349748</c:v>
                </c:pt>
                <c:pt idx="13">
                  <c:v>0.80617997398388719</c:v>
                </c:pt>
                <c:pt idx="14">
                  <c:v>0.44715803134221921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327-4E55-BA2C-5C378FBAA2C7}"/>
            </c:ext>
          </c:extLst>
        </c:ser>
        <c:ser>
          <c:idx val="5"/>
          <c:order val="6"/>
          <c:tx>
            <c:v>Unknown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('C perfringens'!$I$58:$I$59,'C perfringens'!$I$65)</c:f>
              <c:numCache>
                <c:formatCode>General</c:formatCode>
                <c:ptCount val="3"/>
                <c:pt idx="0">
                  <c:v>98.9</c:v>
                </c:pt>
                <c:pt idx="1">
                  <c:v>98.9</c:v>
                </c:pt>
                <c:pt idx="2">
                  <c:v>90</c:v>
                </c:pt>
              </c:numCache>
            </c:numRef>
          </c:xVal>
          <c:yVal>
            <c:numRef>
              <c:f>('C perfringens'!$L$58:$L$59,'C perfringens'!$L$65)</c:f>
              <c:numCache>
                <c:formatCode>0.00</c:formatCode>
                <c:ptCount val="3"/>
                <c:pt idx="0">
                  <c:v>1.414973347970818</c:v>
                </c:pt>
                <c:pt idx="1">
                  <c:v>1.4913616938342726</c:v>
                </c:pt>
                <c:pt idx="2">
                  <c:v>0.6020599913279624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327-4E55-BA2C-5C378FBAA2C7}"/>
            </c:ext>
          </c:extLst>
        </c:ser>
        <c:ser>
          <c:idx val="4"/>
          <c:order val="7"/>
          <c:tx>
            <c:v>Water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'C perfringens'!$I$60:$I$64</c:f>
              <c:numCache>
                <c:formatCode>General</c:formatCode>
                <c:ptCount val="5"/>
                <c:pt idx="0">
                  <c:v>80</c:v>
                </c:pt>
                <c:pt idx="1">
                  <c:v>80</c:v>
                </c:pt>
                <c:pt idx="2">
                  <c:v>90</c:v>
                </c:pt>
                <c:pt idx="3">
                  <c:v>90</c:v>
                </c:pt>
                <c:pt idx="4">
                  <c:v>100</c:v>
                </c:pt>
              </c:numCache>
            </c:numRef>
          </c:xVal>
          <c:yVal>
            <c:numRef>
              <c:f>'C perfringens'!$L$60:$L$64</c:f>
              <c:numCache>
                <c:formatCode>0.00</c:formatCode>
                <c:ptCount val="5"/>
                <c:pt idx="0">
                  <c:v>2.0791812460476247</c:v>
                </c:pt>
                <c:pt idx="1">
                  <c:v>1.6989700043360187</c:v>
                </c:pt>
                <c:pt idx="2">
                  <c:v>1.1760912590556813</c:v>
                </c:pt>
                <c:pt idx="3">
                  <c:v>0.47712125471966244</c:v>
                </c:pt>
                <c:pt idx="4">
                  <c:v>0.77815125038364363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327-4E55-BA2C-5C378FBAA2C7}"/>
            </c:ext>
          </c:extLst>
        </c:ser>
        <c:ser>
          <c:idx val="3"/>
          <c:order val="8"/>
          <c:tx>
            <c:v>log D (spores)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GraphPerfringens!$A$14:$A$34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GraphPerfringens!$B$14:$B$34</c:f>
              <c:numCache>
                <c:formatCode>0.00</c:formatCode>
                <c:ptCount val="21"/>
                <c:pt idx="0">
                  <c:v>3.9344990479907276</c:v>
                </c:pt>
                <c:pt idx="1">
                  <c:v>3.6375062702384291</c:v>
                </c:pt>
                <c:pt idx="2">
                  <c:v>3.3405134924861302</c:v>
                </c:pt>
                <c:pt idx="3">
                  <c:v>3.0435207147338312</c:v>
                </c:pt>
                <c:pt idx="4">
                  <c:v>2.7465279369815319</c:v>
                </c:pt>
                <c:pt idx="5">
                  <c:v>2.4495351592292329</c:v>
                </c:pt>
                <c:pt idx="6">
                  <c:v>2.152542381476934</c:v>
                </c:pt>
                <c:pt idx="7">
                  <c:v>1.8555496037246351</c:v>
                </c:pt>
                <c:pt idx="8">
                  <c:v>1.5585568259723361</c:v>
                </c:pt>
                <c:pt idx="9">
                  <c:v>1.2615640482200372</c:v>
                </c:pt>
                <c:pt idx="10">
                  <c:v>0.96457127046773805</c:v>
                </c:pt>
                <c:pt idx="11">
                  <c:v>0.66757849271543912</c:v>
                </c:pt>
                <c:pt idx="12">
                  <c:v>0.37058571496314019</c:v>
                </c:pt>
                <c:pt idx="13">
                  <c:v>7.3592937210841147E-2</c:v>
                </c:pt>
                <c:pt idx="14">
                  <c:v>-0.22339984054145784</c:v>
                </c:pt>
                <c:pt idx="15">
                  <c:v>-0.52039261829375683</c:v>
                </c:pt>
                <c:pt idx="16">
                  <c:v>-0.81738539604605576</c:v>
                </c:pt>
                <c:pt idx="17">
                  <c:v>-1.1143781737983547</c:v>
                </c:pt>
                <c:pt idx="18">
                  <c:v>-1.4113709515506538</c:v>
                </c:pt>
                <c:pt idx="19">
                  <c:v>-1.7083637293029528</c:v>
                </c:pt>
                <c:pt idx="20">
                  <c:v>-2.0053565070552519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327-4E55-BA2C-5C378FBAA2C7}"/>
            </c:ext>
          </c:extLst>
        </c:ser>
        <c:ser>
          <c:idx val="9"/>
          <c:order val="9"/>
          <c:tx>
            <c:v>log D 95% (spores)</c:v>
          </c:tx>
          <c:spPr>
            <a:ln w="25400">
              <a:solidFill>
                <a:srgbClr val="000080"/>
              </a:solidFill>
              <a:prstDash val="lgDash"/>
            </a:ln>
          </c:spPr>
          <c:marker>
            <c:symbol val="none"/>
          </c:marker>
          <c:xVal>
            <c:numRef>
              <c:f>GraphPerfringens!$A$14:$A$34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GraphPerfringens!$C$14:$C$34</c:f>
              <c:numCache>
                <c:formatCode>0.00</c:formatCode>
                <c:ptCount val="21"/>
                <c:pt idx="0">
                  <c:v>4.8847594538671704</c:v>
                </c:pt>
                <c:pt idx="1">
                  <c:v>4.5877666761148719</c:v>
                </c:pt>
                <c:pt idx="2">
                  <c:v>4.2907738983625725</c:v>
                </c:pt>
                <c:pt idx="3">
                  <c:v>3.9937811206102736</c:v>
                </c:pt>
                <c:pt idx="4">
                  <c:v>3.6967883428579742</c:v>
                </c:pt>
                <c:pt idx="5">
                  <c:v>3.3997955651056753</c:v>
                </c:pt>
                <c:pt idx="6">
                  <c:v>3.1028027873533763</c:v>
                </c:pt>
                <c:pt idx="7">
                  <c:v>2.8058100096010774</c:v>
                </c:pt>
                <c:pt idx="8">
                  <c:v>2.5088172318487785</c:v>
                </c:pt>
                <c:pt idx="9">
                  <c:v>2.2118244540964795</c:v>
                </c:pt>
                <c:pt idx="10">
                  <c:v>1.9148316763441806</c:v>
                </c:pt>
                <c:pt idx="11">
                  <c:v>1.6178388985918817</c:v>
                </c:pt>
                <c:pt idx="12">
                  <c:v>1.3208461208395827</c:v>
                </c:pt>
                <c:pt idx="13">
                  <c:v>1.0238533430872836</c:v>
                </c:pt>
                <c:pt idx="14">
                  <c:v>0.72686056533498467</c:v>
                </c:pt>
                <c:pt idx="15">
                  <c:v>0.42986778758268562</c:v>
                </c:pt>
                <c:pt idx="16">
                  <c:v>0.13287500983038669</c:v>
                </c:pt>
                <c:pt idx="17">
                  <c:v>-0.16411776792191224</c:v>
                </c:pt>
                <c:pt idx="18">
                  <c:v>-0.46111054567421139</c:v>
                </c:pt>
                <c:pt idx="19">
                  <c:v>-0.75810332342651032</c:v>
                </c:pt>
                <c:pt idx="20">
                  <c:v>-1.0550961011788096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327-4E55-BA2C-5C378FBAA2C7}"/>
            </c:ext>
          </c:extLst>
        </c:ser>
        <c:ser>
          <c:idx val="8"/>
          <c:order val="10"/>
          <c:tx>
            <c:v>log D (vegetatives)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GraphPerfringens!$A$14:$A$34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GraphPerfringens!$E$14:$E$34</c:f>
              <c:numCache>
                <c:formatCode>0.00</c:formatCode>
                <c:ptCount val="21"/>
                <c:pt idx="0">
                  <c:v>2.0196304859158696</c:v>
                </c:pt>
                <c:pt idx="1">
                  <c:v>1.5324077865434187</c:v>
                </c:pt>
                <c:pt idx="2">
                  <c:v>1.0451850871709683</c:v>
                </c:pt>
                <c:pt idx="3">
                  <c:v>0.55796238779851748</c:v>
                </c:pt>
                <c:pt idx="4">
                  <c:v>7.0739688426066871E-2</c:v>
                </c:pt>
                <c:pt idx="5">
                  <c:v>-0.41648301094638374</c:v>
                </c:pt>
                <c:pt idx="6">
                  <c:v>-0.9037057103188344</c:v>
                </c:pt>
                <c:pt idx="7">
                  <c:v>-1.3909284096912851</c:v>
                </c:pt>
                <c:pt idx="8">
                  <c:v>-1.8781511090637357</c:v>
                </c:pt>
                <c:pt idx="9">
                  <c:v>-2.3653738084361864</c:v>
                </c:pt>
                <c:pt idx="10">
                  <c:v>-2.852596507808637</c:v>
                </c:pt>
                <c:pt idx="11">
                  <c:v>-3.3398192071810877</c:v>
                </c:pt>
                <c:pt idx="12">
                  <c:v>-3.8270419065535379</c:v>
                </c:pt>
                <c:pt idx="13">
                  <c:v>-4.3142646059259881</c:v>
                </c:pt>
                <c:pt idx="14">
                  <c:v>-4.8014873052984397</c:v>
                </c:pt>
                <c:pt idx="15">
                  <c:v>-5.2887100046708904</c:v>
                </c:pt>
                <c:pt idx="16">
                  <c:v>-5.775932704043341</c:v>
                </c:pt>
                <c:pt idx="17">
                  <c:v>-6.2631554034157917</c:v>
                </c:pt>
                <c:pt idx="18">
                  <c:v>-6.7503781027882424</c:v>
                </c:pt>
                <c:pt idx="19">
                  <c:v>-7.2376008021606921</c:v>
                </c:pt>
                <c:pt idx="20">
                  <c:v>-7.7248235015331428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327-4E55-BA2C-5C378FBAA2C7}"/>
            </c:ext>
          </c:extLst>
        </c:ser>
        <c:ser>
          <c:idx val="10"/>
          <c:order val="11"/>
          <c:tx>
            <c:v>log D 95% (vegetatives)</c:v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GraphPerfringens!$A$14:$A$34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GraphPerfringens!$F$14:$F$34</c:f>
              <c:numCache>
                <c:formatCode>0.00</c:formatCode>
                <c:ptCount val="21"/>
                <c:pt idx="0">
                  <c:v>2.7553997050455563</c:v>
                </c:pt>
                <c:pt idx="1">
                  <c:v>2.2681770056731052</c:v>
                </c:pt>
                <c:pt idx="2">
                  <c:v>1.780954306300655</c:v>
                </c:pt>
                <c:pt idx="3">
                  <c:v>1.2937316069282043</c:v>
                </c:pt>
                <c:pt idx="4">
                  <c:v>0.80650890755575366</c:v>
                </c:pt>
                <c:pt idx="5">
                  <c:v>0.319286208183303</c:v>
                </c:pt>
                <c:pt idx="6">
                  <c:v>-0.16793649118914766</c:v>
                </c:pt>
                <c:pt idx="7">
                  <c:v>-0.65515919056159833</c:v>
                </c:pt>
                <c:pt idx="8">
                  <c:v>-1.142381889934049</c:v>
                </c:pt>
                <c:pt idx="9">
                  <c:v>-1.6296045893064997</c:v>
                </c:pt>
                <c:pt idx="10">
                  <c:v>-2.1168272886789503</c:v>
                </c:pt>
                <c:pt idx="11">
                  <c:v>-2.604049988051401</c:v>
                </c:pt>
                <c:pt idx="12">
                  <c:v>-3.0912726874238512</c:v>
                </c:pt>
                <c:pt idx="13">
                  <c:v>-3.5784953867963014</c:v>
                </c:pt>
                <c:pt idx="14">
                  <c:v>-4.0657180861687525</c:v>
                </c:pt>
                <c:pt idx="15">
                  <c:v>-4.5529407855412032</c:v>
                </c:pt>
                <c:pt idx="16">
                  <c:v>-5.0401634849136538</c:v>
                </c:pt>
                <c:pt idx="17">
                  <c:v>-5.5273861842861045</c:v>
                </c:pt>
                <c:pt idx="18">
                  <c:v>-6.0146088836585552</c:v>
                </c:pt>
                <c:pt idx="19">
                  <c:v>-6.5018315830310058</c:v>
                </c:pt>
                <c:pt idx="20">
                  <c:v>-6.9890542824034565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327-4E55-BA2C-5C378FBAA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909240"/>
        <c:axId val="1"/>
      </c:scatterChart>
      <c:valAx>
        <c:axId val="481909240"/>
        <c:scaling>
          <c:orientation val="minMax"/>
          <c:max val="120"/>
          <c:min val="50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16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T (</a:t>
                </a:r>
                <a:r>
                  <a:rPr lang="nl-NL" sz="16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°</a:t>
                </a:r>
                <a:r>
                  <a:rPr lang="nl-NL" sz="16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C)</a:t>
                </a:r>
              </a:p>
            </c:rich>
          </c:tx>
          <c:layout>
            <c:manualLayout>
              <c:xMode val="edge"/>
              <c:yMode val="edge"/>
              <c:x val="0.36265480703800912"/>
              <c:y val="0.911829763215081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2.5"/>
          <c:min val="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Log D (log min)</a:t>
                </a:r>
              </a:p>
            </c:rich>
          </c:tx>
          <c:layout>
            <c:manualLayout>
              <c:xMode val="edge"/>
              <c:yMode val="edge"/>
              <c:x val="7.716049382716049E-3"/>
              <c:y val="0.378495526768831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8190924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092673600985065"/>
          <c:y val="0.16989292467473824"/>
          <c:w val="0.43672904312886818"/>
          <c:h val="0.8172061073011034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E. sakazaki</a:t>
            </a:r>
          </a:p>
        </c:rich>
      </c:tx>
      <c:layout>
        <c:manualLayout>
          <c:xMode val="edge"/>
          <c:yMode val="edge"/>
          <c:x val="0.41560343254965465"/>
          <c:y val="2.941176470588235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461014324321704"/>
          <c:y val="0.16078462160045495"/>
          <c:w val="0.58014264758234646"/>
          <c:h val="0.70000134038246853"/>
        </c:manualLayout>
      </c:layout>
      <c:scatterChart>
        <c:scatterStyle val="lineMarker"/>
        <c:varyColors val="0"/>
        <c:ser>
          <c:idx val="1"/>
          <c:order val="0"/>
          <c:tx>
            <c:v>Reconstituted infant formula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'E sakazaki'!$I$2:$I$50</c:f>
              <c:numCache>
                <c:formatCode>General</c:formatCode>
                <c:ptCount val="49"/>
                <c:pt idx="0">
                  <c:v>58</c:v>
                </c:pt>
                <c:pt idx="1">
                  <c:v>52</c:v>
                </c:pt>
                <c:pt idx="2">
                  <c:v>54</c:v>
                </c:pt>
                <c:pt idx="3">
                  <c:v>56</c:v>
                </c:pt>
                <c:pt idx="4">
                  <c:v>58</c:v>
                </c:pt>
                <c:pt idx="5">
                  <c:v>60</c:v>
                </c:pt>
                <c:pt idx="6">
                  <c:v>52</c:v>
                </c:pt>
                <c:pt idx="7">
                  <c:v>54</c:v>
                </c:pt>
                <c:pt idx="8">
                  <c:v>56</c:v>
                </c:pt>
                <c:pt idx="9">
                  <c:v>56</c:v>
                </c:pt>
                <c:pt idx="10">
                  <c:v>58</c:v>
                </c:pt>
                <c:pt idx="11">
                  <c:v>60</c:v>
                </c:pt>
                <c:pt idx="12">
                  <c:v>52</c:v>
                </c:pt>
                <c:pt idx="13">
                  <c:v>54</c:v>
                </c:pt>
                <c:pt idx="14">
                  <c:v>56</c:v>
                </c:pt>
                <c:pt idx="15">
                  <c:v>58</c:v>
                </c:pt>
                <c:pt idx="16">
                  <c:v>60</c:v>
                </c:pt>
                <c:pt idx="17">
                  <c:v>58</c:v>
                </c:pt>
                <c:pt idx="18">
                  <c:v>58</c:v>
                </c:pt>
                <c:pt idx="19">
                  <c:v>58</c:v>
                </c:pt>
                <c:pt idx="20">
                  <c:v>58</c:v>
                </c:pt>
                <c:pt idx="21">
                  <c:v>58</c:v>
                </c:pt>
                <c:pt idx="22">
                  <c:v>58</c:v>
                </c:pt>
                <c:pt idx="23">
                  <c:v>58</c:v>
                </c:pt>
                <c:pt idx="24">
                  <c:v>58</c:v>
                </c:pt>
                <c:pt idx="25">
                  <c:v>58</c:v>
                </c:pt>
                <c:pt idx="26">
                  <c:v>58</c:v>
                </c:pt>
                <c:pt idx="27">
                  <c:v>58</c:v>
                </c:pt>
                <c:pt idx="28">
                  <c:v>58</c:v>
                </c:pt>
                <c:pt idx="29">
                  <c:v>58</c:v>
                </c:pt>
                <c:pt idx="30">
                  <c:v>58</c:v>
                </c:pt>
                <c:pt idx="31">
                  <c:v>58</c:v>
                </c:pt>
                <c:pt idx="32">
                  <c:v>58</c:v>
                </c:pt>
                <c:pt idx="33">
                  <c:v>58</c:v>
                </c:pt>
                <c:pt idx="34">
                  <c:v>58</c:v>
                </c:pt>
                <c:pt idx="35">
                  <c:v>58</c:v>
                </c:pt>
                <c:pt idx="36">
                  <c:v>58</c:v>
                </c:pt>
                <c:pt idx="37">
                  <c:v>58</c:v>
                </c:pt>
                <c:pt idx="38">
                  <c:v>58</c:v>
                </c:pt>
                <c:pt idx="39">
                  <c:v>58</c:v>
                </c:pt>
                <c:pt idx="40">
                  <c:v>58</c:v>
                </c:pt>
                <c:pt idx="41">
                  <c:v>56</c:v>
                </c:pt>
                <c:pt idx="42">
                  <c:v>56</c:v>
                </c:pt>
                <c:pt idx="43">
                  <c:v>60</c:v>
                </c:pt>
                <c:pt idx="44">
                  <c:v>60</c:v>
                </c:pt>
                <c:pt idx="45">
                  <c:v>65</c:v>
                </c:pt>
                <c:pt idx="46">
                  <c:v>65</c:v>
                </c:pt>
                <c:pt idx="47">
                  <c:v>70</c:v>
                </c:pt>
                <c:pt idx="48">
                  <c:v>70</c:v>
                </c:pt>
              </c:numCache>
            </c:numRef>
          </c:xVal>
          <c:yVal>
            <c:numRef>
              <c:f>'E sakazaki'!$L$2:$L$50</c:f>
              <c:numCache>
                <c:formatCode>0.00</c:formatCode>
                <c:ptCount val="49"/>
                <c:pt idx="0">
                  <c:v>-0.3010299956639812</c:v>
                </c:pt>
                <c:pt idx="1">
                  <c:v>1.7384634394619525</c:v>
                </c:pt>
                <c:pt idx="2">
                  <c:v>1.5649026725292048</c:v>
                </c:pt>
                <c:pt idx="3">
                  <c:v>1.0378247505883418</c:v>
                </c:pt>
                <c:pt idx="4">
                  <c:v>0.73639650227664244</c:v>
                </c:pt>
                <c:pt idx="5">
                  <c:v>0.48572142648158001</c:v>
                </c:pt>
                <c:pt idx="6">
                  <c:v>1.7389390312034796</c:v>
                </c:pt>
                <c:pt idx="7">
                  <c:v>1.2688119037397805</c:v>
                </c:pt>
                <c:pt idx="8">
                  <c:v>0.98900461569853682</c:v>
                </c:pt>
                <c:pt idx="9">
                  <c:v>0.98900461569853682</c:v>
                </c:pt>
                <c:pt idx="10">
                  <c:v>0.53655844257153007</c:v>
                </c:pt>
                <c:pt idx="11">
                  <c:v>0.33243845991560533</c:v>
                </c:pt>
                <c:pt idx="12">
                  <c:v>1.7387013004347098</c:v>
                </c:pt>
                <c:pt idx="13">
                  <c:v>1.3747483460101038</c:v>
                </c:pt>
                <c:pt idx="14">
                  <c:v>1.0128372247051722</c:v>
                </c:pt>
                <c:pt idx="15">
                  <c:v>0.62324929039790045</c:v>
                </c:pt>
                <c:pt idx="16">
                  <c:v>0.3979400086720376</c:v>
                </c:pt>
                <c:pt idx="17">
                  <c:v>-0.29527766677488992</c:v>
                </c:pt>
                <c:pt idx="18">
                  <c:v>-0.2938514110368578</c:v>
                </c:pt>
                <c:pt idx="19">
                  <c:v>-0.298144307426493</c:v>
                </c:pt>
                <c:pt idx="20">
                  <c:v>-0.26227740667196459</c:v>
                </c:pt>
                <c:pt idx="21">
                  <c:v>-0.27846416776523975</c:v>
                </c:pt>
                <c:pt idx="22">
                  <c:v>-0.20644241857495607</c:v>
                </c:pt>
                <c:pt idx="23">
                  <c:v>-0.25052134951230492</c:v>
                </c:pt>
                <c:pt idx="24">
                  <c:v>-0.17392519729917355</c:v>
                </c:pt>
                <c:pt idx="25">
                  <c:v>-0.27709198816589214</c:v>
                </c:pt>
                <c:pt idx="26">
                  <c:v>-0.14166335403027824</c:v>
                </c:pt>
                <c:pt idx="27">
                  <c:v>-0.10420925174955582</c:v>
                </c:pt>
                <c:pt idx="28">
                  <c:v>-9.2409511781379974E-2</c:v>
                </c:pt>
                <c:pt idx="29">
                  <c:v>0.70329137811866138</c:v>
                </c:pt>
                <c:pt idx="30">
                  <c:v>0.71669877129645032</c:v>
                </c:pt>
                <c:pt idx="31">
                  <c:v>0.74468406327688652</c:v>
                </c:pt>
                <c:pt idx="32">
                  <c:v>0.82390874094431876</c:v>
                </c:pt>
                <c:pt idx="33">
                  <c:v>0.87947818100530839</c:v>
                </c:pt>
                <c:pt idx="34">
                  <c:v>0.89963814068521741</c:v>
                </c:pt>
                <c:pt idx="35">
                  <c:v>0.94308211963363386</c:v>
                </c:pt>
                <c:pt idx="36">
                  <c:v>0.96661098668193435</c:v>
                </c:pt>
                <c:pt idx="37">
                  <c:v>0.96661098668193435</c:v>
                </c:pt>
                <c:pt idx="38">
                  <c:v>0.99137376978740699</c:v>
                </c:pt>
                <c:pt idx="39">
                  <c:v>0.94308211963363386</c:v>
                </c:pt>
                <c:pt idx="40">
                  <c:v>1.0177287669604316</c:v>
                </c:pt>
                <c:pt idx="41">
                  <c:v>1.2676018972104974</c:v>
                </c:pt>
                <c:pt idx="42">
                  <c:v>1.3767593954048798</c:v>
                </c:pt>
                <c:pt idx="43">
                  <c:v>0.59860814502123627</c:v>
                </c:pt>
                <c:pt idx="44">
                  <c:v>0.66558099101795309</c:v>
                </c:pt>
                <c:pt idx="45">
                  <c:v>-0.24667233334138852</c:v>
                </c:pt>
                <c:pt idx="46">
                  <c:v>-0.21704986673458762</c:v>
                </c:pt>
                <c:pt idx="47">
                  <c:v>-1.1983676537668335</c:v>
                </c:pt>
                <c:pt idx="48">
                  <c:v>-1.1870866433571443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8B-41A8-A2E5-E05817E0A625}"/>
            </c:ext>
          </c:extLst>
        </c:ser>
        <c:ser>
          <c:idx val="3"/>
          <c:order val="1"/>
          <c:tx>
            <c:v>Ready infant formula</c:v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'E sakazaki'!$I$51:$I$60</c:f>
              <c:numCache>
                <c:formatCode>General</c:formatCode>
                <c:ptCount val="10"/>
                <c:pt idx="0">
                  <c:v>54</c:v>
                </c:pt>
                <c:pt idx="1">
                  <c:v>56</c:v>
                </c:pt>
                <c:pt idx="2">
                  <c:v>58</c:v>
                </c:pt>
                <c:pt idx="3">
                  <c:v>60</c:v>
                </c:pt>
                <c:pt idx="4">
                  <c:v>62</c:v>
                </c:pt>
                <c:pt idx="5">
                  <c:v>54</c:v>
                </c:pt>
                <c:pt idx="6">
                  <c:v>56</c:v>
                </c:pt>
                <c:pt idx="7">
                  <c:v>58</c:v>
                </c:pt>
                <c:pt idx="8">
                  <c:v>60</c:v>
                </c:pt>
                <c:pt idx="9">
                  <c:v>62</c:v>
                </c:pt>
              </c:numCache>
            </c:numRef>
          </c:xVal>
          <c:yVal>
            <c:numRef>
              <c:f>'E sakazaki'!$L$51:$L$60</c:f>
              <c:numCache>
                <c:formatCode>0.00</c:formatCode>
                <c:ptCount val="10"/>
                <c:pt idx="0">
                  <c:v>1.2148438480476977</c:v>
                </c:pt>
                <c:pt idx="1">
                  <c:v>0.70757017609793638</c:v>
                </c:pt>
                <c:pt idx="2">
                  <c:v>0.41830129131974547</c:v>
                </c:pt>
                <c:pt idx="3">
                  <c:v>5.3078443483419682E-2</c:v>
                </c:pt>
                <c:pt idx="4">
                  <c:v>-0.55284196865778079</c:v>
                </c:pt>
                <c:pt idx="5">
                  <c:v>1.0681858617461617</c:v>
                </c:pt>
                <c:pt idx="6">
                  <c:v>0.59328606702045728</c:v>
                </c:pt>
                <c:pt idx="7">
                  <c:v>0.57518784492766106</c:v>
                </c:pt>
                <c:pt idx="8">
                  <c:v>0.26245108973042947</c:v>
                </c:pt>
                <c:pt idx="9">
                  <c:v>-0.65757731917779372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8B-41A8-A2E5-E05817E0A625}"/>
            </c:ext>
          </c:extLst>
        </c:ser>
        <c:ser>
          <c:idx val="0"/>
          <c:order val="2"/>
          <c:tx>
            <c:v>Phosphate buffer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'E sakazaki'!$I$61:$I$70</c:f>
              <c:numCache>
                <c:formatCode>General</c:formatCode>
                <c:ptCount val="10"/>
                <c:pt idx="0">
                  <c:v>53</c:v>
                </c:pt>
                <c:pt idx="1">
                  <c:v>54</c:v>
                </c:pt>
                <c:pt idx="2">
                  <c:v>56</c:v>
                </c:pt>
                <c:pt idx="3">
                  <c:v>58</c:v>
                </c:pt>
                <c:pt idx="4">
                  <c:v>53</c:v>
                </c:pt>
                <c:pt idx="5">
                  <c:v>54</c:v>
                </c:pt>
                <c:pt idx="6">
                  <c:v>56</c:v>
                </c:pt>
                <c:pt idx="7">
                  <c:v>58</c:v>
                </c:pt>
                <c:pt idx="8">
                  <c:v>58</c:v>
                </c:pt>
                <c:pt idx="9">
                  <c:v>58</c:v>
                </c:pt>
              </c:numCache>
            </c:numRef>
          </c:xVal>
          <c:yVal>
            <c:numRef>
              <c:f>'E sakazaki'!$L$61:$L$70</c:f>
              <c:numCache>
                <c:formatCode>0.00</c:formatCode>
                <c:ptCount val="10"/>
                <c:pt idx="0">
                  <c:v>1.3053513694466237</c:v>
                </c:pt>
                <c:pt idx="1">
                  <c:v>0.85125834871907524</c:v>
                </c:pt>
                <c:pt idx="2">
                  <c:v>0.38021124171160603</c:v>
                </c:pt>
                <c:pt idx="3">
                  <c:v>-0.31875876262441277</c:v>
                </c:pt>
                <c:pt idx="4">
                  <c:v>0.91907809237607396</c:v>
                </c:pt>
                <c:pt idx="5">
                  <c:v>0.80617997398388719</c:v>
                </c:pt>
                <c:pt idx="6">
                  <c:v>4.1392685158225077E-2</c:v>
                </c:pt>
                <c:pt idx="7">
                  <c:v>-0.3979400086720376</c:v>
                </c:pt>
                <c:pt idx="8">
                  <c:v>-0.46852108295774486</c:v>
                </c:pt>
                <c:pt idx="9">
                  <c:v>-0.56863623584101264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8B-41A8-A2E5-E05817E0A625}"/>
            </c:ext>
          </c:extLst>
        </c:ser>
        <c:ser>
          <c:idx val="2"/>
          <c:order val="3"/>
          <c:tx>
            <c:v>TSB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'E sakazaki'!$I$71:$I$80</c:f>
              <c:numCache>
                <c:formatCode>General</c:formatCode>
                <c:ptCount val="10"/>
                <c:pt idx="0">
                  <c:v>54</c:v>
                </c:pt>
                <c:pt idx="1">
                  <c:v>56</c:v>
                </c:pt>
                <c:pt idx="2">
                  <c:v>58</c:v>
                </c:pt>
                <c:pt idx="3">
                  <c:v>60</c:v>
                </c:pt>
                <c:pt idx="4">
                  <c:v>62</c:v>
                </c:pt>
                <c:pt idx="5">
                  <c:v>54</c:v>
                </c:pt>
                <c:pt idx="6">
                  <c:v>56</c:v>
                </c:pt>
                <c:pt idx="7">
                  <c:v>58</c:v>
                </c:pt>
                <c:pt idx="8">
                  <c:v>60</c:v>
                </c:pt>
                <c:pt idx="9">
                  <c:v>62</c:v>
                </c:pt>
              </c:numCache>
            </c:numRef>
          </c:xVal>
          <c:yVal>
            <c:numRef>
              <c:f>'E sakazaki'!$L$71:$L$80</c:f>
              <c:numCache>
                <c:formatCode>0.00</c:formatCode>
                <c:ptCount val="10"/>
                <c:pt idx="0">
                  <c:v>1.1728946977521761</c:v>
                </c:pt>
                <c:pt idx="1">
                  <c:v>0.42813479402878885</c:v>
                </c:pt>
                <c:pt idx="2">
                  <c:v>0.12057393120584989</c:v>
                </c:pt>
                <c:pt idx="3">
                  <c:v>-7.0581074285707285E-2</c:v>
                </c:pt>
                <c:pt idx="4">
                  <c:v>-0.3979400086720376</c:v>
                </c:pt>
                <c:pt idx="5">
                  <c:v>1.0090257420869102</c:v>
                </c:pt>
                <c:pt idx="6">
                  <c:v>7.9181246047624818E-2</c:v>
                </c:pt>
                <c:pt idx="7">
                  <c:v>0.21748394421390627</c:v>
                </c:pt>
                <c:pt idx="8">
                  <c:v>-0.63827216398240705</c:v>
                </c:pt>
                <c:pt idx="9">
                  <c:v>-0.63827216398240705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38B-41A8-A2E5-E05817E0A625}"/>
            </c:ext>
          </c:extLst>
        </c:ser>
        <c:ser>
          <c:idx val="8"/>
          <c:order val="4"/>
          <c:tx>
            <c:v>log D (model)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Graphsakazaki!$A$14:$A$29</c:f>
              <c:numCache>
                <c:formatCode>General</c:formatCode>
                <c:ptCount val="16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</c:numCache>
            </c:numRef>
          </c:xVal>
          <c:yVal>
            <c:numRef>
              <c:f>Graphsakazaki!$B$14:$B$29</c:f>
              <c:numCache>
                <c:formatCode>0.00</c:formatCode>
                <c:ptCount val="16"/>
                <c:pt idx="0">
                  <c:v>2.4370068245737726</c:v>
                </c:pt>
                <c:pt idx="1">
                  <c:v>1.6468811406915544</c:v>
                </c:pt>
                <c:pt idx="2">
                  <c:v>0.85675545680933585</c:v>
                </c:pt>
                <c:pt idx="3">
                  <c:v>6.662977292711747E-2</c:v>
                </c:pt>
                <c:pt idx="4">
                  <c:v>-0.72349591095510102</c:v>
                </c:pt>
                <c:pt idx="5">
                  <c:v>-1.5136215948373195</c:v>
                </c:pt>
                <c:pt idx="6">
                  <c:v>-2.3037472787195381</c:v>
                </c:pt>
                <c:pt idx="7">
                  <c:v>-3.0938729626017567</c:v>
                </c:pt>
                <c:pt idx="8">
                  <c:v>-3.8839986464839749</c:v>
                </c:pt>
                <c:pt idx="9">
                  <c:v>-4.6741243303661939</c:v>
                </c:pt>
                <c:pt idx="10">
                  <c:v>-5.4642500142484121</c:v>
                </c:pt>
                <c:pt idx="11">
                  <c:v>-6.2543756981306302</c:v>
                </c:pt>
                <c:pt idx="12">
                  <c:v>-7.0445013820128484</c:v>
                </c:pt>
                <c:pt idx="13">
                  <c:v>-7.8346270658950674</c:v>
                </c:pt>
                <c:pt idx="14">
                  <c:v>-8.6247527497772865</c:v>
                </c:pt>
                <c:pt idx="15">
                  <c:v>-9.4148784336595028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38B-41A8-A2E5-E05817E0A625}"/>
            </c:ext>
          </c:extLst>
        </c:ser>
        <c:ser>
          <c:idx val="9"/>
          <c:order val="5"/>
          <c:tx>
            <c:v>95% cfi</c:v>
          </c:tx>
          <c:spPr>
            <a:ln w="25400">
              <a:solidFill>
                <a:srgbClr val="000080"/>
              </a:solidFill>
              <a:prstDash val="lgDash"/>
            </a:ln>
          </c:spPr>
          <c:marker>
            <c:symbol val="none"/>
          </c:marker>
          <c:xVal>
            <c:numRef>
              <c:f>Graphsakazaki!$A$14:$A$29</c:f>
              <c:numCache>
                <c:formatCode>General</c:formatCode>
                <c:ptCount val="16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</c:numCache>
            </c:numRef>
          </c:xVal>
          <c:yVal>
            <c:numRef>
              <c:f>Graphsakazaki!$C$14:$C$29</c:f>
              <c:numCache>
                <c:formatCode>0.00</c:formatCode>
                <c:ptCount val="16"/>
                <c:pt idx="0">
                  <c:v>3.3781056734925747</c:v>
                </c:pt>
                <c:pt idx="1">
                  <c:v>2.5879799896103566</c:v>
                </c:pt>
                <c:pt idx="2">
                  <c:v>1.797854305728138</c:v>
                </c:pt>
                <c:pt idx="3">
                  <c:v>1.0077286218459198</c:v>
                </c:pt>
                <c:pt idx="4">
                  <c:v>0.21760293796370123</c:v>
                </c:pt>
                <c:pt idx="5">
                  <c:v>-0.57252274591851726</c:v>
                </c:pt>
                <c:pt idx="6">
                  <c:v>-1.362648429800736</c:v>
                </c:pt>
                <c:pt idx="7">
                  <c:v>-2.1527741136829546</c:v>
                </c:pt>
                <c:pt idx="8">
                  <c:v>-2.9428997975651727</c:v>
                </c:pt>
                <c:pt idx="9">
                  <c:v>-3.7330254814473918</c:v>
                </c:pt>
                <c:pt idx="10">
                  <c:v>-4.5231511653296099</c:v>
                </c:pt>
                <c:pt idx="11">
                  <c:v>-5.3132768492118281</c:v>
                </c:pt>
                <c:pt idx="12">
                  <c:v>-6.1034025330940462</c:v>
                </c:pt>
                <c:pt idx="13">
                  <c:v>-6.8935282169762653</c:v>
                </c:pt>
                <c:pt idx="14">
                  <c:v>-7.6836539008584843</c:v>
                </c:pt>
                <c:pt idx="15">
                  <c:v>-8.4737795847407007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38B-41A8-A2E5-E05817E0A6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839528"/>
        <c:axId val="1"/>
      </c:scatterChart>
      <c:valAx>
        <c:axId val="488839528"/>
        <c:scaling>
          <c:orientation val="minMax"/>
          <c:max val="70"/>
          <c:min val="50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1825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T (</a:t>
                </a:r>
                <a:r>
                  <a:rPr lang="nl-NL" sz="1825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°</a:t>
                </a:r>
                <a:r>
                  <a:rPr lang="nl-NL" sz="1825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C)</a:t>
                </a:r>
              </a:p>
            </c:rich>
          </c:tx>
          <c:layout>
            <c:manualLayout>
              <c:xMode val="edge"/>
              <c:yMode val="edge"/>
              <c:x val="0.39290839708866176"/>
              <c:y val="0.9019624311666922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-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Log D (log min)</a:t>
                </a:r>
              </a:p>
            </c:rich>
          </c:tx>
          <c:layout>
            <c:manualLayout>
              <c:xMode val="edge"/>
              <c:yMode val="edge"/>
              <c:x val="7.0921985815602835E-3"/>
              <c:y val="0.2568631568112809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8883952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524912045568763"/>
          <c:y val="0.28431434306005871"/>
          <c:w val="0.32482314178812755"/>
          <c:h val="0.6823541763161957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Strains</a:t>
            </a:r>
          </a:p>
        </c:rich>
      </c:tx>
      <c:layout>
        <c:manualLayout>
          <c:xMode val="edge"/>
          <c:yMode val="edge"/>
          <c:x val="0.44247849549779728"/>
          <c:y val="3.291139240506329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781733645795373"/>
          <c:y val="0.14936708860759493"/>
          <c:w val="0.69469126609061882"/>
          <c:h val="0.69873417721518982"/>
        </c:manualLayout>
      </c:layout>
      <c:scatterChart>
        <c:scatterStyle val="lineMarker"/>
        <c:varyColors val="0"/>
        <c:ser>
          <c:idx val="0"/>
          <c:order val="0"/>
          <c:tx>
            <c:v>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Bacillus!$I$2:$I$36</c:f>
              <c:numCache>
                <c:formatCode>General</c:formatCode>
                <c:ptCount val="35"/>
                <c:pt idx="0">
                  <c:v>95</c:v>
                </c:pt>
                <c:pt idx="1">
                  <c:v>95</c:v>
                </c:pt>
                <c:pt idx="2">
                  <c:v>100</c:v>
                </c:pt>
                <c:pt idx="3">
                  <c:v>100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90</c:v>
                </c:pt>
                <c:pt idx="9">
                  <c:v>97.5</c:v>
                </c:pt>
                <c:pt idx="10">
                  <c:v>90</c:v>
                </c:pt>
                <c:pt idx="11">
                  <c:v>95</c:v>
                </c:pt>
                <c:pt idx="12">
                  <c:v>97.5</c:v>
                </c:pt>
                <c:pt idx="13">
                  <c:v>100</c:v>
                </c:pt>
                <c:pt idx="14">
                  <c:v>90</c:v>
                </c:pt>
                <c:pt idx="15">
                  <c:v>95</c:v>
                </c:pt>
                <c:pt idx="16">
                  <c:v>97.5</c:v>
                </c:pt>
                <c:pt idx="17">
                  <c:v>100</c:v>
                </c:pt>
                <c:pt idx="18">
                  <c:v>95</c:v>
                </c:pt>
                <c:pt idx="19">
                  <c:v>97.5</c:v>
                </c:pt>
                <c:pt idx="20">
                  <c:v>100</c:v>
                </c:pt>
                <c:pt idx="21">
                  <c:v>100</c:v>
                </c:pt>
                <c:pt idx="22">
                  <c:v>115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95</c:v>
                </c:pt>
                <c:pt idx="28">
                  <c:v>95</c:v>
                </c:pt>
                <c:pt idx="29">
                  <c:v>85</c:v>
                </c:pt>
                <c:pt idx="30">
                  <c:v>85</c:v>
                </c:pt>
                <c:pt idx="31">
                  <c:v>90</c:v>
                </c:pt>
                <c:pt idx="32">
                  <c:v>90</c:v>
                </c:pt>
                <c:pt idx="33">
                  <c:v>95</c:v>
                </c:pt>
                <c:pt idx="34">
                  <c:v>95</c:v>
                </c:pt>
              </c:numCache>
            </c:numRef>
          </c:xVal>
          <c:yVal>
            <c:numRef>
              <c:f>Bacillus!$L$2:$L$36</c:f>
              <c:numCache>
                <c:formatCode>0.00</c:formatCode>
                <c:ptCount val="35"/>
                <c:pt idx="0">
                  <c:v>0.46239799789895608</c:v>
                </c:pt>
                <c:pt idx="1">
                  <c:v>1.5587085705331658</c:v>
                </c:pt>
                <c:pt idx="2">
                  <c:v>0.79934054945358168</c:v>
                </c:pt>
                <c:pt idx="3">
                  <c:v>0.62324929039790045</c:v>
                </c:pt>
                <c:pt idx="4">
                  <c:v>0.47712125471966244</c:v>
                </c:pt>
                <c:pt idx="5">
                  <c:v>0.25527250510330607</c:v>
                </c:pt>
                <c:pt idx="6">
                  <c:v>1.2810333672477277</c:v>
                </c:pt>
                <c:pt idx="7">
                  <c:v>0.43136376415898736</c:v>
                </c:pt>
                <c:pt idx="8">
                  <c:v>1.0374264979406236</c:v>
                </c:pt>
                <c:pt idx="9">
                  <c:v>0.11394335230683679</c:v>
                </c:pt>
                <c:pt idx="10">
                  <c:v>1.6434526764861874</c:v>
                </c:pt>
                <c:pt idx="11">
                  <c:v>0.96848294855393513</c:v>
                </c:pt>
                <c:pt idx="12">
                  <c:v>0.82607480270082645</c:v>
                </c:pt>
                <c:pt idx="13">
                  <c:v>0.46239799789895608</c:v>
                </c:pt>
                <c:pt idx="14">
                  <c:v>1.3521825181113625</c:v>
                </c:pt>
                <c:pt idx="15">
                  <c:v>0.77085201164214423</c:v>
                </c:pt>
                <c:pt idx="16">
                  <c:v>0.43136376415898736</c:v>
                </c:pt>
                <c:pt idx="17">
                  <c:v>0.20411998265592479</c:v>
                </c:pt>
                <c:pt idx="18">
                  <c:v>1.1846914308175989</c:v>
                </c:pt>
                <c:pt idx="19">
                  <c:v>0.91381385238371671</c:v>
                </c:pt>
                <c:pt idx="20">
                  <c:v>0.62324929039790045</c:v>
                </c:pt>
                <c:pt idx="21">
                  <c:v>0.74036268949424389</c:v>
                </c:pt>
                <c:pt idx="22">
                  <c:v>-0.88605664769316317</c:v>
                </c:pt>
                <c:pt idx="23">
                  <c:v>1.209515014542631</c:v>
                </c:pt>
                <c:pt idx="24">
                  <c:v>1.2944662261615929</c:v>
                </c:pt>
                <c:pt idx="25">
                  <c:v>1.3802112417116059</c:v>
                </c:pt>
                <c:pt idx="26">
                  <c:v>1.5587085705331658</c:v>
                </c:pt>
                <c:pt idx="27">
                  <c:v>0.17609125905568124</c:v>
                </c:pt>
                <c:pt idx="28">
                  <c:v>0.97772360528884772</c:v>
                </c:pt>
                <c:pt idx="29">
                  <c:v>1.2041199826559248</c:v>
                </c:pt>
                <c:pt idx="30">
                  <c:v>1.2304489213782739</c:v>
                </c:pt>
                <c:pt idx="31">
                  <c:v>0.59106460702649921</c:v>
                </c:pt>
                <c:pt idx="32">
                  <c:v>0.61278385671973545</c:v>
                </c:pt>
                <c:pt idx="33">
                  <c:v>-2.6872146400301365E-2</c:v>
                </c:pt>
                <c:pt idx="34">
                  <c:v>-8.7739243075051505E-3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C3-421E-858C-DFED7D4F88AE}"/>
            </c:ext>
          </c:extLst>
        </c:ser>
        <c:ser>
          <c:idx val="1"/>
          <c:order val="1"/>
          <c:tx>
            <c:v>2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Bacillus!$I$37:$I$37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Ref>
              <c:f>Bacillus!$L$37:$L$37</c:f>
              <c:numCache>
                <c:formatCode>0.00</c:formatCode>
                <c:ptCount val="1"/>
                <c:pt idx="0">
                  <c:v>-0.65757731917779372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C3-421E-858C-DFED7D4F88AE}"/>
            </c:ext>
          </c:extLst>
        </c:ser>
        <c:ser>
          <c:idx val="2"/>
          <c:order val="2"/>
          <c:tx>
            <c:v>10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Bacillus!$I$38:$I$39</c:f>
              <c:numCache>
                <c:formatCode>General</c:formatCode>
                <c:ptCount val="2"/>
                <c:pt idx="0">
                  <c:v>100</c:v>
                </c:pt>
                <c:pt idx="1">
                  <c:v>90</c:v>
                </c:pt>
              </c:numCache>
            </c:numRef>
          </c:xVal>
          <c:yVal>
            <c:numRef>
              <c:f>Bacillus!$L$38:$L$39</c:f>
              <c:numCache>
                <c:formatCode>0.00</c:formatCode>
                <c:ptCount val="2"/>
                <c:pt idx="0">
                  <c:v>-0.65757731917779372</c:v>
                </c:pt>
                <c:pt idx="1">
                  <c:v>0.49136169383427269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3C3-421E-858C-DFED7D4F88AE}"/>
            </c:ext>
          </c:extLst>
        </c:ser>
        <c:ser>
          <c:idx val="3"/>
          <c:order val="3"/>
          <c:tx>
            <c:v>15</c:v>
          </c:tx>
          <c:spPr>
            <a:ln w="28575"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Bacillus!$I$40:$I$41</c:f>
              <c:numCache>
                <c:formatCode>General</c:formatCode>
                <c:ptCount val="2"/>
                <c:pt idx="0">
                  <c:v>90</c:v>
                </c:pt>
                <c:pt idx="1">
                  <c:v>90</c:v>
                </c:pt>
              </c:numCache>
            </c:numRef>
          </c:xVal>
          <c:yVal>
            <c:numRef>
              <c:f>Bacillus!$L$40:$L$41</c:f>
              <c:numCache>
                <c:formatCode>0.00</c:formatCode>
                <c:ptCount val="2"/>
                <c:pt idx="0">
                  <c:v>0.54406804435027567</c:v>
                </c:pt>
                <c:pt idx="1">
                  <c:v>0.59106460702649921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3C3-421E-858C-DFED7D4F88AE}"/>
            </c:ext>
          </c:extLst>
        </c:ser>
        <c:ser>
          <c:idx val="4"/>
          <c:order val="4"/>
          <c:tx>
            <c:v>4342</c:v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Bacillus!$I$42:$I$148</c:f>
              <c:numCache>
                <c:formatCode>General</c:formatCode>
                <c:ptCount val="107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95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95</c:v>
                </c:pt>
                <c:pt idx="9">
                  <c:v>90</c:v>
                </c:pt>
                <c:pt idx="10">
                  <c:v>95</c:v>
                </c:pt>
                <c:pt idx="11">
                  <c:v>95</c:v>
                </c:pt>
                <c:pt idx="12">
                  <c:v>97.5</c:v>
                </c:pt>
                <c:pt idx="13">
                  <c:v>100</c:v>
                </c:pt>
                <c:pt idx="14">
                  <c:v>100</c:v>
                </c:pt>
                <c:pt idx="15">
                  <c:v>102.5</c:v>
                </c:pt>
                <c:pt idx="16">
                  <c:v>105</c:v>
                </c:pt>
                <c:pt idx="17">
                  <c:v>105</c:v>
                </c:pt>
                <c:pt idx="18">
                  <c:v>95</c:v>
                </c:pt>
                <c:pt idx="19">
                  <c:v>95</c:v>
                </c:pt>
                <c:pt idx="20">
                  <c:v>98</c:v>
                </c:pt>
                <c:pt idx="21">
                  <c:v>100</c:v>
                </c:pt>
                <c:pt idx="22">
                  <c:v>106</c:v>
                </c:pt>
                <c:pt idx="23">
                  <c:v>110</c:v>
                </c:pt>
                <c:pt idx="24">
                  <c:v>92</c:v>
                </c:pt>
                <c:pt idx="25">
                  <c:v>96</c:v>
                </c:pt>
                <c:pt idx="26">
                  <c:v>100</c:v>
                </c:pt>
                <c:pt idx="27">
                  <c:v>106</c:v>
                </c:pt>
                <c:pt idx="28">
                  <c:v>100</c:v>
                </c:pt>
                <c:pt idx="29">
                  <c:v>103</c:v>
                </c:pt>
                <c:pt idx="30">
                  <c:v>110</c:v>
                </c:pt>
                <c:pt idx="31">
                  <c:v>115</c:v>
                </c:pt>
                <c:pt idx="32">
                  <c:v>98</c:v>
                </c:pt>
                <c:pt idx="33">
                  <c:v>100</c:v>
                </c:pt>
                <c:pt idx="34">
                  <c:v>106</c:v>
                </c:pt>
                <c:pt idx="35">
                  <c:v>110</c:v>
                </c:pt>
                <c:pt idx="36">
                  <c:v>92</c:v>
                </c:pt>
                <c:pt idx="37">
                  <c:v>96</c:v>
                </c:pt>
                <c:pt idx="38">
                  <c:v>100</c:v>
                </c:pt>
                <c:pt idx="39">
                  <c:v>106</c:v>
                </c:pt>
                <c:pt idx="40">
                  <c:v>100</c:v>
                </c:pt>
                <c:pt idx="41">
                  <c:v>103</c:v>
                </c:pt>
                <c:pt idx="42">
                  <c:v>110</c:v>
                </c:pt>
                <c:pt idx="43">
                  <c:v>115</c:v>
                </c:pt>
                <c:pt idx="44">
                  <c:v>100</c:v>
                </c:pt>
                <c:pt idx="45">
                  <c:v>106</c:v>
                </c:pt>
                <c:pt idx="46">
                  <c:v>110</c:v>
                </c:pt>
                <c:pt idx="47">
                  <c:v>115</c:v>
                </c:pt>
                <c:pt idx="48">
                  <c:v>96</c:v>
                </c:pt>
                <c:pt idx="49">
                  <c:v>100</c:v>
                </c:pt>
                <c:pt idx="50">
                  <c:v>106</c:v>
                </c:pt>
                <c:pt idx="51">
                  <c:v>110</c:v>
                </c:pt>
                <c:pt idx="52">
                  <c:v>103</c:v>
                </c:pt>
                <c:pt idx="53">
                  <c:v>110</c:v>
                </c:pt>
                <c:pt idx="54">
                  <c:v>115</c:v>
                </c:pt>
                <c:pt idx="55">
                  <c:v>120</c:v>
                </c:pt>
                <c:pt idx="56">
                  <c:v>100</c:v>
                </c:pt>
                <c:pt idx="57">
                  <c:v>106</c:v>
                </c:pt>
                <c:pt idx="58">
                  <c:v>110</c:v>
                </c:pt>
                <c:pt idx="59">
                  <c:v>115</c:v>
                </c:pt>
                <c:pt idx="60">
                  <c:v>100</c:v>
                </c:pt>
                <c:pt idx="61">
                  <c:v>106</c:v>
                </c:pt>
                <c:pt idx="62">
                  <c:v>110</c:v>
                </c:pt>
                <c:pt idx="63">
                  <c:v>115</c:v>
                </c:pt>
                <c:pt idx="64">
                  <c:v>98</c:v>
                </c:pt>
                <c:pt idx="65">
                  <c:v>100</c:v>
                </c:pt>
                <c:pt idx="66">
                  <c:v>106</c:v>
                </c:pt>
                <c:pt idx="67">
                  <c:v>110</c:v>
                </c:pt>
                <c:pt idx="68">
                  <c:v>92</c:v>
                </c:pt>
                <c:pt idx="69">
                  <c:v>96</c:v>
                </c:pt>
                <c:pt idx="70">
                  <c:v>100</c:v>
                </c:pt>
                <c:pt idx="71">
                  <c:v>103</c:v>
                </c:pt>
                <c:pt idx="72">
                  <c:v>106</c:v>
                </c:pt>
                <c:pt idx="73">
                  <c:v>100</c:v>
                </c:pt>
                <c:pt idx="74">
                  <c:v>103</c:v>
                </c:pt>
                <c:pt idx="75">
                  <c:v>110</c:v>
                </c:pt>
                <c:pt idx="76">
                  <c:v>115</c:v>
                </c:pt>
                <c:pt idx="77">
                  <c:v>98</c:v>
                </c:pt>
                <c:pt idx="78">
                  <c:v>100</c:v>
                </c:pt>
                <c:pt idx="79">
                  <c:v>106</c:v>
                </c:pt>
                <c:pt idx="80">
                  <c:v>110</c:v>
                </c:pt>
                <c:pt idx="81">
                  <c:v>92</c:v>
                </c:pt>
                <c:pt idx="82">
                  <c:v>96</c:v>
                </c:pt>
                <c:pt idx="83">
                  <c:v>100</c:v>
                </c:pt>
                <c:pt idx="84">
                  <c:v>106</c:v>
                </c:pt>
                <c:pt idx="85">
                  <c:v>100</c:v>
                </c:pt>
                <c:pt idx="86">
                  <c:v>103</c:v>
                </c:pt>
                <c:pt idx="87">
                  <c:v>110</c:v>
                </c:pt>
                <c:pt idx="88">
                  <c:v>115</c:v>
                </c:pt>
                <c:pt idx="89">
                  <c:v>98</c:v>
                </c:pt>
                <c:pt idx="90">
                  <c:v>100</c:v>
                </c:pt>
                <c:pt idx="91">
                  <c:v>106</c:v>
                </c:pt>
                <c:pt idx="92">
                  <c:v>110</c:v>
                </c:pt>
                <c:pt idx="93">
                  <c:v>115</c:v>
                </c:pt>
                <c:pt idx="94">
                  <c:v>96</c:v>
                </c:pt>
                <c:pt idx="95">
                  <c:v>100</c:v>
                </c:pt>
                <c:pt idx="96">
                  <c:v>103</c:v>
                </c:pt>
                <c:pt idx="97">
                  <c:v>106</c:v>
                </c:pt>
                <c:pt idx="98">
                  <c:v>100</c:v>
                </c:pt>
                <c:pt idx="99">
                  <c:v>103</c:v>
                </c:pt>
                <c:pt idx="100">
                  <c:v>110</c:v>
                </c:pt>
                <c:pt idx="101">
                  <c:v>115</c:v>
                </c:pt>
                <c:pt idx="102">
                  <c:v>98</c:v>
                </c:pt>
                <c:pt idx="103">
                  <c:v>100</c:v>
                </c:pt>
                <c:pt idx="104">
                  <c:v>106</c:v>
                </c:pt>
                <c:pt idx="105">
                  <c:v>110</c:v>
                </c:pt>
                <c:pt idx="106">
                  <c:v>92</c:v>
                </c:pt>
              </c:numCache>
            </c:numRef>
          </c:xVal>
          <c:yVal>
            <c:numRef>
              <c:f>Bacillus!$L$42:$L$148</c:f>
              <c:numCache>
                <c:formatCode>0.00</c:formatCode>
                <c:ptCount val="107"/>
                <c:pt idx="0">
                  <c:v>0.66275783168157409</c:v>
                </c:pt>
                <c:pt idx="1">
                  <c:v>0.67209785793571752</c:v>
                </c:pt>
                <c:pt idx="2">
                  <c:v>0.69897000433601886</c:v>
                </c:pt>
                <c:pt idx="3">
                  <c:v>-0.35654732351381258</c:v>
                </c:pt>
                <c:pt idx="4">
                  <c:v>-0.33724216831842591</c:v>
                </c:pt>
                <c:pt idx="5">
                  <c:v>-0.20760831050174613</c:v>
                </c:pt>
                <c:pt idx="6">
                  <c:v>-0.18045606445813131</c:v>
                </c:pt>
                <c:pt idx="7">
                  <c:v>4.1392685158225077E-2</c:v>
                </c:pt>
                <c:pt idx="8">
                  <c:v>6.8185861746161619E-2</c:v>
                </c:pt>
                <c:pt idx="9">
                  <c:v>1.6020599913279623</c:v>
                </c:pt>
                <c:pt idx="10">
                  <c:v>1.0413926851582251</c:v>
                </c:pt>
                <c:pt idx="11">
                  <c:v>1.146128035678238</c:v>
                </c:pt>
                <c:pt idx="12">
                  <c:v>0.77085201164214423</c:v>
                </c:pt>
                <c:pt idx="13">
                  <c:v>0.3979400086720376</c:v>
                </c:pt>
                <c:pt idx="14">
                  <c:v>0.3979400086720376</c:v>
                </c:pt>
                <c:pt idx="15">
                  <c:v>0.17609125905568124</c:v>
                </c:pt>
                <c:pt idx="16">
                  <c:v>-0.22184874961635639</c:v>
                </c:pt>
                <c:pt idx="17">
                  <c:v>-0.11918640771920865</c:v>
                </c:pt>
                <c:pt idx="18">
                  <c:v>1.5563025007672873</c:v>
                </c:pt>
                <c:pt idx="19">
                  <c:v>1.5563025007672873</c:v>
                </c:pt>
                <c:pt idx="20">
                  <c:v>7.9181246047624818E-2</c:v>
                </c:pt>
                <c:pt idx="21">
                  <c:v>-0.17392519729917355</c:v>
                </c:pt>
                <c:pt idx="22">
                  <c:v>-0.88605664769316317</c:v>
                </c:pt>
                <c:pt idx="23">
                  <c:v>-1.3467874862246563</c:v>
                </c:pt>
                <c:pt idx="24">
                  <c:v>0.39269695325966575</c:v>
                </c:pt>
                <c:pt idx="25">
                  <c:v>-4.5757490560675115E-2</c:v>
                </c:pt>
                <c:pt idx="26">
                  <c:v>-0.65757731917779372</c:v>
                </c:pt>
                <c:pt idx="27">
                  <c:v>-1.2924298239020637</c:v>
                </c:pt>
                <c:pt idx="28">
                  <c:v>0.54406804435027567</c:v>
                </c:pt>
                <c:pt idx="29">
                  <c:v>0.21218760440395779</c:v>
                </c:pt>
                <c:pt idx="30">
                  <c:v>-0.48148606012211248</c:v>
                </c:pt>
                <c:pt idx="31">
                  <c:v>-0.95860731484177497</c:v>
                </c:pt>
                <c:pt idx="32">
                  <c:v>0.31806333496276157</c:v>
                </c:pt>
                <c:pt idx="33">
                  <c:v>0.14301480025409505</c:v>
                </c:pt>
                <c:pt idx="34">
                  <c:v>-0.65757731917779372</c:v>
                </c:pt>
                <c:pt idx="35">
                  <c:v>-1.0087739243075051</c:v>
                </c:pt>
                <c:pt idx="36">
                  <c:v>0.72263392253381231</c:v>
                </c:pt>
                <c:pt idx="37">
                  <c:v>7.9181246047624818E-2</c:v>
                </c:pt>
                <c:pt idx="38">
                  <c:v>-0.35654732351381258</c:v>
                </c:pt>
                <c:pt idx="39">
                  <c:v>-0.95860731484177497</c:v>
                </c:pt>
                <c:pt idx="40">
                  <c:v>0.56229286445647475</c:v>
                </c:pt>
                <c:pt idx="41">
                  <c:v>0.32014628611105395</c:v>
                </c:pt>
                <c:pt idx="42">
                  <c:v>-0.37675070960209955</c:v>
                </c:pt>
                <c:pt idx="43">
                  <c:v>-0.92081875395237522</c:v>
                </c:pt>
                <c:pt idx="44">
                  <c:v>0.75663610824584804</c:v>
                </c:pt>
                <c:pt idx="45">
                  <c:v>7.554696139253074E-2</c:v>
                </c:pt>
                <c:pt idx="46">
                  <c:v>-0.46852108295774486</c:v>
                </c:pt>
                <c:pt idx="47">
                  <c:v>-1.1023729087095586</c:v>
                </c:pt>
                <c:pt idx="48">
                  <c:v>0.78746047451841505</c:v>
                </c:pt>
                <c:pt idx="49">
                  <c:v>0.33645973384852951</c:v>
                </c:pt>
                <c:pt idx="50">
                  <c:v>-0.29242982390206362</c:v>
                </c:pt>
                <c:pt idx="51">
                  <c:v>-0.769551078621726</c:v>
                </c:pt>
                <c:pt idx="52">
                  <c:v>1.1687920203141817</c:v>
                </c:pt>
                <c:pt idx="53">
                  <c:v>0.44404479591807622</c:v>
                </c:pt>
                <c:pt idx="54">
                  <c:v>5.3078443483419682E-2</c:v>
                </c:pt>
                <c:pt idx="55">
                  <c:v>-0.53760200210104392</c:v>
                </c:pt>
                <c:pt idx="56">
                  <c:v>1.3304137733491908</c:v>
                </c:pt>
                <c:pt idx="57">
                  <c:v>0.60852603357719404</c:v>
                </c:pt>
                <c:pt idx="58">
                  <c:v>2.5305865264770262E-2</c:v>
                </c:pt>
                <c:pt idx="59">
                  <c:v>-0.58502665202918203</c:v>
                </c:pt>
                <c:pt idx="60">
                  <c:v>1.0390173219974119</c:v>
                </c:pt>
                <c:pt idx="61">
                  <c:v>0.44247976906444858</c:v>
                </c:pt>
                <c:pt idx="62">
                  <c:v>-4.0958607678906384E-2</c:v>
                </c:pt>
                <c:pt idx="63">
                  <c:v>-0.69897000433601875</c:v>
                </c:pt>
                <c:pt idx="64">
                  <c:v>0.22010808804005508</c:v>
                </c:pt>
                <c:pt idx="65">
                  <c:v>-0.10790539730951958</c:v>
                </c:pt>
                <c:pt idx="66">
                  <c:v>-0.74472749489669399</c:v>
                </c:pt>
                <c:pt idx="67">
                  <c:v>-1.1674910872937636</c:v>
                </c:pt>
                <c:pt idx="68">
                  <c:v>0.64048143697042181</c:v>
                </c:pt>
                <c:pt idx="69">
                  <c:v>0.30963016742589877</c:v>
                </c:pt>
                <c:pt idx="70">
                  <c:v>-0.33724216831842591</c:v>
                </c:pt>
                <c:pt idx="71">
                  <c:v>-0.49485002168009401</c:v>
                </c:pt>
                <c:pt idx="72">
                  <c:v>-0.88605664769316317</c:v>
                </c:pt>
                <c:pt idx="73">
                  <c:v>0.90145832139611237</c:v>
                </c:pt>
                <c:pt idx="74">
                  <c:v>0.66275783168157409</c:v>
                </c:pt>
                <c:pt idx="75">
                  <c:v>-0.14874165128092473</c:v>
                </c:pt>
                <c:pt idx="76">
                  <c:v>-0.65757731917779372</c:v>
                </c:pt>
                <c:pt idx="77">
                  <c:v>0.18752072083646307</c:v>
                </c:pt>
                <c:pt idx="78">
                  <c:v>-7.5720713938118356E-2</c:v>
                </c:pt>
                <c:pt idx="79">
                  <c:v>-0.769551078621726</c:v>
                </c:pt>
                <c:pt idx="80">
                  <c:v>-1.1135092748275182</c:v>
                </c:pt>
                <c:pt idx="81">
                  <c:v>0.61700034112089897</c:v>
                </c:pt>
                <c:pt idx="82">
                  <c:v>0.23044892137827391</c:v>
                </c:pt>
                <c:pt idx="83">
                  <c:v>-0.35654732351381258</c:v>
                </c:pt>
                <c:pt idx="84">
                  <c:v>-0.88605664769316317</c:v>
                </c:pt>
                <c:pt idx="85">
                  <c:v>0.91539983521226986</c:v>
                </c:pt>
                <c:pt idx="86">
                  <c:v>0.62428209583566829</c:v>
                </c:pt>
                <c:pt idx="87">
                  <c:v>-0.10237290870955855</c:v>
                </c:pt>
                <c:pt idx="88">
                  <c:v>-0.46852108295774486</c:v>
                </c:pt>
                <c:pt idx="89">
                  <c:v>0.51188336097887432</c:v>
                </c:pt>
                <c:pt idx="90">
                  <c:v>0.20682587603184974</c:v>
                </c:pt>
                <c:pt idx="91">
                  <c:v>-0.35654732351381258</c:v>
                </c:pt>
                <c:pt idx="92">
                  <c:v>-0.65757731917779372</c:v>
                </c:pt>
                <c:pt idx="93">
                  <c:v>-1.1135092748275182</c:v>
                </c:pt>
                <c:pt idx="94">
                  <c:v>2.1189299069938092E-2</c:v>
                </c:pt>
                <c:pt idx="95">
                  <c:v>-0.26760624017703144</c:v>
                </c:pt>
                <c:pt idx="96">
                  <c:v>-0.56863623584101264</c:v>
                </c:pt>
                <c:pt idx="97">
                  <c:v>-0.82390874094431876</c:v>
                </c:pt>
                <c:pt idx="98">
                  <c:v>0.90848501887864974</c:v>
                </c:pt>
                <c:pt idx="99">
                  <c:v>0.59879050676311507</c:v>
                </c:pt>
                <c:pt idx="100">
                  <c:v>-3.6212172654444715E-2</c:v>
                </c:pt>
                <c:pt idx="101">
                  <c:v>-0.45593195564972439</c:v>
                </c:pt>
                <c:pt idx="102">
                  <c:v>0.65801139665711239</c:v>
                </c:pt>
                <c:pt idx="103">
                  <c:v>0.35793484700045375</c:v>
                </c:pt>
                <c:pt idx="104">
                  <c:v>-0.32790214206428259</c:v>
                </c:pt>
                <c:pt idx="105">
                  <c:v>-0.82390874094431876</c:v>
                </c:pt>
                <c:pt idx="106">
                  <c:v>0.5158738437116791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3C3-421E-858C-DFED7D4F88AE}"/>
            </c:ext>
          </c:extLst>
        </c:ser>
        <c:ser>
          <c:idx val="5"/>
          <c:order val="5"/>
          <c:tx>
            <c:v>7004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Bacillus!$I$149:$I$244</c:f>
              <c:numCache>
                <c:formatCode>General</c:formatCode>
                <c:ptCount val="96"/>
                <c:pt idx="0">
                  <c:v>96</c:v>
                </c:pt>
                <c:pt idx="1">
                  <c:v>100</c:v>
                </c:pt>
                <c:pt idx="2">
                  <c:v>106</c:v>
                </c:pt>
                <c:pt idx="3">
                  <c:v>100</c:v>
                </c:pt>
                <c:pt idx="4">
                  <c:v>103</c:v>
                </c:pt>
                <c:pt idx="5">
                  <c:v>110</c:v>
                </c:pt>
                <c:pt idx="6">
                  <c:v>115</c:v>
                </c:pt>
                <c:pt idx="7">
                  <c:v>98</c:v>
                </c:pt>
                <c:pt idx="8">
                  <c:v>100</c:v>
                </c:pt>
                <c:pt idx="9">
                  <c:v>106</c:v>
                </c:pt>
                <c:pt idx="10">
                  <c:v>110</c:v>
                </c:pt>
                <c:pt idx="11">
                  <c:v>92</c:v>
                </c:pt>
                <c:pt idx="12">
                  <c:v>96</c:v>
                </c:pt>
                <c:pt idx="13">
                  <c:v>100</c:v>
                </c:pt>
                <c:pt idx="14">
                  <c:v>106</c:v>
                </c:pt>
                <c:pt idx="15">
                  <c:v>100</c:v>
                </c:pt>
                <c:pt idx="16">
                  <c:v>103</c:v>
                </c:pt>
                <c:pt idx="17">
                  <c:v>110</c:v>
                </c:pt>
                <c:pt idx="18">
                  <c:v>115</c:v>
                </c:pt>
                <c:pt idx="19">
                  <c:v>98</c:v>
                </c:pt>
                <c:pt idx="20">
                  <c:v>100</c:v>
                </c:pt>
                <c:pt idx="21">
                  <c:v>106</c:v>
                </c:pt>
                <c:pt idx="22">
                  <c:v>110</c:v>
                </c:pt>
                <c:pt idx="23">
                  <c:v>92</c:v>
                </c:pt>
                <c:pt idx="24">
                  <c:v>96</c:v>
                </c:pt>
                <c:pt idx="25">
                  <c:v>100</c:v>
                </c:pt>
                <c:pt idx="26">
                  <c:v>106</c:v>
                </c:pt>
                <c:pt idx="27">
                  <c:v>110</c:v>
                </c:pt>
                <c:pt idx="28">
                  <c:v>100</c:v>
                </c:pt>
                <c:pt idx="29">
                  <c:v>103</c:v>
                </c:pt>
                <c:pt idx="30">
                  <c:v>110</c:v>
                </c:pt>
                <c:pt idx="31">
                  <c:v>115</c:v>
                </c:pt>
                <c:pt idx="32">
                  <c:v>98</c:v>
                </c:pt>
                <c:pt idx="33">
                  <c:v>100</c:v>
                </c:pt>
                <c:pt idx="34">
                  <c:v>106</c:v>
                </c:pt>
                <c:pt idx="35">
                  <c:v>110</c:v>
                </c:pt>
                <c:pt idx="36">
                  <c:v>92</c:v>
                </c:pt>
                <c:pt idx="37">
                  <c:v>96</c:v>
                </c:pt>
                <c:pt idx="38">
                  <c:v>100</c:v>
                </c:pt>
                <c:pt idx="39">
                  <c:v>106</c:v>
                </c:pt>
                <c:pt idx="40">
                  <c:v>110</c:v>
                </c:pt>
                <c:pt idx="41">
                  <c:v>100</c:v>
                </c:pt>
                <c:pt idx="42">
                  <c:v>103</c:v>
                </c:pt>
                <c:pt idx="43">
                  <c:v>110</c:v>
                </c:pt>
                <c:pt idx="44">
                  <c:v>115</c:v>
                </c:pt>
                <c:pt idx="45">
                  <c:v>120</c:v>
                </c:pt>
                <c:pt idx="46">
                  <c:v>98</c:v>
                </c:pt>
                <c:pt idx="47">
                  <c:v>100</c:v>
                </c:pt>
                <c:pt idx="48">
                  <c:v>106</c:v>
                </c:pt>
                <c:pt idx="49">
                  <c:v>110</c:v>
                </c:pt>
                <c:pt idx="50">
                  <c:v>96</c:v>
                </c:pt>
                <c:pt idx="51">
                  <c:v>100</c:v>
                </c:pt>
                <c:pt idx="52">
                  <c:v>106</c:v>
                </c:pt>
                <c:pt idx="53">
                  <c:v>110</c:v>
                </c:pt>
                <c:pt idx="54">
                  <c:v>103</c:v>
                </c:pt>
                <c:pt idx="55">
                  <c:v>110</c:v>
                </c:pt>
                <c:pt idx="56">
                  <c:v>115</c:v>
                </c:pt>
                <c:pt idx="57">
                  <c:v>120</c:v>
                </c:pt>
                <c:pt idx="58">
                  <c:v>98</c:v>
                </c:pt>
                <c:pt idx="59">
                  <c:v>100</c:v>
                </c:pt>
                <c:pt idx="60">
                  <c:v>106</c:v>
                </c:pt>
                <c:pt idx="61">
                  <c:v>110</c:v>
                </c:pt>
                <c:pt idx="62">
                  <c:v>92</c:v>
                </c:pt>
                <c:pt idx="63">
                  <c:v>96</c:v>
                </c:pt>
                <c:pt idx="64">
                  <c:v>100</c:v>
                </c:pt>
                <c:pt idx="65">
                  <c:v>106</c:v>
                </c:pt>
                <c:pt idx="66">
                  <c:v>100</c:v>
                </c:pt>
                <c:pt idx="67">
                  <c:v>103</c:v>
                </c:pt>
                <c:pt idx="68">
                  <c:v>110</c:v>
                </c:pt>
                <c:pt idx="69">
                  <c:v>115</c:v>
                </c:pt>
                <c:pt idx="70">
                  <c:v>98</c:v>
                </c:pt>
                <c:pt idx="71">
                  <c:v>100</c:v>
                </c:pt>
                <c:pt idx="72">
                  <c:v>106</c:v>
                </c:pt>
                <c:pt idx="73">
                  <c:v>110</c:v>
                </c:pt>
                <c:pt idx="74">
                  <c:v>92</c:v>
                </c:pt>
                <c:pt idx="75">
                  <c:v>96</c:v>
                </c:pt>
                <c:pt idx="76">
                  <c:v>100</c:v>
                </c:pt>
                <c:pt idx="77">
                  <c:v>106</c:v>
                </c:pt>
                <c:pt idx="78">
                  <c:v>100</c:v>
                </c:pt>
                <c:pt idx="79">
                  <c:v>103</c:v>
                </c:pt>
                <c:pt idx="80">
                  <c:v>110</c:v>
                </c:pt>
                <c:pt idx="81">
                  <c:v>115</c:v>
                </c:pt>
                <c:pt idx="82">
                  <c:v>98</c:v>
                </c:pt>
                <c:pt idx="83">
                  <c:v>100</c:v>
                </c:pt>
                <c:pt idx="84">
                  <c:v>106</c:v>
                </c:pt>
                <c:pt idx="85">
                  <c:v>110</c:v>
                </c:pt>
                <c:pt idx="86">
                  <c:v>92</c:v>
                </c:pt>
                <c:pt idx="87">
                  <c:v>96</c:v>
                </c:pt>
                <c:pt idx="88">
                  <c:v>100</c:v>
                </c:pt>
                <c:pt idx="89">
                  <c:v>106</c:v>
                </c:pt>
                <c:pt idx="90">
                  <c:v>100</c:v>
                </c:pt>
                <c:pt idx="91">
                  <c:v>103</c:v>
                </c:pt>
                <c:pt idx="92">
                  <c:v>110</c:v>
                </c:pt>
                <c:pt idx="93">
                  <c:v>115</c:v>
                </c:pt>
                <c:pt idx="94">
                  <c:v>98</c:v>
                </c:pt>
                <c:pt idx="95">
                  <c:v>98</c:v>
                </c:pt>
              </c:numCache>
            </c:numRef>
          </c:xVal>
          <c:yVal>
            <c:numRef>
              <c:f>Bacillus!$L$149:$L$244</c:f>
              <c:numCache>
                <c:formatCode>0.00</c:formatCode>
                <c:ptCount val="96"/>
                <c:pt idx="0">
                  <c:v>0</c:v>
                </c:pt>
                <c:pt idx="1">
                  <c:v>-0.43179827593300502</c:v>
                </c:pt>
                <c:pt idx="2">
                  <c:v>-1.2596373105057561</c:v>
                </c:pt>
                <c:pt idx="3">
                  <c:v>1.1690863574870227</c:v>
                </c:pt>
                <c:pt idx="4">
                  <c:v>0.81822589361395548</c:v>
                </c:pt>
                <c:pt idx="5">
                  <c:v>7.554696139253074E-2</c:v>
                </c:pt>
                <c:pt idx="6">
                  <c:v>-0.45593195564972439</c:v>
                </c:pt>
                <c:pt idx="7">
                  <c:v>0.61804809671209271</c:v>
                </c:pt>
                <c:pt idx="8">
                  <c:v>0.28330122870354957</c:v>
                </c:pt>
                <c:pt idx="9">
                  <c:v>-0.30980391997148632</c:v>
                </c:pt>
                <c:pt idx="10">
                  <c:v>-0.92081875395237522</c:v>
                </c:pt>
                <c:pt idx="11">
                  <c:v>0.51188336097887432</c:v>
                </c:pt>
                <c:pt idx="12">
                  <c:v>0</c:v>
                </c:pt>
                <c:pt idx="13">
                  <c:v>-0.38721614328026455</c:v>
                </c:pt>
                <c:pt idx="14">
                  <c:v>-1.1804560644581312</c:v>
                </c:pt>
                <c:pt idx="15">
                  <c:v>1.0519239160461065</c:v>
                </c:pt>
                <c:pt idx="16">
                  <c:v>0.91115760873997664</c:v>
                </c:pt>
                <c:pt idx="17">
                  <c:v>0.10380372095595687</c:v>
                </c:pt>
                <c:pt idx="18">
                  <c:v>-0.36653154442041347</c:v>
                </c:pt>
                <c:pt idx="19">
                  <c:v>0.44560420327359757</c:v>
                </c:pt>
                <c:pt idx="20">
                  <c:v>0.11394335230683679</c:v>
                </c:pt>
                <c:pt idx="21">
                  <c:v>-0.69897000433601875</c:v>
                </c:pt>
                <c:pt idx="22">
                  <c:v>-1.1307682802690238</c:v>
                </c:pt>
                <c:pt idx="23">
                  <c:v>0.65321251377534373</c:v>
                </c:pt>
                <c:pt idx="24">
                  <c:v>0.19589965240923377</c:v>
                </c:pt>
                <c:pt idx="25">
                  <c:v>-0.30980391997148632</c:v>
                </c:pt>
                <c:pt idx="26">
                  <c:v>-1.0655015487564323</c:v>
                </c:pt>
                <c:pt idx="27">
                  <c:v>-1.4202164033831899</c:v>
                </c:pt>
                <c:pt idx="28">
                  <c:v>1.1354506993455138</c:v>
                </c:pt>
                <c:pt idx="29">
                  <c:v>0.91698004732038219</c:v>
                </c:pt>
                <c:pt idx="30">
                  <c:v>0.14612803567823801</c:v>
                </c:pt>
                <c:pt idx="31">
                  <c:v>-0.32790214206428259</c:v>
                </c:pt>
                <c:pt idx="32">
                  <c:v>0.57634135020579291</c:v>
                </c:pt>
                <c:pt idx="33">
                  <c:v>0.42651126136457523</c:v>
                </c:pt>
                <c:pt idx="34">
                  <c:v>-0.20065945054641829</c:v>
                </c:pt>
                <c:pt idx="35">
                  <c:v>-0.6777807052660807</c:v>
                </c:pt>
                <c:pt idx="36">
                  <c:v>0.70842090013471271</c:v>
                </c:pt>
                <c:pt idx="37">
                  <c:v>0.2966651902615311</c:v>
                </c:pt>
                <c:pt idx="38">
                  <c:v>-0.16115090926274472</c:v>
                </c:pt>
                <c:pt idx="39">
                  <c:v>-0.72124639904717103</c:v>
                </c:pt>
                <c:pt idx="40">
                  <c:v>-6.5501548756432285E-2</c:v>
                </c:pt>
                <c:pt idx="41">
                  <c:v>1.2964457942063963</c:v>
                </c:pt>
                <c:pt idx="42">
                  <c:v>0.91592721169711577</c:v>
                </c:pt>
                <c:pt idx="43">
                  <c:v>0.34242268082220628</c:v>
                </c:pt>
                <c:pt idx="44">
                  <c:v>-7.0581074285707285E-2</c:v>
                </c:pt>
                <c:pt idx="45">
                  <c:v>-0.63827216398240705</c:v>
                </c:pt>
                <c:pt idx="46">
                  <c:v>0.84509804001425681</c:v>
                </c:pt>
                <c:pt idx="47">
                  <c:v>0.55630250076728727</c:v>
                </c:pt>
                <c:pt idx="48">
                  <c:v>4.1392685158225077E-2</c:v>
                </c:pt>
                <c:pt idx="49">
                  <c:v>-0.3010299956639812</c:v>
                </c:pt>
                <c:pt idx="50">
                  <c:v>0.62013605497375746</c:v>
                </c:pt>
                <c:pt idx="51">
                  <c:v>0.21218760440395779</c:v>
                </c:pt>
                <c:pt idx="52">
                  <c:v>-0.29242982390206362</c:v>
                </c:pt>
                <c:pt idx="53">
                  <c:v>-0.79588001734407521</c:v>
                </c:pt>
                <c:pt idx="54">
                  <c:v>1.1473671077937864</c:v>
                </c:pt>
                <c:pt idx="55">
                  <c:v>0.49968708261840383</c:v>
                </c:pt>
                <c:pt idx="56">
                  <c:v>-2.2276394711152253E-2</c:v>
                </c:pt>
                <c:pt idx="57">
                  <c:v>-0.35654732351381258</c:v>
                </c:pt>
                <c:pt idx="58">
                  <c:v>4.1392685158225077E-2</c:v>
                </c:pt>
                <c:pt idx="59">
                  <c:v>-0.19382002601611281</c:v>
                </c:pt>
                <c:pt idx="60">
                  <c:v>-0.92081875395237522</c:v>
                </c:pt>
                <c:pt idx="61">
                  <c:v>-1.3372421683184259</c:v>
                </c:pt>
                <c:pt idx="62">
                  <c:v>0.34635297445063867</c:v>
                </c:pt>
                <c:pt idx="63">
                  <c:v>-0.13076828026902382</c:v>
                </c:pt>
                <c:pt idx="64">
                  <c:v>-0.6020599913279624</c:v>
                </c:pt>
                <c:pt idx="65">
                  <c:v>-1.2924298239020637</c:v>
                </c:pt>
                <c:pt idx="66">
                  <c:v>0.71767050300226209</c:v>
                </c:pt>
                <c:pt idx="67">
                  <c:v>0.38021124171160603</c:v>
                </c:pt>
                <c:pt idx="68">
                  <c:v>-0.28399665636520083</c:v>
                </c:pt>
                <c:pt idx="69">
                  <c:v>-0.6777807052660807</c:v>
                </c:pt>
                <c:pt idx="70">
                  <c:v>0.17026171539495738</c:v>
                </c:pt>
                <c:pt idx="71">
                  <c:v>-3.6212172654444715E-2</c:v>
                </c:pt>
                <c:pt idx="72">
                  <c:v>-0.82390874094431876</c:v>
                </c:pt>
                <c:pt idx="73">
                  <c:v>-1.3010299956639813</c:v>
                </c:pt>
                <c:pt idx="74">
                  <c:v>0.36921585741014279</c:v>
                </c:pt>
                <c:pt idx="75">
                  <c:v>0</c:v>
                </c:pt>
                <c:pt idx="76">
                  <c:v>-0.37675070960209955</c:v>
                </c:pt>
                <c:pt idx="77">
                  <c:v>-1</c:v>
                </c:pt>
                <c:pt idx="78">
                  <c:v>0.85125834871907524</c:v>
                </c:pt>
                <c:pt idx="79">
                  <c:v>0.55990662503611255</c:v>
                </c:pt>
                <c:pt idx="80">
                  <c:v>-0.13667713987954411</c:v>
                </c:pt>
                <c:pt idx="81">
                  <c:v>-0.6020599913279624</c:v>
                </c:pt>
                <c:pt idx="82">
                  <c:v>0.65513843481138212</c:v>
                </c:pt>
                <c:pt idx="83">
                  <c:v>0.44560420327359757</c:v>
                </c:pt>
                <c:pt idx="84">
                  <c:v>-0.34678748622465633</c:v>
                </c:pt>
                <c:pt idx="85">
                  <c:v>-0.79588001734407521</c:v>
                </c:pt>
                <c:pt idx="86">
                  <c:v>0.26717172840301384</c:v>
                </c:pt>
                <c:pt idx="87">
                  <c:v>-1.7728766960431602E-2</c:v>
                </c:pt>
                <c:pt idx="88">
                  <c:v>-0.37675070960209955</c:v>
                </c:pt>
                <c:pt idx="89">
                  <c:v>-0.95860731484177497</c:v>
                </c:pt>
                <c:pt idx="90">
                  <c:v>0.77815125038364363</c:v>
                </c:pt>
                <c:pt idx="91">
                  <c:v>0.48144262850230496</c:v>
                </c:pt>
                <c:pt idx="92">
                  <c:v>-0.14874165128092473</c:v>
                </c:pt>
                <c:pt idx="93">
                  <c:v>-0.55284196865778079</c:v>
                </c:pt>
                <c:pt idx="94">
                  <c:v>0.3010299956639812</c:v>
                </c:pt>
                <c:pt idx="95">
                  <c:v>0.3010299956639812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3C3-421E-858C-DFED7D4F88AE}"/>
            </c:ext>
          </c:extLst>
        </c:ser>
        <c:ser>
          <c:idx val="6"/>
          <c:order val="6"/>
          <c:tx>
            <c:v>9818</c:v>
          </c:tx>
          <c:spPr>
            <a:ln w="28575"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Bacillus!$I$371:$I$396</c:f>
              <c:numCache>
                <c:formatCode>General</c:formatCode>
                <c:ptCount val="26"/>
                <c:pt idx="0">
                  <c:v>85</c:v>
                </c:pt>
                <c:pt idx="1">
                  <c:v>85</c:v>
                </c:pt>
                <c:pt idx="2">
                  <c:v>85</c:v>
                </c:pt>
                <c:pt idx="3">
                  <c:v>85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95</c:v>
                </c:pt>
                <c:pt idx="9">
                  <c:v>95</c:v>
                </c:pt>
                <c:pt idx="10">
                  <c:v>95</c:v>
                </c:pt>
                <c:pt idx="11">
                  <c:v>95</c:v>
                </c:pt>
                <c:pt idx="12">
                  <c:v>95</c:v>
                </c:pt>
                <c:pt idx="13">
                  <c:v>95</c:v>
                </c:pt>
                <c:pt idx="14">
                  <c:v>95</c:v>
                </c:pt>
                <c:pt idx="15">
                  <c:v>95</c:v>
                </c:pt>
                <c:pt idx="16">
                  <c:v>95</c:v>
                </c:pt>
                <c:pt idx="17">
                  <c:v>95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85</c:v>
                </c:pt>
                <c:pt idx="23">
                  <c:v>85</c:v>
                </c:pt>
                <c:pt idx="24">
                  <c:v>85</c:v>
                </c:pt>
                <c:pt idx="25">
                  <c:v>85</c:v>
                </c:pt>
              </c:numCache>
            </c:numRef>
          </c:xVal>
          <c:yVal>
            <c:numRef>
              <c:f>Bacillus!$L$371:$L$396</c:f>
              <c:numCache>
                <c:formatCode>0.00</c:formatCode>
                <c:ptCount val="26"/>
                <c:pt idx="0">
                  <c:v>1.9616109080912807</c:v>
                </c:pt>
                <c:pt idx="1">
                  <c:v>1.6050355490912556</c:v>
                </c:pt>
                <c:pt idx="2">
                  <c:v>1.4848690327204024</c:v>
                </c:pt>
                <c:pt idx="3">
                  <c:v>1.2746426946993255</c:v>
                </c:pt>
                <c:pt idx="4">
                  <c:v>1.4659179532119353</c:v>
                </c:pt>
                <c:pt idx="5">
                  <c:v>1.2308064284688831</c:v>
                </c:pt>
                <c:pt idx="6">
                  <c:v>1.3592851538934703</c:v>
                </c:pt>
                <c:pt idx="7">
                  <c:v>1.1336985461157765</c:v>
                </c:pt>
                <c:pt idx="8">
                  <c:v>1.1617571952617272</c:v>
                </c:pt>
                <c:pt idx="9">
                  <c:v>0.92147838037569008</c:v>
                </c:pt>
                <c:pt idx="10">
                  <c:v>0.89938270553326505</c:v>
                </c:pt>
                <c:pt idx="11">
                  <c:v>0.88349109018893002</c:v>
                </c:pt>
                <c:pt idx="12">
                  <c:v>0.63668844795328272</c:v>
                </c:pt>
                <c:pt idx="13">
                  <c:v>0.56572978783112693</c:v>
                </c:pt>
                <c:pt idx="14">
                  <c:v>0.45453998496481873</c:v>
                </c:pt>
                <c:pt idx="15">
                  <c:v>0.40191725051757465</c:v>
                </c:pt>
                <c:pt idx="16">
                  <c:v>0.21958452621425473</c:v>
                </c:pt>
                <c:pt idx="17">
                  <c:v>0.16494737262184164</c:v>
                </c:pt>
                <c:pt idx="18">
                  <c:v>-9.2588639225413813E-2</c:v>
                </c:pt>
                <c:pt idx="19">
                  <c:v>-0.64975198166583714</c:v>
                </c:pt>
                <c:pt idx="20">
                  <c:v>-0.89962945488243706</c:v>
                </c:pt>
                <c:pt idx="21">
                  <c:v>-0.97881070093006195</c:v>
                </c:pt>
                <c:pt idx="22">
                  <c:v>1.8382759475255852</c:v>
                </c:pt>
                <c:pt idx="23">
                  <c:v>2.0117606964824608</c:v>
                </c:pt>
                <c:pt idx="24">
                  <c:v>1.8588558840430764</c:v>
                </c:pt>
                <c:pt idx="25">
                  <c:v>1.8013899880159985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3C3-421E-858C-DFED7D4F88AE}"/>
            </c:ext>
          </c:extLst>
        </c:ser>
        <c:ser>
          <c:idx val="7"/>
          <c:order val="7"/>
          <c:tx>
            <c:v>T</c:v>
          </c:tx>
          <c:spPr>
            <a:ln w="28575">
              <a:noFill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Bacillus!$I$397:$I$403</c:f>
              <c:numCache>
                <c:formatCode>General</c:formatCode>
                <c:ptCount val="7"/>
                <c:pt idx="0">
                  <c:v>95</c:v>
                </c:pt>
                <c:pt idx="1">
                  <c:v>95</c:v>
                </c:pt>
                <c:pt idx="2">
                  <c:v>95</c:v>
                </c:pt>
                <c:pt idx="3">
                  <c:v>95</c:v>
                </c:pt>
                <c:pt idx="4">
                  <c:v>105</c:v>
                </c:pt>
                <c:pt idx="5">
                  <c:v>105</c:v>
                </c:pt>
                <c:pt idx="6">
                  <c:v>105</c:v>
                </c:pt>
              </c:numCache>
            </c:numRef>
          </c:xVal>
          <c:yVal>
            <c:numRef>
              <c:f>Bacillus!$L$397:$L$403</c:f>
              <c:numCache>
                <c:formatCode>0.00</c:formatCode>
                <c:ptCount val="7"/>
                <c:pt idx="0">
                  <c:v>1.1411988449047372</c:v>
                </c:pt>
                <c:pt idx="1">
                  <c:v>0.87477163718429829</c:v>
                </c:pt>
                <c:pt idx="2">
                  <c:v>0.69983772586724569</c:v>
                </c:pt>
                <c:pt idx="3">
                  <c:v>0.45788189673399232</c:v>
                </c:pt>
                <c:pt idx="4">
                  <c:v>0.10788802518279862</c:v>
                </c:pt>
                <c:pt idx="5">
                  <c:v>-0.34198860334288755</c:v>
                </c:pt>
                <c:pt idx="6">
                  <c:v>-0.55595520408192367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3C3-421E-858C-DFED7D4F88AE}"/>
            </c:ext>
          </c:extLst>
        </c:ser>
        <c:ser>
          <c:idx val="8"/>
          <c:order val="8"/>
          <c:tx>
            <c:v>var</c:v>
          </c:tx>
          <c:spPr>
            <a:ln w="28575">
              <a:noFill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xVal>
            <c:numRef>
              <c:f>Bacillus!$I$404</c:f>
              <c:numCache>
                <c:formatCode>General</c:formatCode>
                <c:ptCount val="1"/>
                <c:pt idx="0">
                  <c:v>105</c:v>
                </c:pt>
              </c:numCache>
            </c:numRef>
          </c:xVal>
          <c:yVal>
            <c:numRef>
              <c:f>Bacillus!$L$404</c:f>
              <c:numCache>
                <c:formatCode>0.00</c:formatCode>
                <c:ptCount val="1"/>
                <c:pt idx="0">
                  <c:v>-0.71669877129645043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3C3-421E-858C-DFED7D4F88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838088"/>
        <c:axId val="1"/>
      </c:scatterChart>
      <c:valAx>
        <c:axId val="488838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8883808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5103368716078631"/>
          <c:y val="0.12658227848101267"/>
          <c:w val="0.14011814894819563"/>
          <c:h val="0.8227848101265823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'E coli'!$M$1</c:f>
              <c:strCache>
                <c:ptCount val="1"/>
                <c:pt idx="0">
                  <c:v>log D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20857502187226595"/>
                  <c:y val="-0.5583045348498104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nl-NL"/>
                </a:p>
              </c:txPr>
            </c:trendlineLbl>
          </c:trendline>
          <c:xVal>
            <c:numRef>
              <c:f>'E coli'!$J$2:$J$105</c:f>
              <c:numCache>
                <c:formatCode>0</c:formatCode>
                <c:ptCount val="26"/>
                <c:pt idx="0">
                  <c:v>47</c:v>
                </c:pt>
                <c:pt idx="1">
                  <c:v>50</c:v>
                </c:pt>
                <c:pt idx="2">
                  <c:v>53</c:v>
                </c:pt>
                <c:pt idx="3">
                  <c:v>58</c:v>
                </c:pt>
                <c:pt idx="4">
                  <c:v>56</c:v>
                </c:pt>
                <c:pt idx="5">
                  <c:v>56</c:v>
                </c:pt>
                <c:pt idx="6">
                  <c:v>58</c:v>
                </c:pt>
                <c:pt idx="7">
                  <c:v>58</c:v>
                </c:pt>
                <c:pt idx="8">
                  <c:v>60</c:v>
                </c:pt>
                <c:pt idx="9">
                  <c:v>60</c:v>
                </c:pt>
                <c:pt idx="10">
                  <c:v>55</c:v>
                </c:pt>
                <c:pt idx="11">
                  <c:v>58</c:v>
                </c:pt>
                <c:pt idx="12">
                  <c:v>58</c:v>
                </c:pt>
                <c:pt idx="13">
                  <c:v>60</c:v>
                </c:pt>
                <c:pt idx="14">
                  <c:v>56</c:v>
                </c:pt>
                <c:pt idx="15">
                  <c:v>58</c:v>
                </c:pt>
                <c:pt idx="16">
                  <c:v>60</c:v>
                </c:pt>
                <c:pt idx="17">
                  <c:v>56</c:v>
                </c:pt>
                <c:pt idx="18">
                  <c:v>58</c:v>
                </c:pt>
                <c:pt idx="19">
                  <c:v>60</c:v>
                </c:pt>
                <c:pt idx="20">
                  <c:v>56</c:v>
                </c:pt>
                <c:pt idx="21">
                  <c:v>58</c:v>
                </c:pt>
                <c:pt idx="22">
                  <c:v>60</c:v>
                </c:pt>
                <c:pt idx="23">
                  <c:v>56</c:v>
                </c:pt>
                <c:pt idx="24">
                  <c:v>58</c:v>
                </c:pt>
                <c:pt idx="25">
                  <c:v>60</c:v>
                </c:pt>
              </c:numCache>
            </c:numRef>
          </c:xVal>
          <c:yVal>
            <c:numRef>
              <c:f>'E coli'!$M$2:$M$105</c:f>
              <c:numCache>
                <c:formatCode>0.00</c:formatCode>
                <c:ptCount val="26"/>
                <c:pt idx="0">
                  <c:v>2.2922560713564759</c:v>
                </c:pt>
                <c:pt idx="1">
                  <c:v>1.8142475957319202</c:v>
                </c:pt>
                <c:pt idx="2">
                  <c:v>1.335858911319818</c:v>
                </c:pt>
                <c:pt idx="3">
                  <c:v>0</c:v>
                </c:pt>
                <c:pt idx="4">
                  <c:v>0.61278385671973545</c:v>
                </c:pt>
                <c:pt idx="5">
                  <c:v>0.84509804001425681</c:v>
                </c:pt>
                <c:pt idx="6">
                  <c:v>0.27875360095282892</c:v>
                </c:pt>
                <c:pt idx="7">
                  <c:v>0.54406804435027567</c:v>
                </c:pt>
                <c:pt idx="8">
                  <c:v>-9.6910013008056392E-2</c:v>
                </c:pt>
                <c:pt idx="9">
                  <c:v>0.17609125905568124</c:v>
                </c:pt>
                <c:pt idx="10">
                  <c:v>0.69897000433601886</c:v>
                </c:pt>
                <c:pt idx="11">
                  <c:v>0</c:v>
                </c:pt>
                <c:pt idx="12">
                  <c:v>0.3979400086720376</c:v>
                </c:pt>
                <c:pt idx="13">
                  <c:v>-9.6910013008056392E-2</c:v>
                </c:pt>
                <c:pt idx="14">
                  <c:v>0.6020599913279624</c:v>
                </c:pt>
                <c:pt idx="15">
                  <c:v>0.20411998265592479</c:v>
                </c:pt>
                <c:pt idx="16">
                  <c:v>-0.15490195998574319</c:v>
                </c:pt>
                <c:pt idx="17">
                  <c:v>0.78532983501076703</c:v>
                </c:pt>
                <c:pt idx="18">
                  <c:v>0.43136376415898736</c:v>
                </c:pt>
                <c:pt idx="19">
                  <c:v>7.9181246047624818E-2</c:v>
                </c:pt>
                <c:pt idx="20">
                  <c:v>0.87506126339170009</c:v>
                </c:pt>
                <c:pt idx="21">
                  <c:v>0.50514997831990605</c:v>
                </c:pt>
                <c:pt idx="22">
                  <c:v>4.1392685158225077E-2</c:v>
                </c:pt>
                <c:pt idx="23">
                  <c:v>1.0413926851582251</c:v>
                </c:pt>
                <c:pt idx="24">
                  <c:v>0.69897000433601886</c:v>
                </c:pt>
                <c:pt idx="25">
                  <c:v>0.23044892137827391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773-4C60-89EF-62ED86F66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53456"/>
        <c:axId val="1"/>
      </c:scatterChart>
      <c:valAx>
        <c:axId val="48675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Temperature</a:t>
                </a:r>
                <a:r>
                  <a:rPr lang="nl-NL" baseline="0"/>
                  <a:t> (°C)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log</a:t>
                </a:r>
                <a:r>
                  <a:rPr lang="nl-NL" baseline="0"/>
                  <a:t> </a:t>
                </a:r>
                <a:r>
                  <a:rPr lang="nl-NL" i="1" baseline="0"/>
                  <a:t>D</a:t>
                </a:r>
                <a:r>
                  <a:rPr lang="nl-NL" i="0" baseline="0"/>
                  <a:t>-value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48675345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E coli</a:t>
            </a:r>
          </a:p>
        </c:rich>
      </c:tx>
      <c:layout>
        <c:manualLayout>
          <c:xMode val="edge"/>
          <c:yMode val="edge"/>
          <c:x val="0.45815662403901636"/>
          <c:y val="2.90697674418604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893637651869532"/>
          <c:y val="0.17441893474998249"/>
          <c:w val="0.58156108926347694"/>
          <c:h val="0.69961372716381864"/>
        </c:manualLayout>
      </c:layout>
      <c:scatterChart>
        <c:scatterStyle val="lineMarker"/>
        <c:varyColors val="0"/>
        <c:ser>
          <c:idx val="2"/>
          <c:order val="0"/>
          <c:tx>
            <c:v>Apple juice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'E coli'!$J$41:$J$93</c:f>
              <c:numCache>
                <c:formatCode>0</c:formatCode>
                <c:ptCount val="14"/>
                <c:pt idx="0">
                  <c:v>47</c:v>
                </c:pt>
                <c:pt idx="1">
                  <c:v>50</c:v>
                </c:pt>
                <c:pt idx="2">
                  <c:v>53</c:v>
                </c:pt>
                <c:pt idx="3">
                  <c:v>58</c:v>
                </c:pt>
                <c:pt idx="4">
                  <c:v>56</c:v>
                </c:pt>
                <c:pt idx="5">
                  <c:v>56</c:v>
                </c:pt>
                <c:pt idx="6">
                  <c:v>58</c:v>
                </c:pt>
                <c:pt idx="7">
                  <c:v>58</c:v>
                </c:pt>
                <c:pt idx="8">
                  <c:v>60</c:v>
                </c:pt>
                <c:pt idx="9">
                  <c:v>60</c:v>
                </c:pt>
                <c:pt idx="10">
                  <c:v>55</c:v>
                </c:pt>
                <c:pt idx="11">
                  <c:v>58</c:v>
                </c:pt>
                <c:pt idx="12">
                  <c:v>58</c:v>
                </c:pt>
                <c:pt idx="13">
                  <c:v>60</c:v>
                </c:pt>
              </c:numCache>
            </c:numRef>
          </c:xVal>
          <c:yVal>
            <c:numRef>
              <c:f>'E coli'!$M$41:$M$93</c:f>
              <c:numCache>
                <c:formatCode>0.00</c:formatCode>
                <c:ptCount val="14"/>
                <c:pt idx="0">
                  <c:v>2.2922560713564759</c:v>
                </c:pt>
                <c:pt idx="1">
                  <c:v>1.8142475957319202</c:v>
                </c:pt>
                <c:pt idx="2">
                  <c:v>1.335858911319818</c:v>
                </c:pt>
                <c:pt idx="3">
                  <c:v>0</c:v>
                </c:pt>
                <c:pt idx="4">
                  <c:v>0.61278385671973545</c:v>
                </c:pt>
                <c:pt idx="5">
                  <c:v>0.84509804001425681</c:v>
                </c:pt>
                <c:pt idx="6">
                  <c:v>0.27875360095282892</c:v>
                </c:pt>
                <c:pt idx="7">
                  <c:v>0.54406804435027567</c:v>
                </c:pt>
                <c:pt idx="8">
                  <c:v>-9.6910013008056392E-2</c:v>
                </c:pt>
                <c:pt idx="9">
                  <c:v>0.17609125905568124</c:v>
                </c:pt>
                <c:pt idx="10">
                  <c:v>0.69897000433601886</c:v>
                </c:pt>
                <c:pt idx="11">
                  <c:v>0</c:v>
                </c:pt>
                <c:pt idx="12">
                  <c:v>0.3979400086720376</c:v>
                </c:pt>
                <c:pt idx="13">
                  <c:v>-9.6910013008056392E-2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0C-4533-812D-30EDC8D87E50}"/>
            </c:ext>
          </c:extLst>
        </c:ser>
        <c:ser>
          <c:idx val="10"/>
          <c:order val="1"/>
          <c:tx>
            <c:v>Orange juice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'E coli'!$J$101:$J$105</c:f>
              <c:numCache>
                <c:formatCode>0</c:formatCode>
                <c:ptCount val="5"/>
                <c:pt idx="0">
                  <c:v>58</c:v>
                </c:pt>
                <c:pt idx="1">
                  <c:v>60</c:v>
                </c:pt>
                <c:pt idx="2">
                  <c:v>56</c:v>
                </c:pt>
                <c:pt idx="3">
                  <c:v>58</c:v>
                </c:pt>
                <c:pt idx="4">
                  <c:v>60</c:v>
                </c:pt>
              </c:numCache>
            </c:numRef>
          </c:xVal>
          <c:yVal>
            <c:numRef>
              <c:f>'E coli'!$M$101:$M$105</c:f>
              <c:numCache>
                <c:formatCode>0.00</c:formatCode>
                <c:ptCount val="5"/>
                <c:pt idx="0">
                  <c:v>0.50514997831990605</c:v>
                </c:pt>
                <c:pt idx="1">
                  <c:v>4.1392685158225077E-2</c:v>
                </c:pt>
                <c:pt idx="2">
                  <c:v>1.0413926851582251</c:v>
                </c:pt>
                <c:pt idx="3">
                  <c:v>0.69897000433601886</c:v>
                </c:pt>
                <c:pt idx="4">
                  <c:v>0.23044892137827391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0C-4533-812D-30EDC8D87E50}"/>
            </c:ext>
          </c:extLst>
        </c:ser>
        <c:ser>
          <c:idx val="12"/>
          <c:order val="2"/>
          <c:tx>
            <c:v>Grape juice</c:v>
          </c:tx>
          <c:spPr>
            <a:ln w="28575"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'E coli'!$J$94:$J$99</c:f>
              <c:numCache>
                <c:formatCode>0</c:formatCode>
                <c:ptCount val="6"/>
                <c:pt idx="0">
                  <c:v>56</c:v>
                </c:pt>
                <c:pt idx="1">
                  <c:v>58</c:v>
                </c:pt>
                <c:pt idx="2">
                  <c:v>60</c:v>
                </c:pt>
                <c:pt idx="3">
                  <c:v>56</c:v>
                </c:pt>
                <c:pt idx="4">
                  <c:v>58</c:v>
                </c:pt>
                <c:pt idx="5">
                  <c:v>60</c:v>
                </c:pt>
              </c:numCache>
            </c:numRef>
          </c:xVal>
          <c:yVal>
            <c:numRef>
              <c:f>'E coli'!$M$94:$M$99</c:f>
              <c:numCache>
                <c:formatCode>0.00</c:formatCode>
                <c:ptCount val="6"/>
                <c:pt idx="0">
                  <c:v>0.6020599913279624</c:v>
                </c:pt>
                <c:pt idx="1">
                  <c:v>0.20411998265592479</c:v>
                </c:pt>
                <c:pt idx="2">
                  <c:v>-0.15490195998574319</c:v>
                </c:pt>
                <c:pt idx="3">
                  <c:v>0.78532983501076703</c:v>
                </c:pt>
                <c:pt idx="4">
                  <c:v>0.43136376415898736</c:v>
                </c:pt>
                <c:pt idx="5">
                  <c:v>7.9181246047624818E-2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F0C-4533-812D-30EDC8D87E50}"/>
            </c:ext>
          </c:extLst>
        </c:ser>
        <c:ser>
          <c:idx val="1"/>
          <c:order val="3"/>
          <c:tx>
            <c:v>Cream</c:v>
          </c:tx>
          <c:xVal>
            <c:numRef>
              <c:f>'E coli'!$J$2</c:f>
            </c:numRef>
          </c:xVal>
          <c:yVal>
            <c:numRef>
              <c:f>'E coli'!$M$2</c:f>
            </c:numRef>
          </c:yVal>
          <c:smooth val="0"/>
          <c:extLst>
            <c:ext xmlns:c16="http://schemas.microsoft.com/office/drawing/2014/chart" uri="{C3380CC4-5D6E-409C-BE32-E72D297353CC}">
              <c16:uniqueId val="{00000003-4F0C-4533-812D-30EDC8D87E50}"/>
            </c:ext>
          </c:extLst>
        </c:ser>
        <c:ser>
          <c:idx val="5"/>
          <c:order val="4"/>
          <c:tx>
            <c:v>Ice cream</c:v>
          </c:tx>
          <c:xVal>
            <c:numRef>
              <c:f>'E coli'!$J$3</c:f>
            </c:numRef>
          </c:xVal>
          <c:yVal>
            <c:numRef>
              <c:f>'E coli'!$M$3</c:f>
            </c:numRef>
          </c:yVal>
          <c:smooth val="0"/>
          <c:extLst>
            <c:ext xmlns:c16="http://schemas.microsoft.com/office/drawing/2014/chart" uri="{C3380CC4-5D6E-409C-BE32-E72D297353CC}">
              <c16:uniqueId val="{00000004-4F0C-4533-812D-30EDC8D87E50}"/>
            </c:ext>
          </c:extLst>
        </c:ser>
        <c:ser>
          <c:idx val="3"/>
          <c:order val="5"/>
          <c:tx>
            <c:v>Milk</c:v>
          </c:tx>
          <c:xVal>
            <c:numRef>
              <c:f>'E coli'!$J$4:$J$40</c:f>
            </c:numRef>
          </c:xVal>
          <c:yVal>
            <c:numRef>
              <c:f>'E coli'!$M$4:$M$40</c:f>
            </c:numRef>
          </c:yVal>
          <c:smooth val="0"/>
          <c:extLst>
            <c:ext xmlns:c16="http://schemas.microsoft.com/office/drawing/2014/chart" uri="{C3380CC4-5D6E-409C-BE32-E72D297353CC}">
              <c16:uniqueId val="{00000005-4F0C-4533-812D-30EDC8D87E50}"/>
            </c:ext>
          </c:extLst>
        </c:ser>
        <c:ser>
          <c:idx val="0"/>
          <c:order val="6"/>
          <c:tx>
            <c:v>Beef</c:v>
          </c:tx>
          <c:xVal>
            <c:numRef>
              <c:f>'E coli'!$J$106:$J$237</c:f>
            </c:numRef>
          </c:xVal>
          <c:yVal>
            <c:numRef>
              <c:f>'E coli'!$M$106:$M$237</c:f>
            </c:numRef>
          </c:yVal>
          <c:smooth val="0"/>
          <c:extLst>
            <c:ext xmlns:c16="http://schemas.microsoft.com/office/drawing/2014/chart" uri="{C3380CC4-5D6E-409C-BE32-E72D297353CC}">
              <c16:uniqueId val="{00000006-4F0C-4533-812D-30EDC8D87E50}"/>
            </c:ext>
          </c:extLst>
        </c:ser>
        <c:ser>
          <c:idx val="6"/>
          <c:order val="7"/>
          <c:tx>
            <c:v>Pepperoni</c:v>
          </c:tx>
          <c:xVal>
            <c:numRef>
              <c:f>'E coli'!$J$240:$J$272</c:f>
            </c:numRef>
          </c:xVal>
          <c:yVal>
            <c:numRef>
              <c:f>'E coli'!$M$240:$M$272</c:f>
            </c:numRef>
          </c:yVal>
          <c:smooth val="0"/>
          <c:extLst>
            <c:ext xmlns:c16="http://schemas.microsoft.com/office/drawing/2014/chart" uri="{C3380CC4-5D6E-409C-BE32-E72D297353CC}">
              <c16:uniqueId val="{00000007-4F0C-4533-812D-30EDC8D87E50}"/>
            </c:ext>
          </c:extLst>
        </c:ser>
        <c:ser>
          <c:idx val="11"/>
          <c:order val="8"/>
          <c:tx>
            <c:v>Meat rest</c:v>
          </c:tx>
          <c:xVal>
            <c:numRef>
              <c:f>('E coli'!$J$238:$J$239,'E coli'!$J$272:$J$278)</c:f>
            </c:numRef>
          </c:xVal>
          <c:yVal>
            <c:numRef>
              <c:f>('E coli'!$M$238:$M$239,'E coli'!$M$272:$M$278)</c:f>
            </c:numRef>
          </c:yVal>
          <c:smooth val="0"/>
          <c:extLst>
            <c:ext xmlns:c16="http://schemas.microsoft.com/office/drawing/2014/chart" uri="{C3380CC4-5D6E-409C-BE32-E72D297353CC}">
              <c16:uniqueId val="{00000008-4F0C-4533-812D-30EDC8D87E50}"/>
            </c:ext>
          </c:extLst>
        </c:ser>
        <c:ser>
          <c:idx val="7"/>
          <c:order val="9"/>
          <c:tx>
            <c:v>Media</c:v>
          </c:tx>
          <c:xVal>
            <c:numRef>
              <c:f>'E coli'!$J$279:$J$381</c:f>
            </c:numRef>
          </c:xVal>
          <c:yVal>
            <c:numRef>
              <c:f>'E coli'!$M$279:$M$381</c:f>
            </c:numRef>
          </c:yVal>
          <c:smooth val="0"/>
          <c:extLst>
            <c:ext xmlns:c16="http://schemas.microsoft.com/office/drawing/2014/chart" uri="{C3380CC4-5D6E-409C-BE32-E72D297353CC}">
              <c16:uniqueId val="{00000009-4F0C-4533-812D-30EDC8D87E50}"/>
            </c:ext>
          </c:extLst>
        </c:ser>
        <c:ser>
          <c:idx val="4"/>
          <c:order val="10"/>
          <c:tx>
            <c:v>Unknown</c:v>
          </c:tx>
          <c:xVal>
            <c:numRef>
              <c:f>'E coli'!$J$382:$J$383</c:f>
            </c:numRef>
          </c:xVal>
          <c:yVal>
            <c:numRef>
              <c:f>'E coli'!$M$382:$M$383</c:f>
            </c:numRef>
          </c:yVal>
          <c:smooth val="0"/>
          <c:extLst>
            <c:ext xmlns:c16="http://schemas.microsoft.com/office/drawing/2014/chart" uri="{C3380CC4-5D6E-409C-BE32-E72D297353CC}">
              <c16:uniqueId val="{0000000A-4F0C-4533-812D-30EDC8D87E50}"/>
            </c:ext>
          </c:extLst>
        </c:ser>
        <c:ser>
          <c:idx val="8"/>
          <c:order val="11"/>
          <c:tx>
            <c:v>log D (model)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GraphEcoli!$A$14:$A$34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GraphEcoli!$B$14:$B$34</c:f>
              <c:numCache>
                <c:formatCode>0.00</c:formatCode>
                <c:ptCount val="21"/>
                <c:pt idx="0">
                  <c:v>1.6775073822291855</c:v>
                </c:pt>
                <c:pt idx="1">
                  <c:v>1.2072768686119482</c:v>
                </c:pt>
                <c:pt idx="2">
                  <c:v>0.73704635499471105</c:v>
                </c:pt>
                <c:pt idx="3">
                  <c:v>0.26681584137747383</c:v>
                </c:pt>
                <c:pt idx="4">
                  <c:v>-0.20341467223976334</c:v>
                </c:pt>
                <c:pt idx="5">
                  <c:v>-0.67364518585700051</c:v>
                </c:pt>
                <c:pt idx="6">
                  <c:v>-1.1438756994742376</c:v>
                </c:pt>
                <c:pt idx="7">
                  <c:v>-1.6141062130914747</c:v>
                </c:pt>
                <c:pt idx="8">
                  <c:v>-2.0843367267087123</c:v>
                </c:pt>
                <c:pt idx="9">
                  <c:v>-2.554567240325949</c:v>
                </c:pt>
                <c:pt idx="10">
                  <c:v>-3.0247977539431865</c:v>
                </c:pt>
                <c:pt idx="11">
                  <c:v>-3.4950282675604236</c:v>
                </c:pt>
                <c:pt idx="12">
                  <c:v>-3.9652587811776607</c:v>
                </c:pt>
                <c:pt idx="13">
                  <c:v>-4.4354892947948983</c:v>
                </c:pt>
                <c:pt idx="14">
                  <c:v>-4.905719808412135</c:v>
                </c:pt>
                <c:pt idx="15">
                  <c:v>-5.3759503220293725</c:v>
                </c:pt>
                <c:pt idx="16">
                  <c:v>-5.8461808356466101</c:v>
                </c:pt>
                <c:pt idx="17">
                  <c:v>-6.3164113492638467</c:v>
                </c:pt>
                <c:pt idx="18">
                  <c:v>-6.7866418628810843</c:v>
                </c:pt>
                <c:pt idx="19">
                  <c:v>-7.256872376498321</c:v>
                </c:pt>
                <c:pt idx="20">
                  <c:v>-7.7271028901155585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F0C-4533-812D-30EDC8D87E50}"/>
            </c:ext>
          </c:extLst>
        </c:ser>
        <c:ser>
          <c:idx val="9"/>
          <c:order val="12"/>
          <c:tx>
            <c:v>95% cfi</c:v>
          </c:tx>
          <c:spPr>
            <a:ln w="25400">
              <a:solidFill>
                <a:srgbClr val="000080"/>
              </a:solidFill>
              <a:prstDash val="lgDash"/>
            </a:ln>
          </c:spPr>
          <c:marker>
            <c:symbol val="none"/>
          </c:marker>
          <c:xVal>
            <c:numRef>
              <c:f>GraphEcoli!$A$14:$A$34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GraphEcoli!$C$14:$C$34</c:f>
              <c:numCache>
                <c:formatCode>0.00</c:formatCode>
                <c:ptCount val="21"/>
                <c:pt idx="0">
                  <c:v>2.8942048785260823</c:v>
                </c:pt>
                <c:pt idx="1">
                  <c:v>2.4239743649088452</c:v>
                </c:pt>
                <c:pt idx="2">
                  <c:v>1.9537438512916081</c:v>
                </c:pt>
                <c:pt idx="3">
                  <c:v>1.483513337674371</c:v>
                </c:pt>
                <c:pt idx="4">
                  <c:v>1.0132828240571337</c:v>
                </c:pt>
                <c:pt idx="5">
                  <c:v>0.54305231043989655</c:v>
                </c:pt>
                <c:pt idx="6">
                  <c:v>7.2821796822659435E-2</c:v>
                </c:pt>
                <c:pt idx="7">
                  <c:v>-0.39740871679457768</c:v>
                </c:pt>
                <c:pt idx="8">
                  <c:v>-0.86763923041181523</c:v>
                </c:pt>
                <c:pt idx="9">
                  <c:v>-1.3378697440290519</c:v>
                </c:pt>
                <c:pt idx="10">
                  <c:v>-1.8081002576462895</c:v>
                </c:pt>
                <c:pt idx="11">
                  <c:v>-2.2783307712635263</c:v>
                </c:pt>
                <c:pt idx="12">
                  <c:v>-2.7485612848807639</c:v>
                </c:pt>
                <c:pt idx="13">
                  <c:v>-3.2187917984980015</c:v>
                </c:pt>
                <c:pt idx="14">
                  <c:v>-3.6890223121152381</c:v>
                </c:pt>
                <c:pt idx="15">
                  <c:v>-4.1592528257324757</c:v>
                </c:pt>
                <c:pt idx="16">
                  <c:v>-4.6294833393497132</c:v>
                </c:pt>
                <c:pt idx="17">
                  <c:v>-5.0997138529669499</c:v>
                </c:pt>
                <c:pt idx="18">
                  <c:v>-5.5699443665841875</c:v>
                </c:pt>
                <c:pt idx="19">
                  <c:v>-6.0401748802014241</c:v>
                </c:pt>
                <c:pt idx="20">
                  <c:v>-6.5104053938186617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F0C-4533-812D-30EDC8D87E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663544"/>
        <c:axId val="1"/>
      </c:scatterChart>
      <c:valAx>
        <c:axId val="480663544"/>
        <c:scaling>
          <c:orientation val="minMax"/>
          <c:max val="75"/>
          <c:min val="45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16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T (</a:t>
                </a:r>
                <a:r>
                  <a:rPr lang="nl-NL" sz="16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°</a:t>
                </a:r>
                <a:r>
                  <a:rPr lang="nl-NL" sz="16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C)</a:t>
                </a:r>
              </a:p>
            </c:rich>
          </c:tx>
          <c:layout>
            <c:manualLayout>
              <c:xMode val="edge"/>
              <c:yMode val="edge"/>
              <c:x val="0.39716371623759794"/>
              <c:y val="0.9089163563856842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2.5"/>
          <c:min val="-1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Log D (log min)</a:t>
                </a:r>
              </a:p>
            </c:rich>
          </c:tx>
          <c:layout>
            <c:manualLayout>
              <c:xMode val="edge"/>
              <c:yMode val="edge"/>
              <c:x val="7.0921985815602835E-3"/>
              <c:y val="0.3740316181407556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8066354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1489465944416519"/>
          <c:y val="0.18798490304990945"/>
          <c:w val="0.27659619143351755"/>
          <c:h val="0.7984510366436753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Strain differences</a:t>
            </a:r>
          </a:p>
        </c:rich>
      </c:tx>
      <c:layout>
        <c:manualLayout>
          <c:xMode val="edge"/>
          <c:yMode val="edge"/>
          <c:x val="0.37084870848708484"/>
          <c:y val="3.342618384401114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789667896678967"/>
          <c:y val="0.19498607242339833"/>
          <c:w val="0.61992619926199266"/>
          <c:h val="0.65181058495821731"/>
        </c:manualLayout>
      </c:layout>
      <c:scatterChart>
        <c:scatterStyle val="lineMarker"/>
        <c:varyColors val="0"/>
        <c:ser>
          <c:idx val="0"/>
          <c:order val="0"/>
          <c:tx>
            <c:v>All strains</c:v>
          </c:tx>
          <c:xVal>
            <c:numRef>
              <c:f>'E coli'!$J$309:$J$383</c:f>
            </c:numRef>
          </c:xVal>
          <c:yVal>
            <c:numRef>
              <c:f>'E coli'!$M$309:$M$383</c:f>
            </c:numRef>
          </c:yVal>
          <c:smooth val="0"/>
          <c:extLst>
            <c:ext xmlns:c16="http://schemas.microsoft.com/office/drawing/2014/chart" uri="{C3380CC4-5D6E-409C-BE32-E72D297353CC}">
              <c16:uniqueId val="{00000000-8F38-4E9E-8FE7-B8EE20769679}"/>
            </c:ext>
          </c:extLst>
        </c:ser>
        <c:ser>
          <c:idx val="1"/>
          <c:order val="1"/>
          <c:tx>
            <c:v>O157:H7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'E coli'!$J$2:$J$308</c:f>
              <c:numCache>
                <c:formatCode>0</c:formatCode>
                <c:ptCount val="26"/>
                <c:pt idx="0">
                  <c:v>47</c:v>
                </c:pt>
                <c:pt idx="1">
                  <c:v>50</c:v>
                </c:pt>
                <c:pt idx="2">
                  <c:v>53</c:v>
                </c:pt>
                <c:pt idx="3">
                  <c:v>58</c:v>
                </c:pt>
                <c:pt idx="4">
                  <c:v>56</c:v>
                </c:pt>
                <c:pt idx="5">
                  <c:v>56</c:v>
                </c:pt>
                <c:pt idx="6">
                  <c:v>58</c:v>
                </c:pt>
                <c:pt idx="7">
                  <c:v>58</c:v>
                </c:pt>
                <c:pt idx="8">
                  <c:v>60</c:v>
                </c:pt>
                <c:pt idx="9">
                  <c:v>60</c:v>
                </c:pt>
                <c:pt idx="10">
                  <c:v>55</c:v>
                </c:pt>
                <c:pt idx="11">
                  <c:v>58</c:v>
                </c:pt>
                <c:pt idx="12">
                  <c:v>58</c:v>
                </c:pt>
                <c:pt idx="13">
                  <c:v>60</c:v>
                </c:pt>
                <c:pt idx="14">
                  <c:v>56</c:v>
                </c:pt>
                <c:pt idx="15">
                  <c:v>58</c:v>
                </c:pt>
                <c:pt idx="16">
                  <c:v>60</c:v>
                </c:pt>
                <c:pt idx="17">
                  <c:v>56</c:v>
                </c:pt>
                <c:pt idx="18">
                  <c:v>58</c:v>
                </c:pt>
                <c:pt idx="19">
                  <c:v>60</c:v>
                </c:pt>
                <c:pt idx="20">
                  <c:v>56</c:v>
                </c:pt>
                <c:pt idx="21">
                  <c:v>58</c:v>
                </c:pt>
                <c:pt idx="22">
                  <c:v>60</c:v>
                </c:pt>
                <c:pt idx="23">
                  <c:v>56</c:v>
                </c:pt>
                <c:pt idx="24">
                  <c:v>58</c:v>
                </c:pt>
                <c:pt idx="25">
                  <c:v>60</c:v>
                </c:pt>
              </c:numCache>
            </c:numRef>
          </c:xVal>
          <c:yVal>
            <c:numRef>
              <c:f>'E coli'!$M$2:$M$308</c:f>
              <c:numCache>
                <c:formatCode>0.00</c:formatCode>
                <c:ptCount val="26"/>
                <c:pt idx="0">
                  <c:v>2.2922560713564759</c:v>
                </c:pt>
                <c:pt idx="1">
                  <c:v>1.8142475957319202</c:v>
                </c:pt>
                <c:pt idx="2">
                  <c:v>1.335858911319818</c:v>
                </c:pt>
                <c:pt idx="3">
                  <c:v>0</c:v>
                </c:pt>
                <c:pt idx="4">
                  <c:v>0.61278385671973545</c:v>
                </c:pt>
                <c:pt idx="5">
                  <c:v>0.84509804001425681</c:v>
                </c:pt>
                <c:pt idx="6">
                  <c:v>0.27875360095282892</c:v>
                </c:pt>
                <c:pt idx="7">
                  <c:v>0.54406804435027567</c:v>
                </c:pt>
                <c:pt idx="8">
                  <c:v>-9.6910013008056392E-2</c:v>
                </c:pt>
                <c:pt idx="9">
                  <c:v>0.17609125905568124</c:v>
                </c:pt>
                <c:pt idx="10">
                  <c:v>0.69897000433601886</c:v>
                </c:pt>
                <c:pt idx="11">
                  <c:v>0</c:v>
                </c:pt>
                <c:pt idx="12">
                  <c:v>0.3979400086720376</c:v>
                </c:pt>
                <c:pt idx="13">
                  <c:v>-9.6910013008056392E-2</c:v>
                </c:pt>
                <c:pt idx="14">
                  <c:v>0.6020599913279624</c:v>
                </c:pt>
                <c:pt idx="15">
                  <c:v>0.20411998265592479</c:v>
                </c:pt>
                <c:pt idx="16">
                  <c:v>-0.15490195998574319</c:v>
                </c:pt>
                <c:pt idx="17">
                  <c:v>0.78532983501076703</c:v>
                </c:pt>
                <c:pt idx="18">
                  <c:v>0.43136376415898736</c:v>
                </c:pt>
                <c:pt idx="19">
                  <c:v>7.9181246047624818E-2</c:v>
                </c:pt>
                <c:pt idx="20">
                  <c:v>0.87506126339170009</c:v>
                </c:pt>
                <c:pt idx="21">
                  <c:v>0.50514997831990605</c:v>
                </c:pt>
                <c:pt idx="22">
                  <c:v>4.1392685158225077E-2</c:v>
                </c:pt>
                <c:pt idx="23">
                  <c:v>1.0413926851582251</c:v>
                </c:pt>
                <c:pt idx="24">
                  <c:v>0.69897000433601886</c:v>
                </c:pt>
                <c:pt idx="25">
                  <c:v>0.23044892137827391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38-4E9E-8FE7-B8EE207696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362768"/>
        <c:axId val="1"/>
      </c:scatterChart>
      <c:valAx>
        <c:axId val="480362768"/>
        <c:scaling>
          <c:orientation val="minMax"/>
          <c:min val="40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11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T (</a:t>
                </a:r>
                <a:r>
                  <a:rPr lang="nl-NL" sz="11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°</a:t>
                </a:r>
                <a:r>
                  <a:rPr lang="nl-NL" sz="11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0.44649446494464945"/>
              <c:y val="0.8802228412256267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log D</a:t>
                </a:r>
              </a:p>
            </c:rich>
          </c:tx>
          <c:layout>
            <c:manualLayout>
              <c:xMode val="edge"/>
              <c:yMode val="edge"/>
              <c:x val="2.9520295202952029E-2"/>
              <c:y val="0.46518105849582175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8036276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907749077490771"/>
          <c:y val="0.4178272980501393"/>
          <c:w val="0.2416974169741698"/>
          <c:h val="0.2005571030640668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Effect pH</a:t>
            </a:r>
          </a:p>
        </c:rich>
      </c:tx>
      <c:layout>
        <c:manualLayout>
          <c:xMode val="edge"/>
          <c:yMode val="edge"/>
          <c:x val="0.41811883270688721"/>
          <c:y val="3.174603174603174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898969079180742"/>
          <c:y val="0.20899524893365817"/>
          <c:w val="0.69338038077463249"/>
          <c:h val="0.64021329420183892"/>
        </c:manualLayout>
      </c:layout>
      <c:scatterChart>
        <c:scatterStyle val="lineMarker"/>
        <c:varyColors val="0"/>
        <c:ser>
          <c:idx val="0"/>
          <c:order val="0"/>
          <c:tx>
            <c:v>3.9</c:v>
          </c:tx>
          <c:xVal>
            <c:numRef>
              <c:f>'E coli'!$J$3:$J$20</c:f>
            </c:numRef>
          </c:xVal>
          <c:yVal>
            <c:numRef>
              <c:f>'E coli'!$M$3:$M$20</c:f>
            </c:numRef>
          </c:yVal>
          <c:smooth val="0"/>
          <c:extLst>
            <c:ext xmlns:c16="http://schemas.microsoft.com/office/drawing/2014/chart" uri="{C3380CC4-5D6E-409C-BE32-E72D297353CC}">
              <c16:uniqueId val="{00000000-7B64-41F8-BAC3-205B04D8E97D}"/>
            </c:ext>
          </c:extLst>
        </c:ser>
        <c:ser>
          <c:idx val="1"/>
          <c:order val="1"/>
          <c:tx>
            <c:v>4.3</c:v>
          </c:tx>
          <c:xVal>
            <c:numRef>
              <c:f>'E coli'!$J$21:$J$28</c:f>
            </c:numRef>
          </c:xVal>
          <c:yVal>
            <c:numRef>
              <c:f>'E coli'!$M$21:$M$28</c:f>
            </c:numRef>
          </c:yVal>
          <c:smooth val="0"/>
          <c:extLst>
            <c:ext xmlns:c16="http://schemas.microsoft.com/office/drawing/2014/chart" uri="{C3380CC4-5D6E-409C-BE32-E72D297353CC}">
              <c16:uniqueId val="{00000001-7B64-41F8-BAC3-205B04D8E97D}"/>
            </c:ext>
          </c:extLst>
        </c:ser>
        <c:ser>
          <c:idx val="2"/>
          <c:order val="2"/>
          <c:tx>
            <c:v>4.4</c:v>
          </c:tx>
          <c:xVal>
            <c:numRef>
              <c:f>'E coli'!$J$29:$J$31</c:f>
            </c:numRef>
          </c:xVal>
          <c:yVal>
            <c:numRef>
              <c:f>'E coli'!$M$29:$M$31</c:f>
            </c:numRef>
          </c:yVal>
          <c:smooth val="0"/>
          <c:extLst>
            <c:ext xmlns:c16="http://schemas.microsoft.com/office/drawing/2014/chart" uri="{C3380CC4-5D6E-409C-BE32-E72D297353CC}">
              <c16:uniqueId val="{00000002-7B64-41F8-BAC3-205B04D8E97D}"/>
            </c:ext>
          </c:extLst>
        </c:ser>
        <c:ser>
          <c:idx val="3"/>
          <c:order val="3"/>
          <c:tx>
            <c:v>4.5</c:v>
          </c:tx>
          <c:spPr>
            <a:ln w="28575"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'E coli'!$J$32:$J$41</c:f>
              <c:numCache>
                <c:formatCode>0</c:formatCode>
                <c:ptCount val="1"/>
                <c:pt idx="0">
                  <c:v>47</c:v>
                </c:pt>
              </c:numCache>
            </c:numRef>
          </c:xVal>
          <c:yVal>
            <c:numRef>
              <c:f>'E coli'!$M$32:$M$41</c:f>
              <c:numCache>
                <c:formatCode>0.00</c:formatCode>
                <c:ptCount val="1"/>
                <c:pt idx="0">
                  <c:v>2.2922560713564759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B64-41F8-BAC3-205B04D8E97D}"/>
            </c:ext>
          </c:extLst>
        </c:ser>
        <c:ser>
          <c:idx val="4"/>
          <c:order val="4"/>
          <c:tx>
            <c:v>4.8</c:v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'E coli'!$J$43:$J$55</c:f>
              <c:numCache>
                <c:formatCode>0</c:formatCode>
                <c:ptCount val="1"/>
                <c:pt idx="0">
                  <c:v>53</c:v>
                </c:pt>
              </c:numCache>
            </c:numRef>
          </c:xVal>
          <c:yVal>
            <c:numRef>
              <c:f>'E coli'!$M$43:$M$55</c:f>
              <c:numCache>
                <c:formatCode>0.00</c:formatCode>
                <c:ptCount val="1"/>
                <c:pt idx="0">
                  <c:v>1.335858911319818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B64-41F8-BAC3-205B04D8E97D}"/>
            </c:ext>
          </c:extLst>
        </c:ser>
        <c:ser>
          <c:idx val="5"/>
          <c:order val="5"/>
          <c:tx>
            <c:v>5</c:v>
          </c:tx>
          <c:xVal>
            <c:numRef>
              <c:f>'E coli'!$J$57:$J$62</c:f>
            </c:numRef>
          </c:xVal>
          <c:yVal>
            <c:numRef>
              <c:f>'E coli'!$M$57:$M$62</c:f>
            </c:numRef>
          </c:yVal>
          <c:smooth val="0"/>
          <c:extLst>
            <c:ext xmlns:c16="http://schemas.microsoft.com/office/drawing/2014/chart" uri="{C3380CC4-5D6E-409C-BE32-E72D297353CC}">
              <c16:uniqueId val="{00000005-7B64-41F8-BAC3-205B04D8E97D}"/>
            </c:ext>
          </c:extLst>
        </c:ser>
        <c:ser>
          <c:idx val="6"/>
          <c:order val="6"/>
          <c:tx>
            <c:v>6.8</c:v>
          </c:tx>
          <c:xVal>
            <c:numRef>
              <c:f>'E coli'!$J$63:$J$66</c:f>
            </c:numRef>
          </c:xVal>
          <c:yVal>
            <c:numRef>
              <c:f>'E coli'!$M$63:$M$66</c:f>
            </c:numRef>
          </c:yVal>
          <c:smooth val="0"/>
          <c:extLst>
            <c:ext xmlns:c16="http://schemas.microsoft.com/office/drawing/2014/chart" uri="{C3380CC4-5D6E-409C-BE32-E72D297353CC}">
              <c16:uniqueId val="{00000006-7B64-41F8-BAC3-205B04D8E97D}"/>
            </c:ext>
          </c:extLst>
        </c:ser>
        <c:ser>
          <c:idx val="7"/>
          <c:order val="7"/>
          <c:tx>
            <c:v>6.9</c:v>
          </c:tx>
          <c:spPr>
            <a:ln w="28575">
              <a:noFill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'E coli'!$J$67:$J$87</c:f>
              <c:numCache>
                <c:formatCode>0</c:formatCode>
                <c:ptCount val="5"/>
                <c:pt idx="0">
                  <c:v>58</c:v>
                </c:pt>
                <c:pt idx="1">
                  <c:v>56</c:v>
                </c:pt>
                <c:pt idx="2">
                  <c:v>56</c:v>
                </c:pt>
                <c:pt idx="3">
                  <c:v>58</c:v>
                </c:pt>
                <c:pt idx="4">
                  <c:v>58</c:v>
                </c:pt>
              </c:numCache>
            </c:numRef>
          </c:xVal>
          <c:yVal>
            <c:numRef>
              <c:f>'E coli'!$M$67:$M$87</c:f>
              <c:numCache>
                <c:formatCode>0.00</c:formatCode>
                <c:ptCount val="5"/>
                <c:pt idx="0">
                  <c:v>0</c:v>
                </c:pt>
                <c:pt idx="1">
                  <c:v>0.61278385671973545</c:v>
                </c:pt>
                <c:pt idx="2">
                  <c:v>0.84509804001425681</c:v>
                </c:pt>
                <c:pt idx="3">
                  <c:v>0.27875360095282892</c:v>
                </c:pt>
                <c:pt idx="4">
                  <c:v>0.54406804435027567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B64-41F8-BAC3-205B04D8E97D}"/>
            </c:ext>
          </c:extLst>
        </c:ser>
        <c:ser>
          <c:idx val="8"/>
          <c:order val="8"/>
          <c:tx>
            <c:v>7</c:v>
          </c:tx>
          <c:spPr>
            <a:ln w="28575">
              <a:noFill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xVal>
            <c:numRef>
              <c:f>'E coli'!$J$88:$J$101</c:f>
              <c:numCache>
                <c:formatCode>0</c:formatCode>
                <c:ptCount val="14"/>
                <c:pt idx="0">
                  <c:v>60</c:v>
                </c:pt>
                <c:pt idx="1">
                  <c:v>60</c:v>
                </c:pt>
                <c:pt idx="2">
                  <c:v>55</c:v>
                </c:pt>
                <c:pt idx="3">
                  <c:v>58</c:v>
                </c:pt>
                <c:pt idx="4">
                  <c:v>58</c:v>
                </c:pt>
                <c:pt idx="5">
                  <c:v>60</c:v>
                </c:pt>
                <c:pt idx="6">
                  <c:v>56</c:v>
                </c:pt>
                <c:pt idx="7">
                  <c:v>58</c:v>
                </c:pt>
                <c:pt idx="8">
                  <c:v>60</c:v>
                </c:pt>
                <c:pt idx="9">
                  <c:v>56</c:v>
                </c:pt>
                <c:pt idx="10">
                  <c:v>58</c:v>
                </c:pt>
                <c:pt idx="11">
                  <c:v>60</c:v>
                </c:pt>
                <c:pt idx="12">
                  <c:v>56</c:v>
                </c:pt>
                <c:pt idx="13">
                  <c:v>58</c:v>
                </c:pt>
              </c:numCache>
            </c:numRef>
          </c:xVal>
          <c:yVal>
            <c:numRef>
              <c:f>'E coli'!$M$88:$M$101</c:f>
              <c:numCache>
                <c:formatCode>0.00</c:formatCode>
                <c:ptCount val="14"/>
                <c:pt idx="0">
                  <c:v>-9.6910013008056392E-2</c:v>
                </c:pt>
                <c:pt idx="1">
                  <c:v>0.17609125905568124</c:v>
                </c:pt>
                <c:pt idx="2">
                  <c:v>0.69897000433601886</c:v>
                </c:pt>
                <c:pt idx="3">
                  <c:v>0</c:v>
                </c:pt>
                <c:pt idx="4">
                  <c:v>0.3979400086720376</c:v>
                </c:pt>
                <c:pt idx="5">
                  <c:v>-9.6910013008056392E-2</c:v>
                </c:pt>
                <c:pt idx="6">
                  <c:v>0.6020599913279624</c:v>
                </c:pt>
                <c:pt idx="7">
                  <c:v>0.20411998265592479</c:v>
                </c:pt>
                <c:pt idx="8">
                  <c:v>-0.15490195998574319</c:v>
                </c:pt>
                <c:pt idx="9">
                  <c:v>0.78532983501076703</c:v>
                </c:pt>
                <c:pt idx="10">
                  <c:v>0.43136376415898736</c:v>
                </c:pt>
                <c:pt idx="11">
                  <c:v>7.9181246047624818E-2</c:v>
                </c:pt>
                <c:pt idx="12">
                  <c:v>0.87506126339170009</c:v>
                </c:pt>
                <c:pt idx="13">
                  <c:v>0.50514997831990605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B64-41F8-BAC3-205B04D8E97D}"/>
            </c:ext>
          </c:extLst>
        </c:ser>
        <c:ser>
          <c:idx val="9"/>
          <c:order val="9"/>
          <c:tx>
            <c:v>7.3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CCFFFF"/>
              </a:solidFill>
              <a:ln>
                <a:solidFill>
                  <a:srgbClr val="CCFFFF"/>
                </a:solidFill>
                <a:prstDash val="solid"/>
              </a:ln>
            </c:spPr>
          </c:marker>
          <c:xVal>
            <c:numRef>
              <c:f>'E coli'!$J$102:$J$105</c:f>
              <c:numCache>
                <c:formatCode>0</c:formatCode>
                <c:ptCount val="4"/>
                <c:pt idx="0">
                  <c:v>60</c:v>
                </c:pt>
                <c:pt idx="1">
                  <c:v>56</c:v>
                </c:pt>
                <c:pt idx="2">
                  <c:v>58</c:v>
                </c:pt>
                <c:pt idx="3">
                  <c:v>60</c:v>
                </c:pt>
              </c:numCache>
            </c:numRef>
          </c:xVal>
          <c:yVal>
            <c:numRef>
              <c:f>'E coli'!$M$102:$M$105</c:f>
              <c:numCache>
                <c:formatCode>0.00</c:formatCode>
                <c:ptCount val="4"/>
                <c:pt idx="0">
                  <c:v>4.1392685158225077E-2</c:v>
                </c:pt>
                <c:pt idx="1">
                  <c:v>1.0413926851582251</c:v>
                </c:pt>
                <c:pt idx="2">
                  <c:v>0.69897000433601886</c:v>
                </c:pt>
                <c:pt idx="3">
                  <c:v>0.23044892137827391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B64-41F8-BAC3-205B04D8E97D}"/>
            </c:ext>
          </c:extLst>
        </c:ser>
        <c:ser>
          <c:idx val="10"/>
          <c:order val="10"/>
          <c:tx>
            <c:v>7.6</c:v>
          </c:tx>
          <c:xVal>
            <c:numRef>
              <c:f>'E coli'!$J$106:$J$109</c:f>
            </c:numRef>
          </c:xVal>
          <c:yVal>
            <c:numRef>
              <c:f>'E coli'!$M$106:$M$109</c:f>
            </c:numRef>
          </c:yVal>
          <c:smooth val="0"/>
          <c:extLst>
            <c:ext xmlns:c16="http://schemas.microsoft.com/office/drawing/2014/chart" uri="{C3380CC4-5D6E-409C-BE32-E72D297353CC}">
              <c16:uniqueId val="{0000000A-7B64-41F8-BAC3-205B04D8E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365288"/>
        <c:axId val="1"/>
      </c:scatterChart>
      <c:valAx>
        <c:axId val="480365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T</a:t>
                </a:r>
              </a:p>
            </c:rich>
          </c:tx>
          <c:layout>
            <c:manualLayout>
              <c:xMode val="edge"/>
              <c:yMode val="edge"/>
              <c:x val="0.50174252608667813"/>
              <c:y val="0.883600105542362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log D</a:t>
                </a:r>
              </a:p>
            </c:rich>
          </c:tx>
          <c:layout>
            <c:manualLayout>
              <c:xMode val="edge"/>
              <c:yMode val="edge"/>
              <c:x val="2.7874564459930314E-2"/>
              <c:y val="0.46825507922620779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8036528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637703823607408"/>
          <c:y val="0.21428626977183407"/>
          <c:w val="6.9686411149825767E-2"/>
          <c:h val="0.6666683331250260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6649513412108"/>
          <c:y val="2.5119617224880382E-2"/>
          <c:w val="0.65635039539337403"/>
          <c:h val="0.91028708133971292"/>
        </c:manualLayout>
      </c:layout>
      <c:scatterChart>
        <c:scatterStyle val="lineMarker"/>
        <c:varyColors val="0"/>
        <c:ser>
          <c:idx val="1"/>
          <c:order val="0"/>
          <c:tx>
            <c:v>Beef</c:v>
          </c:tx>
          <c:spPr>
            <a:ln w="28575">
              <a:noFill/>
            </a:ln>
          </c:spPr>
          <c:marker>
            <c:symbol val="square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Listeria!$I$339:$I$477</c:f>
              <c:numCache>
                <c:formatCode>General</c:formatCode>
                <c:ptCount val="139"/>
                <c:pt idx="0">
                  <c:v>60</c:v>
                </c:pt>
                <c:pt idx="1">
                  <c:v>60</c:v>
                </c:pt>
                <c:pt idx="2">
                  <c:v>51.7</c:v>
                </c:pt>
                <c:pt idx="3">
                  <c:v>57.2</c:v>
                </c:pt>
                <c:pt idx="4">
                  <c:v>62.8</c:v>
                </c:pt>
                <c:pt idx="5">
                  <c:v>50</c:v>
                </c:pt>
                <c:pt idx="6">
                  <c:v>55</c:v>
                </c:pt>
                <c:pt idx="7">
                  <c:v>60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54.4</c:v>
                </c:pt>
                <c:pt idx="12">
                  <c:v>57.2</c:v>
                </c:pt>
                <c:pt idx="13">
                  <c:v>60</c:v>
                </c:pt>
                <c:pt idx="14">
                  <c:v>62.8</c:v>
                </c:pt>
                <c:pt idx="15">
                  <c:v>54.4</c:v>
                </c:pt>
                <c:pt idx="16">
                  <c:v>57.2</c:v>
                </c:pt>
                <c:pt idx="17">
                  <c:v>60</c:v>
                </c:pt>
                <c:pt idx="18">
                  <c:v>62.8</c:v>
                </c:pt>
                <c:pt idx="19">
                  <c:v>55</c:v>
                </c:pt>
                <c:pt idx="20">
                  <c:v>55</c:v>
                </c:pt>
                <c:pt idx="21">
                  <c:v>55</c:v>
                </c:pt>
                <c:pt idx="22">
                  <c:v>55</c:v>
                </c:pt>
                <c:pt idx="23">
                  <c:v>55</c:v>
                </c:pt>
                <c:pt idx="24">
                  <c:v>55</c:v>
                </c:pt>
                <c:pt idx="25">
                  <c:v>51.7</c:v>
                </c:pt>
                <c:pt idx="26">
                  <c:v>57.2</c:v>
                </c:pt>
                <c:pt idx="27">
                  <c:v>62.8</c:v>
                </c:pt>
                <c:pt idx="28">
                  <c:v>60</c:v>
                </c:pt>
                <c:pt idx="29">
                  <c:v>62</c:v>
                </c:pt>
                <c:pt idx="30">
                  <c:v>64.5</c:v>
                </c:pt>
                <c:pt idx="31">
                  <c:v>70</c:v>
                </c:pt>
                <c:pt idx="32">
                  <c:v>60</c:v>
                </c:pt>
                <c:pt idx="33">
                  <c:v>62</c:v>
                </c:pt>
                <c:pt idx="34">
                  <c:v>64.5</c:v>
                </c:pt>
                <c:pt idx="35">
                  <c:v>70</c:v>
                </c:pt>
                <c:pt idx="36">
                  <c:v>54.4</c:v>
                </c:pt>
                <c:pt idx="37">
                  <c:v>54.4</c:v>
                </c:pt>
                <c:pt idx="38">
                  <c:v>57.2</c:v>
                </c:pt>
                <c:pt idx="39">
                  <c:v>57.2</c:v>
                </c:pt>
                <c:pt idx="40">
                  <c:v>60</c:v>
                </c:pt>
                <c:pt idx="41">
                  <c:v>60</c:v>
                </c:pt>
                <c:pt idx="42">
                  <c:v>62.8</c:v>
                </c:pt>
                <c:pt idx="43">
                  <c:v>62.8</c:v>
                </c:pt>
                <c:pt idx="44">
                  <c:v>54.4</c:v>
                </c:pt>
                <c:pt idx="45">
                  <c:v>54.4</c:v>
                </c:pt>
                <c:pt idx="46">
                  <c:v>57.2</c:v>
                </c:pt>
                <c:pt idx="47">
                  <c:v>57.2</c:v>
                </c:pt>
                <c:pt idx="48">
                  <c:v>60</c:v>
                </c:pt>
                <c:pt idx="49">
                  <c:v>60</c:v>
                </c:pt>
                <c:pt idx="50">
                  <c:v>62.8</c:v>
                </c:pt>
                <c:pt idx="51">
                  <c:v>62.8</c:v>
                </c:pt>
                <c:pt idx="52">
                  <c:v>60</c:v>
                </c:pt>
                <c:pt idx="53">
                  <c:v>64.5</c:v>
                </c:pt>
                <c:pt idx="54">
                  <c:v>70</c:v>
                </c:pt>
                <c:pt idx="55">
                  <c:v>50</c:v>
                </c:pt>
                <c:pt idx="56">
                  <c:v>50</c:v>
                </c:pt>
                <c:pt idx="57">
                  <c:v>55</c:v>
                </c:pt>
                <c:pt idx="58">
                  <c:v>55</c:v>
                </c:pt>
                <c:pt idx="59">
                  <c:v>60</c:v>
                </c:pt>
                <c:pt idx="60">
                  <c:v>60</c:v>
                </c:pt>
                <c:pt idx="61">
                  <c:v>48</c:v>
                </c:pt>
                <c:pt idx="62">
                  <c:v>48</c:v>
                </c:pt>
                <c:pt idx="63">
                  <c:v>52</c:v>
                </c:pt>
                <c:pt idx="64">
                  <c:v>52</c:v>
                </c:pt>
                <c:pt idx="65">
                  <c:v>56</c:v>
                </c:pt>
                <c:pt idx="66">
                  <c:v>56</c:v>
                </c:pt>
                <c:pt idx="67">
                  <c:v>54.4</c:v>
                </c:pt>
                <c:pt idx="68">
                  <c:v>54.4</c:v>
                </c:pt>
                <c:pt idx="69">
                  <c:v>57.2</c:v>
                </c:pt>
                <c:pt idx="70">
                  <c:v>57.2</c:v>
                </c:pt>
                <c:pt idx="71">
                  <c:v>60</c:v>
                </c:pt>
                <c:pt idx="72">
                  <c:v>62.8</c:v>
                </c:pt>
                <c:pt idx="73">
                  <c:v>62.8</c:v>
                </c:pt>
                <c:pt idx="74">
                  <c:v>50</c:v>
                </c:pt>
                <c:pt idx="75">
                  <c:v>55</c:v>
                </c:pt>
                <c:pt idx="76">
                  <c:v>60</c:v>
                </c:pt>
                <c:pt idx="77">
                  <c:v>64.5</c:v>
                </c:pt>
                <c:pt idx="78">
                  <c:v>70</c:v>
                </c:pt>
                <c:pt idx="79">
                  <c:v>60</c:v>
                </c:pt>
                <c:pt idx="80">
                  <c:v>65</c:v>
                </c:pt>
                <c:pt idx="81">
                  <c:v>70</c:v>
                </c:pt>
                <c:pt idx="82">
                  <c:v>54.4</c:v>
                </c:pt>
                <c:pt idx="83">
                  <c:v>54.4</c:v>
                </c:pt>
                <c:pt idx="84">
                  <c:v>57.2</c:v>
                </c:pt>
                <c:pt idx="85">
                  <c:v>57.2</c:v>
                </c:pt>
                <c:pt idx="86">
                  <c:v>60</c:v>
                </c:pt>
                <c:pt idx="87">
                  <c:v>60</c:v>
                </c:pt>
                <c:pt idx="88">
                  <c:v>62.8</c:v>
                </c:pt>
                <c:pt idx="89">
                  <c:v>62.8</c:v>
                </c:pt>
                <c:pt idx="90">
                  <c:v>48</c:v>
                </c:pt>
                <c:pt idx="91">
                  <c:v>48</c:v>
                </c:pt>
                <c:pt idx="92">
                  <c:v>52</c:v>
                </c:pt>
                <c:pt idx="93">
                  <c:v>52</c:v>
                </c:pt>
                <c:pt idx="94">
                  <c:v>56</c:v>
                </c:pt>
                <c:pt idx="95">
                  <c:v>56</c:v>
                </c:pt>
                <c:pt idx="96">
                  <c:v>60</c:v>
                </c:pt>
                <c:pt idx="97">
                  <c:v>60</c:v>
                </c:pt>
                <c:pt idx="98">
                  <c:v>62</c:v>
                </c:pt>
                <c:pt idx="99">
                  <c:v>62</c:v>
                </c:pt>
                <c:pt idx="100">
                  <c:v>64</c:v>
                </c:pt>
                <c:pt idx="101">
                  <c:v>64</c:v>
                </c:pt>
                <c:pt idx="102">
                  <c:v>66</c:v>
                </c:pt>
                <c:pt idx="103">
                  <c:v>66</c:v>
                </c:pt>
                <c:pt idx="104">
                  <c:v>68</c:v>
                </c:pt>
                <c:pt idx="105">
                  <c:v>68</c:v>
                </c:pt>
                <c:pt idx="106">
                  <c:v>70</c:v>
                </c:pt>
                <c:pt idx="107">
                  <c:v>70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60</c:v>
                </c:pt>
                <c:pt idx="121">
                  <c:v>64.5</c:v>
                </c:pt>
                <c:pt idx="122">
                  <c:v>60</c:v>
                </c:pt>
                <c:pt idx="123">
                  <c:v>64.5</c:v>
                </c:pt>
                <c:pt idx="124">
                  <c:v>60</c:v>
                </c:pt>
                <c:pt idx="125">
                  <c:v>64.5</c:v>
                </c:pt>
                <c:pt idx="126">
                  <c:v>60</c:v>
                </c:pt>
                <c:pt idx="127">
                  <c:v>64.5</c:v>
                </c:pt>
                <c:pt idx="128">
                  <c:v>70</c:v>
                </c:pt>
                <c:pt idx="129">
                  <c:v>60</c:v>
                </c:pt>
                <c:pt idx="130">
                  <c:v>64.5</c:v>
                </c:pt>
                <c:pt idx="131">
                  <c:v>70</c:v>
                </c:pt>
                <c:pt idx="132">
                  <c:v>62</c:v>
                </c:pt>
                <c:pt idx="133">
                  <c:v>62</c:v>
                </c:pt>
                <c:pt idx="134">
                  <c:v>50</c:v>
                </c:pt>
                <c:pt idx="135">
                  <c:v>55</c:v>
                </c:pt>
                <c:pt idx="136">
                  <c:v>60</c:v>
                </c:pt>
                <c:pt idx="137">
                  <c:v>65</c:v>
                </c:pt>
                <c:pt idx="138">
                  <c:v>70</c:v>
                </c:pt>
              </c:numCache>
            </c:numRef>
          </c:xVal>
          <c:yVal>
            <c:numRef>
              <c:f>Listeria!$L$339:$L$477</c:f>
              <c:numCache>
                <c:formatCode>0.00</c:formatCode>
                <c:ptCount val="139"/>
                <c:pt idx="0">
                  <c:v>0.59988307207368785</c:v>
                </c:pt>
                <c:pt idx="1">
                  <c:v>1.0334237554869496</c:v>
                </c:pt>
                <c:pt idx="2">
                  <c:v>1.9100905455940682</c:v>
                </c:pt>
                <c:pt idx="3">
                  <c:v>0.41497334797081797</c:v>
                </c:pt>
                <c:pt idx="4">
                  <c:v>-0.22184874961635639</c:v>
                </c:pt>
                <c:pt idx="5">
                  <c:v>1.5575072019056579</c:v>
                </c:pt>
                <c:pt idx="6">
                  <c:v>0.54777470538782258</c:v>
                </c:pt>
                <c:pt idx="7">
                  <c:v>-0.48148606012211248</c:v>
                </c:pt>
                <c:pt idx="8">
                  <c:v>1.6384892569546374</c:v>
                </c:pt>
                <c:pt idx="9">
                  <c:v>0.49692964807321494</c:v>
                </c:pt>
                <c:pt idx="10">
                  <c:v>-0.61978875828839397</c:v>
                </c:pt>
                <c:pt idx="11">
                  <c:v>1.3502480183341627</c:v>
                </c:pt>
                <c:pt idx="12">
                  <c:v>1.1958996524092338</c:v>
                </c:pt>
                <c:pt idx="13">
                  <c:v>0.6503075231319364</c:v>
                </c:pt>
                <c:pt idx="14">
                  <c:v>0.40823996531184958</c:v>
                </c:pt>
                <c:pt idx="15">
                  <c:v>1.0969100130080565</c:v>
                </c:pt>
                <c:pt idx="16">
                  <c:v>0.53275437899249778</c:v>
                </c:pt>
                <c:pt idx="17">
                  <c:v>0.20951501454263097</c:v>
                </c:pt>
                <c:pt idx="18">
                  <c:v>-0.13667713987954411</c:v>
                </c:pt>
                <c:pt idx="19">
                  <c:v>0.46834733041215726</c:v>
                </c:pt>
                <c:pt idx="20">
                  <c:v>0.59439255037542671</c:v>
                </c:pt>
                <c:pt idx="21">
                  <c:v>0.37839790094813769</c:v>
                </c:pt>
                <c:pt idx="22">
                  <c:v>0.3979400086720376</c:v>
                </c:pt>
                <c:pt idx="23">
                  <c:v>0.33645973384852951</c:v>
                </c:pt>
                <c:pt idx="24">
                  <c:v>0.31175386105575426</c:v>
                </c:pt>
                <c:pt idx="25">
                  <c:v>1.8518696007297664</c:v>
                </c:pt>
                <c:pt idx="26">
                  <c:v>0.76342799356293722</c:v>
                </c:pt>
                <c:pt idx="27">
                  <c:v>7.9181246047624818E-2</c:v>
                </c:pt>
                <c:pt idx="28">
                  <c:v>0.92012332629072391</c:v>
                </c:pt>
                <c:pt idx="29">
                  <c:v>0.62324929039790045</c:v>
                </c:pt>
                <c:pt idx="30">
                  <c:v>0.34044411484011833</c:v>
                </c:pt>
                <c:pt idx="31">
                  <c:v>-0.69897000433601875</c:v>
                </c:pt>
                <c:pt idx="32">
                  <c:v>0.79726754083071638</c:v>
                </c:pt>
                <c:pt idx="33">
                  <c:v>0.46239799789895608</c:v>
                </c:pt>
                <c:pt idx="34">
                  <c:v>0.34439227368511072</c:v>
                </c:pt>
                <c:pt idx="35">
                  <c:v>-0.85387196432176193</c:v>
                </c:pt>
                <c:pt idx="36">
                  <c:v>1.0969100130080565</c:v>
                </c:pt>
                <c:pt idx="37">
                  <c:v>0.83505610172011624</c:v>
                </c:pt>
                <c:pt idx="38">
                  <c:v>0.53275437899249778</c:v>
                </c:pt>
                <c:pt idx="39">
                  <c:v>0.2944662261615929</c:v>
                </c:pt>
                <c:pt idx="40">
                  <c:v>0.20951501454263097</c:v>
                </c:pt>
                <c:pt idx="41">
                  <c:v>4.5322978786657475E-2</c:v>
                </c:pt>
                <c:pt idx="42">
                  <c:v>-0.13667713987954411</c:v>
                </c:pt>
                <c:pt idx="43">
                  <c:v>-0.32790214206428259</c:v>
                </c:pt>
                <c:pt idx="44">
                  <c:v>1.3502480183341627</c:v>
                </c:pt>
                <c:pt idx="45">
                  <c:v>1.2855573090077739</c:v>
                </c:pt>
                <c:pt idx="46">
                  <c:v>1.1958996524092338</c:v>
                </c:pt>
                <c:pt idx="47">
                  <c:v>1.2455126678141499</c:v>
                </c:pt>
                <c:pt idx="48">
                  <c:v>0.6503075231319364</c:v>
                </c:pt>
                <c:pt idx="49">
                  <c:v>0.54406804435027567</c:v>
                </c:pt>
                <c:pt idx="50">
                  <c:v>0.40823996531184958</c:v>
                </c:pt>
                <c:pt idx="51">
                  <c:v>0.45024910831936105</c:v>
                </c:pt>
                <c:pt idx="52">
                  <c:v>0.40483371661993806</c:v>
                </c:pt>
                <c:pt idx="53">
                  <c:v>-0.12493873660829995</c:v>
                </c:pt>
                <c:pt idx="54">
                  <c:v>-0.63827216398240705</c:v>
                </c:pt>
                <c:pt idx="55">
                  <c:v>1.5145477526602862</c:v>
                </c:pt>
                <c:pt idx="56">
                  <c:v>1.5575072019056579</c:v>
                </c:pt>
                <c:pt idx="57">
                  <c:v>0.53147891704225514</c:v>
                </c:pt>
                <c:pt idx="58">
                  <c:v>0.50514997831990605</c:v>
                </c:pt>
                <c:pt idx="59">
                  <c:v>-0.50863830616572736</c:v>
                </c:pt>
                <c:pt idx="60">
                  <c:v>-0.82390874094431876</c:v>
                </c:pt>
                <c:pt idx="61">
                  <c:v>1.8698182079793282</c:v>
                </c:pt>
                <c:pt idx="62">
                  <c:v>1.8182258936139555</c:v>
                </c:pt>
                <c:pt idx="63">
                  <c:v>1.2121876044039579</c:v>
                </c:pt>
                <c:pt idx="64">
                  <c:v>1.3283796034387378</c:v>
                </c:pt>
                <c:pt idx="65">
                  <c:v>0.36172783601759284</c:v>
                </c:pt>
                <c:pt idx="66">
                  <c:v>0.47712125471966244</c:v>
                </c:pt>
                <c:pt idx="67">
                  <c:v>0.83250891270623628</c:v>
                </c:pt>
                <c:pt idx="68">
                  <c:v>1.1139433523068367</c:v>
                </c:pt>
                <c:pt idx="69">
                  <c:v>0.3010299956639812</c:v>
                </c:pt>
                <c:pt idx="70">
                  <c:v>0.53147891704225514</c:v>
                </c:pt>
                <c:pt idx="71">
                  <c:v>0.20411998265592479</c:v>
                </c:pt>
                <c:pt idx="72">
                  <c:v>-0.3010299956639812</c:v>
                </c:pt>
                <c:pt idx="73">
                  <c:v>-0.15490195998574319</c:v>
                </c:pt>
                <c:pt idx="74">
                  <c:v>1.9294189257142926</c:v>
                </c:pt>
                <c:pt idx="75">
                  <c:v>1.3222192947339193</c:v>
                </c:pt>
                <c:pt idx="76">
                  <c:v>0.57978359661681012</c:v>
                </c:pt>
                <c:pt idx="77">
                  <c:v>-3.1517051446064863E-2</c:v>
                </c:pt>
                <c:pt idx="78">
                  <c:v>-0.85387196432176193</c:v>
                </c:pt>
                <c:pt idx="79">
                  <c:v>0.65321251377534373</c:v>
                </c:pt>
                <c:pt idx="80">
                  <c:v>-0.18708664335714442</c:v>
                </c:pt>
                <c:pt idx="81">
                  <c:v>-0.82390874094431876</c:v>
                </c:pt>
                <c:pt idx="82">
                  <c:v>1.2787536009528289</c:v>
                </c:pt>
                <c:pt idx="83">
                  <c:v>1.3424226808222062</c:v>
                </c:pt>
                <c:pt idx="84">
                  <c:v>1.2041199826559248</c:v>
                </c:pt>
                <c:pt idx="85">
                  <c:v>1.255272505103306</c:v>
                </c:pt>
                <c:pt idx="86">
                  <c:v>0.54406804435027567</c:v>
                </c:pt>
                <c:pt idx="87">
                  <c:v>0.65321251377534373</c:v>
                </c:pt>
                <c:pt idx="88">
                  <c:v>0.41497334797081797</c:v>
                </c:pt>
                <c:pt idx="89">
                  <c:v>0.44715803134221921</c:v>
                </c:pt>
                <c:pt idx="90">
                  <c:v>1.9474337218870508</c:v>
                </c:pt>
                <c:pt idx="91">
                  <c:v>1.9666109866819343</c:v>
                </c:pt>
                <c:pt idx="92">
                  <c:v>1.4265112613645752</c:v>
                </c:pt>
                <c:pt idx="93">
                  <c:v>1.4623979978989561</c:v>
                </c:pt>
                <c:pt idx="94">
                  <c:v>0.49136169383427269</c:v>
                </c:pt>
                <c:pt idx="95">
                  <c:v>0.51851393987788741</c:v>
                </c:pt>
                <c:pt idx="96">
                  <c:v>0.79726754083071638</c:v>
                </c:pt>
                <c:pt idx="97">
                  <c:v>0.92012332629072391</c:v>
                </c:pt>
                <c:pt idx="98">
                  <c:v>0.46239799789895608</c:v>
                </c:pt>
                <c:pt idx="99">
                  <c:v>0.62324929039790045</c:v>
                </c:pt>
                <c:pt idx="100">
                  <c:v>0.34044411484011833</c:v>
                </c:pt>
                <c:pt idx="101">
                  <c:v>0.34439227368511072</c:v>
                </c:pt>
                <c:pt idx="102">
                  <c:v>-3.1517051446064863E-2</c:v>
                </c:pt>
                <c:pt idx="103">
                  <c:v>-2.6872146400301365E-2</c:v>
                </c:pt>
                <c:pt idx="104">
                  <c:v>-0.56863623584101264</c:v>
                </c:pt>
                <c:pt idx="105">
                  <c:v>-0.45593195564972439</c:v>
                </c:pt>
                <c:pt idx="106">
                  <c:v>-0.85387196432176193</c:v>
                </c:pt>
                <c:pt idx="107">
                  <c:v>-0.69897000433601875</c:v>
                </c:pt>
                <c:pt idx="108">
                  <c:v>0.92012332629072391</c:v>
                </c:pt>
                <c:pt idx="109">
                  <c:v>0.79726754083071638</c:v>
                </c:pt>
                <c:pt idx="110">
                  <c:v>6.069784035361165E-2</c:v>
                </c:pt>
                <c:pt idx="111">
                  <c:v>0.29003461136251801</c:v>
                </c:pt>
                <c:pt idx="112">
                  <c:v>0.48713837547718647</c:v>
                </c:pt>
                <c:pt idx="113">
                  <c:v>0.58319877396862274</c:v>
                </c:pt>
                <c:pt idx="114">
                  <c:v>0.93701610746481423</c:v>
                </c:pt>
                <c:pt idx="115">
                  <c:v>0.8965262174895553</c:v>
                </c:pt>
                <c:pt idx="116">
                  <c:v>0.60530504614110947</c:v>
                </c:pt>
                <c:pt idx="117">
                  <c:v>0.97818051693741392</c:v>
                </c:pt>
                <c:pt idx="118">
                  <c:v>1.09795107099415</c:v>
                </c:pt>
                <c:pt idx="119">
                  <c:v>1.0874264570362855</c:v>
                </c:pt>
                <c:pt idx="120">
                  <c:v>0.82607480270082645</c:v>
                </c:pt>
                <c:pt idx="121">
                  <c:v>0.14612803567823801</c:v>
                </c:pt>
                <c:pt idx="122">
                  <c:v>0.80617997398388719</c:v>
                </c:pt>
                <c:pt idx="123">
                  <c:v>0.20411998265592479</c:v>
                </c:pt>
                <c:pt idx="124">
                  <c:v>0.85125834871907524</c:v>
                </c:pt>
                <c:pt idx="125">
                  <c:v>0.23044892137827391</c:v>
                </c:pt>
                <c:pt idx="126">
                  <c:v>0.17609125905568124</c:v>
                </c:pt>
                <c:pt idx="127">
                  <c:v>-5.551732784983137E-2</c:v>
                </c:pt>
                <c:pt idx="128">
                  <c:v>-0.32790214206428259</c:v>
                </c:pt>
                <c:pt idx="129">
                  <c:v>0.21218760440395779</c:v>
                </c:pt>
                <c:pt idx="130">
                  <c:v>-0.25181197299379954</c:v>
                </c:pt>
                <c:pt idx="131">
                  <c:v>-0.43179827593300502</c:v>
                </c:pt>
                <c:pt idx="132">
                  <c:v>0.46239799789895608</c:v>
                </c:pt>
                <c:pt idx="133">
                  <c:v>0.62324929039790045</c:v>
                </c:pt>
                <c:pt idx="134">
                  <c:v>1.9294189257142926</c:v>
                </c:pt>
                <c:pt idx="135">
                  <c:v>1.3222192947339193</c:v>
                </c:pt>
                <c:pt idx="136">
                  <c:v>0.57978359661681012</c:v>
                </c:pt>
                <c:pt idx="137">
                  <c:v>-3.1517051446064863E-2</c:v>
                </c:pt>
                <c:pt idx="138">
                  <c:v>-0.85387196432176193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65-471E-A613-23596119A1EA}"/>
            </c:ext>
          </c:extLst>
        </c:ser>
        <c:ser>
          <c:idx val="6"/>
          <c:order val="1"/>
          <c:tx>
            <c:v>Chicken</c:v>
          </c:tx>
          <c:spPr>
            <a:ln w="28575"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333333"/>
                </a:solidFill>
                <a:prstDash val="solid"/>
              </a:ln>
            </c:spPr>
          </c:marker>
          <c:xVal>
            <c:numRef>
              <c:f>Listeria!$I$478:$I$566</c:f>
              <c:numCache>
                <c:formatCode>General</c:formatCode>
                <c:ptCount val="8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55</c:v>
                </c:pt>
                <c:pt idx="6">
                  <c:v>57.5</c:v>
                </c:pt>
                <c:pt idx="7">
                  <c:v>60</c:v>
                </c:pt>
                <c:pt idx="8">
                  <c:v>62.5</c:v>
                </c:pt>
                <c:pt idx="9">
                  <c:v>65</c:v>
                </c:pt>
                <c:pt idx="10">
                  <c:v>67.5</c:v>
                </c:pt>
                <c:pt idx="11">
                  <c:v>70</c:v>
                </c:pt>
                <c:pt idx="12">
                  <c:v>60</c:v>
                </c:pt>
                <c:pt idx="13">
                  <c:v>62</c:v>
                </c:pt>
                <c:pt idx="14">
                  <c:v>64.5</c:v>
                </c:pt>
                <c:pt idx="15">
                  <c:v>70</c:v>
                </c:pt>
                <c:pt idx="16">
                  <c:v>60</c:v>
                </c:pt>
                <c:pt idx="17">
                  <c:v>62</c:v>
                </c:pt>
                <c:pt idx="18">
                  <c:v>64.5</c:v>
                </c:pt>
                <c:pt idx="19">
                  <c:v>70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  <c:pt idx="25">
                  <c:v>50</c:v>
                </c:pt>
                <c:pt idx="26">
                  <c:v>50</c:v>
                </c:pt>
                <c:pt idx="27">
                  <c:v>50</c:v>
                </c:pt>
                <c:pt idx="28">
                  <c:v>50</c:v>
                </c:pt>
                <c:pt idx="29">
                  <c:v>50</c:v>
                </c:pt>
                <c:pt idx="30">
                  <c:v>55</c:v>
                </c:pt>
                <c:pt idx="31">
                  <c:v>55</c:v>
                </c:pt>
                <c:pt idx="32">
                  <c:v>55</c:v>
                </c:pt>
                <c:pt idx="33">
                  <c:v>55</c:v>
                </c:pt>
                <c:pt idx="34">
                  <c:v>55</c:v>
                </c:pt>
                <c:pt idx="35">
                  <c:v>55</c:v>
                </c:pt>
                <c:pt idx="36">
                  <c:v>55</c:v>
                </c:pt>
                <c:pt idx="37">
                  <c:v>55</c:v>
                </c:pt>
                <c:pt idx="38">
                  <c:v>55</c:v>
                </c:pt>
                <c:pt idx="39">
                  <c:v>55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65</c:v>
                </c:pt>
                <c:pt idx="51">
                  <c:v>65</c:v>
                </c:pt>
                <c:pt idx="52">
                  <c:v>65</c:v>
                </c:pt>
                <c:pt idx="53">
                  <c:v>65</c:v>
                </c:pt>
                <c:pt idx="54">
                  <c:v>65</c:v>
                </c:pt>
                <c:pt idx="55">
                  <c:v>65</c:v>
                </c:pt>
                <c:pt idx="56">
                  <c:v>65</c:v>
                </c:pt>
                <c:pt idx="57">
                  <c:v>65</c:v>
                </c:pt>
                <c:pt idx="58">
                  <c:v>65</c:v>
                </c:pt>
                <c:pt idx="59">
                  <c:v>65</c:v>
                </c:pt>
                <c:pt idx="60">
                  <c:v>60</c:v>
                </c:pt>
                <c:pt idx="61">
                  <c:v>60</c:v>
                </c:pt>
                <c:pt idx="62">
                  <c:v>62</c:v>
                </c:pt>
                <c:pt idx="63">
                  <c:v>62</c:v>
                </c:pt>
                <c:pt idx="64">
                  <c:v>64</c:v>
                </c:pt>
                <c:pt idx="65">
                  <c:v>64</c:v>
                </c:pt>
                <c:pt idx="66">
                  <c:v>66</c:v>
                </c:pt>
                <c:pt idx="67">
                  <c:v>66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50</c:v>
                </c:pt>
                <c:pt idx="73">
                  <c:v>55</c:v>
                </c:pt>
                <c:pt idx="74">
                  <c:v>60</c:v>
                </c:pt>
                <c:pt idx="75">
                  <c:v>65</c:v>
                </c:pt>
                <c:pt idx="76">
                  <c:v>70</c:v>
                </c:pt>
                <c:pt idx="77">
                  <c:v>50</c:v>
                </c:pt>
                <c:pt idx="78">
                  <c:v>55</c:v>
                </c:pt>
                <c:pt idx="79">
                  <c:v>60</c:v>
                </c:pt>
                <c:pt idx="80">
                  <c:v>64.5</c:v>
                </c:pt>
                <c:pt idx="81">
                  <c:v>70</c:v>
                </c:pt>
                <c:pt idx="82">
                  <c:v>50</c:v>
                </c:pt>
                <c:pt idx="83">
                  <c:v>55</c:v>
                </c:pt>
                <c:pt idx="84">
                  <c:v>60</c:v>
                </c:pt>
                <c:pt idx="85">
                  <c:v>64.5</c:v>
                </c:pt>
                <c:pt idx="86">
                  <c:v>70</c:v>
                </c:pt>
                <c:pt idx="87">
                  <c:v>60</c:v>
                </c:pt>
                <c:pt idx="88">
                  <c:v>60</c:v>
                </c:pt>
              </c:numCache>
            </c:numRef>
          </c:xVal>
          <c:yVal>
            <c:numRef>
              <c:f>Listeria!$L$478:$L$566</c:f>
              <c:numCache>
                <c:formatCode>0.00</c:formatCode>
                <c:ptCount val="89"/>
                <c:pt idx="0">
                  <c:v>2</c:v>
                </c:pt>
                <c:pt idx="1">
                  <c:v>1.1139433523068367</c:v>
                </c:pt>
                <c:pt idx="2">
                  <c:v>0.93951925261861846</c:v>
                </c:pt>
                <c:pt idx="3">
                  <c:v>-0.28399665636520083</c:v>
                </c:pt>
                <c:pt idx="4">
                  <c:v>-0.88605664769316317</c:v>
                </c:pt>
                <c:pt idx="5">
                  <c:v>1.7077404542737713</c:v>
                </c:pt>
                <c:pt idx="6">
                  <c:v>1.1439511164239635</c:v>
                </c:pt>
                <c:pt idx="7">
                  <c:v>0.9289076902439527</c:v>
                </c:pt>
                <c:pt idx="8">
                  <c:v>0.41497334797081797</c:v>
                </c:pt>
                <c:pt idx="9">
                  <c:v>-0.18708664335714442</c:v>
                </c:pt>
                <c:pt idx="10">
                  <c:v>-0.53760200210104392</c:v>
                </c:pt>
                <c:pt idx="11">
                  <c:v>-0.88605664769316317</c:v>
                </c:pt>
                <c:pt idx="12">
                  <c:v>0.72345567203518579</c:v>
                </c:pt>
                <c:pt idx="13">
                  <c:v>0.39967372148103808</c:v>
                </c:pt>
                <c:pt idx="14">
                  <c:v>0.19312459835446161</c:v>
                </c:pt>
                <c:pt idx="15">
                  <c:v>-0.79588001734407521</c:v>
                </c:pt>
                <c:pt idx="16">
                  <c:v>0.70070371714501933</c:v>
                </c:pt>
                <c:pt idx="17">
                  <c:v>0.34439227368511072</c:v>
                </c:pt>
                <c:pt idx="18">
                  <c:v>0.26481782300953649</c:v>
                </c:pt>
                <c:pt idx="19">
                  <c:v>-0.69897000433601875</c:v>
                </c:pt>
                <c:pt idx="20">
                  <c:v>2.0755469613925306</c:v>
                </c:pt>
                <c:pt idx="21">
                  <c:v>2.2900346113625178</c:v>
                </c:pt>
                <c:pt idx="22">
                  <c:v>1.9995654882259823</c:v>
                </c:pt>
                <c:pt idx="23">
                  <c:v>2.0718820073061255</c:v>
                </c:pt>
                <c:pt idx="24">
                  <c:v>1.920123326290724</c:v>
                </c:pt>
                <c:pt idx="25">
                  <c:v>2.12057393120585</c:v>
                </c:pt>
                <c:pt idx="26">
                  <c:v>2.0569048513364727</c:v>
                </c:pt>
                <c:pt idx="27">
                  <c:v>2.5622928644564746</c:v>
                </c:pt>
                <c:pt idx="28">
                  <c:v>2.0606978403536118</c:v>
                </c:pt>
                <c:pt idx="29">
                  <c:v>2.2988530764097068</c:v>
                </c:pt>
                <c:pt idx="30">
                  <c:v>1.5954962218255742</c:v>
                </c:pt>
                <c:pt idx="31">
                  <c:v>1.8981764834976764</c:v>
                </c:pt>
                <c:pt idx="32">
                  <c:v>1.287801729930226</c:v>
                </c:pt>
                <c:pt idx="33">
                  <c:v>1.5390760987927767</c:v>
                </c:pt>
                <c:pt idx="34">
                  <c:v>1.0293837776852097</c:v>
                </c:pt>
                <c:pt idx="35">
                  <c:v>1.2600713879850747</c:v>
                </c:pt>
                <c:pt idx="36">
                  <c:v>1.0170333392987803</c:v>
                </c:pt>
                <c:pt idx="37">
                  <c:v>1.209515014542631</c:v>
                </c:pt>
                <c:pt idx="38">
                  <c:v>1.1139433523068367</c:v>
                </c:pt>
                <c:pt idx="39">
                  <c:v>1.2405492482825997</c:v>
                </c:pt>
                <c:pt idx="40">
                  <c:v>0.49554433754644844</c:v>
                </c:pt>
                <c:pt idx="41">
                  <c:v>0.84941941379689945</c:v>
                </c:pt>
                <c:pt idx="42">
                  <c:v>4.1392685158225077E-2</c:v>
                </c:pt>
                <c:pt idx="43">
                  <c:v>0.21218760440395779</c:v>
                </c:pt>
                <c:pt idx="44">
                  <c:v>8.9905111439397931E-2</c:v>
                </c:pt>
                <c:pt idx="45">
                  <c:v>0.15228834438305647</c:v>
                </c:pt>
                <c:pt idx="46">
                  <c:v>2.1189299069938092E-2</c:v>
                </c:pt>
                <c:pt idx="47">
                  <c:v>0.13353890837021754</c:v>
                </c:pt>
                <c:pt idx="48">
                  <c:v>-0.12493873660829995</c:v>
                </c:pt>
                <c:pt idx="49">
                  <c:v>-5.551732784983137E-2</c:v>
                </c:pt>
                <c:pt idx="50">
                  <c:v>-0.72124639904717103</c:v>
                </c:pt>
                <c:pt idx="51">
                  <c:v>-0.31875876262441277</c:v>
                </c:pt>
                <c:pt idx="52">
                  <c:v>-0.79588001734407521</c:v>
                </c:pt>
                <c:pt idx="53">
                  <c:v>-0.65757731917779372</c:v>
                </c:pt>
                <c:pt idx="54">
                  <c:v>-1.5086383061657274</c:v>
                </c:pt>
                <c:pt idx="55">
                  <c:v>-1.1549019599857431</c:v>
                </c:pt>
                <c:pt idx="56">
                  <c:v>-1.9586073148417751</c:v>
                </c:pt>
                <c:pt idx="57">
                  <c:v>-1.5376020021010439</c:v>
                </c:pt>
                <c:pt idx="58">
                  <c:v>-2.1549019599857431</c:v>
                </c:pt>
                <c:pt idx="59">
                  <c:v>-1.853871964321762</c:v>
                </c:pt>
                <c:pt idx="60">
                  <c:v>0.70070371714501933</c:v>
                </c:pt>
                <c:pt idx="61">
                  <c:v>0.72345567203518579</c:v>
                </c:pt>
                <c:pt idx="62">
                  <c:v>0.34439227368511072</c:v>
                </c:pt>
                <c:pt idx="63">
                  <c:v>0.39967372148103808</c:v>
                </c:pt>
                <c:pt idx="64">
                  <c:v>0.19312459835446161</c:v>
                </c:pt>
                <c:pt idx="65">
                  <c:v>0.26481782300953649</c:v>
                </c:pt>
                <c:pt idx="66">
                  <c:v>-0.16749108729376366</c:v>
                </c:pt>
                <c:pt idx="67">
                  <c:v>-2.2276394711152253E-2</c:v>
                </c:pt>
                <c:pt idx="68">
                  <c:v>-0.42021640338318983</c:v>
                </c:pt>
                <c:pt idx="69">
                  <c:v>-0.38721614328026455</c:v>
                </c:pt>
                <c:pt idx="70">
                  <c:v>-0.79588001734407521</c:v>
                </c:pt>
                <c:pt idx="71">
                  <c:v>-0.69897000433601875</c:v>
                </c:pt>
                <c:pt idx="72">
                  <c:v>2.2528530309798933</c:v>
                </c:pt>
                <c:pt idx="73">
                  <c:v>1.146128035678238</c:v>
                </c:pt>
                <c:pt idx="74">
                  <c:v>0.74818802700620035</c:v>
                </c:pt>
                <c:pt idx="75">
                  <c:v>-0.27572413039921095</c:v>
                </c:pt>
                <c:pt idx="76">
                  <c:v>-0.95860731484177497</c:v>
                </c:pt>
                <c:pt idx="77">
                  <c:v>2</c:v>
                </c:pt>
                <c:pt idx="78">
                  <c:v>1.1139433523068367</c:v>
                </c:pt>
                <c:pt idx="79">
                  <c:v>0.93951925261861846</c:v>
                </c:pt>
                <c:pt idx="80">
                  <c:v>-0.28399665636520083</c:v>
                </c:pt>
                <c:pt idx="81">
                  <c:v>-0.88605664769316317</c:v>
                </c:pt>
                <c:pt idx="82">
                  <c:v>2.2528530309798933</c:v>
                </c:pt>
                <c:pt idx="83">
                  <c:v>1.146128035678238</c:v>
                </c:pt>
                <c:pt idx="84">
                  <c:v>0.74818802700620035</c:v>
                </c:pt>
                <c:pt idx="85">
                  <c:v>-0.27572413039921095</c:v>
                </c:pt>
                <c:pt idx="86">
                  <c:v>-0.95860731484177497</c:v>
                </c:pt>
                <c:pt idx="87">
                  <c:v>0.72345567203518579</c:v>
                </c:pt>
                <c:pt idx="88">
                  <c:v>0.70070371714501933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65-471E-A613-23596119A1EA}"/>
            </c:ext>
          </c:extLst>
        </c:ser>
        <c:ser>
          <c:idx val="20"/>
          <c:order val="2"/>
          <c:tx>
            <c:v>Duck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Listeria!$I$567:$I$580</c:f>
              <c:numCache>
                <c:formatCode>General</c:formatCode>
                <c:ptCount val="14"/>
                <c:pt idx="0">
                  <c:v>55</c:v>
                </c:pt>
                <c:pt idx="1">
                  <c:v>57.5</c:v>
                </c:pt>
                <c:pt idx="2">
                  <c:v>60</c:v>
                </c:pt>
                <c:pt idx="3">
                  <c:v>62.5</c:v>
                </c:pt>
                <c:pt idx="4">
                  <c:v>65</c:v>
                </c:pt>
                <c:pt idx="5">
                  <c:v>67.5</c:v>
                </c:pt>
                <c:pt idx="6">
                  <c:v>70</c:v>
                </c:pt>
                <c:pt idx="7">
                  <c:v>55</c:v>
                </c:pt>
                <c:pt idx="8">
                  <c:v>57.5</c:v>
                </c:pt>
                <c:pt idx="9">
                  <c:v>60</c:v>
                </c:pt>
                <c:pt idx="10">
                  <c:v>62.5</c:v>
                </c:pt>
                <c:pt idx="11">
                  <c:v>65</c:v>
                </c:pt>
                <c:pt idx="12">
                  <c:v>67.5</c:v>
                </c:pt>
                <c:pt idx="13">
                  <c:v>70</c:v>
                </c:pt>
              </c:numCache>
            </c:numRef>
          </c:xVal>
          <c:yVal>
            <c:numRef>
              <c:f>Listeria!$L$567:$L$580</c:f>
              <c:numCache>
                <c:formatCode>0.00</c:formatCode>
                <c:ptCount val="14"/>
                <c:pt idx="0">
                  <c:v>2.1191898820611668</c:v>
                </c:pt>
                <c:pt idx="1">
                  <c:v>1.3736474722092178</c:v>
                </c:pt>
                <c:pt idx="2">
                  <c:v>0.99299509843134148</c:v>
                </c:pt>
                <c:pt idx="3">
                  <c:v>0.34830486304816066</c:v>
                </c:pt>
                <c:pt idx="4">
                  <c:v>-3.1517051446064863E-2</c:v>
                </c:pt>
                <c:pt idx="5">
                  <c:v>-0.37675070960209955</c:v>
                </c:pt>
                <c:pt idx="6">
                  <c:v>-0.95860731484177497</c:v>
                </c:pt>
                <c:pt idx="7">
                  <c:v>1.9172428579074663</c:v>
                </c:pt>
                <c:pt idx="8">
                  <c:v>1.3362595520141933</c:v>
                </c:pt>
                <c:pt idx="9">
                  <c:v>0.9493900066449128</c:v>
                </c:pt>
                <c:pt idx="10">
                  <c:v>0.55266821611219319</c:v>
                </c:pt>
                <c:pt idx="11">
                  <c:v>6.445798922691845E-2</c:v>
                </c:pt>
                <c:pt idx="12">
                  <c:v>-0.3979400086720376</c:v>
                </c:pt>
                <c:pt idx="13">
                  <c:v>-0.6777807052660807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65-471E-A613-23596119A1EA}"/>
            </c:ext>
          </c:extLst>
        </c:ser>
        <c:ser>
          <c:idx val="22"/>
          <c:order val="3"/>
          <c:tx>
            <c:v>Ham</c:v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Listeria!$I$667:$I$670</c:f>
              <c:numCache>
                <c:formatCode>General</c:formatCode>
                <c:ptCount val="4"/>
                <c:pt idx="0" formatCode="0.00">
                  <c:v>54.7</c:v>
                </c:pt>
                <c:pt idx="1">
                  <c:v>60</c:v>
                </c:pt>
                <c:pt idx="2" formatCode="0.00">
                  <c:v>54.7</c:v>
                </c:pt>
                <c:pt idx="3">
                  <c:v>60</c:v>
                </c:pt>
              </c:numCache>
            </c:numRef>
          </c:xVal>
          <c:yVal>
            <c:numRef>
              <c:f>Listeria!$L$667:$L$670</c:f>
              <c:numCache>
                <c:formatCode>0.00</c:formatCode>
                <c:ptCount val="4"/>
                <c:pt idx="0">
                  <c:v>1.2504200023088941</c:v>
                </c:pt>
                <c:pt idx="1">
                  <c:v>0.26007138798507479</c:v>
                </c:pt>
                <c:pt idx="2">
                  <c:v>1.2833012287035497</c:v>
                </c:pt>
                <c:pt idx="3">
                  <c:v>0.54157924394658097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265-471E-A613-23596119A1EA}"/>
            </c:ext>
          </c:extLst>
        </c:ser>
        <c:ser>
          <c:idx val="23"/>
          <c:order val="4"/>
          <c:tx>
            <c:v>Meat</c:v>
          </c:tx>
          <c:spPr>
            <a:ln w="28575">
              <a:noFill/>
            </a:ln>
          </c:spPr>
          <c:marker>
            <c:symbol val="triangle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Listeria!$I$671:$I$686</c:f>
              <c:numCache>
                <c:formatCode>General</c:formatCode>
                <c:ptCount val="16"/>
                <c:pt idx="0">
                  <c:v>60</c:v>
                </c:pt>
                <c:pt idx="1">
                  <c:v>60</c:v>
                </c:pt>
                <c:pt idx="2">
                  <c:v>63</c:v>
                </c:pt>
                <c:pt idx="3">
                  <c:v>63</c:v>
                </c:pt>
                <c:pt idx="4">
                  <c:v>66</c:v>
                </c:pt>
                <c:pt idx="5">
                  <c:v>56</c:v>
                </c:pt>
                <c:pt idx="6">
                  <c:v>58</c:v>
                </c:pt>
                <c:pt idx="7">
                  <c:v>60</c:v>
                </c:pt>
                <c:pt idx="8">
                  <c:v>62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64</c:v>
                </c:pt>
                <c:pt idx="13">
                  <c:v>60</c:v>
                </c:pt>
                <c:pt idx="14">
                  <c:v>65</c:v>
                </c:pt>
                <c:pt idx="15">
                  <c:v>70</c:v>
                </c:pt>
              </c:numCache>
            </c:numRef>
          </c:xVal>
          <c:yVal>
            <c:numRef>
              <c:f>Listeria!$L$671:$L$686</c:f>
              <c:numCache>
                <c:formatCode>0.00</c:formatCode>
                <c:ptCount val="16"/>
                <c:pt idx="0">
                  <c:v>0.86332286012045589</c:v>
                </c:pt>
                <c:pt idx="1">
                  <c:v>1.1122697684172707</c:v>
                </c:pt>
                <c:pt idx="2">
                  <c:v>0.47712125471966244</c:v>
                </c:pt>
                <c:pt idx="3">
                  <c:v>0.7323937598229685</c:v>
                </c:pt>
                <c:pt idx="4">
                  <c:v>0</c:v>
                </c:pt>
                <c:pt idx="5">
                  <c:v>1.1199154102579911</c:v>
                </c:pt>
                <c:pt idx="6">
                  <c:v>0.80550085815840011</c:v>
                </c:pt>
                <c:pt idx="7">
                  <c:v>0.49415459401844281</c:v>
                </c:pt>
                <c:pt idx="8">
                  <c:v>4.3213737826425782E-3</c:v>
                </c:pt>
                <c:pt idx="9">
                  <c:v>1.6989700043360187</c:v>
                </c:pt>
                <c:pt idx="10">
                  <c:v>1.2227164711475833</c:v>
                </c:pt>
                <c:pt idx="11">
                  <c:v>0.84880470105180372</c:v>
                </c:pt>
                <c:pt idx="12">
                  <c:v>0.10720996964786837</c:v>
                </c:pt>
                <c:pt idx="13">
                  <c:v>0.40483371661993806</c:v>
                </c:pt>
                <c:pt idx="14">
                  <c:v>-0.12493873660829995</c:v>
                </c:pt>
                <c:pt idx="15">
                  <c:v>-0.63827216398240705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265-471E-A613-23596119A1EA}"/>
            </c:ext>
          </c:extLst>
        </c:ser>
        <c:ser>
          <c:idx val="24"/>
          <c:order val="5"/>
          <c:tx>
            <c:v>Pork</c:v>
          </c:tx>
          <c:spPr>
            <a:ln w="28575">
              <a:noFill/>
            </a:ln>
          </c:spPr>
          <c:marker>
            <c:symbol val="circle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Listeria!$I$687:$I$699</c:f>
              <c:numCache>
                <c:formatCode>General</c:formatCode>
                <c:ptCount val="13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62</c:v>
                </c:pt>
                <c:pt idx="4">
                  <c:v>62</c:v>
                </c:pt>
                <c:pt idx="5">
                  <c:v>62</c:v>
                </c:pt>
                <c:pt idx="6">
                  <c:v>62</c:v>
                </c:pt>
                <c:pt idx="7">
                  <c:v>62</c:v>
                </c:pt>
                <c:pt idx="8">
                  <c:v>62</c:v>
                </c:pt>
                <c:pt idx="9">
                  <c:v>62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Listeria!$L$687:$L$699</c:f>
              <c:numCache>
                <c:formatCode>0.00</c:formatCode>
                <c:ptCount val="13"/>
                <c:pt idx="0">
                  <c:v>2.0569048513364727</c:v>
                </c:pt>
                <c:pt idx="1">
                  <c:v>1.0086001717619175</c:v>
                </c:pt>
                <c:pt idx="2">
                  <c:v>0.23044892137827391</c:v>
                </c:pt>
                <c:pt idx="3">
                  <c:v>0.81291335664285558</c:v>
                </c:pt>
                <c:pt idx="4">
                  <c:v>0.88649072517248184</c:v>
                </c:pt>
                <c:pt idx="5">
                  <c:v>0.63346845557958653</c:v>
                </c:pt>
                <c:pt idx="6">
                  <c:v>0.71600334363479923</c:v>
                </c:pt>
                <c:pt idx="7">
                  <c:v>0.96378782734555524</c:v>
                </c:pt>
                <c:pt idx="8">
                  <c:v>0.79239168949825389</c:v>
                </c:pt>
                <c:pt idx="9">
                  <c:v>0.74036268949424389</c:v>
                </c:pt>
                <c:pt idx="10">
                  <c:v>2.0374264979406238</c:v>
                </c:pt>
                <c:pt idx="11">
                  <c:v>0.99122607569249488</c:v>
                </c:pt>
                <c:pt idx="12">
                  <c:v>5.6904851336472557E-2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265-471E-A613-23596119A1EA}"/>
            </c:ext>
          </c:extLst>
        </c:ser>
        <c:ser>
          <c:idx val="15"/>
          <c:order val="6"/>
          <c:tx>
            <c:v>Sausage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969696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Listeria!$I$700:$I$739</c:f>
              <c:numCache>
                <c:formatCode>General</c:formatCode>
                <c:ptCount val="40"/>
                <c:pt idx="0">
                  <c:v>51.7</c:v>
                </c:pt>
                <c:pt idx="1">
                  <c:v>54.7</c:v>
                </c:pt>
                <c:pt idx="2">
                  <c:v>57.2</c:v>
                </c:pt>
                <c:pt idx="3">
                  <c:v>60</c:v>
                </c:pt>
                <c:pt idx="4">
                  <c:v>52</c:v>
                </c:pt>
                <c:pt idx="5">
                  <c:v>52</c:v>
                </c:pt>
                <c:pt idx="6">
                  <c:v>54.4</c:v>
                </c:pt>
                <c:pt idx="7">
                  <c:v>57.2</c:v>
                </c:pt>
                <c:pt idx="8">
                  <c:v>57.2</c:v>
                </c:pt>
                <c:pt idx="9">
                  <c:v>60</c:v>
                </c:pt>
                <c:pt idx="10">
                  <c:v>60</c:v>
                </c:pt>
                <c:pt idx="11">
                  <c:v>48.9</c:v>
                </c:pt>
                <c:pt idx="12">
                  <c:v>48.9</c:v>
                </c:pt>
                <c:pt idx="13">
                  <c:v>51.7</c:v>
                </c:pt>
                <c:pt idx="14">
                  <c:v>51.7</c:v>
                </c:pt>
                <c:pt idx="15">
                  <c:v>54.4</c:v>
                </c:pt>
                <c:pt idx="16">
                  <c:v>54.4</c:v>
                </c:pt>
                <c:pt idx="17">
                  <c:v>57.2</c:v>
                </c:pt>
                <c:pt idx="18">
                  <c:v>57.2</c:v>
                </c:pt>
                <c:pt idx="19">
                  <c:v>60</c:v>
                </c:pt>
                <c:pt idx="20">
                  <c:v>60</c:v>
                </c:pt>
                <c:pt idx="21">
                  <c:v>57.2</c:v>
                </c:pt>
                <c:pt idx="22">
                  <c:v>60</c:v>
                </c:pt>
                <c:pt idx="23">
                  <c:v>62.8</c:v>
                </c:pt>
                <c:pt idx="24">
                  <c:v>64</c:v>
                </c:pt>
                <c:pt idx="25">
                  <c:v>64</c:v>
                </c:pt>
                <c:pt idx="26">
                  <c:v>64</c:v>
                </c:pt>
                <c:pt idx="27">
                  <c:v>64</c:v>
                </c:pt>
                <c:pt idx="28">
                  <c:v>57.2</c:v>
                </c:pt>
                <c:pt idx="29">
                  <c:v>60</c:v>
                </c:pt>
                <c:pt idx="30">
                  <c:v>62.9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62.9</c:v>
                </c:pt>
                <c:pt idx="35">
                  <c:v>66</c:v>
                </c:pt>
                <c:pt idx="36">
                  <c:v>64</c:v>
                </c:pt>
                <c:pt idx="37">
                  <c:v>64</c:v>
                </c:pt>
                <c:pt idx="38">
                  <c:v>64</c:v>
                </c:pt>
                <c:pt idx="39">
                  <c:v>64</c:v>
                </c:pt>
              </c:numCache>
            </c:numRef>
          </c:xVal>
          <c:yVal>
            <c:numRef>
              <c:f>Listeria!$L$700:$L$739</c:f>
              <c:numCache>
                <c:formatCode>0.00</c:formatCode>
                <c:ptCount val="40"/>
                <c:pt idx="0">
                  <c:v>1.6473829701146199</c:v>
                </c:pt>
                <c:pt idx="1">
                  <c:v>1.3031960574204888</c:v>
                </c:pt>
                <c:pt idx="2">
                  <c:v>1.0492180226701815</c:v>
                </c:pt>
                <c:pt idx="3">
                  <c:v>0.96047077753429899</c:v>
                </c:pt>
                <c:pt idx="4">
                  <c:v>1.5797835966168101</c:v>
                </c:pt>
                <c:pt idx="5">
                  <c:v>1.6232492903979006</c:v>
                </c:pt>
                <c:pt idx="6">
                  <c:v>1.3010299956639813</c:v>
                </c:pt>
                <c:pt idx="7">
                  <c:v>0.81954393554186866</c:v>
                </c:pt>
                <c:pt idx="8">
                  <c:v>0.99122607569249488</c:v>
                </c:pt>
                <c:pt idx="9">
                  <c:v>0.96378782734555524</c:v>
                </c:pt>
                <c:pt idx="10">
                  <c:v>1.0413926851582251</c:v>
                </c:pt>
                <c:pt idx="11">
                  <c:v>1.9938769149412112</c:v>
                </c:pt>
                <c:pt idx="12">
                  <c:v>2.0265332645232967</c:v>
                </c:pt>
                <c:pt idx="13">
                  <c:v>1.6473829701146199</c:v>
                </c:pt>
                <c:pt idx="14">
                  <c:v>1.6483600109809315</c:v>
                </c:pt>
                <c:pt idx="15">
                  <c:v>1.3031960574204888</c:v>
                </c:pt>
                <c:pt idx="16">
                  <c:v>1.2944662261615929</c:v>
                </c:pt>
                <c:pt idx="17">
                  <c:v>1.0492180226701815</c:v>
                </c:pt>
                <c:pt idx="18">
                  <c:v>1.0569048513364727</c:v>
                </c:pt>
                <c:pt idx="19">
                  <c:v>0.96047077753429899</c:v>
                </c:pt>
                <c:pt idx="20">
                  <c:v>0.70842090013471271</c:v>
                </c:pt>
                <c:pt idx="21">
                  <c:v>0.94987770403687477</c:v>
                </c:pt>
                <c:pt idx="22">
                  <c:v>0.38381536598043126</c:v>
                </c:pt>
                <c:pt idx="23">
                  <c:v>4.9218022670181653E-2</c:v>
                </c:pt>
                <c:pt idx="24">
                  <c:v>0.51851393987788741</c:v>
                </c:pt>
                <c:pt idx="25">
                  <c:v>0.62324929039790045</c:v>
                </c:pt>
                <c:pt idx="26">
                  <c:v>0.67209785793571752</c:v>
                </c:pt>
                <c:pt idx="27">
                  <c:v>0.90308998699194354</c:v>
                </c:pt>
                <c:pt idx="28">
                  <c:v>0.94987770403687477</c:v>
                </c:pt>
                <c:pt idx="29">
                  <c:v>0.38381536598043126</c:v>
                </c:pt>
                <c:pt idx="30">
                  <c:v>4.9218022670181653E-2</c:v>
                </c:pt>
                <c:pt idx="31">
                  <c:v>0</c:v>
                </c:pt>
                <c:pt idx="32">
                  <c:v>0.20411998265592479</c:v>
                </c:pt>
                <c:pt idx="33">
                  <c:v>0.86332286012045589</c:v>
                </c:pt>
                <c:pt idx="34">
                  <c:v>0.47712125471966244</c:v>
                </c:pt>
                <c:pt idx="35">
                  <c:v>0</c:v>
                </c:pt>
                <c:pt idx="36">
                  <c:v>0.51851393987788741</c:v>
                </c:pt>
                <c:pt idx="37">
                  <c:v>0.62324929039790045</c:v>
                </c:pt>
                <c:pt idx="38">
                  <c:v>0.67209785793571752</c:v>
                </c:pt>
                <c:pt idx="39">
                  <c:v>0.90308998699194354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265-471E-A613-23596119A1EA}"/>
            </c:ext>
          </c:extLst>
        </c:ser>
        <c:ser>
          <c:idx val="25"/>
          <c:order val="7"/>
          <c:tx>
            <c:v>Turkey</c:v>
          </c:tx>
          <c:spPr>
            <a:ln w="28575">
              <a:noFill/>
            </a:ln>
          </c:spPr>
          <c:marker>
            <c:symbol val="dot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Listeria!$I$740:$I$746</c:f>
              <c:numCache>
                <c:formatCode>General</c:formatCode>
                <c:ptCount val="7"/>
                <c:pt idx="0">
                  <c:v>55</c:v>
                </c:pt>
                <c:pt idx="1">
                  <c:v>57.5</c:v>
                </c:pt>
                <c:pt idx="2">
                  <c:v>60</c:v>
                </c:pt>
                <c:pt idx="3">
                  <c:v>62.5</c:v>
                </c:pt>
                <c:pt idx="4">
                  <c:v>65</c:v>
                </c:pt>
                <c:pt idx="5">
                  <c:v>67.5</c:v>
                </c:pt>
                <c:pt idx="6">
                  <c:v>70</c:v>
                </c:pt>
              </c:numCache>
            </c:numRef>
          </c:xVal>
          <c:yVal>
            <c:numRef>
              <c:f>Listeria!$L$740:$L$746</c:f>
              <c:numCache>
                <c:formatCode>0.00</c:formatCode>
                <c:ptCount val="7"/>
                <c:pt idx="0">
                  <c:v>2.0757293997408985</c:v>
                </c:pt>
                <c:pt idx="1">
                  <c:v>1.603793704136963</c:v>
                </c:pt>
                <c:pt idx="2">
                  <c:v>1.2227164711475833</c:v>
                </c:pt>
                <c:pt idx="3">
                  <c:v>0.65705585285710388</c:v>
                </c:pt>
                <c:pt idx="4">
                  <c:v>0.11058971029924898</c:v>
                </c:pt>
                <c:pt idx="5">
                  <c:v>-0.33724216831842591</c:v>
                </c:pt>
                <c:pt idx="6">
                  <c:v>-0.6777807052660807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265-471E-A613-23596119A1EA}"/>
            </c:ext>
          </c:extLst>
        </c:ser>
        <c:ser>
          <c:idx val="21"/>
          <c:order val="8"/>
          <c:tx>
            <c:v>Egg</c:v>
          </c:tx>
          <c:spPr>
            <a:ln w="28575"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Listeria!$I$581:$I$666</c:f>
              <c:numCache>
                <c:formatCode>General</c:formatCode>
                <c:ptCount val="86"/>
                <c:pt idx="0">
                  <c:v>53.2</c:v>
                </c:pt>
                <c:pt idx="1">
                  <c:v>55</c:v>
                </c:pt>
                <c:pt idx="2">
                  <c:v>55</c:v>
                </c:pt>
                <c:pt idx="3">
                  <c:v>55</c:v>
                </c:pt>
                <c:pt idx="4">
                  <c:v>55.5</c:v>
                </c:pt>
                <c:pt idx="5">
                  <c:v>56.65</c:v>
                </c:pt>
                <c:pt idx="6">
                  <c:v>56.65</c:v>
                </c:pt>
                <c:pt idx="7">
                  <c:v>56.65</c:v>
                </c:pt>
                <c:pt idx="8">
                  <c:v>56.65</c:v>
                </c:pt>
                <c:pt idx="9">
                  <c:v>56.65</c:v>
                </c:pt>
                <c:pt idx="10">
                  <c:v>56.65</c:v>
                </c:pt>
                <c:pt idx="11">
                  <c:v>56.65</c:v>
                </c:pt>
                <c:pt idx="12">
                  <c:v>57.7</c:v>
                </c:pt>
                <c:pt idx="13">
                  <c:v>58.15</c:v>
                </c:pt>
                <c:pt idx="14">
                  <c:v>58.15</c:v>
                </c:pt>
                <c:pt idx="15">
                  <c:v>58.15</c:v>
                </c:pt>
                <c:pt idx="16">
                  <c:v>51.5</c:v>
                </c:pt>
                <c:pt idx="17">
                  <c:v>53.2</c:v>
                </c:pt>
                <c:pt idx="18">
                  <c:v>51</c:v>
                </c:pt>
                <c:pt idx="19">
                  <c:v>51</c:v>
                </c:pt>
                <c:pt idx="20">
                  <c:v>51</c:v>
                </c:pt>
                <c:pt idx="21">
                  <c:v>51</c:v>
                </c:pt>
                <c:pt idx="22">
                  <c:v>51</c:v>
                </c:pt>
                <c:pt idx="23">
                  <c:v>55.75</c:v>
                </c:pt>
                <c:pt idx="24">
                  <c:v>55.75</c:v>
                </c:pt>
                <c:pt idx="25">
                  <c:v>55.75</c:v>
                </c:pt>
                <c:pt idx="26">
                  <c:v>55.75</c:v>
                </c:pt>
                <c:pt idx="27">
                  <c:v>55.75</c:v>
                </c:pt>
                <c:pt idx="28">
                  <c:v>55.75</c:v>
                </c:pt>
                <c:pt idx="29">
                  <c:v>55.75</c:v>
                </c:pt>
                <c:pt idx="30">
                  <c:v>57</c:v>
                </c:pt>
                <c:pt idx="31">
                  <c:v>57</c:v>
                </c:pt>
                <c:pt idx="32">
                  <c:v>60</c:v>
                </c:pt>
                <c:pt idx="33">
                  <c:v>60</c:v>
                </c:pt>
                <c:pt idx="34">
                  <c:v>60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63</c:v>
                </c:pt>
                <c:pt idx="43">
                  <c:v>63</c:v>
                </c:pt>
                <c:pt idx="44">
                  <c:v>63</c:v>
                </c:pt>
                <c:pt idx="45">
                  <c:v>65.5</c:v>
                </c:pt>
                <c:pt idx="46">
                  <c:v>65.5</c:v>
                </c:pt>
                <c:pt idx="47">
                  <c:v>65.5</c:v>
                </c:pt>
                <c:pt idx="48">
                  <c:v>65.5</c:v>
                </c:pt>
                <c:pt idx="49">
                  <c:v>65.5</c:v>
                </c:pt>
                <c:pt idx="50">
                  <c:v>55.75</c:v>
                </c:pt>
                <c:pt idx="51">
                  <c:v>60</c:v>
                </c:pt>
                <c:pt idx="52">
                  <c:v>60</c:v>
                </c:pt>
                <c:pt idx="53">
                  <c:v>61</c:v>
                </c:pt>
                <c:pt idx="54">
                  <c:v>61</c:v>
                </c:pt>
                <c:pt idx="55">
                  <c:v>60</c:v>
                </c:pt>
                <c:pt idx="56">
                  <c:v>61.1</c:v>
                </c:pt>
                <c:pt idx="57">
                  <c:v>61.1</c:v>
                </c:pt>
                <c:pt idx="58">
                  <c:v>61.1</c:v>
                </c:pt>
                <c:pt idx="59">
                  <c:v>61.1</c:v>
                </c:pt>
                <c:pt idx="60">
                  <c:v>61.1</c:v>
                </c:pt>
                <c:pt idx="61">
                  <c:v>61.1</c:v>
                </c:pt>
                <c:pt idx="62">
                  <c:v>61.1</c:v>
                </c:pt>
                <c:pt idx="63">
                  <c:v>62.2</c:v>
                </c:pt>
                <c:pt idx="64">
                  <c:v>63.15</c:v>
                </c:pt>
                <c:pt idx="65">
                  <c:v>63.15</c:v>
                </c:pt>
                <c:pt idx="66">
                  <c:v>63.15</c:v>
                </c:pt>
                <c:pt idx="67">
                  <c:v>63.15</c:v>
                </c:pt>
                <c:pt idx="68">
                  <c:v>63.15</c:v>
                </c:pt>
                <c:pt idx="69">
                  <c:v>63.15</c:v>
                </c:pt>
                <c:pt idx="70">
                  <c:v>63.15</c:v>
                </c:pt>
                <c:pt idx="71">
                  <c:v>64.400000000000006</c:v>
                </c:pt>
                <c:pt idx="72">
                  <c:v>64.400000000000006</c:v>
                </c:pt>
                <c:pt idx="73">
                  <c:v>64.400000000000006</c:v>
                </c:pt>
                <c:pt idx="74">
                  <c:v>64.400000000000006</c:v>
                </c:pt>
                <c:pt idx="75">
                  <c:v>64.400000000000006</c:v>
                </c:pt>
                <c:pt idx="76">
                  <c:v>64.400000000000006</c:v>
                </c:pt>
                <c:pt idx="77">
                  <c:v>66.849999999999994</c:v>
                </c:pt>
                <c:pt idx="78">
                  <c:v>63.15</c:v>
                </c:pt>
                <c:pt idx="79">
                  <c:v>66.849999999999994</c:v>
                </c:pt>
                <c:pt idx="80">
                  <c:v>61.1</c:v>
                </c:pt>
                <c:pt idx="81">
                  <c:v>63.15</c:v>
                </c:pt>
                <c:pt idx="82">
                  <c:v>63.15</c:v>
                </c:pt>
                <c:pt idx="83">
                  <c:v>63.15</c:v>
                </c:pt>
                <c:pt idx="84">
                  <c:v>64.400000000000006</c:v>
                </c:pt>
                <c:pt idx="85">
                  <c:v>66.849999999999994</c:v>
                </c:pt>
              </c:numCache>
            </c:numRef>
          </c:xVal>
          <c:yVal>
            <c:numRef>
              <c:f>Listeria!$L$581:$L$666</c:f>
              <c:numCache>
                <c:formatCode>0.00</c:formatCode>
                <c:ptCount val="86"/>
                <c:pt idx="0">
                  <c:v>1.2479732663618066</c:v>
                </c:pt>
                <c:pt idx="1">
                  <c:v>0.87966920563205353</c:v>
                </c:pt>
                <c:pt idx="2">
                  <c:v>0.88024177589548036</c:v>
                </c:pt>
                <c:pt idx="3">
                  <c:v>1.110589710299249</c:v>
                </c:pt>
                <c:pt idx="4">
                  <c:v>1.1139433523068367</c:v>
                </c:pt>
                <c:pt idx="5">
                  <c:v>1.0170333392987803</c:v>
                </c:pt>
                <c:pt idx="6">
                  <c:v>1.2174839442139063</c:v>
                </c:pt>
                <c:pt idx="7">
                  <c:v>1.307496037913213</c:v>
                </c:pt>
                <c:pt idx="8">
                  <c:v>1.320146286111054</c:v>
                </c:pt>
                <c:pt idx="9">
                  <c:v>0.67760695272049309</c:v>
                </c:pt>
                <c:pt idx="10">
                  <c:v>0.63848925695463732</c:v>
                </c:pt>
                <c:pt idx="11">
                  <c:v>1.0791812460476249</c:v>
                </c:pt>
                <c:pt idx="12">
                  <c:v>0.91907809237607396</c:v>
                </c:pt>
                <c:pt idx="13">
                  <c:v>0.54032947479087379</c:v>
                </c:pt>
                <c:pt idx="14">
                  <c:v>0.3820170425748684</c:v>
                </c:pt>
                <c:pt idx="15">
                  <c:v>0.57978359661681012</c:v>
                </c:pt>
                <c:pt idx="16">
                  <c:v>1.5751878449276611</c:v>
                </c:pt>
                <c:pt idx="17">
                  <c:v>1.3673559210260189</c:v>
                </c:pt>
                <c:pt idx="18">
                  <c:v>1.1553360374650619</c:v>
                </c:pt>
                <c:pt idx="19">
                  <c:v>1.354108439147401</c:v>
                </c:pt>
                <c:pt idx="20">
                  <c:v>1.3283796034387378</c:v>
                </c:pt>
                <c:pt idx="21">
                  <c:v>1.3424226808222062</c:v>
                </c:pt>
                <c:pt idx="22">
                  <c:v>1.3324384599156054</c:v>
                </c:pt>
                <c:pt idx="23">
                  <c:v>0.72427586960078905</c:v>
                </c:pt>
                <c:pt idx="24">
                  <c:v>0.53147891704225514</c:v>
                </c:pt>
                <c:pt idx="25">
                  <c:v>0.85125834871907524</c:v>
                </c:pt>
                <c:pt idx="26">
                  <c:v>0.79239168949825389</c:v>
                </c:pt>
                <c:pt idx="27">
                  <c:v>0.90848501887864974</c:v>
                </c:pt>
                <c:pt idx="28">
                  <c:v>0.90308998699194354</c:v>
                </c:pt>
                <c:pt idx="29">
                  <c:v>0.87506126339170009</c:v>
                </c:pt>
                <c:pt idx="30">
                  <c:v>0.50514997831990605</c:v>
                </c:pt>
                <c:pt idx="31">
                  <c:v>0.56820172406699498</c:v>
                </c:pt>
                <c:pt idx="32">
                  <c:v>0.29003461136251801</c:v>
                </c:pt>
                <c:pt idx="33">
                  <c:v>0.25527250510330607</c:v>
                </c:pt>
                <c:pt idx="34">
                  <c:v>0.3222192947339193</c:v>
                </c:pt>
                <c:pt idx="35">
                  <c:v>0.11394335230683679</c:v>
                </c:pt>
                <c:pt idx="36">
                  <c:v>0.11394335230683679</c:v>
                </c:pt>
                <c:pt idx="37">
                  <c:v>0.17609125905568124</c:v>
                </c:pt>
                <c:pt idx="38">
                  <c:v>0.14612803567823801</c:v>
                </c:pt>
                <c:pt idx="39">
                  <c:v>0.11394335230683679</c:v>
                </c:pt>
                <c:pt idx="40">
                  <c:v>0.20411998265592479</c:v>
                </c:pt>
                <c:pt idx="41">
                  <c:v>0.23044892137827391</c:v>
                </c:pt>
                <c:pt idx="42">
                  <c:v>-0.30980391997148632</c:v>
                </c:pt>
                <c:pt idx="43">
                  <c:v>-0.25963731050575611</c:v>
                </c:pt>
                <c:pt idx="44">
                  <c:v>-0.37675070960209955</c:v>
                </c:pt>
                <c:pt idx="45">
                  <c:v>-0.95860731484177497</c:v>
                </c:pt>
                <c:pt idx="46">
                  <c:v>-0.69897000433601875</c:v>
                </c:pt>
                <c:pt idx="47">
                  <c:v>-1.2218487496163564</c:v>
                </c:pt>
                <c:pt idx="48">
                  <c:v>-0.95860731484177497</c:v>
                </c:pt>
                <c:pt idx="49">
                  <c:v>-0.92081875395237522</c:v>
                </c:pt>
                <c:pt idx="50">
                  <c:v>0.33645973384852951</c:v>
                </c:pt>
                <c:pt idx="51">
                  <c:v>0.14612803567823801</c:v>
                </c:pt>
                <c:pt idx="52">
                  <c:v>4.1392685158225077E-2</c:v>
                </c:pt>
                <c:pt idx="53">
                  <c:v>0.27875360095282892</c:v>
                </c:pt>
                <c:pt idx="54">
                  <c:v>7.9181246047624818E-2</c:v>
                </c:pt>
                <c:pt idx="55">
                  <c:v>0.12710479836480765</c:v>
                </c:pt>
                <c:pt idx="56">
                  <c:v>0.19312459835446161</c:v>
                </c:pt>
                <c:pt idx="57">
                  <c:v>-2.6872146400301365E-2</c:v>
                </c:pt>
                <c:pt idx="58">
                  <c:v>0.36172783601759284</c:v>
                </c:pt>
                <c:pt idx="59">
                  <c:v>-3.6212172654444715E-2</c:v>
                </c:pt>
                <c:pt idx="60">
                  <c:v>-0.15490195998574319</c:v>
                </c:pt>
                <c:pt idx="61">
                  <c:v>-5.0609993355087209E-2</c:v>
                </c:pt>
                <c:pt idx="62">
                  <c:v>0.14921911265537988</c:v>
                </c:pt>
                <c:pt idx="63">
                  <c:v>-0.23657200643706275</c:v>
                </c:pt>
                <c:pt idx="64">
                  <c:v>-3.6212172654444715E-2</c:v>
                </c:pt>
                <c:pt idx="65">
                  <c:v>-0.45593195564972439</c:v>
                </c:pt>
                <c:pt idx="66">
                  <c:v>0.10720996964786837</c:v>
                </c:pt>
                <c:pt idx="67">
                  <c:v>-0.42021640338318983</c:v>
                </c:pt>
                <c:pt idx="68">
                  <c:v>-0.36653154442041347</c:v>
                </c:pt>
                <c:pt idx="69">
                  <c:v>-9.1514981121350217E-2</c:v>
                </c:pt>
                <c:pt idx="70">
                  <c:v>-0.45593195564972439</c:v>
                </c:pt>
                <c:pt idx="71">
                  <c:v>-8.6186147616283335E-2</c:v>
                </c:pt>
                <c:pt idx="72">
                  <c:v>-0.6777807052660807</c:v>
                </c:pt>
                <c:pt idx="73">
                  <c:v>-0.18045606445813131</c:v>
                </c:pt>
                <c:pt idx="74">
                  <c:v>-0.33724216831842591</c:v>
                </c:pt>
                <c:pt idx="75">
                  <c:v>-0.72124639904717103</c:v>
                </c:pt>
                <c:pt idx="76">
                  <c:v>-0.35654732351381258</c:v>
                </c:pt>
                <c:pt idx="77">
                  <c:v>-1.0969100130080565</c:v>
                </c:pt>
                <c:pt idx="78">
                  <c:v>0.57403126772771884</c:v>
                </c:pt>
                <c:pt idx="79">
                  <c:v>-0.17392519729917355</c:v>
                </c:pt>
                <c:pt idx="80">
                  <c:v>0.31175386105575426</c:v>
                </c:pt>
                <c:pt idx="81">
                  <c:v>2.1189299069938092E-2</c:v>
                </c:pt>
                <c:pt idx="82">
                  <c:v>0.3222192947339193</c:v>
                </c:pt>
                <c:pt idx="83">
                  <c:v>-9.6910013008056392E-2</c:v>
                </c:pt>
                <c:pt idx="84">
                  <c:v>-1.322826573375516E-2</c:v>
                </c:pt>
                <c:pt idx="85">
                  <c:v>-0.33724216831842591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265-471E-A613-23596119A1EA}"/>
            </c:ext>
          </c:extLst>
        </c:ser>
        <c:ser>
          <c:idx val="12"/>
          <c:order val="9"/>
          <c:tx>
            <c:v>Cod</c:v>
          </c:tx>
          <c:spPr>
            <a:ln w="28575"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333333"/>
                </a:solidFill>
                <a:prstDash val="solid"/>
              </a:ln>
            </c:spPr>
          </c:marker>
          <c:xVal>
            <c:numRef>
              <c:f>Listeria!$I$282:$I$288</c:f>
              <c:numCache>
                <c:formatCode>General</c:formatCode>
                <c:ptCount val="7"/>
                <c:pt idx="0">
                  <c:v>57.6</c:v>
                </c:pt>
                <c:pt idx="1">
                  <c:v>60</c:v>
                </c:pt>
                <c:pt idx="2">
                  <c:v>65.5</c:v>
                </c:pt>
                <c:pt idx="3">
                  <c:v>57.6</c:v>
                </c:pt>
                <c:pt idx="4">
                  <c:v>60</c:v>
                </c:pt>
                <c:pt idx="5">
                  <c:v>62</c:v>
                </c:pt>
                <c:pt idx="6">
                  <c:v>65.5</c:v>
                </c:pt>
              </c:numCache>
            </c:numRef>
          </c:xVal>
          <c:yVal>
            <c:numRef>
              <c:f>Listeria!$L$282:$L$288</c:f>
              <c:numCache>
                <c:formatCode>0.00</c:formatCode>
                <c:ptCount val="7"/>
                <c:pt idx="0">
                  <c:v>0.79098847508881587</c:v>
                </c:pt>
                <c:pt idx="1">
                  <c:v>0.29003461136251801</c:v>
                </c:pt>
                <c:pt idx="2">
                  <c:v>-0.56863623584101264</c:v>
                </c:pt>
                <c:pt idx="3">
                  <c:v>0.86213137931303718</c:v>
                </c:pt>
                <c:pt idx="4">
                  <c:v>0.2966651902615311</c:v>
                </c:pt>
                <c:pt idx="5">
                  <c:v>-6.0480747381381476E-2</c:v>
                </c:pt>
                <c:pt idx="6">
                  <c:v>-0.55284196865778079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265-471E-A613-23596119A1EA}"/>
            </c:ext>
          </c:extLst>
        </c:ser>
        <c:ser>
          <c:idx val="14"/>
          <c:order val="10"/>
          <c:tx>
            <c:v>Crabmeat</c:v>
          </c:tx>
          <c:spPr>
            <a:ln w="28575">
              <a:noFill/>
            </a:ln>
          </c:spPr>
          <c:marker>
            <c:symbol val="dash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Listeria!$I$289:$I$293</c:f>
              <c:numCache>
                <c:formatCode>General</c:formatCode>
                <c:ptCount val="5"/>
                <c:pt idx="0">
                  <c:v>57.6</c:v>
                </c:pt>
                <c:pt idx="1">
                  <c:v>62</c:v>
                </c:pt>
                <c:pt idx="2">
                  <c:v>65.5</c:v>
                </c:pt>
                <c:pt idx="3">
                  <c:v>55</c:v>
                </c:pt>
                <c:pt idx="4">
                  <c:v>60</c:v>
                </c:pt>
              </c:numCache>
            </c:numRef>
          </c:xVal>
          <c:yVal>
            <c:numRef>
              <c:f>Listeria!$L$289:$L$293</c:f>
              <c:numCache>
                <c:formatCode>0.00</c:formatCode>
                <c:ptCount val="5"/>
                <c:pt idx="0">
                  <c:v>0.98677173426624487</c:v>
                </c:pt>
                <c:pt idx="1">
                  <c:v>0.3222192947339193</c:v>
                </c:pt>
                <c:pt idx="2">
                  <c:v>-0.3979400086720376</c:v>
                </c:pt>
                <c:pt idx="3">
                  <c:v>1.0791812460476249</c:v>
                </c:pt>
                <c:pt idx="4">
                  <c:v>0.41664050733828095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265-471E-A613-23596119A1EA}"/>
            </c:ext>
          </c:extLst>
        </c:ser>
        <c:ser>
          <c:idx val="7"/>
          <c:order val="11"/>
          <c:tx>
            <c:v>Crawfish</c:v>
          </c:tx>
          <c:spPr>
            <a:ln w="28575">
              <a:noFill/>
            </a:ln>
          </c:spPr>
          <c:marker>
            <c:symbol val="circle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Listeria!$I$294:$I$299</c:f>
              <c:numCache>
                <c:formatCode>General</c:formatCode>
                <c:ptCount val="6"/>
                <c:pt idx="0">
                  <c:v>55</c:v>
                </c:pt>
                <c:pt idx="1">
                  <c:v>60</c:v>
                </c:pt>
                <c:pt idx="2">
                  <c:v>65.5</c:v>
                </c:pt>
                <c:pt idx="3">
                  <c:v>55</c:v>
                </c:pt>
                <c:pt idx="4">
                  <c:v>60</c:v>
                </c:pt>
                <c:pt idx="5">
                  <c:v>65</c:v>
                </c:pt>
              </c:numCache>
            </c:numRef>
          </c:xVal>
          <c:yVal>
            <c:numRef>
              <c:f>Listeria!$L$294:$L$299</c:f>
              <c:numCache>
                <c:formatCode>0.00</c:formatCode>
                <c:ptCount val="6"/>
                <c:pt idx="0">
                  <c:v>1.0098756337121602</c:v>
                </c:pt>
                <c:pt idx="1">
                  <c:v>0.2966651902615311</c:v>
                </c:pt>
                <c:pt idx="2">
                  <c:v>-0.72124639904717103</c:v>
                </c:pt>
                <c:pt idx="3">
                  <c:v>1.0098756337121602</c:v>
                </c:pt>
                <c:pt idx="4">
                  <c:v>0.2966651902615311</c:v>
                </c:pt>
                <c:pt idx="5">
                  <c:v>-0.72124639904717103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265-471E-A613-23596119A1EA}"/>
            </c:ext>
          </c:extLst>
        </c:ser>
        <c:ser>
          <c:idx val="11"/>
          <c:order val="12"/>
          <c:tx>
            <c:v>Lobster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Listeria!$I$300:$I$308</c:f>
              <c:numCache>
                <c:formatCode>General</c:formatCode>
                <c:ptCount val="9"/>
                <c:pt idx="0">
                  <c:v>51.6</c:v>
                </c:pt>
                <c:pt idx="1">
                  <c:v>54.4</c:v>
                </c:pt>
                <c:pt idx="2">
                  <c:v>57.2</c:v>
                </c:pt>
                <c:pt idx="3">
                  <c:v>60</c:v>
                </c:pt>
                <c:pt idx="4" formatCode="0.00">
                  <c:v>62.7</c:v>
                </c:pt>
                <c:pt idx="5">
                  <c:v>51.6</c:v>
                </c:pt>
                <c:pt idx="6">
                  <c:v>54.2</c:v>
                </c:pt>
                <c:pt idx="7">
                  <c:v>57.6</c:v>
                </c:pt>
                <c:pt idx="8">
                  <c:v>60</c:v>
                </c:pt>
              </c:numCache>
            </c:numRef>
          </c:xVal>
          <c:yVal>
            <c:numRef>
              <c:f>Listeria!$L$300:$L$308</c:f>
              <c:numCache>
                <c:formatCode>0.00</c:formatCode>
                <c:ptCount val="9"/>
                <c:pt idx="0">
                  <c:v>1.9867717342662448</c:v>
                </c:pt>
                <c:pt idx="1">
                  <c:v>1.7403626894942439</c:v>
                </c:pt>
                <c:pt idx="2">
                  <c:v>0.91907809237607396</c:v>
                </c:pt>
                <c:pt idx="3">
                  <c:v>0.37839790094813769</c:v>
                </c:pt>
                <c:pt idx="4">
                  <c:v>2.5305865264770262E-2</c:v>
                </c:pt>
                <c:pt idx="5">
                  <c:v>1.9867717342662448</c:v>
                </c:pt>
                <c:pt idx="6">
                  <c:v>1.7403626894942439</c:v>
                </c:pt>
                <c:pt idx="7">
                  <c:v>0.91907809237607396</c:v>
                </c:pt>
                <c:pt idx="8">
                  <c:v>0.37839790094813769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8265-471E-A613-23596119A1EA}"/>
            </c:ext>
          </c:extLst>
        </c:ser>
        <c:ser>
          <c:idx val="18"/>
          <c:order val="13"/>
          <c:tx>
            <c:v>Mussels</c:v>
          </c:tx>
          <c:spPr>
            <a:ln w="28575">
              <a:noFill/>
            </a:ln>
          </c:spPr>
          <c:marker>
            <c:symbol val="dot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Listeria!$I$309:$I$312</c:f>
              <c:numCache>
                <c:formatCode>General</c:formatCode>
                <c:ptCount val="4"/>
                <c:pt idx="0">
                  <c:v>54.2</c:v>
                </c:pt>
                <c:pt idx="1">
                  <c:v>57.6</c:v>
                </c:pt>
                <c:pt idx="2">
                  <c:v>60</c:v>
                </c:pt>
                <c:pt idx="3">
                  <c:v>62</c:v>
                </c:pt>
              </c:numCache>
            </c:numRef>
          </c:xVal>
          <c:yVal>
            <c:numRef>
              <c:f>Listeria!$L$309:$L$312</c:f>
              <c:numCache>
                <c:formatCode>0.00</c:formatCode>
                <c:ptCount val="4"/>
                <c:pt idx="0">
                  <c:v>2.0457140589408676</c:v>
                </c:pt>
                <c:pt idx="1">
                  <c:v>1.2975416678181599</c:v>
                </c:pt>
                <c:pt idx="2">
                  <c:v>0.79934054945358168</c:v>
                </c:pt>
                <c:pt idx="3">
                  <c:v>0.22788670461367352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8265-471E-A613-23596119A1EA}"/>
            </c:ext>
          </c:extLst>
        </c:ser>
        <c:ser>
          <c:idx val="19"/>
          <c:order val="14"/>
          <c:tx>
            <c:v>Salmon</c:v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333333"/>
                </a:solidFill>
                <a:prstDash val="solid"/>
              </a:ln>
            </c:spPr>
          </c:marker>
          <c:xVal>
            <c:numRef>
              <c:f>Listeria!$I$313:$I$320</c:f>
              <c:numCache>
                <c:formatCode>General</c:formatCode>
                <c:ptCount val="8"/>
                <c:pt idx="0">
                  <c:v>57.6</c:v>
                </c:pt>
                <c:pt idx="1">
                  <c:v>60</c:v>
                </c:pt>
                <c:pt idx="2">
                  <c:v>62</c:v>
                </c:pt>
                <c:pt idx="3">
                  <c:v>65.5</c:v>
                </c:pt>
                <c:pt idx="4">
                  <c:v>57.6</c:v>
                </c:pt>
                <c:pt idx="5">
                  <c:v>60</c:v>
                </c:pt>
                <c:pt idx="6">
                  <c:v>62</c:v>
                </c:pt>
                <c:pt idx="7">
                  <c:v>65.5</c:v>
                </c:pt>
              </c:numCache>
            </c:numRef>
          </c:xVal>
          <c:yVal>
            <c:numRef>
              <c:f>Listeria!$L$313:$L$320</c:f>
              <c:numCache>
                <c:formatCode>0.00</c:formatCode>
                <c:ptCount val="8"/>
                <c:pt idx="0">
                  <c:v>0.92839585225671384</c:v>
                </c:pt>
                <c:pt idx="1">
                  <c:v>0.6263403673750424</c:v>
                </c:pt>
                <c:pt idx="2">
                  <c:v>0.48000694295715063</c:v>
                </c:pt>
                <c:pt idx="3">
                  <c:v>7.1882007306125359E-2</c:v>
                </c:pt>
                <c:pt idx="4">
                  <c:v>1.0305997219659511</c:v>
                </c:pt>
                <c:pt idx="5">
                  <c:v>0.651278013998144</c:v>
                </c:pt>
                <c:pt idx="6">
                  <c:v>0.31597034545691771</c:v>
                </c:pt>
                <c:pt idx="7">
                  <c:v>-6.0480747381381476E-2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8265-471E-A613-23596119A1EA}"/>
            </c:ext>
          </c:extLst>
        </c:ser>
        <c:ser>
          <c:idx val="2"/>
          <c:order val="15"/>
          <c:tx>
            <c:v>Butter</c:v>
          </c:tx>
          <c:spPr>
            <a:ln w="28575">
              <a:noFill/>
            </a:ln>
          </c:spPr>
          <c:marker>
            <c:symbol val="triangle"/>
            <c:size val="5"/>
            <c:spPr>
              <a:noFill/>
              <a:ln>
                <a:solidFill>
                  <a:srgbClr val="808080"/>
                </a:solidFill>
                <a:prstDash val="solid"/>
              </a:ln>
            </c:spPr>
          </c:marker>
          <c:xVal>
            <c:numRef>
              <c:f>Listeria!$I$2:$I$11</c:f>
              <c:numCache>
                <c:formatCode>General</c:formatCode>
                <c:ptCount val="10"/>
                <c:pt idx="0">
                  <c:v>68</c:v>
                </c:pt>
                <c:pt idx="1">
                  <c:v>68</c:v>
                </c:pt>
                <c:pt idx="2">
                  <c:v>52</c:v>
                </c:pt>
                <c:pt idx="3">
                  <c:v>52</c:v>
                </c:pt>
                <c:pt idx="4">
                  <c:v>56</c:v>
                </c:pt>
                <c:pt idx="5">
                  <c:v>56</c:v>
                </c:pt>
                <c:pt idx="6">
                  <c:v>60</c:v>
                </c:pt>
                <c:pt idx="7">
                  <c:v>60</c:v>
                </c:pt>
                <c:pt idx="8">
                  <c:v>64</c:v>
                </c:pt>
                <c:pt idx="9">
                  <c:v>64</c:v>
                </c:pt>
              </c:numCache>
            </c:numRef>
          </c:xVal>
          <c:yVal>
            <c:numRef>
              <c:f>Listeria!$L$2:$L$11</c:f>
              <c:numCache>
                <c:formatCode>0.00</c:formatCode>
                <c:ptCount val="10"/>
                <c:pt idx="0">
                  <c:v>-0.72507280690022391</c:v>
                </c:pt>
                <c:pt idx="1">
                  <c:v>-0.96859153574837586</c:v>
                </c:pt>
                <c:pt idx="2">
                  <c:v>1.6497339146395933</c:v>
                </c:pt>
                <c:pt idx="3">
                  <c:v>1.3744397712735232</c:v>
                </c:pt>
                <c:pt idx="4">
                  <c:v>0.81813788176201718</c:v>
                </c:pt>
                <c:pt idx="5">
                  <c:v>0.61593252529461151</c:v>
                </c:pt>
                <c:pt idx="6">
                  <c:v>9.4529356768286055E-2</c:v>
                </c:pt>
                <c:pt idx="7">
                  <c:v>-0.2593741814568688</c:v>
                </c:pt>
                <c:pt idx="8">
                  <c:v>-0.37623399986606904</c:v>
                </c:pt>
                <c:pt idx="9">
                  <c:v>-0.71257153565519515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8265-471E-A613-23596119A1EA}"/>
            </c:ext>
          </c:extLst>
        </c:ser>
        <c:ser>
          <c:idx val="8"/>
          <c:order val="16"/>
          <c:tx>
            <c:v>Cream</c:v>
          </c:tx>
          <c:spPr>
            <a:ln w="28575">
              <a:noFill/>
            </a:ln>
          </c:spPr>
          <c:marker>
            <c:symbol val="dash"/>
            <c:size val="5"/>
            <c:spPr>
              <a:noFill/>
              <a:ln>
                <a:solidFill>
                  <a:srgbClr val="808080"/>
                </a:solidFill>
                <a:prstDash val="solid"/>
              </a:ln>
            </c:spPr>
          </c:marker>
          <c:xVal>
            <c:numRef>
              <c:f>Listeria!$I$12:$I$41</c:f>
              <c:numCache>
                <c:formatCode>General</c:formatCode>
                <c:ptCount val="30"/>
                <c:pt idx="0">
                  <c:v>68</c:v>
                </c:pt>
                <c:pt idx="1">
                  <c:v>68</c:v>
                </c:pt>
                <c:pt idx="2">
                  <c:v>52</c:v>
                </c:pt>
                <c:pt idx="3">
                  <c:v>52</c:v>
                </c:pt>
                <c:pt idx="4">
                  <c:v>56</c:v>
                </c:pt>
                <c:pt idx="5">
                  <c:v>56</c:v>
                </c:pt>
                <c:pt idx="6">
                  <c:v>60</c:v>
                </c:pt>
                <c:pt idx="7">
                  <c:v>60</c:v>
                </c:pt>
                <c:pt idx="8">
                  <c:v>64</c:v>
                </c:pt>
                <c:pt idx="9">
                  <c:v>64</c:v>
                </c:pt>
                <c:pt idx="10">
                  <c:v>52.2</c:v>
                </c:pt>
                <c:pt idx="11">
                  <c:v>57.8</c:v>
                </c:pt>
                <c:pt idx="12">
                  <c:v>63.3</c:v>
                </c:pt>
                <c:pt idx="13">
                  <c:v>66.099999999999994</c:v>
                </c:pt>
                <c:pt idx="14">
                  <c:v>68.900000000000006</c:v>
                </c:pt>
                <c:pt idx="15">
                  <c:v>52.2</c:v>
                </c:pt>
                <c:pt idx="16">
                  <c:v>57.8</c:v>
                </c:pt>
                <c:pt idx="17">
                  <c:v>63.3</c:v>
                </c:pt>
                <c:pt idx="18">
                  <c:v>66.099999999999994</c:v>
                </c:pt>
                <c:pt idx="19">
                  <c:v>68.900000000000006</c:v>
                </c:pt>
                <c:pt idx="20">
                  <c:v>68</c:v>
                </c:pt>
                <c:pt idx="21">
                  <c:v>68</c:v>
                </c:pt>
                <c:pt idx="22">
                  <c:v>52</c:v>
                </c:pt>
                <c:pt idx="23">
                  <c:v>52</c:v>
                </c:pt>
                <c:pt idx="24">
                  <c:v>56</c:v>
                </c:pt>
                <c:pt idx="25">
                  <c:v>56</c:v>
                </c:pt>
                <c:pt idx="26">
                  <c:v>60</c:v>
                </c:pt>
                <c:pt idx="27">
                  <c:v>60</c:v>
                </c:pt>
                <c:pt idx="28">
                  <c:v>64</c:v>
                </c:pt>
                <c:pt idx="29">
                  <c:v>64</c:v>
                </c:pt>
              </c:numCache>
            </c:numRef>
          </c:xVal>
          <c:yVal>
            <c:numRef>
              <c:f>Listeria!$L$12:$L$41</c:f>
              <c:numCache>
                <c:formatCode>0.00</c:formatCode>
                <c:ptCount val="30"/>
                <c:pt idx="0">
                  <c:v>-0.81720505464981219</c:v>
                </c:pt>
                <c:pt idx="1">
                  <c:v>-0.89053395004790759</c:v>
                </c:pt>
                <c:pt idx="2">
                  <c:v>2.0215083538207161</c:v>
                </c:pt>
                <c:pt idx="3">
                  <c:v>1.6364578056239816</c:v>
                </c:pt>
                <c:pt idx="4">
                  <c:v>1.3639596522893143</c:v>
                </c:pt>
                <c:pt idx="5">
                  <c:v>0.70264590688480311</c:v>
                </c:pt>
                <c:pt idx="6">
                  <c:v>0.19929797699869761</c:v>
                </c:pt>
                <c:pt idx="7">
                  <c:v>-0.10707101764479431</c:v>
                </c:pt>
                <c:pt idx="8">
                  <c:v>-0.47973487032234913</c:v>
                </c:pt>
                <c:pt idx="9">
                  <c:v>-0.7040665613553998</c:v>
                </c:pt>
                <c:pt idx="10">
                  <c:v>1.4548448600085102</c:v>
                </c:pt>
                <c:pt idx="11">
                  <c:v>0.59879050676311507</c:v>
                </c:pt>
                <c:pt idx="12">
                  <c:v>-0.29242982390206362</c:v>
                </c:pt>
                <c:pt idx="13">
                  <c:v>-0.6137983945992066</c:v>
                </c:pt>
                <c:pt idx="14">
                  <c:v>-1</c:v>
                </c:pt>
                <c:pt idx="15">
                  <c:v>1.4724638966069894</c:v>
                </c:pt>
                <c:pt idx="16">
                  <c:v>0.63748972951251071</c:v>
                </c:pt>
                <c:pt idx="17">
                  <c:v>-0.32178521725460063</c:v>
                </c:pt>
                <c:pt idx="18">
                  <c:v>-0.53263858256949381</c:v>
                </c:pt>
                <c:pt idx="19">
                  <c:v>-0.88605664769316317</c:v>
                </c:pt>
                <c:pt idx="20">
                  <c:v>-0.88272870434423567</c:v>
                </c:pt>
                <c:pt idx="21">
                  <c:v>-0.80226011398185082</c:v>
                </c:pt>
                <c:pt idx="22">
                  <c:v>1.855617067839308</c:v>
                </c:pt>
                <c:pt idx="23">
                  <c:v>1.7638396293958254</c:v>
                </c:pt>
                <c:pt idx="24">
                  <c:v>0.93165276787740758</c:v>
                </c:pt>
                <c:pt idx="25">
                  <c:v>0.78241289859624052</c:v>
                </c:pt>
                <c:pt idx="26">
                  <c:v>6.1093321824401588E-3</c:v>
                </c:pt>
                <c:pt idx="27">
                  <c:v>-0.1882016490579359</c:v>
                </c:pt>
                <c:pt idx="28">
                  <c:v>-0.46682129807985051</c:v>
                </c:pt>
                <c:pt idx="29">
                  <c:v>-0.67537463550020227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8265-471E-A613-23596119A1EA}"/>
            </c:ext>
          </c:extLst>
        </c:ser>
        <c:ser>
          <c:idx val="10"/>
          <c:order val="17"/>
          <c:tx>
            <c:v>Ice cream</c:v>
          </c:tx>
          <c:spPr>
            <a:ln w="28575">
              <a:noFill/>
            </a:ln>
          </c:spPr>
          <c:marker>
            <c:symbol val="square"/>
            <c:size val="5"/>
            <c:spPr>
              <a:noFill/>
              <a:ln>
                <a:solidFill>
                  <a:srgbClr val="808080"/>
                </a:solidFill>
                <a:prstDash val="solid"/>
              </a:ln>
            </c:spPr>
          </c:marker>
          <c:xVal>
            <c:numRef>
              <c:f>Listeria!$I$42:$I$55</c:f>
              <c:numCache>
                <c:formatCode>General</c:formatCode>
                <c:ptCount val="14"/>
                <c:pt idx="0">
                  <c:v>57.2</c:v>
                </c:pt>
                <c:pt idx="1">
                  <c:v>62.8</c:v>
                </c:pt>
                <c:pt idx="2">
                  <c:v>68.3</c:v>
                </c:pt>
                <c:pt idx="3">
                  <c:v>73.900000000000006</c:v>
                </c:pt>
                <c:pt idx="4">
                  <c:v>79.400000000000006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xVal>
          <c:yVal>
            <c:numRef>
              <c:f>Listeria!$L$42:$L$55</c:f>
              <c:numCache>
                <c:formatCode>0.00</c:formatCode>
                <c:ptCount val="14"/>
                <c:pt idx="0">
                  <c:v>1.1322276607333677</c:v>
                </c:pt>
                <c:pt idx="1">
                  <c:v>0.60616631460762049</c:v>
                </c:pt>
                <c:pt idx="2">
                  <c:v>-0.11350927482751812</c:v>
                </c:pt>
                <c:pt idx="3">
                  <c:v>-0.97881070093006184</c:v>
                </c:pt>
                <c:pt idx="4">
                  <c:v>-2.0621479067488444</c:v>
                </c:pt>
                <c:pt idx="5">
                  <c:v>0.44839710345776762</c:v>
                </c:pt>
                <c:pt idx="6">
                  <c:v>0.49248101012887668</c:v>
                </c:pt>
                <c:pt idx="7">
                  <c:v>0.58994960132570784</c:v>
                </c:pt>
                <c:pt idx="8">
                  <c:v>0.66745295288995399</c:v>
                </c:pt>
                <c:pt idx="9">
                  <c:v>0.53882498893790376</c:v>
                </c:pt>
                <c:pt idx="10">
                  <c:v>0.55750720190565795</c:v>
                </c:pt>
                <c:pt idx="11">
                  <c:v>0.48713837547718641</c:v>
                </c:pt>
                <c:pt idx="12">
                  <c:v>0.7439798652418429</c:v>
                </c:pt>
                <c:pt idx="13">
                  <c:v>0.54381980514265771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8265-471E-A613-23596119A1EA}"/>
            </c:ext>
          </c:extLst>
        </c:ser>
        <c:ser>
          <c:idx val="13"/>
          <c:order val="18"/>
          <c:tx>
            <c:v>Milk</c:v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808080"/>
                </a:solidFill>
                <a:prstDash val="solid"/>
              </a:ln>
            </c:spPr>
          </c:marker>
          <c:xVal>
            <c:numRef>
              <c:f>Listeria!$I$56:$I$281</c:f>
              <c:numCache>
                <c:formatCode>General</c:formatCode>
                <c:ptCount val="226"/>
                <c:pt idx="0">
                  <c:v>62.7</c:v>
                </c:pt>
                <c:pt idx="1">
                  <c:v>55</c:v>
                </c:pt>
                <c:pt idx="2">
                  <c:v>55</c:v>
                </c:pt>
                <c:pt idx="3">
                  <c:v>55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65</c:v>
                </c:pt>
                <c:pt idx="8">
                  <c:v>65</c:v>
                </c:pt>
                <c:pt idx="9">
                  <c:v>65</c:v>
                </c:pt>
                <c:pt idx="10">
                  <c:v>55</c:v>
                </c:pt>
                <c:pt idx="11">
                  <c:v>55</c:v>
                </c:pt>
                <c:pt idx="12">
                  <c:v>55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65</c:v>
                </c:pt>
                <c:pt idx="17">
                  <c:v>65</c:v>
                </c:pt>
                <c:pt idx="18">
                  <c:v>65</c:v>
                </c:pt>
                <c:pt idx="19">
                  <c:v>55</c:v>
                </c:pt>
                <c:pt idx="20">
                  <c:v>55</c:v>
                </c:pt>
                <c:pt idx="21">
                  <c:v>55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65</c:v>
                </c:pt>
                <c:pt idx="26">
                  <c:v>65</c:v>
                </c:pt>
                <c:pt idx="27">
                  <c:v>65</c:v>
                </c:pt>
                <c:pt idx="28">
                  <c:v>52.2</c:v>
                </c:pt>
                <c:pt idx="29">
                  <c:v>52.2</c:v>
                </c:pt>
                <c:pt idx="30">
                  <c:v>52.2</c:v>
                </c:pt>
                <c:pt idx="31">
                  <c:v>52.2</c:v>
                </c:pt>
                <c:pt idx="32">
                  <c:v>57.8</c:v>
                </c:pt>
                <c:pt idx="33">
                  <c:v>57.8</c:v>
                </c:pt>
                <c:pt idx="34">
                  <c:v>57.8</c:v>
                </c:pt>
                <c:pt idx="35">
                  <c:v>57.8</c:v>
                </c:pt>
                <c:pt idx="36">
                  <c:v>63.3</c:v>
                </c:pt>
                <c:pt idx="37">
                  <c:v>63.3</c:v>
                </c:pt>
                <c:pt idx="38">
                  <c:v>63.3</c:v>
                </c:pt>
                <c:pt idx="39">
                  <c:v>63.3</c:v>
                </c:pt>
                <c:pt idx="40">
                  <c:v>63.3</c:v>
                </c:pt>
                <c:pt idx="41">
                  <c:v>66.099999999999994</c:v>
                </c:pt>
                <c:pt idx="42">
                  <c:v>66.099999999999994</c:v>
                </c:pt>
                <c:pt idx="43">
                  <c:v>66.099999999999994</c:v>
                </c:pt>
                <c:pt idx="44">
                  <c:v>68.900000000000006</c:v>
                </c:pt>
                <c:pt idx="45">
                  <c:v>68.900000000000006</c:v>
                </c:pt>
                <c:pt idx="46">
                  <c:v>68.900000000000006</c:v>
                </c:pt>
                <c:pt idx="47">
                  <c:v>68.900000000000006</c:v>
                </c:pt>
                <c:pt idx="48">
                  <c:v>68.900000000000006</c:v>
                </c:pt>
                <c:pt idx="49">
                  <c:v>71.7</c:v>
                </c:pt>
                <c:pt idx="50">
                  <c:v>71.7</c:v>
                </c:pt>
                <c:pt idx="51">
                  <c:v>71.7</c:v>
                </c:pt>
                <c:pt idx="52">
                  <c:v>74.400000000000006</c:v>
                </c:pt>
                <c:pt idx="53">
                  <c:v>74.400000000000006</c:v>
                </c:pt>
                <c:pt idx="54">
                  <c:v>50</c:v>
                </c:pt>
                <c:pt idx="55">
                  <c:v>55</c:v>
                </c:pt>
                <c:pt idx="56">
                  <c:v>60</c:v>
                </c:pt>
                <c:pt idx="57">
                  <c:v>62.8</c:v>
                </c:pt>
                <c:pt idx="58">
                  <c:v>65</c:v>
                </c:pt>
                <c:pt idx="59">
                  <c:v>70</c:v>
                </c:pt>
                <c:pt idx="60">
                  <c:v>71.7</c:v>
                </c:pt>
                <c:pt idx="61">
                  <c:v>75</c:v>
                </c:pt>
                <c:pt idx="62">
                  <c:v>62.7</c:v>
                </c:pt>
                <c:pt idx="63">
                  <c:v>61.9</c:v>
                </c:pt>
                <c:pt idx="64">
                  <c:v>61.9</c:v>
                </c:pt>
                <c:pt idx="65">
                  <c:v>61.9</c:v>
                </c:pt>
                <c:pt idx="66">
                  <c:v>56</c:v>
                </c:pt>
                <c:pt idx="67">
                  <c:v>60</c:v>
                </c:pt>
                <c:pt idx="68">
                  <c:v>65.849999999999994</c:v>
                </c:pt>
                <c:pt idx="69">
                  <c:v>61.9</c:v>
                </c:pt>
                <c:pt idx="70">
                  <c:v>65.849999999999994</c:v>
                </c:pt>
                <c:pt idx="71">
                  <c:v>67.75</c:v>
                </c:pt>
                <c:pt idx="72">
                  <c:v>69.75</c:v>
                </c:pt>
                <c:pt idx="73">
                  <c:v>55</c:v>
                </c:pt>
                <c:pt idx="74">
                  <c:v>60</c:v>
                </c:pt>
                <c:pt idx="75">
                  <c:v>62.8</c:v>
                </c:pt>
                <c:pt idx="76">
                  <c:v>65.150000000000006</c:v>
                </c:pt>
                <c:pt idx="77">
                  <c:v>69.75</c:v>
                </c:pt>
                <c:pt idx="78">
                  <c:v>71.7</c:v>
                </c:pt>
                <c:pt idx="79">
                  <c:v>55</c:v>
                </c:pt>
                <c:pt idx="80">
                  <c:v>60</c:v>
                </c:pt>
                <c:pt idx="81">
                  <c:v>55</c:v>
                </c:pt>
                <c:pt idx="82">
                  <c:v>60</c:v>
                </c:pt>
                <c:pt idx="83">
                  <c:v>55</c:v>
                </c:pt>
                <c:pt idx="84">
                  <c:v>60</c:v>
                </c:pt>
                <c:pt idx="85">
                  <c:v>52.2</c:v>
                </c:pt>
                <c:pt idx="86">
                  <c:v>57.8</c:v>
                </c:pt>
                <c:pt idx="87">
                  <c:v>63.3</c:v>
                </c:pt>
                <c:pt idx="88">
                  <c:v>66.099999999999994</c:v>
                </c:pt>
                <c:pt idx="89">
                  <c:v>68.900000000000006</c:v>
                </c:pt>
                <c:pt idx="90">
                  <c:v>52.2</c:v>
                </c:pt>
                <c:pt idx="91">
                  <c:v>57.8</c:v>
                </c:pt>
                <c:pt idx="92">
                  <c:v>63.3</c:v>
                </c:pt>
                <c:pt idx="93">
                  <c:v>66.099999999999994</c:v>
                </c:pt>
                <c:pt idx="94">
                  <c:v>68.900000000000006</c:v>
                </c:pt>
                <c:pt idx="95">
                  <c:v>71.7</c:v>
                </c:pt>
                <c:pt idx="96">
                  <c:v>62.7</c:v>
                </c:pt>
                <c:pt idx="97">
                  <c:v>62.7</c:v>
                </c:pt>
                <c:pt idx="98">
                  <c:v>62.7</c:v>
                </c:pt>
                <c:pt idx="99">
                  <c:v>62.7</c:v>
                </c:pt>
                <c:pt idx="100">
                  <c:v>62.7</c:v>
                </c:pt>
                <c:pt idx="101">
                  <c:v>55</c:v>
                </c:pt>
                <c:pt idx="102">
                  <c:v>65</c:v>
                </c:pt>
                <c:pt idx="103">
                  <c:v>62.9</c:v>
                </c:pt>
                <c:pt idx="104">
                  <c:v>62.9</c:v>
                </c:pt>
                <c:pt idx="105">
                  <c:v>62.9</c:v>
                </c:pt>
                <c:pt idx="106">
                  <c:v>62.9</c:v>
                </c:pt>
                <c:pt idx="107">
                  <c:v>56</c:v>
                </c:pt>
                <c:pt idx="108">
                  <c:v>60</c:v>
                </c:pt>
                <c:pt idx="109">
                  <c:v>62.9</c:v>
                </c:pt>
                <c:pt idx="110">
                  <c:v>56</c:v>
                </c:pt>
                <c:pt idx="111">
                  <c:v>60</c:v>
                </c:pt>
                <c:pt idx="112">
                  <c:v>62.9</c:v>
                </c:pt>
                <c:pt idx="113">
                  <c:v>56</c:v>
                </c:pt>
                <c:pt idx="114">
                  <c:v>60</c:v>
                </c:pt>
                <c:pt idx="115">
                  <c:v>62.9</c:v>
                </c:pt>
                <c:pt idx="116">
                  <c:v>56</c:v>
                </c:pt>
                <c:pt idx="117">
                  <c:v>60</c:v>
                </c:pt>
                <c:pt idx="118">
                  <c:v>62.9</c:v>
                </c:pt>
                <c:pt idx="119">
                  <c:v>56</c:v>
                </c:pt>
                <c:pt idx="120">
                  <c:v>60</c:v>
                </c:pt>
                <c:pt idx="121">
                  <c:v>62.9</c:v>
                </c:pt>
                <c:pt idx="122">
                  <c:v>56</c:v>
                </c:pt>
                <c:pt idx="123">
                  <c:v>60</c:v>
                </c:pt>
                <c:pt idx="124">
                  <c:v>62.9</c:v>
                </c:pt>
                <c:pt idx="125">
                  <c:v>56</c:v>
                </c:pt>
                <c:pt idx="126">
                  <c:v>60</c:v>
                </c:pt>
                <c:pt idx="127">
                  <c:v>62.9</c:v>
                </c:pt>
                <c:pt idx="128">
                  <c:v>56</c:v>
                </c:pt>
                <c:pt idx="129">
                  <c:v>60</c:v>
                </c:pt>
                <c:pt idx="130">
                  <c:v>62.9</c:v>
                </c:pt>
                <c:pt idx="131">
                  <c:v>71.7</c:v>
                </c:pt>
                <c:pt idx="132">
                  <c:v>71.7</c:v>
                </c:pt>
                <c:pt idx="133">
                  <c:v>57.9</c:v>
                </c:pt>
                <c:pt idx="134">
                  <c:v>57.9</c:v>
                </c:pt>
                <c:pt idx="135">
                  <c:v>57.9</c:v>
                </c:pt>
                <c:pt idx="136">
                  <c:v>57.9</c:v>
                </c:pt>
                <c:pt idx="137">
                  <c:v>57.9</c:v>
                </c:pt>
                <c:pt idx="138">
                  <c:v>57.9</c:v>
                </c:pt>
                <c:pt idx="139">
                  <c:v>52.2</c:v>
                </c:pt>
                <c:pt idx="140">
                  <c:v>55.2</c:v>
                </c:pt>
                <c:pt idx="141">
                  <c:v>57.9</c:v>
                </c:pt>
                <c:pt idx="142">
                  <c:v>52.2</c:v>
                </c:pt>
                <c:pt idx="143">
                  <c:v>55.2</c:v>
                </c:pt>
                <c:pt idx="144">
                  <c:v>57.9</c:v>
                </c:pt>
                <c:pt idx="145">
                  <c:v>52.2</c:v>
                </c:pt>
                <c:pt idx="146">
                  <c:v>55.2</c:v>
                </c:pt>
                <c:pt idx="147">
                  <c:v>57.9</c:v>
                </c:pt>
                <c:pt idx="148">
                  <c:v>62.7</c:v>
                </c:pt>
                <c:pt idx="149">
                  <c:v>62.7</c:v>
                </c:pt>
                <c:pt idx="150">
                  <c:v>52.2</c:v>
                </c:pt>
                <c:pt idx="151">
                  <c:v>57.8</c:v>
                </c:pt>
                <c:pt idx="152">
                  <c:v>66.099999999999994</c:v>
                </c:pt>
                <c:pt idx="153">
                  <c:v>68.900000000000006</c:v>
                </c:pt>
                <c:pt idx="154">
                  <c:v>71.7</c:v>
                </c:pt>
                <c:pt idx="155">
                  <c:v>62.8</c:v>
                </c:pt>
                <c:pt idx="156">
                  <c:v>62.8</c:v>
                </c:pt>
                <c:pt idx="157">
                  <c:v>57.9</c:v>
                </c:pt>
                <c:pt idx="158">
                  <c:v>63.15</c:v>
                </c:pt>
                <c:pt idx="159">
                  <c:v>68.900000000000006</c:v>
                </c:pt>
                <c:pt idx="160">
                  <c:v>57.9</c:v>
                </c:pt>
                <c:pt idx="161">
                  <c:v>63.15</c:v>
                </c:pt>
                <c:pt idx="162">
                  <c:v>68.900000000000006</c:v>
                </c:pt>
                <c:pt idx="163">
                  <c:v>52.2</c:v>
                </c:pt>
                <c:pt idx="164">
                  <c:v>57.8</c:v>
                </c:pt>
                <c:pt idx="165">
                  <c:v>63.3</c:v>
                </c:pt>
                <c:pt idx="166">
                  <c:v>66.099999999999994</c:v>
                </c:pt>
                <c:pt idx="167">
                  <c:v>68.900000000000006</c:v>
                </c:pt>
                <c:pt idx="168">
                  <c:v>71.7</c:v>
                </c:pt>
                <c:pt idx="169">
                  <c:v>57.9</c:v>
                </c:pt>
                <c:pt idx="170">
                  <c:v>63.15</c:v>
                </c:pt>
                <c:pt idx="171">
                  <c:v>68.900000000000006</c:v>
                </c:pt>
                <c:pt idx="172">
                  <c:v>57.9</c:v>
                </c:pt>
                <c:pt idx="173">
                  <c:v>63.15</c:v>
                </c:pt>
                <c:pt idx="174">
                  <c:v>68.900000000000006</c:v>
                </c:pt>
                <c:pt idx="175">
                  <c:v>57.9</c:v>
                </c:pt>
                <c:pt idx="176">
                  <c:v>63.15</c:v>
                </c:pt>
                <c:pt idx="177">
                  <c:v>68.900000000000006</c:v>
                </c:pt>
                <c:pt idx="178">
                  <c:v>57.9</c:v>
                </c:pt>
                <c:pt idx="179">
                  <c:v>57.9</c:v>
                </c:pt>
                <c:pt idx="180">
                  <c:v>62.75</c:v>
                </c:pt>
                <c:pt idx="181">
                  <c:v>62.75</c:v>
                </c:pt>
                <c:pt idx="182">
                  <c:v>62.75</c:v>
                </c:pt>
                <c:pt idx="183">
                  <c:v>62.75</c:v>
                </c:pt>
                <c:pt idx="184">
                  <c:v>55.1</c:v>
                </c:pt>
                <c:pt idx="185">
                  <c:v>62.75</c:v>
                </c:pt>
                <c:pt idx="186">
                  <c:v>71.7</c:v>
                </c:pt>
                <c:pt idx="187">
                  <c:v>62.75</c:v>
                </c:pt>
                <c:pt idx="188">
                  <c:v>71.7</c:v>
                </c:pt>
                <c:pt idx="189">
                  <c:v>57.9</c:v>
                </c:pt>
                <c:pt idx="190">
                  <c:v>62.75</c:v>
                </c:pt>
                <c:pt idx="191">
                  <c:v>66.099999999999994</c:v>
                </c:pt>
                <c:pt idx="192">
                  <c:v>66.099999999999994</c:v>
                </c:pt>
                <c:pt idx="193">
                  <c:v>68.900000000000006</c:v>
                </c:pt>
                <c:pt idx="194">
                  <c:v>68.900000000000006</c:v>
                </c:pt>
                <c:pt idx="195">
                  <c:v>57.9</c:v>
                </c:pt>
                <c:pt idx="196">
                  <c:v>62.75</c:v>
                </c:pt>
                <c:pt idx="197">
                  <c:v>66.099999999999994</c:v>
                </c:pt>
                <c:pt idx="198">
                  <c:v>66.099999999999994</c:v>
                </c:pt>
                <c:pt idx="199">
                  <c:v>68.900000000000006</c:v>
                </c:pt>
                <c:pt idx="200">
                  <c:v>68.900000000000006</c:v>
                </c:pt>
                <c:pt idx="201">
                  <c:v>56</c:v>
                </c:pt>
                <c:pt idx="202">
                  <c:v>60</c:v>
                </c:pt>
                <c:pt idx="203">
                  <c:v>63.15</c:v>
                </c:pt>
                <c:pt idx="204">
                  <c:v>56</c:v>
                </c:pt>
                <c:pt idx="205">
                  <c:v>60</c:v>
                </c:pt>
                <c:pt idx="206">
                  <c:v>63.15</c:v>
                </c:pt>
                <c:pt idx="207">
                  <c:v>56</c:v>
                </c:pt>
                <c:pt idx="208">
                  <c:v>60</c:v>
                </c:pt>
                <c:pt idx="209">
                  <c:v>63.15</c:v>
                </c:pt>
                <c:pt idx="210">
                  <c:v>56</c:v>
                </c:pt>
                <c:pt idx="211">
                  <c:v>60</c:v>
                </c:pt>
                <c:pt idx="212">
                  <c:v>63.15</c:v>
                </c:pt>
                <c:pt idx="213">
                  <c:v>52.2</c:v>
                </c:pt>
                <c:pt idx="214">
                  <c:v>57.8</c:v>
                </c:pt>
                <c:pt idx="215">
                  <c:v>63.3</c:v>
                </c:pt>
                <c:pt idx="216">
                  <c:v>66.099999999999994</c:v>
                </c:pt>
                <c:pt idx="217">
                  <c:v>68.900000000000006</c:v>
                </c:pt>
                <c:pt idx="218">
                  <c:v>71.7</c:v>
                </c:pt>
                <c:pt idx="219">
                  <c:v>71.7</c:v>
                </c:pt>
                <c:pt idx="220">
                  <c:v>71.7</c:v>
                </c:pt>
                <c:pt idx="221">
                  <c:v>71.7</c:v>
                </c:pt>
                <c:pt idx="222">
                  <c:v>71.7</c:v>
                </c:pt>
                <c:pt idx="223">
                  <c:v>74.400000000000006</c:v>
                </c:pt>
                <c:pt idx="224">
                  <c:v>74.400000000000006</c:v>
                </c:pt>
                <c:pt idx="225">
                  <c:v>71.7</c:v>
                </c:pt>
              </c:numCache>
            </c:numRef>
          </c:xVal>
          <c:yVal>
            <c:numRef>
              <c:f>Listeria!$L$56:$L$281</c:f>
              <c:numCache>
                <c:formatCode>0.00</c:formatCode>
                <c:ptCount val="226"/>
                <c:pt idx="0">
                  <c:v>-4.5757490560675115E-2</c:v>
                </c:pt>
                <c:pt idx="1">
                  <c:v>1.2787536009528289</c:v>
                </c:pt>
                <c:pt idx="2">
                  <c:v>1.9003671286564703</c:v>
                </c:pt>
                <c:pt idx="3">
                  <c:v>1.8893017025063104</c:v>
                </c:pt>
                <c:pt idx="4">
                  <c:v>0.38021124171160603</c:v>
                </c:pt>
                <c:pt idx="5">
                  <c:v>0.38471174293828242</c:v>
                </c:pt>
                <c:pt idx="6">
                  <c:v>0.47348697006456836</c:v>
                </c:pt>
                <c:pt idx="7">
                  <c:v>-0.48811663902112562</c:v>
                </c:pt>
                <c:pt idx="8">
                  <c:v>-0.3979400086720376</c:v>
                </c:pt>
                <c:pt idx="9">
                  <c:v>-0.3979400086720376</c:v>
                </c:pt>
                <c:pt idx="10">
                  <c:v>1.2612628687924936</c:v>
                </c:pt>
                <c:pt idx="11">
                  <c:v>1.9177680024477564</c:v>
                </c:pt>
                <c:pt idx="12">
                  <c:v>1.9138138523837167</c:v>
                </c:pt>
                <c:pt idx="13">
                  <c:v>0.41077723337720984</c:v>
                </c:pt>
                <c:pt idx="14">
                  <c:v>0.46239799789895608</c:v>
                </c:pt>
                <c:pt idx="15">
                  <c:v>0.51521130432780182</c:v>
                </c:pt>
                <c:pt idx="16">
                  <c:v>-0.37161106994968846</c:v>
                </c:pt>
                <c:pt idx="17">
                  <c:v>-0.45593195564972439</c:v>
                </c:pt>
                <c:pt idx="18">
                  <c:v>-0.34678748622465633</c:v>
                </c:pt>
                <c:pt idx="19">
                  <c:v>1.2671717284030137</c:v>
                </c:pt>
                <c:pt idx="20">
                  <c:v>1.8962505624616381</c:v>
                </c:pt>
                <c:pt idx="21">
                  <c:v>1.8211858826088454</c:v>
                </c:pt>
                <c:pt idx="22">
                  <c:v>0.3979400086720376</c:v>
                </c:pt>
                <c:pt idx="23">
                  <c:v>0.36172783601759284</c:v>
                </c:pt>
                <c:pt idx="24">
                  <c:v>0.5502283530550941</c:v>
                </c:pt>
                <c:pt idx="25">
                  <c:v>-0.45593195564972439</c:v>
                </c:pt>
                <c:pt idx="26">
                  <c:v>-0.42596873227228116</c:v>
                </c:pt>
                <c:pt idx="27">
                  <c:v>-0.42596873227228116</c:v>
                </c:pt>
                <c:pt idx="28">
                  <c:v>1.4297522800024081</c:v>
                </c:pt>
                <c:pt idx="29">
                  <c:v>1.4653828514484182</c:v>
                </c:pt>
                <c:pt idx="30">
                  <c:v>1.7226339225338123</c:v>
                </c:pt>
                <c:pt idx="31">
                  <c:v>1.5816083660320575</c:v>
                </c:pt>
                <c:pt idx="32">
                  <c:v>0.65224634100332324</c:v>
                </c:pt>
                <c:pt idx="33">
                  <c:v>0.71264970162721142</c:v>
                </c:pt>
                <c:pt idx="34">
                  <c:v>0.9122220565324155</c:v>
                </c:pt>
                <c:pt idx="35">
                  <c:v>0.87040390527902711</c:v>
                </c:pt>
                <c:pt idx="36">
                  <c:v>-0.65104645201883604</c:v>
                </c:pt>
                <c:pt idx="37">
                  <c:v>-0.32483291033660594</c:v>
                </c:pt>
                <c:pt idx="38">
                  <c:v>-0.25570701687732383</c:v>
                </c:pt>
                <c:pt idx="39">
                  <c:v>-0.25440478357207919</c:v>
                </c:pt>
                <c:pt idx="40">
                  <c:v>-0.3053948010664313</c:v>
                </c:pt>
                <c:pt idx="41">
                  <c:v>-0.98575956088538974</c:v>
                </c:pt>
                <c:pt idx="42">
                  <c:v>-0.77382987660100111</c:v>
                </c:pt>
                <c:pt idx="43">
                  <c:v>-0.59917430309047426</c:v>
                </c:pt>
                <c:pt idx="44">
                  <c:v>-1.4559319556497243</c:v>
                </c:pt>
                <c:pt idx="45">
                  <c:v>-1.1549019599857431</c:v>
                </c:pt>
                <c:pt idx="46">
                  <c:v>-0.93305321036938682</c:v>
                </c:pt>
                <c:pt idx="47">
                  <c:v>-0.92081875395237511</c:v>
                </c:pt>
                <c:pt idx="48">
                  <c:v>-1.0538753807828547</c:v>
                </c:pt>
                <c:pt idx="49">
                  <c:v>-1.8750612633917001</c:v>
                </c:pt>
                <c:pt idx="50">
                  <c:v>-1.7367585652254185</c:v>
                </c:pt>
                <c:pt idx="51">
                  <c:v>-1.6642078980768069</c:v>
                </c:pt>
                <c:pt idx="52">
                  <c:v>-2.0791812460476247</c:v>
                </c:pt>
                <c:pt idx="53">
                  <c:v>-1.8239087409443187</c:v>
                </c:pt>
                <c:pt idx="54">
                  <c:v>1.5006480633719119</c:v>
                </c:pt>
                <c:pt idx="55">
                  <c:v>0.65321251377534373</c:v>
                </c:pt>
                <c:pt idx="56">
                  <c:v>-2.2276394711152253E-2</c:v>
                </c:pt>
                <c:pt idx="57">
                  <c:v>-0.47712125471966244</c:v>
                </c:pt>
                <c:pt idx="58">
                  <c:v>-1</c:v>
                </c:pt>
                <c:pt idx="59">
                  <c:v>-1.6320232147054057</c:v>
                </c:pt>
                <c:pt idx="60">
                  <c:v>-1.8050233967839451</c:v>
                </c:pt>
                <c:pt idx="61">
                  <c:v>-2.1153934187020695</c:v>
                </c:pt>
                <c:pt idx="62">
                  <c:v>-4.5757490560675115E-2</c:v>
                </c:pt>
                <c:pt idx="63">
                  <c:v>-0.3979400086720376</c:v>
                </c:pt>
                <c:pt idx="64">
                  <c:v>-1</c:v>
                </c:pt>
                <c:pt idx="65">
                  <c:v>-0.3979400086720376</c:v>
                </c:pt>
                <c:pt idx="66">
                  <c:v>0.95424250943932487</c:v>
                </c:pt>
                <c:pt idx="67">
                  <c:v>0</c:v>
                </c:pt>
                <c:pt idx="68">
                  <c:v>-1</c:v>
                </c:pt>
                <c:pt idx="69">
                  <c:v>-0.19382002601611281</c:v>
                </c:pt>
                <c:pt idx="70">
                  <c:v>-0.88605664769316317</c:v>
                </c:pt>
                <c:pt idx="71">
                  <c:v>-1.2365720064370627</c:v>
                </c:pt>
                <c:pt idx="72">
                  <c:v>-1.6382721639824072</c:v>
                </c:pt>
                <c:pt idx="73">
                  <c:v>0.66745295288995399</c:v>
                </c:pt>
                <c:pt idx="74">
                  <c:v>2.1189299069938092E-2</c:v>
                </c:pt>
                <c:pt idx="75">
                  <c:v>-0.48148606012211248</c:v>
                </c:pt>
                <c:pt idx="76">
                  <c:v>-1</c:v>
                </c:pt>
                <c:pt idx="77">
                  <c:v>-1.6382721639824072</c:v>
                </c:pt>
                <c:pt idx="78">
                  <c:v>-1.7958800173440752</c:v>
                </c:pt>
                <c:pt idx="79">
                  <c:v>0.65321251377534373</c:v>
                </c:pt>
                <c:pt idx="80">
                  <c:v>-2.2276394711152253E-2</c:v>
                </c:pt>
                <c:pt idx="81">
                  <c:v>0.63848925695463732</c:v>
                </c:pt>
                <c:pt idx="82">
                  <c:v>-1.322826573375516E-2</c:v>
                </c:pt>
                <c:pt idx="83">
                  <c:v>0.60422605308446997</c:v>
                </c:pt>
                <c:pt idx="84">
                  <c:v>-2.2276394711152253E-2</c:v>
                </c:pt>
                <c:pt idx="85">
                  <c:v>1.6391875599357539</c:v>
                </c:pt>
                <c:pt idx="86">
                  <c:v>0.79588001734407521</c:v>
                </c:pt>
                <c:pt idx="87">
                  <c:v>-0.33099321904142442</c:v>
                </c:pt>
                <c:pt idx="88">
                  <c:v>-0.67094128073577519</c:v>
                </c:pt>
                <c:pt idx="89">
                  <c:v>-1.2099495263166486</c:v>
                </c:pt>
                <c:pt idx="90">
                  <c:v>1.4553017716570764</c:v>
                </c:pt>
                <c:pt idx="91">
                  <c:v>0.61278385671973545</c:v>
                </c:pt>
                <c:pt idx="92">
                  <c:v>-0.36485148630239184</c:v>
                </c:pt>
                <c:pt idx="93">
                  <c:v>-0.69897000433601875</c:v>
                </c:pt>
                <c:pt idx="94">
                  <c:v>-1.1346985738974562</c:v>
                </c:pt>
                <c:pt idx="95">
                  <c:v>-1.5477023290053697</c:v>
                </c:pt>
                <c:pt idx="96">
                  <c:v>-0.3979400086720376</c:v>
                </c:pt>
                <c:pt idx="97">
                  <c:v>-0.3979400086720376</c:v>
                </c:pt>
                <c:pt idx="98">
                  <c:v>0</c:v>
                </c:pt>
                <c:pt idx="99">
                  <c:v>-0.18708664335714442</c:v>
                </c:pt>
                <c:pt idx="100">
                  <c:v>-0.45593195564972439</c:v>
                </c:pt>
                <c:pt idx="101">
                  <c:v>1.3802112417116059</c:v>
                </c:pt>
                <c:pt idx="102">
                  <c:v>-1</c:v>
                </c:pt>
                <c:pt idx="103">
                  <c:v>-0.22184874961635639</c:v>
                </c:pt>
                <c:pt idx="104">
                  <c:v>0.3979400086720376</c:v>
                </c:pt>
                <c:pt idx="105">
                  <c:v>0.18469143081759881</c:v>
                </c:pt>
                <c:pt idx="106">
                  <c:v>0.60745502321466849</c:v>
                </c:pt>
                <c:pt idx="107">
                  <c:v>0.98227123303956843</c:v>
                </c:pt>
                <c:pt idx="108">
                  <c:v>0.17609125905568124</c:v>
                </c:pt>
                <c:pt idx="109">
                  <c:v>-0.3979400086720376</c:v>
                </c:pt>
                <c:pt idx="110">
                  <c:v>1.3891660843645324</c:v>
                </c:pt>
                <c:pt idx="111">
                  <c:v>0.56820172406699498</c:v>
                </c:pt>
                <c:pt idx="112">
                  <c:v>4.1392685158225077E-2</c:v>
                </c:pt>
                <c:pt idx="113">
                  <c:v>1.0211892990699381</c:v>
                </c:pt>
                <c:pt idx="114">
                  <c:v>0.23044892137827391</c:v>
                </c:pt>
                <c:pt idx="115">
                  <c:v>-0.3979400086720376</c:v>
                </c:pt>
                <c:pt idx="116">
                  <c:v>1.4638929889859074</c:v>
                </c:pt>
                <c:pt idx="117">
                  <c:v>0.64345267648618742</c:v>
                </c:pt>
                <c:pt idx="118">
                  <c:v>0.14612803567823801</c:v>
                </c:pt>
                <c:pt idx="119">
                  <c:v>1.0043213737826426</c:v>
                </c:pt>
                <c:pt idx="120">
                  <c:v>0.17609125905568124</c:v>
                </c:pt>
                <c:pt idx="121">
                  <c:v>-0.3979400086720376</c:v>
                </c:pt>
                <c:pt idx="122">
                  <c:v>1.4232458739368079</c:v>
                </c:pt>
                <c:pt idx="123">
                  <c:v>0.59106460702649921</c:v>
                </c:pt>
                <c:pt idx="124">
                  <c:v>7.9181246047624818E-2</c:v>
                </c:pt>
                <c:pt idx="125">
                  <c:v>1.0569048513364727</c:v>
                </c:pt>
                <c:pt idx="126">
                  <c:v>0.25527250510330607</c:v>
                </c:pt>
                <c:pt idx="127">
                  <c:v>-0.3010299956639812</c:v>
                </c:pt>
                <c:pt idx="128">
                  <c:v>1.4983105537896004</c:v>
                </c:pt>
                <c:pt idx="129">
                  <c:v>0.68124123737558717</c:v>
                </c:pt>
                <c:pt idx="130">
                  <c:v>0.14612803567823801</c:v>
                </c:pt>
                <c:pt idx="131">
                  <c:v>-1.3010299956639813</c:v>
                </c:pt>
                <c:pt idx="132">
                  <c:v>-1.1135092748275182</c:v>
                </c:pt>
                <c:pt idx="133">
                  <c:v>0.38916608436453248</c:v>
                </c:pt>
                <c:pt idx="134">
                  <c:v>0.47712125471966244</c:v>
                </c:pt>
                <c:pt idx="135">
                  <c:v>0.33645973384852951</c:v>
                </c:pt>
                <c:pt idx="136">
                  <c:v>0.42488163663106698</c:v>
                </c:pt>
                <c:pt idx="137">
                  <c:v>0.43933269383026263</c:v>
                </c:pt>
                <c:pt idx="138">
                  <c:v>0.59106460702649921</c:v>
                </c:pt>
                <c:pt idx="139">
                  <c:v>1.4800069429571505</c:v>
                </c:pt>
                <c:pt idx="140">
                  <c:v>0.91381385238371671</c:v>
                </c:pt>
                <c:pt idx="141">
                  <c:v>0.36172783601759284</c:v>
                </c:pt>
                <c:pt idx="142">
                  <c:v>1.4683473304121573</c:v>
                </c:pt>
                <c:pt idx="143">
                  <c:v>1.0453229787866574</c:v>
                </c:pt>
                <c:pt idx="144">
                  <c:v>0.41497334797081797</c:v>
                </c:pt>
                <c:pt idx="145">
                  <c:v>1.0293837776852097</c:v>
                </c:pt>
                <c:pt idx="146">
                  <c:v>0.20411998265592479</c:v>
                </c:pt>
                <c:pt idx="147">
                  <c:v>-0.3010299956639812</c:v>
                </c:pt>
                <c:pt idx="148">
                  <c:v>-0.45593195564972439</c:v>
                </c:pt>
                <c:pt idx="149">
                  <c:v>0</c:v>
                </c:pt>
                <c:pt idx="150">
                  <c:v>1.5662017188549129</c:v>
                </c:pt>
                <c:pt idx="151">
                  <c:v>0.69635638873333205</c:v>
                </c:pt>
                <c:pt idx="152">
                  <c:v>-0.63513645012954856</c:v>
                </c:pt>
                <c:pt idx="153">
                  <c:v>-1.0147232568207063</c:v>
                </c:pt>
                <c:pt idx="154">
                  <c:v>-1.3467874862246563</c:v>
                </c:pt>
                <c:pt idx="155">
                  <c:v>-0.22184874961635639</c:v>
                </c:pt>
                <c:pt idx="156">
                  <c:v>0.60745502321466849</c:v>
                </c:pt>
                <c:pt idx="157">
                  <c:v>0.86093662070009369</c:v>
                </c:pt>
                <c:pt idx="158">
                  <c:v>-0.18708664335714442</c:v>
                </c:pt>
                <c:pt idx="159">
                  <c:v>-1.2596373105057561</c:v>
                </c:pt>
                <c:pt idx="160">
                  <c:v>0.94497590841204793</c:v>
                </c:pt>
                <c:pt idx="161">
                  <c:v>-0.11350927482751812</c:v>
                </c:pt>
                <c:pt idx="162">
                  <c:v>-1.3279021420642825</c:v>
                </c:pt>
                <c:pt idx="163">
                  <c:v>1.448087666692341</c:v>
                </c:pt>
                <c:pt idx="164">
                  <c:v>0.68394713075151214</c:v>
                </c:pt>
                <c:pt idx="165">
                  <c:v>-0.47929817397393698</c:v>
                </c:pt>
                <c:pt idx="166">
                  <c:v>-0.91482839026318774</c:v>
                </c:pt>
                <c:pt idx="167">
                  <c:v>-1.3010299956639813</c:v>
                </c:pt>
                <c:pt idx="168">
                  <c:v>-1.8239087409443187</c:v>
                </c:pt>
                <c:pt idx="169">
                  <c:v>0.68124123737558717</c:v>
                </c:pt>
                <c:pt idx="170">
                  <c:v>-7.5720713938118356E-2</c:v>
                </c:pt>
                <c:pt idx="171">
                  <c:v>-0.92081875395237522</c:v>
                </c:pt>
                <c:pt idx="172">
                  <c:v>0.83250891270623628</c:v>
                </c:pt>
                <c:pt idx="173">
                  <c:v>5.3078443483419682E-2</c:v>
                </c:pt>
                <c:pt idx="174">
                  <c:v>-0.81815641205522749</c:v>
                </c:pt>
                <c:pt idx="175">
                  <c:v>0.86569605991607057</c:v>
                </c:pt>
                <c:pt idx="176">
                  <c:v>-8.092190762392612E-2</c:v>
                </c:pt>
                <c:pt idx="177">
                  <c:v>-0.98716277529482777</c:v>
                </c:pt>
                <c:pt idx="178">
                  <c:v>0.34242268082220628</c:v>
                </c:pt>
                <c:pt idx="179">
                  <c:v>0.43933269383026263</c:v>
                </c:pt>
                <c:pt idx="180">
                  <c:v>-0.18708664335714442</c:v>
                </c:pt>
                <c:pt idx="181">
                  <c:v>-0.3979400086720376</c:v>
                </c:pt>
                <c:pt idx="182">
                  <c:v>-0.3979400086720376</c:v>
                </c:pt>
                <c:pt idx="183">
                  <c:v>-0.45593195564972439</c:v>
                </c:pt>
                <c:pt idx="184">
                  <c:v>1.3802112417116059</c:v>
                </c:pt>
                <c:pt idx="185">
                  <c:v>0</c:v>
                </c:pt>
                <c:pt idx="186">
                  <c:v>-1.3010299956639813</c:v>
                </c:pt>
                <c:pt idx="187">
                  <c:v>-0.22184874961635639</c:v>
                </c:pt>
                <c:pt idx="188">
                  <c:v>-1.3010299956639813</c:v>
                </c:pt>
                <c:pt idx="189">
                  <c:v>0.74193907772919887</c:v>
                </c:pt>
                <c:pt idx="190">
                  <c:v>-0.19382002601611281</c:v>
                </c:pt>
                <c:pt idx="191">
                  <c:v>-0.55284196865778079</c:v>
                </c:pt>
                <c:pt idx="192">
                  <c:v>-0.52287874528033762</c:v>
                </c:pt>
                <c:pt idx="193">
                  <c:v>-1.0705810742857071</c:v>
                </c:pt>
                <c:pt idx="194">
                  <c:v>-0.85387196432176193</c:v>
                </c:pt>
                <c:pt idx="195">
                  <c:v>0.8549130223078556</c:v>
                </c:pt>
                <c:pt idx="196">
                  <c:v>-3.6212172654444715E-2</c:v>
                </c:pt>
                <c:pt idx="197">
                  <c:v>-0.55284196865778079</c:v>
                </c:pt>
                <c:pt idx="198">
                  <c:v>-0.52287874528033762</c:v>
                </c:pt>
                <c:pt idx="199">
                  <c:v>-1.1870866433571443</c:v>
                </c:pt>
                <c:pt idx="200">
                  <c:v>-0.82390874094431876</c:v>
                </c:pt>
                <c:pt idx="201">
                  <c:v>0.98227123303956843</c:v>
                </c:pt>
                <c:pt idx="202">
                  <c:v>0.17609125905568124</c:v>
                </c:pt>
                <c:pt idx="203">
                  <c:v>-0.3979400086720376</c:v>
                </c:pt>
                <c:pt idx="204">
                  <c:v>1.0211892990699381</c:v>
                </c:pt>
                <c:pt idx="205">
                  <c:v>0.23044892137827391</c:v>
                </c:pt>
                <c:pt idx="206">
                  <c:v>-0.3979400086720376</c:v>
                </c:pt>
                <c:pt idx="207">
                  <c:v>1.0043213737826426</c:v>
                </c:pt>
                <c:pt idx="208">
                  <c:v>0.17609125905568124</c:v>
                </c:pt>
                <c:pt idx="209">
                  <c:v>-0.3979400086720376</c:v>
                </c:pt>
                <c:pt idx="210">
                  <c:v>1.0569048513364727</c:v>
                </c:pt>
                <c:pt idx="211">
                  <c:v>0.25527250510330607</c:v>
                </c:pt>
                <c:pt idx="212">
                  <c:v>-0.3010299956639812</c:v>
                </c:pt>
                <c:pt idx="213">
                  <c:v>1.3816564825857869</c:v>
                </c:pt>
                <c:pt idx="214">
                  <c:v>0.62940959910271888</c:v>
                </c:pt>
                <c:pt idx="215">
                  <c:v>-0.23532582342446373</c:v>
                </c:pt>
                <c:pt idx="216">
                  <c:v>-0.78251605578609373</c:v>
                </c:pt>
                <c:pt idx="217">
                  <c:v>-1.2730012720637376</c:v>
                </c:pt>
                <c:pt idx="218">
                  <c:v>-1.4771212547196624</c:v>
                </c:pt>
                <c:pt idx="219">
                  <c:v>-1.0791812460476249</c:v>
                </c:pt>
                <c:pt idx="220">
                  <c:v>-1.286789556549371</c:v>
                </c:pt>
                <c:pt idx="221">
                  <c:v>-1.3010299956639813</c:v>
                </c:pt>
                <c:pt idx="222">
                  <c:v>-1.1153934187020695</c:v>
                </c:pt>
                <c:pt idx="223">
                  <c:v>-1.6020599913279623</c:v>
                </c:pt>
                <c:pt idx="224">
                  <c:v>-1.7367585652254185</c:v>
                </c:pt>
                <c:pt idx="225">
                  <c:v>-1.8239087409443187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8265-471E-A613-23596119A1EA}"/>
            </c:ext>
          </c:extLst>
        </c:ser>
        <c:ser>
          <c:idx val="27"/>
          <c:order val="19"/>
          <c:tx>
            <c:v>Broccoli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C0C0C0"/>
              </a:solidFill>
              <a:ln>
                <a:solidFill>
                  <a:srgbClr val="C0C0C0"/>
                </a:solidFill>
                <a:prstDash val="solid"/>
              </a:ln>
            </c:spPr>
          </c:marker>
          <c:xVal>
            <c:numRef>
              <c:f>Listeria!$I$880:$I$882</c:f>
              <c:numCache>
                <c:formatCode>General</c:formatCode>
                <c:ptCount val="3"/>
                <c:pt idx="0">
                  <c:v>56</c:v>
                </c:pt>
                <c:pt idx="1">
                  <c:v>60</c:v>
                </c:pt>
                <c:pt idx="2">
                  <c:v>62</c:v>
                </c:pt>
              </c:numCache>
            </c:numRef>
          </c:xVal>
          <c:yVal>
            <c:numRef>
              <c:f>Listeria!$L$880:$L$882</c:f>
              <c:numCache>
                <c:formatCode>0.00</c:formatCode>
                <c:ptCount val="3"/>
                <c:pt idx="0">
                  <c:v>0.36172783601759284</c:v>
                </c:pt>
                <c:pt idx="1">
                  <c:v>-0.20760831050174613</c:v>
                </c:pt>
                <c:pt idx="2">
                  <c:v>-0.40893539297350079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8265-471E-A613-23596119A1EA}"/>
            </c:ext>
          </c:extLst>
        </c:ser>
        <c:ser>
          <c:idx val="4"/>
          <c:order val="20"/>
          <c:tx>
            <c:v>Cabbage</c:v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C0C0C0"/>
                </a:solidFill>
                <a:prstDash val="solid"/>
              </a:ln>
            </c:spPr>
          </c:marker>
          <c:xVal>
            <c:numRef>
              <c:f>Listeria!$I$883:$I$906</c:f>
              <c:numCache>
                <c:formatCode>General</c:formatCode>
                <c:ptCount val="24"/>
                <c:pt idx="0">
                  <c:v>50</c:v>
                </c:pt>
                <c:pt idx="1">
                  <c:v>54</c:v>
                </c:pt>
                <c:pt idx="2">
                  <c:v>56</c:v>
                </c:pt>
                <c:pt idx="3">
                  <c:v>54</c:v>
                </c:pt>
                <c:pt idx="4">
                  <c:v>56</c:v>
                </c:pt>
                <c:pt idx="5">
                  <c:v>50</c:v>
                </c:pt>
                <c:pt idx="6">
                  <c:v>54</c:v>
                </c:pt>
                <c:pt idx="7">
                  <c:v>56</c:v>
                </c:pt>
                <c:pt idx="8">
                  <c:v>54</c:v>
                </c:pt>
                <c:pt idx="9">
                  <c:v>56</c:v>
                </c:pt>
                <c:pt idx="10">
                  <c:v>50</c:v>
                </c:pt>
                <c:pt idx="11">
                  <c:v>50</c:v>
                </c:pt>
                <c:pt idx="12">
                  <c:v>51.7</c:v>
                </c:pt>
                <c:pt idx="13">
                  <c:v>51.7</c:v>
                </c:pt>
                <c:pt idx="14">
                  <c:v>52</c:v>
                </c:pt>
                <c:pt idx="15">
                  <c:v>52</c:v>
                </c:pt>
                <c:pt idx="16">
                  <c:v>54</c:v>
                </c:pt>
                <c:pt idx="17">
                  <c:v>54</c:v>
                </c:pt>
                <c:pt idx="18">
                  <c:v>54</c:v>
                </c:pt>
                <c:pt idx="19">
                  <c:v>54</c:v>
                </c:pt>
                <c:pt idx="20">
                  <c:v>56</c:v>
                </c:pt>
                <c:pt idx="21">
                  <c:v>56</c:v>
                </c:pt>
                <c:pt idx="22">
                  <c:v>56</c:v>
                </c:pt>
                <c:pt idx="23">
                  <c:v>56</c:v>
                </c:pt>
              </c:numCache>
            </c:numRef>
          </c:xVal>
          <c:yVal>
            <c:numRef>
              <c:f>Listeria!$L$883:$L$906</c:f>
              <c:numCache>
                <c:formatCode>0.00</c:formatCode>
                <c:ptCount val="24"/>
                <c:pt idx="0">
                  <c:v>1.3979400086720377</c:v>
                </c:pt>
                <c:pt idx="1">
                  <c:v>0.82672252016899206</c:v>
                </c:pt>
                <c:pt idx="2">
                  <c:v>0.56110138364905604</c:v>
                </c:pt>
                <c:pt idx="3">
                  <c:v>0.92168647548360205</c:v>
                </c:pt>
                <c:pt idx="4">
                  <c:v>0.83250891270623628</c:v>
                </c:pt>
                <c:pt idx="5">
                  <c:v>1.1238516409670858</c:v>
                </c:pt>
                <c:pt idx="6">
                  <c:v>0.68841982200271057</c:v>
                </c:pt>
                <c:pt idx="7">
                  <c:v>0.30963016742589877</c:v>
                </c:pt>
                <c:pt idx="8">
                  <c:v>0.95085145888854639</c:v>
                </c:pt>
                <c:pt idx="9">
                  <c:v>0.67577834167408513</c:v>
                </c:pt>
                <c:pt idx="10">
                  <c:v>1.1248301494138593</c:v>
                </c:pt>
                <c:pt idx="11">
                  <c:v>1.3979400086720377</c:v>
                </c:pt>
                <c:pt idx="12">
                  <c:v>0.91381385238371671</c:v>
                </c:pt>
                <c:pt idx="13">
                  <c:v>1.1580607939366052</c:v>
                </c:pt>
                <c:pt idx="14">
                  <c:v>1.3010299956639813</c:v>
                </c:pt>
                <c:pt idx="15">
                  <c:v>1.5375672571526751</c:v>
                </c:pt>
                <c:pt idx="16">
                  <c:v>0.68841982200271057</c:v>
                </c:pt>
                <c:pt idx="17">
                  <c:v>0.82672252016899206</c:v>
                </c:pt>
                <c:pt idx="18">
                  <c:v>0.92168647548360205</c:v>
                </c:pt>
                <c:pt idx="19">
                  <c:v>0.92376196082870032</c:v>
                </c:pt>
                <c:pt idx="20">
                  <c:v>0.30963016742589877</c:v>
                </c:pt>
                <c:pt idx="21">
                  <c:v>0.67577834167408513</c:v>
                </c:pt>
                <c:pt idx="22">
                  <c:v>0.67577834167408513</c:v>
                </c:pt>
                <c:pt idx="23">
                  <c:v>0.83250891270623628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8265-471E-A613-23596119A1EA}"/>
            </c:ext>
          </c:extLst>
        </c:ser>
        <c:ser>
          <c:idx val="28"/>
          <c:order val="21"/>
          <c:tx>
            <c:v>Mushrooms</c:v>
          </c:tx>
          <c:spPr>
            <a:ln w="28575">
              <a:noFill/>
            </a:ln>
          </c:spPr>
          <c:marker>
            <c:symbol val="square"/>
            <c:size val="5"/>
            <c:spPr>
              <a:noFill/>
              <a:ln>
                <a:solidFill>
                  <a:srgbClr val="C0C0C0"/>
                </a:solidFill>
                <a:prstDash val="solid"/>
              </a:ln>
            </c:spPr>
          </c:marker>
          <c:xVal>
            <c:numRef>
              <c:f>Listeria!$I$925:$I$927</c:f>
              <c:numCache>
                <c:formatCode>General</c:formatCode>
                <c:ptCount val="3"/>
                <c:pt idx="0">
                  <c:v>56</c:v>
                </c:pt>
                <c:pt idx="1">
                  <c:v>60</c:v>
                </c:pt>
                <c:pt idx="2">
                  <c:v>62</c:v>
                </c:pt>
              </c:numCache>
            </c:numRef>
          </c:xVal>
          <c:yVal>
            <c:numRef>
              <c:f>Listeria!$L$925:$L$927</c:f>
              <c:numCache>
                <c:formatCode>0.00</c:formatCode>
                <c:ptCount val="3"/>
                <c:pt idx="0">
                  <c:v>0.69897000433601886</c:v>
                </c:pt>
                <c:pt idx="1">
                  <c:v>-0.16115090926274472</c:v>
                </c:pt>
                <c:pt idx="2">
                  <c:v>-0.52287874528033762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8265-471E-A613-23596119A1EA}"/>
            </c:ext>
          </c:extLst>
        </c:ser>
        <c:ser>
          <c:idx val="29"/>
          <c:order val="22"/>
          <c:tx>
            <c:v>Onions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C0C0C0"/>
              </a:solidFill>
              <a:ln>
                <a:solidFill>
                  <a:srgbClr val="C0C0C0"/>
                </a:solidFill>
                <a:prstDash val="solid"/>
              </a:ln>
            </c:spPr>
          </c:marker>
          <c:xVal>
            <c:numRef>
              <c:f>Listeria!$I$928:$I$930</c:f>
              <c:numCache>
                <c:formatCode>General</c:formatCode>
                <c:ptCount val="3"/>
                <c:pt idx="0">
                  <c:v>56</c:v>
                </c:pt>
                <c:pt idx="1">
                  <c:v>60</c:v>
                </c:pt>
                <c:pt idx="2">
                  <c:v>62</c:v>
                </c:pt>
              </c:numCache>
            </c:numRef>
          </c:xVal>
          <c:yVal>
            <c:numRef>
              <c:f>Listeria!$L$928:$L$930</c:f>
              <c:numCache>
                <c:formatCode>0.00</c:formatCode>
                <c:ptCount val="3"/>
                <c:pt idx="0">
                  <c:v>-9.6910013008056392E-2</c:v>
                </c:pt>
                <c:pt idx="1">
                  <c:v>-0.63827216398240705</c:v>
                </c:pt>
                <c:pt idx="2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8265-471E-A613-23596119A1EA}"/>
            </c:ext>
          </c:extLst>
        </c:ser>
        <c:ser>
          <c:idx val="16"/>
          <c:order val="23"/>
          <c:tx>
            <c:strRef>
              <c:f>Listeria!$E$917</c:f>
              <c:strCache>
                <c:ptCount val="1"/>
                <c:pt idx="0">
                  <c:v>Carrot 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5"/>
            <c:spPr>
              <a:noFill/>
              <a:ln>
                <a:solidFill>
                  <a:srgbClr val="C0C0C0"/>
                </a:solidFill>
                <a:prstDash val="solid"/>
              </a:ln>
            </c:spPr>
          </c:marker>
          <c:xVal>
            <c:numRef>
              <c:f>Listeria!$I$907:$I$924</c:f>
              <c:numCache>
                <c:formatCode>General</c:formatCode>
                <c:ptCount val="18"/>
                <c:pt idx="0">
                  <c:v>60</c:v>
                </c:pt>
                <c:pt idx="1">
                  <c:v>60</c:v>
                </c:pt>
                <c:pt idx="2">
                  <c:v>62</c:v>
                </c:pt>
                <c:pt idx="3">
                  <c:v>62</c:v>
                </c:pt>
                <c:pt idx="4">
                  <c:v>64</c:v>
                </c:pt>
                <c:pt idx="5">
                  <c:v>64</c:v>
                </c:pt>
                <c:pt idx="6">
                  <c:v>68</c:v>
                </c:pt>
                <c:pt idx="7">
                  <c:v>68</c:v>
                </c:pt>
                <c:pt idx="8">
                  <c:v>70</c:v>
                </c:pt>
                <c:pt idx="9">
                  <c:v>70</c:v>
                </c:pt>
                <c:pt idx="10">
                  <c:v>60</c:v>
                </c:pt>
                <c:pt idx="11">
                  <c:v>64</c:v>
                </c:pt>
                <c:pt idx="12">
                  <c:v>68</c:v>
                </c:pt>
                <c:pt idx="13">
                  <c:v>60</c:v>
                </c:pt>
                <c:pt idx="14">
                  <c:v>64</c:v>
                </c:pt>
                <c:pt idx="15">
                  <c:v>68</c:v>
                </c:pt>
                <c:pt idx="16">
                  <c:v>66</c:v>
                </c:pt>
                <c:pt idx="17">
                  <c:v>66</c:v>
                </c:pt>
              </c:numCache>
            </c:numRef>
          </c:xVal>
          <c:yVal>
            <c:numRef>
              <c:f>Listeria!$L$907:$L$924</c:f>
              <c:numCache>
                <c:formatCode>0.00</c:formatCode>
                <c:ptCount val="18"/>
                <c:pt idx="0">
                  <c:v>0.70070371714501933</c:v>
                </c:pt>
                <c:pt idx="1">
                  <c:v>0.88986172125818841</c:v>
                </c:pt>
                <c:pt idx="2">
                  <c:v>0.49136169383427269</c:v>
                </c:pt>
                <c:pt idx="3">
                  <c:v>0.51719589794997434</c:v>
                </c:pt>
                <c:pt idx="4">
                  <c:v>0.16731733474817609</c:v>
                </c:pt>
                <c:pt idx="5">
                  <c:v>0.40312052117581787</c:v>
                </c:pt>
                <c:pt idx="6">
                  <c:v>-0.52287874528033762</c:v>
                </c:pt>
                <c:pt idx="7">
                  <c:v>-0.35654732351381258</c:v>
                </c:pt>
                <c:pt idx="8">
                  <c:v>-0.63827216398240705</c:v>
                </c:pt>
                <c:pt idx="9">
                  <c:v>-0.56863623584101264</c:v>
                </c:pt>
                <c:pt idx="10">
                  <c:v>0.70070371714501933</c:v>
                </c:pt>
                <c:pt idx="11">
                  <c:v>0.16731733474817609</c:v>
                </c:pt>
                <c:pt idx="12">
                  <c:v>-0.52287874528033762</c:v>
                </c:pt>
                <c:pt idx="13">
                  <c:v>0.88986172125818841</c:v>
                </c:pt>
                <c:pt idx="14">
                  <c:v>0.40312052117581787</c:v>
                </c:pt>
                <c:pt idx="15">
                  <c:v>-0.35654732351381258</c:v>
                </c:pt>
                <c:pt idx="16">
                  <c:v>-0.13667713987954411</c:v>
                </c:pt>
                <c:pt idx="17">
                  <c:v>-4.0958607678906384E-2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8265-471E-A613-23596119A1EA}"/>
            </c:ext>
          </c:extLst>
        </c:ser>
        <c:ser>
          <c:idx val="30"/>
          <c:order val="24"/>
          <c:tx>
            <c:v>Green pepper</c:v>
          </c:tx>
          <c:spPr>
            <a:ln w="28575">
              <a:noFill/>
            </a:ln>
          </c:spPr>
          <c:marker>
            <c:symbol val="triangle"/>
            <c:size val="5"/>
            <c:spPr>
              <a:noFill/>
              <a:ln>
                <a:solidFill>
                  <a:srgbClr val="C0C0C0"/>
                </a:solidFill>
                <a:prstDash val="solid"/>
              </a:ln>
            </c:spPr>
          </c:marker>
          <c:xVal>
            <c:numRef>
              <c:f>Listeria!$I$934:$I$936</c:f>
              <c:numCache>
                <c:formatCode>General</c:formatCode>
                <c:ptCount val="3"/>
                <c:pt idx="0">
                  <c:v>56</c:v>
                </c:pt>
                <c:pt idx="1">
                  <c:v>60</c:v>
                </c:pt>
                <c:pt idx="2">
                  <c:v>62</c:v>
                </c:pt>
              </c:numCache>
            </c:numRef>
          </c:xVal>
          <c:yVal>
            <c:numRef>
              <c:f>Listeria!$L$934:$L$936</c:f>
              <c:numCache>
                <c:formatCode>0.00</c:formatCode>
                <c:ptCount val="3"/>
                <c:pt idx="0">
                  <c:v>0.59106460702649921</c:v>
                </c:pt>
                <c:pt idx="1">
                  <c:v>-3.6212172654444715E-2</c:v>
                </c:pt>
                <c:pt idx="2">
                  <c:v>-0.50863830616572736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8265-471E-A613-23596119A1EA}"/>
            </c:ext>
          </c:extLst>
        </c:ser>
        <c:ser>
          <c:idx val="31"/>
          <c:order val="25"/>
          <c:tx>
            <c:v>Potato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rgbClr val="C0C0C0"/>
                </a:solidFill>
                <a:prstDash val="solid"/>
              </a:ln>
            </c:spPr>
          </c:marker>
          <c:xVal>
            <c:numRef>
              <c:f>Listeria!$I$937:$I$939</c:f>
              <c:numCache>
                <c:formatCode>General</c:formatCode>
                <c:ptCount val="3"/>
                <c:pt idx="0">
                  <c:v>50</c:v>
                </c:pt>
                <c:pt idx="1">
                  <c:v>55</c:v>
                </c:pt>
                <c:pt idx="2">
                  <c:v>60</c:v>
                </c:pt>
              </c:numCache>
            </c:numRef>
          </c:xVal>
          <c:yVal>
            <c:numRef>
              <c:f>Listeria!$L$937:$L$939</c:f>
              <c:numCache>
                <c:formatCode>0.00</c:formatCode>
                <c:ptCount val="3"/>
                <c:pt idx="0">
                  <c:v>1.4857214264815801</c:v>
                </c:pt>
                <c:pt idx="1">
                  <c:v>0.51851393987788741</c:v>
                </c:pt>
                <c:pt idx="2">
                  <c:v>-0.3010299956639812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8265-471E-A613-23596119A1EA}"/>
            </c:ext>
          </c:extLst>
        </c:ser>
        <c:ser>
          <c:idx val="0"/>
          <c:order val="26"/>
          <c:tx>
            <c:v>Unknown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Listeria!$I$940:$I$941</c:f>
              <c:numCache>
                <c:formatCode>General</c:formatCode>
                <c:ptCount val="2"/>
                <c:pt idx="0">
                  <c:v>60</c:v>
                </c:pt>
                <c:pt idx="1">
                  <c:v>60</c:v>
                </c:pt>
              </c:numCache>
            </c:numRef>
          </c:xVal>
          <c:yVal>
            <c:numRef>
              <c:f>Listeria!$L$940:$L$941</c:f>
              <c:numCache>
                <c:formatCode>0.00</c:formatCode>
                <c:ptCount val="2"/>
                <c:pt idx="0">
                  <c:v>0.69897000433601886</c:v>
                </c:pt>
                <c:pt idx="1">
                  <c:v>0.91907809237607396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8265-471E-A613-23596119A1EA}"/>
            </c:ext>
          </c:extLst>
        </c:ser>
        <c:ser>
          <c:idx val="26"/>
          <c:order val="27"/>
          <c:tx>
            <c:v>Media</c:v>
          </c:tx>
          <c:spPr>
            <a:ln w="28575">
              <a:noFill/>
            </a:ln>
          </c:spPr>
          <c:marker>
            <c:symbol val="dash"/>
            <c:size val="5"/>
            <c:spPr>
              <a:noFill/>
              <a:ln>
                <a:solidFill>
                  <a:srgbClr val="C0C0C0"/>
                </a:solidFill>
                <a:prstDash val="solid"/>
              </a:ln>
            </c:spPr>
          </c:marker>
          <c:xVal>
            <c:numRef>
              <c:f>Listeria!$I$747:$I$879</c:f>
              <c:numCache>
                <c:formatCode>General</c:formatCode>
                <c:ptCount val="133"/>
                <c:pt idx="0">
                  <c:v>50</c:v>
                </c:pt>
                <c:pt idx="1">
                  <c:v>50</c:v>
                </c:pt>
                <c:pt idx="2">
                  <c:v>52</c:v>
                </c:pt>
                <c:pt idx="3">
                  <c:v>52</c:v>
                </c:pt>
                <c:pt idx="4">
                  <c:v>52</c:v>
                </c:pt>
                <c:pt idx="5">
                  <c:v>52</c:v>
                </c:pt>
                <c:pt idx="6">
                  <c:v>52</c:v>
                </c:pt>
                <c:pt idx="7">
                  <c:v>52</c:v>
                </c:pt>
                <c:pt idx="8">
                  <c:v>52</c:v>
                </c:pt>
                <c:pt idx="9">
                  <c:v>52</c:v>
                </c:pt>
                <c:pt idx="10">
                  <c:v>52</c:v>
                </c:pt>
                <c:pt idx="11">
                  <c:v>52</c:v>
                </c:pt>
                <c:pt idx="12">
                  <c:v>54</c:v>
                </c:pt>
                <c:pt idx="13">
                  <c:v>54</c:v>
                </c:pt>
                <c:pt idx="14">
                  <c:v>54</c:v>
                </c:pt>
                <c:pt idx="15">
                  <c:v>54</c:v>
                </c:pt>
                <c:pt idx="16">
                  <c:v>54</c:v>
                </c:pt>
                <c:pt idx="17">
                  <c:v>54</c:v>
                </c:pt>
                <c:pt idx="18">
                  <c:v>55</c:v>
                </c:pt>
                <c:pt idx="19">
                  <c:v>55</c:v>
                </c:pt>
                <c:pt idx="20">
                  <c:v>55</c:v>
                </c:pt>
                <c:pt idx="21">
                  <c:v>55</c:v>
                </c:pt>
                <c:pt idx="22">
                  <c:v>55</c:v>
                </c:pt>
                <c:pt idx="23">
                  <c:v>55</c:v>
                </c:pt>
                <c:pt idx="24">
                  <c:v>55</c:v>
                </c:pt>
                <c:pt idx="25">
                  <c:v>55</c:v>
                </c:pt>
                <c:pt idx="26">
                  <c:v>55</c:v>
                </c:pt>
                <c:pt idx="27">
                  <c:v>55</c:v>
                </c:pt>
                <c:pt idx="28">
                  <c:v>55</c:v>
                </c:pt>
                <c:pt idx="29">
                  <c:v>55</c:v>
                </c:pt>
                <c:pt idx="30">
                  <c:v>55</c:v>
                </c:pt>
                <c:pt idx="31">
                  <c:v>55</c:v>
                </c:pt>
                <c:pt idx="32">
                  <c:v>55</c:v>
                </c:pt>
                <c:pt idx="33">
                  <c:v>55</c:v>
                </c:pt>
                <c:pt idx="34">
                  <c:v>55</c:v>
                </c:pt>
                <c:pt idx="35">
                  <c:v>55</c:v>
                </c:pt>
                <c:pt idx="36">
                  <c:v>56</c:v>
                </c:pt>
                <c:pt idx="37">
                  <c:v>56</c:v>
                </c:pt>
                <c:pt idx="38">
                  <c:v>56</c:v>
                </c:pt>
                <c:pt idx="39">
                  <c:v>56</c:v>
                </c:pt>
                <c:pt idx="40">
                  <c:v>56</c:v>
                </c:pt>
                <c:pt idx="41">
                  <c:v>56</c:v>
                </c:pt>
                <c:pt idx="42">
                  <c:v>56</c:v>
                </c:pt>
                <c:pt idx="43">
                  <c:v>56</c:v>
                </c:pt>
                <c:pt idx="44">
                  <c:v>56</c:v>
                </c:pt>
                <c:pt idx="45">
                  <c:v>56</c:v>
                </c:pt>
                <c:pt idx="46">
                  <c:v>56</c:v>
                </c:pt>
                <c:pt idx="47">
                  <c:v>56</c:v>
                </c:pt>
                <c:pt idx="48">
                  <c:v>56</c:v>
                </c:pt>
                <c:pt idx="49">
                  <c:v>56</c:v>
                </c:pt>
                <c:pt idx="50">
                  <c:v>56</c:v>
                </c:pt>
                <c:pt idx="51">
                  <c:v>56</c:v>
                </c:pt>
                <c:pt idx="52">
                  <c:v>57.8</c:v>
                </c:pt>
                <c:pt idx="53">
                  <c:v>57.8</c:v>
                </c:pt>
                <c:pt idx="54">
                  <c:v>57.8</c:v>
                </c:pt>
                <c:pt idx="55">
                  <c:v>58</c:v>
                </c:pt>
                <c:pt idx="56">
                  <c:v>58</c:v>
                </c:pt>
                <c:pt idx="57">
                  <c:v>58</c:v>
                </c:pt>
                <c:pt idx="58">
                  <c:v>58</c:v>
                </c:pt>
                <c:pt idx="59">
                  <c:v>58</c:v>
                </c:pt>
                <c:pt idx="60">
                  <c:v>58</c:v>
                </c:pt>
                <c:pt idx="61">
                  <c:v>60</c:v>
                </c:pt>
                <c:pt idx="62">
                  <c:v>60</c:v>
                </c:pt>
                <c:pt idx="63">
                  <c:v>60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60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60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62</c:v>
                </c:pt>
                <c:pt idx="94">
                  <c:v>62</c:v>
                </c:pt>
                <c:pt idx="95">
                  <c:v>62</c:v>
                </c:pt>
                <c:pt idx="96">
                  <c:v>62</c:v>
                </c:pt>
                <c:pt idx="97">
                  <c:v>62</c:v>
                </c:pt>
                <c:pt idx="98">
                  <c:v>62</c:v>
                </c:pt>
                <c:pt idx="99">
                  <c:v>62</c:v>
                </c:pt>
                <c:pt idx="100">
                  <c:v>62</c:v>
                </c:pt>
                <c:pt idx="101">
                  <c:v>62.8</c:v>
                </c:pt>
                <c:pt idx="102">
                  <c:v>62.8</c:v>
                </c:pt>
                <c:pt idx="103">
                  <c:v>62.8</c:v>
                </c:pt>
                <c:pt idx="104">
                  <c:v>63</c:v>
                </c:pt>
                <c:pt idx="105">
                  <c:v>64</c:v>
                </c:pt>
                <c:pt idx="106">
                  <c:v>64</c:v>
                </c:pt>
                <c:pt idx="107">
                  <c:v>64</c:v>
                </c:pt>
                <c:pt idx="108">
                  <c:v>64</c:v>
                </c:pt>
                <c:pt idx="109">
                  <c:v>65</c:v>
                </c:pt>
                <c:pt idx="110">
                  <c:v>65</c:v>
                </c:pt>
                <c:pt idx="111">
                  <c:v>65</c:v>
                </c:pt>
                <c:pt idx="112">
                  <c:v>65.599999999999994</c:v>
                </c:pt>
                <c:pt idx="113">
                  <c:v>65.599999999999994</c:v>
                </c:pt>
                <c:pt idx="114">
                  <c:v>65.599999999999994</c:v>
                </c:pt>
                <c:pt idx="115">
                  <c:v>66</c:v>
                </c:pt>
                <c:pt idx="116">
                  <c:v>66</c:v>
                </c:pt>
                <c:pt idx="117">
                  <c:v>66</c:v>
                </c:pt>
                <c:pt idx="118">
                  <c:v>66</c:v>
                </c:pt>
                <c:pt idx="119">
                  <c:v>68</c:v>
                </c:pt>
                <c:pt idx="120">
                  <c:v>68</c:v>
                </c:pt>
                <c:pt idx="121">
                  <c:v>68.3</c:v>
                </c:pt>
                <c:pt idx="122">
                  <c:v>68.3</c:v>
                </c:pt>
                <c:pt idx="123">
                  <c:v>68.3</c:v>
                </c:pt>
                <c:pt idx="124">
                  <c:v>70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60</c:v>
                </c:pt>
                <c:pt idx="132">
                  <c:v>60</c:v>
                </c:pt>
              </c:numCache>
            </c:numRef>
          </c:xVal>
          <c:yVal>
            <c:numRef>
              <c:f>Listeria!$L$747:$L$879</c:f>
              <c:numCache>
                <c:formatCode>0.00</c:formatCode>
                <c:ptCount val="133"/>
                <c:pt idx="0">
                  <c:v>1.6937269489236468</c:v>
                </c:pt>
                <c:pt idx="1">
                  <c:v>1.9863237770507653</c:v>
                </c:pt>
                <c:pt idx="2">
                  <c:v>0.9956351945975499</c:v>
                </c:pt>
                <c:pt idx="3">
                  <c:v>1.3031960574204888</c:v>
                </c:pt>
                <c:pt idx="4">
                  <c:v>1.5786392099680724</c:v>
                </c:pt>
                <c:pt idx="5">
                  <c:v>1.5888317255942073</c:v>
                </c:pt>
                <c:pt idx="6">
                  <c:v>1.5888317255942073</c:v>
                </c:pt>
                <c:pt idx="7">
                  <c:v>1.6910814921229684</c:v>
                </c:pt>
                <c:pt idx="8">
                  <c:v>1.6972293427597176</c:v>
                </c:pt>
                <c:pt idx="9">
                  <c:v>1.8048206787211623</c:v>
                </c:pt>
                <c:pt idx="10">
                  <c:v>1.8068580295188175</c:v>
                </c:pt>
                <c:pt idx="11">
                  <c:v>1.8068580295188175</c:v>
                </c:pt>
                <c:pt idx="12">
                  <c:v>1.1583624920952498</c:v>
                </c:pt>
                <c:pt idx="13">
                  <c:v>1.1583624920952498</c:v>
                </c:pt>
                <c:pt idx="14">
                  <c:v>1.2253092817258628</c:v>
                </c:pt>
                <c:pt idx="15">
                  <c:v>1.3579348470004537</c:v>
                </c:pt>
                <c:pt idx="16">
                  <c:v>1.4996870826184039</c:v>
                </c:pt>
                <c:pt idx="17">
                  <c:v>1.4996870826184039</c:v>
                </c:pt>
                <c:pt idx="18">
                  <c:v>0.49136169383427269</c:v>
                </c:pt>
                <c:pt idx="19">
                  <c:v>0.59106460702649921</c:v>
                </c:pt>
                <c:pt idx="20">
                  <c:v>0.62324929039790045</c:v>
                </c:pt>
                <c:pt idx="21">
                  <c:v>0.62324929039790045</c:v>
                </c:pt>
                <c:pt idx="22">
                  <c:v>0.79934054945358168</c:v>
                </c:pt>
                <c:pt idx="23">
                  <c:v>0.79934054945358168</c:v>
                </c:pt>
                <c:pt idx="24">
                  <c:v>0.82542611776782315</c:v>
                </c:pt>
                <c:pt idx="25">
                  <c:v>0.94497590841204793</c:v>
                </c:pt>
                <c:pt idx="26">
                  <c:v>0.94890176097021373</c:v>
                </c:pt>
                <c:pt idx="27">
                  <c:v>0.94890176097021373</c:v>
                </c:pt>
                <c:pt idx="28">
                  <c:v>0.9800033715837464</c:v>
                </c:pt>
                <c:pt idx="29">
                  <c:v>1.0791812460476249</c:v>
                </c:pt>
                <c:pt idx="30">
                  <c:v>1.0791812460476249</c:v>
                </c:pt>
                <c:pt idx="31">
                  <c:v>1.271841606536499</c:v>
                </c:pt>
                <c:pt idx="32">
                  <c:v>1.271841606536499</c:v>
                </c:pt>
                <c:pt idx="33">
                  <c:v>1.3010299956639813</c:v>
                </c:pt>
                <c:pt idx="34">
                  <c:v>1.4216039268698311</c:v>
                </c:pt>
                <c:pt idx="35">
                  <c:v>1.4216039268698311</c:v>
                </c:pt>
                <c:pt idx="36">
                  <c:v>0</c:v>
                </c:pt>
                <c:pt idx="37">
                  <c:v>0.34439227368511072</c:v>
                </c:pt>
                <c:pt idx="38">
                  <c:v>0.46239799789895608</c:v>
                </c:pt>
                <c:pt idx="39">
                  <c:v>0.47712125471966244</c:v>
                </c:pt>
                <c:pt idx="40">
                  <c:v>0.57978359661681012</c:v>
                </c:pt>
                <c:pt idx="41">
                  <c:v>0.61278385671973545</c:v>
                </c:pt>
                <c:pt idx="42">
                  <c:v>0.61278385671973545</c:v>
                </c:pt>
                <c:pt idx="43">
                  <c:v>0.75587485567249146</c:v>
                </c:pt>
                <c:pt idx="44">
                  <c:v>0.86923171973097624</c:v>
                </c:pt>
                <c:pt idx="45">
                  <c:v>0.93449845124356767</c:v>
                </c:pt>
                <c:pt idx="46">
                  <c:v>0.94448267215016868</c:v>
                </c:pt>
                <c:pt idx="47">
                  <c:v>1.0170333392987803</c:v>
                </c:pt>
                <c:pt idx="48">
                  <c:v>1.0170333392987803</c:v>
                </c:pt>
                <c:pt idx="49">
                  <c:v>1.1335389083702174</c:v>
                </c:pt>
                <c:pt idx="50">
                  <c:v>1.2041199826559248</c:v>
                </c:pt>
                <c:pt idx="51">
                  <c:v>1.2041199826559248</c:v>
                </c:pt>
                <c:pt idx="52">
                  <c:v>0.97312785359969867</c:v>
                </c:pt>
                <c:pt idx="53">
                  <c:v>1.0128372247051722</c:v>
                </c:pt>
                <c:pt idx="54">
                  <c:v>1.0681858617461617</c:v>
                </c:pt>
                <c:pt idx="55">
                  <c:v>0.11394335230683679</c:v>
                </c:pt>
                <c:pt idx="56">
                  <c:v>0.23044892137827391</c:v>
                </c:pt>
                <c:pt idx="57">
                  <c:v>0.25527250510330607</c:v>
                </c:pt>
                <c:pt idx="58">
                  <c:v>0.27875360095282892</c:v>
                </c:pt>
                <c:pt idx="59">
                  <c:v>0.27875360095282892</c:v>
                </c:pt>
                <c:pt idx="60">
                  <c:v>0.34242268082220628</c:v>
                </c:pt>
                <c:pt idx="61">
                  <c:v>-0.42021640338318983</c:v>
                </c:pt>
                <c:pt idx="62">
                  <c:v>-0.3010299956639812</c:v>
                </c:pt>
                <c:pt idx="63">
                  <c:v>-0.22184874961635639</c:v>
                </c:pt>
                <c:pt idx="64">
                  <c:v>-0.20065945054641829</c:v>
                </c:pt>
                <c:pt idx="65">
                  <c:v>-0.15490195998574319</c:v>
                </c:pt>
                <c:pt idx="66">
                  <c:v>-0.14266750356873156</c:v>
                </c:pt>
                <c:pt idx="67">
                  <c:v>-0.12493873660829995</c:v>
                </c:pt>
                <c:pt idx="68">
                  <c:v>-9.1514981121350217E-2</c:v>
                </c:pt>
                <c:pt idx="69">
                  <c:v>-8.092190762392612E-2</c:v>
                </c:pt>
                <c:pt idx="70">
                  <c:v>-7.0581074285707285E-2</c:v>
                </c:pt>
                <c:pt idx="71">
                  <c:v>-5.551732784983137E-2</c:v>
                </c:pt>
                <c:pt idx="72">
                  <c:v>-2.2276394711152253E-2</c:v>
                </c:pt>
                <c:pt idx="73">
                  <c:v>4.1392685158225077E-2</c:v>
                </c:pt>
                <c:pt idx="74">
                  <c:v>4.5322978786657475E-2</c:v>
                </c:pt>
                <c:pt idx="75">
                  <c:v>4.5322978786657475E-2</c:v>
                </c:pt>
                <c:pt idx="76">
                  <c:v>5.6904851336472557E-2</c:v>
                </c:pt>
                <c:pt idx="77">
                  <c:v>7.9181246047624818E-2</c:v>
                </c:pt>
                <c:pt idx="78">
                  <c:v>8.6359830674748214E-2</c:v>
                </c:pt>
                <c:pt idx="79">
                  <c:v>0.10720996964786837</c:v>
                </c:pt>
                <c:pt idx="80">
                  <c:v>0.10720996964786837</c:v>
                </c:pt>
                <c:pt idx="81">
                  <c:v>0.19865708695442263</c:v>
                </c:pt>
                <c:pt idx="82">
                  <c:v>0.23044892137827391</c:v>
                </c:pt>
                <c:pt idx="83">
                  <c:v>0.27875360095282892</c:v>
                </c:pt>
                <c:pt idx="84">
                  <c:v>0.3010299956639812</c:v>
                </c:pt>
                <c:pt idx="85">
                  <c:v>0.34635297445063867</c:v>
                </c:pt>
                <c:pt idx="86">
                  <c:v>0.46239799789895608</c:v>
                </c:pt>
                <c:pt idx="87">
                  <c:v>0.49136169383427269</c:v>
                </c:pt>
                <c:pt idx="88">
                  <c:v>0.52113808370403625</c:v>
                </c:pt>
                <c:pt idx="89">
                  <c:v>0.60314437262018228</c:v>
                </c:pt>
                <c:pt idx="90">
                  <c:v>0.61278385671973545</c:v>
                </c:pt>
                <c:pt idx="91">
                  <c:v>0.61278385671973545</c:v>
                </c:pt>
                <c:pt idx="92">
                  <c:v>0.74818802700620035</c:v>
                </c:pt>
                <c:pt idx="93">
                  <c:v>-1</c:v>
                </c:pt>
                <c:pt idx="94">
                  <c:v>-0.52287874528033762</c:v>
                </c:pt>
                <c:pt idx="95">
                  <c:v>-0.45593195564972439</c:v>
                </c:pt>
                <c:pt idx="96">
                  <c:v>-0.42021640338318983</c:v>
                </c:pt>
                <c:pt idx="97">
                  <c:v>-0.37675070960209955</c:v>
                </c:pt>
                <c:pt idx="98">
                  <c:v>-0.33724216831842591</c:v>
                </c:pt>
                <c:pt idx="99">
                  <c:v>4.1392685158225077E-2</c:v>
                </c:pt>
                <c:pt idx="100">
                  <c:v>0.11394335230683679</c:v>
                </c:pt>
                <c:pt idx="101">
                  <c:v>-0.13076828026902382</c:v>
                </c:pt>
                <c:pt idx="102">
                  <c:v>-1.322826573375516E-2</c:v>
                </c:pt>
                <c:pt idx="103">
                  <c:v>0.47712125471966244</c:v>
                </c:pt>
                <c:pt idx="104">
                  <c:v>0</c:v>
                </c:pt>
                <c:pt idx="105">
                  <c:v>-0.82390874094431876</c:v>
                </c:pt>
                <c:pt idx="106">
                  <c:v>-0.63827216398240705</c:v>
                </c:pt>
                <c:pt idx="107">
                  <c:v>-0.3010299956639812</c:v>
                </c:pt>
                <c:pt idx="108">
                  <c:v>-0.16749108729376366</c:v>
                </c:pt>
                <c:pt idx="109">
                  <c:v>-0.55284196865778079</c:v>
                </c:pt>
                <c:pt idx="110">
                  <c:v>-0.53760200210104392</c:v>
                </c:pt>
                <c:pt idx="111">
                  <c:v>-0.26760624017703144</c:v>
                </c:pt>
                <c:pt idx="112">
                  <c:v>-0.44369749923271273</c:v>
                </c:pt>
                <c:pt idx="113">
                  <c:v>-0.28399665636520083</c:v>
                </c:pt>
                <c:pt idx="114">
                  <c:v>4.1392685158225077E-2</c:v>
                </c:pt>
                <c:pt idx="115">
                  <c:v>-1</c:v>
                </c:pt>
                <c:pt idx="116">
                  <c:v>-1</c:v>
                </c:pt>
                <c:pt idx="117">
                  <c:v>-0.3979400086720376</c:v>
                </c:pt>
                <c:pt idx="118">
                  <c:v>-0.3979400086720376</c:v>
                </c:pt>
                <c:pt idx="119">
                  <c:v>-1.1782681783099558</c:v>
                </c:pt>
                <c:pt idx="120">
                  <c:v>-0.92873183658674419</c:v>
                </c:pt>
                <c:pt idx="121">
                  <c:v>-0.82390874094431876</c:v>
                </c:pt>
                <c:pt idx="122">
                  <c:v>-0.52287874528033762</c:v>
                </c:pt>
                <c:pt idx="123">
                  <c:v>-0.32790214206428259</c:v>
                </c:pt>
                <c:pt idx="124">
                  <c:v>-0.82390874094431876</c:v>
                </c:pt>
                <c:pt idx="125">
                  <c:v>-0.3979400086720376</c:v>
                </c:pt>
                <c:pt idx="126">
                  <c:v>-0.3010299956639812</c:v>
                </c:pt>
                <c:pt idx="127">
                  <c:v>-0.20065945054641829</c:v>
                </c:pt>
                <c:pt idx="128">
                  <c:v>-2.2276394711152253E-2</c:v>
                </c:pt>
                <c:pt idx="129">
                  <c:v>6.069784035361165E-2</c:v>
                </c:pt>
                <c:pt idx="130">
                  <c:v>0.26717172840301384</c:v>
                </c:pt>
                <c:pt idx="131">
                  <c:v>0.51851393987788741</c:v>
                </c:pt>
                <c:pt idx="132">
                  <c:v>0.97909290063832632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8265-471E-A613-23596119A1EA}"/>
            </c:ext>
          </c:extLst>
        </c:ser>
        <c:ser>
          <c:idx val="17"/>
          <c:order val="28"/>
          <c:tx>
            <c:v>10% NaCl or aw &lt; 0.92</c:v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969696"/>
              </a:solidFill>
              <a:ln>
                <a:solidFill>
                  <a:srgbClr val="969696"/>
                </a:solidFill>
                <a:prstDash val="solid"/>
              </a:ln>
            </c:spPr>
          </c:marker>
          <c:xVal>
            <c:numRef>
              <c:f>Listeria!$I$942:$I$968</c:f>
              <c:numCache>
                <c:formatCode>General</c:formatCode>
                <c:ptCount val="27"/>
                <c:pt idx="0">
                  <c:v>63</c:v>
                </c:pt>
                <c:pt idx="1">
                  <c:v>63</c:v>
                </c:pt>
                <c:pt idx="2">
                  <c:v>55.75</c:v>
                </c:pt>
                <c:pt idx="3">
                  <c:v>60</c:v>
                </c:pt>
                <c:pt idx="4">
                  <c:v>63</c:v>
                </c:pt>
                <c:pt idx="5">
                  <c:v>63</c:v>
                </c:pt>
                <c:pt idx="6">
                  <c:v>65.5</c:v>
                </c:pt>
                <c:pt idx="7">
                  <c:v>63.15</c:v>
                </c:pt>
                <c:pt idx="8">
                  <c:v>63.15</c:v>
                </c:pt>
                <c:pt idx="9">
                  <c:v>63.15</c:v>
                </c:pt>
                <c:pt idx="10">
                  <c:v>63.15</c:v>
                </c:pt>
                <c:pt idx="11">
                  <c:v>64.400000000000006</c:v>
                </c:pt>
                <c:pt idx="12">
                  <c:v>66.849999999999994</c:v>
                </c:pt>
                <c:pt idx="13">
                  <c:v>66.849999999999994</c:v>
                </c:pt>
                <c:pt idx="14">
                  <c:v>63.15</c:v>
                </c:pt>
                <c:pt idx="15">
                  <c:v>64.400000000000006</c:v>
                </c:pt>
                <c:pt idx="16">
                  <c:v>66.849999999999994</c:v>
                </c:pt>
                <c:pt idx="17">
                  <c:v>64.400000000000006</c:v>
                </c:pt>
                <c:pt idx="18">
                  <c:v>66.849999999999994</c:v>
                </c:pt>
                <c:pt idx="19">
                  <c:v>60</c:v>
                </c:pt>
                <c:pt idx="20">
                  <c:v>62.8</c:v>
                </c:pt>
                <c:pt idx="21">
                  <c:v>65.599999999999994</c:v>
                </c:pt>
                <c:pt idx="22">
                  <c:v>68.3</c:v>
                </c:pt>
                <c:pt idx="23">
                  <c:v>60</c:v>
                </c:pt>
                <c:pt idx="24">
                  <c:v>62.8</c:v>
                </c:pt>
                <c:pt idx="25">
                  <c:v>65.599999999999994</c:v>
                </c:pt>
                <c:pt idx="26">
                  <c:v>68.3</c:v>
                </c:pt>
              </c:numCache>
            </c:numRef>
          </c:xVal>
          <c:yVal>
            <c:numRef>
              <c:f>Listeria!$L$942:$L$968</c:f>
              <c:numCache>
                <c:formatCode>0.00</c:formatCode>
                <c:ptCount val="27"/>
                <c:pt idx="0">
                  <c:v>0.41497334797081797</c:v>
                </c:pt>
                <c:pt idx="1">
                  <c:v>0.86923171973097624</c:v>
                </c:pt>
                <c:pt idx="2">
                  <c:v>1.9965116721541787</c:v>
                </c:pt>
                <c:pt idx="3">
                  <c:v>1.4440447959180762</c:v>
                </c:pt>
                <c:pt idx="4">
                  <c:v>0.74036268949424389</c:v>
                </c:pt>
                <c:pt idx="5">
                  <c:v>1.1367205671564067</c:v>
                </c:pt>
                <c:pt idx="6">
                  <c:v>0.36735592102601899</c:v>
                </c:pt>
                <c:pt idx="7">
                  <c:v>0.89762709129044149</c:v>
                </c:pt>
                <c:pt idx="8">
                  <c:v>0.91381385238371671</c:v>
                </c:pt>
                <c:pt idx="9">
                  <c:v>1.0211892990699381</c:v>
                </c:pt>
                <c:pt idx="10">
                  <c:v>1.2671717284030137</c:v>
                </c:pt>
                <c:pt idx="11">
                  <c:v>0.78604121024255424</c:v>
                </c:pt>
                <c:pt idx="12">
                  <c:v>0.37839790094813769</c:v>
                </c:pt>
                <c:pt idx="13">
                  <c:v>0.38021124171160603</c:v>
                </c:pt>
                <c:pt idx="14">
                  <c:v>1.3283796034387378</c:v>
                </c:pt>
                <c:pt idx="15">
                  <c:v>0.91698004732038219</c:v>
                </c:pt>
                <c:pt idx="16">
                  <c:v>0.66086547800386919</c:v>
                </c:pt>
                <c:pt idx="17">
                  <c:v>1.436162647040756</c:v>
                </c:pt>
                <c:pt idx="18">
                  <c:v>1.1238516409670858</c:v>
                </c:pt>
                <c:pt idx="19">
                  <c:v>0.9242792860618817</c:v>
                </c:pt>
                <c:pt idx="20">
                  <c:v>0.77085201164214423</c:v>
                </c:pt>
                <c:pt idx="21">
                  <c:v>0.57978359661681012</c:v>
                </c:pt>
                <c:pt idx="22">
                  <c:v>0.27875360095282892</c:v>
                </c:pt>
                <c:pt idx="23">
                  <c:v>0.88081359228079137</c:v>
                </c:pt>
                <c:pt idx="24">
                  <c:v>0.72427586960078905</c:v>
                </c:pt>
                <c:pt idx="25">
                  <c:v>0.49136169383427269</c:v>
                </c:pt>
                <c:pt idx="26">
                  <c:v>0.20411998265592479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8265-471E-A613-23596119A1EA}"/>
            </c:ext>
          </c:extLst>
        </c:ser>
        <c:ser>
          <c:idx val="3"/>
          <c:order val="29"/>
          <c:tx>
            <c:v>Log D (model)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GraphListeria!$A$14:$A$34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GraphListeria!$B$14:$B$34</c:f>
              <c:numCache>
                <c:formatCode>0.00</c:formatCode>
                <c:ptCount val="21"/>
                <c:pt idx="0">
                  <c:v>2.4860873012116111</c:v>
                </c:pt>
                <c:pt idx="1">
                  <c:v>1.7761360242423989</c:v>
                </c:pt>
                <c:pt idx="2">
                  <c:v>1.0661847472731862</c:v>
                </c:pt>
                <c:pt idx="3">
                  <c:v>0.35623347030397379</c:v>
                </c:pt>
                <c:pt idx="4">
                  <c:v>-0.35371780666523878</c:v>
                </c:pt>
                <c:pt idx="5">
                  <c:v>-1.0636690836344513</c:v>
                </c:pt>
                <c:pt idx="6">
                  <c:v>-1.773620360603664</c:v>
                </c:pt>
                <c:pt idx="7">
                  <c:v>-2.4835716375728767</c:v>
                </c:pt>
                <c:pt idx="8">
                  <c:v>-3.1935229145420889</c:v>
                </c:pt>
                <c:pt idx="9">
                  <c:v>-3.9034741915113016</c:v>
                </c:pt>
                <c:pt idx="10">
                  <c:v>-4.6134254684805143</c:v>
                </c:pt>
                <c:pt idx="11">
                  <c:v>-5.3233767454497265</c:v>
                </c:pt>
                <c:pt idx="12">
                  <c:v>-6.0333280224189387</c:v>
                </c:pt>
                <c:pt idx="13">
                  <c:v>-6.7432792993881518</c:v>
                </c:pt>
                <c:pt idx="14">
                  <c:v>-7.4532305763573641</c:v>
                </c:pt>
                <c:pt idx="15">
                  <c:v>-8.1631818533265772</c:v>
                </c:pt>
                <c:pt idx="16">
                  <c:v>-8.8731331302957894</c:v>
                </c:pt>
                <c:pt idx="17">
                  <c:v>-9.5830844072650017</c:v>
                </c:pt>
                <c:pt idx="18">
                  <c:v>-10.293035684234214</c:v>
                </c:pt>
                <c:pt idx="19">
                  <c:v>-11.002986961203426</c:v>
                </c:pt>
                <c:pt idx="20">
                  <c:v>-11.712938238172638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8265-471E-A613-23596119A1EA}"/>
            </c:ext>
          </c:extLst>
        </c:ser>
        <c:ser>
          <c:idx val="9"/>
          <c:order val="30"/>
          <c:tx>
            <c:v>95% cfi</c:v>
          </c:tx>
          <c:spPr>
            <a:ln w="25400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Ref>
              <c:f>GraphListeria!$A$14:$A$34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GraphListeria!$C$14:$C$34</c:f>
              <c:numCache>
                <c:formatCode>0.00</c:formatCode>
                <c:ptCount val="21"/>
                <c:pt idx="0">
                  <c:v>3.2709453479190151</c:v>
                </c:pt>
                <c:pt idx="1">
                  <c:v>2.5609940709498029</c:v>
                </c:pt>
                <c:pt idx="2">
                  <c:v>1.8510427939805902</c:v>
                </c:pt>
                <c:pt idx="3">
                  <c:v>1.1410915170113778</c:v>
                </c:pt>
                <c:pt idx="4">
                  <c:v>0.43114024004216522</c:v>
                </c:pt>
                <c:pt idx="5">
                  <c:v>-0.27881103692704734</c:v>
                </c:pt>
                <c:pt idx="6">
                  <c:v>-0.98876231389626001</c:v>
                </c:pt>
                <c:pt idx="7">
                  <c:v>-1.6987135908654727</c:v>
                </c:pt>
                <c:pt idx="8">
                  <c:v>-2.4086648678346849</c:v>
                </c:pt>
                <c:pt idx="9">
                  <c:v>-3.1186161448038976</c:v>
                </c:pt>
                <c:pt idx="10">
                  <c:v>-3.8285674217731103</c:v>
                </c:pt>
                <c:pt idx="11">
                  <c:v>-4.5385186987423225</c:v>
                </c:pt>
                <c:pt idx="12">
                  <c:v>-5.2484699757115347</c:v>
                </c:pt>
                <c:pt idx="13">
                  <c:v>-5.9584212526807478</c:v>
                </c:pt>
                <c:pt idx="14">
                  <c:v>-6.6683725296499601</c:v>
                </c:pt>
                <c:pt idx="15">
                  <c:v>-7.3783238066191732</c:v>
                </c:pt>
                <c:pt idx="16">
                  <c:v>-8.0882750835883854</c:v>
                </c:pt>
                <c:pt idx="17">
                  <c:v>-8.7982263605575977</c:v>
                </c:pt>
                <c:pt idx="18">
                  <c:v>-9.5081776375268099</c:v>
                </c:pt>
                <c:pt idx="19">
                  <c:v>-10.218128914496022</c:v>
                </c:pt>
                <c:pt idx="20">
                  <c:v>-10.928080191465234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8265-471E-A613-23596119A1EA}"/>
            </c:ext>
          </c:extLst>
        </c:ser>
        <c:ser>
          <c:idx val="32"/>
          <c:order val="31"/>
          <c:tx>
            <c:v>logD (low aw)</c:v>
          </c:tx>
          <c:spPr>
            <a:ln w="25400">
              <a:solidFill>
                <a:srgbClr val="969696"/>
              </a:solidFill>
              <a:prstDash val="solid"/>
            </a:ln>
          </c:spPr>
          <c:marker>
            <c:symbol val="none"/>
          </c:marker>
          <c:xVal>
            <c:numRef>
              <c:f>GraphListeria!$A$14:$A$34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GraphListeria!$D$14:$D$34</c:f>
              <c:numCache>
                <c:formatCode>0.00</c:formatCode>
                <c:ptCount val="21"/>
                <c:pt idx="0">
                  <c:v>2.8838440479614902</c:v>
                </c:pt>
                <c:pt idx="1">
                  <c:v>2.3431978156086961</c:v>
                </c:pt>
                <c:pt idx="2">
                  <c:v>1.8025515832559018</c:v>
                </c:pt>
                <c:pt idx="3">
                  <c:v>1.261905350903108</c:v>
                </c:pt>
                <c:pt idx="4">
                  <c:v>0.72125911855031388</c:v>
                </c:pt>
                <c:pt idx="5">
                  <c:v>0.18061288619751981</c:v>
                </c:pt>
                <c:pt idx="6">
                  <c:v>-0.36003334615527427</c:v>
                </c:pt>
                <c:pt idx="7">
                  <c:v>-0.90067957850806835</c:v>
                </c:pt>
                <c:pt idx="8">
                  <c:v>-1.4413258108608622</c:v>
                </c:pt>
                <c:pt idx="9">
                  <c:v>-1.9819720432136565</c:v>
                </c:pt>
                <c:pt idx="10">
                  <c:v>-2.5226182755664506</c:v>
                </c:pt>
                <c:pt idx="11">
                  <c:v>-3.0632645079192442</c:v>
                </c:pt>
                <c:pt idx="12">
                  <c:v>-3.6039107402720383</c:v>
                </c:pt>
                <c:pt idx="13">
                  <c:v>-4.1445569726248328</c:v>
                </c:pt>
                <c:pt idx="14">
                  <c:v>-4.6852032049776264</c:v>
                </c:pt>
                <c:pt idx="15">
                  <c:v>-5.225849437330421</c:v>
                </c:pt>
                <c:pt idx="16">
                  <c:v>-5.7664956696832146</c:v>
                </c:pt>
                <c:pt idx="17">
                  <c:v>-6.3071419020360082</c:v>
                </c:pt>
                <c:pt idx="18">
                  <c:v>-6.8477881343888027</c:v>
                </c:pt>
                <c:pt idx="19">
                  <c:v>-7.3884343667415964</c:v>
                </c:pt>
                <c:pt idx="20">
                  <c:v>-7.92908059909439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8265-471E-A613-23596119A1EA}"/>
            </c:ext>
          </c:extLst>
        </c:ser>
        <c:ser>
          <c:idx val="33"/>
          <c:order val="32"/>
          <c:tx>
            <c:v>95% cfi (low aw)</c:v>
          </c:tx>
          <c:spPr>
            <a:ln w="25400">
              <a:solidFill>
                <a:srgbClr val="969696"/>
              </a:solidFill>
              <a:prstDash val="lgDash"/>
            </a:ln>
          </c:spPr>
          <c:marker>
            <c:symbol val="none"/>
          </c:marker>
          <c:xVal>
            <c:numRef>
              <c:f>GraphListeria!$A$14:$A$34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GraphListeria!$E$14:$E$34</c:f>
              <c:numCache>
                <c:formatCode>0.00</c:formatCode>
                <c:ptCount val="21"/>
                <c:pt idx="0">
                  <c:v>3.4849357750721826</c:v>
                </c:pt>
                <c:pt idx="1">
                  <c:v>2.9442895427193885</c:v>
                </c:pt>
                <c:pt idx="2">
                  <c:v>2.403643310366594</c:v>
                </c:pt>
                <c:pt idx="3">
                  <c:v>1.8629970780138003</c:v>
                </c:pt>
                <c:pt idx="4">
                  <c:v>1.3223508456610062</c:v>
                </c:pt>
                <c:pt idx="5">
                  <c:v>0.78170461330821206</c:v>
                </c:pt>
                <c:pt idx="6">
                  <c:v>0.24105838095541798</c:v>
                </c:pt>
                <c:pt idx="7">
                  <c:v>-0.29958785139737609</c:v>
                </c:pt>
                <c:pt idx="8">
                  <c:v>-0.84023408375016995</c:v>
                </c:pt>
                <c:pt idx="9">
                  <c:v>-1.3808803161029641</c:v>
                </c:pt>
                <c:pt idx="10">
                  <c:v>-1.9215265484557582</c:v>
                </c:pt>
                <c:pt idx="11">
                  <c:v>-2.4621727808085518</c:v>
                </c:pt>
                <c:pt idx="12">
                  <c:v>-3.0028190131613459</c:v>
                </c:pt>
                <c:pt idx="13">
                  <c:v>-3.5434652455141404</c:v>
                </c:pt>
                <c:pt idx="14">
                  <c:v>-4.0841114778669345</c:v>
                </c:pt>
                <c:pt idx="15">
                  <c:v>-4.624757710219729</c:v>
                </c:pt>
                <c:pt idx="16">
                  <c:v>-5.1654039425725227</c:v>
                </c:pt>
                <c:pt idx="17">
                  <c:v>-5.7060501749253163</c:v>
                </c:pt>
                <c:pt idx="18">
                  <c:v>-6.2466964072781108</c:v>
                </c:pt>
                <c:pt idx="19">
                  <c:v>-6.7873426396309045</c:v>
                </c:pt>
                <c:pt idx="20">
                  <c:v>-7.3279888719836981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8265-471E-A613-23596119A1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908160"/>
        <c:axId val="1"/>
      </c:scatterChart>
      <c:valAx>
        <c:axId val="481908160"/>
        <c:scaling>
          <c:orientation val="minMax"/>
          <c:max val="90"/>
          <c:min val="45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14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T (</a:t>
                </a:r>
                <a:r>
                  <a:rPr lang="nl-NL" sz="14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°</a:t>
                </a:r>
                <a:r>
                  <a:rPr lang="nl-NL" sz="14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C)</a:t>
                </a:r>
              </a:p>
            </c:rich>
          </c:tx>
          <c:layout>
            <c:manualLayout>
              <c:xMode val="edge"/>
              <c:yMode val="edge"/>
              <c:x val="0.41942391672759155"/>
              <c:y val="0.954545454545454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3"/>
          <c:min val="-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Log D (log min)</a:t>
                </a:r>
              </a:p>
            </c:rich>
          </c:tx>
          <c:layout>
            <c:manualLayout>
              <c:xMode val="edge"/>
              <c:yMode val="edge"/>
              <c:x val="9.6051227321237997E-3"/>
              <c:y val="0.38516746411483255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81908160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1216693697706144"/>
          <c:y val="0.10047846889952153"/>
          <c:w val="0.17822850051961225"/>
          <c:h val="0.8086124401913875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Strains</a:t>
            </a:r>
          </a:p>
        </c:rich>
      </c:tx>
      <c:layout>
        <c:manualLayout>
          <c:xMode val="edge"/>
          <c:yMode val="edge"/>
          <c:x val="0.3111116110486189"/>
          <c:y val="1.25313283208020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174623596576757"/>
          <c:y val="9.523832833629077E-2"/>
          <c:w val="0.52063572767194888"/>
          <c:h val="0.76691917028697298"/>
        </c:manualLayout>
      </c:layout>
      <c:scatterChart>
        <c:scatterStyle val="lineMarker"/>
        <c:varyColors val="0"/>
        <c:ser>
          <c:idx val="2"/>
          <c:order val="0"/>
          <c:tx>
            <c:v>alachua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Salmonella!$I$9:$I$34</c:f>
              <c:numCache>
                <c:formatCode>General</c:formatCode>
                <c:ptCount val="26"/>
                <c:pt idx="0">
                  <c:v>64.5</c:v>
                </c:pt>
                <c:pt idx="1">
                  <c:v>60</c:v>
                </c:pt>
                <c:pt idx="2">
                  <c:v>61.5</c:v>
                </c:pt>
                <c:pt idx="3">
                  <c:v>63</c:v>
                </c:pt>
                <c:pt idx="4">
                  <c:v>64.5</c:v>
                </c:pt>
                <c:pt idx="5">
                  <c:v>67.5</c:v>
                </c:pt>
                <c:pt idx="6">
                  <c:v>51.8</c:v>
                </c:pt>
                <c:pt idx="7">
                  <c:v>57.2</c:v>
                </c:pt>
                <c:pt idx="8">
                  <c:v>62.8</c:v>
                </c:pt>
                <c:pt idx="9">
                  <c:v>68.3</c:v>
                </c:pt>
                <c:pt idx="10">
                  <c:v>60</c:v>
                </c:pt>
                <c:pt idx="11">
                  <c:v>60</c:v>
                </c:pt>
                <c:pt idx="12">
                  <c:v>61.5</c:v>
                </c:pt>
                <c:pt idx="13">
                  <c:v>61.5</c:v>
                </c:pt>
                <c:pt idx="14">
                  <c:v>51.8</c:v>
                </c:pt>
                <c:pt idx="15">
                  <c:v>71.7</c:v>
                </c:pt>
                <c:pt idx="16">
                  <c:v>63</c:v>
                </c:pt>
                <c:pt idx="17">
                  <c:v>63</c:v>
                </c:pt>
                <c:pt idx="18">
                  <c:v>63</c:v>
                </c:pt>
                <c:pt idx="19">
                  <c:v>63</c:v>
                </c:pt>
                <c:pt idx="20">
                  <c:v>63</c:v>
                </c:pt>
                <c:pt idx="21">
                  <c:v>63</c:v>
                </c:pt>
                <c:pt idx="22">
                  <c:v>63</c:v>
                </c:pt>
                <c:pt idx="23">
                  <c:v>65.5</c:v>
                </c:pt>
                <c:pt idx="24">
                  <c:v>65.5</c:v>
                </c:pt>
                <c:pt idx="25">
                  <c:v>63</c:v>
                </c:pt>
              </c:numCache>
            </c:numRef>
          </c:xVal>
          <c:yVal>
            <c:numRef>
              <c:f>Salmonella!$L$9:$L$34</c:f>
              <c:numCache>
                <c:formatCode>0.00</c:formatCode>
                <c:ptCount val="26"/>
                <c:pt idx="0">
                  <c:v>-1.4685210829577449</c:v>
                </c:pt>
                <c:pt idx="1">
                  <c:v>-0.91364016932525183</c:v>
                </c:pt>
                <c:pt idx="2">
                  <c:v>-0.97061622231479039</c:v>
                </c:pt>
                <c:pt idx="3">
                  <c:v>-1.1739251972991736</c:v>
                </c:pt>
                <c:pt idx="4">
                  <c:v>-1.1739251972991736</c:v>
                </c:pt>
                <c:pt idx="5">
                  <c:v>-1.3372421683184259</c:v>
                </c:pt>
                <c:pt idx="6">
                  <c:v>1.3242824552976926</c:v>
                </c:pt>
                <c:pt idx="7">
                  <c:v>0.23044892137827391</c:v>
                </c:pt>
                <c:pt idx="8">
                  <c:v>-0.95860731484177497</c:v>
                </c:pt>
                <c:pt idx="9">
                  <c:v>-1.8239087409443189</c:v>
                </c:pt>
                <c:pt idx="10">
                  <c:v>-1.2365720064370627</c:v>
                </c:pt>
                <c:pt idx="11">
                  <c:v>-1.0087739243075051</c:v>
                </c:pt>
                <c:pt idx="12">
                  <c:v>-1.3372421683184259</c:v>
                </c:pt>
                <c:pt idx="13">
                  <c:v>-1.2291479883578558</c:v>
                </c:pt>
                <c:pt idx="14">
                  <c:v>1.3802112417116059</c:v>
                </c:pt>
                <c:pt idx="15">
                  <c:v>-2.3979400086720375</c:v>
                </c:pt>
                <c:pt idx="16">
                  <c:v>-0.38721614328026455</c:v>
                </c:pt>
                <c:pt idx="17">
                  <c:v>4.1392685158225077E-2</c:v>
                </c:pt>
                <c:pt idx="18">
                  <c:v>-0.24412514432750865</c:v>
                </c:pt>
                <c:pt idx="19">
                  <c:v>-0.40893539297350079</c:v>
                </c:pt>
                <c:pt idx="20">
                  <c:v>-0.34678748622465633</c:v>
                </c:pt>
                <c:pt idx="21">
                  <c:v>-0.32790214206428259</c:v>
                </c:pt>
                <c:pt idx="22">
                  <c:v>-0.43179827593300502</c:v>
                </c:pt>
                <c:pt idx="23">
                  <c:v>0.1228709228644355</c:v>
                </c:pt>
                <c:pt idx="24">
                  <c:v>-0.17914201056030005</c:v>
                </c:pt>
                <c:pt idx="25">
                  <c:v>4.1392685158225077E-2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31-4068-98F5-14FDCC00D16B}"/>
            </c:ext>
          </c:extLst>
        </c:ser>
        <c:ser>
          <c:idx val="3"/>
          <c:order val="1"/>
          <c:tx>
            <c:v>anatum</c:v>
          </c:tx>
          <c:spPr>
            <a:ln w="28575"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Salmonella!$I$35:$I$88</c:f>
              <c:numCache>
                <c:formatCode>General</c:formatCode>
                <c:ptCount val="54"/>
                <c:pt idx="0">
                  <c:v>62.8</c:v>
                </c:pt>
                <c:pt idx="1">
                  <c:v>65.599999999999994</c:v>
                </c:pt>
                <c:pt idx="2">
                  <c:v>68.3</c:v>
                </c:pt>
                <c:pt idx="3">
                  <c:v>62.8</c:v>
                </c:pt>
                <c:pt idx="4">
                  <c:v>65.599999999999994</c:v>
                </c:pt>
                <c:pt idx="5">
                  <c:v>68.3</c:v>
                </c:pt>
                <c:pt idx="6">
                  <c:v>62.8</c:v>
                </c:pt>
                <c:pt idx="7">
                  <c:v>65.599999999999994</c:v>
                </c:pt>
                <c:pt idx="8">
                  <c:v>68.3</c:v>
                </c:pt>
                <c:pt idx="9">
                  <c:v>62.8</c:v>
                </c:pt>
                <c:pt idx="10">
                  <c:v>65.599999999999994</c:v>
                </c:pt>
                <c:pt idx="11">
                  <c:v>68.3</c:v>
                </c:pt>
                <c:pt idx="12">
                  <c:v>62.8</c:v>
                </c:pt>
                <c:pt idx="13">
                  <c:v>65.599999999999994</c:v>
                </c:pt>
                <c:pt idx="14">
                  <c:v>68.3</c:v>
                </c:pt>
                <c:pt idx="15">
                  <c:v>65.599999999999994</c:v>
                </c:pt>
                <c:pt idx="16">
                  <c:v>68.3</c:v>
                </c:pt>
                <c:pt idx="17">
                  <c:v>71.7</c:v>
                </c:pt>
                <c:pt idx="18">
                  <c:v>73.900000000000006</c:v>
                </c:pt>
                <c:pt idx="19">
                  <c:v>62.8</c:v>
                </c:pt>
                <c:pt idx="20">
                  <c:v>65.599999999999994</c:v>
                </c:pt>
                <c:pt idx="21">
                  <c:v>68.3</c:v>
                </c:pt>
                <c:pt idx="22">
                  <c:v>63</c:v>
                </c:pt>
                <c:pt idx="23">
                  <c:v>63</c:v>
                </c:pt>
                <c:pt idx="24">
                  <c:v>63</c:v>
                </c:pt>
                <c:pt idx="25">
                  <c:v>63</c:v>
                </c:pt>
                <c:pt idx="26">
                  <c:v>72</c:v>
                </c:pt>
                <c:pt idx="27">
                  <c:v>62.8</c:v>
                </c:pt>
                <c:pt idx="28">
                  <c:v>62.8</c:v>
                </c:pt>
                <c:pt idx="29">
                  <c:v>61.5</c:v>
                </c:pt>
                <c:pt idx="30">
                  <c:v>61.5</c:v>
                </c:pt>
                <c:pt idx="31">
                  <c:v>62.5</c:v>
                </c:pt>
                <c:pt idx="32">
                  <c:v>62.5</c:v>
                </c:pt>
                <c:pt idx="33">
                  <c:v>72</c:v>
                </c:pt>
                <c:pt idx="34">
                  <c:v>62.8</c:v>
                </c:pt>
                <c:pt idx="35">
                  <c:v>56</c:v>
                </c:pt>
                <c:pt idx="36">
                  <c:v>60</c:v>
                </c:pt>
                <c:pt idx="37">
                  <c:v>62</c:v>
                </c:pt>
                <c:pt idx="38">
                  <c:v>56</c:v>
                </c:pt>
                <c:pt idx="39">
                  <c:v>60</c:v>
                </c:pt>
                <c:pt idx="40">
                  <c:v>62</c:v>
                </c:pt>
                <c:pt idx="41">
                  <c:v>56</c:v>
                </c:pt>
                <c:pt idx="42">
                  <c:v>60</c:v>
                </c:pt>
                <c:pt idx="43">
                  <c:v>62</c:v>
                </c:pt>
                <c:pt idx="44">
                  <c:v>56</c:v>
                </c:pt>
                <c:pt idx="45">
                  <c:v>60</c:v>
                </c:pt>
                <c:pt idx="46">
                  <c:v>62</c:v>
                </c:pt>
                <c:pt idx="47">
                  <c:v>56</c:v>
                </c:pt>
                <c:pt idx="48">
                  <c:v>60</c:v>
                </c:pt>
                <c:pt idx="49">
                  <c:v>62</c:v>
                </c:pt>
                <c:pt idx="50">
                  <c:v>56</c:v>
                </c:pt>
                <c:pt idx="51">
                  <c:v>60</c:v>
                </c:pt>
                <c:pt idx="52">
                  <c:v>62</c:v>
                </c:pt>
                <c:pt idx="53">
                  <c:v>65</c:v>
                </c:pt>
              </c:numCache>
            </c:numRef>
          </c:xVal>
          <c:yVal>
            <c:numRef>
              <c:f>Salmonella!$L$35:$L$88</c:f>
              <c:numCache>
                <c:formatCode>0.00</c:formatCode>
                <c:ptCount val="54"/>
                <c:pt idx="0">
                  <c:v>-1.0705810742857074</c:v>
                </c:pt>
                <c:pt idx="1">
                  <c:v>-1.6320232147054057</c:v>
                </c:pt>
                <c:pt idx="2">
                  <c:v>-2.1153934187020695</c:v>
                </c:pt>
                <c:pt idx="3">
                  <c:v>-1.0791812460476249</c:v>
                </c:pt>
                <c:pt idx="4">
                  <c:v>-1.6020599913279623</c:v>
                </c:pt>
                <c:pt idx="5">
                  <c:v>-2.0621479067488444</c:v>
                </c:pt>
                <c:pt idx="6">
                  <c:v>-1.0222763947111522</c:v>
                </c:pt>
                <c:pt idx="7">
                  <c:v>-1.5228787452803376</c:v>
                </c:pt>
                <c:pt idx="8">
                  <c:v>-2.3309932190414244</c:v>
                </c:pt>
                <c:pt idx="9">
                  <c:v>-1.2218487496163564</c:v>
                </c:pt>
                <c:pt idx="10">
                  <c:v>-1.7367585652254185</c:v>
                </c:pt>
                <c:pt idx="11">
                  <c:v>-2.1760912590556813</c:v>
                </c:pt>
                <c:pt idx="12">
                  <c:v>-1.045757490560675</c:v>
                </c:pt>
                <c:pt idx="13">
                  <c:v>-1.6642078980768069</c:v>
                </c:pt>
                <c:pt idx="14">
                  <c:v>-2.1346985738974564</c:v>
                </c:pt>
                <c:pt idx="15">
                  <c:v>-0.24667233334138852</c:v>
                </c:pt>
                <c:pt idx="16">
                  <c:v>-0.77815125038364363</c:v>
                </c:pt>
                <c:pt idx="17">
                  <c:v>-1.6989700043360187</c:v>
                </c:pt>
                <c:pt idx="18">
                  <c:v>-2.0377885608893997</c:v>
                </c:pt>
                <c:pt idx="19">
                  <c:v>-1.0621479067488444</c:v>
                </c:pt>
                <c:pt idx="20">
                  <c:v>-1.6320232147054057</c:v>
                </c:pt>
                <c:pt idx="21">
                  <c:v>-2.1983676537668333</c:v>
                </c:pt>
                <c:pt idx="22">
                  <c:v>-0.53760200210104392</c:v>
                </c:pt>
                <c:pt idx="23">
                  <c:v>7.9181246047624818E-2</c:v>
                </c:pt>
                <c:pt idx="24">
                  <c:v>0.11394335230683679</c:v>
                </c:pt>
                <c:pt idx="25">
                  <c:v>7.9181246047624818E-2</c:v>
                </c:pt>
                <c:pt idx="26">
                  <c:v>-1.0457574905606752</c:v>
                </c:pt>
                <c:pt idx="27">
                  <c:v>-1.2218487496163564</c:v>
                </c:pt>
                <c:pt idx="28">
                  <c:v>-1</c:v>
                </c:pt>
                <c:pt idx="29">
                  <c:v>-1.4089353929735009</c:v>
                </c:pt>
                <c:pt idx="30">
                  <c:v>-1.2291479883578558</c:v>
                </c:pt>
                <c:pt idx="31">
                  <c:v>-0.6777807052660807</c:v>
                </c:pt>
                <c:pt idx="32">
                  <c:v>-0.31875876262441277</c:v>
                </c:pt>
                <c:pt idx="33">
                  <c:v>-2.5228787452803374</c:v>
                </c:pt>
                <c:pt idx="34">
                  <c:v>-0.9507819773298184</c:v>
                </c:pt>
                <c:pt idx="35">
                  <c:v>-1.7728766960431602E-2</c:v>
                </c:pt>
                <c:pt idx="36">
                  <c:v>-0.55284196865778079</c:v>
                </c:pt>
                <c:pt idx="37">
                  <c:v>-1.0457574905606752</c:v>
                </c:pt>
                <c:pt idx="38">
                  <c:v>2.9383777685209667E-2</c:v>
                </c:pt>
                <c:pt idx="39">
                  <c:v>-0.49485002168009401</c:v>
                </c:pt>
                <c:pt idx="40">
                  <c:v>-1.0457574905606752</c:v>
                </c:pt>
                <c:pt idx="41">
                  <c:v>0.38560627359831223</c:v>
                </c:pt>
                <c:pt idx="42">
                  <c:v>-0.35654732351381258</c:v>
                </c:pt>
                <c:pt idx="43">
                  <c:v>-0.55284196865778079</c:v>
                </c:pt>
                <c:pt idx="44">
                  <c:v>0.55870857053316569</c:v>
                </c:pt>
                <c:pt idx="45">
                  <c:v>-2.2276394711152253E-2</c:v>
                </c:pt>
                <c:pt idx="46">
                  <c:v>-0.44369749923271273</c:v>
                </c:pt>
                <c:pt idx="47">
                  <c:v>0.20682587603184974</c:v>
                </c:pt>
                <c:pt idx="48">
                  <c:v>-0.6777807052660807</c:v>
                </c:pt>
                <c:pt idx="49">
                  <c:v>-1.0969100130080565</c:v>
                </c:pt>
                <c:pt idx="50">
                  <c:v>0.14612803567823801</c:v>
                </c:pt>
                <c:pt idx="51">
                  <c:v>-0.45593195564972439</c:v>
                </c:pt>
                <c:pt idx="52">
                  <c:v>-1</c:v>
                </c:pt>
                <c:pt idx="53">
                  <c:v>-0.14266750356873156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31-4068-98F5-14FDCC00D16B}"/>
            </c:ext>
          </c:extLst>
        </c:ser>
        <c:ser>
          <c:idx val="4"/>
          <c:order val="2"/>
          <c:tx>
            <c:v>bedford</c:v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Salmonella!$I$89:$I$170</c:f>
              <c:numCache>
                <c:formatCode>General</c:formatCode>
                <c:ptCount val="82"/>
                <c:pt idx="0">
                  <c:v>62.5</c:v>
                </c:pt>
                <c:pt idx="1">
                  <c:v>60</c:v>
                </c:pt>
                <c:pt idx="2">
                  <c:v>58</c:v>
                </c:pt>
                <c:pt idx="3">
                  <c:v>65</c:v>
                </c:pt>
                <c:pt idx="4">
                  <c:v>62.5</c:v>
                </c:pt>
                <c:pt idx="5">
                  <c:v>60</c:v>
                </c:pt>
                <c:pt idx="6">
                  <c:v>58</c:v>
                </c:pt>
                <c:pt idx="7">
                  <c:v>65</c:v>
                </c:pt>
                <c:pt idx="8">
                  <c:v>62.5</c:v>
                </c:pt>
                <c:pt idx="9">
                  <c:v>60</c:v>
                </c:pt>
                <c:pt idx="10">
                  <c:v>58</c:v>
                </c:pt>
                <c:pt idx="11">
                  <c:v>65</c:v>
                </c:pt>
                <c:pt idx="12">
                  <c:v>62.5</c:v>
                </c:pt>
                <c:pt idx="13">
                  <c:v>60</c:v>
                </c:pt>
                <c:pt idx="14">
                  <c:v>58</c:v>
                </c:pt>
                <c:pt idx="15">
                  <c:v>65.5</c:v>
                </c:pt>
                <c:pt idx="16">
                  <c:v>51.6</c:v>
                </c:pt>
                <c:pt idx="17">
                  <c:v>51.6</c:v>
                </c:pt>
                <c:pt idx="18">
                  <c:v>57.2</c:v>
                </c:pt>
                <c:pt idx="19">
                  <c:v>57.2</c:v>
                </c:pt>
                <c:pt idx="20">
                  <c:v>62.7</c:v>
                </c:pt>
                <c:pt idx="21">
                  <c:v>62.7</c:v>
                </c:pt>
                <c:pt idx="22">
                  <c:v>54</c:v>
                </c:pt>
                <c:pt idx="23">
                  <c:v>60</c:v>
                </c:pt>
                <c:pt idx="24">
                  <c:v>53</c:v>
                </c:pt>
                <c:pt idx="25">
                  <c:v>58</c:v>
                </c:pt>
                <c:pt idx="26">
                  <c:v>63</c:v>
                </c:pt>
                <c:pt idx="27">
                  <c:v>68</c:v>
                </c:pt>
                <c:pt idx="28">
                  <c:v>51.6</c:v>
                </c:pt>
                <c:pt idx="29">
                  <c:v>57.2</c:v>
                </c:pt>
                <c:pt idx="30">
                  <c:v>62.76</c:v>
                </c:pt>
                <c:pt idx="31">
                  <c:v>54</c:v>
                </c:pt>
                <c:pt idx="32">
                  <c:v>54</c:v>
                </c:pt>
                <c:pt idx="33">
                  <c:v>60</c:v>
                </c:pt>
                <c:pt idx="34">
                  <c:v>60</c:v>
                </c:pt>
                <c:pt idx="35">
                  <c:v>50</c:v>
                </c:pt>
                <c:pt idx="36">
                  <c:v>50</c:v>
                </c:pt>
                <c:pt idx="37">
                  <c:v>50</c:v>
                </c:pt>
                <c:pt idx="38">
                  <c:v>50</c:v>
                </c:pt>
                <c:pt idx="39">
                  <c:v>57</c:v>
                </c:pt>
                <c:pt idx="40">
                  <c:v>57</c:v>
                </c:pt>
                <c:pt idx="41">
                  <c:v>58</c:v>
                </c:pt>
                <c:pt idx="42">
                  <c:v>58</c:v>
                </c:pt>
                <c:pt idx="43">
                  <c:v>63</c:v>
                </c:pt>
                <c:pt idx="44">
                  <c:v>57</c:v>
                </c:pt>
                <c:pt idx="45">
                  <c:v>57</c:v>
                </c:pt>
                <c:pt idx="46">
                  <c:v>63</c:v>
                </c:pt>
                <c:pt idx="47">
                  <c:v>54</c:v>
                </c:pt>
                <c:pt idx="48">
                  <c:v>60</c:v>
                </c:pt>
                <c:pt idx="49">
                  <c:v>58</c:v>
                </c:pt>
                <c:pt idx="50">
                  <c:v>61</c:v>
                </c:pt>
                <c:pt idx="51">
                  <c:v>64</c:v>
                </c:pt>
                <c:pt idx="52">
                  <c:v>66</c:v>
                </c:pt>
                <c:pt idx="53">
                  <c:v>63</c:v>
                </c:pt>
                <c:pt idx="54">
                  <c:v>61</c:v>
                </c:pt>
                <c:pt idx="55">
                  <c:v>58</c:v>
                </c:pt>
                <c:pt idx="56">
                  <c:v>55</c:v>
                </c:pt>
                <c:pt idx="57">
                  <c:v>63</c:v>
                </c:pt>
                <c:pt idx="58">
                  <c:v>61</c:v>
                </c:pt>
                <c:pt idx="59">
                  <c:v>58</c:v>
                </c:pt>
                <c:pt idx="60">
                  <c:v>55</c:v>
                </c:pt>
                <c:pt idx="61">
                  <c:v>63</c:v>
                </c:pt>
                <c:pt idx="62">
                  <c:v>61</c:v>
                </c:pt>
                <c:pt idx="63">
                  <c:v>58</c:v>
                </c:pt>
                <c:pt idx="64">
                  <c:v>55</c:v>
                </c:pt>
                <c:pt idx="65">
                  <c:v>63</c:v>
                </c:pt>
                <c:pt idx="66">
                  <c:v>61</c:v>
                </c:pt>
                <c:pt idx="67">
                  <c:v>58</c:v>
                </c:pt>
                <c:pt idx="68">
                  <c:v>55</c:v>
                </c:pt>
                <c:pt idx="69">
                  <c:v>55</c:v>
                </c:pt>
                <c:pt idx="70">
                  <c:v>58</c:v>
                </c:pt>
                <c:pt idx="71">
                  <c:v>61</c:v>
                </c:pt>
                <c:pt idx="72">
                  <c:v>64</c:v>
                </c:pt>
                <c:pt idx="73">
                  <c:v>55</c:v>
                </c:pt>
                <c:pt idx="74">
                  <c:v>58</c:v>
                </c:pt>
                <c:pt idx="75">
                  <c:v>61</c:v>
                </c:pt>
                <c:pt idx="76">
                  <c:v>64</c:v>
                </c:pt>
                <c:pt idx="77">
                  <c:v>55</c:v>
                </c:pt>
                <c:pt idx="78">
                  <c:v>58</c:v>
                </c:pt>
                <c:pt idx="79">
                  <c:v>61</c:v>
                </c:pt>
                <c:pt idx="80">
                  <c:v>64</c:v>
                </c:pt>
                <c:pt idx="81">
                  <c:v>55</c:v>
                </c:pt>
              </c:numCache>
            </c:numRef>
          </c:xVal>
          <c:yVal>
            <c:numRef>
              <c:f>Salmonella!$L$89:$L$170</c:f>
              <c:numCache>
                <c:formatCode>0.00</c:formatCode>
                <c:ptCount val="82"/>
                <c:pt idx="0">
                  <c:v>1.7867718963505686E-2</c:v>
                </c:pt>
                <c:pt idx="1">
                  <c:v>0.39619934709573629</c:v>
                </c:pt>
                <c:pt idx="2">
                  <c:v>0.85997844164202075</c:v>
                </c:pt>
                <c:pt idx="3">
                  <c:v>-0.10347378251044473</c:v>
                </c:pt>
                <c:pt idx="4">
                  <c:v>0.3820170425748684</c:v>
                </c:pt>
                <c:pt idx="5">
                  <c:v>0.36660971039242962</c:v>
                </c:pt>
                <c:pt idx="6">
                  <c:v>0.86356076452624253</c:v>
                </c:pt>
                <c:pt idx="7">
                  <c:v>-0.14266750356873156</c:v>
                </c:pt>
                <c:pt idx="8">
                  <c:v>0.44404479591807633</c:v>
                </c:pt>
                <c:pt idx="9">
                  <c:v>0.38560627359831223</c:v>
                </c:pt>
                <c:pt idx="10">
                  <c:v>0.85937850442560093</c:v>
                </c:pt>
                <c:pt idx="11">
                  <c:v>-0.1180450286603995</c:v>
                </c:pt>
                <c:pt idx="12">
                  <c:v>-1.322826573375516E-2</c:v>
                </c:pt>
                <c:pt idx="13">
                  <c:v>0.42845877351558009</c:v>
                </c:pt>
                <c:pt idx="14">
                  <c:v>0.61341894503457306</c:v>
                </c:pt>
                <c:pt idx="15">
                  <c:v>-0.17717835469689538</c:v>
                </c:pt>
                <c:pt idx="16">
                  <c:v>1.7853298350107671</c:v>
                </c:pt>
                <c:pt idx="17">
                  <c:v>1.7923916894982539</c:v>
                </c:pt>
                <c:pt idx="18">
                  <c:v>0.57978359661681012</c:v>
                </c:pt>
                <c:pt idx="19">
                  <c:v>0.62324929039790045</c:v>
                </c:pt>
                <c:pt idx="20">
                  <c:v>-0.22184874961635639</c:v>
                </c:pt>
                <c:pt idx="21">
                  <c:v>-0.15490195998574319</c:v>
                </c:pt>
                <c:pt idx="22">
                  <c:v>1.2041199826559248</c:v>
                </c:pt>
                <c:pt idx="23">
                  <c:v>-4.5757490560675115E-2</c:v>
                </c:pt>
                <c:pt idx="24">
                  <c:v>1.7242758696007889</c:v>
                </c:pt>
                <c:pt idx="25">
                  <c:v>1.1818435879447726</c:v>
                </c:pt>
                <c:pt idx="26">
                  <c:v>0.31806333496276157</c:v>
                </c:pt>
                <c:pt idx="27">
                  <c:v>-0.65757731917779372</c:v>
                </c:pt>
                <c:pt idx="28">
                  <c:v>1.7923916894982539</c:v>
                </c:pt>
                <c:pt idx="29">
                  <c:v>0.62324929039790045</c:v>
                </c:pt>
                <c:pt idx="30">
                  <c:v>-0.15490195998574319</c:v>
                </c:pt>
                <c:pt idx="31">
                  <c:v>1.0211892990699381</c:v>
                </c:pt>
                <c:pt idx="32">
                  <c:v>1.3979400086720377</c:v>
                </c:pt>
                <c:pt idx="33">
                  <c:v>-0.33724216831842591</c:v>
                </c:pt>
                <c:pt idx="34">
                  <c:v>0.10037054511756291</c:v>
                </c:pt>
                <c:pt idx="35">
                  <c:v>1.4800069429571505</c:v>
                </c:pt>
                <c:pt idx="36">
                  <c:v>1.8954225460394079</c:v>
                </c:pt>
                <c:pt idx="37">
                  <c:v>1.9159272116971158</c:v>
                </c:pt>
                <c:pt idx="38">
                  <c:v>1.6972293427597176</c:v>
                </c:pt>
                <c:pt idx="39">
                  <c:v>0.3222192947339193</c:v>
                </c:pt>
                <c:pt idx="40">
                  <c:v>0.43136376415898736</c:v>
                </c:pt>
                <c:pt idx="41">
                  <c:v>0.41664050733828095</c:v>
                </c:pt>
                <c:pt idx="42">
                  <c:v>0.93449845124356767</c:v>
                </c:pt>
                <c:pt idx="43">
                  <c:v>-0.44369749923271273</c:v>
                </c:pt>
                <c:pt idx="44">
                  <c:v>0.32837960343873768</c:v>
                </c:pt>
                <c:pt idx="45">
                  <c:v>0.42651126136457523</c:v>
                </c:pt>
                <c:pt idx="46">
                  <c:v>-0.44369749923271273</c:v>
                </c:pt>
                <c:pt idx="47">
                  <c:v>1.3617278360175928</c:v>
                </c:pt>
                <c:pt idx="48">
                  <c:v>0.11394335230683679</c:v>
                </c:pt>
                <c:pt idx="49">
                  <c:v>1.3382572302462556</c:v>
                </c:pt>
                <c:pt idx="50">
                  <c:v>0.52891670027765469</c:v>
                </c:pt>
                <c:pt idx="51">
                  <c:v>-3.6212172654444715E-2</c:v>
                </c:pt>
                <c:pt idx="52">
                  <c:v>-0.46852108295774486</c:v>
                </c:pt>
                <c:pt idx="53">
                  <c:v>-0.82390874094431876</c:v>
                </c:pt>
                <c:pt idx="54">
                  <c:v>-0.35654732351381258</c:v>
                </c:pt>
                <c:pt idx="55">
                  <c:v>0.43456890403419873</c:v>
                </c:pt>
                <c:pt idx="56">
                  <c:v>1.2132520521963968</c:v>
                </c:pt>
                <c:pt idx="57">
                  <c:v>-0.69897000433601875</c:v>
                </c:pt>
                <c:pt idx="58">
                  <c:v>-0.24412514432750865</c:v>
                </c:pt>
                <c:pt idx="59">
                  <c:v>0.53019969820308221</c:v>
                </c:pt>
                <c:pt idx="60">
                  <c:v>1.2709116394104811</c:v>
                </c:pt>
                <c:pt idx="61">
                  <c:v>-0.85387196432176193</c:v>
                </c:pt>
                <c:pt idx="62">
                  <c:v>-0.53760200210104392</c:v>
                </c:pt>
                <c:pt idx="63">
                  <c:v>0.1553360374650618</c:v>
                </c:pt>
                <c:pt idx="64">
                  <c:v>0.99343623049761176</c:v>
                </c:pt>
                <c:pt idx="65">
                  <c:v>-0.69897000433601875</c:v>
                </c:pt>
                <c:pt idx="66">
                  <c:v>-0.55284196865778079</c:v>
                </c:pt>
                <c:pt idx="67">
                  <c:v>0.37291200297010657</c:v>
                </c:pt>
                <c:pt idx="68">
                  <c:v>1.0976043288744108</c:v>
                </c:pt>
                <c:pt idx="69">
                  <c:v>1.3420276880874717</c:v>
                </c:pt>
                <c:pt idx="70">
                  <c:v>0.41995574848975786</c:v>
                </c:pt>
                <c:pt idx="71">
                  <c:v>-0.18708664335714442</c:v>
                </c:pt>
                <c:pt idx="72">
                  <c:v>-0.79588001734407521</c:v>
                </c:pt>
                <c:pt idx="73">
                  <c:v>1.0115704435972781</c:v>
                </c:pt>
                <c:pt idx="74">
                  <c:v>0.31386722036915343</c:v>
                </c:pt>
                <c:pt idx="75">
                  <c:v>-0.36653154442041347</c:v>
                </c:pt>
                <c:pt idx="76">
                  <c:v>-0.85387196432176193</c:v>
                </c:pt>
                <c:pt idx="77">
                  <c:v>0.9566485792052033</c:v>
                </c:pt>
                <c:pt idx="78">
                  <c:v>0.35410843914740087</c:v>
                </c:pt>
                <c:pt idx="79">
                  <c:v>-0.24412514432750865</c:v>
                </c:pt>
                <c:pt idx="80">
                  <c:v>-0.82390874094431876</c:v>
                </c:pt>
                <c:pt idx="81">
                  <c:v>1.0232524596337116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31-4068-98F5-14FDCC00D16B}"/>
            </c:ext>
          </c:extLst>
        </c:ser>
        <c:ser>
          <c:idx val="5"/>
          <c:order val="3"/>
          <c:tx>
            <c:v>cubana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Salmonella!$I$202:$I$208</c:f>
              <c:numCache>
                <c:formatCode>General</c:formatCode>
                <c:ptCount val="7"/>
                <c:pt idx="0">
                  <c:v>67.5</c:v>
                </c:pt>
                <c:pt idx="1">
                  <c:v>70</c:v>
                </c:pt>
                <c:pt idx="2">
                  <c:v>55</c:v>
                </c:pt>
                <c:pt idx="3">
                  <c:v>57.5</c:v>
                </c:pt>
                <c:pt idx="4">
                  <c:v>60</c:v>
                </c:pt>
                <c:pt idx="5">
                  <c:v>62.5</c:v>
                </c:pt>
                <c:pt idx="6">
                  <c:v>65</c:v>
                </c:pt>
              </c:numCache>
            </c:numRef>
          </c:xVal>
          <c:yVal>
            <c:numRef>
              <c:f>Salmonella!$L$202:$L$208</c:f>
              <c:numCache>
                <c:formatCode>0.00</c:formatCode>
                <c:ptCount val="7"/>
                <c:pt idx="0">
                  <c:v>-0.69897000433601875</c:v>
                </c:pt>
                <c:pt idx="1">
                  <c:v>-0.95860731484177497</c:v>
                </c:pt>
                <c:pt idx="2">
                  <c:v>1.4034637013453175</c:v>
                </c:pt>
                <c:pt idx="3">
                  <c:v>1.1604685311190375</c:v>
                </c:pt>
                <c:pt idx="4">
                  <c:v>0.63346845557958653</c:v>
                </c:pt>
                <c:pt idx="5">
                  <c:v>0.39093510710337914</c:v>
                </c:pt>
                <c:pt idx="6">
                  <c:v>8.2785370316450071E-2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431-4068-98F5-14FDCC00D16B}"/>
            </c:ext>
          </c:extLst>
        </c:ser>
        <c:ser>
          <c:idx val="0"/>
          <c:order val="4"/>
          <c:tx>
            <c:v>enteritidis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Salmonella!$I$228:$I$377</c:f>
              <c:numCache>
                <c:formatCode>General</c:formatCode>
                <c:ptCount val="150"/>
                <c:pt idx="0">
                  <c:v>55.5</c:v>
                </c:pt>
                <c:pt idx="1">
                  <c:v>56.7</c:v>
                </c:pt>
                <c:pt idx="2">
                  <c:v>56.7</c:v>
                </c:pt>
                <c:pt idx="3">
                  <c:v>56.7</c:v>
                </c:pt>
                <c:pt idx="4">
                  <c:v>56.7</c:v>
                </c:pt>
                <c:pt idx="5">
                  <c:v>56.7</c:v>
                </c:pt>
                <c:pt idx="6">
                  <c:v>57.6</c:v>
                </c:pt>
                <c:pt idx="7">
                  <c:v>52.2</c:v>
                </c:pt>
                <c:pt idx="8">
                  <c:v>52.2</c:v>
                </c:pt>
                <c:pt idx="9">
                  <c:v>55</c:v>
                </c:pt>
                <c:pt idx="10">
                  <c:v>55</c:v>
                </c:pt>
                <c:pt idx="11">
                  <c:v>55</c:v>
                </c:pt>
                <c:pt idx="12">
                  <c:v>56.7</c:v>
                </c:pt>
                <c:pt idx="13">
                  <c:v>56.7</c:v>
                </c:pt>
                <c:pt idx="14">
                  <c:v>60</c:v>
                </c:pt>
                <c:pt idx="15">
                  <c:v>54.8</c:v>
                </c:pt>
                <c:pt idx="16">
                  <c:v>55</c:v>
                </c:pt>
                <c:pt idx="17">
                  <c:v>55</c:v>
                </c:pt>
                <c:pt idx="18" formatCode="0.00">
                  <c:v>56.7</c:v>
                </c:pt>
                <c:pt idx="19">
                  <c:v>58.3</c:v>
                </c:pt>
                <c:pt idx="20">
                  <c:v>60</c:v>
                </c:pt>
                <c:pt idx="21">
                  <c:v>60</c:v>
                </c:pt>
                <c:pt idx="22">
                  <c:v>55</c:v>
                </c:pt>
                <c:pt idx="23">
                  <c:v>51.5</c:v>
                </c:pt>
                <c:pt idx="24">
                  <c:v>53.2</c:v>
                </c:pt>
                <c:pt idx="25">
                  <c:v>52.2</c:v>
                </c:pt>
                <c:pt idx="26">
                  <c:v>52.2</c:v>
                </c:pt>
                <c:pt idx="27">
                  <c:v>55</c:v>
                </c:pt>
                <c:pt idx="28">
                  <c:v>55</c:v>
                </c:pt>
                <c:pt idx="29">
                  <c:v>52.2</c:v>
                </c:pt>
                <c:pt idx="30">
                  <c:v>52.2</c:v>
                </c:pt>
                <c:pt idx="31">
                  <c:v>55</c:v>
                </c:pt>
                <c:pt idx="32">
                  <c:v>55</c:v>
                </c:pt>
                <c:pt idx="33">
                  <c:v>55</c:v>
                </c:pt>
                <c:pt idx="34">
                  <c:v>55</c:v>
                </c:pt>
                <c:pt idx="35">
                  <c:v>50</c:v>
                </c:pt>
                <c:pt idx="36">
                  <c:v>50</c:v>
                </c:pt>
                <c:pt idx="37">
                  <c:v>50</c:v>
                </c:pt>
                <c:pt idx="38">
                  <c:v>55</c:v>
                </c:pt>
                <c:pt idx="39">
                  <c:v>55</c:v>
                </c:pt>
                <c:pt idx="40">
                  <c:v>55</c:v>
                </c:pt>
                <c:pt idx="41">
                  <c:v>57.5</c:v>
                </c:pt>
                <c:pt idx="42">
                  <c:v>57.5</c:v>
                </c:pt>
                <c:pt idx="43">
                  <c:v>60</c:v>
                </c:pt>
                <c:pt idx="44">
                  <c:v>60</c:v>
                </c:pt>
                <c:pt idx="45">
                  <c:v>64</c:v>
                </c:pt>
                <c:pt idx="46">
                  <c:v>62.8</c:v>
                </c:pt>
                <c:pt idx="47">
                  <c:v>54.4</c:v>
                </c:pt>
                <c:pt idx="48">
                  <c:v>57.2</c:v>
                </c:pt>
                <c:pt idx="49">
                  <c:v>57.2</c:v>
                </c:pt>
                <c:pt idx="50">
                  <c:v>57.2</c:v>
                </c:pt>
                <c:pt idx="51">
                  <c:v>60</c:v>
                </c:pt>
                <c:pt idx="52">
                  <c:v>62.8</c:v>
                </c:pt>
                <c:pt idx="53">
                  <c:v>63</c:v>
                </c:pt>
                <c:pt idx="54">
                  <c:v>55</c:v>
                </c:pt>
                <c:pt idx="55">
                  <c:v>60</c:v>
                </c:pt>
                <c:pt idx="56">
                  <c:v>64</c:v>
                </c:pt>
                <c:pt idx="57">
                  <c:v>55</c:v>
                </c:pt>
                <c:pt idx="58">
                  <c:v>55</c:v>
                </c:pt>
                <c:pt idx="59">
                  <c:v>60</c:v>
                </c:pt>
                <c:pt idx="60">
                  <c:v>60</c:v>
                </c:pt>
                <c:pt idx="61">
                  <c:v>64</c:v>
                </c:pt>
                <c:pt idx="62">
                  <c:v>60</c:v>
                </c:pt>
                <c:pt idx="63">
                  <c:v>60</c:v>
                </c:pt>
                <c:pt idx="64">
                  <c:v>55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61.1</c:v>
                </c:pt>
                <c:pt idx="69">
                  <c:v>61.1</c:v>
                </c:pt>
                <c:pt idx="70">
                  <c:v>62.2</c:v>
                </c:pt>
                <c:pt idx="71">
                  <c:v>62.2</c:v>
                </c:pt>
                <c:pt idx="72">
                  <c:v>55</c:v>
                </c:pt>
                <c:pt idx="73">
                  <c:v>60</c:v>
                </c:pt>
                <c:pt idx="74">
                  <c:v>60</c:v>
                </c:pt>
                <c:pt idx="75">
                  <c:v>61.1</c:v>
                </c:pt>
                <c:pt idx="76">
                  <c:v>62.2</c:v>
                </c:pt>
                <c:pt idx="77">
                  <c:v>55</c:v>
                </c:pt>
                <c:pt idx="78">
                  <c:v>58.8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61.1</c:v>
                </c:pt>
                <c:pt idx="83">
                  <c:v>62.2</c:v>
                </c:pt>
                <c:pt idx="84">
                  <c:v>60</c:v>
                </c:pt>
                <c:pt idx="85">
                  <c:v>61.1</c:v>
                </c:pt>
                <c:pt idx="86">
                  <c:v>62.2</c:v>
                </c:pt>
                <c:pt idx="87">
                  <c:v>60</c:v>
                </c:pt>
                <c:pt idx="88">
                  <c:v>60</c:v>
                </c:pt>
                <c:pt idx="89">
                  <c:v>55</c:v>
                </c:pt>
                <c:pt idx="90">
                  <c:v>55</c:v>
                </c:pt>
                <c:pt idx="91">
                  <c:v>57.2</c:v>
                </c:pt>
                <c:pt idx="92">
                  <c:v>57.2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58</c:v>
                </c:pt>
                <c:pt idx="98">
                  <c:v>58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57.8</c:v>
                </c:pt>
                <c:pt idx="106">
                  <c:v>62.2</c:v>
                </c:pt>
                <c:pt idx="107">
                  <c:v>62.2</c:v>
                </c:pt>
                <c:pt idx="108">
                  <c:v>59.5</c:v>
                </c:pt>
                <c:pt idx="109">
                  <c:v>55</c:v>
                </c:pt>
                <c:pt idx="110">
                  <c:v>57.5</c:v>
                </c:pt>
                <c:pt idx="111">
                  <c:v>60</c:v>
                </c:pt>
                <c:pt idx="112">
                  <c:v>62.5</c:v>
                </c:pt>
                <c:pt idx="113">
                  <c:v>65</c:v>
                </c:pt>
                <c:pt idx="114">
                  <c:v>67.5</c:v>
                </c:pt>
                <c:pt idx="115">
                  <c:v>70</c:v>
                </c:pt>
                <c:pt idx="116">
                  <c:v>65.5</c:v>
                </c:pt>
                <c:pt idx="117">
                  <c:v>70</c:v>
                </c:pt>
                <c:pt idx="118">
                  <c:v>60</c:v>
                </c:pt>
                <c:pt idx="119">
                  <c:v>65.5</c:v>
                </c:pt>
                <c:pt idx="120">
                  <c:v>70</c:v>
                </c:pt>
                <c:pt idx="121">
                  <c:v>60</c:v>
                </c:pt>
                <c:pt idx="122">
                  <c:v>60</c:v>
                </c:pt>
                <c:pt idx="123">
                  <c:v>65.5</c:v>
                </c:pt>
                <c:pt idx="124">
                  <c:v>70</c:v>
                </c:pt>
                <c:pt idx="125">
                  <c:v>60</c:v>
                </c:pt>
                <c:pt idx="126">
                  <c:v>65.5</c:v>
                </c:pt>
                <c:pt idx="127">
                  <c:v>70</c:v>
                </c:pt>
                <c:pt idx="128">
                  <c:v>60</c:v>
                </c:pt>
                <c:pt idx="129">
                  <c:v>65.5</c:v>
                </c:pt>
                <c:pt idx="130">
                  <c:v>70</c:v>
                </c:pt>
                <c:pt idx="131">
                  <c:v>60</c:v>
                </c:pt>
                <c:pt idx="132">
                  <c:v>65.5</c:v>
                </c:pt>
                <c:pt idx="133">
                  <c:v>70</c:v>
                </c:pt>
                <c:pt idx="134">
                  <c:v>60</c:v>
                </c:pt>
                <c:pt idx="135">
                  <c:v>65.5</c:v>
                </c:pt>
                <c:pt idx="136">
                  <c:v>70</c:v>
                </c:pt>
                <c:pt idx="137">
                  <c:v>60</c:v>
                </c:pt>
                <c:pt idx="138">
                  <c:v>65.5</c:v>
                </c:pt>
                <c:pt idx="139">
                  <c:v>60</c:v>
                </c:pt>
                <c:pt idx="140">
                  <c:v>65.5</c:v>
                </c:pt>
                <c:pt idx="141">
                  <c:v>70</c:v>
                </c:pt>
                <c:pt idx="142">
                  <c:v>60</c:v>
                </c:pt>
                <c:pt idx="143">
                  <c:v>65.5</c:v>
                </c:pt>
                <c:pt idx="144">
                  <c:v>57.2</c:v>
                </c:pt>
                <c:pt idx="145">
                  <c:v>57.2</c:v>
                </c:pt>
                <c:pt idx="146">
                  <c:v>57.2</c:v>
                </c:pt>
                <c:pt idx="147">
                  <c:v>57.2</c:v>
                </c:pt>
                <c:pt idx="148">
                  <c:v>57.2</c:v>
                </c:pt>
                <c:pt idx="149">
                  <c:v>57.2</c:v>
                </c:pt>
              </c:numCache>
            </c:numRef>
          </c:xVal>
          <c:yVal>
            <c:numRef>
              <c:f>Salmonella!$L$228:$L$377</c:f>
              <c:numCache>
                <c:formatCode>0.00</c:formatCode>
                <c:ptCount val="150"/>
                <c:pt idx="0">
                  <c:v>0.43775056282038799</c:v>
                </c:pt>
                <c:pt idx="1">
                  <c:v>3.342375548694973E-2</c:v>
                </c:pt>
                <c:pt idx="2">
                  <c:v>0.20139712432045151</c:v>
                </c:pt>
                <c:pt idx="3">
                  <c:v>0.33041377334919086</c:v>
                </c:pt>
                <c:pt idx="4">
                  <c:v>0.55630250076728727</c:v>
                </c:pt>
                <c:pt idx="5">
                  <c:v>0.15836249209524964</c:v>
                </c:pt>
                <c:pt idx="6">
                  <c:v>-0.10790539730951958</c:v>
                </c:pt>
                <c:pt idx="7">
                  <c:v>1.4563660331290431</c:v>
                </c:pt>
                <c:pt idx="8">
                  <c:v>1.2855573090077739</c:v>
                </c:pt>
                <c:pt idx="9">
                  <c:v>0.47712125471966244</c:v>
                </c:pt>
                <c:pt idx="10">
                  <c:v>0.85733249643126852</c:v>
                </c:pt>
                <c:pt idx="11">
                  <c:v>0.69019608002851374</c:v>
                </c:pt>
                <c:pt idx="12">
                  <c:v>0.49136169383427269</c:v>
                </c:pt>
                <c:pt idx="13">
                  <c:v>-0.46852108295774486</c:v>
                </c:pt>
                <c:pt idx="14">
                  <c:v>-9.6910013008056392E-2</c:v>
                </c:pt>
                <c:pt idx="15">
                  <c:v>-0.19382002601611281</c:v>
                </c:pt>
                <c:pt idx="16">
                  <c:v>-0.25963731050575611</c:v>
                </c:pt>
                <c:pt idx="17">
                  <c:v>0</c:v>
                </c:pt>
                <c:pt idx="18">
                  <c:v>-0.6020599913279624</c:v>
                </c:pt>
                <c:pt idx="19">
                  <c:v>-0.26760624017703144</c:v>
                </c:pt>
                <c:pt idx="20">
                  <c:v>-0.69897000433601875</c:v>
                </c:pt>
                <c:pt idx="21">
                  <c:v>-0.52287874528033762</c:v>
                </c:pt>
                <c:pt idx="22">
                  <c:v>7.9181246047624818E-2</c:v>
                </c:pt>
                <c:pt idx="23">
                  <c:v>0.5877109650189114</c:v>
                </c:pt>
                <c:pt idx="24">
                  <c:v>0.20411998265592479</c:v>
                </c:pt>
                <c:pt idx="25">
                  <c:v>-9.1514981121350217E-2</c:v>
                </c:pt>
                <c:pt idx="26">
                  <c:v>-0.25963731050575611</c:v>
                </c:pt>
                <c:pt idx="27">
                  <c:v>-0.65757731917779372</c:v>
                </c:pt>
                <c:pt idx="28">
                  <c:v>-0.82390874094431876</c:v>
                </c:pt>
                <c:pt idx="29">
                  <c:v>0.49136169383427269</c:v>
                </c:pt>
                <c:pt idx="30">
                  <c:v>0.16731733474817609</c:v>
                </c:pt>
                <c:pt idx="31">
                  <c:v>-0.10790539730951958</c:v>
                </c:pt>
                <c:pt idx="32">
                  <c:v>-0.44369749923271273</c:v>
                </c:pt>
                <c:pt idx="33">
                  <c:v>-0.22184874961635639</c:v>
                </c:pt>
                <c:pt idx="34">
                  <c:v>-0.25963731050575611</c:v>
                </c:pt>
                <c:pt idx="35">
                  <c:v>1.5312233745330268</c:v>
                </c:pt>
                <c:pt idx="36">
                  <c:v>0.96848294855393513</c:v>
                </c:pt>
                <c:pt idx="37">
                  <c:v>1.2174839442139063</c:v>
                </c:pt>
                <c:pt idx="38">
                  <c:v>0.14612803567823801</c:v>
                </c:pt>
                <c:pt idx="39">
                  <c:v>0.80617997398388719</c:v>
                </c:pt>
                <c:pt idx="40">
                  <c:v>0.20411998265592479</c:v>
                </c:pt>
                <c:pt idx="41">
                  <c:v>-0.3010299956639812</c:v>
                </c:pt>
                <c:pt idx="42">
                  <c:v>-0.15490195998574319</c:v>
                </c:pt>
                <c:pt idx="43">
                  <c:v>0.48572142648158001</c:v>
                </c:pt>
                <c:pt idx="44">
                  <c:v>-0.3979400086720376</c:v>
                </c:pt>
                <c:pt idx="45">
                  <c:v>-0.65757731917779372</c:v>
                </c:pt>
                <c:pt idx="46">
                  <c:v>-1.2218487496163564</c:v>
                </c:pt>
                <c:pt idx="47">
                  <c:v>1.2755416884013095</c:v>
                </c:pt>
                <c:pt idx="48">
                  <c:v>0.41161970596323016</c:v>
                </c:pt>
                <c:pt idx="49">
                  <c:v>0.68841982200271057</c:v>
                </c:pt>
                <c:pt idx="50">
                  <c:v>0.42160392686983106</c:v>
                </c:pt>
                <c:pt idx="51">
                  <c:v>-0.44369749923271273</c:v>
                </c:pt>
                <c:pt idx="52">
                  <c:v>-1.2218487496163564</c:v>
                </c:pt>
                <c:pt idx="53">
                  <c:v>4.1392685158225077E-2</c:v>
                </c:pt>
                <c:pt idx="54">
                  <c:v>1.5352941200427705</c:v>
                </c:pt>
                <c:pt idx="55">
                  <c:v>0.74818802700620035</c:v>
                </c:pt>
                <c:pt idx="56">
                  <c:v>0.44715803134221921</c:v>
                </c:pt>
                <c:pt idx="57">
                  <c:v>0.36172783601759284</c:v>
                </c:pt>
                <c:pt idx="58">
                  <c:v>0.6020599913279624</c:v>
                </c:pt>
                <c:pt idx="59">
                  <c:v>-0.69897000433601875</c:v>
                </c:pt>
                <c:pt idx="60">
                  <c:v>-0.55284196865778079</c:v>
                </c:pt>
                <c:pt idx="61">
                  <c:v>-0.82390874094431876</c:v>
                </c:pt>
                <c:pt idx="62">
                  <c:v>-0.22184874961635639</c:v>
                </c:pt>
                <c:pt idx="63">
                  <c:v>0</c:v>
                </c:pt>
                <c:pt idx="64">
                  <c:v>1.3222192947339193</c:v>
                </c:pt>
                <c:pt idx="65">
                  <c:v>-0.25963731050575611</c:v>
                </c:pt>
                <c:pt idx="66">
                  <c:v>-0.12493873660829995</c:v>
                </c:pt>
                <c:pt idx="67">
                  <c:v>4.1392685158225077E-2</c:v>
                </c:pt>
                <c:pt idx="68">
                  <c:v>-0.56863623584101264</c:v>
                </c:pt>
                <c:pt idx="69">
                  <c:v>-0.45593195564972439</c:v>
                </c:pt>
                <c:pt idx="70">
                  <c:v>-0.6777807052660807</c:v>
                </c:pt>
                <c:pt idx="71">
                  <c:v>-0.52287874528033762</c:v>
                </c:pt>
                <c:pt idx="72">
                  <c:v>1.6232492903979006</c:v>
                </c:pt>
                <c:pt idx="73">
                  <c:v>1.0718820073061255</c:v>
                </c:pt>
                <c:pt idx="74">
                  <c:v>-0.13667713987954411</c:v>
                </c:pt>
                <c:pt idx="75">
                  <c:v>-0.55284196865778079</c:v>
                </c:pt>
                <c:pt idx="76">
                  <c:v>-0.6777807052660807</c:v>
                </c:pt>
                <c:pt idx="77">
                  <c:v>0.90308998699194354</c:v>
                </c:pt>
                <c:pt idx="78">
                  <c:v>-0.15490195998574319</c:v>
                </c:pt>
                <c:pt idx="79">
                  <c:v>-0.17392519729917355</c:v>
                </c:pt>
                <c:pt idx="80">
                  <c:v>-0.3979400086720376</c:v>
                </c:pt>
                <c:pt idx="81">
                  <c:v>-9.6910013008056392E-2</c:v>
                </c:pt>
                <c:pt idx="82">
                  <c:v>-0.69897000433601875</c:v>
                </c:pt>
                <c:pt idx="83">
                  <c:v>-0.85387196432176193</c:v>
                </c:pt>
                <c:pt idx="84">
                  <c:v>-0.55284196865778079</c:v>
                </c:pt>
                <c:pt idx="85">
                  <c:v>-0.79588001734407521</c:v>
                </c:pt>
                <c:pt idx="86">
                  <c:v>-1.0604807473813815</c:v>
                </c:pt>
                <c:pt idx="87">
                  <c:v>0.70757017609793638</c:v>
                </c:pt>
                <c:pt idx="88">
                  <c:v>0.6020599913279624</c:v>
                </c:pt>
                <c:pt idx="89">
                  <c:v>0.89209460269048035</c:v>
                </c:pt>
                <c:pt idx="90">
                  <c:v>0.92941892571429274</c:v>
                </c:pt>
                <c:pt idx="91">
                  <c:v>8.2785370316450071E-2</c:v>
                </c:pt>
                <c:pt idx="92">
                  <c:v>0.44870631990507992</c:v>
                </c:pt>
                <c:pt idx="93">
                  <c:v>-0.6777807052660807</c:v>
                </c:pt>
                <c:pt idx="94">
                  <c:v>-0.20760831050174613</c:v>
                </c:pt>
                <c:pt idx="95">
                  <c:v>-0.50863830616572736</c:v>
                </c:pt>
                <c:pt idx="96">
                  <c:v>-0.16115090926274472</c:v>
                </c:pt>
                <c:pt idx="97">
                  <c:v>-0.30980391997148632</c:v>
                </c:pt>
                <c:pt idx="98">
                  <c:v>-6.5501548756432285E-2</c:v>
                </c:pt>
                <c:pt idx="99">
                  <c:v>-0.85387196432176193</c:v>
                </c:pt>
                <c:pt idx="100">
                  <c:v>0.34242268082220628</c:v>
                </c:pt>
                <c:pt idx="101">
                  <c:v>-0.79588001734407521</c:v>
                </c:pt>
                <c:pt idx="102">
                  <c:v>-0.33724216831842591</c:v>
                </c:pt>
                <c:pt idx="103">
                  <c:v>-0.6020599913279624</c:v>
                </c:pt>
                <c:pt idx="104">
                  <c:v>-0.34678748622465633</c:v>
                </c:pt>
                <c:pt idx="105">
                  <c:v>0.36172783601759284</c:v>
                </c:pt>
                <c:pt idx="106">
                  <c:v>-0.85387196432176193</c:v>
                </c:pt>
                <c:pt idx="107">
                  <c:v>-0.52287874528033762</c:v>
                </c:pt>
                <c:pt idx="108">
                  <c:v>-7.0581074285707285E-2</c:v>
                </c:pt>
                <c:pt idx="109">
                  <c:v>1.3925210899319322</c:v>
                </c:pt>
                <c:pt idx="110">
                  <c:v>0.93801909747621026</c:v>
                </c:pt>
                <c:pt idx="111">
                  <c:v>0.71600334363479923</c:v>
                </c:pt>
                <c:pt idx="112">
                  <c:v>0.26717172840301384</c:v>
                </c:pt>
                <c:pt idx="113">
                  <c:v>-0.20760831050174613</c:v>
                </c:pt>
                <c:pt idx="114">
                  <c:v>-0.72124639904717103</c:v>
                </c:pt>
                <c:pt idx="115">
                  <c:v>-0.92081875395237522</c:v>
                </c:pt>
                <c:pt idx="116">
                  <c:v>0.61278385671973545</c:v>
                </c:pt>
                <c:pt idx="117">
                  <c:v>3.1408464251624121E-2</c:v>
                </c:pt>
                <c:pt idx="118">
                  <c:v>1</c:v>
                </c:pt>
                <c:pt idx="119">
                  <c:v>0.54814363743484551</c:v>
                </c:pt>
                <c:pt idx="120">
                  <c:v>0.14612803567823801</c:v>
                </c:pt>
                <c:pt idx="121">
                  <c:v>1</c:v>
                </c:pt>
                <c:pt idx="122">
                  <c:v>1.0569048513364727</c:v>
                </c:pt>
                <c:pt idx="123">
                  <c:v>0.57978359661681012</c:v>
                </c:pt>
                <c:pt idx="124">
                  <c:v>-1.0995384301463193E-2</c:v>
                </c:pt>
                <c:pt idx="125">
                  <c:v>0.68394713075151214</c:v>
                </c:pt>
                <c:pt idx="126">
                  <c:v>0.42488163663106698</c:v>
                </c:pt>
                <c:pt idx="127">
                  <c:v>-0.22184874961635639</c:v>
                </c:pt>
                <c:pt idx="128">
                  <c:v>1.1613680022349748</c:v>
                </c:pt>
                <c:pt idx="129">
                  <c:v>0.55630250076728727</c:v>
                </c:pt>
                <c:pt idx="130">
                  <c:v>-0.3010299956639812</c:v>
                </c:pt>
                <c:pt idx="131">
                  <c:v>0.63346845557958653</c:v>
                </c:pt>
                <c:pt idx="132">
                  <c:v>-7.9354998593212434E-2</c:v>
                </c:pt>
                <c:pt idx="133">
                  <c:v>-0.52287874528033762</c:v>
                </c:pt>
                <c:pt idx="134">
                  <c:v>0.85733249643126852</c:v>
                </c:pt>
                <c:pt idx="135">
                  <c:v>4.1392685158225077E-2</c:v>
                </c:pt>
                <c:pt idx="136">
                  <c:v>-0.82390874094431876</c:v>
                </c:pt>
                <c:pt idx="137">
                  <c:v>-0.22184874961635639</c:v>
                </c:pt>
                <c:pt idx="138">
                  <c:v>-1.1804560644581312</c:v>
                </c:pt>
                <c:pt idx="139">
                  <c:v>0.85733249643126852</c:v>
                </c:pt>
                <c:pt idx="140">
                  <c:v>4.1392685158225077E-2</c:v>
                </c:pt>
                <c:pt idx="141">
                  <c:v>-0.66756154008439472</c:v>
                </c:pt>
                <c:pt idx="142">
                  <c:v>-0.74472749489669399</c:v>
                </c:pt>
                <c:pt idx="143">
                  <c:v>-1.3010299956639813</c:v>
                </c:pt>
                <c:pt idx="144">
                  <c:v>1.0791812460476249</c:v>
                </c:pt>
                <c:pt idx="145">
                  <c:v>0.74036268949424389</c:v>
                </c:pt>
                <c:pt idx="146">
                  <c:v>0.84509804001425681</c:v>
                </c:pt>
                <c:pt idx="147">
                  <c:v>0.90308998699194354</c:v>
                </c:pt>
                <c:pt idx="148">
                  <c:v>1.6180480967120927</c:v>
                </c:pt>
                <c:pt idx="149">
                  <c:v>0.77815125038364363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431-4068-98F5-14FDCC00D16B}"/>
            </c:ext>
          </c:extLst>
        </c:ser>
        <c:ser>
          <c:idx val="1"/>
          <c:order val="5"/>
          <c:tx>
            <c:v>infantis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Salmonella!$I$399:$I$416</c:f>
              <c:numCache>
                <c:formatCode>General</c:formatCode>
                <c:ptCount val="18"/>
                <c:pt idx="0">
                  <c:v>57.2</c:v>
                </c:pt>
                <c:pt idx="1">
                  <c:v>57.2</c:v>
                </c:pt>
                <c:pt idx="2">
                  <c:v>57.2</c:v>
                </c:pt>
                <c:pt idx="3">
                  <c:v>57.2</c:v>
                </c:pt>
                <c:pt idx="4">
                  <c:v>57.2</c:v>
                </c:pt>
                <c:pt idx="5">
                  <c:v>57.2</c:v>
                </c:pt>
                <c:pt idx="6">
                  <c:v>57.2</c:v>
                </c:pt>
                <c:pt idx="7">
                  <c:v>57.2</c:v>
                </c:pt>
                <c:pt idx="8">
                  <c:v>57.2</c:v>
                </c:pt>
                <c:pt idx="9">
                  <c:v>57.2</c:v>
                </c:pt>
                <c:pt idx="10">
                  <c:v>57.2</c:v>
                </c:pt>
                <c:pt idx="11">
                  <c:v>57.2</c:v>
                </c:pt>
                <c:pt idx="12">
                  <c:v>57.2</c:v>
                </c:pt>
                <c:pt idx="13">
                  <c:v>57.2</c:v>
                </c:pt>
                <c:pt idx="14">
                  <c:v>57.2</c:v>
                </c:pt>
                <c:pt idx="15">
                  <c:v>57.2</c:v>
                </c:pt>
                <c:pt idx="16">
                  <c:v>57.2</c:v>
                </c:pt>
                <c:pt idx="17">
                  <c:v>57.2</c:v>
                </c:pt>
              </c:numCache>
            </c:numRef>
          </c:xVal>
          <c:yVal>
            <c:numRef>
              <c:f>Salmonella!$L$399:$L$416</c:f>
              <c:numCache>
                <c:formatCode>0.00</c:formatCode>
                <c:ptCount val="18"/>
                <c:pt idx="0">
                  <c:v>1.7888751157754168</c:v>
                </c:pt>
                <c:pt idx="1">
                  <c:v>1.9030899869919435</c:v>
                </c:pt>
                <c:pt idx="2">
                  <c:v>1.7708520116421442</c:v>
                </c:pt>
                <c:pt idx="3">
                  <c:v>1.7958800173440752</c:v>
                </c:pt>
                <c:pt idx="4">
                  <c:v>1.3242824552976926</c:v>
                </c:pt>
                <c:pt idx="5">
                  <c:v>1.8603380065709938</c:v>
                </c:pt>
                <c:pt idx="6">
                  <c:v>1.7923916894982539</c:v>
                </c:pt>
                <c:pt idx="7">
                  <c:v>1.3710678622717363</c:v>
                </c:pt>
                <c:pt idx="8">
                  <c:v>1.6693168805661123</c:v>
                </c:pt>
                <c:pt idx="9">
                  <c:v>1.7781512503836436</c:v>
                </c:pt>
                <c:pt idx="10">
                  <c:v>1.7481880270062005</c:v>
                </c:pt>
                <c:pt idx="11">
                  <c:v>1.8369567370595505</c:v>
                </c:pt>
                <c:pt idx="12">
                  <c:v>1.1553360374650619</c:v>
                </c:pt>
                <c:pt idx="13">
                  <c:v>1.7664128471123994</c:v>
                </c:pt>
                <c:pt idx="14">
                  <c:v>1.7403626894942439</c:v>
                </c:pt>
                <c:pt idx="15">
                  <c:v>1.3283796034387378</c:v>
                </c:pt>
                <c:pt idx="16">
                  <c:v>1.4842998393467859</c:v>
                </c:pt>
                <c:pt idx="17">
                  <c:v>1.4232458739368079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431-4068-98F5-14FDCC00D16B}"/>
            </c:ext>
          </c:extLst>
        </c:ser>
        <c:ser>
          <c:idx val="6"/>
          <c:order val="6"/>
          <c:tx>
            <c:v>montevideo</c:v>
          </c:tx>
          <c:spPr>
            <a:ln w="28575"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Salmonella!$I$427:$I$456</c:f>
              <c:numCache>
                <c:formatCode>General</c:formatCode>
                <c:ptCount val="30"/>
                <c:pt idx="0">
                  <c:v>57.2</c:v>
                </c:pt>
                <c:pt idx="1">
                  <c:v>57.2</c:v>
                </c:pt>
                <c:pt idx="2">
                  <c:v>57.2</c:v>
                </c:pt>
                <c:pt idx="3">
                  <c:v>57.2</c:v>
                </c:pt>
                <c:pt idx="4">
                  <c:v>57</c:v>
                </c:pt>
                <c:pt idx="5">
                  <c:v>57</c:v>
                </c:pt>
                <c:pt idx="6">
                  <c:v>57</c:v>
                </c:pt>
                <c:pt idx="7">
                  <c:v>57</c:v>
                </c:pt>
                <c:pt idx="8">
                  <c:v>57</c:v>
                </c:pt>
                <c:pt idx="9">
                  <c:v>57</c:v>
                </c:pt>
                <c:pt idx="10">
                  <c:v>57</c:v>
                </c:pt>
                <c:pt idx="11">
                  <c:v>57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55</c:v>
                </c:pt>
                <c:pt idx="17">
                  <c:v>57</c:v>
                </c:pt>
                <c:pt idx="18">
                  <c:v>60</c:v>
                </c:pt>
                <c:pt idx="19">
                  <c:v>62</c:v>
                </c:pt>
                <c:pt idx="20">
                  <c:v>52</c:v>
                </c:pt>
                <c:pt idx="21">
                  <c:v>54</c:v>
                </c:pt>
                <c:pt idx="22">
                  <c:v>56</c:v>
                </c:pt>
                <c:pt idx="23">
                  <c:v>58</c:v>
                </c:pt>
                <c:pt idx="24">
                  <c:v>60</c:v>
                </c:pt>
                <c:pt idx="25">
                  <c:v>60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</c:numCache>
            </c:numRef>
          </c:xVal>
          <c:yVal>
            <c:numRef>
              <c:f>Salmonella!$L$427:$L$456</c:f>
              <c:numCache>
                <c:formatCode>0.00</c:formatCode>
                <c:ptCount val="30"/>
                <c:pt idx="0">
                  <c:v>4.1392685158225077E-2</c:v>
                </c:pt>
                <c:pt idx="1">
                  <c:v>1.1613680022349748</c:v>
                </c:pt>
                <c:pt idx="2">
                  <c:v>-9.6910013008056392E-2</c:v>
                </c:pt>
                <c:pt idx="3">
                  <c:v>4.1392685158225077E-2</c:v>
                </c:pt>
                <c:pt idx="4">
                  <c:v>1.0681858617461617</c:v>
                </c:pt>
                <c:pt idx="5">
                  <c:v>0.82607480270082645</c:v>
                </c:pt>
                <c:pt idx="6">
                  <c:v>0.79239168949825389</c:v>
                </c:pt>
                <c:pt idx="7">
                  <c:v>0.86332286012045589</c:v>
                </c:pt>
                <c:pt idx="8">
                  <c:v>1.2174839442139063</c:v>
                </c:pt>
                <c:pt idx="9">
                  <c:v>1.5440680443502757</c:v>
                </c:pt>
                <c:pt idx="10">
                  <c:v>1.2304489213782739</c:v>
                </c:pt>
                <c:pt idx="11">
                  <c:v>1.0791812460476249</c:v>
                </c:pt>
                <c:pt idx="12">
                  <c:v>-1.7728766960431602E-2</c:v>
                </c:pt>
                <c:pt idx="13">
                  <c:v>-0.18045606445813131</c:v>
                </c:pt>
                <c:pt idx="14">
                  <c:v>-0.12493873660829995</c:v>
                </c:pt>
                <c:pt idx="15">
                  <c:v>-0.25181197299379954</c:v>
                </c:pt>
                <c:pt idx="16">
                  <c:v>1.2624510897304295</c:v>
                </c:pt>
                <c:pt idx="17">
                  <c:v>0.66275783168157409</c:v>
                </c:pt>
                <c:pt idx="18">
                  <c:v>-8.6186147616283335E-2</c:v>
                </c:pt>
                <c:pt idx="19">
                  <c:v>-0.3979400086720376</c:v>
                </c:pt>
                <c:pt idx="20">
                  <c:v>0.72427586960078905</c:v>
                </c:pt>
                <c:pt idx="21">
                  <c:v>0.43136376415898736</c:v>
                </c:pt>
                <c:pt idx="22">
                  <c:v>0.11394335230683679</c:v>
                </c:pt>
                <c:pt idx="23">
                  <c:v>-4.5757490560675115E-2</c:v>
                </c:pt>
                <c:pt idx="24">
                  <c:v>0.36172783601759284</c:v>
                </c:pt>
                <c:pt idx="25">
                  <c:v>0.3222192947339193</c:v>
                </c:pt>
                <c:pt idx="26">
                  <c:v>0.27875360095282892</c:v>
                </c:pt>
                <c:pt idx="27">
                  <c:v>0.25527250510330607</c:v>
                </c:pt>
                <c:pt idx="28">
                  <c:v>0.3010299956639812</c:v>
                </c:pt>
                <c:pt idx="29">
                  <c:v>0.64345267648618742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431-4068-98F5-14FDCC00D16B}"/>
            </c:ext>
          </c:extLst>
        </c:ser>
        <c:ser>
          <c:idx val="7"/>
          <c:order val="7"/>
          <c:tx>
            <c:v>senftenberg 436</c:v>
          </c:tx>
          <c:spPr>
            <a:ln w="28575">
              <a:noFill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Salmonella!$I$780:$I$802</c:f>
              <c:numCache>
                <c:formatCode>General</c:formatCode>
                <c:ptCount val="23"/>
                <c:pt idx="0">
                  <c:v>57.2</c:v>
                </c:pt>
                <c:pt idx="1">
                  <c:v>57.2</c:v>
                </c:pt>
                <c:pt idx="2">
                  <c:v>57.2</c:v>
                </c:pt>
                <c:pt idx="3">
                  <c:v>57.2</c:v>
                </c:pt>
                <c:pt idx="4">
                  <c:v>57.2</c:v>
                </c:pt>
                <c:pt idx="5">
                  <c:v>57.2</c:v>
                </c:pt>
                <c:pt idx="6">
                  <c:v>57.2</c:v>
                </c:pt>
                <c:pt idx="7">
                  <c:v>57.2</c:v>
                </c:pt>
                <c:pt idx="8">
                  <c:v>57.2</c:v>
                </c:pt>
                <c:pt idx="9">
                  <c:v>57.2</c:v>
                </c:pt>
                <c:pt idx="10">
                  <c:v>57.2</c:v>
                </c:pt>
                <c:pt idx="11">
                  <c:v>57.2</c:v>
                </c:pt>
                <c:pt idx="12">
                  <c:v>57.2</c:v>
                </c:pt>
                <c:pt idx="13">
                  <c:v>57.2</c:v>
                </c:pt>
                <c:pt idx="14">
                  <c:v>57.2</c:v>
                </c:pt>
                <c:pt idx="15">
                  <c:v>57.2</c:v>
                </c:pt>
                <c:pt idx="16">
                  <c:v>57.2</c:v>
                </c:pt>
                <c:pt idx="17">
                  <c:v>57.2</c:v>
                </c:pt>
                <c:pt idx="18">
                  <c:v>57.2</c:v>
                </c:pt>
                <c:pt idx="19">
                  <c:v>57.2</c:v>
                </c:pt>
                <c:pt idx="20">
                  <c:v>57.2</c:v>
                </c:pt>
                <c:pt idx="21">
                  <c:v>57.2</c:v>
                </c:pt>
                <c:pt idx="22">
                  <c:v>57.2</c:v>
                </c:pt>
              </c:numCache>
            </c:numRef>
          </c:xVal>
          <c:yVal>
            <c:numRef>
              <c:f>Salmonella!$L$780:$L$802</c:f>
              <c:numCache>
                <c:formatCode>0.00</c:formatCode>
                <c:ptCount val="23"/>
                <c:pt idx="0">
                  <c:v>7.9181246047624818E-2</c:v>
                </c:pt>
                <c:pt idx="1">
                  <c:v>-9.6910013008056392E-2</c:v>
                </c:pt>
                <c:pt idx="2">
                  <c:v>4.1392685158225077E-2</c:v>
                </c:pt>
                <c:pt idx="3">
                  <c:v>0</c:v>
                </c:pt>
                <c:pt idx="4">
                  <c:v>7.9181246047624818E-2</c:v>
                </c:pt>
                <c:pt idx="5">
                  <c:v>1.0969100130080565</c:v>
                </c:pt>
                <c:pt idx="6">
                  <c:v>1.1613680022349748</c:v>
                </c:pt>
                <c:pt idx="7">
                  <c:v>-0.15490195998574319</c:v>
                </c:pt>
                <c:pt idx="8">
                  <c:v>0.11394335230683679</c:v>
                </c:pt>
                <c:pt idx="9">
                  <c:v>4.1392685158225077E-2</c:v>
                </c:pt>
                <c:pt idx="10">
                  <c:v>1.0211892990699381</c:v>
                </c:pt>
                <c:pt idx="11">
                  <c:v>1.146128035678238</c:v>
                </c:pt>
                <c:pt idx="12">
                  <c:v>0.69897000433601886</c:v>
                </c:pt>
                <c:pt idx="13">
                  <c:v>0.81291335664285558</c:v>
                </c:pt>
                <c:pt idx="14">
                  <c:v>0.69897000433601886</c:v>
                </c:pt>
                <c:pt idx="15">
                  <c:v>0.92941892571429274</c:v>
                </c:pt>
                <c:pt idx="16">
                  <c:v>0.77815125038364363</c:v>
                </c:pt>
                <c:pt idx="17">
                  <c:v>1</c:v>
                </c:pt>
                <c:pt idx="18">
                  <c:v>1.6020599913279623</c:v>
                </c:pt>
                <c:pt idx="19">
                  <c:v>1.6334684555795864</c:v>
                </c:pt>
                <c:pt idx="20">
                  <c:v>0.69897000433601886</c:v>
                </c:pt>
                <c:pt idx="21">
                  <c:v>0.84509804001425681</c:v>
                </c:pt>
                <c:pt idx="22">
                  <c:v>0.92941892571429274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431-4068-98F5-14FDCC00D16B}"/>
            </c:ext>
          </c:extLst>
        </c:ser>
        <c:ser>
          <c:idx val="8"/>
          <c:order val="8"/>
          <c:tx>
            <c:v>senftenberg 775W</c:v>
          </c:tx>
          <c:spPr>
            <a:ln w="28575">
              <a:noFill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xVal>
            <c:numRef>
              <c:f>Salmonella!$I$803:$I$1108</c:f>
              <c:numCache>
                <c:formatCode>General</c:formatCode>
                <c:ptCount val="306"/>
                <c:pt idx="0">
                  <c:v>57.2</c:v>
                </c:pt>
                <c:pt idx="1">
                  <c:v>57.2</c:v>
                </c:pt>
                <c:pt idx="2">
                  <c:v>57.2</c:v>
                </c:pt>
                <c:pt idx="3">
                  <c:v>57.2</c:v>
                </c:pt>
                <c:pt idx="4">
                  <c:v>57.2</c:v>
                </c:pt>
                <c:pt idx="5">
                  <c:v>57.2</c:v>
                </c:pt>
                <c:pt idx="6">
                  <c:v>57.2</c:v>
                </c:pt>
                <c:pt idx="7">
                  <c:v>57.2</c:v>
                </c:pt>
                <c:pt idx="8">
                  <c:v>57.2</c:v>
                </c:pt>
                <c:pt idx="9">
                  <c:v>57.2</c:v>
                </c:pt>
                <c:pt idx="10">
                  <c:v>57.2</c:v>
                </c:pt>
                <c:pt idx="11">
                  <c:v>57.2</c:v>
                </c:pt>
                <c:pt idx="12">
                  <c:v>57.2</c:v>
                </c:pt>
                <c:pt idx="13">
                  <c:v>57.2</c:v>
                </c:pt>
                <c:pt idx="14">
                  <c:v>57.2</c:v>
                </c:pt>
                <c:pt idx="15">
                  <c:v>57.2</c:v>
                </c:pt>
                <c:pt idx="16">
                  <c:v>57.2</c:v>
                </c:pt>
                <c:pt idx="17">
                  <c:v>57.2</c:v>
                </c:pt>
                <c:pt idx="18">
                  <c:v>57.2</c:v>
                </c:pt>
                <c:pt idx="19">
                  <c:v>57.2</c:v>
                </c:pt>
                <c:pt idx="20">
                  <c:v>57.2</c:v>
                </c:pt>
                <c:pt idx="21">
                  <c:v>57.2</c:v>
                </c:pt>
                <c:pt idx="22">
                  <c:v>57.2</c:v>
                </c:pt>
                <c:pt idx="23">
                  <c:v>57.2</c:v>
                </c:pt>
                <c:pt idx="24">
                  <c:v>57.2</c:v>
                </c:pt>
                <c:pt idx="25">
                  <c:v>57.2</c:v>
                </c:pt>
                <c:pt idx="26">
                  <c:v>57.2</c:v>
                </c:pt>
                <c:pt idx="27">
                  <c:v>57.2</c:v>
                </c:pt>
                <c:pt idx="28">
                  <c:v>57.2</c:v>
                </c:pt>
                <c:pt idx="29">
                  <c:v>57.2</c:v>
                </c:pt>
                <c:pt idx="30">
                  <c:v>57.2</c:v>
                </c:pt>
                <c:pt idx="31">
                  <c:v>57.2</c:v>
                </c:pt>
                <c:pt idx="32">
                  <c:v>57.2</c:v>
                </c:pt>
                <c:pt idx="33">
                  <c:v>57.2</c:v>
                </c:pt>
                <c:pt idx="34">
                  <c:v>57.2</c:v>
                </c:pt>
                <c:pt idx="35">
                  <c:v>57.2</c:v>
                </c:pt>
                <c:pt idx="36">
                  <c:v>57.2</c:v>
                </c:pt>
                <c:pt idx="37">
                  <c:v>57.2</c:v>
                </c:pt>
                <c:pt idx="38">
                  <c:v>57.2</c:v>
                </c:pt>
                <c:pt idx="39">
                  <c:v>57.2</c:v>
                </c:pt>
                <c:pt idx="40">
                  <c:v>57.2</c:v>
                </c:pt>
                <c:pt idx="41">
                  <c:v>57.2</c:v>
                </c:pt>
                <c:pt idx="42">
                  <c:v>57.2</c:v>
                </c:pt>
                <c:pt idx="43">
                  <c:v>57.2</c:v>
                </c:pt>
                <c:pt idx="44">
                  <c:v>57.2</c:v>
                </c:pt>
                <c:pt idx="45">
                  <c:v>57.2</c:v>
                </c:pt>
                <c:pt idx="46">
                  <c:v>57.2</c:v>
                </c:pt>
                <c:pt idx="47">
                  <c:v>57.2</c:v>
                </c:pt>
                <c:pt idx="48">
                  <c:v>57.2</c:v>
                </c:pt>
                <c:pt idx="49">
                  <c:v>57.2</c:v>
                </c:pt>
                <c:pt idx="50">
                  <c:v>57.2</c:v>
                </c:pt>
                <c:pt idx="51">
                  <c:v>57.2</c:v>
                </c:pt>
                <c:pt idx="52">
                  <c:v>57.2</c:v>
                </c:pt>
                <c:pt idx="53">
                  <c:v>57.2</c:v>
                </c:pt>
                <c:pt idx="54">
                  <c:v>57.2</c:v>
                </c:pt>
                <c:pt idx="55">
                  <c:v>57.2</c:v>
                </c:pt>
                <c:pt idx="56">
                  <c:v>57.2</c:v>
                </c:pt>
                <c:pt idx="57">
                  <c:v>57.2</c:v>
                </c:pt>
                <c:pt idx="58">
                  <c:v>57.2</c:v>
                </c:pt>
                <c:pt idx="59">
                  <c:v>57.2</c:v>
                </c:pt>
                <c:pt idx="60">
                  <c:v>57.2</c:v>
                </c:pt>
                <c:pt idx="61">
                  <c:v>57.2</c:v>
                </c:pt>
                <c:pt idx="62">
                  <c:v>57.2</c:v>
                </c:pt>
                <c:pt idx="63">
                  <c:v>57.2</c:v>
                </c:pt>
                <c:pt idx="64">
                  <c:v>57.2</c:v>
                </c:pt>
                <c:pt idx="65">
                  <c:v>57.2</c:v>
                </c:pt>
                <c:pt idx="66">
                  <c:v>57.2</c:v>
                </c:pt>
                <c:pt idx="67">
                  <c:v>57.2</c:v>
                </c:pt>
                <c:pt idx="68">
                  <c:v>57.2</c:v>
                </c:pt>
                <c:pt idx="69">
                  <c:v>57.2</c:v>
                </c:pt>
                <c:pt idx="70">
                  <c:v>57.2</c:v>
                </c:pt>
                <c:pt idx="71">
                  <c:v>57.2</c:v>
                </c:pt>
                <c:pt idx="72">
                  <c:v>57.2</c:v>
                </c:pt>
                <c:pt idx="73">
                  <c:v>57.2</c:v>
                </c:pt>
                <c:pt idx="74">
                  <c:v>57.2</c:v>
                </c:pt>
                <c:pt idx="75">
                  <c:v>57.2</c:v>
                </c:pt>
                <c:pt idx="76">
                  <c:v>57.2</c:v>
                </c:pt>
                <c:pt idx="77">
                  <c:v>57.2</c:v>
                </c:pt>
                <c:pt idx="78">
                  <c:v>57.2</c:v>
                </c:pt>
                <c:pt idx="79">
                  <c:v>65</c:v>
                </c:pt>
                <c:pt idx="80">
                  <c:v>65</c:v>
                </c:pt>
                <c:pt idx="81">
                  <c:v>65</c:v>
                </c:pt>
                <c:pt idx="82">
                  <c:v>65</c:v>
                </c:pt>
                <c:pt idx="83">
                  <c:v>65</c:v>
                </c:pt>
                <c:pt idx="84">
                  <c:v>65</c:v>
                </c:pt>
                <c:pt idx="85">
                  <c:v>65</c:v>
                </c:pt>
                <c:pt idx="86">
                  <c:v>65</c:v>
                </c:pt>
                <c:pt idx="87">
                  <c:v>65</c:v>
                </c:pt>
                <c:pt idx="88">
                  <c:v>65</c:v>
                </c:pt>
                <c:pt idx="89">
                  <c:v>65</c:v>
                </c:pt>
                <c:pt idx="90">
                  <c:v>65</c:v>
                </c:pt>
                <c:pt idx="91">
                  <c:v>65</c:v>
                </c:pt>
                <c:pt idx="92">
                  <c:v>65</c:v>
                </c:pt>
                <c:pt idx="93">
                  <c:v>65</c:v>
                </c:pt>
                <c:pt idx="94">
                  <c:v>65</c:v>
                </c:pt>
                <c:pt idx="95">
                  <c:v>65</c:v>
                </c:pt>
                <c:pt idx="96">
                  <c:v>65</c:v>
                </c:pt>
                <c:pt idx="97">
                  <c:v>65</c:v>
                </c:pt>
                <c:pt idx="98">
                  <c:v>65</c:v>
                </c:pt>
                <c:pt idx="99">
                  <c:v>65</c:v>
                </c:pt>
                <c:pt idx="100">
                  <c:v>65</c:v>
                </c:pt>
                <c:pt idx="101">
                  <c:v>65</c:v>
                </c:pt>
                <c:pt idx="102">
                  <c:v>65</c:v>
                </c:pt>
                <c:pt idx="103">
                  <c:v>65</c:v>
                </c:pt>
                <c:pt idx="104">
                  <c:v>65</c:v>
                </c:pt>
                <c:pt idx="105">
                  <c:v>65</c:v>
                </c:pt>
                <c:pt idx="106">
                  <c:v>65</c:v>
                </c:pt>
                <c:pt idx="107">
                  <c:v>65</c:v>
                </c:pt>
                <c:pt idx="108">
                  <c:v>65</c:v>
                </c:pt>
                <c:pt idx="109">
                  <c:v>65</c:v>
                </c:pt>
                <c:pt idx="110">
                  <c:v>65</c:v>
                </c:pt>
                <c:pt idx="111">
                  <c:v>65</c:v>
                </c:pt>
                <c:pt idx="112">
                  <c:v>65</c:v>
                </c:pt>
                <c:pt idx="113">
                  <c:v>65</c:v>
                </c:pt>
                <c:pt idx="114">
                  <c:v>65</c:v>
                </c:pt>
                <c:pt idx="115">
                  <c:v>65</c:v>
                </c:pt>
                <c:pt idx="116">
                  <c:v>65</c:v>
                </c:pt>
                <c:pt idx="117">
                  <c:v>65</c:v>
                </c:pt>
                <c:pt idx="118">
                  <c:v>65</c:v>
                </c:pt>
                <c:pt idx="119">
                  <c:v>65</c:v>
                </c:pt>
                <c:pt idx="120">
                  <c:v>65</c:v>
                </c:pt>
                <c:pt idx="121">
                  <c:v>65</c:v>
                </c:pt>
                <c:pt idx="122">
                  <c:v>65</c:v>
                </c:pt>
                <c:pt idx="123">
                  <c:v>65</c:v>
                </c:pt>
                <c:pt idx="124">
                  <c:v>65</c:v>
                </c:pt>
                <c:pt idx="125">
                  <c:v>65</c:v>
                </c:pt>
                <c:pt idx="126">
                  <c:v>65</c:v>
                </c:pt>
                <c:pt idx="127">
                  <c:v>65</c:v>
                </c:pt>
                <c:pt idx="128">
                  <c:v>65</c:v>
                </c:pt>
                <c:pt idx="129">
                  <c:v>65</c:v>
                </c:pt>
                <c:pt idx="130">
                  <c:v>65</c:v>
                </c:pt>
                <c:pt idx="131">
                  <c:v>65</c:v>
                </c:pt>
                <c:pt idx="132">
                  <c:v>65</c:v>
                </c:pt>
                <c:pt idx="133">
                  <c:v>54.4</c:v>
                </c:pt>
                <c:pt idx="134">
                  <c:v>57.2</c:v>
                </c:pt>
                <c:pt idx="135">
                  <c:v>60</c:v>
                </c:pt>
                <c:pt idx="136">
                  <c:v>54.4</c:v>
                </c:pt>
                <c:pt idx="137">
                  <c:v>57.2</c:v>
                </c:pt>
                <c:pt idx="138">
                  <c:v>60</c:v>
                </c:pt>
                <c:pt idx="139">
                  <c:v>54.4</c:v>
                </c:pt>
                <c:pt idx="140">
                  <c:v>57.2</c:v>
                </c:pt>
                <c:pt idx="141">
                  <c:v>60</c:v>
                </c:pt>
                <c:pt idx="142">
                  <c:v>54.4</c:v>
                </c:pt>
                <c:pt idx="143">
                  <c:v>57.2</c:v>
                </c:pt>
                <c:pt idx="144">
                  <c:v>60</c:v>
                </c:pt>
                <c:pt idx="145">
                  <c:v>54.4</c:v>
                </c:pt>
                <c:pt idx="146">
                  <c:v>55</c:v>
                </c:pt>
                <c:pt idx="147">
                  <c:v>57.2</c:v>
                </c:pt>
                <c:pt idx="148">
                  <c:v>60</c:v>
                </c:pt>
                <c:pt idx="149">
                  <c:v>55</c:v>
                </c:pt>
                <c:pt idx="150">
                  <c:v>52</c:v>
                </c:pt>
                <c:pt idx="151">
                  <c:v>52</c:v>
                </c:pt>
                <c:pt idx="152">
                  <c:v>52</c:v>
                </c:pt>
                <c:pt idx="153">
                  <c:v>52</c:v>
                </c:pt>
                <c:pt idx="154">
                  <c:v>52</c:v>
                </c:pt>
                <c:pt idx="155">
                  <c:v>52</c:v>
                </c:pt>
                <c:pt idx="156">
                  <c:v>52</c:v>
                </c:pt>
                <c:pt idx="157">
                  <c:v>52</c:v>
                </c:pt>
                <c:pt idx="158">
                  <c:v>52</c:v>
                </c:pt>
                <c:pt idx="159">
                  <c:v>52</c:v>
                </c:pt>
                <c:pt idx="160">
                  <c:v>52</c:v>
                </c:pt>
                <c:pt idx="161">
                  <c:v>52</c:v>
                </c:pt>
                <c:pt idx="162">
                  <c:v>52</c:v>
                </c:pt>
                <c:pt idx="163">
                  <c:v>52</c:v>
                </c:pt>
                <c:pt idx="164">
                  <c:v>52</c:v>
                </c:pt>
                <c:pt idx="165">
                  <c:v>52</c:v>
                </c:pt>
                <c:pt idx="166">
                  <c:v>54</c:v>
                </c:pt>
                <c:pt idx="167">
                  <c:v>56</c:v>
                </c:pt>
                <c:pt idx="168">
                  <c:v>58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65.5</c:v>
                </c:pt>
                <c:pt idx="173">
                  <c:v>65.5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65.55</c:v>
                </c:pt>
                <c:pt idx="178">
                  <c:v>65.55</c:v>
                </c:pt>
                <c:pt idx="179">
                  <c:v>65.55</c:v>
                </c:pt>
                <c:pt idx="180">
                  <c:v>65.55</c:v>
                </c:pt>
                <c:pt idx="181">
                  <c:v>65.55</c:v>
                </c:pt>
                <c:pt idx="182">
                  <c:v>65.55</c:v>
                </c:pt>
                <c:pt idx="183">
                  <c:v>65.55</c:v>
                </c:pt>
                <c:pt idx="184">
                  <c:v>65.55</c:v>
                </c:pt>
                <c:pt idx="185">
                  <c:v>65.55</c:v>
                </c:pt>
                <c:pt idx="186">
                  <c:v>65.55</c:v>
                </c:pt>
                <c:pt idx="187">
                  <c:v>68.3</c:v>
                </c:pt>
                <c:pt idx="188">
                  <c:v>68.3</c:v>
                </c:pt>
                <c:pt idx="189">
                  <c:v>68.3</c:v>
                </c:pt>
                <c:pt idx="190">
                  <c:v>68.3</c:v>
                </c:pt>
                <c:pt idx="191">
                  <c:v>68.3</c:v>
                </c:pt>
                <c:pt idx="192">
                  <c:v>70</c:v>
                </c:pt>
                <c:pt idx="193">
                  <c:v>70</c:v>
                </c:pt>
                <c:pt idx="194">
                  <c:v>70</c:v>
                </c:pt>
                <c:pt idx="195">
                  <c:v>70</c:v>
                </c:pt>
                <c:pt idx="196">
                  <c:v>71.099999999999994</c:v>
                </c:pt>
                <c:pt idx="197">
                  <c:v>71.099999999999994</c:v>
                </c:pt>
                <c:pt idx="198">
                  <c:v>71.099999999999994</c:v>
                </c:pt>
                <c:pt idx="199">
                  <c:v>71.099999999999994</c:v>
                </c:pt>
                <c:pt idx="200">
                  <c:v>71.099999999999994</c:v>
                </c:pt>
                <c:pt idx="201">
                  <c:v>73.900000000000006</c:v>
                </c:pt>
                <c:pt idx="202">
                  <c:v>73.900000000000006</c:v>
                </c:pt>
                <c:pt idx="203">
                  <c:v>73.900000000000006</c:v>
                </c:pt>
                <c:pt idx="204">
                  <c:v>73.900000000000006</c:v>
                </c:pt>
                <c:pt idx="205">
                  <c:v>73.900000000000006</c:v>
                </c:pt>
                <c:pt idx="206">
                  <c:v>76.7</c:v>
                </c:pt>
                <c:pt idx="207">
                  <c:v>76.7</c:v>
                </c:pt>
                <c:pt idx="208">
                  <c:v>76.7</c:v>
                </c:pt>
                <c:pt idx="209">
                  <c:v>76.7</c:v>
                </c:pt>
                <c:pt idx="210">
                  <c:v>76.7</c:v>
                </c:pt>
                <c:pt idx="211">
                  <c:v>57</c:v>
                </c:pt>
                <c:pt idx="212">
                  <c:v>57</c:v>
                </c:pt>
                <c:pt idx="213">
                  <c:v>57</c:v>
                </c:pt>
                <c:pt idx="214">
                  <c:v>57</c:v>
                </c:pt>
                <c:pt idx="215">
                  <c:v>57</c:v>
                </c:pt>
                <c:pt idx="216">
                  <c:v>57</c:v>
                </c:pt>
                <c:pt idx="217">
                  <c:v>57</c:v>
                </c:pt>
                <c:pt idx="218">
                  <c:v>57</c:v>
                </c:pt>
                <c:pt idx="219">
                  <c:v>62.5</c:v>
                </c:pt>
                <c:pt idx="220">
                  <c:v>62.5</c:v>
                </c:pt>
                <c:pt idx="221">
                  <c:v>62.5</c:v>
                </c:pt>
                <c:pt idx="222">
                  <c:v>59.5</c:v>
                </c:pt>
                <c:pt idx="223">
                  <c:v>62.5</c:v>
                </c:pt>
                <c:pt idx="224">
                  <c:v>59.5</c:v>
                </c:pt>
                <c:pt idx="225">
                  <c:v>62.5</c:v>
                </c:pt>
                <c:pt idx="226">
                  <c:v>62.5</c:v>
                </c:pt>
                <c:pt idx="227">
                  <c:v>62.5</c:v>
                </c:pt>
                <c:pt idx="228">
                  <c:v>62.5</c:v>
                </c:pt>
                <c:pt idx="229">
                  <c:v>62.5</c:v>
                </c:pt>
                <c:pt idx="230">
                  <c:v>62.5</c:v>
                </c:pt>
                <c:pt idx="231">
                  <c:v>62.5</c:v>
                </c:pt>
                <c:pt idx="232">
                  <c:v>62.5</c:v>
                </c:pt>
                <c:pt idx="233">
                  <c:v>62.5</c:v>
                </c:pt>
                <c:pt idx="234">
                  <c:v>62.5</c:v>
                </c:pt>
                <c:pt idx="235">
                  <c:v>62.5</c:v>
                </c:pt>
                <c:pt idx="236">
                  <c:v>55</c:v>
                </c:pt>
                <c:pt idx="237">
                  <c:v>52</c:v>
                </c:pt>
                <c:pt idx="238">
                  <c:v>55</c:v>
                </c:pt>
                <c:pt idx="239">
                  <c:v>55</c:v>
                </c:pt>
                <c:pt idx="240">
                  <c:v>58</c:v>
                </c:pt>
                <c:pt idx="241">
                  <c:v>60</c:v>
                </c:pt>
                <c:pt idx="242">
                  <c:v>51.4</c:v>
                </c:pt>
                <c:pt idx="243">
                  <c:v>52.5</c:v>
                </c:pt>
                <c:pt idx="244">
                  <c:v>52.9</c:v>
                </c:pt>
                <c:pt idx="245">
                  <c:v>53.9</c:v>
                </c:pt>
                <c:pt idx="246">
                  <c:v>54.7</c:v>
                </c:pt>
                <c:pt idx="247">
                  <c:v>55.2</c:v>
                </c:pt>
                <c:pt idx="248">
                  <c:v>55.7</c:v>
                </c:pt>
                <c:pt idx="249">
                  <c:v>56.8</c:v>
                </c:pt>
                <c:pt idx="250">
                  <c:v>57.1</c:v>
                </c:pt>
                <c:pt idx="251">
                  <c:v>55</c:v>
                </c:pt>
                <c:pt idx="252">
                  <c:v>55</c:v>
                </c:pt>
                <c:pt idx="253">
                  <c:v>55</c:v>
                </c:pt>
                <c:pt idx="254">
                  <c:v>55</c:v>
                </c:pt>
                <c:pt idx="255">
                  <c:v>55</c:v>
                </c:pt>
                <c:pt idx="256">
                  <c:v>55</c:v>
                </c:pt>
                <c:pt idx="257">
                  <c:v>51.7</c:v>
                </c:pt>
                <c:pt idx="258">
                  <c:v>55</c:v>
                </c:pt>
                <c:pt idx="259">
                  <c:v>58</c:v>
                </c:pt>
                <c:pt idx="260">
                  <c:v>52.8</c:v>
                </c:pt>
                <c:pt idx="261">
                  <c:v>53.8</c:v>
                </c:pt>
                <c:pt idx="262">
                  <c:v>55.1</c:v>
                </c:pt>
                <c:pt idx="263">
                  <c:v>57</c:v>
                </c:pt>
                <c:pt idx="264">
                  <c:v>58.5</c:v>
                </c:pt>
                <c:pt idx="265">
                  <c:v>58.8</c:v>
                </c:pt>
                <c:pt idx="266">
                  <c:v>59.6</c:v>
                </c:pt>
                <c:pt idx="267">
                  <c:v>60.8</c:v>
                </c:pt>
                <c:pt idx="268" formatCode="0.00">
                  <c:v>57</c:v>
                </c:pt>
                <c:pt idx="269">
                  <c:v>59.2</c:v>
                </c:pt>
                <c:pt idx="270">
                  <c:v>61</c:v>
                </c:pt>
                <c:pt idx="271">
                  <c:v>62.3</c:v>
                </c:pt>
                <c:pt idx="272">
                  <c:v>62.8</c:v>
                </c:pt>
                <c:pt idx="273">
                  <c:v>65</c:v>
                </c:pt>
                <c:pt idx="274">
                  <c:v>54.4</c:v>
                </c:pt>
                <c:pt idx="275">
                  <c:v>57.2</c:v>
                </c:pt>
                <c:pt idx="276">
                  <c:v>58</c:v>
                </c:pt>
                <c:pt idx="277">
                  <c:v>58</c:v>
                </c:pt>
                <c:pt idx="278">
                  <c:v>59</c:v>
                </c:pt>
                <c:pt idx="279">
                  <c:v>59</c:v>
                </c:pt>
                <c:pt idx="280">
                  <c:v>60</c:v>
                </c:pt>
                <c:pt idx="281">
                  <c:v>60</c:v>
                </c:pt>
                <c:pt idx="282">
                  <c:v>60</c:v>
                </c:pt>
                <c:pt idx="283">
                  <c:v>62.8</c:v>
                </c:pt>
                <c:pt idx="284">
                  <c:v>60</c:v>
                </c:pt>
                <c:pt idx="285">
                  <c:v>65.5</c:v>
                </c:pt>
                <c:pt idx="286">
                  <c:v>60</c:v>
                </c:pt>
                <c:pt idx="287">
                  <c:v>65.5</c:v>
                </c:pt>
                <c:pt idx="288">
                  <c:v>55</c:v>
                </c:pt>
                <c:pt idx="289">
                  <c:v>55</c:v>
                </c:pt>
                <c:pt idx="290">
                  <c:v>55</c:v>
                </c:pt>
                <c:pt idx="291">
                  <c:v>55</c:v>
                </c:pt>
                <c:pt idx="292">
                  <c:v>55</c:v>
                </c:pt>
                <c:pt idx="293">
                  <c:v>55</c:v>
                </c:pt>
                <c:pt idx="294">
                  <c:v>52</c:v>
                </c:pt>
                <c:pt idx="295">
                  <c:v>52</c:v>
                </c:pt>
                <c:pt idx="296">
                  <c:v>52</c:v>
                </c:pt>
                <c:pt idx="297">
                  <c:v>52</c:v>
                </c:pt>
                <c:pt idx="298">
                  <c:v>52</c:v>
                </c:pt>
                <c:pt idx="299">
                  <c:v>52</c:v>
                </c:pt>
                <c:pt idx="300">
                  <c:v>52</c:v>
                </c:pt>
                <c:pt idx="301">
                  <c:v>52</c:v>
                </c:pt>
                <c:pt idx="302">
                  <c:v>52</c:v>
                </c:pt>
                <c:pt idx="303">
                  <c:v>54</c:v>
                </c:pt>
                <c:pt idx="304">
                  <c:v>54</c:v>
                </c:pt>
                <c:pt idx="305">
                  <c:v>54</c:v>
                </c:pt>
              </c:numCache>
            </c:numRef>
          </c:xVal>
          <c:yVal>
            <c:numRef>
              <c:f>Salmonella!$L$803:$L$1108</c:f>
              <c:numCache>
                <c:formatCode>0.00</c:formatCode>
                <c:ptCount val="306"/>
                <c:pt idx="0">
                  <c:v>0.97772360528884772</c:v>
                </c:pt>
                <c:pt idx="1">
                  <c:v>0.74036268949424389</c:v>
                </c:pt>
                <c:pt idx="2">
                  <c:v>1.2174839442139063</c:v>
                </c:pt>
                <c:pt idx="3">
                  <c:v>0</c:v>
                </c:pt>
                <c:pt idx="4">
                  <c:v>0.11394335230683679</c:v>
                </c:pt>
                <c:pt idx="5">
                  <c:v>0</c:v>
                </c:pt>
                <c:pt idx="6">
                  <c:v>7.9181246047624818E-2</c:v>
                </c:pt>
                <c:pt idx="7">
                  <c:v>-9.6910013008056392E-2</c:v>
                </c:pt>
                <c:pt idx="8">
                  <c:v>0.11394335230683679</c:v>
                </c:pt>
                <c:pt idx="9">
                  <c:v>-9.6910013008056392E-2</c:v>
                </c:pt>
                <c:pt idx="10">
                  <c:v>0</c:v>
                </c:pt>
                <c:pt idx="11">
                  <c:v>-0.15490195998574319</c:v>
                </c:pt>
                <c:pt idx="12">
                  <c:v>0.14612803567823801</c:v>
                </c:pt>
                <c:pt idx="13">
                  <c:v>1.1303337684950061</c:v>
                </c:pt>
                <c:pt idx="14">
                  <c:v>1.2041199826559248</c:v>
                </c:pt>
                <c:pt idx="15">
                  <c:v>-0.22184874961635639</c:v>
                </c:pt>
                <c:pt idx="16">
                  <c:v>-4.5757490560675115E-2</c:v>
                </c:pt>
                <c:pt idx="17">
                  <c:v>-0.15490195998574319</c:v>
                </c:pt>
                <c:pt idx="18">
                  <c:v>0.17609125905568124</c:v>
                </c:pt>
                <c:pt idx="19">
                  <c:v>1.3010299956639813</c:v>
                </c:pt>
                <c:pt idx="20">
                  <c:v>1.5185139398778875</c:v>
                </c:pt>
                <c:pt idx="21">
                  <c:v>1.5185139398778875</c:v>
                </c:pt>
                <c:pt idx="22">
                  <c:v>1.5797835966168101</c:v>
                </c:pt>
                <c:pt idx="23">
                  <c:v>0.69897000433601886</c:v>
                </c:pt>
                <c:pt idx="24">
                  <c:v>0.74036268949424389</c:v>
                </c:pt>
                <c:pt idx="25">
                  <c:v>1.2671717284030137</c:v>
                </c:pt>
                <c:pt idx="26">
                  <c:v>1.3617278360175928</c:v>
                </c:pt>
                <c:pt idx="27">
                  <c:v>1.6334684555795864</c:v>
                </c:pt>
                <c:pt idx="28">
                  <c:v>1.7403626894942439</c:v>
                </c:pt>
                <c:pt idx="29">
                  <c:v>0.95424250943932487</c:v>
                </c:pt>
                <c:pt idx="30">
                  <c:v>1</c:v>
                </c:pt>
                <c:pt idx="31">
                  <c:v>1.0413926851582251</c:v>
                </c:pt>
                <c:pt idx="32">
                  <c:v>1.2787536009528289</c:v>
                </c:pt>
                <c:pt idx="33">
                  <c:v>1.7634279935629373</c:v>
                </c:pt>
                <c:pt idx="34">
                  <c:v>1.7923916894982539</c:v>
                </c:pt>
                <c:pt idx="35">
                  <c:v>1.6020599913279623</c:v>
                </c:pt>
                <c:pt idx="36">
                  <c:v>1.8450980400142569</c:v>
                </c:pt>
                <c:pt idx="37">
                  <c:v>1.8129133566428555</c:v>
                </c:pt>
                <c:pt idx="38">
                  <c:v>1.8750612633917001</c:v>
                </c:pt>
                <c:pt idx="39">
                  <c:v>1.0791812460476249</c:v>
                </c:pt>
                <c:pt idx="40">
                  <c:v>1.1760912590556813</c:v>
                </c:pt>
                <c:pt idx="41">
                  <c:v>1.6989700043360187</c:v>
                </c:pt>
                <c:pt idx="42">
                  <c:v>1.8750612633917001</c:v>
                </c:pt>
                <c:pt idx="43">
                  <c:v>1.6989700043360187</c:v>
                </c:pt>
                <c:pt idx="44">
                  <c:v>1.7781512503836436</c:v>
                </c:pt>
                <c:pt idx="45">
                  <c:v>1.3010299956639813</c:v>
                </c:pt>
                <c:pt idx="46">
                  <c:v>1.3979400086720377</c:v>
                </c:pt>
                <c:pt idx="47">
                  <c:v>1.1760912590556813</c:v>
                </c:pt>
                <c:pt idx="48">
                  <c:v>1.6127838567197355</c:v>
                </c:pt>
                <c:pt idx="49">
                  <c:v>1.8450980400142569</c:v>
                </c:pt>
                <c:pt idx="50">
                  <c:v>2.0413926851582249</c:v>
                </c:pt>
                <c:pt idx="51">
                  <c:v>1.7242758696007889</c:v>
                </c:pt>
                <c:pt idx="52">
                  <c:v>1.8129133566428555</c:v>
                </c:pt>
                <c:pt idx="53">
                  <c:v>1.7781512503836436</c:v>
                </c:pt>
                <c:pt idx="54">
                  <c:v>1.8129133566428555</c:v>
                </c:pt>
                <c:pt idx="55">
                  <c:v>1.2304489213782739</c:v>
                </c:pt>
                <c:pt idx="56">
                  <c:v>1.4471580313422192</c:v>
                </c:pt>
                <c:pt idx="57">
                  <c:v>1.8129133566428555</c:v>
                </c:pt>
                <c:pt idx="58">
                  <c:v>1.9030899869919435</c:v>
                </c:pt>
                <c:pt idx="59">
                  <c:v>1.7403626894942439</c:v>
                </c:pt>
                <c:pt idx="60">
                  <c:v>1.8750612633917001</c:v>
                </c:pt>
                <c:pt idx="61">
                  <c:v>1.3010299956639813</c:v>
                </c:pt>
                <c:pt idx="62">
                  <c:v>1.4313637641589874</c:v>
                </c:pt>
                <c:pt idx="63">
                  <c:v>1.6020599913279623</c:v>
                </c:pt>
                <c:pt idx="64">
                  <c:v>1.7403626894942439</c:v>
                </c:pt>
                <c:pt idx="65">
                  <c:v>1.8750612633917001</c:v>
                </c:pt>
                <c:pt idx="66">
                  <c:v>2.1461280356782382</c:v>
                </c:pt>
                <c:pt idx="67">
                  <c:v>1.8750612633917001</c:v>
                </c:pt>
                <c:pt idx="68">
                  <c:v>2.1760912590556813</c:v>
                </c:pt>
                <c:pt idx="69">
                  <c:v>1.7781512503836436</c:v>
                </c:pt>
                <c:pt idx="70">
                  <c:v>2.0791812460476247</c:v>
                </c:pt>
                <c:pt idx="71">
                  <c:v>1.2787536009528289</c:v>
                </c:pt>
                <c:pt idx="72">
                  <c:v>1.6020599913279623</c:v>
                </c:pt>
                <c:pt idx="73">
                  <c:v>1.8129133566428555</c:v>
                </c:pt>
                <c:pt idx="74">
                  <c:v>1.9030899869919435</c:v>
                </c:pt>
                <c:pt idx="75">
                  <c:v>1.3979400086720377</c:v>
                </c:pt>
                <c:pt idx="76">
                  <c:v>1.6532125137753437</c:v>
                </c:pt>
                <c:pt idx="77">
                  <c:v>1.7781512503836436</c:v>
                </c:pt>
                <c:pt idx="78">
                  <c:v>1.7993405494535817</c:v>
                </c:pt>
                <c:pt idx="79">
                  <c:v>4.1392685158225077E-2</c:v>
                </c:pt>
                <c:pt idx="80">
                  <c:v>-0.3010299956639812</c:v>
                </c:pt>
                <c:pt idx="81">
                  <c:v>0.92941892571429274</c:v>
                </c:pt>
                <c:pt idx="82">
                  <c:v>1.0791812460476249</c:v>
                </c:pt>
                <c:pt idx="83">
                  <c:v>0.3010299956639812</c:v>
                </c:pt>
                <c:pt idx="84">
                  <c:v>-4.5757490560675115E-2</c:v>
                </c:pt>
                <c:pt idx="85">
                  <c:v>4.1392685158225077E-2</c:v>
                </c:pt>
                <c:pt idx="86">
                  <c:v>0.19312459835446161</c:v>
                </c:pt>
                <c:pt idx="87">
                  <c:v>1.2304489213782739</c:v>
                </c:pt>
                <c:pt idx="88">
                  <c:v>1.6232492903979006</c:v>
                </c:pt>
                <c:pt idx="89">
                  <c:v>1.6812412373755872</c:v>
                </c:pt>
                <c:pt idx="90">
                  <c:v>-0.85387196432176193</c:v>
                </c:pt>
                <c:pt idx="91">
                  <c:v>-2.2276394711152253E-2</c:v>
                </c:pt>
                <c:pt idx="92">
                  <c:v>-0.69897000433601875</c:v>
                </c:pt>
                <c:pt idx="93">
                  <c:v>-0.52287874528033762</c:v>
                </c:pt>
                <c:pt idx="94">
                  <c:v>-0.58502665202918203</c:v>
                </c:pt>
                <c:pt idx="95">
                  <c:v>-0.15490195998574319</c:v>
                </c:pt>
                <c:pt idx="96">
                  <c:v>-4.5757490560675115E-2</c:v>
                </c:pt>
                <c:pt idx="97">
                  <c:v>0</c:v>
                </c:pt>
                <c:pt idx="98">
                  <c:v>0.3222192947339193</c:v>
                </c:pt>
                <c:pt idx="99">
                  <c:v>-0.15490195998574319</c:v>
                </c:pt>
                <c:pt idx="100">
                  <c:v>-0.15490195998574319</c:v>
                </c:pt>
                <c:pt idx="101">
                  <c:v>1.2304489213782739</c:v>
                </c:pt>
                <c:pt idx="102">
                  <c:v>1.3010299956639813</c:v>
                </c:pt>
                <c:pt idx="103">
                  <c:v>0.23044892137827391</c:v>
                </c:pt>
                <c:pt idx="104">
                  <c:v>0.20139712432045151</c:v>
                </c:pt>
                <c:pt idx="105">
                  <c:v>0.20951501454263097</c:v>
                </c:pt>
                <c:pt idx="106">
                  <c:v>-0.40893539297350079</c:v>
                </c:pt>
                <c:pt idx="107">
                  <c:v>0.14612803567823801</c:v>
                </c:pt>
                <c:pt idx="108">
                  <c:v>-9.6910013008056392E-2</c:v>
                </c:pt>
                <c:pt idx="109">
                  <c:v>6.069784035361165E-2</c:v>
                </c:pt>
                <c:pt idx="110">
                  <c:v>1.1398790864012365</c:v>
                </c:pt>
                <c:pt idx="111">
                  <c:v>0.49831055378960049</c:v>
                </c:pt>
                <c:pt idx="112">
                  <c:v>0.26007138798507479</c:v>
                </c:pt>
                <c:pt idx="113">
                  <c:v>0.70415051683979912</c:v>
                </c:pt>
                <c:pt idx="114">
                  <c:v>-0.95860731484177497</c:v>
                </c:pt>
                <c:pt idx="115">
                  <c:v>0.5428254269591799</c:v>
                </c:pt>
                <c:pt idx="116">
                  <c:v>0.44090908206521767</c:v>
                </c:pt>
                <c:pt idx="117">
                  <c:v>0.84198480459011393</c:v>
                </c:pt>
                <c:pt idx="118">
                  <c:v>1.2041199826559248</c:v>
                </c:pt>
                <c:pt idx="119">
                  <c:v>1.0413926851582251</c:v>
                </c:pt>
                <c:pt idx="120">
                  <c:v>0.13987908640123647</c:v>
                </c:pt>
                <c:pt idx="121">
                  <c:v>1.255272505103306</c:v>
                </c:pt>
                <c:pt idx="122">
                  <c:v>1.2671717284030137</c:v>
                </c:pt>
                <c:pt idx="123">
                  <c:v>1.4983105537896004</c:v>
                </c:pt>
                <c:pt idx="124">
                  <c:v>1.6334684555795864</c:v>
                </c:pt>
                <c:pt idx="125">
                  <c:v>1.7242758696007889</c:v>
                </c:pt>
                <c:pt idx="126">
                  <c:v>1.7323937598229686</c:v>
                </c:pt>
                <c:pt idx="127">
                  <c:v>-0.38721614328026455</c:v>
                </c:pt>
                <c:pt idx="128">
                  <c:v>-0.79588001734407521</c:v>
                </c:pt>
                <c:pt idx="129">
                  <c:v>-0.53760200210104392</c:v>
                </c:pt>
                <c:pt idx="130">
                  <c:v>-1.2518119729937995</c:v>
                </c:pt>
                <c:pt idx="131">
                  <c:v>-1.1029229967905798</c:v>
                </c:pt>
                <c:pt idx="132">
                  <c:v>-0.96657624451305035</c:v>
                </c:pt>
                <c:pt idx="133">
                  <c:v>1.2860071220794747</c:v>
                </c:pt>
                <c:pt idx="134">
                  <c:v>0.57054293988189753</c:v>
                </c:pt>
                <c:pt idx="135">
                  <c:v>0.48572142648158001</c:v>
                </c:pt>
                <c:pt idx="136">
                  <c:v>1.1061908972634154</c:v>
                </c:pt>
                <c:pt idx="137">
                  <c:v>0.73158876518673865</c:v>
                </c:pt>
                <c:pt idx="138">
                  <c:v>0.36361197989214433</c:v>
                </c:pt>
                <c:pt idx="139">
                  <c:v>1.1185953652237619</c:v>
                </c:pt>
                <c:pt idx="140">
                  <c:v>0.74507479158205747</c:v>
                </c:pt>
                <c:pt idx="141">
                  <c:v>0.28330122870354957</c:v>
                </c:pt>
                <c:pt idx="142">
                  <c:v>1.2337573629655105</c:v>
                </c:pt>
                <c:pt idx="143">
                  <c:v>0.85369821177617433</c:v>
                </c:pt>
                <c:pt idx="144">
                  <c:v>0.45939248775923086</c:v>
                </c:pt>
                <c:pt idx="145">
                  <c:v>1.1532049000842843</c:v>
                </c:pt>
                <c:pt idx="146">
                  <c:v>1.1139433523068367</c:v>
                </c:pt>
                <c:pt idx="147">
                  <c:v>0.79448804665916961</c:v>
                </c:pt>
                <c:pt idx="148">
                  <c:v>0.42975228000240795</c:v>
                </c:pt>
                <c:pt idx="149">
                  <c:v>0.56820172406699498</c:v>
                </c:pt>
                <c:pt idx="150">
                  <c:v>-0.75696195131370558</c:v>
                </c:pt>
                <c:pt idx="151">
                  <c:v>-0.12493873660829995</c:v>
                </c:pt>
                <c:pt idx="152">
                  <c:v>-0.12493873660829995</c:v>
                </c:pt>
                <c:pt idx="153">
                  <c:v>9.691001300805642E-2</c:v>
                </c:pt>
                <c:pt idx="154">
                  <c:v>0.18469143081759881</c:v>
                </c:pt>
                <c:pt idx="155">
                  <c:v>0.21748394421390627</c:v>
                </c:pt>
                <c:pt idx="156">
                  <c:v>0.2576785748691845</c:v>
                </c:pt>
                <c:pt idx="157">
                  <c:v>0.35218251811136247</c:v>
                </c:pt>
                <c:pt idx="158">
                  <c:v>0.3979400086720376</c:v>
                </c:pt>
                <c:pt idx="159">
                  <c:v>0.45484486000851021</c:v>
                </c:pt>
                <c:pt idx="160">
                  <c:v>0.47712125471966244</c:v>
                </c:pt>
                <c:pt idx="161">
                  <c:v>0.66275783168157409</c:v>
                </c:pt>
                <c:pt idx="162">
                  <c:v>0.78532983501076703</c:v>
                </c:pt>
                <c:pt idx="163">
                  <c:v>1.3344537511509309</c:v>
                </c:pt>
                <c:pt idx="164">
                  <c:v>1.5378190950732742</c:v>
                </c:pt>
                <c:pt idx="165">
                  <c:v>1.541579243946581</c:v>
                </c:pt>
                <c:pt idx="166">
                  <c:v>0.91169015875386117</c:v>
                </c:pt>
                <c:pt idx="167">
                  <c:v>0.36921585741014279</c:v>
                </c:pt>
                <c:pt idx="168">
                  <c:v>-0.20065945054641829</c:v>
                </c:pt>
                <c:pt idx="169">
                  <c:v>1.0569048513364727</c:v>
                </c:pt>
                <c:pt idx="170">
                  <c:v>1</c:v>
                </c:pt>
                <c:pt idx="171">
                  <c:v>0.85733249643126852</c:v>
                </c:pt>
                <c:pt idx="172">
                  <c:v>0.57978359661681012</c:v>
                </c:pt>
                <c:pt idx="173">
                  <c:v>4.1392685158225077E-2</c:v>
                </c:pt>
                <c:pt idx="174">
                  <c:v>0.68394713075151214</c:v>
                </c:pt>
                <c:pt idx="175">
                  <c:v>0.63346845557958653</c:v>
                </c:pt>
                <c:pt idx="176">
                  <c:v>-0.22184874961635639</c:v>
                </c:pt>
                <c:pt idx="177">
                  <c:v>1.6042260530844701</c:v>
                </c:pt>
                <c:pt idx="178">
                  <c:v>0.54777470538782258</c:v>
                </c:pt>
                <c:pt idx="179">
                  <c:v>1.2833012287035497</c:v>
                </c:pt>
                <c:pt idx="180">
                  <c:v>0.31175386105575426</c:v>
                </c:pt>
                <c:pt idx="181">
                  <c:v>0.68124123737558717</c:v>
                </c:pt>
                <c:pt idx="182">
                  <c:v>0.42488163663106698</c:v>
                </c:pt>
                <c:pt idx="183">
                  <c:v>-8.092190762392612E-2</c:v>
                </c:pt>
                <c:pt idx="184">
                  <c:v>0.14612803567823801</c:v>
                </c:pt>
                <c:pt idx="185">
                  <c:v>-1.1804560644581312</c:v>
                </c:pt>
                <c:pt idx="186">
                  <c:v>-0.53760200210104392</c:v>
                </c:pt>
                <c:pt idx="187">
                  <c:v>1.2405492482825997</c:v>
                </c:pt>
                <c:pt idx="188">
                  <c:v>0.86332286012045589</c:v>
                </c:pt>
                <c:pt idx="189">
                  <c:v>0.27875360095282892</c:v>
                </c:pt>
                <c:pt idx="190">
                  <c:v>-0.21467016498923297</c:v>
                </c:pt>
                <c:pt idx="191">
                  <c:v>-0.92081875395237522</c:v>
                </c:pt>
                <c:pt idx="192">
                  <c:v>0.44715803134221921</c:v>
                </c:pt>
                <c:pt idx="193">
                  <c:v>-4.3648054024500883E-3</c:v>
                </c:pt>
                <c:pt idx="194">
                  <c:v>-0.22184874961635639</c:v>
                </c:pt>
                <c:pt idx="195">
                  <c:v>-0.52287874528033762</c:v>
                </c:pt>
                <c:pt idx="196">
                  <c:v>0.87506126339170009</c:v>
                </c:pt>
                <c:pt idx="197">
                  <c:v>0.44715803134221921</c:v>
                </c:pt>
                <c:pt idx="198">
                  <c:v>-0.13076828026902382</c:v>
                </c:pt>
                <c:pt idx="199">
                  <c:v>-0.56863623584101264</c:v>
                </c:pt>
                <c:pt idx="200">
                  <c:v>-1.3010299956639813</c:v>
                </c:pt>
                <c:pt idx="201">
                  <c:v>0.51851393987788741</c:v>
                </c:pt>
                <c:pt idx="202">
                  <c:v>4.1392685158225077E-2</c:v>
                </c:pt>
                <c:pt idx="203">
                  <c:v>-0.53760200210104392</c:v>
                </c:pt>
                <c:pt idx="204">
                  <c:v>-0.92081875395237522</c:v>
                </c:pt>
                <c:pt idx="205">
                  <c:v>-1.6989700043360187</c:v>
                </c:pt>
                <c:pt idx="206">
                  <c:v>0.14612803567823801</c:v>
                </c:pt>
                <c:pt idx="207">
                  <c:v>-0.3979400086720376</c:v>
                </c:pt>
                <c:pt idx="208">
                  <c:v>-0.92081875395237522</c:v>
                </c:pt>
                <c:pt idx="209">
                  <c:v>-1.3010299956639813</c:v>
                </c:pt>
                <c:pt idx="210">
                  <c:v>-2</c:v>
                </c:pt>
                <c:pt idx="211">
                  <c:v>1.0681858617461617</c:v>
                </c:pt>
                <c:pt idx="212">
                  <c:v>0.82607480270082645</c:v>
                </c:pt>
                <c:pt idx="213">
                  <c:v>0.79239168949825389</c:v>
                </c:pt>
                <c:pt idx="214">
                  <c:v>0.86332286012045589</c:v>
                </c:pt>
                <c:pt idx="215">
                  <c:v>1.2174839442139063</c:v>
                </c:pt>
                <c:pt idx="216">
                  <c:v>1.5440680443502757</c:v>
                </c:pt>
                <c:pt idx="217">
                  <c:v>1.2304489213782739</c:v>
                </c:pt>
                <c:pt idx="218">
                  <c:v>1.0791812460476249</c:v>
                </c:pt>
                <c:pt idx="219">
                  <c:v>-0.85387196432176193</c:v>
                </c:pt>
                <c:pt idx="220">
                  <c:v>-1.7367585652254185</c:v>
                </c:pt>
                <c:pt idx="221">
                  <c:v>-0.47712125471966244</c:v>
                </c:pt>
                <c:pt idx="222">
                  <c:v>0.4259687322722811</c:v>
                </c:pt>
                <c:pt idx="223">
                  <c:v>-0.38021124171160603</c:v>
                </c:pt>
                <c:pt idx="224">
                  <c:v>0.54613120491404898</c:v>
                </c:pt>
                <c:pt idx="225">
                  <c:v>-0.18708664335714442</c:v>
                </c:pt>
                <c:pt idx="226">
                  <c:v>-1.4559319556497243</c:v>
                </c:pt>
                <c:pt idx="227">
                  <c:v>-0.63513645012954856</c:v>
                </c:pt>
                <c:pt idx="228">
                  <c:v>-0.65429960941655785</c:v>
                </c:pt>
                <c:pt idx="229">
                  <c:v>-1.0969100130080565</c:v>
                </c:pt>
                <c:pt idx="230">
                  <c:v>-0.338818556553381</c:v>
                </c:pt>
                <c:pt idx="231">
                  <c:v>-0.13667713987954411</c:v>
                </c:pt>
                <c:pt idx="232">
                  <c:v>-0.18265502855806953</c:v>
                </c:pt>
                <c:pt idx="233">
                  <c:v>-0.59063052954718054</c:v>
                </c:pt>
                <c:pt idx="234">
                  <c:v>-0.60788953498868625</c:v>
                </c:pt>
                <c:pt idx="235">
                  <c:v>-1.5477023290053697</c:v>
                </c:pt>
                <c:pt idx="236">
                  <c:v>1.3802112417116059</c:v>
                </c:pt>
                <c:pt idx="237">
                  <c:v>1.3010299956639813</c:v>
                </c:pt>
                <c:pt idx="238">
                  <c:v>0.92941892571429274</c:v>
                </c:pt>
                <c:pt idx="239">
                  <c:v>1.146128035678238</c:v>
                </c:pt>
                <c:pt idx="240">
                  <c:v>0.69897000433601886</c:v>
                </c:pt>
                <c:pt idx="241">
                  <c:v>-0.52287874528033762</c:v>
                </c:pt>
                <c:pt idx="242">
                  <c:v>1.6901960800285136</c:v>
                </c:pt>
                <c:pt idx="243">
                  <c:v>1.3521825181113625</c:v>
                </c:pt>
                <c:pt idx="244">
                  <c:v>1.3010299956639813</c:v>
                </c:pt>
                <c:pt idx="245">
                  <c:v>1.0334237554869496</c:v>
                </c:pt>
                <c:pt idx="246">
                  <c:v>0.87506126339170009</c:v>
                </c:pt>
                <c:pt idx="247">
                  <c:v>0.67209785793571752</c:v>
                </c:pt>
                <c:pt idx="248">
                  <c:v>0.50514997831990605</c:v>
                </c:pt>
                <c:pt idx="249">
                  <c:v>0.3010299956639812</c:v>
                </c:pt>
                <c:pt idx="250">
                  <c:v>0.14612803567823801</c:v>
                </c:pt>
                <c:pt idx="251">
                  <c:v>0.38021124171160603</c:v>
                </c:pt>
                <c:pt idx="252">
                  <c:v>0.68124123737558717</c:v>
                </c:pt>
                <c:pt idx="253">
                  <c:v>1.0969100130080565</c:v>
                </c:pt>
                <c:pt idx="254">
                  <c:v>1.1643528557844371</c:v>
                </c:pt>
                <c:pt idx="255">
                  <c:v>1.3424226808222062</c:v>
                </c:pt>
                <c:pt idx="256">
                  <c:v>1.6232492903979006</c:v>
                </c:pt>
                <c:pt idx="257">
                  <c:v>1.7767011839884108</c:v>
                </c:pt>
                <c:pt idx="258">
                  <c:v>1.0413926851582251</c:v>
                </c:pt>
                <c:pt idx="259">
                  <c:v>0.3979400086720376</c:v>
                </c:pt>
                <c:pt idx="260">
                  <c:v>1.6857417386022637</c:v>
                </c:pt>
                <c:pt idx="261">
                  <c:v>1.6020599913279623</c:v>
                </c:pt>
                <c:pt idx="262">
                  <c:v>1.2624510897304295</c:v>
                </c:pt>
                <c:pt idx="263">
                  <c:v>0.9956351945975499</c:v>
                </c:pt>
                <c:pt idx="264">
                  <c:v>0.77085201164214423</c:v>
                </c:pt>
                <c:pt idx="265">
                  <c:v>0.7323937598229685</c:v>
                </c:pt>
                <c:pt idx="266">
                  <c:v>0.61278385671973545</c:v>
                </c:pt>
                <c:pt idx="267">
                  <c:v>0.46239799789895608</c:v>
                </c:pt>
                <c:pt idx="268">
                  <c:v>1.7558748556724915</c:v>
                </c:pt>
                <c:pt idx="269">
                  <c:v>1.0170333392987803</c:v>
                </c:pt>
                <c:pt idx="270">
                  <c:v>0.82607480270082645</c:v>
                </c:pt>
                <c:pt idx="271">
                  <c:v>0.65321251377534373</c:v>
                </c:pt>
                <c:pt idx="272">
                  <c:v>0.57978359661681012</c:v>
                </c:pt>
                <c:pt idx="273">
                  <c:v>0.23044892137827391</c:v>
                </c:pt>
                <c:pt idx="274">
                  <c:v>0.99913054128737111</c:v>
                </c:pt>
                <c:pt idx="275">
                  <c:v>0.3010299956639812</c:v>
                </c:pt>
                <c:pt idx="276">
                  <c:v>-0.11350927482751812</c:v>
                </c:pt>
                <c:pt idx="277">
                  <c:v>0.50242711998443268</c:v>
                </c:pt>
                <c:pt idx="278">
                  <c:v>-0.42021640338318983</c:v>
                </c:pt>
                <c:pt idx="279">
                  <c:v>0.17318626841227402</c:v>
                </c:pt>
                <c:pt idx="280">
                  <c:v>-0.65757731917779372</c:v>
                </c:pt>
                <c:pt idx="281">
                  <c:v>-0.40893539297350079</c:v>
                </c:pt>
                <c:pt idx="282">
                  <c:v>-4.0958607678906384E-2</c:v>
                </c:pt>
                <c:pt idx="283">
                  <c:v>-1.3010299956639813</c:v>
                </c:pt>
                <c:pt idx="284">
                  <c:v>1.0269416279590293</c:v>
                </c:pt>
                <c:pt idx="285">
                  <c:v>4.6885190837710138E-2</c:v>
                </c:pt>
                <c:pt idx="286">
                  <c:v>0.73399928653838686</c:v>
                </c:pt>
                <c:pt idx="287">
                  <c:v>-0.19586056766464957</c:v>
                </c:pt>
                <c:pt idx="288">
                  <c:v>0.69897000433601886</c:v>
                </c:pt>
                <c:pt idx="289">
                  <c:v>0.3979400086720376</c:v>
                </c:pt>
                <c:pt idx="290">
                  <c:v>0.63346845557958653</c:v>
                </c:pt>
                <c:pt idx="291">
                  <c:v>0.38021124171160603</c:v>
                </c:pt>
                <c:pt idx="292">
                  <c:v>0.7323937598229685</c:v>
                </c:pt>
                <c:pt idx="293">
                  <c:v>0.3979400086720376</c:v>
                </c:pt>
                <c:pt idx="294">
                  <c:v>0.72427586960078905</c:v>
                </c:pt>
                <c:pt idx="295">
                  <c:v>1.2278867046136734</c:v>
                </c:pt>
                <c:pt idx="296">
                  <c:v>1.3010299956639813</c:v>
                </c:pt>
                <c:pt idx="297">
                  <c:v>0.67942789661211889</c:v>
                </c:pt>
                <c:pt idx="298">
                  <c:v>1.0334237554869496</c:v>
                </c:pt>
                <c:pt idx="299">
                  <c:v>0.99078269180313783</c:v>
                </c:pt>
                <c:pt idx="300">
                  <c:v>0.57403126772771884</c:v>
                </c:pt>
                <c:pt idx="301">
                  <c:v>0.96236933567002114</c:v>
                </c:pt>
                <c:pt idx="302">
                  <c:v>0.92064500140678762</c:v>
                </c:pt>
                <c:pt idx="303">
                  <c:v>0.43136376415898736</c:v>
                </c:pt>
                <c:pt idx="304">
                  <c:v>0.65321251377534373</c:v>
                </c:pt>
                <c:pt idx="305">
                  <c:v>0.78532983501076703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431-4068-98F5-14FDCC00D16B}"/>
            </c:ext>
          </c:extLst>
        </c:ser>
        <c:ser>
          <c:idx val="9"/>
          <c:order val="9"/>
          <c:tx>
            <c:v>senftenberg rest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CCFFFF"/>
              </a:solidFill>
              <a:ln>
                <a:solidFill>
                  <a:srgbClr val="CCFFFF"/>
                </a:solidFill>
                <a:prstDash val="solid"/>
              </a:ln>
            </c:spPr>
          </c:marker>
          <c:xVal>
            <c:numRef>
              <c:f>Salmonella!$I$889:$I$982</c:f>
              <c:numCache>
                <c:formatCode>General</c:formatCode>
                <c:ptCount val="94"/>
                <c:pt idx="0">
                  <c:v>65</c:v>
                </c:pt>
                <c:pt idx="1">
                  <c:v>65</c:v>
                </c:pt>
                <c:pt idx="2">
                  <c:v>65</c:v>
                </c:pt>
                <c:pt idx="3">
                  <c:v>65</c:v>
                </c:pt>
                <c:pt idx="4">
                  <c:v>65</c:v>
                </c:pt>
                <c:pt idx="5">
                  <c:v>65</c:v>
                </c:pt>
                <c:pt idx="6">
                  <c:v>65</c:v>
                </c:pt>
                <c:pt idx="7">
                  <c:v>65</c:v>
                </c:pt>
                <c:pt idx="8">
                  <c:v>65</c:v>
                </c:pt>
                <c:pt idx="9">
                  <c:v>65</c:v>
                </c:pt>
                <c:pt idx="10">
                  <c:v>65</c:v>
                </c:pt>
                <c:pt idx="11">
                  <c:v>65</c:v>
                </c:pt>
                <c:pt idx="12">
                  <c:v>65</c:v>
                </c:pt>
                <c:pt idx="13">
                  <c:v>65</c:v>
                </c:pt>
                <c:pt idx="14">
                  <c:v>65</c:v>
                </c:pt>
                <c:pt idx="15">
                  <c:v>65</c:v>
                </c:pt>
                <c:pt idx="16">
                  <c:v>65</c:v>
                </c:pt>
                <c:pt idx="17">
                  <c:v>65</c:v>
                </c:pt>
                <c:pt idx="18">
                  <c:v>65</c:v>
                </c:pt>
                <c:pt idx="19">
                  <c:v>65</c:v>
                </c:pt>
                <c:pt idx="20">
                  <c:v>65</c:v>
                </c:pt>
                <c:pt idx="21">
                  <c:v>65</c:v>
                </c:pt>
                <c:pt idx="22">
                  <c:v>65</c:v>
                </c:pt>
                <c:pt idx="23">
                  <c:v>65</c:v>
                </c:pt>
                <c:pt idx="24">
                  <c:v>65</c:v>
                </c:pt>
                <c:pt idx="25">
                  <c:v>65</c:v>
                </c:pt>
                <c:pt idx="26">
                  <c:v>65</c:v>
                </c:pt>
                <c:pt idx="27">
                  <c:v>65</c:v>
                </c:pt>
                <c:pt idx="28">
                  <c:v>65</c:v>
                </c:pt>
                <c:pt idx="29">
                  <c:v>65</c:v>
                </c:pt>
                <c:pt idx="30">
                  <c:v>65</c:v>
                </c:pt>
                <c:pt idx="31">
                  <c:v>65</c:v>
                </c:pt>
                <c:pt idx="32">
                  <c:v>65</c:v>
                </c:pt>
                <c:pt idx="33">
                  <c:v>65</c:v>
                </c:pt>
                <c:pt idx="34">
                  <c:v>65</c:v>
                </c:pt>
                <c:pt idx="35">
                  <c:v>65</c:v>
                </c:pt>
                <c:pt idx="36">
                  <c:v>65</c:v>
                </c:pt>
                <c:pt idx="37">
                  <c:v>65</c:v>
                </c:pt>
                <c:pt idx="38">
                  <c:v>65</c:v>
                </c:pt>
                <c:pt idx="39">
                  <c:v>65</c:v>
                </c:pt>
                <c:pt idx="40">
                  <c:v>65</c:v>
                </c:pt>
                <c:pt idx="41">
                  <c:v>65</c:v>
                </c:pt>
                <c:pt idx="42">
                  <c:v>65</c:v>
                </c:pt>
                <c:pt idx="43">
                  <c:v>65</c:v>
                </c:pt>
                <c:pt idx="44">
                  <c:v>65</c:v>
                </c:pt>
                <c:pt idx="45">
                  <c:v>65</c:v>
                </c:pt>
                <c:pt idx="46">
                  <c:v>65</c:v>
                </c:pt>
                <c:pt idx="47">
                  <c:v>54.4</c:v>
                </c:pt>
                <c:pt idx="48">
                  <c:v>57.2</c:v>
                </c:pt>
                <c:pt idx="49">
                  <c:v>60</c:v>
                </c:pt>
                <c:pt idx="50">
                  <c:v>54.4</c:v>
                </c:pt>
                <c:pt idx="51">
                  <c:v>57.2</c:v>
                </c:pt>
                <c:pt idx="52">
                  <c:v>60</c:v>
                </c:pt>
                <c:pt idx="53">
                  <c:v>54.4</c:v>
                </c:pt>
                <c:pt idx="54">
                  <c:v>57.2</c:v>
                </c:pt>
                <c:pt idx="55">
                  <c:v>60</c:v>
                </c:pt>
                <c:pt idx="56">
                  <c:v>54.4</c:v>
                </c:pt>
                <c:pt idx="57">
                  <c:v>57.2</c:v>
                </c:pt>
                <c:pt idx="58">
                  <c:v>60</c:v>
                </c:pt>
                <c:pt idx="59">
                  <c:v>54.4</c:v>
                </c:pt>
                <c:pt idx="60">
                  <c:v>55</c:v>
                </c:pt>
                <c:pt idx="61">
                  <c:v>57.2</c:v>
                </c:pt>
                <c:pt idx="62">
                  <c:v>60</c:v>
                </c:pt>
                <c:pt idx="63">
                  <c:v>55</c:v>
                </c:pt>
                <c:pt idx="64">
                  <c:v>52</c:v>
                </c:pt>
                <c:pt idx="65">
                  <c:v>52</c:v>
                </c:pt>
                <c:pt idx="66">
                  <c:v>52</c:v>
                </c:pt>
                <c:pt idx="67">
                  <c:v>52</c:v>
                </c:pt>
                <c:pt idx="68">
                  <c:v>52</c:v>
                </c:pt>
                <c:pt idx="69">
                  <c:v>52</c:v>
                </c:pt>
                <c:pt idx="70">
                  <c:v>52</c:v>
                </c:pt>
                <c:pt idx="71">
                  <c:v>52</c:v>
                </c:pt>
                <c:pt idx="72">
                  <c:v>52</c:v>
                </c:pt>
                <c:pt idx="73">
                  <c:v>52</c:v>
                </c:pt>
                <c:pt idx="74">
                  <c:v>52</c:v>
                </c:pt>
                <c:pt idx="75">
                  <c:v>52</c:v>
                </c:pt>
                <c:pt idx="76">
                  <c:v>52</c:v>
                </c:pt>
                <c:pt idx="77">
                  <c:v>52</c:v>
                </c:pt>
                <c:pt idx="78">
                  <c:v>52</c:v>
                </c:pt>
                <c:pt idx="79">
                  <c:v>52</c:v>
                </c:pt>
                <c:pt idx="80">
                  <c:v>54</c:v>
                </c:pt>
                <c:pt idx="81">
                  <c:v>56</c:v>
                </c:pt>
                <c:pt idx="82">
                  <c:v>58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65.5</c:v>
                </c:pt>
                <c:pt idx="87">
                  <c:v>65.5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65.55</c:v>
                </c:pt>
                <c:pt idx="92">
                  <c:v>65.55</c:v>
                </c:pt>
                <c:pt idx="93">
                  <c:v>65.55</c:v>
                </c:pt>
              </c:numCache>
            </c:numRef>
          </c:xVal>
          <c:yVal>
            <c:numRef>
              <c:f>Salmonella!$L$889:$L$982</c:f>
              <c:numCache>
                <c:formatCode>0.00</c:formatCode>
                <c:ptCount val="94"/>
                <c:pt idx="0">
                  <c:v>0.19312459835446161</c:v>
                </c:pt>
                <c:pt idx="1">
                  <c:v>1.2304489213782739</c:v>
                </c:pt>
                <c:pt idx="2">
                  <c:v>1.6232492903979006</c:v>
                </c:pt>
                <c:pt idx="3">
                  <c:v>1.6812412373755872</c:v>
                </c:pt>
                <c:pt idx="4">
                  <c:v>-0.85387196432176193</c:v>
                </c:pt>
                <c:pt idx="5">
                  <c:v>-2.2276394711152253E-2</c:v>
                </c:pt>
                <c:pt idx="6">
                  <c:v>-0.69897000433601875</c:v>
                </c:pt>
                <c:pt idx="7">
                  <c:v>-0.52287874528033762</c:v>
                </c:pt>
                <c:pt idx="8">
                  <c:v>-0.58502665202918203</c:v>
                </c:pt>
                <c:pt idx="9">
                  <c:v>-0.15490195998574319</c:v>
                </c:pt>
                <c:pt idx="10">
                  <c:v>-4.5757490560675115E-2</c:v>
                </c:pt>
                <c:pt idx="11">
                  <c:v>0</c:v>
                </c:pt>
                <c:pt idx="12">
                  <c:v>0.3222192947339193</c:v>
                </c:pt>
                <c:pt idx="13">
                  <c:v>-0.15490195998574319</c:v>
                </c:pt>
                <c:pt idx="14">
                  <c:v>-0.15490195998574319</c:v>
                </c:pt>
                <c:pt idx="15">
                  <c:v>1.2304489213782739</c:v>
                </c:pt>
                <c:pt idx="16">
                  <c:v>1.3010299956639813</c:v>
                </c:pt>
                <c:pt idx="17">
                  <c:v>0.23044892137827391</c:v>
                </c:pt>
                <c:pt idx="18">
                  <c:v>0.20139712432045151</c:v>
                </c:pt>
                <c:pt idx="19">
                  <c:v>0.20951501454263097</c:v>
                </c:pt>
                <c:pt idx="20">
                  <c:v>-0.40893539297350079</c:v>
                </c:pt>
                <c:pt idx="21">
                  <c:v>0.14612803567823801</c:v>
                </c:pt>
                <c:pt idx="22">
                  <c:v>-9.6910013008056392E-2</c:v>
                </c:pt>
                <c:pt idx="23">
                  <c:v>6.069784035361165E-2</c:v>
                </c:pt>
                <c:pt idx="24">
                  <c:v>1.1398790864012365</c:v>
                </c:pt>
                <c:pt idx="25">
                  <c:v>0.49831055378960049</c:v>
                </c:pt>
                <c:pt idx="26">
                  <c:v>0.26007138798507479</c:v>
                </c:pt>
                <c:pt idx="27">
                  <c:v>0.70415051683979912</c:v>
                </c:pt>
                <c:pt idx="28">
                  <c:v>-0.95860731484177497</c:v>
                </c:pt>
                <c:pt idx="29">
                  <c:v>0.5428254269591799</c:v>
                </c:pt>
                <c:pt idx="30">
                  <c:v>0.44090908206521767</c:v>
                </c:pt>
                <c:pt idx="31">
                  <c:v>0.84198480459011393</c:v>
                </c:pt>
                <c:pt idx="32">
                  <c:v>1.2041199826559248</c:v>
                </c:pt>
                <c:pt idx="33">
                  <c:v>1.0413926851582251</c:v>
                </c:pt>
                <c:pt idx="34">
                  <c:v>0.13987908640123647</c:v>
                </c:pt>
                <c:pt idx="35">
                  <c:v>1.255272505103306</c:v>
                </c:pt>
                <c:pt idx="36">
                  <c:v>1.2671717284030137</c:v>
                </c:pt>
                <c:pt idx="37">
                  <c:v>1.4983105537896004</c:v>
                </c:pt>
                <c:pt idx="38">
                  <c:v>1.6334684555795864</c:v>
                </c:pt>
                <c:pt idx="39">
                  <c:v>1.7242758696007889</c:v>
                </c:pt>
                <c:pt idx="40">
                  <c:v>1.7323937598229686</c:v>
                </c:pt>
                <c:pt idx="41">
                  <c:v>-0.38721614328026455</c:v>
                </c:pt>
                <c:pt idx="42">
                  <c:v>-0.79588001734407521</c:v>
                </c:pt>
                <c:pt idx="43">
                  <c:v>-0.53760200210104392</c:v>
                </c:pt>
                <c:pt idx="44">
                  <c:v>-1.2518119729937995</c:v>
                </c:pt>
                <c:pt idx="45">
                  <c:v>-1.1029229967905798</c:v>
                </c:pt>
                <c:pt idx="46">
                  <c:v>-0.96657624451305035</c:v>
                </c:pt>
                <c:pt idx="47">
                  <c:v>1.2860071220794747</c:v>
                </c:pt>
                <c:pt idx="48">
                  <c:v>0.57054293988189753</c:v>
                </c:pt>
                <c:pt idx="49">
                  <c:v>0.48572142648158001</c:v>
                </c:pt>
                <c:pt idx="50">
                  <c:v>1.1061908972634154</c:v>
                </c:pt>
                <c:pt idx="51">
                  <c:v>0.73158876518673865</c:v>
                </c:pt>
                <c:pt idx="52">
                  <c:v>0.36361197989214433</c:v>
                </c:pt>
                <c:pt idx="53">
                  <c:v>1.1185953652237619</c:v>
                </c:pt>
                <c:pt idx="54">
                  <c:v>0.74507479158205747</c:v>
                </c:pt>
                <c:pt idx="55">
                  <c:v>0.28330122870354957</c:v>
                </c:pt>
                <c:pt idx="56">
                  <c:v>1.2337573629655105</c:v>
                </c:pt>
                <c:pt idx="57">
                  <c:v>0.85369821177617433</c:v>
                </c:pt>
                <c:pt idx="58">
                  <c:v>0.45939248775923086</c:v>
                </c:pt>
                <c:pt idx="59">
                  <c:v>1.1532049000842843</c:v>
                </c:pt>
                <c:pt idx="60">
                  <c:v>1.1139433523068367</c:v>
                </c:pt>
                <c:pt idx="61">
                  <c:v>0.79448804665916961</c:v>
                </c:pt>
                <c:pt idx="62">
                  <c:v>0.42975228000240795</c:v>
                </c:pt>
                <c:pt idx="63">
                  <c:v>0.56820172406699498</c:v>
                </c:pt>
                <c:pt idx="64">
                  <c:v>-0.75696195131370558</c:v>
                </c:pt>
                <c:pt idx="65">
                  <c:v>-0.12493873660829995</c:v>
                </c:pt>
                <c:pt idx="66">
                  <c:v>-0.12493873660829995</c:v>
                </c:pt>
                <c:pt idx="67">
                  <c:v>9.691001300805642E-2</c:v>
                </c:pt>
                <c:pt idx="68">
                  <c:v>0.18469143081759881</c:v>
                </c:pt>
                <c:pt idx="69">
                  <c:v>0.21748394421390627</c:v>
                </c:pt>
                <c:pt idx="70">
                  <c:v>0.2576785748691845</c:v>
                </c:pt>
                <c:pt idx="71">
                  <c:v>0.35218251811136247</c:v>
                </c:pt>
                <c:pt idx="72">
                  <c:v>0.3979400086720376</c:v>
                </c:pt>
                <c:pt idx="73">
                  <c:v>0.45484486000851021</c:v>
                </c:pt>
                <c:pt idx="74">
                  <c:v>0.47712125471966244</c:v>
                </c:pt>
                <c:pt idx="75">
                  <c:v>0.66275783168157409</c:v>
                </c:pt>
                <c:pt idx="76">
                  <c:v>0.78532983501076703</c:v>
                </c:pt>
                <c:pt idx="77">
                  <c:v>1.3344537511509309</c:v>
                </c:pt>
                <c:pt idx="78">
                  <c:v>1.5378190950732742</c:v>
                </c:pt>
                <c:pt idx="79">
                  <c:v>1.541579243946581</c:v>
                </c:pt>
                <c:pt idx="80">
                  <c:v>0.91169015875386117</c:v>
                </c:pt>
                <c:pt idx="81">
                  <c:v>0.36921585741014279</c:v>
                </c:pt>
                <c:pt idx="82">
                  <c:v>-0.20065945054641829</c:v>
                </c:pt>
                <c:pt idx="83">
                  <c:v>1.0569048513364727</c:v>
                </c:pt>
                <c:pt idx="84">
                  <c:v>1</c:v>
                </c:pt>
                <c:pt idx="85">
                  <c:v>0.85733249643126852</c:v>
                </c:pt>
                <c:pt idx="86">
                  <c:v>0.57978359661681012</c:v>
                </c:pt>
                <c:pt idx="87">
                  <c:v>4.1392685158225077E-2</c:v>
                </c:pt>
                <c:pt idx="88">
                  <c:v>0.68394713075151214</c:v>
                </c:pt>
                <c:pt idx="89">
                  <c:v>0.63346845557958653</c:v>
                </c:pt>
                <c:pt idx="90">
                  <c:v>-0.22184874961635639</c:v>
                </c:pt>
                <c:pt idx="91">
                  <c:v>1.6042260530844701</c:v>
                </c:pt>
                <c:pt idx="92">
                  <c:v>0.54777470538782258</c:v>
                </c:pt>
                <c:pt idx="93">
                  <c:v>1.2833012287035497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431-4068-98F5-14FDCC00D16B}"/>
            </c:ext>
          </c:extLst>
        </c:ser>
        <c:ser>
          <c:idx val="10"/>
          <c:order val="10"/>
          <c:tx>
            <c:v>tennesssee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xVal>
            <c:numRef>
              <c:f>Salmonella!$I$1002:$I$1030</c:f>
              <c:numCache>
                <c:formatCode>General</c:formatCode>
                <c:ptCount val="29"/>
                <c:pt idx="0">
                  <c:v>71.099999999999994</c:v>
                </c:pt>
                <c:pt idx="1">
                  <c:v>71.099999999999994</c:v>
                </c:pt>
                <c:pt idx="2">
                  <c:v>73.900000000000006</c:v>
                </c:pt>
                <c:pt idx="3">
                  <c:v>73.900000000000006</c:v>
                </c:pt>
                <c:pt idx="4">
                  <c:v>73.900000000000006</c:v>
                </c:pt>
                <c:pt idx="5">
                  <c:v>73.900000000000006</c:v>
                </c:pt>
                <c:pt idx="6">
                  <c:v>73.900000000000006</c:v>
                </c:pt>
                <c:pt idx="7">
                  <c:v>76.7</c:v>
                </c:pt>
                <c:pt idx="8">
                  <c:v>76.7</c:v>
                </c:pt>
                <c:pt idx="9">
                  <c:v>76.7</c:v>
                </c:pt>
                <c:pt idx="10">
                  <c:v>76.7</c:v>
                </c:pt>
                <c:pt idx="11">
                  <c:v>76.7</c:v>
                </c:pt>
                <c:pt idx="12">
                  <c:v>57</c:v>
                </c:pt>
                <c:pt idx="13">
                  <c:v>57</c:v>
                </c:pt>
                <c:pt idx="14">
                  <c:v>57</c:v>
                </c:pt>
                <c:pt idx="15">
                  <c:v>57</c:v>
                </c:pt>
                <c:pt idx="16">
                  <c:v>57</c:v>
                </c:pt>
                <c:pt idx="17">
                  <c:v>57</c:v>
                </c:pt>
                <c:pt idx="18">
                  <c:v>57</c:v>
                </c:pt>
                <c:pt idx="19">
                  <c:v>57</c:v>
                </c:pt>
                <c:pt idx="20">
                  <c:v>62.5</c:v>
                </c:pt>
                <c:pt idx="21">
                  <c:v>62.5</c:v>
                </c:pt>
                <c:pt idx="22">
                  <c:v>62.5</c:v>
                </c:pt>
                <c:pt idx="23">
                  <c:v>59.5</c:v>
                </c:pt>
                <c:pt idx="24">
                  <c:v>62.5</c:v>
                </c:pt>
                <c:pt idx="25">
                  <c:v>59.5</c:v>
                </c:pt>
                <c:pt idx="26">
                  <c:v>62.5</c:v>
                </c:pt>
                <c:pt idx="27">
                  <c:v>62.5</c:v>
                </c:pt>
                <c:pt idx="28">
                  <c:v>62.5</c:v>
                </c:pt>
              </c:numCache>
            </c:numRef>
          </c:xVal>
          <c:yVal>
            <c:numRef>
              <c:f>Salmonella!$L$1002:$L$1030</c:f>
              <c:numCache>
                <c:formatCode>0.00</c:formatCode>
                <c:ptCount val="29"/>
                <c:pt idx="0">
                  <c:v>-0.56863623584101264</c:v>
                </c:pt>
                <c:pt idx="1">
                  <c:v>-1.3010299956639813</c:v>
                </c:pt>
                <c:pt idx="2">
                  <c:v>0.51851393987788741</c:v>
                </c:pt>
                <c:pt idx="3">
                  <c:v>4.1392685158225077E-2</c:v>
                </c:pt>
                <c:pt idx="4">
                  <c:v>-0.53760200210104392</c:v>
                </c:pt>
                <c:pt idx="5">
                  <c:v>-0.92081875395237522</c:v>
                </c:pt>
                <c:pt idx="6">
                  <c:v>-1.6989700043360187</c:v>
                </c:pt>
                <c:pt idx="7">
                  <c:v>0.14612803567823801</c:v>
                </c:pt>
                <c:pt idx="8">
                  <c:v>-0.3979400086720376</c:v>
                </c:pt>
                <c:pt idx="9">
                  <c:v>-0.92081875395237522</c:v>
                </c:pt>
                <c:pt idx="10">
                  <c:v>-1.3010299956639813</c:v>
                </c:pt>
                <c:pt idx="11">
                  <c:v>-2</c:v>
                </c:pt>
                <c:pt idx="12">
                  <c:v>1.0681858617461617</c:v>
                </c:pt>
                <c:pt idx="13">
                  <c:v>0.82607480270082645</c:v>
                </c:pt>
                <c:pt idx="14">
                  <c:v>0.79239168949825389</c:v>
                </c:pt>
                <c:pt idx="15">
                  <c:v>0.86332286012045589</c:v>
                </c:pt>
                <c:pt idx="16">
                  <c:v>1.2174839442139063</c:v>
                </c:pt>
                <c:pt idx="17">
                  <c:v>1.5440680443502757</c:v>
                </c:pt>
                <c:pt idx="18">
                  <c:v>1.2304489213782739</c:v>
                </c:pt>
                <c:pt idx="19">
                  <c:v>1.0791812460476249</c:v>
                </c:pt>
                <c:pt idx="20">
                  <c:v>-0.85387196432176193</c:v>
                </c:pt>
                <c:pt idx="21">
                  <c:v>-1.7367585652254185</c:v>
                </c:pt>
                <c:pt idx="22">
                  <c:v>-0.47712125471966244</c:v>
                </c:pt>
                <c:pt idx="23">
                  <c:v>0.4259687322722811</c:v>
                </c:pt>
                <c:pt idx="24">
                  <c:v>-0.38021124171160603</c:v>
                </c:pt>
                <c:pt idx="25">
                  <c:v>0.54613120491404898</c:v>
                </c:pt>
                <c:pt idx="26">
                  <c:v>-0.18708664335714442</c:v>
                </c:pt>
                <c:pt idx="27">
                  <c:v>-1.4559319556497243</c:v>
                </c:pt>
                <c:pt idx="28">
                  <c:v>-0.63513645012954856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431-4068-98F5-14FDCC00D16B}"/>
            </c:ext>
          </c:extLst>
        </c:ser>
        <c:ser>
          <c:idx val="11"/>
          <c:order val="11"/>
          <c:tx>
            <c:v>typhimurium unknown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99"/>
              </a:solidFill>
              <a:ln>
                <a:solidFill>
                  <a:srgbClr val="FFFF99"/>
                </a:solidFill>
                <a:prstDash val="solid"/>
              </a:ln>
            </c:spPr>
          </c:marker>
          <c:xVal>
            <c:numRef>
              <c:f>Salmonella!$I$534:$I$662</c:f>
              <c:numCache>
                <c:formatCode>General</c:formatCode>
                <c:ptCount val="12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60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60</c:v>
                </c:pt>
                <c:pt idx="31">
                  <c:v>60</c:v>
                </c:pt>
                <c:pt idx="32">
                  <c:v>48</c:v>
                </c:pt>
                <c:pt idx="33">
                  <c:v>50</c:v>
                </c:pt>
                <c:pt idx="34">
                  <c:v>55</c:v>
                </c:pt>
                <c:pt idx="35">
                  <c:v>60</c:v>
                </c:pt>
                <c:pt idx="36">
                  <c:v>48</c:v>
                </c:pt>
                <c:pt idx="37">
                  <c:v>50</c:v>
                </c:pt>
                <c:pt idx="38">
                  <c:v>55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60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60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60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60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60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60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</c:numCache>
            </c:numRef>
          </c:xVal>
          <c:yVal>
            <c:numRef>
              <c:f>Salmonella!$L$534:$L$662</c:f>
              <c:numCache>
                <c:formatCode>0.00</c:formatCode>
                <c:ptCount val="129"/>
                <c:pt idx="0">
                  <c:v>1.9444826721501687</c:v>
                </c:pt>
                <c:pt idx="1">
                  <c:v>0.74036268949424389</c:v>
                </c:pt>
                <c:pt idx="2">
                  <c:v>-0.30980391997148632</c:v>
                </c:pt>
                <c:pt idx="3">
                  <c:v>-0.52287874528033762</c:v>
                </c:pt>
                <c:pt idx="4">
                  <c:v>0.72427586960078905</c:v>
                </c:pt>
                <c:pt idx="5">
                  <c:v>-0.3979400086720376</c:v>
                </c:pt>
                <c:pt idx="6">
                  <c:v>-0.15490195998574319</c:v>
                </c:pt>
                <c:pt idx="7">
                  <c:v>-0.3979400086720376</c:v>
                </c:pt>
                <c:pt idx="8">
                  <c:v>-4.5757490560675115E-2</c:v>
                </c:pt>
                <c:pt idx="9">
                  <c:v>0.11394335230683679</c:v>
                </c:pt>
                <c:pt idx="10">
                  <c:v>0.36172783601759284</c:v>
                </c:pt>
                <c:pt idx="11">
                  <c:v>-0.52287874528033762</c:v>
                </c:pt>
                <c:pt idx="12">
                  <c:v>-0.3010299956639812</c:v>
                </c:pt>
                <c:pt idx="13">
                  <c:v>7.9181246047624818E-2</c:v>
                </c:pt>
                <c:pt idx="14">
                  <c:v>-0.3979400086720376</c:v>
                </c:pt>
                <c:pt idx="15">
                  <c:v>7.9181246047624818E-2</c:v>
                </c:pt>
                <c:pt idx="16">
                  <c:v>-0.3010299956639812</c:v>
                </c:pt>
                <c:pt idx="17">
                  <c:v>-0.22184874961635639</c:v>
                </c:pt>
                <c:pt idx="18">
                  <c:v>-0.15490195998574319</c:v>
                </c:pt>
                <c:pt idx="19">
                  <c:v>-9.6910013008056392E-2</c:v>
                </c:pt>
                <c:pt idx="20">
                  <c:v>-0.22184874961635639</c:v>
                </c:pt>
                <c:pt idx="21">
                  <c:v>-0.22184874961635639</c:v>
                </c:pt>
                <c:pt idx="22">
                  <c:v>-0.15490195998574319</c:v>
                </c:pt>
                <c:pt idx="23">
                  <c:v>-0.3979400086720376</c:v>
                </c:pt>
                <c:pt idx="24">
                  <c:v>-0.3010299956639812</c:v>
                </c:pt>
                <c:pt idx="25">
                  <c:v>-0.52287874528033762</c:v>
                </c:pt>
                <c:pt idx="26">
                  <c:v>-0.15490195998574319</c:v>
                </c:pt>
                <c:pt idx="27">
                  <c:v>0.17609125905568124</c:v>
                </c:pt>
                <c:pt idx="28">
                  <c:v>-0.3010299956639812</c:v>
                </c:pt>
                <c:pt idx="29">
                  <c:v>-9.6910013008056392E-2</c:v>
                </c:pt>
                <c:pt idx="30">
                  <c:v>-0.3010299956639812</c:v>
                </c:pt>
                <c:pt idx="31">
                  <c:v>-0.22184874961635639</c:v>
                </c:pt>
                <c:pt idx="32">
                  <c:v>3.1293675957229854</c:v>
                </c:pt>
                <c:pt idx="33">
                  <c:v>2.1643528557844371</c:v>
                </c:pt>
                <c:pt idx="34">
                  <c:v>0.69019608002851374</c:v>
                </c:pt>
                <c:pt idx="35">
                  <c:v>-0.20760831050174613</c:v>
                </c:pt>
                <c:pt idx="36">
                  <c:v>2.9153998352122699</c:v>
                </c:pt>
                <c:pt idx="37">
                  <c:v>2.428134794028789</c:v>
                </c:pt>
                <c:pt idx="38">
                  <c:v>1.5587085705331658</c:v>
                </c:pt>
                <c:pt idx="39">
                  <c:v>0.79934054945358168</c:v>
                </c:pt>
                <c:pt idx="40">
                  <c:v>-0.69897000433601875</c:v>
                </c:pt>
                <c:pt idx="41">
                  <c:v>0.81291335664285558</c:v>
                </c:pt>
                <c:pt idx="42">
                  <c:v>-0.3979400086720376</c:v>
                </c:pt>
                <c:pt idx="43">
                  <c:v>-0.3010299956639812</c:v>
                </c:pt>
                <c:pt idx="44">
                  <c:v>-0.69897000433601875</c:v>
                </c:pt>
                <c:pt idx="45">
                  <c:v>-4.5757490560675115E-2</c:v>
                </c:pt>
                <c:pt idx="46">
                  <c:v>-0.3979400086720376</c:v>
                </c:pt>
                <c:pt idx="47">
                  <c:v>-4.5757490560675115E-2</c:v>
                </c:pt>
                <c:pt idx="48">
                  <c:v>0.36172783601759284</c:v>
                </c:pt>
                <c:pt idx="49">
                  <c:v>0.3222192947339193</c:v>
                </c:pt>
                <c:pt idx="50">
                  <c:v>0.36172783601759284</c:v>
                </c:pt>
                <c:pt idx="51">
                  <c:v>1.6693168805661123</c:v>
                </c:pt>
                <c:pt idx="52">
                  <c:v>0.27875360095282892</c:v>
                </c:pt>
                <c:pt idx="53">
                  <c:v>0.41497334797081797</c:v>
                </c:pt>
                <c:pt idx="54">
                  <c:v>1.6655809910179531</c:v>
                </c:pt>
                <c:pt idx="55">
                  <c:v>0.3010299956639812</c:v>
                </c:pt>
                <c:pt idx="56">
                  <c:v>0.57978359661681012</c:v>
                </c:pt>
                <c:pt idx="57">
                  <c:v>1.5611013836490559</c:v>
                </c:pt>
                <c:pt idx="58">
                  <c:v>0.25527250510330607</c:v>
                </c:pt>
                <c:pt idx="59">
                  <c:v>0.69019608002851374</c:v>
                </c:pt>
                <c:pt idx="60">
                  <c:v>1.4756711883244296</c:v>
                </c:pt>
                <c:pt idx="61">
                  <c:v>0.3010299956639812</c:v>
                </c:pt>
                <c:pt idx="62">
                  <c:v>0.62324929039790045</c:v>
                </c:pt>
                <c:pt idx="63">
                  <c:v>1.1003705451175629</c:v>
                </c:pt>
                <c:pt idx="64">
                  <c:v>0.61278385671973545</c:v>
                </c:pt>
                <c:pt idx="65">
                  <c:v>0.63346845557958653</c:v>
                </c:pt>
                <c:pt idx="66">
                  <c:v>0.64345267648618742</c:v>
                </c:pt>
                <c:pt idx="67">
                  <c:v>0.66275783168157409</c:v>
                </c:pt>
                <c:pt idx="68">
                  <c:v>1.2741578492636798</c:v>
                </c:pt>
                <c:pt idx="69">
                  <c:v>0.23044892137827391</c:v>
                </c:pt>
                <c:pt idx="70">
                  <c:v>-0.16115090926274472</c:v>
                </c:pt>
                <c:pt idx="71">
                  <c:v>0.23044892137827391</c:v>
                </c:pt>
                <c:pt idx="72">
                  <c:v>1.7315887651867388</c:v>
                </c:pt>
                <c:pt idx="73">
                  <c:v>4.1392685158225077E-2</c:v>
                </c:pt>
                <c:pt idx="74">
                  <c:v>4.1392685158225077E-2</c:v>
                </c:pt>
                <c:pt idx="75">
                  <c:v>1.7143297597452329</c:v>
                </c:pt>
                <c:pt idx="76">
                  <c:v>-0.14874165128092473</c:v>
                </c:pt>
                <c:pt idx="77">
                  <c:v>0.11394335230683679</c:v>
                </c:pt>
                <c:pt idx="78">
                  <c:v>1.503790683057181</c:v>
                </c:pt>
                <c:pt idx="79">
                  <c:v>-0.36653154442041347</c:v>
                </c:pt>
                <c:pt idx="80">
                  <c:v>4.1392685158225077E-2</c:v>
                </c:pt>
                <c:pt idx="81">
                  <c:v>1.2648178230095364</c:v>
                </c:pt>
                <c:pt idx="82">
                  <c:v>-0.35654732351381258</c:v>
                </c:pt>
                <c:pt idx="83">
                  <c:v>-0.16749108729376366</c:v>
                </c:pt>
                <c:pt idx="84">
                  <c:v>0.6020599913279624</c:v>
                </c:pt>
                <c:pt idx="85">
                  <c:v>-0.38721614328026455</c:v>
                </c:pt>
                <c:pt idx="86">
                  <c:v>-0.37675070960209955</c:v>
                </c:pt>
                <c:pt idx="87">
                  <c:v>-0.36653154442041347</c:v>
                </c:pt>
                <c:pt idx="88">
                  <c:v>-0.30980391997148632</c:v>
                </c:pt>
                <c:pt idx="89">
                  <c:v>0.74036268949424389</c:v>
                </c:pt>
                <c:pt idx="90">
                  <c:v>-0.52287874528033762</c:v>
                </c:pt>
                <c:pt idx="91">
                  <c:v>0.72427586960078905</c:v>
                </c:pt>
                <c:pt idx="92">
                  <c:v>-0.3979400086720376</c:v>
                </c:pt>
                <c:pt idx="93">
                  <c:v>-0.15490195998574319</c:v>
                </c:pt>
                <c:pt idx="94">
                  <c:v>-0.3979400086720376</c:v>
                </c:pt>
                <c:pt idx="95">
                  <c:v>-4.5757490560675115E-2</c:v>
                </c:pt>
                <c:pt idx="96">
                  <c:v>0.11394335230683679</c:v>
                </c:pt>
                <c:pt idx="97">
                  <c:v>0.36172783601759284</c:v>
                </c:pt>
                <c:pt idx="98">
                  <c:v>-0.52287874528033762</c:v>
                </c:pt>
                <c:pt idx="99">
                  <c:v>-0.3010299956639812</c:v>
                </c:pt>
                <c:pt idx="100">
                  <c:v>7.9181246047624818E-2</c:v>
                </c:pt>
                <c:pt idx="101">
                  <c:v>-0.3979400086720376</c:v>
                </c:pt>
                <c:pt idx="102">
                  <c:v>7.9181246047624818E-2</c:v>
                </c:pt>
                <c:pt idx="103">
                  <c:v>-0.3010299956639812</c:v>
                </c:pt>
                <c:pt idx="104">
                  <c:v>-0.22184874961635639</c:v>
                </c:pt>
                <c:pt idx="105">
                  <c:v>-0.15490195998574319</c:v>
                </c:pt>
                <c:pt idx="106">
                  <c:v>-9.6910013008056392E-2</c:v>
                </c:pt>
                <c:pt idx="107">
                  <c:v>-0.22184874961635639</c:v>
                </c:pt>
                <c:pt idx="108">
                  <c:v>-0.22184874961635639</c:v>
                </c:pt>
                <c:pt idx="109">
                  <c:v>-0.15490195998574319</c:v>
                </c:pt>
                <c:pt idx="110">
                  <c:v>-0.3979400086720376</c:v>
                </c:pt>
                <c:pt idx="111">
                  <c:v>-0.3010299956639812</c:v>
                </c:pt>
                <c:pt idx="112">
                  <c:v>-0.52287874528033762</c:v>
                </c:pt>
                <c:pt idx="113">
                  <c:v>-0.15490195998574319</c:v>
                </c:pt>
                <c:pt idx="114">
                  <c:v>0.17609125905568124</c:v>
                </c:pt>
                <c:pt idx="115">
                  <c:v>-0.3010299956639812</c:v>
                </c:pt>
                <c:pt idx="116">
                  <c:v>-9.6910013008056392E-2</c:v>
                </c:pt>
                <c:pt idx="117">
                  <c:v>-0.3010299956639812</c:v>
                </c:pt>
                <c:pt idx="118">
                  <c:v>-0.22184874961635639</c:v>
                </c:pt>
                <c:pt idx="119">
                  <c:v>0.51851393987788741</c:v>
                </c:pt>
                <c:pt idx="120">
                  <c:v>0.3979400086720376</c:v>
                </c:pt>
                <c:pt idx="121">
                  <c:v>0.43136376415898736</c:v>
                </c:pt>
                <c:pt idx="122">
                  <c:v>1.8762178405916423</c:v>
                </c:pt>
                <c:pt idx="123">
                  <c:v>0.34242268082220628</c:v>
                </c:pt>
                <c:pt idx="124">
                  <c:v>0.56820172406699498</c:v>
                </c:pt>
                <c:pt idx="125">
                  <c:v>1.651278013998144</c:v>
                </c:pt>
                <c:pt idx="126">
                  <c:v>0.3010299956639812</c:v>
                </c:pt>
                <c:pt idx="127">
                  <c:v>0.70757017609793638</c:v>
                </c:pt>
                <c:pt idx="128">
                  <c:v>1.5587085705331658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431-4068-98F5-14FDCC00D16B}"/>
            </c:ext>
          </c:extLst>
        </c:ser>
        <c:ser>
          <c:idx val="12"/>
          <c:order val="12"/>
          <c:tx>
            <c:v>typhimurium DT104</c:v>
          </c:tx>
          <c:spPr>
            <a:ln w="28575"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99CCFF"/>
                </a:solidFill>
                <a:prstDash val="solid"/>
              </a:ln>
            </c:spPr>
          </c:marker>
          <c:xVal>
            <c:numRef>
              <c:f>Salmonella!$I$531:$I$1094</c:f>
              <c:numCache>
                <c:formatCode>General</c:formatCode>
                <c:ptCount val="564"/>
                <c:pt idx="0">
                  <c:v>55</c:v>
                </c:pt>
                <c:pt idx="1">
                  <c:v>60</c:v>
                </c:pt>
                <c:pt idx="2">
                  <c:v>48</c:v>
                </c:pt>
                <c:pt idx="3">
                  <c:v>50</c:v>
                </c:pt>
                <c:pt idx="4">
                  <c:v>55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60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60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60</c:v>
                </c:pt>
                <c:pt idx="35">
                  <c:v>48</c:v>
                </c:pt>
                <c:pt idx="36">
                  <c:v>50</c:v>
                </c:pt>
                <c:pt idx="37">
                  <c:v>55</c:v>
                </c:pt>
                <c:pt idx="38">
                  <c:v>60</c:v>
                </c:pt>
                <c:pt idx="39">
                  <c:v>48</c:v>
                </c:pt>
                <c:pt idx="40">
                  <c:v>50</c:v>
                </c:pt>
                <c:pt idx="41">
                  <c:v>55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60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60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60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60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60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60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60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52</c:v>
                </c:pt>
                <c:pt idx="171">
                  <c:v>52</c:v>
                </c:pt>
                <c:pt idx="172">
                  <c:v>55</c:v>
                </c:pt>
                <c:pt idx="173">
                  <c:v>55</c:v>
                </c:pt>
                <c:pt idx="174">
                  <c:v>52</c:v>
                </c:pt>
                <c:pt idx="175">
                  <c:v>52</c:v>
                </c:pt>
                <c:pt idx="176">
                  <c:v>52</c:v>
                </c:pt>
                <c:pt idx="177">
                  <c:v>52</c:v>
                </c:pt>
                <c:pt idx="178">
                  <c:v>52</c:v>
                </c:pt>
                <c:pt idx="179">
                  <c:v>54</c:v>
                </c:pt>
                <c:pt idx="180">
                  <c:v>54</c:v>
                </c:pt>
                <c:pt idx="181">
                  <c:v>55</c:v>
                </c:pt>
                <c:pt idx="182">
                  <c:v>55</c:v>
                </c:pt>
                <c:pt idx="183">
                  <c:v>55</c:v>
                </c:pt>
                <c:pt idx="184">
                  <c:v>55</c:v>
                </c:pt>
                <c:pt idx="185">
                  <c:v>55</c:v>
                </c:pt>
                <c:pt idx="186">
                  <c:v>63</c:v>
                </c:pt>
                <c:pt idx="187">
                  <c:v>63</c:v>
                </c:pt>
                <c:pt idx="188">
                  <c:v>63</c:v>
                </c:pt>
                <c:pt idx="189">
                  <c:v>52</c:v>
                </c:pt>
                <c:pt idx="190">
                  <c:v>60</c:v>
                </c:pt>
                <c:pt idx="191">
                  <c:v>65.5</c:v>
                </c:pt>
                <c:pt idx="192">
                  <c:v>60</c:v>
                </c:pt>
                <c:pt idx="193">
                  <c:v>65.5</c:v>
                </c:pt>
                <c:pt idx="194">
                  <c:v>53</c:v>
                </c:pt>
                <c:pt idx="195">
                  <c:v>54</c:v>
                </c:pt>
                <c:pt idx="196">
                  <c:v>55</c:v>
                </c:pt>
                <c:pt idx="197">
                  <c:v>55</c:v>
                </c:pt>
                <c:pt idx="198">
                  <c:v>56</c:v>
                </c:pt>
                <c:pt idx="199">
                  <c:v>56</c:v>
                </c:pt>
                <c:pt idx="200">
                  <c:v>56</c:v>
                </c:pt>
                <c:pt idx="201">
                  <c:v>56</c:v>
                </c:pt>
                <c:pt idx="202">
                  <c:v>57</c:v>
                </c:pt>
                <c:pt idx="203">
                  <c:v>57</c:v>
                </c:pt>
                <c:pt idx="204">
                  <c:v>58</c:v>
                </c:pt>
                <c:pt idx="205">
                  <c:v>58</c:v>
                </c:pt>
                <c:pt idx="206">
                  <c:v>58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62</c:v>
                </c:pt>
                <c:pt idx="211">
                  <c:v>62</c:v>
                </c:pt>
                <c:pt idx="212">
                  <c:v>63</c:v>
                </c:pt>
                <c:pt idx="213">
                  <c:v>64</c:v>
                </c:pt>
                <c:pt idx="214">
                  <c:v>65</c:v>
                </c:pt>
                <c:pt idx="215">
                  <c:v>67</c:v>
                </c:pt>
                <c:pt idx="216">
                  <c:v>68</c:v>
                </c:pt>
                <c:pt idx="217">
                  <c:v>71</c:v>
                </c:pt>
                <c:pt idx="218">
                  <c:v>56</c:v>
                </c:pt>
                <c:pt idx="219">
                  <c:v>58</c:v>
                </c:pt>
                <c:pt idx="220">
                  <c:v>60</c:v>
                </c:pt>
                <c:pt idx="221">
                  <c:v>56</c:v>
                </c:pt>
                <c:pt idx="222">
                  <c:v>58</c:v>
                </c:pt>
                <c:pt idx="223">
                  <c:v>60</c:v>
                </c:pt>
                <c:pt idx="224">
                  <c:v>60</c:v>
                </c:pt>
                <c:pt idx="225">
                  <c:v>62</c:v>
                </c:pt>
                <c:pt idx="226">
                  <c:v>64</c:v>
                </c:pt>
                <c:pt idx="227">
                  <c:v>56</c:v>
                </c:pt>
                <c:pt idx="228">
                  <c:v>58</c:v>
                </c:pt>
                <c:pt idx="229">
                  <c:v>60</c:v>
                </c:pt>
                <c:pt idx="230">
                  <c:v>57.2</c:v>
                </c:pt>
                <c:pt idx="231">
                  <c:v>57.2</c:v>
                </c:pt>
                <c:pt idx="232">
                  <c:v>57.2</c:v>
                </c:pt>
                <c:pt idx="233">
                  <c:v>57.2</c:v>
                </c:pt>
                <c:pt idx="234">
                  <c:v>57.2</c:v>
                </c:pt>
                <c:pt idx="235">
                  <c:v>57.2</c:v>
                </c:pt>
                <c:pt idx="236">
                  <c:v>57.2</c:v>
                </c:pt>
                <c:pt idx="237">
                  <c:v>57.2</c:v>
                </c:pt>
                <c:pt idx="238">
                  <c:v>57.2</c:v>
                </c:pt>
                <c:pt idx="239">
                  <c:v>57.2</c:v>
                </c:pt>
                <c:pt idx="240">
                  <c:v>57.2</c:v>
                </c:pt>
                <c:pt idx="241">
                  <c:v>57.2</c:v>
                </c:pt>
                <c:pt idx="242">
                  <c:v>57.2</c:v>
                </c:pt>
                <c:pt idx="243">
                  <c:v>57.2</c:v>
                </c:pt>
                <c:pt idx="244">
                  <c:v>57.2</c:v>
                </c:pt>
                <c:pt idx="245">
                  <c:v>57.2</c:v>
                </c:pt>
                <c:pt idx="246">
                  <c:v>57.2</c:v>
                </c:pt>
                <c:pt idx="247">
                  <c:v>57.2</c:v>
                </c:pt>
                <c:pt idx="248">
                  <c:v>57.2</c:v>
                </c:pt>
                <c:pt idx="249">
                  <c:v>57.2</c:v>
                </c:pt>
                <c:pt idx="250">
                  <c:v>57.2</c:v>
                </c:pt>
                <c:pt idx="251">
                  <c:v>57.2</c:v>
                </c:pt>
                <c:pt idx="252">
                  <c:v>57.2</c:v>
                </c:pt>
                <c:pt idx="253">
                  <c:v>57.2</c:v>
                </c:pt>
                <c:pt idx="254">
                  <c:v>57.2</c:v>
                </c:pt>
                <c:pt idx="255">
                  <c:v>57.2</c:v>
                </c:pt>
                <c:pt idx="256">
                  <c:v>57.2</c:v>
                </c:pt>
                <c:pt idx="257">
                  <c:v>57.2</c:v>
                </c:pt>
                <c:pt idx="258">
                  <c:v>57.2</c:v>
                </c:pt>
                <c:pt idx="259">
                  <c:v>57.2</c:v>
                </c:pt>
                <c:pt idx="260">
                  <c:v>57.2</c:v>
                </c:pt>
                <c:pt idx="261">
                  <c:v>57.2</c:v>
                </c:pt>
                <c:pt idx="262">
                  <c:v>57.2</c:v>
                </c:pt>
                <c:pt idx="263">
                  <c:v>57.2</c:v>
                </c:pt>
                <c:pt idx="264">
                  <c:v>57.2</c:v>
                </c:pt>
                <c:pt idx="265">
                  <c:v>57.2</c:v>
                </c:pt>
                <c:pt idx="266">
                  <c:v>57.2</c:v>
                </c:pt>
                <c:pt idx="267">
                  <c:v>57.2</c:v>
                </c:pt>
                <c:pt idx="268">
                  <c:v>57.2</c:v>
                </c:pt>
                <c:pt idx="269">
                  <c:v>57.2</c:v>
                </c:pt>
                <c:pt idx="270">
                  <c:v>57.2</c:v>
                </c:pt>
                <c:pt idx="271">
                  <c:v>57.2</c:v>
                </c:pt>
                <c:pt idx="272">
                  <c:v>57.2</c:v>
                </c:pt>
                <c:pt idx="273">
                  <c:v>57.2</c:v>
                </c:pt>
                <c:pt idx="274">
                  <c:v>57.2</c:v>
                </c:pt>
                <c:pt idx="275">
                  <c:v>57.2</c:v>
                </c:pt>
                <c:pt idx="276">
                  <c:v>57.2</c:v>
                </c:pt>
                <c:pt idx="277">
                  <c:v>57.2</c:v>
                </c:pt>
                <c:pt idx="278">
                  <c:v>57.2</c:v>
                </c:pt>
                <c:pt idx="279">
                  <c:v>57.2</c:v>
                </c:pt>
                <c:pt idx="280">
                  <c:v>57.2</c:v>
                </c:pt>
                <c:pt idx="281">
                  <c:v>57.2</c:v>
                </c:pt>
                <c:pt idx="282">
                  <c:v>57.2</c:v>
                </c:pt>
                <c:pt idx="283">
                  <c:v>57.2</c:v>
                </c:pt>
                <c:pt idx="284">
                  <c:v>57.2</c:v>
                </c:pt>
                <c:pt idx="285">
                  <c:v>57.2</c:v>
                </c:pt>
                <c:pt idx="286">
                  <c:v>57.2</c:v>
                </c:pt>
                <c:pt idx="287">
                  <c:v>57.2</c:v>
                </c:pt>
                <c:pt idx="288">
                  <c:v>57.2</c:v>
                </c:pt>
                <c:pt idx="289">
                  <c:v>57.2</c:v>
                </c:pt>
                <c:pt idx="290">
                  <c:v>57.2</c:v>
                </c:pt>
                <c:pt idx="291">
                  <c:v>57.2</c:v>
                </c:pt>
                <c:pt idx="292">
                  <c:v>57.2</c:v>
                </c:pt>
                <c:pt idx="293">
                  <c:v>57.2</c:v>
                </c:pt>
                <c:pt idx="294">
                  <c:v>57.2</c:v>
                </c:pt>
                <c:pt idx="295">
                  <c:v>57.2</c:v>
                </c:pt>
                <c:pt idx="296">
                  <c:v>57.2</c:v>
                </c:pt>
                <c:pt idx="297">
                  <c:v>57.2</c:v>
                </c:pt>
                <c:pt idx="298">
                  <c:v>57.2</c:v>
                </c:pt>
                <c:pt idx="299">
                  <c:v>57.2</c:v>
                </c:pt>
                <c:pt idx="300">
                  <c:v>57.2</c:v>
                </c:pt>
                <c:pt idx="301">
                  <c:v>57.2</c:v>
                </c:pt>
                <c:pt idx="302">
                  <c:v>57.2</c:v>
                </c:pt>
                <c:pt idx="303">
                  <c:v>57.2</c:v>
                </c:pt>
                <c:pt idx="304">
                  <c:v>57.2</c:v>
                </c:pt>
                <c:pt idx="305">
                  <c:v>57.2</c:v>
                </c:pt>
                <c:pt idx="306">
                  <c:v>57.2</c:v>
                </c:pt>
                <c:pt idx="307">
                  <c:v>57.2</c:v>
                </c:pt>
                <c:pt idx="308">
                  <c:v>57.2</c:v>
                </c:pt>
                <c:pt idx="309">
                  <c:v>57.2</c:v>
                </c:pt>
                <c:pt idx="310">
                  <c:v>57.2</c:v>
                </c:pt>
                <c:pt idx="311">
                  <c:v>57.2</c:v>
                </c:pt>
                <c:pt idx="312">
                  <c:v>57.2</c:v>
                </c:pt>
                <c:pt idx="313">
                  <c:v>57.2</c:v>
                </c:pt>
                <c:pt idx="314">
                  <c:v>57.2</c:v>
                </c:pt>
                <c:pt idx="315">
                  <c:v>57.2</c:v>
                </c:pt>
                <c:pt idx="316">
                  <c:v>57.2</c:v>
                </c:pt>
                <c:pt idx="317">
                  <c:v>57.2</c:v>
                </c:pt>
                <c:pt idx="318">
                  <c:v>57.2</c:v>
                </c:pt>
                <c:pt idx="319">
                  <c:v>57.2</c:v>
                </c:pt>
                <c:pt idx="320">
                  <c:v>57.2</c:v>
                </c:pt>
                <c:pt idx="321">
                  <c:v>57.2</c:v>
                </c:pt>
                <c:pt idx="322">
                  <c:v>57.2</c:v>
                </c:pt>
                <c:pt idx="323">
                  <c:v>57.2</c:v>
                </c:pt>
                <c:pt idx="324">
                  <c:v>57.2</c:v>
                </c:pt>
                <c:pt idx="325">
                  <c:v>57.2</c:v>
                </c:pt>
                <c:pt idx="326">
                  <c:v>57.2</c:v>
                </c:pt>
                <c:pt idx="327">
                  <c:v>57.2</c:v>
                </c:pt>
                <c:pt idx="328">
                  <c:v>57.2</c:v>
                </c:pt>
                <c:pt idx="329">
                  <c:v>57.2</c:v>
                </c:pt>
                <c:pt idx="330">
                  <c:v>57.2</c:v>
                </c:pt>
                <c:pt idx="331">
                  <c:v>57.2</c:v>
                </c:pt>
                <c:pt idx="332">
                  <c:v>57.2</c:v>
                </c:pt>
                <c:pt idx="333">
                  <c:v>57.2</c:v>
                </c:pt>
                <c:pt idx="334">
                  <c:v>57.2</c:v>
                </c:pt>
                <c:pt idx="335">
                  <c:v>57.2</c:v>
                </c:pt>
                <c:pt idx="336">
                  <c:v>57.2</c:v>
                </c:pt>
                <c:pt idx="337">
                  <c:v>57.2</c:v>
                </c:pt>
                <c:pt idx="338">
                  <c:v>57.2</c:v>
                </c:pt>
                <c:pt idx="339">
                  <c:v>57.2</c:v>
                </c:pt>
                <c:pt idx="340">
                  <c:v>57.2</c:v>
                </c:pt>
                <c:pt idx="341">
                  <c:v>57.2</c:v>
                </c:pt>
                <c:pt idx="342">
                  <c:v>57.2</c:v>
                </c:pt>
                <c:pt idx="343">
                  <c:v>57.2</c:v>
                </c:pt>
                <c:pt idx="344">
                  <c:v>57.2</c:v>
                </c:pt>
                <c:pt idx="345">
                  <c:v>57.2</c:v>
                </c:pt>
                <c:pt idx="346">
                  <c:v>57.2</c:v>
                </c:pt>
                <c:pt idx="347">
                  <c:v>57.2</c:v>
                </c:pt>
                <c:pt idx="348">
                  <c:v>57.2</c:v>
                </c:pt>
                <c:pt idx="349">
                  <c:v>57.2</c:v>
                </c:pt>
                <c:pt idx="350">
                  <c:v>57.2</c:v>
                </c:pt>
                <c:pt idx="351">
                  <c:v>65</c:v>
                </c:pt>
                <c:pt idx="352">
                  <c:v>65</c:v>
                </c:pt>
                <c:pt idx="353">
                  <c:v>65</c:v>
                </c:pt>
                <c:pt idx="354">
                  <c:v>65</c:v>
                </c:pt>
                <c:pt idx="355">
                  <c:v>65</c:v>
                </c:pt>
                <c:pt idx="356">
                  <c:v>65</c:v>
                </c:pt>
                <c:pt idx="357">
                  <c:v>65</c:v>
                </c:pt>
                <c:pt idx="358">
                  <c:v>65</c:v>
                </c:pt>
                <c:pt idx="359">
                  <c:v>65</c:v>
                </c:pt>
                <c:pt idx="360">
                  <c:v>65</c:v>
                </c:pt>
                <c:pt idx="361">
                  <c:v>65</c:v>
                </c:pt>
                <c:pt idx="362">
                  <c:v>65</c:v>
                </c:pt>
                <c:pt idx="363">
                  <c:v>65</c:v>
                </c:pt>
                <c:pt idx="364">
                  <c:v>65</c:v>
                </c:pt>
                <c:pt idx="365">
                  <c:v>65</c:v>
                </c:pt>
                <c:pt idx="366">
                  <c:v>65</c:v>
                </c:pt>
                <c:pt idx="367">
                  <c:v>65</c:v>
                </c:pt>
                <c:pt idx="368">
                  <c:v>65</c:v>
                </c:pt>
                <c:pt idx="369">
                  <c:v>65</c:v>
                </c:pt>
                <c:pt idx="370">
                  <c:v>65</c:v>
                </c:pt>
                <c:pt idx="371">
                  <c:v>65</c:v>
                </c:pt>
                <c:pt idx="372">
                  <c:v>65</c:v>
                </c:pt>
                <c:pt idx="373">
                  <c:v>65</c:v>
                </c:pt>
                <c:pt idx="374">
                  <c:v>65</c:v>
                </c:pt>
                <c:pt idx="375">
                  <c:v>65</c:v>
                </c:pt>
                <c:pt idx="376">
                  <c:v>65</c:v>
                </c:pt>
                <c:pt idx="377">
                  <c:v>65</c:v>
                </c:pt>
                <c:pt idx="378">
                  <c:v>65</c:v>
                </c:pt>
                <c:pt idx="379">
                  <c:v>65</c:v>
                </c:pt>
                <c:pt idx="380">
                  <c:v>65</c:v>
                </c:pt>
                <c:pt idx="381">
                  <c:v>65</c:v>
                </c:pt>
                <c:pt idx="382">
                  <c:v>65</c:v>
                </c:pt>
                <c:pt idx="383">
                  <c:v>65</c:v>
                </c:pt>
                <c:pt idx="384">
                  <c:v>65</c:v>
                </c:pt>
                <c:pt idx="385">
                  <c:v>65</c:v>
                </c:pt>
                <c:pt idx="386">
                  <c:v>65</c:v>
                </c:pt>
                <c:pt idx="387">
                  <c:v>65</c:v>
                </c:pt>
                <c:pt idx="388">
                  <c:v>65</c:v>
                </c:pt>
                <c:pt idx="389">
                  <c:v>65</c:v>
                </c:pt>
                <c:pt idx="390">
                  <c:v>65</c:v>
                </c:pt>
                <c:pt idx="391">
                  <c:v>65</c:v>
                </c:pt>
                <c:pt idx="392">
                  <c:v>65</c:v>
                </c:pt>
                <c:pt idx="393">
                  <c:v>65</c:v>
                </c:pt>
                <c:pt idx="394">
                  <c:v>65</c:v>
                </c:pt>
                <c:pt idx="395">
                  <c:v>65</c:v>
                </c:pt>
                <c:pt idx="396">
                  <c:v>65</c:v>
                </c:pt>
                <c:pt idx="397">
                  <c:v>65</c:v>
                </c:pt>
                <c:pt idx="398">
                  <c:v>65</c:v>
                </c:pt>
                <c:pt idx="399">
                  <c:v>65</c:v>
                </c:pt>
                <c:pt idx="400">
                  <c:v>65</c:v>
                </c:pt>
                <c:pt idx="401">
                  <c:v>65</c:v>
                </c:pt>
                <c:pt idx="402">
                  <c:v>65</c:v>
                </c:pt>
                <c:pt idx="403">
                  <c:v>65</c:v>
                </c:pt>
                <c:pt idx="404">
                  <c:v>65</c:v>
                </c:pt>
                <c:pt idx="405">
                  <c:v>54.4</c:v>
                </c:pt>
                <c:pt idx="406">
                  <c:v>57.2</c:v>
                </c:pt>
                <c:pt idx="407">
                  <c:v>60</c:v>
                </c:pt>
                <c:pt idx="408">
                  <c:v>54.4</c:v>
                </c:pt>
                <c:pt idx="409">
                  <c:v>57.2</c:v>
                </c:pt>
                <c:pt idx="410">
                  <c:v>60</c:v>
                </c:pt>
                <c:pt idx="411">
                  <c:v>54.4</c:v>
                </c:pt>
                <c:pt idx="412">
                  <c:v>57.2</c:v>
                </c:pt>
                <c:pt idx="413">
                  <c:v>60</c:v>
                </c:pt>
                <c:pt idx="414">
                  <c:v>54.4</c:v>
                </c:pt>
                <c:pt idx="415">
                  <c:v>57.2</c:v>
                </c:pt>
                <c:pt idx="416">
                  <c:v>60</c:v>
                </c:pt>
                <c:pt idx="417">
                  <c:v>54.4</c:v>
                </c:pt>
                <c:pt idx="418">
                  <c:v>55</c:v>
                </c:pt>
                <c:pt idx="419">
                  <c:v>57.2</c:v>
                </c:pt>
                <c:pt idx="420">
                  <c:v>60</c:v>
                </c:pt>
                <c:pt idx="421">
                  <c:v>55</c:v>
                </c:pt>
                <c:pt idx="422">
                  <c:v>52</c:v>
                </c:pt>
                <c:pt idx="423">
                  <c:v>52</c:v>
                </c:pt>
                <c:pt idx="424">
                  <c:v>52</c:v>
                </c:pt>
                <c:pt idx="425">
                  <c:v>52</c:v>
                </c:pt>
                <c:pt idx="426">
                  <c:v>52</c:v>
                </c:pt>
                <c:pt idx="427">
                  <c:v>52</c:v>
                </c:pt>
                <c:pt idx="428">
                  <c:v>52</c:v>
                </c:pt>
                <c:pt idx="429">
                  <c:v>52</c:v>
                </c:pt>
                <c:pt idx="430">
                  <c:v>52</c:v>
                </c:pt>
                <c:pt idx="431">
                  <c:v>52</c:v>
                </c:pt>
                <c:pt idx="432">
                  <c:v>52</c:v>
                </c:pt>
                <c:pt idx="433">
                  <c:v>52</c:v>
                </c:pt>
                <c:pt idx="434">
                  <c:v>52</c:v>
                </c:pt>
                <c:pt idx="435">
                  <c:v>52</c:v>
                </c:pt>
                <c:pt idx="436">
                  <c:v>52</c:v>
                </c:pt>
                <c:pt idx="437">
                  <c:v>52</c:v>
                </c:pt>
                <c:pt idx="438">
                  <c:v>54</c:v>
                </c:pt>
                <c:pt idx="439">
                  <c:v>56</c:v>
                </c:pt>
                <c:pt idx="440">
                  <c:v>58</c:v>
                </c:pt>
                <c:pt idx="441">
                  <c:v>60</c:v>
                </c:pt>
                <c:pt idx="442">
                  <c:v>60</c:v>
                </c:pt>
                <c:pt idx="443">
                  <c:v>60</c:v>
                </c:pt>
                <c:pt idx="444">
                  <c:v>65.5</c:v>
                </c:pt>
                <c:pt idx="445">
                  <c:v>65.5</c:v>
                </c:pt>
                <c:pt idx="446">
                  <c:v>60</c:v>
                </c:pt>
                <c:pt idx="447">
                  <c:v>60</c:v>
                </c:pt>
                <c:pt idx="448">
                  <c:v>60</c:v>
                </c:pt>
                <c:pt idx="449">
                  <c:v>65.55</c:v>
                </c:pt>
                <c:pt idx="450">
                  <c:v>65.55</c:v>
                </c:pt>
                <c:pt idx="451">
                  <c:v>65.55</c:v>
                </c:pt>
                <c:pt idx="452">
                  <c:v>65.55</c:v>
                </c:pt>
                <c:pt idx="453">
                  <c:v>65.55</c:v>
                </c:pt>
                <c:pt idx="454">
                  <c:v>65.55</c:v>
                </c:pt>
                <c:pt idx="455">
                  <c:v>65.55</c:v>
                </c:pt>
                <c:pt idx="456">
                  <c:v>65.55</c:v>
                </c:pt>
                <c:pt idx="457">
                  <c:v>65.55</c:v>
                </c:pt>
                <c:pt idx="458">
                  <c:v>65.55</c:v>
                </c:pt>
                <c:pt idx="459">
                  <c:v>68.3</c:v>
                </c:pt>
                <c:pt idx="460">
                  <c:v>68.3</c:v>
                </c:pt>
                <c:pt idx="461">
                  <c:v>68.3</c:v>
                </c:pt>
                <c:pt idx="462">
                  <c:v>68.3</c:v>
                </c:pt>
                <c:pt idx="463">
                  <c:v>68.3</c:v>
                </c:pt>
                <c:pt idx="464">
                  <c:v>70</c:v>
                </c:pt>
                <c:pt idx="465">
                  <c:v>70</c:v>
                </c:pt>
                <c:pt idx="466">
                  <c:v>70</c:v>
                </c:pt>
                <c:pt idx="467">
                  <c:v>70</c:v>
                </c:pt>
                <c:pt idx="468">
                  <c:v>71.099999999999994</c:v>
                </c:pt>
                <c:pt idx="469">
                  <c:v>71.099999999999994</c:v>
                </c:pt>
                <c:pt idx="470">
                  <c:v>71.099999999999994</c:v>
                </c:pt>
                <c:pt idx="471">
                  <c:v>71.099999999999994</c:v>
                </c:pt>
                <c:pt idx="472">
                  <c:v>71.099999999999994</c:v>
                </c:pt>
                <c:pt idx="473">
                  <c:v>73.900000000000006</c:v>
                </c:pt>
                <c:pt idx="474">
                  <c:v>73.900000000000006</c:v>
                </c:pt>
                <c:pt idx="475">
                  <c:v>73.900000000000006</c:v>
                </c:pt>
                <c:pt idx="476">
                  <c:v>73.900000000000006</c:v>
                </c:pt>
                <c:pt idx="477">
                  <c:v>73.900000000000006</c:v>
                </c:pt>
                <c:pt idx="478">
                  <c:v>76.7</c:v>
                </c:pt>
                <c:pt idx="479">
                  <c:v>76.7</c:v>
                </c:pt>
                <c:pt idx="480">
                  <c:v>76.7</c:v>
                </c:pt>
                <c:pt idx="481">
                  <c:v>76.7</c:v>
                </c:pt>
                <c:pt idx="482">
                  <c:v>76.7</c:v>
                </c:pt>
                <c:pt idx="483">
                  <c:v>57</c:v>
                </c:pt>
                <c:pt idx="484">
                  <c:v>57</c:v>
                </c:pt>
                <c:pt idx="485">
                  <c:v>57</c:v>
                </c:pt>
                <c:pt idx="486">
                  <c:v>57</c:v>
                </c:pt>
                <c:pt idx="487">
                  <c:v>57</c:v>
                </c:pt>
                <c:pt idx="488">
                  <c:v>57</c:v>
                </c:pt>
                <c:pt idx="489">
                  <c:v>57</c:v>
                </c:pt>
                <c:pt idx="490">
                  <c:v>57</c:v>
                </c:pt>
                <c:pt idx="491">
                  <c:v>62.5</c:v>
                </c:pt>
                <c:pt idx="492">
                  <c:v>62.5</c:v>
                </c:pt>
                <c:pt idx="493">
                  <c:v>62.5</c:v>
                </c:pt>
                <c:pt idx="494">
                  <c:v>59.5</c:v>
                </c:pt>
                <c:pt idx="495">
                  <c:v>62.5</c:v>
                </c:pt>
                <c:pt idx="496">
                  <c:v>59.5</c:v>
                </c:pt>
                <c:pt idx="497">
                  <c:v>62.5</c:v>
                </c:pt>
                <c:pt idx="498">
                  <c:v>62.5</c:v>
                </c:pt>
                <c:pt idx="499">
                  <c:v>62.5</c:v>
                </c:pt>
                <c:pt idx="500">
                  <c:v>62.5</c:v>
                </c:pt>
                <c:pt idx="501">
                  <c:v>62.5</c:v>
                </c:pt>
                <c:pt idx="502">
                  <c:v>62.5</c:v>
                </c:pt>
                <c:pt idx="503">
                  <c:v>62.5</c:v>
                </c:pt>
                <c:pt idx="504">
                  <c:v>62.5</c:v>
                </c:pt>
                <c:pt idx="505">
                  <c:v>62.5</c:v>
                </c:pt>
                <c:pt idx="506">
                  <c:v>62.5</c:v>
                </c:pt>
                <c:pt idx="507">
                  <c:v>62.5</c:v>
                </c:pt>
                <c:pt idx="508">
                  <c:v>55</c:v>
                </c:pt>
                <c:pt idx="509">
                  <c:v>52</c:v>
                </c:pt>
                <c:pt idx="510">
                  <c:v>55</c:v>
                </c:pt>
                <c:pt idx="511">
                  <c:v>55</c:v>
                </c:pt>
                <c:pt idx="512">
                  <c:v>58</c:v>
                </c:pt>
                <c:pt idx="513">
                  <c:v>60</c:v>
                </c:pt>
                <c:pt idx="514">
                  <c:v>51.4</c:v>
                </c:pt>
                <c:pt idx="515">
                  <c:v>52.5</c:v>
                </c:pt>
                <c:pt idx="516">
                  <c:v>52.9</c:v>
                </c:pt>
                <c:pt idx="517">
                  <c:v>53.9</c:v>
                </c:pt>
                <c:pt idx="518">
                  <c:v>54.7</c:v>
                </c:pt>
                <c:pt idx="519">
                  <c:v>55.2</c:v>
                </c:pt>
                <c:pt idx="520">
                  <c:v>55.7</c:v>
                </c:pt>
                <c:pt idx="521">
                  <c:v>56.8</c:v>
                </c:pt>
                <c:pt idx="522">
                  <c:v>57.1</c:v>
                </c:pt>
                <c:pt idx="523">
                  <c:v>55</c:v>
                </c:pt>
                <c:pt idx="524">
                  <c:v>55</c:v>
                </c:pt>
                <c:pt idx="525">
                  <c:v>55</c:v>
                </c:pt>
                <c:pt idx="526">
                  <c:v>55</c:v>
                </c:pt>
                <c:pt idx="527">
                  <c:v>55</c:v>
                </c:pt>
                <c:pt idx="528">
                  <c:v>55</c:v>
                </c:pt>
                <c:pt idx="529">
                  <c:v>51.7</c:v>
                </c:pt>
                <c:pt idx="530">
                  <c:v>55</c:v>
                </c:pt>
                <c:pt idx="531">
                  <c:v>58</c:v>
                </c:pt>
                <c:pt idx="532">
                  <c:v>52.8</c:v>
                </c:pt>
                <c:pt idx="533">
                  <c:v>53.8</c:v>
                </c:pt>
                <c:pt idx="534">
                  <c:v>55.1</c:v>
                </c:pt>
                <c:pt idx="535">
                  <c:v>57</c:v>
                </c:pt>
                <c:pt idx="536">
                  <c:v>58.5</c:v>
                </c:pt>
                <c:pt idx="537">
                  <c:v>58.8</c:v>
                </c:pt>
                <c:pt idx="538">
                  <c:v>59.6</c:v>
                </c:pt>
                <c:pt idx="539">
                  <c:v>60.8</c:v>
                </c:pt>
                <c:pt idx="540" formatCode="0.00">
                  <c:v>57</c:v>
                </c:pt>
                <c:pt idx="541">
                  <c:v>59.2</c:v>
                </c:pt>
                <c:pt idx="542">
                  <c:v>61</c:v>
                </c:pt>
                <c:pt idx="543">
                  <c:v>62.3</c:v>
                </c:pt>
                <c:pt idx="544">
                  <c:v>62.8</c:v>
                </c:pt>
                <c:pt idx="545">
                  <c:v>65</c:v>
                </c:pt>
                <c:pt idx="546">
                  <c:v>54.4</c:v>
                </c:pt>
                <c:pt idx="547">
                  <c:v>57.2</c:v>
                </c:pt>
                <c:pt idx="548">
                  <c:v>58</c:v>
                </c:pt>
                <c:pt idx="549">
                  <c:v>58</c:v>
                </c:pt>
                <c:pt idx="550">
                  <c:v>59</c:v>
                </c:pt>
                <c:pt idx="551">
                  <c:v>59</c:v>
                </c:pt>
                <c:pt idx="552">
                  <c:v>60</c:v>
                </c:pt>
                <c:pt idx="553">
                  <c:v>60</c:v>
                </c:pt>
                <c:pt idx="554">
                  <c:v>60</c:v>
                </c:pt>
                <c:pt idx="555">
                  <c:v>62.8</c:v>
                </c:pt>
                <c:pt idx="556">
                  <c:v>60</c:v>
                </c:pt>
                <c:pt idx="557">
                  <c:v>65.5</c:v>
                </c:pt>
                <c:pt idx="558">
                  <c:v>60</c:v>
                </c:pt>
                <c:pt idx="559">
                  <c:v>65.5</c:v>
                </c:pt>
                <c:pt idx="560">
                  <c:v>55</c:v>
                </c:pt>
                <c:pt idx="561">
                  <c:v>55</c:v>
                </c:pt>
                <c:pt idx="562">
                  <c:v>55</c:v>
                </c:pt>
                <c:pt idx="563">
                  <c:v>55</c:v>
                </c:pt>
              </c:numCache>
            </c:numRef>
          </c:xVal>
          <c:yVal>
            <c:numRef>
              <c:f>Salmonella!$L$531:$L$1094</c:f>
              <c:numCache>
                <c:formatCode>0.00</c:formatCode>
                <c:ptCount val="564"/>
                <c:pt idx="0">
                  <c:v>1.2741578492636798</c:v>
                </c:pt>
                <c:pt idx="1">
                  <c:v>0.63346845557958653</c:v>
                </c:pt>
                <c:pt idx="2">
                  <c:v>3.1476763242410986</c:v>
                </c:pt>
                <c:pt idx="3">
                  <c:v>1.9444826721501687</c:v>
                </c:pt>
                <c:pt idx="4">
                  <c:v>0.74036268949424389</c:v>
                </c:pt>
                <c:pt idx="5">
                  <c:v>-0.30980391997148632</c:v>
                </c:pt>
                <c:pt idx="6">
                  <c:v>-0.52287874528033762</c:v>
                </c:pt>
                <c:pt idx="7">
                  <c:v>0.72427586960078905</c:v>
                </c:pt>
                <c:pt idx="8">
                  <c:v>-0.3979400086720376</c:v>
                </c:pt>
                <c:pt idx="9">
                  <c:v>-0.15490195998574319</c:v>
                </c:pt>
                <c:pt idx="10">
                  <c:v>-0.3979400086720376</c:v>
                </c:pt>
                <c:pt idx="11">
                  <c:v>-4.5757490560675115E-2</c:v>
                </c:pt>
                <c:pt idx="12">
                  <c:v>0.11394335230683679</c:v>
                </c:pt>
                <c:pt idx="13">
                  <c:v>0.36172783601759284</c:v>
                </c:pt>
                <c:pt idx="14">
                  <c:v>-0.52287874528033762</c:v>
                </c:pt>
                <c:pt idx="15">
                  <c:v>-0.3010299956639812</c:v>
                </c:pt>
                <c:pt idx="16">
                  <c:v>7.9181246047624818E-2</c:v>
                </c:pt>
                <c:pt idx="17">
                  <c:v>-0.3979400086720376</c:v>
                </c:pt>
                <c:pt idx="18">
                  <c:v>7.9181246047624818E-2</c:v>
                </c:pt>
                <c:pt idx="19">
                  <c:v>-0.3010299956639812</c:v>
                </c:pt>
                <c:pt idx="20">
                  <c:v>-0.22184874961635639</c:v>
                </c:pt>
                <c:pt idx="21">
                  <c:v>-0.15490195998574319</c:v>
                </c:pt>
                <c:pt idx="22">
                  <c:v>-9.6910013008056392E-2</c:v>
                </c:pt>
                <c:pt idx="23">
                  <c:v>-0.22184874961635639</c:v>
                </c:pt>
                <c:pt idx="24">
                  <c:v>-0.22184874961635639</c:v>
                </c:pt>
                <c:pt idx="25">
                  <c:v>-0.15490195998574319</c:v>
                </c:pt>
                <c:pt idx="26">
                  <c:v>-0.3979400086720376</c:v>
                </c:pt>
                <c:pt idx="27">
                  <c:v>-0.3010299956639812</c:v>
                </c:pt>
                <c:pt idx="28">
                  <c:v>-0.52287874528033762</c:v>
                </c:pt>
                <c:pt idx="29">
                  <c:v>-0.15490195998574319</c:v>
                </c:pt>
                <c:pt idx="30">
                  <c:v>0.17609125905568124</c:v>
                </c:pt>
                <c:pt idx="31">
                  <c:v>-0.3010299956639812</c:v>
                </c:pt>
                <c:pt idx="32">
                  <c:v>-9.6910013008056392E-2</c:v>
                </c:pt>
                <c:pt idx="33">
                  <c:v>-0.3010299956639812</c:v>
                </c:pt>
                <c:pt idx="34">
                  <c:v>-0.22184874961635639</c:v>
                </c:pt>
                <c:pt idx="35">
                  <c:v>3.1293675957229854</c:v>
                </c:pt>
                <c:pt idx="36">
                  <c:v>2.1643528557844371</c:v>
                </c:pt>
                <c:pt idx="37">
                  <c:v>0.69019608002851374</c:v>
                </c:pt>
                <c:pt idx="38">
                  <c:v>-0.20760831050174613</c:v>
                </c:pt>
                <c:pt idx="39">
                  <c:v>2.9153998352122699</c:v>
                </c:pt>
                <c:pt idx="40">
                  <c:v>2.428134794028789</c:v>
                </c:pt>
                <c:pt idx="41">
                  <c:v>1.5587085705331658</c:v>
                </c:pt>
                <c:pt idx="42">
                  <c:v>0.79934054945358168</c:v>
                </c:pt>
                <c:pt idx="43">
                  <c:v>-0.69897000433601875</c:v>
                </c:pt>
                <c:pt idx="44">
                  <c:v>0.81291335664285558</c:v>
                </c:pt>
                <c:pt idx="45">
                  <c:v>-0.3979400086720376</c:v>
                </c:pt>
                <c:pt idx="46">
                  <c:v>-0.3010299956639812</c:v>
                </c:pt>
                <c:pt idx="47">
                  <c:v>-0.69897000433601875</c:v>
                </c:pt>
                <c:pt idx="48">
                  <c:v>-4.5757490560675115E-2</c:v>
                </c:pt>
                <c:pt idx="49">
                  <c:v>-0.3979400086720376</c:v>
                </c:pt>
                <c:pt idx="50">
                  <c:v>-4.5757490560675115E-2</c:v>
                </c:pt>
                <c:pt idx="51">
                  <c:v>0.36172783601759284</c:v>
                </c:pt>
                <c:pt idx="52">
                  <c:v>0.3222192947339193</c:v>
                </c:pt>
                <c:pt idx="53">
                  <c:v>0.36172783601759284</c:v>
                </c:pt>
                <c:pt idx="54">
                  <c:v>1.6693168805661123</c:v>
                </c:pt>
                <c:pt idx="55">
                  <c:v>0.27875360095282892</c:v>
                </c:pt>
                <c:pt idx="56">
                  <c:v>0.41497334797081797</c:v>
                </c:pt>
                <c:pt idx="57">
                  <c:v>1.6655809910179531</c:v>
                </c:pt>
                <c:pt idx="58">
                  <c:v>0.3010299956639812</c:v>
                </c:pt>
                <c:pt idx="59">
                  <c:v>0.57978359661681012</c:v>
                </c:pt>
                <c:pt idx="60">
                  <c:v>1.5611013836490559</c:v>
                </c:pt>
                <c:pt idx="61">
                  <c:v>0.25527250510330607</c:v>
                </c:pt>
                <c:pt idx="62">
                  <c:v>0.69019608002851374</c:v>
                </c:pt>
                <c:pt idx="63">
                  <c:v>1.4756711883244296</c:v>
                </c:pt>
                <c:pt idx="64">
                  <c:v>0.3010299956639812</c:v>
                </c:pt>
                <c:pt idx="65">
                  <c:v>0.62324929039790045</c:v>
                </c:pt>
                <c:pt idx="66">
                  <c:v>1.1003705451175629</c:v>
                </c:pt>
                <c:pt idx="67">
                  <c:v>0.61278385671973545</c:v>
                </c:pt>
                <c:pt idx="68">
                  <c:v>0.63346845557958653</c:v>
                </c:pt>
                <c:pt idx="69">
                  <c:v>0.64345267648618742</c:v>
                </c:pt>
                <c:pt idx="70">
                  <c:v>0.66275783168157409</c:v>
                </c:pt>
                <c:pt idx="71">
                  <c:v>1.2741578492636798</c:v>
                </c:pt>
                <c:pt idx="72">
                  <c:v>0.23044892137827391</c:v>
                </c:pt>
                <c:pt idx="73">
                  <c:v>-0.16115090926274472</c:v>
                </c:pt>
                <c:pt idx="74">
                  <c:v>0.23044892137827391</c:v>
                </c:pt>
                <c:pt idx="75">
                  <c:v>1.7315887651867388</c:v>
                </c:pt>
                <c:pt idx="76">
                  <c:v>4.1392685158225077E-2</c:v>
                </c:pt>
                <c:pt idx="77">
                  <c:v>4.1392685158225077E-2</c:v>
                </c:pt>
                <c:pt idx="78">
                  <c:v>1.7143297597452329</c:v>
                </c:pt>
                <c:pt idx="79">
                  <c:v>-0.14874165128092473</c:v>
                </c:pt>
                <c:pt idx="80">
                  <c:v>0.11394335230683679</c:v>
                </c:pt>
                <c:pt idx="81">
                  <c:v>1.503790683057181</c:v>
                </c:pt>
                <c:pt idx="82">
                  <c:v>-0.36653154442041347</c:v>
                </c:pt>
                <c:pt idx="83">
                  <c:v>4.1392685158225077E-2</c:v>
                </c:pt>
                <c:pt idx="84">
                  <c:v>1.2648178230095364</c:v>
                </c:pt>
                <c:pt idx="85">
                  <c:v>-0.35654732351381258</c:v>
                </c:pt>
                <c:pt idx="86">
                  <c:v>-0.16749108729376366</c:v>
                </c:pt>
                <c:pt idx="87">
                  <c:v>0.6020599913279624</c:v>
                </c:pt>
                <c:pt idx="88">
                  <c:v>-0.38721614328026455</c:v>
                </c:pt>
                <c:pt idx="89">
                  <c:v>-0.37675070960209955</c:v>
                </c:pt>
                <c:pt idx="90">
                  <c:v>-0.36653154442041347</c:v>
                </c:pt>
                <c:pt idx="91">
                  <c:v>-0.30980391997148632</c:v>
                </c:pt>
                <c:pt idx="92">
                  <c:v>0.74036268949424389</c:v>
                </c:pt>
                <c:pt idx="93">
                  <c:v>-0.52287874528033762</c:v>
                </c:pt>
                <c:pt idx="94">
                  <c:v>0.72427586960078905</c:v>
                </c:pt>
                <c:pt idx="95">
                  <c:v>-0.3979400086720376</c:v>
                </c:pt>
                <c:pt idx="96">
                  <c:v>-0.15490195998574319</c:v>
                </c:pt>
                <c:pt idx="97">
                  <c:v>-0.3979400086720376</c:v>
                </c:pt>
                <c:pt idx="98">
                  <c:v>-4.5757490560675115E-2</c:v>
                </c:pt>
                <c:pt idx="99">
                  <c:v>0.11394335230683679</c:v>
                </c:pt>
                <c:pt idx="100">
                  <c:v>0.36172783601759284</c:v>
                </c:pt>
                <c:pt idx="101">
                  <c:v>-0.52287874528033762</c:v>
                </c:pt>
                <c:pt idx="102">
                  <c:v>-0.3010299956639812</c:v>
                </c:pt>
                <c:pt idx="103">
                  <c:v>7.9181246047624818E-2</c:v>
                </c:pt>
                <c:pt idx="104">
                  <c:v>-0.3979400086720376</c:v>
                </c:pt>
                <c:pt idx="105">
                  <c:v>7.9181246047624818E-2</c:v>
                </c:pt>
                <c:pt idx="106">
                  <c:v>-0.3010299956639812</c:v>
                </c:pt>
                <c:pt idx="107">
                  <c:v>-0.22184874961635639</c:v>
                </c:pt>
                <c:pt idx="108">
                  <c:v>-0.15490195998574319</c:v>
                </c:pt>
                <c:pt idx="109">
                  <c:v>-9.6910013008056392E-2</c:v>
                </c:pt>
                <c:pt idx="110">
                  <c:v>-0.22184874961635639</c:v>
                </c:pt>
                <c:pt idx="111">
                  <c:v>-0.22184874961635639</c:v>
                </c:pt>
                <c:pt idx="112">
                  <c:v>-0.15490195998574319</c:v>
                </c:pt>
                <c:pt idx="113">
                  <c:v>-0.3979400086720376</c:v>
                </c:pt>
                <c:pt idx="114">
                  <c:v>-0.3010299956639812</c:v>
                </c:pt>
                <c:pt idx="115">
                  <c:v>-0.52287874528033762</c:v>
                </c:pt>
                <c:pt idx="116">
                  <c:v>-0.15490195998574319</c:v>
                </c:pt>
                <c:pt idx="117">
                  <c:v>0.17609125905568124</c:v>
                </c:pt>
                <c:pt idx="118">
                  <c:v>-0.3010299956639812</c:v>
                </c:pt>
                <c:pt idx="119">
                  <c:v>-9.6910013008056392E-2</c:v>
                </c:pt>
                <c:pt idx="120">
                  <c:v>-0.3010299956639812</c:v>
                </c:pt>
                <c:pt idx="121">
                  <c:v>-0.22184874961635639</c:v>
                </c:pt>
                <c:pt idx="122">
                  <c:v>0.51851393987788741</c:v>
                </c:pt>
                <c:pt idx="123">
                  <c:v>0.3979400086720376</c:v>
                </c:pt>
                <c:pt idx="124">
                  <c:v>0.43136376415898736</c:v>
                </c:pt>
                <c:pt idx="125">
                  <c:v>1.8762178405916423</c:v>
                </c:pt>
                <c:pt idx="126">
                  <c:v>0.34242268082220628</c:v>
                </c:pt>
                <c:pt idx="127">
                  <c:v>0.56820172406699498</c:v>
                </c:pt>
                <c:pt idx="128">
                  <c:v>1.651278013998144</c:v>
                </c:pt>
                <c:pt idx="129">
                  <c:v>0.3010299956639812</c:v>
                </c:pt>
                <c:pt idx="130">
                  <c:v>0.70757017609793638</c:v>
                </c:pt>
                <c:pt idx="131">
                  <c:v>1.5587085705331658</c:v>
                </c:pt>
                <c:pt idx="132">
                  <c:v>0.36172783601759284</c:v>
                </c:pt>
                <c:pt idx="133">
                  <c:v>0.85733249643126852</c:v>
                </c:pt>
                <c:pt idx="134">
                  <c:v>1.3364597338485296</c:v>
                </c:pt>
                <c:pt idx="135">
                  <c:v>0.41497334797081797</c:v>
                </c:pt>
                <c:pt idx="136">
                  <c:v>0.72427586960078905</c:v>
                </c:pt>
                <c:pt idx="137">
                  <c:v>0.9493900066449128</c:v>
                </c:pt>
                <c:pt idx="138">
                  <c:v>0.75587485567249146</c:v>
                </c:pt>
                <c:pt idx="139">
                  <c:v>0.78532983501076703</c:v>
                </c:pt>
                <c:pt idx="140">
                  <c:v>0.78532983501076703</c:v>
                </c:pt>
                <c:pt idx="141">
                  <c:v>0.79934054945358168</c:v>
                </c:pt>
                <c:pt idx="142">
                  <c:v>1.5587085705331658</c:v>
                </c:pt>
                <c:pt idx="143">
                  <c:v>0.41497334797081797</c:v>
                </c:pt>
                <c:pt idx="144">
                  <c:v>-0.22184874961635639</c:v>
                </c:pt>
                <c:pt idx="145">
                  <c:v>0.17609125905568124</c:v>
                </c:pt>
                <c:pt idx="146">
                  <c:v>1.8122446968003694</c:v>
                </c:pt>
                <c:pt idx="147">
                  <c:v>7.9181246047624818E-2</c:v>
                </c:pt>
                <c:pt idx="148">
                  <c:v>0.20411998265592479</c:v>
                </c:pt>
                <c:pt idx="149">
                  <c:v>1.6560982020128319</c:v>
                </c:pt>
                <c:pt idx="150">
                  <c:v>-8.7739243075051505E-3</c:v>
                </c:pt>
                <c:pt idx="151">
                  <c:v>0.25527250510330607</c:v>
                </c:pt>
                <c:pt idx="152">
                  <c:v>1.5065050324048721</c:v>
                </c:pt>
                <c:pt idx="153">
                  <c:v>-6.0480747381381476E-2</c:v>
                </c:pt>
                <c:pt idx="154">
                  <c:v>0.3010299956639812</c:v>
                </c:pt>
                <c:pt idx="155">
                  <c:v>1.1903316981702914</c:v>
                </c:pt>
                <c:pt idx="156">
                  <c:v>-0.14874165128092473</c:v>
                </c:pt>
                <c:pt idx="157">
                  <c:v>0</c:v>
                </c:pt>
                <c:pt idx="158">
                  <c:v>0.78532983501076703</c:v>
                </c:pt>
                <c:pt idx="159">
                  <c:v>-0.35654732351381258</c:v>
                </c:pt>
                <c:pt idx="160">
                  <c:v>-0.34678748622465633</c:v>
                </c:pt>
                <c:pt idx="161">
                  <c:v>-0.33724216831842591</c:v>
                </c:pt>
                <c:pt idx="162">
                  <c:v>-0.20760831050174613</c:v>
                </c:pt>
                <c:pt idx="163">
                  <c:v>0.69019608002851374</c:v>
                </c:pt>
                <c:pt idx="164">
                  <c:v>-0.69897000433601875</c:v>
                </c:pt>
                <c:pt idx="165">
                  <c:v>0.81291335664285558</c:v>
                </c:pt>
                <c:pt idx="166">
                  <c:v>-0.3979400086720376</c:v>
                </c:pt>
                <c:pt idx="167">
                  <c:v>-0.3010299956639812</c:v>
                </c:pt>
                <c:pt idx="168">
                  <c:v>-0.69897000433601875</c:v>
                </c:pt>
                <c:pt idx="169">
                  <c:v>-4.5757490560675115E-2</c:v>
                </c:pt>
                <c:pt idx="170">
                  <c:v>0.69460519893356876</c:v>
                </c:pt>
                <c:pt idx="171">
                  <c:v>0.69460519893356876</c:v>
                </c:pt>
                <c:pt idx="172">
                  <c:v>0.79934054945358168</c:v>
                </c:pt>
                <c:pt idx="173">
                  <c:v>0.79934054945358168</c:v>
                </c:pt>
                <c:pt idx="174">
                  <c:v>0.27875360095282892</c:v>
                </c:pt>
                <c:pt idx="175">
                  <c:v>0.27875360095282892</c:v>
                </c:pt>
                <c:pt idx="176">
                  <c:v>0.49136169383427269</c:v>
                </c:pt>
                <c:pt idx="177">
                  <c:v>1.2764618041732441</c:v>
                </c:pt>
                <c:pt idx="178">
                  <c:v>1.5118833609788744</c:v>
                </c:pt>
                <c:pt idx="179">
                  <c:v>1.0569048513364727</c:v>
                </c:pt>
                <c:pt idx="180">
                  <c:v>1.0569048513364727</c:v>
                </c:pt>
                <c:pt idx="181">
                  <c:v>0.49136169383427269</c:v>
                </c:pt>
                <c:pt idx="182">
                  <c:v>0.71600334363479923</c:v>
                </c:pt>
                <c:pt idx="183">
                  <c:v>0.71600334363479923</c:v>
                </c:pt>
                <c:pt idx="184">
                  <c:v>1.2764618041732441</c:v>
                </c:pt>
                <c:pt idx="185">
                  <c:v>1.5118833609788744</c:v>
                </c:pt>
                <c:pt idx="186">
                  <c:v>-0.79588001734407521</c:v>
                </c:pt>
                <c:pt idx="187">
                  <c:v>-0.69897000433601875</c:v>
                </c:pt>
                <c:pt idx="188">
                  <c:v>-0.43179827593300502</c:v>
                </c:pt>
                <c:pt idx="189">
                  <c:v>0.65321251377534373</c:v>
                </c:pt>
                <c:pt idx="190">
                  <c:v>0.79601896934714933</c:v>
                </c:pt>
                <c:pt idx="191">
                  <c:v>-7.4172425375257686E-2</c:v>
                </c:pt>
                <c:pt idx="192">
                  <c:v>0.52608069180202999</c:v>
                </c:pt>
                <c:pt idx="193">
                  <c:v>-0.40450377817442584</c:v>
                </c:pt>
                <c:pt idx="194">
                  <c:v>0.41497334797081797</c:v>
                </c:pt>
                <c:pt idx="195">
                  <c:v>0.2380461031287954</c:v>
                </c:pt>
                <c:pt idx="196">
                  <c:v>0.79795964373719619</c:v>
                </c:pt>
                <c:pt idx="197">
                  <c:v>1.0704073217401198</c:v>
                </c:pt>
                <c:pt idx="198">
                  <c:v>0.56584781867351763</c:v>
                </c:pt>
                <c:pt idx="199">
                  <c:v>-0.10790539730951958</c:v>
                </c:pt>
                <c:pt idx="200">
                  <c:v>0.55870857053316569</c:v>
                </c:pt>
                <c:pt idx="201">
                  <c:v>0.96094619573383144</c:v>
                </c:pt>
                <c:pt idx="202">
                  <c:v>0.16731733474817609</c:v>
                </c:pt>
                <c:pt idx="203">
                  <c:v>0.54530711646582408</c:v>
                </c:pt>
                <c:pt idx="204">
                  <c:v>0.658964842664435</c:v>
                </c:pt>
                <c:pt idx="205">
                  <c:v>0.18469143081759881</c:v>
                </c:pt>
                <c:pt idx="206">
                  <c:v>-0.65757731917779372</c:v>
                </c:pt>
                <c:pt idx="207">
                  <c:v>0.43136376415898736</c:v>
                </c:pt>
                <c:pt idx="208">
                  <c:v>-5.551732784983137E-2</c:v>
                </c:pt>
                <c:pt idx="209">
                  <c:v>-1</c:v>
                </c:pt>
                <c:pt idx="210">
                  <c:v>0.12385164096708581</c:v>
                </c:pt>
                <c:pt idx="211">
                  <c:v>-0.42021640338318983</c:v>
                </c:pt>
                <c:pt idx="212">
                  <c:v>-1.5228787452803376</c:v>
                </c:pt>
                <c:pt idx="213">
                  <c:v>-0.16749108729376366</c:v>
                </c:pt>
                <c:pt idx="214">
                  <c:v>-0.92081875395237522</c:v>
                </c:pt>
                <c:pt idx="215">
                  <c:v>-0.79588001734407521</c:v>
                </c:pt>
                <c:pt idx="216">
                  <c:v>-1.3979400086720375</c:v>
                </c:pt>
                <c:pt idx="217">
                  <c:v>-1.3010299956639813</c:v>
                </c:pt>
                <c:pt idx="218">
                  <c:v>0.14612803567823801</c:v>
                </c:pt>
                <c:pt idx="219">
                  <c:v>-0.3010299956639812</c:v>
                </c:pt>
                <c:pt idx="220">
                  <c:v>-0.69897000433601875</c:v>
                </c:pt>
                <c:pt idx="221">
                  <c:v>0.46239799789895608</c:v>
                </c:pt>
                <c:pt idx="222">
                  <c:v>-9.6910013008056392E-2</c:v>
                </c:pt>
                <c:pt idx="223">
                  <c:v>-0.52287874528033762</c:v>
                </c:pt>
                <c:pt idx="224">
                  <c:v>0.38021124171160603</c:v>
                </c:pt>
                <c:pt idx="225">
                  <c:v>4.1392685158225077E-2</c:v>
                </c:pt>
                <c:pt idx="226">
                  <c:v>-0.3010299956639812</c:v>
                </c:pt>
                <c:pt idx="227">
                  <c:v>4.1392685158225077E-2</c:v>
                </c:pt>
                <c:pt idx="228">
                  <c:v>-0.3979400086720376</c:v>
                </c:pt>
                <c:pt idx="229">
                  <c:v>-0.69897000433601875</c:v>
                </c:pt>
                <c:pt idx="230">
                  <c:v>0.11394335230683679</c:v>
                </c:pt>
                <c:pt idx="231">
                  <c:v>7.9181246047624818E-2</c:v>
                </c:pt>
                <c:pt idx="232">
                  <c:v>0.3222192947339193</c:v>
                </c:pt>
                <c:pt idx="233">
                  <c:v>0.43136376415898736</c:v>
                </c:pt>
                <c:pt idx="234">
                  <c:v>0.3010299956639812</c:v>
                </c:pt>
                <c:pt idx="235">
                  <c:v>0.6020599913279624</c:v>
                </c:pt>
                <c:pt idx="236">
                  <c:v>0.34242268082220628</c:v>
                </c:pt>
                <c:pt idx="237">
                  <c:v>0.3979400086720376</c:v>
                </c:pt>
                <c:pt idx="238">
                  <c:v>0.44715803134221921</c:v>
                </c:pt>
                <c:pt idx="239">
                  <c:v>0.49136169383427269</c:v>
                </c:pt>
                <c:pt idx="240">
                  <c:v>1.4471580313422192</c:v>
                </c:pt>
                <c:pt idx="241">
                  <c:v>1.5440680443502757</c:v>
                </c:pt>
                <c:pt idx="242">
                  <c:v>0.11394335230683679</c:v>
                </c:pt>
                <c:pt idx="243">
                  <c:v>0.36172783601759284</c:v>
                </c:pt>
                <c:pt idx="244">
                  <c:v>0.25527250510330607</c:v>
                </c:pt>
                <c:pt idx="245">
                  <c:v>0.91907809237607396</c:v>
                </c:pt>
                <c:pt idx="246">
                  <c:v>-4.5757490560675115E-2</c:v>
                </c:pt>
                <c:pt idx="247">
                  <c:v>0.17609125905568124</c:v>
                </c:pt>
                <c:pt idx="248">
                  <c:v>0</c:v>
                </c:pt>
                <c:pt idx="249">
                  <c:v>7.9181246047624818E-2</c:v>
                </c:pt>
                <c:pt idx="250">
                  <c:v>-9.6910013008056392E-2</c:v>
                </c:pt>
                <c:pt idx="251">
                  <c:v>4.1392685158225077E-2</c:v>
                </c:pt>
                <c:pt idx="252">
                  <c:v>0</c:v>
                </c:pt>
                <c:pt idx="253">
                  <c:v>7.9181246047624818E-2</c:v>
                </c:pt>
                <c:pt idx="254">
                  <c:v>1.0969100130080565</c:v>
                </c:pt>
                <c:pt idx="255">
                  <c:v>1.1613680022349748</c:v>
                </c:pt>
                <c:pt idx="256">
                  <c:v>-0.15490195998574319</c:v>
                </c:pt>
                <c:pt idx="257">
                  <c:v>0.11394335230683679</c:v>
                </c:pt>
                <c:pt idx="258">
                  <c:v>4.1392685158225077E-2</c:v>
                </c:pt>
                <c:pt idx="259">
                  <c:v>1.0211892990699381</c:v>
                </c:pt>
                <c:pt idx="260">
                  <c:v>1.146128035678238</c:v>
                </c:pt>
                <c:pt idx="261">
                  <c:v>0.69897000433601886</c:v>
                </c:pt>
                <c:pt idx="262">
                  <c:v>0.81291335664285558</c:v>
                </c:pt>
                <c:pt idx="263">
                  <c:v>0.69897000433601886</c:v>
                </c:pt>
                <c:pt idx="264">
                  <c:v>0.92941892571429274</c:v>
                </c:pt>
                <c:pt idx="265">
                  <c:v>0.77815125038364363</c:v>
                </c:pt>
                <c:pt idx="266">
                  <c:v>1</c:v>
                </c:pt>
                <c:pt idx="267">
                  <c:v>1.6020599913279623</c:v>
                </c:pt>
                <c:pt idx="268">
                  <c:v>1.6334684555795864</c:v>
                </c:pt>
                <c:pt idx="269">
                  <c:v>0.69897000433601886</c:v>
                </c:pt>
                <c:pt idx="270">
                  <c:v>0.84509804001425681</c:v>
                </c:pt>
                <c:pt idx="271">
                  <c:v>0.92941892571429274</c:v>
                </c:pt>
                <c:pt idx="272">
                  <c:v>0.97772360528884772</c:v>
                </c:pt>
                <c:pt idx="273">
                  <c:v>0.74036268949424389</c:v>
                </c:pt>
                <c:pt idx="274">
                  <c:v>1.2174839442139063</c:v>
                </c:pt>
                <c:pt idx="275">
                  <c:v>0</c:v>
                </c:pt>
                <c:pt idx="276">
                  <c:v>0.11394335230683679</c:v>
                </c:pt>
                <c:pt idx="277">
                  <c:v>0</c:v>
                </c:pt>
                <c:pt idx="278">
                  <c:v>7.9181246047624818E-2</c:v>
                </c:pt>
                <c:pt idx="279">
                  <c:v>-9.6910013008056392E-2</c:v>
                </c:pt>
                <c:pt idx="280">
                  <c:v>0.11394335230683679</c:v>
                </c:pt>
                <c:pt idx="281">
                  <c:v>-9.6910013008056392E-2</c:v>
                </c:pt>
                <c:pt idx="282">
                  <c:v>0</c:v>
                </c:pt>
                <c:pt idx="283">
                  <c:v>-0.15490195998574319</c:v>
                </c:pt>
                <c:pt idx="284">
                  <c:v>0.14612803567823801</c:v>
                </c:pt>
                <c:pt idx="285">
                  <c:v>1.1303337684950061</c:v>
                </c:pt>
                <c:pt idx="286">
                  <c:v>1.2041199826559248</c:v>
                </c:pt>
                <c:pt idx="287">
                  <c:v>-0.22184874961635639</c:v>
                </c:pt>
                <c:pt idx="288">
                  <c:v>-4.5757490560675115E-2</c:v>
                </c:pt>
                <c:pt idx="289">
                  <c:v>-0.15490195998574319</c:v>
                </c:pt>
                <c:pt idx="290">
                  <c:v>0.17609125905568124</c:v>
                </c:pt>
                <c:pt idx="291">
                  <c:v>1.3010299956639813</c:v>
                </c:pt>
                <c:pt idx="292">
                  <c:v>1.5185139398778875</c:v>
                </c:pt>
                <c:pt idx="293">
                  <c:v>1.5185139398778875</c:v>
                </c:pt>
                <c:pt idx="294">
                  <c:v>1.5797835966168101</c:v>
                </c:pt>
                <c:pt idx="295">
                  <c:v>0.69897000433601886</c:v>
                </c:pt>
                <c:pt idx="296">
                  <c:v>0.74036268949424389</c:v>
                </c:pt>
                <c:pt idx="297">
                  <c:v>1.2671717284030137</c:v>
                </c:pt>
                <c:pt idx="298">
                  <c:v>1.3617278360175928</c:v>
                </c:pt>
                <c:pt idx="299">
                  <c:v>1.6334684555795864</c:v>
                </c:pt>
                <c:pt idx="300">
                  <c:v>1.7403626894942439</c:v>
                </c:pt>
                <c:pt idx="301">
                  <c:v>0.95424250943932487</c:v>
                </c:pt>
                <c:pt idx="302">
                  <c:v>1</c:v>
                </c:pt>
                <c:pt idx="303">
                  <c:v>1.0413926851582251</c:v>
                </c:pt>
                <c:pt idx="304">
                  <c:v>1.2787536009528289</c:v>
                </c:pt>
                <c:pt idx="305">
                  <c:v>1.7634279935629373</c:v>
                </c:pt>
                <c:pt idx="306">
                  <c:v>1.7923916894982539</c:v>
                </c:pt>
                <c:pt idx="307">
                  <c:v>1.6020599913279623</c:v>
                </c:pt>
                <c:pt idx="308">
                  <c:v>1.8450980400142569</c:v>
                </c:pt>
                <c:pt idx="309">
                  <c:v>1.8129133566428555</c:v>
                </c:pt>
                <c:pt idx="310">
                  <c:v>1.8750612633917001</c:v>
                </c:pt>
                <c:pt idx="311">
                  <c:v>1.0791812460476249</c:v>
                </c:pt>
                <c:pt idx="312">
                  <c:v>1.1760912590556813</c:v>
                </c:pt>
                <c:pt idx="313">
                  <c:v>1.6989700043360187</c:v>
                </c:pt>
                <c:pt idx="314">
                  <c:v>1.8750612633917001</c:v>
                </c:pt>
                <c:pt idx="315">
                  <c:v>1.6989700043360187</c:v>
                </c:pt>
                <c:pt idx="316">
                  <c:v>1.7781512503836436</c:v>
                </c:pt>
                <c:pt idx="317">
                  <c:v>1.3010299956639813</c:v>
                </c:pt>
                <c:pt idx="318">
                  <c:v>1.3979400086720377</c:v>
                </c:pt>
                <c:pt idx="319">
                  <c:v>1.1760912590556813</c:v>
                </c:pt>
                <c:pt idx="320">
                  <c:v>1.6127838567197355</c:v>
                </c:pt>
                <c:pt idx="321">
                  <c:v>1.8450980400142569</c:v>
                </c:pt>
                <c:pt idx="322">
                  <c:v>2.0413926851582249</c:v>
                </c:pt>
                <c:pt idx="323">
                  <c:v>1.7242758696007889</c:v>
                </c:pt>
                <c:pt idx="324">
                  <c:v>1.8129133566428555</c:v>
                </c:pt>
                <c:pt idx="325">
                  <c:v>1.7781512503836436</c:v>
                </c:pt>
                <c:pt idx="326">
                  <c:v>1.8129133566428555</c:v>
                </c:pt>
                <c:pt idx="327">
                  <c:v>1.2304489213782739</c:v>
                </c:pt>
                <c:pt idx="328">
                  <c:v>1.4471580313422192</c:v>
                </c:pt>
                <c:pt idx="329">
                  <c:v>1.8129133566428555</c:v>
                </c:pt>
                <c:pt idx="330">
                  <c:v>1.9030899869919435</c:v>
                </c:pt>
                <c:pt idx="331">
                  <c:v>1.7403626894942439</c:v>
                </c:pt>
                <c:pt idx="332">
                  <c:v>1.8750612633917001</c:v>
                </c:pt>
                <c:pt idx="333">
                  <c:v>1.3010299956639813</c:v>
                </c:pt>
                <c:pt idx="334">
                  <c:v>1.4313637641589874</c:v>
                </c:pt>
                <c:pt idx="335">
                  <c:v>1.6020599913279623</c:v>
                </c:pt>
                <c:pt idx="336">
                  <c:v>1.7403626894942439</c:v>
                </c:pt>
                <c:pt idx="337">
                  <c:v>1.8750612633917001</c:v>
                </c:pt>
                <c:pt idx="338">
                  <c:v>2.1461280356782382</c:v>
                </c:pt>
                <c:pt idx="339">
                  <c:v>1.8750612633917001</c:v>
                </c:pt>
                <c:pt idx="340">
                  <c:v>2.1760912590556813</c:v>
                </c:pt>
                <c:pt idx="341">
                  <c:v>1.7781512503836436</c:v>
                </c:pt>
                <c:pt idx="342">
                  <c:v>2.0791812460476247</c:v>
                </c:pt>
                <c:pt idx="343">
                  <c:v>1.2787536009528289</c:v>
                </c:pt>
                <c:pt idx="344">
                  <c:v>1.6020599913279623</c:v>
                </c:pt>
                <c:pt idx="345">
                  <c:v>1.8129133566428555</c:v>
                </c:pt>
                <c:pt idx="346">
                  <c:v>1.9030899869919435</c:v>
                </c:pt>
                <c:pt idx="347">
                  <c:v>1.3979400086720377</c:v>
                </c:pt>
                <c:pt idx="348">
                  <c:v>1.6532125137753437</c:v>
                </c:pt>
                <c:pt idx="349">
                  <c:v>1.7781512503836436</c:v>
                </c:pt>
                <c:pt idx="350">
                  <c:v>1.7993405494535817</c:v>
                </c:pt>
                <c:pt idx="351">
                  <c:v>4.1392685158225077E-2</c:v>
                </c:pt>
                <c:pt idx="352">
                  <c:v>-0.3010299956639812</c:v>
                </c:pt>
                <c:pt idx="353">
                  <c:v>0.92941892571429274</c:v>
                </c:pt>
                <c:pt idx="354">
                  <c:v>1.0791812460476249</c:v>
                </c:pt>
                <c:pt idx="355">
                  <c:v>0.3010299956639812</c:v>
                </c:pt>
                <c:pt idx="356">
                  <c:v>-4.5757490560675115E-2</c:v>
                </c:pt>
                <c:pt idx="357">
                  <c:v>4.1392685158225077E-2</c:v>
                </c:pt>
                <c:pt idx="358">
                  <c:v>0.19312459835446161</c:v>
                </c:pt>
                <c:pt idx="359">
                  <c:v>1.2304489213782739</c:v>
                </c:pt>
                <c:pt idx="360">
                  <c:v>1.6232492903979006</c:v>
                </c:pt>
                <c:pt idx="361">
                  <c:v>1.6812412373755872</c:v>
                </c:pt>
                <c:pt idx="362">
                  <c:v>-0.85387196432176193</c:v>
                </c:pt>
                <c:pt idx="363">
                  <c:v>-2.2276394711152253E-2</c:v>
                </c:pt>
                <c:pt idx="364">
                  <c:v>-0.69897000433601875</c:v>
                </c:pt>
                <c:pt idx="365">
                  <c:v>-0.52287874528033762</c:v>
                </c:pt>
                <c:pt idx="366">
                  <c:v>-0.58502665202918203</c:v>
                </c:pt>
                <c:pt idx="367">
                  <c:v>-0.15490195998574319</c:v>
                </c:pt>
                <c:pt idx="368">
                  <c:v>-4.5757490560675115E-2</c:v>
                </c:pt>
                <c:pt idx="369">
                  <c:v>0</c:v>
                </c:pt>
                <c:pt idx="370">
                  <c:v>0.3222192947339193</c:v>
                </c:pt>
                <c:pt idx="371">
                  <c:v>-0.15490195998574319</c:v>
                </c:pt>
                <c:pt idx="372">
                  <c:v>-0.15490195998574319</c:v>
                </c:pt>
                <c:pt idx="373">
                  <c:v>1.2304489213782739</c:v>
                </c:pt>
                <c:pt idx="374">
                  <c:v>1.3010299956639813</c:v>
                </c:pt>
                <c:pt idx="375">
                  <c:v>0.23044892137827391</c:v>
                </c:pt>
                <c:pt idx="376">
                  <c:v>0.20139712432045151</c:v>
                </c:pt>
                <c:pt idx="377">
                  <c:v>0.20951501454263097</c:v>
                </c:pt>
                <c:pt idx="378">
                  <c:v>-0.40893539297350079</c:v>
                </c:pt>
                <c:pt idx="379">
                  <c:v>0.14612803567823801</c:v>
                </c:pt>
                <c:pt idx="380">
                  <c:v>-9.6910013008056392E-2</c:v>
                </c:pt>
                <c:pt idx="381">
                  <c:v>6.069784035361165E-2</c:v>
                </c:pt>
                <c:pt idx="382">
                  <c:v>1.1398790864012365</c:v>
                </c:pt>
                <c:pt idx="383">
                  <c:v>0.49831055378960049</c:v>
                </c:pt>
                <c:pt idx="384">
                  <c:v>0.26007138798507479</c:v>
                </c:pt>
                <c:pt idx="385">
                  <c:v>0.70415051683979912</c:v>
                </c:pt>
                <c:pt idx="386">
                  <c:v>-0.95860731484177497</c:v>
                </c:pt>
                <c:pt idx="387">
                  <c:v>0.5428254269591799</c:v>
                </c:pt>
                <c:pt idx="388">
                  <c:v>0.44090908206521767</c:v>
                </c:pt>
                <c:pt idx="389">
                  <c:v>0.84198480459011393</c:v>
                </c:pt>
                <c:pt idx="390">
                  <c:v>1.2041199826559248</c:v>
                </c:pt>
                <c:pt idx="391">
                  <c:v>1.0413926851582251</c:v>
                </c:pt>
                <c:pt idx="392">
                  <c:v>0.13987908640123647</c:v>
                </c:pt>
                <c:pt idx="393">
                  <c:v>1.255272505103306</c:v>
                </c:pt>
                <c:pt idx="394">
                  <c:v>1.2671717284030137</c:v>
                </c:pt>
                <c:pt idx="395">
                  <c:v>1.4983105537896004</c:v>
                </c:pt>
                <c:pt idx="396">
                  <c:v>1.6334684555795864</c:v>
                </c:pt>
                <c:pt idx="397">
                  <c:v>1.7242758696007889</c:v>
                </c:pt>
                <c:pt idx="398">
                  <c:v>1.7323937598229686</c:v>
                </c:pt>
                <c:pt idx="399">
                  <c:v>-0.38721614328026455</c:v>
                </c:pt>
                <c:pt idx="400">
                  <c:v>-0.79588001734407521</c:v>
                </c:pt>
                <c:pt idx="401">
                  <c:v>-0.53760200210104392</c:v>
                </c:pt>
                <c:pt idx="402">
                  <c:v>-1.2518119729937995</c:v>
                </c:pt>
                <c:pt idx="403">
                  <c:v>-1.1029229967905798</c:v>
                </c:pt>
                <c:pt idx="404">
                  <c:v>-0.96657624451305035</c:v>
                </c:pt>
                <c:pt idx="405">
                  <c:v>1.2860071220794747</c:v>
                </c:pt>
                <c:pt idx="406">
                  <c:v>0.57054293988189753</c:v>
                </c:pt>
                <c:pt idx="407">
                  <c:v>0.48572142648158001</c:v>
                </c:pt>
                <c:pt idx="408">
                  <c:v>1.1061908972634154</c:v>
                </c:pt>
                <c:pt idx="409">
                  <c:v>0.73158876518673865</c:v>
                </c:pt>
                <c:pt idx="410">
                  <c:v>0.36361197989214433</c:v>
                </c:pt>
                <c:pt idx="411">
                  <c:v>1.1185953652237619</c:v>
                </c:pt>
                <c:pt idx="412">
                  <c:v>0.74507479158205747</c:v>
                </c:pt>
                <c:pt idx="413">
                  <c:v>0.28330122870354957</c:v>
                </c:pt>
                <c:pt idx="414">
                  <c:v>1.2337573629655105</c:v>
                </c:pt>
                <c:pt idx="415">
                  <c:v>0.85369821177617433</c:v>
                </c:pt>
                <c:pt idx="416">
                  <c:v>0.45939248775923086</c:v>
                </c:pt>
                <c:pt idx="417">
                  <c:v>1.1532049000842843</c:v>
                </c:pt>
                <c:pt idx="418">
                  <c:v>1.1139433523068367</c:v>
                </c:pt>
                <c:pt idx="419">
                  <c:v>0.79448804665916961</c:v>
                </c:pt>
                <c:pt idx="420">
                  <c:v>0.42975228000240795</c:v>
                </c:pt>
                <c:pt idx="421">
                  <c:v>0.56820172406699498</c:v>
                </c:pt>
                <c:pt idx="422">
                  <c:v>-0.75696195131370558</c:v>
                </c:pt>
                <c:pt idx="423">
                  <c:v>-0.12493873660829995</c:v>
                </c:pt>
                <c:pt idx="424">
                  <c:v>-0.12493873660829995</c:v>
                </c:pt>
                <c:pt idx="425">
                  <c:v>9.691001300805642E-2</c:v>
                </c:pt>
                <c:pt idx="426">
                  <c:v>0.18469143081759881</c:v>
                </c:pt>
                <c:pt idx="427">
                  <c:v>0.21748394421390627</c:v>
                </c:pt>
                <c:pt idx="428">
                  <c:v>0.2576785748691845</c:v>
                </c:pt>
                <c:pt idx="429">
                  <c:v>0.35218251811136247</c:v>
                </c:pt>
                <c:pt idx="430">
                  <c:v>0.3979400086720376</c:v>
                </c:pt>
                <c:pt idx="431">
                  <c:v>0.45484486000851021</c:v>
                </c:pt>
                <c:pt idx="432">
                  <c:v>0.47712125471966244</c:v>
                </c:pt>
                <c:pt idx="433">
                  <c:v>0.66275783168157409</c:v>
                </c:pt>
                <c:pt idx="434">
                  <c:v>0.78532983501076703</c:v>
                </c:pt>
                <c:pt idx="435">
                  <c:v>1.3344537511509309</c:v>
                </c:pt>
                <c:pt idx="436">
                  <c:v>1.5378190950732742</c:v>
                </c:pt>
                <c:pt idx="437">
                  <c:v>1.541579243946581</c:v>
                </c:pt>
                <c:pt idx="438">
                  <c:v>0.91169015875386117</c:v>
                </c:pt>
                <c:pt idx="439">
                  <c:v>0.36921585741014279</c:v>
                </c:pt>
                <c:pt idx="440">
                  <c:v>-0.20065945054641829</c:v>
                </c:pt>
                <c:pt idx="441">
                  <c:v>1.0569048513364727</c:v>
                </c:pt>
                <c:pt idx="442">
                  <c:v>1</c:v>
                </c:pt>
                <c:pt idx="443">
                  <c:v>0.85733249643126852</c:v>
                </c:pt>
                <c:pt idx="444">
                  <c:v>0.57978359661681012</c:v>
                </c:pt>
                <c:pt idx="445">
                  <c:v>4.1392685158225077E-2</c:v>
                </c:pt>
                <c:pt idx="446">
                  <c:v>0.68394713075151214</c:v>
                </c:pt>
                <c:pt idx="447">
                  <c:v>0.63346845557958653</c:v>
                </c:pt>
                <c:pt idx="448">
                  <c:v>-0.22184874961635639</c:v>
                </c:pt>
                <c:pt idx="449">
                  <c:v>1.6042260530844701</c:v>
                </c:pt>
                <c:pt idx="450">
                  <c:v>0.54777470538782258</c:v>
                </c:pt>
                <c:pt idx="451">
                  <c:v>1.2833012287035497</c:v>
                </c:pt>
                <c:pt idx="452">
                  <c:v>0.31175386105575426</c:v>
                </c:pt>
                <c:pt idx="453">
                  <c:v>0.68124123737558717</c:v>
                </c:pt>
                <c:pt idx="454">
                  <c:v>0.42488163663106698</c:v>
                </c:pt>
                <c:pt idx="455">
                  <c:v>-8.092190762392612E-2</c:v>
                </c:pt>
                <c:pt idx="456">
                  <c:v>0.14612803567823801</c:v>
                </c:pt>
                <c:pt idx="457">
                  <c:v>-1.1804560644581312</c:v>
                </c:pt>
                <c:pt idx="458">
                  <c:v>-0.53760200210104392</c:v>
                </c:pt>
                <c:pt idx="459">
                  <c:v>1.2405492482825997</c:v>
                </c:pt>
                <c:pt idx="460">
                  <c:v>0.86332286012045589</c:v>
                </c:pt>
                <c:pt idx="461">
                  <c:v>0.27875360095282892</c:v>
                </c:pt>
                <c:pt idx="462">
                  <c:v>-0.21467016498923297</c:v>
                </c:pt>
                <c:pt idx="463">
                  <c:v>-0.92081875395237522</c:v>
                </c:pt>
                <c:pt idx="464">
                  <c:v>0.44715803134221921</c:v>
                </c:pt>
                <c:pt idx="465">
                  <c:v>-4.3648054024500883E-3</c:v>
                </c:pt>
                <c:pt idx="466">
                  <c:v>-0.22184874961635639</c:v>
                </c:pt>
                <c:pt idx="467">
                  <c:v>-0.52287874528033762</c:v>
                </c:pt>
                <c:pt idx="468">
                  <c:v>0.87506126339170009</c:v>
                </c:pt>
                <c:pt idx="469">
                  <c:v>0.44715803134221921</c:v>
                </c:pt>
                <c:pt idx="470">
                  <c:v>-0.13076828026902382</c:v>
                </c:pt>
                <c:pt idx="471">
                  <c:v>-0.56863623584101264</c:v>
                </c:pt>
                <c:pt idx="472">
                  <c:v>-1.3010299956639813</c:v>
                </c:pt>
                <c:pt idx="473">
                  <c:v>0.51851393987788741</c:v>
                </c:pt>
                <c:pt idx="474">
                  <c:v>4.1392685158225077E-2</c:v>
                </c:pt>
                <c:pt idx="475">
                  <c:v>-0.53760200210104392</c:v>
                </c:pt>
                <c:pt idx="476">
                  <c:v>-0.92081875395237522</c:v>
                </c:pt>
                <c:pt idx="477">
                  <c:v>-1.6989700043360187</c:v>
                </c:pt>
                <c:pt idx="478">
                  <c:v>0.14612803567823801</c:v>
                </c:pt>
                <c:pt idx="479">
                  <c:v>-0.3979400086720376</c:v>
                </c:pt>
                <c:pt idx="480">
                  <c:v>-0.92081875395237522</c:v>
                </c:pt>
                <c:pt idx="481">
                  <c:v>-1.3010299956639813</c:v>
                </c:pt>
                <c:pt idx="482">
                  <c:v>-2</c:v>
                </c:pt>
                <c:pt idx="483">
                  <c:v>1.0681858617461617</c:v>
                </c:pt>
                <c:pt idx="484">
                  <c:v>0.82607480270082645</c:v>
                </c:pt>
                <c:pt idx="485">
                  <c:v>0.79239168949825389</c:v>
                </c:pt>
                <c:pt idx="486">
                  <c:v>0.86332286012045589</c:v>
                </c:pt>
                <c:pt idx="487">
                  <c:v>1.2174839442139063</c:v>
                </c:pt>
                <c:pt idx="488">
                  <c:v>1.5440680443502757</c:v>
                </c:pt>
                <c:pt idx="489">
                  <c:v>1.2304489213782739</c:v>
                </c:pt>
                <c:pt idx="490">
                  <c:v>1.0791812460476249</c:v>
                </c:pt>
                <c:pt idx="491">
                  <c:v>-0.85387196432176193</c:v>
                </c:pt>
                <c:pt idx="492">
                  <c:v>-1.7367585652254185</c:v>
                </c:pt>
                <c:pt idx="493">
                  <c:v>-0.47712125471966244</c:v>
                </c:pt>
                <c:pt idx="494">
                  <c:v>0.4259687322722811</c:v>
                </c:pt>
                <c:pt idx="495">
                  <c:v>-0.38021124171160603</c:v>
                </c:pt>
                <c:pt idx="496">
                  <c:v>0.54613120491404898</c:v>
                </c:pt>
                <c:pt idx="497">
                  <c:v>-0.18708664335714442</c:v>
                </c:pt>
                <c:pt idx="498">
                  <c:v>-1.4559319556497243</c:v>
                </c:pt>
                <c:pt idx="499">
                  <c:v>-0.63513645012954856</c:v>
                </c:pt>
                <c:pt idx="500">
                  <c:v>-0.65429960941655785</c:v>
                </c:pt>
                <c:pt idx="501">
                  <c:v>-1.0969100130080565</c:v>
                </c:pt>
                <c:pt idx="502">
                  <c:v>-0.338818556553381</c:v>
                </c:pt>
                <c:pt idx="503">
                  <c:v>-0.13667713987954411</c:v>
                </c:pt>
                <c:pt idx="504">
                  <c:v>-0.18265502855806953</c:v>
                </c:pt>
                <c:pt idx="505">
                  <c:v>-0.59063052954718054</c:v>
                </c:pt>
                <c:pt idx="506">
                  <c:v>-0.60788953498868625</c:v>
                </c:pt>
                <c:pt idx="507">
                  <c:v>-1.5477023290053697</c:v>
                </c:pt>
                <c:pt idx="508">
                  <c:v>1.3802112417116059</c:v>
                </c:pt>
                <c:pt idx="509">
                  <c:v>1.3010299956639813</c:v>
                </c:pt>
                <c:pt idx="510">
                  <c:v>0.92941892571429274</c:v>
                </c:pt>
                <c:pt idx="511">
                  <c:v>1.146128035678238</c:v>
                </c:pt>
                <c:pt idx="512">
                  <c:v>0.69897000433601886</c:v>
                </c:pt>
                <c:pt idx="513">
                  <c:v>-0.52287874528033762</c:v>
                </c:pt>
                <c:pt idx="514">
                  <c:v>1.6901960800285136</c:v>
                </c:pt>
                <c:pt idx="515">
                  <c:v>1.3521825181113625</c:v>
                </c:pt>
                <c:pt idx="516">
                  <c:v>1.3010299956639813</c:v>
                </c:pt>
                <c:pt idx="517">
                  <c:v>1.0334237554869496</c:v>
                </c:pt>
                <c:pt idx="518">
                  <c:v>0.87506126339170009</c:v>
                </c:pt>
                <c:pt idx="519">
                  <c:v>0.67209785793571752</c:v>
                </c:pt>
                <c:pt idx="520">
                  <c:v>0.50514997831990605</c:v>
                </c:pt>
                <c:pt idx="521">
                  <c:v>0.3010299956639812</c:v>
                </c:pt>
                <c:pt idx="522">
                  <c:v>0.14612803567823801</c:v>
                </c:pt>
                <c:pt idx="523">
                  <c:v>0.38021124171160603</c:v>
                </c:pt>
                <c:pt idx="524">
                  <c:v>0.68124123737558717</c:v>
                </c:pt>
                <c:pt idx="525">
                  <c:v>1.0969100130080565</c:v>
                </c:pt>
                <c:pt idx="526">
                  <c:v>1.1643528557844371</c:v>
                </c:pt>
                <c:pt idx="527">
                  <c:v>1.3424226808222062</c:v>
                </c:pt>
                <c:pt idx="528">
                  <c:v>1.6232492903979006</c:v>
                </c:pt>
                <c:pt idx="529">
                  <c:v>1.7767011839884108</c:v>
                </c:pt>
                <c:pt idx="530">
                  <c:v>1.0413926851582251</c:v>
                </c:pt>
                <c:pt idx="531">
                  <c:v>0.3979400086720376</c:v>
                </c:pt>
                <c:pt idx="532">
                  <c:v>1.6857417386022637</c:v>
                </c:pt>
                <c:pt idx="533">
                  <c:v>1.6020599913279623</c:v>
                </c:pt>
                <c:pt idx="534">
                  <c:v>1.2624510897304295</c:v>
                </c:pt>
                <c:pt idx="535">
                  <c:v>0.9956351945975499</c:v>
                </c:pt>
                <c:pt idx="536">
                  <c:v>0.77085201164214423</c:v>
                </c:pt>
                <c:pt idx="537">
                  <c:v>0.7323937598229685</c:v>
                </c:pt>
                <c:pt idx="538">
                  <c:v>0.61278385671973545</c:v>
                </c:pt>
                <c:pt idx="539">
                  <c:v>0.46239799789895608</c:v>
                </c:pt>
                <c:pt idx="540">
                  <c:v>1.7558748556724915</c:v>
                </c:pt>
                <c:pt idx="541">
                  <c:v>1.0170333392987803</c:v>
                </c:pt>
                <c:pt idx="542">
                  <c:v>0.82607480270082645</c:v>
                </c:pt>
                <c:pt idx="543">
                  <c:v>0.65321251377534373</c:v>
                </c:pt>
                <c:pt idx="544">
                  <c:v>0.57978359661681012</c:v>
                </c:pt>
                <c:pt idx="545">
                  <c:v>0.23044892137827391</c:v>
                </c:pt>
                <c:pt idx="546">
                  <c:v>0.99913054128737111</c:v>
                </c:pt>
                <c:pt idx="547">
                  <c:v>0.3010299956639812</c:v>
                </c:pt>
                <c:pt idx="548">
                  <c:v>-0.11350927482751812</c:v>
                </c:pt>
                <c:pt idx="549">
                  <c:v>0.50242711998443268</c:v>
                </c:pt>
                <c:pt idx="550">
                  <c:v>-0.42021640338318983</c:v>
                </c:pt>
                <c:pt idx="551">
                  <c:v>0.17318626841227402</c:v>
                </c:pt>
                <c:pt idx="552">
                  <c:v>-0.65757731917779372</c:v>
                </c:pt>
                <c:pt idx="553">
                  <c:v>-0.40893539297350079</c:v>
                </c:pt>
                <c:pt idx="554">
                  <c:v>-4.0958607678906384E-2</c:v>
                </c:pt>
                <c:pt idx="555">
                  <c:v>-1.3010299956639813</c:v>
                </c:pt>
                <c:pt idx="556">
                  <c:v>1.0269416279590293</c:v>
                </c:pt>
                <c:pt idx="557">
                  <c:v>4.6885190837710138E-2</c:v>
                </c:pt>
                <c:pt idx="558">
                  <c:v>0.73399928653838686</c:v>
                </c:pt>
                <c:pt idx="559">
                  <c:v>-0.19586056766464957</c:v>
                </c:pt>
                <c:pt idx="560">
                  <c:v>0.69897000433601886</c:v>
                </c:pt>
                <c:pt idx="561">
                  <c:v>0.3979400086720376</c:v>
                </c:pt>
                <c:pt idx="562">
                  <c:v>0.63346845557958653</c:v>
                </c:pt>
                <c:pt idx="563">
                  <c:v>0.38021124171160603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431-4068-98F5-14FDCC00D16B}"/>
            </c:ext>
          </c:extLst>
        </c:ser>
        <c:ser>
          <c:idx val="13"/>
          <c:order val="13"/>
          <c:tx>
            <c:v>typhimurium rest</c:v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FF99CC"/>
                </a:solidFill>
                <a:prstDash val="solid"/>
              </a:ln>
            </c:spPr>
          </c:marker>
          <c:xVal>
            <c:numRef>
              <c:f>Salmonella!$I$1052:$I$1057</c:f>
              <c:numCache>
                <c:formatCode>General</c:formatCode>
                <c:ptCount val="6"/>
                <c:pt idx="0">
                  <c:v>56.8</c:v>
                </c:pt>
                <c:pt idx="1">
                  <c:v>57.1</c:v>
                </c:pt>
                <c:pt idx="2">
                  <c:v>55</c:v>
                </c:pt>
                <c:pt idx="3">
                  <c:v>55</c:v>
                </c:pt>
                <c:pt idx="4">
                  <c:v>55</c:v>
                </c:pt>
                <c:pt idx="5">
                  <c:v>55</c:v>
                </c:pt>
              </c:numCache>
            </c:numRef>
          </c:xVal>
          <c:yVal>
            <c:numRef>
              <c:f>Salmonella!$L$1052:$L$1057</c:f>
              <c:numCache>
                <c:formatCode>0.00</c:formatCode>
                <c:ptCount val="6"/>
                <c:pt idx="0">
                  <c:v>0.3010299956639812</c:v>
                </c:pt>
                <c:pt idx="1">
                  <c:v>0.14612803567823801</c:v>
                </c:pt>
                <c:pt idx="2">
                  <c:v>0.38021124171160603</c:v>
                </c:pt>
                <c:pt idx="3">
                  <c:v>0.68124123737558717</c:v>
                </c:pt>
                <c:pt idx="4">
                  <c:v>1.0969100130080565</c:v>
                </c:pt>
                <c:pt idx="5">
                  <c:v>1.1643528557844371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431-4068-98F5-14FDCC00D1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885792"/>
        <c:axId val="1"/>
      </c:scatterChart>
      <c:valAx>
        <c:axId val="481885792"/>
        <c:scaling>
          <c:orientation val="minMax"/>
          <c:max val="95"/>
          <c:min val="45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1125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T (</a:t>
                </a:r>
                <a:r>
                  <a:rPr lang="nl-NL" sz="1125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°</a:t>
                </a:r>
                <a:r>
                  <a:rPr lang="nl-NL" sz="1125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C)</a:t>
                </a:r>
              </a:p>
            </c:rich>
          </c:tx>
          <c:layout>
            <c:manualLayout>
              <c:xMode val="edge"/>
              <c:yMode val="edge"/>
              <c:x val="0.35714335708036493"/>
              <c:y val="0.8922326814411355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Log D (log min)</a:t>
                </a:r>
              </a:p>
            </c:rich>
          </c:tx>
          <c:layout>
            <c:manualLayout>
              <c:xMode val="edge"/>
              <c:yMode val="edge"/>
              <c:x val="2.5396825396825397E-2"/>
              <c:y val="0.3408529197008268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8188579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1904845227679874"/>
          <c:y val="0.378447167788237"/>
          <c:w val="0.47142923801191516"/>
          <c:h val="0.5714298870535918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312079332999962"/>
          <c:y val="7.5581538391659084E-2"/>
          <c:w val="0.57730576422008562"/>
          <c:h val="0.80620307617769682"/>
        </c:manualLayout>
      </c:layout>
      <c:scatterChart>
        <c:scatterStyle val="lineMarker"/>
        <c:varyColors val="0"/>
        <c:ser>
          <c:idx val="4"/>
          <c:order val="0"/>
          <c:tx>
            <c:v>Beef</c:v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Salmonella!$I$88:$I$179</c:f>
              <c:numCache>
                <c:formatCode>General</c:formatCode>
                <c:ptCount val="92"/>
                <c:pt idx="0">
                  <c:v>65</c:v>
                </c:pt>
                <c:pt idx="1">
                  <c:v>62.5</c:v>
                </c:pt>
                <c:pt idx="2">
                  <c:v>60</c:v>
                </c:pt>
                <c:pt idx="3">
                  <c:v>58</c:v>
                </c:pt>
                <c:pt idx="4">
                  <c:v>65</c:v>
                </c:pt>
                <c:pt idx="5">
                  <c:v>62.5</c:v>
                </c:pt>
                <c:pt idx="6">
                  <c:v>60</c:v>
                </c:pt>
                <c:pt idx="7">
                  <c:v>58</c:v>
                </c:pt>
                <c:pt idx="8">
                  <c:v>65</c:v>
                </c:pt>
                <c:pt idx="9">
                  <c:v>62.5</c:v>
                </c:pt>
                <c:pt idx="10">
                  <c:v>60</c:v>
                </c:pt>
                <c:pt idx="11">
                  <c:v>58</c:v>
                </c:pt>
                <c:pt idx="12">
                  <c:v>65</c:v>
                </c:pt>
                <c:pt idx="13">
                  <c:v>62.5</c:v>
                </c:pt>
                <c:pt idx="14">
                  <c:v>60</c:v>
                </c:pt>
                <c:pt idx="15">
                  <c:v>58</c:v>
                </c:pt>
                <c:pt idx="16">
                  <c:v>65.5</c:v>
                </c:pt>
                <c:pt idx="17">
                  <c:v>51.6</c:v>
                </c:pt>
                <c:pt idx="18">
                  <c:v>51.6</c:v>
                </c:pt>
                <c:pt idx="19">
                  <c:v>57.2</c:v>
                </c:pt>
                <c:pt idx="20">
                  <c:v>57.2</c:v>
                </c:pt>
                <c:pt idx="21">
                  <c:v>62.7</c:v>
                </c:pt>
                <c:pt idx="22">
                  <c:v>62.7</c:v>
                </c:pt>
                <c:pt idx="23">
                  <c:v>54</c:v>
                </c:pt>
                <c:pt idx="24">
                  <c:v>60</c:v>
                </c:pt>
                <c:pt idx="25">
                  <c:v>53</c:v>
                </c:pt>
                <c:pt idx="26">
                  <c:v>58</c:v>
                </c:pt>
                <c:pt idx="27">
                  <c:v>63</c:v>
                </c:pt>
                <c:pt idx="28">
                  <c:v>68</c:v>
                </c:pt>
                <c:pt idx="29">
                  <c:v>51.6</c:v>
                </c:pt>
                <c:pt idx="30">
                  <c:v>57.2</c:v>
                </c:pt>
                <c:pt idx="31">
                  <c:v>62.76</c:v>
                </c:pt>
                <c:pt idx="32">
                  <c:v>54</c:v>
                </c:pt>
                <c:pt idx="33">
                  <c:v>54</c:v>
                </c:pt>
                <c:pt idx="34">
                  <c:v>60</c:v>
                </c:pt>
                <c:pt idx="35">
                  <c:v>60</c:v>
                </c:pt>
                <c:pt idx="36">
                  <c:v>50</c:v>
                </c:pt>
                <c:pt idx="37">
                  <c:v>50</c:v>
                </c:pt>
                <c:pt idx="38">
                  <c:v>50</c:v>
                </c:pt>
                <c:pt idx="39">
                  <c:v>50</c:v>
                </c:pt>
                <c:pt idx="40">
                  <c:v>57</c:v>
                </c:pt>
                <c:pt idx="41">
                  <c:v>57</c:v>
                </c:pt>
                <c:pt idx="42">
                  <c:v>58</c:v>
                </c:pt>
                <c:pt idx="43">
                  <c:v>58</c:v>
                </c:pt>
                <c:pt idx="44">
                  <c:v>63</c:v>
                </c:pt>
                <c:pt idx="45">
                  <c:v>57</c:v>
                </c:pt>
                <c:pt idx="46">
                  <c:v>57</c:v>
                </c:pt>
                <c:pt idx="47">
                  <c:v>63</c:v>
                </c:pt>
                <c:pt idx="48">
                  <c:v>54</c:v>
                </c:pt>
                <c:pt idx="49">
                  <c:v>60</c:v>
                </c:pt>
                <c:pt idx="50">
                  <c:v>58</c:v>
                </c:pt>
                <c:pt idx="51">
                  <c:v>61</c:v>
                </c:pt>
                <c:pt idx="52">
                  <c:v>64</c:v>
                </c:pt>
                <c:pt idx="53">
                  <c:v>66</c:v>
                </c:pt>
                <c:pt idx="54">
                  <c:v>63</c:v>
                </c:pt>
                <c:pt idx="55">
                  <c:v>61</c:v>
                </c:pt>
                <c:pt idx="56">
                  <c:v>58</c:v>
                </c:pt>
                <c:pt idx="57">
                  <c:v>55</c:v>
                </c:pt>
                <c:pt idx="58">
                  <c:v>63</c:v>
                </c:pt>
                <c:pt idx="59">
                  <c:v>61</c:v>
                </c:pt>
                <c:pt idx="60">
                  <c:v>58</c:v>
                </c:pt>
                <c:pt idx="61">
                  <c:v>55</c:v>
                </c:pt>
                <c:pt idx="62">
                  <c:v>63</c:v>
                </c:pt>
                <c:pt idx="63">
                  <c:v>61</c:v>
                </c:pt>
                <c:pt idx="64">
                  <c:v>58</c:v>
                </c:pt>
                <c:pt idx="65">
                  <c:v>55</c:v>
                </c:pt>
                <c:pt idx="66">
                  <c:v>63</c:v>
                </c:pt>
                <c:pt idx="67">
                  <c:v>61</c:v>
                </c:pt>
                <c:pt idx="68">
                  <c:v>58</c:v>
                </c:pt>
                <c:pt idx="69">
                  <c:v>55</c:v>
                </c:pt>
                <c:pt idx="70">
                  <c:v>55</c:v>
                </c:pt>
                <c:pt idx="71">
                  <c:v>58</c:v>
                </c:pt>
                <c:pt idx="72">
                  <c:v>61</c:v>
                </c:pt>
                <c:pt idx="73">
                  <c:v>64</c:v>
                </c:pt>
                <c:pt idx="74">
                  <c:v>55</c:v>
                </c:pt>
                <c:pt idx="75">
                  <c:v>58</c:v>
                </c:pt>
                <c:pt idx="76">
                  <c:v>61</c:v>
                </c:pt>
                <c:pt idx="77">
                  <c:v>64</c:v>
                </c:pt>
                <c:pt idx="78">
                  <c:v>55</c:v>
                </c:pt>
                <c:pt idx="79">
                  <c:v>58</c:v>
                </c:pt>
                <c:pt idx="80">
                  <c:v>61</c:v>
                </c:pt>
                <c:pt idx="81">
                  <c:v>64</c:v>
                </c:pt>
                <c:pt idx="82">
                  <c:v>55</c:v>
                </c:pt>
                <c:pt idx="83">
                  <c:v>58</c:v>
                </c:pt>
                <c:pt idx="84">
                  <c:v>61</c:v>
                </c:pt>
                <c:pt idx="85">
                  <c:v>64</c:v>
                </c:pt>
                <c:pt idx="86">
                  <c:v>60</c:v>
                </c:pt>
                <c:pt idx="87">
                  <c:v>60</c:v>
                </c:pt>
                <c:pt idx="88">
                  <c:v>65</c:v>
                </c:pt>
                <c:pt idx="89">
                  <c:v>70</c:v>
                </c:pt>
                <c:pt idx="90">
                  <c:v>62</c:v>
                </c:pt>
                <c:pt idx="91">
                  <c:v>60</c:v>
                </c:pt>
              </c:numCache>
            </c:numRef>
          </c:xVal>
          <c:yVal>
            <c:numRef>
              <c:f>Salmonella!$L$88:$L$179</c:f>
              <c:numCache>
                <c:formatCode>0.00</c:formatCode>
                <c:ptCount val="92"/>
                <c:pt idx="0">
                  <c:v>-0.14266750356873156</c:v>
                </c:pt>
                <c:pt idx="1">
                  <c:v>1.7867718963505686E-2</c:v>
                </c:pt>
                <c:pt idx="2">
                  <c:v>0.39619934709573629</c:v>
                </c:pt>
                <c:pt idx="3">
                  <c:v>0.85997844164202075</c:v>
                </c:pt>
                <c:pt idx="4">
                  <c:v>-0.10347378251044473</c:v>
                </c:pt>
                <c:pt idx="5">
                  <c:v>0.3820170425748684</c:v>
                </c:pt>
                <c:pt idx="6">
                  <c:v>0.36660971039242962</c:v>
                </c:pt>
                <c:pt idx="7">
                  <c:v>0.86356076452624253</c:v>
                </c:pt>
                <c:pt idx="8">
                  <c:v>-0.14266750356873156</c:v>
                </c:pt>
                <c:pt idx="9">
                  <c:v>0.44404479591807633</c:v>
                </c:pt>
                <c:pt idx="10">
                  <c:v>0.38560627359831223</c:v>
                </c:pt>
                <c:pt idx="11">
                  <c:v>0.85937850442560093</c:v>
                </c:pt>
                <c:pt idx="12">
                  <c:v>-0.1180450286603995</c:v>
                </c:pt>
                <c:pt idx="13">
                  <c:v>-1.322826573375516E-2</c:v>
                </c:pt>
                <c:pt idx="14">
                  <c:v>0.42845877351558009</c:v>
                </c:pt>
                <c:pt idx="15">
                  <c:v>0.61341894503457306</c:v>
                </c:pt>
                <c:pt idx="16">
                  <c:v>-0.17717835469689538</c:v>
                </c:pt>
                <c:pt idx="17">
                  <c:v>1.7853298350107671</c:v>
                </c:pt>
                <c:pt idx="18">
                  <c:v>1.7923916894982539</c:v>
                </c:pt>
                <c:pt idx="19">
                  <c:v>0.57978359661681012</c:v>
                </c:pt>
                <c:pt idx="20">
                  <c:v>0.62324929039790045</c:v>
                </c:pt>
                <c:pt idx="21">
                  <c:v>-0.22184874961635639</c:v>
                </c:pt>
                <c:pt idx="22">
                  <c:v>-0.15490195998574319</c:v>
                </c:pt>
                <c:pt idx="23">
                  <c:v>1.2041199826559248</c:v>
                </c:pt>
                <c:pt idx="24">
                  <c:v>-4.5757490560675115E-2</c:v>
                </c:pt>
                <c:pt idx="25">
                  <c:v>1.7242758696007889</c:v>
                </c:pt>
                <c:pt idx="26">
                  <c:v>1.1818435879447726</c:v>
                </c:pt>
                <c:pt idx="27">
                  <c:v>0.31806333496276157</c:v>
                </c:pt>
                <c:pt idx="28">
                  <c:v>-0.65757731917779372</c:v>
                </c:pt>
                <c:pt idx="29">
                  <c:v>1.7923916894982539</c:v>
                </c:pt>
                <c:pt idx="30">
                  <c:v>0.62324929039790045</c:v>
                </c:pt>
                <c:pt idx="31">
                  <c:v>-0.15490195998574319</c:v>
                </c:pt>
                <c:pt idx="32">
                  <c:v>1.0211892990699381</c:v>
                </c:pt>
                <c:pt idx="33">
                  <c:v>1.3979400086720377</c:v>
                </c:pt>
                <c:pt idx="34">
                  <c:v>-0.33724216831842591</c:v>
                </c:pt>
                <c:pt idx="35">
                  <c:v>0.10037054511756291</c:v>
                </c:pt>
                <c:pt idx="36">
                  <c:v>1.4800069429571505</c:v>
                </c:pt>
                <c:pt idx="37">
                  <c:v>1.8954225460394079</c:v>
                </c:pt>
                <c:pt idx="38">
                  <c:v>1.9159272116971158</c:v>
                </c:pt>
                <c:pt idx="39">
                  <c:v>1.6972293427597176</c:v>
                </c:pt>
                <c:pt idx="40">
                  <c:v>0.3222192947339193</c:v>
                </c:pt>
                <c:pt idx="41">
                  <c:v>0.43136376415898736</c:v>
                </c:pt>
                <c:pt idx="42">
                  <c:v>0.41664050733828095</c:v>
                </c:pt>
                <c:pt idx="43">
                  <c:v>0.93449845124356767</c:v>
                </c:pt>
                <c:pt idx="44">
                  <c:v>-0.44369749923271273</c:v>
                </c:pt>
                <c:pt idx="45">
                  <c:v>0.32837960343873768</c:v>
                </c:pt>
                <c:pt idx="46">
                  <c:v>0.42651126136457523</c:v>
                </c:pt>
                <c:pt idx="47">
                  <c:v>-0.44369749923271273</c:v>
                </c:pt>
                <c:pt idx="48">
                  <c:v>1.3617278360175928</c:v>
                </c:pt>
                <c:pt idx="49">
                  <c:v>0.11394335230683679</c:v>
                </c:pt>
                <c:pt idx="50">
                  <c:v>1.3382572302462556</c:v>
                </c:pt>
                <c:pt idx="51">
                  <c:v>0.52891670027765469</c:v>
                </c:pt>
                <c:pt idx="52">
                  <c:v>-3.6212172654444715E-2</c:v>
                </c:pt>
                <c:pt idx="53">
                  <c:v>-0.46852108295774486</c:v>
                </c:pt>
                <c:pt idx="54">
                  <c:v>-0.82390874094431876</c:v>
                </c:pt>
                <c:pt idx="55">
                  <c:v>-0.35654732351381258</c:v>
                </c:pt>
                <c:pt idx="56">
                  <c:v>0.43456890403419873</c:v>
                </c:pt>
                <c:pt idx="57">
                  <c:v>1.2132520521963968</c:v>
                </c:pt>
                <c:pt idx="58">
                  <c:v>-0.69897000433601875</c:v>
                </c:pt>
                <c:pt idx="59">
                  <c:v>-0.24412514432750865</c:v>
                </c:pt>
                <c:pt idx="60">
                  <c:v>0.53019969820308221</c:v>
                </c:pt>
                <c:pt idx="61">
                  <c:v>1.2709116394104811</c:v>
                </c:pt>
                <c:pt idx="62">
                  <c:v>-0.85387196432176193</c:v>
                </c:pt>
                <c:pt idx="63">
                  <c:v>-0.53760200210104392</c:v>
                </c:pt>
                <c:pt idx="64">
                  <c:v>0.1553360374650618</c:v>
                </c:pt>
                <c:pt idx="65">
                  <c:v>0.99343623049761176</c:v>
                </c:pt>
                <c:pt idx="66">
                  <c:v>-0.69897000433601875</c:v>
                </c:pt>
                <c:pt idx="67">
                  <c:v>-0.55284196865778079</c:v>
                </c:pt>
                <c:pt idx="68">
                  <c:v>0.37291200297010657</c:v>
                </c:pt>
                <c:pt idx="69">
                  <c:v>1.0976043288744108</c:v>
                </c:pt>
                <c:pt idx="70">
                  <c:v>1.3420276880874717</c:v>
                </c:pt>
                <c:pt idx="71">
                  <c:v>0.41995574848975786</c:v>
                </c:pt>
                <c:pt idx="72">
                  <c:v>-0.18708664335714442</c:v>
                </c:pt>
                <c:pt idx="73">
                  <c:v>-0.79588001734407521</c:v>
                </c:pt>
                <c:pt idx="74">
                  <c:v>1.0115704435972781</c:v>
                </c:pt>
                <c:pt idx="75">
                  <c:v>0.31386722036915343</c:v>
                </c:pt>
                <c:pt idx="76">
                  <c:v>-0.36653154442041347</c:v>
                </c:pt>
                <c:pt idx="77">
                  <c:v>-0.85387196432176193</c:v>
                </c:pt>
                <c:pt idx="78">
                  <c:v>0.9566485792052033</c:v>
                </c:pt>
                <c:pt idx="79">
                  <c:v>0.35410843914740087</c:v>
                </c:pt>
                <c:pt idx="80">
                  <c:v>-0.24412514432750865</c:v>
                </c:pt>
                <c:pt idx="81">
                  <c:v>-0.82390874094431876</c:v>
                </c:pt>
                <c:pt idx="82">
                  <c:v>1.0232524596337116</c:v>
                </c:pt>
                <c:pt idx="83">
                  <c:v>0.33243845991560533</c:v>
                </c:pt>
                <c:pt idx="84">
                  <c:v>-0.38721614328026455</c:v>
                </c:pt>
                <c:pt idx="85">
                  <c:v>-1.1549019599857431</c:v>
                </c:pt>
                <c:pt idx="86">
                  <c:v>-0.33724216831842591</c:v>
                </c:pt>
                <c:pt idx="87">
                  <c:v>-4.5757490560675115E-2</c:v>
                </c:pt>
                <c:pt idx="88">
                  <c:v>-0.6020599913279624</c:v>
                </c:pt>
                <c:pt idx="89">
                  <c:v>-1.0222763947111522</c:v>
                </c:pt>
                <c:pt idx="90">
                  <c:v>0.42324587393680785</c:v>
                </c:pt>
                <c:pt idx="91">
                  <c:v>-4.5757490560675115E-2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05-4975-868A-8E24161DA3FD}"/>
            </c:ext>
          </c:extLst>
        </c:ser>
        <c:ser>
          <c:idx val="6"/>
          <c:order val="1"/>
          <c:tx>
            <c:v>Chicken</c:v>
          </c:tx>
          <c:spPr>
            <a:ln w="28575"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Salmonella!$I$180:$I$196</c:f>
              <c:numCache>
                <c:formatCode>General</c:formatCode>
                <c:ptCount val="17"/>
                <c:pt idx="0">
                  <c:v>55</c:v>
                </c:pt>
                <c:pt idx="1">
                  <c:v>57.5</c:v>
                </c:pt>
                <c:pt idx="2">
                  <c:v>60</c:v>
                </c:pt>
                <c:pt idx="3">
                  <c:v>62.5</c:v>
                </c:pt>
                <c:pt idx="4">
                  <c:v>65</c:v>
                </c:pt>
                <c:pt idx="5">
                  <c:v>67.5</c:v>
                </c:pt>
                <c:pt idx="6">
                  <c:v>70</c:v>
                </c:pt>
                <c:pt idx="7">
                  <c:v>58</c:v>
                </c:pt>
                <c:pt idx="8">
                  <c:v>58</c:v>
                </c:pt>
                <c:pt idx="9">
                  <c:v>58</c:v>
                </c:pt>
                <c:pt idx="10">
                  <c:v>58</c:v>
                </c:pt>
                <c:pt idx="11">
                  <c:v>58</c:v>
                </c:pt>
                <c:pt idx="12">
                  <c:v>58</c:v>
                </c:pt>
                <c:pt idx="13">
                  <c:v>58</c:v>
                </c:pt>
                <c:pt idx="14">
                  <c:v>58</c:v>
                </c:pt>
                <c:pt idx="15">
                  <c:v>52</c:v>
                </c:pt>
                <c:pt idx="16">
                  <c:v>52</c:v>
                </c:pt>
              </c:numCache>
            </c:numRef>
          </c:xVal>
          <c:yVal>
            <c:numRef>
              <c:f>Salmonella!$L$170:$L$196</c:f>
              <c:numCache>
                <c:formatCode>0.00</c:formatCode>
                <c:ptCount val="27"/>
                <c:pt idx="0">
                  <c:v>1.0232524596337116</c:v>
                </c:pt>
                <c:pt idx="1">
                  <c:v>0.33243845991560533</c:v>
                </c:pt>
                <c:pt idx="2">
                  <c:v>-0.38721614328026455</c:v>
                </c:pt>
                <c:pt idx="3">
                  <c:v>-1.1549019599857431</c:v>
                </c:pt>
                <c:pt idx="4">
                  <c:v>-0.33724216831842591</c:v>
                </c:pt>
                <c:pt idx="5">
                  <c:v>-4.5757490560675115E-2</c:v>
                </c:pt>
                <c:pt idx="6">
                  <c:v>-0.6020599913279624</c:v>
                </c:pt>
                <c:pt idx="7">
                  <c:v>-1.0222763947111522</c:v>
                </c:pt>
                <c:pt idx="8">
                  <c:v>0.42324587393680785</c:v>
                </c:pt>
                <c:pt idx="9">
                  <c:v>-4.5757490560675115E-2</c:v>
                </c:pt>
                <c:pt idx="10">
                  <c:v>1.38147609027503</c:v>
                </c:pt>
                <c:pt idx="11">
                  <c:v>0.98227123303956843</c:v>
                </c:pt>
                <c:pt idx="12">
                  <c:v>0.58319877396862274</c:v>
                </c:pt>
                <c:pt idx="13">
                  <c:v>0.18469143081759881</c:v>
                </c:pt>
                <c:pt idx="14">
                  <c:v>-0.21467016498923297</c:v>
                </c:pt>
                <c:pt idx="15">
                  <c:v>-0.61978875828839397</c:v>
                </c:pt>
                <c:pt idx="16">
                  <c:v>-1</c:v>
                </c:pt>
                <c:pt idx="17">
                  <c:v>0.250420002308894</c:v>
                </c:pt>
                <c:pt idx="18">
                  <c:v>0.35983548233988799</c:v>
                </c:pt>
                <c:pt idx="19">
                  <c:v>0.28780172993022601</c:v>
                </c:pt>
                <c:pt idx="20">
                  <c:v>0.16136800223497488</c:v>
                </c:pt>
                <c:pt idx="21">
                  <c:v>0.37106786227173627</c:v>
                </c:pt>
                <c:pt idx="22">
                  <c:v>0.3344537511509309</c:v>
                </c:pt>
                <c:pt idx="23">
                  <c:v>0.33645973384852951</c:v>
                </c:pt>
                <c:pt idx="24">
                  <c:v>0.29003461136251801</c:v>
                </c:pt>
                <c:pt idx="25">
                  <c:v>1.7904259173911106</c:v>
                </c:pt>
                <c:pt idx="26">
                  <c:v>1.424064525417488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05-4975-868A-8E24161DA3FD}"/>
            </c:ext>
          </c:extLst>
        </c:ser>
        <c:ser>
          <c:idx val="16"/>
          <c:order val="2"/>
          <c:tx>
            <c:v>Egg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Salmonella!$I$211:$I$336</c:f>
              <c:numCache>
                <c:formatCode>General</c:formatCode>
                <c:ptCount val="126"/>
                <c:pt idx="0">
                  <c:v>56.7</c:v>
                </c:pt>
                <c:pt idx="1">
                  <c:v>56.7</c:v>
                </c:pt>
                <c:pt idx="2">
                  <c:v>58.5</c:v>
                </c:pt>
                <c:pt idx="3">
                  <c:v>63</c:v>
                </c:pt>
                <c:pt idx="4">
                  <c:v>52.2</c:v>
                </c:pt>
                <c:pt idx="5">
                  <c:v>52.2</c:v>
                </c:pt>
                <c:pt idx="6">
                  <c:v>55</c:v>
                </c:pt>
                <c:pt idx="7">
                  <c:v>55</c:v>
                </c:pt>
                <c:pt idx="8">
                  <c:v>55</c:v>
                </c:pt>
                <c:pt idx="9">
                  <c:v>55</c:v>
                </c:pt>
                <c:pt idx="10">
                  <c:v>60</c:v>
                </c:pt>
                <c:pt idx="11">
                  <c:v>55</c:v>
                </c:pt>
                <c:pt idx="12">
                  <c:v>55</c:v>
                </c:pt>
                <c:pt idx="13">
                  <c:v>56.7</c:v>
                </c:pt>
                <c:pt idx="14">
                  <c:v>56.7</c:v>
                </c:pt>
                <c:pt idx="15">
                  <c:v>58.3</c:v>
                </c:pt>
                <c:pt idx="16">
                  <c:v>58.3</c:v>
                </c:pt>
                <c:pt idx="17">
                  <c:v>55.5</c:v>
                </c:pt>
                <c:pt idx="18">
                  <c:v>56.7</c:v>
                </c:pt>
                <c:pt idx="19">
                  <c:v>56.7</c:v>
                </c:pt>
                <c:pt idx="20">
                  <c:v>56.7</c:v>
                </c:pt>
                <c:pt idx="21">
                  <c:v>56.7</c:v>
                </c:pt>
                <c:pt idx="22">
                  <c:v>56.7</c:v>
                </c:pt>
                <c:pt idx="23">
                  <c:v>57.6</c:v>
                </c:pt>
                <c:pt idx="24">
                  <c:v>52.2</c:v>
                </c:pt>
                <c:pt idx="25">
                  <c:v>52.2</c:v>
                </c:pt>
                <c:pt idx="26">
                  <c:v>55</c:v>
                </c:pt>
                <c:pt idx="27">
                  <c:v>55</c:v>
                </c:pt>
                <c:pt idx="28">
                  <c:v>55</c:v>
                </c:pt>
                <c:pt idx="29">
                  <c:v>56.7</c:v>
                </c:pt>
                <c:pt idx="30">
                  <c:v>56.7</c:v>
                </c:pt>
                <c:pt idx="31">
                  <c:v>60</c:v>
                </c:pt>
                <c:pt idx="32">
                  <c:v>54.8</c:v>
                </c:pt>
                <c:pt idx="33">
                  <c:v>55</c:v>
                </c:pt>
                <c:pt idx="34">
                  <c:v>55</c:v>
                </c:pt>
                <c:pt idx="35" formatCode="0.00">
                  <c:v>56.7</c:v>
                </c:pt>
                <c:pt idx="36">
                  <c:v>58.3</c:v>
                </c:pt>
                <c:pt idx="37">
                  <c:v>60</c:v>
                </c:pt>
                <c:pt idx="38">
                  <c:v>60</c:v>
                </c:pt>
                <c:pt idx="39">
                  <c:v>55</c:v>
                </c:pt>
                <c:pt idx="40">
                  <c:v>51.5</c:v>
                </c:pt>
                <c:pt idx="41">
                  <c:v>53.2</c:v>
                </c:pt>
                <c:pt idx="42">
                  <c:v>52.2</c:v>
                </c:pt>
                <c:pt idx="43">
                  <c:v>52.2</c:v>
                </c:pt>
                <c:pt idx="44">
                  <c:v>55</c:v>
                </c:pt>
                <c:pt idx="45">
                  <c:v>55</c:v>
                </c:pt>
                <c:pt idx="46">
                  <c:v>52.2</c:v>
                </c:pt>
                <c:pt idx="47">
                  <c:v>52.2</c:v>
                </c:pt>
                <c:pt idx="48">
                  <c:v>55</c:v>
                </c:pt>
                <c:pt idx="49">
                  <c:v>55</c:v>
                </c:pt>
                <c:pt idx="50">
                  <c:v>55</c:v>
                </c:pt>
                <c:pt idx="51">
                  <c:v>55</c:v>
                </c:pt>
                <c:pt idx="52">
                  <c:v>50</c:v>
                </c:pt>
                <c:pt idx="53">
                  <c:v>50</c:v>
                </c:pt>
                <c:pt idx="54">
                  <c:v>50</c:v>
                </c:pt>
                <c:pt idx="55">
                  <c:v>55</c:v>
                </c:pt>
                <c:pt idx="56">
                  <c:v>55</c:v>
                </c:pt>
                <c:pt idx="57">
                  <c:v>55</c:v>
                </c:pt>
                <c:pt idx="58">
                  <c:v>57.5</c:v>
                </c:pt>
                <c:pt idx="59">
                  <c:v>57.5</c:v>
                </c:pt>
                <c:pt idx="60">
                  <c:v>60</c:v>
                </c:pt>
                <c:pt idx="61">
                  <c:v>60</c:v>
                </c:pt>
                <c:pt idx="62">
                  <c:v>64</c:v>
                </c:pt>
                <c:pt idx="63">
                  <c:v>62.8</c:v>
                </c:pt>
                <c:pt idx="64">
                  <c:v>54.4</c:v>
                </c:pt>
                <c:pt idx="65">
                  <c:v>57.2</c:v>
                </c:pt>
                <c:pt idx="66">
                  <c:v>57.2</c:v>
                </c:pt>
                <c:pt idx="67">
                  <c:v>57.2</c:v>
                </c:pt>
                <c:pt idx="68">
                  <c:v>60</c:v>
                </c:pt>
                <c:pt idx="69">
                  <c:v>62.8</c:v>
                </c:pt>
                <c:pt idx="70">
                  <c:v>63</c:v>
                </c:pt>
                <c:pt idx="71">
                  <c:v>55</c:v>
                </c:pt>
                <c:pt idx="72">
                  <c:v>60</c:v>
                </c:pt>
                <c:pt idx="73">
                  <c:v>64</c:v>
                </c:pt>
                <c:pt idx="74">
                  <c:v>55</c:v>
                </c:pt>
                <c:pt idx="75">
                  <c:v>55</c:v>
                </c:pt>
                <c:pt idx="76">
                  <c:v>60</c:v>
                </c:pt>
                <c:pt idx="77">
                  <c:v>60</c:v>
                </c:pt>
                <c:pt idx="78">
                  <c:v>64</c:v>
                </c:pt>
                <c:pt idx="79">
                  <c:v>60</c:v>
                </c:pt>
                <c:pt idx="80">
                  <c:v>60</c:v>
                </c:pt>
                <c:pt idx="81">
                  <c:v>55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61.1</c:v>
                </c:pt>
                <c:pt idx="86">
                  <c:v>61.1</c:v>
                </c:pt>
                <c:pt idx="87">
                  <c:v>62.2</c:v>
                </c:pt>
                <c:pt idx="88">
                  <c:v>62.2</c:v>
                </c:pt>
                <c:pt idx="89">
                  <c:v>55</c:v>
                </c:pt>
                <c:pt idx="90">
                  <c:v>60</c:v>
                </c:pt>
                <c:pt idx="91">
                  <c:v>60</c:v>
                </c:pt>
                <c:pt idx="92">
                  <c:v>61.1</c:v>
                </c:pt>
                <c:pt idx="93">
                  <c:v>62.2</c:v>
                </c:pt>
                <c:pt idx="94">
                  <c:v>55</c:v>
                </c:pt>
                <c:pt idx="95">
                  <c:v>58.8</c:v>
                </c:pt>
                <c:pt idx="96">
                  <c:v>60</c:v>
                </c:pt>
                <c:pt idx="97">
                  <c:v>60</c:v>
                </c:pt>
                <c:pt idx="98">
                  <c:v>60</c:v>
                </c:pt>
                <c:pt idx="99">
                  <c:v>61.1</c:v>
                </c:pt>
                <c:pt idx="100">
                  <c:v>62.2</c:v>
                </c:pt>
                <c:pt idx="101">
                  <c:v>60</c:v>
                </c:pt>
                <c:pt idx="102">
                  <c:v>61.1</c:v>
                </c:pt>
                <c:pt idx="103">
                  <c:v>62.2</c:v>
                </c:pt>
                <c:pt idx="104">
                  <c:v>60</c:v>
                </c:pt>
                <c:pt idx="105">
                  <c:v>60</c:v>
                </c:pt>
                <c:pt idx="106">
                  <c:v>55</c:v>
                </c:pt>
                <c:pt idx="107">
                  <c:v>55</c:v>
                </c:pt>
                <c:pt idx="108">
                  <c:v>57.2</c:v>
                </c:pt>
                <c:pt idx="109">
                  <c:v>57.2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58</c:v>
                </c:pt>
                <c:pt idx="115">
                  <c:v>58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60</c:v>
                </c:pt>
                <c:pt idx="121">
                  <c:v>60</c:v>
                </c:pt>
                <c:pt idx="122">
                  <c:v>57.8</c:v>
                </c:pt>
                <c:pt idx="123">
                  <c:v>62.2</c:v>
                </c:pt>
                <c:pt idx="124">
                  <c:v>62.2</c:v>
                </c:pt>
                <c:pt idx="125">
                  <c:v>59.5</c:v>
                </c:pt>
              </c:numCache>
            </c:numRef>
          </c:xVal>
          <c:yVal>
            <c:numRef>
              <c:f>Salmonella!$L$211:$L$336</c:f>
              <c:numCache>
                <c:formatCode>0.00</c:formatCode>
                <c:ptCount val="126"/>
                <c:pt idx="0">
                  <c:v>-0.20065945054641829</c:v>
                </c:pt>
                <c:pt idx="1">
                  <c:v>-0.18045606445813131</c:v>
                </c:pt>
                <c:pt idx="2">
                  <c:v>-0.63827216398240705</c:v>
                </c:pt>
                <c:pt idx="3">
                  <c:v>-0.58502665202918203</c:v>
                </c:pt>
                <c:pt idx="4">
                  <c:v>0.64147411050409953</c:v>
                </c:pt>
                <c:pt idx="5">
                  <c:v>0.49968708261840383</c:v>
                </c:pt>
                <c:pt idx="6">
                  <c:v>0.12057393120584989</c:v>
                </c:pt>
                <c:pt idx="7">
                  <c:v>-2.2276394711152253E-2</c:v>
                </c:pt>
                <c:pt idx="8">
                  <c:v>-0.14266750356873156</c:v>
                </c:pt>
                <c:pt idx="9">
                  <c:v>0.17609125905568124</c:v>
                </c:pt>
                <c:pt idx="10">
                  <c:v>-0.69897000433601875</c:v>
                </c:pt>
                <c:pt idx="11">
                  <c:v>0.90254677931399141</c:v>
                </c:pt>
                <c:pt idx="12">
                  <c:v>0.50105926221775143</c:v>
                </c:pt>
                <c:pt idx="13">
                  <c:v>0.47129171105893858</c:v>
                </c:pt>
                <c:pt idx="14">
                  <c:v>0.19865708695442263</c:v>
                </c:pt>
                <c:pt idx="15">
                  <c:v>0</c:v>
                </c:pt>
                <c:pt idx="16">
                  <c:v>-0.28399665636520083</c:v>
                </c:pt>
                <c:pt idx="17">
                  <c:v>0.43775056282038799</c:v>
                </c:pt>
                <c:pt idx="18">
                  <c:v>3.342375548694973E-2</c:v>
                </c:pt>
                <c:pt idx="19">
                  <c:v>0.20139712432045151</c:v>
                </c:pt>
                <c:pt idx="20">
                  <c:v>0.33041377334919086</c:v>
                </c:pt>
                <c:pt idx="21">
                  <c:v>0.55630250076728727</c:v>
                </c:pt>
                <c:pt idx="22">
                  <c:v>0.15836249209524964</c:v>
                </c:pt>
                <c:pt idx="23">
                  <c:v>-0.10790539730951958</c:v>
                </c:pt>
                <c:pt idx="24">
                  <c:v>1.4563660331290431</c:v>
                </c:pt>
                <c:pt idx="25">
                  <c:v>1.2855573090077739</c:v>
                </c:pt>
                <c:pt idx="26">
                  <c:v>0.47712125471966244</c:v>
                </c:pt>
                <c:pt idx="27">
                  <c:v>0.85733249643126852</c:v>
                </c:pt>
                <c:pt idx="28">
                  <c:v>0.69019608002851374</c:v>
                </c:pt>
                <c:pt idx="29">
                  <c:v>0.49136169383427269</c:v>
                </c:pt>
                <c:pt idx="30">
                  <c:v>-0.46852108295774486</c:v>
                </c:pt>
                <c:pt idx="31">
                  <c:v>-9.6910013008056392E-2</c:v>
                </c:pt>
                <c:pt idx="32">
                  <c:v>-0.19382002601611281</c:v>
                </c:pt>
                <c:pt idx="33">
                  <c:v>-0.25963731050575611</c:v>
                </c:pt>
                <c:pt idx="34">
                  <c:v>0</c:v>
                </c:pt>
                <c:pt idx="35">
                  <c:v>-0.6020599913279624</c:v>
                </c:pt>
                <c:pt idx="36">
                  <c:v>-0.26760624017703144</c:v>
                </c:pt>
                <c:pt idx="37">
                  <c:v>-0.69897000433601875</c:v>
                </c:pt>
                <c:pt idx="38">
                  <c:v>-0.52287874528033762</c:v>
                </c:pt>
                <c:pt idx="39">
                  <c:v>7.9181246047624818E-2</c:v>
                </c:pt>
                <c:pt idx="40">
                  <c:v>0.5877109650189114</c:v>
                </c:pt>
                <c:pt idx="41">
                  <c:v>0.20411998265592479</c:v>
                </c:pt>
                <c:pt idx="42">
                  <c:v>-9.1514981121350217E-2</c:v>
                </c:pt>
                <c:pt idx="43">
                  <c:v>-0.25963731050575611</c:v>
                </c:pt>
                <c:pt idx="44">
                  <c:v>-0.65757731917779372</c:v>
                </c:pt>
                <c:pt idx="45">
                  <c:v>-0.82390874094431876</c:v>
                </c:pt>
                <c:pt idx="46">
                  <c:v>0.49136169383427269</c:v>
                </c:pt>
                <c:pt idx="47">
                  <c:v>0.16731733474817609</c:v>
                </c:pt>
                <c:pt idx="48">
                  <c:v>-0.10790539730951958</c:v>
                </c:pt>
                <c:pt idx="49">
                  <c:v>-0.44369749923271273</c:v>
                </c:pt>
                <c:pt idx="50">
                  <c:v>-0.22184874961635639</c:v>
                </c:pt>
                <c:pt idx="51">
                  <c:v>-0.25963731050575611</c:v>
                </c:pt>
                <c:pt idx="52">
                  <c:v>1.5312233745330268</c:v>
                </c:pt>
                <c:pt idx="53">
                  <c:v>0.96848294855393513</c:v>
                </c:pt>
                <c:pt idx="54">
                  <c:v>1.2174839442139063</c:v>
                </c:pt>
                <c:pt idx="55">
                  <c:v>0.14612803567823801</c:v>
                </c:pt>
                <c:pt idx="56">
                  <c:v>0.80617997398388719</c:v>
                </c:pt>
                <c:pt idx="57">
                  <c:v>0.20411998265592479</c:v>
                </c:pt>
                <c:pt idx="58">
                  <c:v>-0.3010299956639812</c:v>
                </c:pt>
                <c:pt idx="59">
                  <c:v>-0.15490195998574319</c:v>
                </c:pt>
                <c:pt idx="60">
                  <c:v>0.48572142648158001</c:v>
                </c:pt>
                <c:pt idx="61">
                  <c:v>-0.3979400086720376</c:v>
                </c:pt>
                <c:pt idx="62">
                  <c:v>-0.65757731917779372</c:v>
                </c:pt>
                <c:pt idx="63">
                  <c:v>-1.2218487496163564</c:v>
                </c:pt>
                <c:pt idx="64">
                  <c:v>1.2755416884013095</c:v>
                </c:pt>
                <c:pt idx="65">
                  <c:v>0.41161970596323016</c:v>
                </c:pt>
                <c:pt idx="66">
                  <c:v>0.68841982200271057</c:v>
                </c:pt>
                <c:pt idx="67">
                  <c:v>0.42160392686983106</c:v>
                </c:pt>
                <c:pt idx="68">
                  <c:v>-0.44369749923271273</c:v>
                </c:pt>
                <c:pt idx="69">
                  <c:v>-1.2218487496163564</c:v>
                </c:pt>
                <c:pt idx="70">
                  <c:v>4.1392685158225077E-2</c:v>
                </c:pt>
                <c:pt idx="71">
                  <c:v>1.5352941200427705</c:v>
                </c:pt>
                <c:pt idx="72">
                  <c:v>0.74818802700620035</c:v>
                </c:pt>
                <c:pt idx="73">
                  <c:v>0.44715803134221921</c:v>
                </c:pt>
                <c:pt idx="74">
                  <c:v>0.36172783601759284</c:v>
                </c:pt>
                <c:pt idx="75">
                  <c:v>0.6020599913279624</c:v>
                </c:pt>
                <c:pt idx="76">
                  <c:v>-0.69897000433601875</c:v>
                </c:pt>
                <c:pt idx="77">
                  <c:v>-0.55284196865778079</c:v>
                </c:pt>
                <c:pt idx="78">
                  <c:v>-0.82390874094431876</c:v>
                </c:pt>
                <c:pt idx="79">
                  <c:v>-0.22184874961635639</c:v>
                </c:pt>
                <c:pt idx="80">
                  <c:v>0</c:v>
                </c:pt>
                <c:pt idx="81">
                  <c:v>1.3222192947339193</c:v>
                </c:pt>
                <c:pt idx="82">
                  <c:v>-0.25963731050575611</c:v>
                </c:pt>
                <c:pt idx="83">
                  <c:v>-0.12493873660829995</c:v>
                </c:pt>
                <c:pt idx="84">
                  <c:v>4.1392685158225077E-2</c:v>
                </c:pt>
                <c:pt idx="85">
                  <c:v>-0.56863623584101264</c:v>
                </c:pt>
                <c:pt idx="86">
                  <c:v>-0.45593195564972439</c:v>
                </c:pt>
                <c:pt idx="87">
                  <c:v>-0.6777807052660807</c:v>
                </c:pt>
                <c:pt idx="88">
                  <c:v>-0.52287874528033762</c:v>
                </c:pt>
                <c:pt idx="89">
                  <c:v>1.6232492903979006</c:v>
                </c:pt>
                <c:pt idx="90">
                  <c:v>1.0718820073061255</c:v>
                </c:pt>
                <c:pt idx="91">
                  <c:v>-0.13667713987954411</c:v>
                </c:pt>
                <c:pt idx="92">
                  <c:v>-0.55284196865778079</c:v>
                </c:pt>
                <c:pt idx="93">
                  <c:v>-0.6777807052660807</c:v>
                </c:pt>
                <c:pt idx="94">
                  <c:v>0.90308998699194354</c:v>
                </c:pt>
                <c:pt idx="95">
                  <c:v>-0.15490195998574319</c:v>
                </c:pt>
                <c:pt idx="96">
                  <c:v>-0.17392519729917355</c:v>
                </c:pt>
                <c:pt idx="97">
                  <c:v>-0.3979400086720376</c:v>
                </c:pt>
                <c:pt idx="98">
                  <c:v>-9.6910013008056392E-2</c:v>
                </c:pt>
                <c:pt idx="99">
                  <c:v>-0.69897000433601875</c:v>
                </c:pt>
                <c:pt idx="100">
                  <c:v>-0.85387196432176193</c:v>
                </c:pt>
                <c:pt idx="101">
                  <c:v>-0.55284196865778079</c:v>
                </c:pt>
                <c:pt idx="102">
                  <c:v>-0.79588001734407521</c:v>
                </c:pt>
                <c:pt idx="103">
                  <c:v>-1.0604807473813815</c:v>
                </c:pt>
                <c:pt idx="104">
                  <c:v>0.70757017609793638</c:v>
                </c:pt>
                <c:pt idx="105">
                  <c:v>0.6020599913279624</c:v>
                </c:pt>
                <c:pt idx="106">
                  <c:v>0.89209460269048035</c:v>
                </c:pt>
                <c:pt idx="107">
                  <c:v>0.92941892571429274</c:v>
                </c:pt>
                <c:pt idx="108">
                  <c:v>8.2785370316450071E-2</c:v>
                </c:pt>
                <c:pt idx="109">
                  <c:v>0.44870631990507992</c:v>
                </c:pt>
                <c:pt idx="110">
                  <c:v>-0.6777807052660807</c:v>
                </c:pt>
                <c:pt idx="111">
                  <c:v>-0.20760831050174613</c:v>
                </c:pt>
                <c:pt idx="112">
                  <c:v>-0.50863830616572736</c:v>
                </c:pt>
                <c:pt idx="113">
                  <c:v>-0.16115090926274472</c:v>
                </c:pt>
                <c:pt idx="114">
                  <c:v>-0.30980391997148632</c:v>
                </c:pt>
                <c:pt idx="115">
                  <c:v>-6.5501548756432285E-2</c:v>
                </c:pt>
                <c:pt idx="116">
                  <c:v>-0.85387196432176193</c:v>
                </c:pt>
                <c:pt idx="117">
                  <c:v>0.34242268082220628</c:v>
                </c:pt>
                <c:pt idx="118">
                  <c:v>-0.79588001734407521</c:v>
                </c:pt>
                <c:pt idx="119">
                  <c:v>-0.33724216831842591</c:v>
                </c:pt>
                <c:pt idx="120">
                  <c:v>-0.6020599913279624</c:v>
                </c:pt>
                <c:pt idx="121">
                  <c:v>-0.34678748622465633</c:v>
                </c:pt>
                <c:pt idx="122">
                  <c:v>0.36172783601759284</c:v>
                </c:pt>
                <c:pt idx="123">
                  <c:v>-0.85387196432176193</c:v>
                </c:pt>
                <c:pt idx="124">
                  <c:v>-0.52287874528033762</c:v>
                </c:pt>
                <c:pt idx="125">
                  <c:v>-7.0581074285707285E-2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E05-4975-868A-8E24161DA3FD}"/>
            </c:ext>
          </c:extLst>
        </c:ser>
        <c:ser>
          <c:idx val="18"/>
          <c:order val="3"/>
          <c:tx>
            <c:v>Media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Salmonella!$I$344:$I$1086</c:f>
              <c:numCache>
                <c:formatCode>General</c:formatCode>
                <c:ptCount val="743"/>
                <c:pt idx="0">
                  <c:v>65.5</c:v>
                </c:pt>
                <c:pt idx="1">
                  <c:v>70</c:v>
                </c:pt>
                <c:pt idx="2">
                  <c:v>60</c:v>
                </c:pt>
                <c:pt idx="3">
                  <c:v>65.5</c:v>
                </c:pt>
                <c:pt idx="4">
                  <c:v>70</c:v>
                </c:pt>
                <c:pt idx="5">
                  <c:v>60</c:v>
                </c:pt>
                <c:pt idx="6">
                  <c:v>60</c:v>
                </c:pt>
                <c:pt idx="7">
                  <c:v>65.5</c:v>
                </c:pt>
                <c:pt idx="8">
                  <c:v>70</c:v>
                </c:pt>
                <c:pt idx="9">
                  <c:v>60</c:v>
                </c:pt>
                <c:pt idx="10">
                  <c:v>65.5</c:v>
                </c:pt>
                <c:pt idx="11">
                  <c:v>70</c:v>
                </c:pt>
                <c:pt idx="12">
                  <c:v>60</c:v>
                </c:pt>
                <c:pt idx="13">
                  <c:v>65.5</c:v>
                </c:pt>
                <c:pt idx="14">
                  <c:v>70</c:v>
                </c:pt>
                <c:pt idx="15">
                  <c:v>60</c:v>
                </c:pt>
                <c:pt idx="16">
                  <c:v>65.5</c:v>
                </c:pt>
                <c:pt idx="17">
                  <c:v>70</c:v>
                </c:pt>
                <c:pt idx="18">
                  <c:v>60</c:v>
                </c:pt>
                <c:pt idx="19">
                  <c:v>65.5</c:v>
                </c:pt>
                <c:pt idx="20">
                  <c:v>70</c:v>
                </c:pt>
                <c:pt idx="21">
                  <c:v>60</c:v>
                </c:pt>
                <c:pt idx="22">
                  <c:v>65.5</c:v>
                </c:pt>
                <c:pt idx="23">
                  <c:v>60</c:v>
                </c:pt>
                <c:pt idx="24">
                  <c:v>65.5</c:v>
                </c:pt>
                <c:pt idx="25">
                  <c:v>70</c:v>
                </c:pt>
                <c:pt idx="26">
                  <c:v>60</c:v>
                </c:pt>
                <c:pt idx="27">
                  <c:v>65.5</c:v>
                </c:pt>
                <c:pt idx="28">
                  <c:v>57.2</c:v>
                </c:pt>
                <c:pt idx="29">
                  <c:v>57.2</c:v>
                </c:pt>
                <c:pt idx="30">
                  <c:v>57.2</c:v>
                </c:pt>
                <c:pt idx="31">
                  <c:v>57.2</c:v>
                </c:pt>
                <c:pt idx="32">
                  <c:v>57.2</c:v>
                </c:pt>
                <c:pt idx="33">
                  <c:v>57.2</c:v>
                </c:pt>
                <c:pt idx="34">
                  <c:v>57.2</c:v>
                </c:pt>
                <c:pt idx="35">
                  <c:v>57.2</c:v>
                </c:pt>
                <c:pt idx="36">
                  <c:v>57.2</c:v>
                </c:pt>
                <c:pt idx="37">
                  <c:v>57.2</c:v>
                </c:pt>
                <c:pt idx="38">
                  <c:v>57.2</c:v>
                </c:pt>
                <c:pt idx="39">
                  <c:v>57.2</c:v>
                </c:pt>
                <c:pt idx="40">
                  <c:v>57.2</c:v>
                </c:pt>
                <c:pt idx="41">
                  <c:v>57.2</c:v>
                </c:pt>
                <c:pt idx="42">
                  <c:v>57.2</c:v>
                </c:pt>
                <c:pt idx="43">
                  <c:v>57.2</c:v>
                </c:pt>
                <c:pt idx="44">
                  <c:v>57.2</c:v>
                </c:pt>
                <c:pt idx="45">
                  <c:v>57.2</c:v>
                </c:pt>
                <c:pt idx="46">
                  <c:v>57.2</c:v>
                </c:pt>
                <c:pt idx="47">
                  <c:v>57.2</c:v>
                </c:pt>
                <c:pt idx="48">
                  <c:v>57.2</c:v>
                </c:pt>
                <c:pt idx="49">
                  <c:v>57.2</c:v>
                </c:pt>
                <c:pt idx="50">
                  <c:v>57.2</c:v>
                </c:pt>
                <c:pt idx="51">
                  <c:v>57.2</c:v>
                </c:pt>
                <c:pt idx="52">
                  <c:v>57.2</c:v>
                </c:pt>
                <c:pt idx="53">
                  <c:v>57.2</c:v>
                </c:pt>
                <c:pt idx="54">
                  <c:v>57.2</c:v>
                </c:pt>
                <c:pt idx="55">
                  <c:v>57.2</c:v>
                </c:pt>
                <c:pt idx="56">
                  <c:v>57.2</c:v>
                </c:pt>
                <c:pt idx="57">
                  <c:v>57.2</c:v>
                </c:pt>
                <c:pt idx="58">
                  <c:v>57.2</c:v>
                </c:pt>
                <c:pt idx="59">
                  <c:v>57.2</c:v>
                </c:pt>
                <c:pt idx="60">
                  <c:v>57.2</c:v>
                </c:pt>
                <c:pt idx="61">
                  <c:v>57.2</c:v>
                </c:pt>
                <c:pt idx="62">
                  <c:v>57.2</c:v>
                </c:pt>
                <c:pt idx="63">
                  <c:v>57.2</c:v>
                </c:pt>
                <c:pt idx="64">
                  <c:v>57.2</c:v>
                </c:pt>
                <c:pt idx="65">
                  <c:v>57.2</c:v>
                </c:pt>
                <c:pt idx="66">
                  <c:v>57.2</c:v>
                </c:pt>
                <c:pt idx="67">
                  <c:v>57.2</c:v>
                </c:pt>
                <c:pt idx="68">
                  <c:v>57.2</c:v>
                </c:pt>
                <c:pt idx="69">
                  <c:v>57.2</c:v>
                </c:pt>
                <c:pt idx="70">
                  <c:v>57.2</c:v>
                </c:pt>
                <c:pt idx="71">
                  <c:v>57.2</c:v>
                </c:pt>
                <c:pt idx="72">
                  <c:v>57.2</c:v>
                </c:pt>
                <c:pt idx="73">
                  <c:v>57.2</c:v>
                </c:pt>
                <c:pt idx="74">
                  <c:v>57.2</c:v>
                </c:pt>
                <c:pt idx="75">
                  <c:v>57.2</c:v>
                </c:pt>
                <c:pt idx="76">
                  <c:v>57.2</c:v>
                </c:pt>
                <c:pt idx="77">
                  <c:v>57.2</c:v>
                </c:pt>
                <c:pt idx="78">
                  <c:v>57.2</c:v>
                </c:pt>
                <c:pt idx="79">
                  <c:v>57.2</c:v>
                </c:pt>
                <c:pt idx="80">
                  <c:v>57.2</c:v>
                </c:pt>
                <c:pt idx="81">
                  <c:v>57.2</c:v>
                </c:pt>
                <c:pt idx="82">
                  <c:v>57.2</c:v>
                </c:pt>
                <c:pt idx="83">
                  <c:v>57.2</c:v>
                </c:pt>
                <c:pt idx="84">
                  <c:v>57.2</c:v>
                </c:pt>
                <c:pt idx="85">
                  <c:v>57.2</c:v>
                </c:pt>
                <c:pt idx="86">
                  <c:v>57.2</c:v>
                </c:pt>
                <c:pt idx="87">
                  <c:v>57</c:v>
                </c:pt>
                <c:pt idx="88">
                  <c:v>57</c:v>
                </c:pt>
                <c:pt idx="89">
                  <c:v>57</c:v>
                </c:pt>
                <c:pt idx="90">
                  <c:v>57</c:v>
                </c:pt>
                <c:pt idx="91">
                  <c:v>57</c:v>
                </c:pt>
                <c:pt idx="92">
                  <c:v>57</c:v>
                </c:pt>
                <c:pt idx="93">
                  <c:v>57</c:v>
                </c:pt>
                <c:pt idx="94">
                  <c:v>57</c:v>
                </c:pt>
                <c:pt idx="95">
                  <c:v>60</c:v>
                </c:pt>
                <c:pt idx="96">
                  <c:v>60</c:v>
                </c:pt>
                <c:pt idx="97">
                  <c:v>60</c:v>
                </c:pt>
                <c:pt idx="98">
                  <c:v>60</c:v>
                </c:pt>
                <c:pt idx="99">
                  <c:v>55</c:v>
                </c:pt>
                <c:pt idx="100">
                  <c:v>57</c:v>
                </c:pt>
                <c:pt idx="101">
                  <c:v>60</c:v>
                </c:pt>
                <c:pt idx="102">
                  <c:v>62</c:v>
                </c:pt>
                <c:pt idx="103">
                  <c:v>52</c:v>
                </c:pt>
                <c:pt idx="104">
                  <c:v>54</c:v>
                </c:pt>
                <c:pt idx="105">
                  <c:v>56</c:v>
                </c:pt>
                <c:pt idx="106">
                  <c:v>58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60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60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0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48</c:v>
                </c:pt>
                <c:pt idx="186">
                  <c:v>50</c:v>
                </c:pt>
                <c:pt idx="187">
                  <c:v>55</c:v>
                </c:pt>
                <c:pt idx="188">
                  <c:v>60</c:v>
                </c:pt>
                <c:pt idx="189">
                  <c:v>48</c:v>
                </c:pt>
                <c:pt idx="190">
                  <c:v>50</c:v>
                </c:pt>
                <c:pt idx="191">
                  <c:v>55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48</c:v>
                </c:pt>
                <c:pt idx="223">
                  <c:v>50</c:v>
                </c:pt>
                <c:pt idx="224">
                  <c:v>55</c:v>
                </c:pt>
                <c:pt idx="225">
                  <c:v>60</c:v>
                </c:pt>
                <c:pt idx="226">
                  <c:v>48</c:v>
                </c:pt>
                <c:pt idx="227">
                  <c:v>50</c:v>
                </c:pt>
                <c:pt idx="228">
                  <c:v>55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60</c:v>
                </c:pt>
                <c:pt idx="234">
                  <c:v>60</c:v>
                </c:pt>
                <c:pt idx="235">
                  <c:v>60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1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49">
                  <c:v>60</c:v>
                </c:pt>
                <c:pt idx="250">
                  <c:v>60</c:v>
                </c:pt>
                <c:pt idx="251">
                  <c:v>60</c:v>
                </c:pt>
                <c:pt idx="252">
                  <c:v>60</c:v>
                </c:pt>
                <c:pt idx="253">
                  <c:v>60</c:v>
                </c:pt>
                <c:pt idx="254">
                  <c:v>60</c:v>
                </c:pt>
                <c:pt idx="255">
                  <c:v>60</c:v>
                </c:pt>
                <c:pt idx="256">
                  <c:v>60</c:v>
                </c:pt>
                <c:pt idx="257">
                  <c:v>60</c:v>
                </c:pt>
                <c:pt idx="258">
                  <c:v>60</c:v>
                </c:pt>
                <c:pt idx="259">
                  <c:v>60</c:v>
                </c:pt>
                <c:pt idx="260">
                  <c:v>60</c:v>
                </c:pt>
                <c:pt idx="261">
                  <c:v>60</c:v>
                </c:pt>
                <c:pt idx="262">
                  <c:v>60</c:v>
                </c:pt>
                <c:pt idx="263">
                  <c:v>60</c:v>
                </c:pt>
                <c:pt idx="264">
                  <c:v>60</c:v>
                </c:pt>
                <c:pt idx="265">
                  <c:v>60</c:v>
                </c:pt>
                <c:pt idx="266">
                  <c:v>60</c:v>
                </c:pt>
                <c:pt idx="267">
                  <c:v>60</c:v>
                </c:pt>
                <c:pt idx="268">
                  <c:v>60</c:v>
                </c:pt>
                <c:pt idx="269">
                  <c:v>60</c:v>
                </c:pt>
                <c:pt idx="270">
                  <c:v>60</c:v>
                </c:pt>
                <c:pt idx="271">
                  <c:v>60</c:v>
                </c:pt>
                <c:pt idx="272">
                  <c:v>60</c:v>
                </c:pt>
                <c:pt idx="273">
                  <c:v>60</c:v>
                </c:pt>
                <c:pt idx="274">
                  <c:v>60</c:v>
                </c:pt>
                <c:pt idx="275">
                  <c:v>60</c:v>
                </c:pt>
                <c:pt idx="276">
                  <c:v>60</c:v>
                </c:pt>
                <c:pt idx="277">
                  <c:v>60</c:v>
                </c:pt>
                <c:pt idx="278">
                  <c:v>60</c:v>
                </c:pt>
                <c:pt idx="279">
                  <c:v>60</c:v>
                </c:pt>
                <c:pt idx="280">
                  <c:v>60</c:v>
                </c:pt>
                <c:pt idx="281">
                  <c:v>60</c:v>
                </c:pt>
                <c:pt idx="282">
                  <c:v>60</c:v>
                </c:pt>
                <c:pt idx="283">
                  <c:v>60</c:v>
                </c:pt>
                <c:pt idx="284">
                  <c:v>60</c:v>
                </c:pt>
                <c:pt idx="285">
                  <c:v>60</c:v>
                </c:pt>
                <c:pt idx="286">
                  <c:v>60</c:v>
                </c:pt>
                <c:pt idx="287">
                  <c:v>60</c:v>
                </c:pt>
                <c:pt idx="288">
                  <c:v>60</c:v>
                </c:pt>
                <c:pt idx="289">
                  <c:v>60</c:v>
                </c:pt>
                <c:pt idx="290">
                  <c:v>60</c:v>
                </c:pt>
                <c:pt idx="291">
                  <c:v>60</c:v>
                </c:pt>
                <c:pt idx="292">
                  <c:v>60</c:v>
                </c:pt>
                <c:pt idx="293">
                  <c:v>60</c:v>
                </c:pt>
                <c:pt idx="294">
                  <c:v>60</c:v>
                </c:pt>
                <c:pt idx="295">
                  <c:v>60</c:v>
                </c:pt>
                <c:pt idx="296">
                  <c:v>60</c:v>
                </c:pt>
                <c:pt idx="297">
                  <c:v>60</c:v>
                </c:pt>
                <c:pt idx="298">
                  <c:v>60</c:v>
                </c:pt>
                <c:pt idx="299">
                  <c:v>60</c:v>
                </c:pt>
                <c:pt idx="300">
                  <c:v>60</c:v>
                </c:pt>
                <c:pt idx="301">
                  <c:v>60</c:v>
                </c:pt>
                <c:pt idx="302">
                  <c:v>60</c:v>
                </c:pt>
                <c:pt idx="303">
                  <c:v>60</c:v>
                </c:pt>
                <c:pt idx="304">
                  <c:v>60</c:v>
                </c:pt>
                <c:pt idx="305">
                  <c:v>60</c:v>
                </c:pt>
                <c:pt idx="306">
                  <c:v>60</c:v>
                </c:pt>
                <c:pt idx="307">
                  <c:v>60</c:v>
                </c:pt>
                <c:pt idx="308">
                  <c:v>60</c:v>
                </c:pt>
                <c:pt idx="309">
                  <c:v>60</c:v>
                </c:pt>
                <c:pt idx="310">
                  <c:v>60</c:v>
                </c:pt>
                <c:pt idx="311">
                  <c:v>60</c:v>
                </c:pt>
                <c:pt idx="312">
                  <c:v>60</c:v>
                </c:pt>
                <c:pt idx="313">
                  <c:v>60</c:v>
                </c:pt>
                <c:pt idx="314">
                  <c:v>60</c:v>
                </c:pt>
                <c:pt idx="315">
                  <c:v>60</c:v>
                </c:pt>
                <c:pt idx="316">
                  <c:v>60</c:v>
                </c:pt>
                <c:pt idx="317">
                  <c:v>60</c:v>
                </c:pt>
                <c:pt idx="318">
                  <c:v>60</c:v>
                </c:pt>
                <c:pt idx="319">
                  <c:v>60</c:v>
                </c:pt>
                <c:pt idx="320">
                  <c:v>60</c:v>
                </c:pt>
                <c:pt idx="321">
                  <c:v>60</c:v>
                </c:pt>
                <c:pt idx="322">
                  <c:v>60</c:v>
                </c:pt>
                <c:pt idx="323">
                  <c:v>60</c:v>
                </c:pt>
                <c:pt idx="324">
                  <c:v>60</c:v>
                </c:pt>
                <c:pt idx="325">
                  <c:v>60</c:v>
                </c:pt>
                <c:pt idx="326">
                  <c:v>60</c:v>
                </c:pt>
                <c:pt idx="327">
                  <c:v>60</c:v>
                </c:pt>
                <c:pt idx="328">
                  <c:v>60</c:v>
                </c:pt>
                <c:pt idx="329">
                  <c:v>60</c:v>
                </c:pt>
                <c:pt idx="330">
                  <c:v>60</c:v>
                </c:pt>
                <c:pt idx="331">
                  <c:v>60</c:v>
                </c:pt>
                <c:pt idx="332">
                  <c:v>60</c:v>
                </c:pt>
                <c:pt idx="333">
                  <c:v>60</c:v>
                </c:pt>
                <c:pt idx="334">
                  <c:v>60</c:v>
                </c:pt>
                <c:pt idx="335">
                  <c:v>60</c:v>
                </c:pt>
                <c:pt idx="336">
                  <c:v>60</c:v>
                </c:pt>
                <c:pt idx="337">
                  <c:v>60</c:v>
                </c:pt>
                <c:pt idx="338">
                  <c:v>60</c:v>
                </c:pt>
                <c:pt idx="339">
                  <c:v>60</c:v>
                </c:pt>
                <c:pt idx="340">
                  <c:v>60</c:v>
                </c:pt>
                <c:pt idx="341">
                  <c:v>60</c:v>
                </c:pt>
                <c:pt idx="342">
                  <c:v>60</c:v>
                </c:pt>
                <c:pt idx="343">
                  <c:v>60</c:v>
                </c:pt>
                <c:pt idx="344">
                  <c:v>60</c:v>
                </c:pt>
                <c:pt idx="345">
                  <c:v>60</c:v>
                </c:pt>
                <c:pt idx="346">
                  <c:v>60</c:v>
                </c:pt>
                <c:pt idx="347">
                  <c:v>60</c:v>
                </c:pt>
                <c:pt idx="348">
                  <c:v>60</c:v>
                </c:pt>
                <c:pt idx="349">
                  <c:v>60</c:v>
                </c:pt>
                <c:pt idx="350">
                  <c:v>60</c:v>
                </c:pt>
                <c:pt idx="351">
                  <c:v>60</c:v>
                </c:pt>
                <c:pt idx="352">
                  <c:v>60</c:v>
                </c:pt>
                <c:pt idx="353">
                  <c:v>60</c:v>
                </c:pt>
                <c:pt idx="354">
                  <c:v>60</c:v>
                </c:pt>
                <c:pt idx="355">
                  <c:v>60</c:v>
                </c:pt>
                <c:pt idx="356">
                  <c:v>60</c:v>
                </c:pt>
                <c:pt idx="357">
                  <c:v>52</c:v>
                </c:pt>
                <c:pt idx="358">
                  <c:v>52</c:v>
                </c:pt>
                <c:pt idx="359">
                  <c:v>55</c:v>
                </c:pt>
                <c:pt idx="360">
                  <c:v>55</c:v>
                </c:pt>
                <c:pt idx="361">
                  <c:v>52</c:v>
                </c:pt>
                <c:pt idx="362">
                  <c:v>52</c:v>
                </c:pt>
                <c:pt idx="363">
                  <c:v>52</c:v>
                </c:pt>
                <c:pt idx="364">
                  <c:v>52</c:v>
                </c:pt>
                <c:pt idx="365">
                  <c:v>52</c:v>
                </c:pt>
                <c:pt idx="366">
                  <c:v>54</c:v>
                </c:pt>
                <c:pt idx="367">
                  <c:v>54</c:v>
                </c:pt>
                <c:pt idx="368">
                  <c:v>55</c:v>
                </c:pt>
                <c:pt idx="369">
                  <c:v>55</c:v>
                </c:pt>
                <c:pt idx="370">
                  <c:v>55</c:v>
                </c:pt>
                <c:pt idx="371">
                  <c:v>55</c:v>
                </c:pt>
                <c:pt idx="372">
                  <c:v>55</c:v>
                </c:pt>
                <c:pt idx="373">
                  <c:v>63</c:v>
                </c:pt>
                <c:pt idx="374">
                  <c:v>63</c:v>
                </c:pt>
                <c:pt idx="375">
                  <c:v>63</c:v>
                </c:pt>
                <c:pt idx="376">
                  <c:v>52</c:v>
                </c:pt>
                <c:pt idx="377">
                  <c:v>60</c:v>
                </c:pt>
                <c:pt idx="378">
                  <c:v>65.5</c:v>
                </c:pt>
                <c:pt idx="379">
                  <c:v>60</c:v>
                </c:pt>
                <c:pt idx="380">
                  <c:v>65.5</c:v>
                </c:pt>
                <c:pt idx="381">
                  <c:v>53</c:v>
                </c:pt>
                <c:pt idx="382">
                  <c:v>54</c:v>
                </c:pt>
                <c:pt idx="383">
                  <c:v>55</c:v>
                </c:pt>
                <c:pt idx="384">
                  <c:v>55</c:v>
                </c:pt>
                <c:pt idx="385">
                  <c:v>56</c:v>
                </c:pt>
                <c:pt idx="386">
                  <c:v>56</c:v>
                </c:pt>
                <c:pt idx="387">
                  <c:v>56</c:v>
                </c:pt>
                <c:pt idx="388">
                  <c:v>56</c:v>
                </c:pt>
                <c:pt idx="389">
                  <c:v>57</c:v>
                </c:pt>
                <c:pt idx="390">
                  <c:v>57</c:v>
                </c:pt>
                <c:pt idx="391">
                  <c:v>58</c:v>
                </c:pt>
                <c:pt idx="392">
                  <c:v>58</c:v>
                </c:pt>
                <c:pt idx="393">
                  <c:v>58</c:v>
                </c:pt>
                <c:pt idx="394">
                  <c:v>60</c:v>
                </c:pt>
                <c:pt idx="395">
                  <c:v>60</c:v>
                </c:pt>
                <c:pt idx="396">
                  <c:v>60</c:v>
                </c:pt>
                <c:pt idx="397">
                  <c:v>62</c:v>
                </c:pt>
                <c:pt idx="398">
                  <c:v>62</c:v>
                </c:pt>
                <c:pt idx="399">
                  <c:v>63</c:v>
                </c:pt>
                <c:pt idx="400">
                  <c:v>64</c:v>
                </c:pt>
                <c:pt idx="401">
                  <c:v>65</c:v>
                </c:pt>
                <c:pt idx="402">
                  <c:v>67</c:v>
                </c:pt>
                <c:pt idx="403">
                  <c:v>68</c:v>
                </c:pt>
                <c:pt idx="404">
                  <c:v>71</c:v>
                </c:pt>
                <c:pt idx="405">
                  <c:v>56</c:v>
                </c:pt>
                <c:pt idx="406">
                  <c:v>58</c:v>
                </c:pt>
                <c:pt idx="407">
                  <c:v>60</c:v>
                </c:pt>
                <c:pt idx="408">
                  <c:v>56</c:v>
                </c:pt>
                <c:pt idx="409">
                  <c:v>58</c:v>
                </c:pt>
                <c:pt idx="410">
                  <c:v>60</c:v>
                </c:pt>
                <c:pt idx="411">
                  <c:v>60</c:v>
                </c:pt>
                <c:pt idx="412">
                  <c:v>62</c:v>
                </c:pt>
                <c:pt idx="413">
                  <c:v>64</c:v>
                </c:pt>
                <c:pt idx="414">
                  <c:v>56</c:v>
                </c:pt>
                <c:pt idx="415">
                  <c:v>58</c:v>
                </c:pt>
                <c:pt idx="416">
                  <c:v>60</c:v>
                </c:pt>
                <c:pt idx="417">
                  <c:v>57.2</c:v>
                </c:pt>
                <c:pt idx="418">
                  <c:v>57.2</c:v>
                </c:pt>
                <c:pt idx="419">
                  <c:v>57.2</c:v>
                </c:pt>
                <c:pt idx="420">
                  <c:v>57.2</c:v>
                </c:pt>
                <c:pt idx="421">
                  <c:v>57.2</c:v>
                </c:pt>
                <c:pt idx="422">
                  <c:v>57.2</c:v>
                </c:pt>
                <c:pt idx="423">
                  <c:v>57.2</c:v>
                </c:pt>
                <c:pt idx="424">
                  <c:v>57.2</c:v>
                </c:pt>
                <c:pt idx="425">
                  <c:v>57.2</c:v>
                </c:pt>
                <c:pt idx="426">
                  <c:v>57.2</c:v>
                </c:pt>
                <c:pt idx="427">
                  <c:v>57.2</c:v>
                </c:pt>
                <c:pt idx="428">
                  <c:v>57.2</c:v>
                </c:pt>
                <c:pt idx="429">
                  <c:v>57.2</c:v>
                </c:pt>
                <c:pt idx="430">
                  <c:v>57.2</c:v>
                </c:pt>
                <c:pt idx="431">
                  <c:v>57.2</c:v>
                </c:pt>
                <c:pt idx="432">
                  <c:v>57.2</c:v>
                </c:pt>
                <c:pt idx="433">
                  <c:v>57.2</c:v>
                </c:pt>
                <c:pt idx="434">
                  <c:v>57.2</c:v>
                </c:pt>
                <c:pt idx="435">
                  <c:v>57.2</c:v>
                </c:pt>
                <c:pt idx="436">
                  <c:v>57.2</c:v>
                </c:pt>
                <c:pt idx="437">
                  <c:v>57.2</c:v>
                </c:pt>
                <c:pt idx="438">
                  <c:v>57.2</c:v>
                </c:pt>
                <c:pt idx="439">
                  <c:v>57.2</c:v>
                </c:pt>
                <c:pt idx="440">
                  <c:v>57.2</c:v>
                </c:pt>
                <c:pt idx="441">
                  <c:v>57.2</c:v>
                </c:pt>
                <c:pt idx="442">
                  <c:v>57.2</c:v>
                </c:pt>
                <c:pt idx="443">
                  <c:v>57.2</c:v>
                </c:pt>
                <c:pt idx="444">
                  <c:v>57.2</c:v>
                </c:pt>
                <c:pt idx="445">
                  <c:v>57.2</c:v>
                </c:pt>
                <c:pt idx="446">
                  <c:v>57.2</c:v>
                </c:pt>
                <c:pt idx="447">
                  <c:v>57.2</c:v>
                </c:pt>
                <c:pt idx="448">
                  <c:v>57.2</c:v>
                </c:pt>
                <c:pt idx="449">
                  <c:v>57.2</c:v>
                </c:pt>
                <c:pt idx="450">
                  <c:v>57.2</c:v>
                </c:pt>
                <c:pt idx="451">
                  <c:v>57.2</c:v>
                </c:pt>
                <c:pt idx="452">
                  <c:v>57.2</c:v>
                </c:pt>
                <c:pt idx="453">
                  <c:v>57.2</c:v>
                </c:pt>
                <c:pt idx="454">
                  <c:v>57.2</c:v>
                </c:pt>
                <c:pt idx="455">
                  <c:v>57.2</c:v>
                </c:pt>
                <c:pt idx="456">
                  <c:v>57.2</c:v>
                </c:pt>
                <c:pt idx="457">
                  <c:v>57.2</c:v>
                </c:pt>
                <c:pt idx="458">
                  <c:v>57.2</c:v>
                </c:pt>
                <c:pt idx="459">
                  <c:v>57.2</c:v>
                </c:pt>
                <c:pt idx="460">
                  <c:v>57.2</c:v>
                </c:pt>
                <c:pt idx="461">
                  <c:v>57.2</c:v>
                </c:pt>
                <c:pt idx="462">
                  <c:v>57.2</c:v>
                </c:pt>
                <c:pt idx="463">
                  <c:v>57.2</c:v>
                </c:pt>
                <c:pt idx="464">
                  <c:v>57.2</c:v>
                </c:pt>
                <c:pt idx="465">
                  <c:v>57.2</c:v>
                </c:pt>
                <c:pt idx="466">
                  <c:v>57.2</c:v>
                </c:pt>
                <c:pt idx="467">
                  <c:v>57.2</c:v>
                </c:pt>
                <c:pt idx="468">
                  <c:v>57.2</c:v>
                </c:pt>
                <c:pt idx="469">
                  <c:v>57.2</c:v>
                </c:pt>
                <c:pt idx="470">
                  <c:v>57.2</c:v>
                </c:pt>
                <c:pt idx="471">
                  <c:v>57.2</c:v>
                </c:pt>
                <c:pt idx="472">
                  <c:v>57.2</c:v>
                </c:pt>
                <c:pt idx="473">
                  <c:v>57.2</c:v>
                </c:pt>
                <c:pt idx="474">
                  <c:v>57.2</c:v>
                </c:pt>
                <c:pt idx="475">
                  <c:v>57.2</c:v>
                </c:pt>
                <c:pt idx="476">
                  <c:v>57.2</c:v>
                </c:pt>
                <c:pt idx="477">
                  <c:v>57.2</c:v>
                </c:pt>
                <c:pt idx="478">
                  <c:v>57.2</c:v>
                </c:pt>
                <c:pt idx="479">
                  <c:v>57.2</c:v>
                </c:pt>
                <c:pt idx="480">
                  <c:v>57.2</c:v>
                </c:pt>
                <c:pt idx="481">
                  <c:v>57.2</c:v>
                </c:pt>
                <c:pt idx="482">
                  <c:v>57.2</c:v>
                </c:pt>
                <c:pt idx="483">
                  <c:v>57.2</c:v>
                </c:pt>
                <c:pt idx="484">
                  <c:v>57.2</c:v>
                </c:pt>
                <c:pt idx="485">
                  <c:v>57.2</c:v>
                </c:pt>
                <c:pt idx="486">
                  <c:v>57.2</c:v>
                </c:pt>
                <c:pt idx="487">
                  <c:v>57.2</c:v>
                </c:pt>
                <c:pt idx="488">
                  <c:v>57.2</c:v>
                </c:pt>
                <c:pt idx="489">
                  <c:v>57.2</c:v>
                </c:pt>
                <c:pt idx="490">
                  <c:v>57.2</c:v>
                </c:pt>
                <c:pt idx="491">
                  <c:v>57.2</c:v>
                </c:pt>
                <c:pt idx="492">
                  <c:v>57.2</c:v>
                </c:pt>
                <c:pt idx="493">
                  <c:v>57.2</c:v>
                </c:pt>
                <c:pt idx="494">
                  <c:v>57.2</c:v>
                </c:pt>
                <c:pt idx="495">
                  <c:v>57.2</c:v>
                </c:pt>
                <c:pt idx="496">
                  <c:v>57.2</c:v>
                </c:pt>
                <c:pt idx="497">
                  <c:v>57.2</c:v>
                </c:pt>
                <c:pt idx="498">
                  <c:v>57.2</c:v>
                </c:pt>
                <c:pt idx="499">
                  <c:v>57.2</c:v>
                </c:pt>
                <c:pt idx="500">
                  <c:v>57.2</c:v>
                </c:pt>
                <c:pt idx="501">
                  <c:v>57.2</c:v>
                </c:pt>
                <c:pt idx="502">
                  <c:v>57.2</c:v>
                </c:pt>
                <c:pt idx="503">
                  <c:v>57.2</c:v>
                </c:pt>
                <c:pt idx="504">
                  <c:v>57.2</c:v>
                </c:pt>
                <c:pt idx="505">
                  <c:v>57.2</c:v>
                </c:pt>
                <c:pt idx="506">
                  <c:v>57.2</c:v>
                </c:pt>
                <c:pt idx="507">
                  <c:v>57.2</c:v>
                </c:pt>
                <c:pt idx="508">
                  <c:v>57.2</c:v>
                </c:pt>
                <c:pt idx="509">
                  <c:v>57.2</c:v>
                </c:pt>
                <c:pt idx="510">
                  <c:v>57.2</c:v>
                </c:pt>
                <c:pt idx="511">
                  <c:v>57.2</c:v>
                </c:pt>
                <c:pt idx="512">
                  <c:v>57.2</c:v>
                </c:pt>
                <c:pt idx="513">
                  <c:v>57.2</c:v>
                </c:pt>
                <c:pt idx="514">
                  <c:v>57.2</c:v>
                </c:pt>
                <c:pt idx="515">
                  <c:v>57.2</c:v>
                </c:pt>
                <c:pt idx="516">
                  <c:v>57.2</c:v>
                </c:pt>
                <c:pt idx="517">
                  <c:v>57.2</c:v>
                </c:pt>
                <c:pt idx="518">
                  <c:v>57.2</c:v>
                </c:pt>
                <c:pt idx="519">
                  <c:v>57.2</c:v>
                </c:pt>
                <c:pt idx="520">
                  <c:v>57.2</c:v>
                </c:pt>
                <c:pt idx="521">
                  <c:v>57.2</c:v>
                </c:pt>
                <c:pt idx="522">
                  <c:v>57.2</c:v>
                </c:pt>
                <c:pt idx="523">
                  <c:v>57.2</c:v>
                </c:pt>
                <c:pt idx="524">
                  <c:v>57.2</c:v>
                </c:pt>
                <c:pt idx="525">
                  <c:v>57.2</c:v>
                </c:pt>
                <c:pt idx="526">
                  <c:v>57.2</c:v>
                </c:pt>
                <c:pt idx="527">
                  <c:v>57.2</c:v>
                </c:pt>
                <c:pt idx="528">
                  <c:v>57.2</c:v>
                </c:pt>
                <c:pt idx="529">
                  <c:v>57.2</c:v>
                </c:pt>
                <c:pt idx="530">
                  <c:v>57.2</c:v>
                </c:pt>
                <c:pt idx="531">
                  <c:v>57.2</c:v>
                </c:pt>
                <c:pt idx="532">
                  <c:v>57.2</c:v>
                </c:pt>
                <c:pt idx="533">
                  <c:v>57.2</c:v>
                </c:pt>
                <c:pt idx="534">
                  <c:v>57.2</c:v>
                </c:pt>
                <c:pt idx="535">
                  <c:v>57.2</c:v>
                </c:pt>
                <c:pt idx="536">
                  <c:v>57.2</c:v>
                </c:pt>
                <c:pt idx="537">
                  <c:v>57.2</c:v>
                </c:pt>
                <c:pt idx="538">
                  <c:v>65</c:v>
                </c:pt>
                <c:pt idx="539">
                  <c:v>65</c:v>
                </c:pt>
                <c:pt idx="540">
                  <c:v>65</c:v>
                </c:pt>
                <c:pt idx="541">
                  <c:v>65</c:v>
                </c:pt>
                <c:pt idx="542">
                  <c:v>65</c:v>
                </c:pt>
                <c:pt idx="543">
                  <c:v>65</c:v>
                </c:pt>
                <c:pt idx="544">
                  <c:v>65</c:v>
                </c:pt>
                <c:pt idx="545">
                  <c:v>65</c:v>
                </c:pt>
                <c:pt idx="546">
                  <c:v>65</c:v>
                </c:pt>
                <c:pt idx="547">
                  <c:v>65</c:v>
                </c:pt>
                <c:pt idx="548">
                  <c:v>65</c:v>
                </c:pt>
                <c:pt idx="549">
                  <c:v>65</c:v>
                </c:pt>
                <c:pt idx="550">
                  <c:v>65</c:v>
                </c:pt>
                <c:pt idx="551">
                  <c:v>65</c:v>
                </c:pt>
                <c:pt idx="552">
                  <c:v>65</c:v>
                </c:pt>
                <c:pt idx="553">
                  <c:v>65</c:v>
                </c:pt>
                <c:pt idx="554">
                  <c:v>65</c:v>
                </c:pt>
                <c:pt idx="555">
                  <c:v>65</c:v>
                </c:pt>
                <c:pt idx="556">
                  <c:v>65</c:v>
                </c:pt>
                <c:pt idx="557">
                  <c:v>65</c:v>
                </c:pt>
                <c:pt idx="558">
                  <c:v>65</c:v>
                </c:pt>
                <c:pt idx="559">
                  <c:v>65</c:v>
                </c:pt>
                <c:pt idx="560">
                  <c:v>65</c:v>
                </c:pt>
                <c:pt idx="561">
                  <c:v>65</c:v>
                </c:pt>
                <c:pt idx="562">
                  <c:v>65</c:v>
                </c:pt>
                <c:pt idx="563">
                  <c:v>65</c:v>
                </c:pt>
                <c:pt idx="564">
                  <c:v>65</c:v>
                </c:pt>
                <c:pt idx="565">
                  <c:v>65</c:v>
                </c:pt>
                <c:pt idx="566">
                  <c:v>65</c:v>
                </c:pt>
                <c:pt idx="567">
                  <c:v>65</c:v>
                </c:pt>
                <c:pt idx="568">
                  <c:v>65</c:v>
                </c:pt>
                <c:pt idx="569">
                  <c:v>65</c:v>
                </c:pt>
                <c:pt idx="570">
                  <c:v>65</c:v>
                </c:pt>
                <c:pt idx="571">
                  <c:v>65</c:v>
                </c:pt>
                <c:pt idx="572">
                  <c:v>65</c:v>
                </c:pt>
                <c:pt idx="573">
                  <c:v>65</c:v>
                </c:pt>
                <c:pt idx="574">
                  <c:v>65</c:v>
                </c:pt>
                <c:pt idx="575">
                  <c:v>65</c:v>
                </c:pt>
                <c:pt idx="576">
                  <c:v>65</c:v>
                </c:pt>
                <c:pt idx="577">
                  <c:v>65</c:v>
                </c:pt>
                <c:pt idx="578">
                  <c:v>65</c:v>
                </c:pt>
                <c:pt idx="579">
                  <c:v>65</c:v>
                </c:pt>
                <c:pt idx="580">
                  <c:v>65</c:v>
                </c:pt>
                <c:pt idx="581">
                  <c:v>65</c:v>
                </c:pt>
                <c:pt idx="582">
                  <c:v>65</c:v>
                </c:pt>
                <c:pt idx="583">
                  <c:v>65</c:v>
                </c:pt>
                <c:pt idx="584">
                  <c:v>65</c:v>
                </c:pt>
                <c:pt idx="585">
                  <c:v>65</c:v>
                </c:pt>
                <c:pt idx="586">
                  <c:v>65</c:v>
                </c:pt>
                <c:pt idx="587">
                  <c:v>65</c:v>
                </c:pt>
                <c:pt idx="588">
                  <c:v>65</c:v>
                </c:pt>
                <c:pt idx="589">
                  <c:v>65</c:v>
                </c:pt>
                <c:pt idx="590">
                  <c:v>65</c:v>
                </c:pt>
                <c:pt idx="591">
                  <c:v>65</c:v>
                </c:pt>
                <c:pt idx="592">
                  <c:v>54.4</c:v>
                </c:pt>
                <c:pt idx="593">
                  <c:v>57.2</c:v>
                </c:pt>
                <c:pt idx="594">
                  <c:v>60</c:v>
                </c:pt>
                <c:pt idx="595">
                  <c:v>54.4</c:v>
                </c:pt>
                <c:pt idx="596">
                  <c:v>57.2</c:v>
                </c:pt>
                <c:pt idx="597">
                  <c:v>60</c:v>
                </c:pt>
                <c:pt idx="598">
                  <c:v>54.4</c:v>
                </c:pt>
                <c:pt idx="599">
                  <c:v>57.2</c:v>
                </c:pt>
                <c:pt idx="600">
                  <c:v>60</c:v>
                </c:pt>
                <c:pt idx="601">
                  <c:v>54.4</c:v>
                </c:pt>
                <c:pt idx="602">
                  <c:v>57.2</c:v>
                </c:pt>
                <c:pt idx="603">
                  <c:v>60</c:v>
                </c:pt>
                <c:pt idx="604">
                  <c:v>54.4</c:v>
                </c:pt>
                <c:pt idx="605">
                  <c:v>55</c:v>
                </c:pt>
                <c:pt idx="606">
                  <c:v>57.2</c:v>
                </c:pt>
                <c:pt idx="607">
                  <c:v>60</c:v>
                </c:pt>
                <c:pt idx="608">
                  <c:v>55</c:v>
                </c:pt>
                <c:pt idx="609">
                  <c:v>52</c:v>
                </c:pt>
                <c:pt idx="610">
                  <c:v>52</c:v>
                </c:pt>
                <c:pt idx="611">
                  <c:v>52</c:v>
                </c:pt>
                <c:pt idx="612">
                  <c:v>52</c:v>
                </c:pt>
                <c:pt idx="613">
                  <c:v>52</c:v>
                </c:pt>
                <c:pt idx="614">
                  <c:v>52</c:v>
                </c:pt>
                <c:pt idx="615">
                  <c:v>52</c:v>
                </c:pt>
                <c:pt idx="616">
                  <c:v>52</c:v>
                </c:pt>
                <c:pt idx="617">
                  <c:v>52</c:v>
                </c:pt>
                <c:pt idx="618">
                  <c:v>52</c:v>
                </c:pt>
                <c:pt idx="619">
                  <c:v>52</c:v>
                </c:pt>
                <c:pt idx="620">
                  <c:v>52</c:v>
                </c:pt>
                <c:pt idx="621">
                  <c:v>52</c:v>
                </c:pt>
                <c:pt idx="622">
                  <c:v>52</c:v>
                </c:pt>
                <c:pt idx="623">
                  <c:v>52</c:v>
                </c:pt>
                <c:pt idx="624">
                  <c:v>52</c:v>
                </c:pt>
                <c:pt idx="625">
                  <c:v>54</c:v>
                </c:pt>
                <c:pt idx="626">
                  <c:v>56</c:v>
                </c:pt>
                <c:pt idx="627">
                  <c:v>58</c:v>
                </c:pt>
                <c:pt idx="628">
                  <c:v>60</c:v>
                </c:pt>
                <c:pt idx="629">
                  <c:v>60</c:v>
                </c:pt>
                <c:pt idx="630">
                  <c:v>60</c:v>
                </c:pt>
                <c:pt idx="631">
                  <c:v>65.5</c:v>
                </c:pt>
                <c:pt idx="632">
                  <c:v>65.5</c:v>
                </c:pt>
                <c:pt idx="633">
                  <c:v>60</c:v>
                </c:pt>
                <c:pt idx="634">
                  <c:v>60</c:v>
                </c:pt>
                <c:pt idx="635">
                  <c:v>60</c:v>
                </c:pt>
                <c:pt idx="636">
                  <c:v>65.55</c:v>
                </c:pt>
                <c:pt idx="637">
                  <c:v>65.55</c:v>
                </c:pt>
                <c:pt idx="638">
                  <c:v>65.55</c:v>
                </c:pt>
                <c:pt idx="639">
                  <c:v>65.55</c:v>
                </c:pt>
                <c:pt idx="640">
                  <c:v>65.55</c:v>
                </c:pt>
                <c:pt idx="641">
                  <c:v>65.55</c:v>
                </c:pt>
                <c:pt idx="642">
                  <c:v>65.55</c:v>
                </c:pt>
                <c:pt idx="643">
                  <c:v>65.55</c:v>
                </c:pt>
                <c:pt idx="644">
                  <c:v>65.55</c:v>
                </c:pt>
                <c:pt idx="645">
                  <c:v>65.55</c:v>
                </c:pt>
                <c:pt idx="646">
                  <c:v>68.3</c:v>
                </c:pt>
                <c:pt idx="647">
                  <c:v>68.3</c:v>
                </c:pt>
                <c:pt idx="648">
                  <c:v>68.3</c:v>
                </c:pt>
                <c:pt idx="649">
                  <c:v>68.3</c:v>
                </c:pt>
                <c:pt idx="650">
                  <c:v>68.3</c:v>
                </c:pt>
                <c:pt idx="651">
                  <c:v>70</c:v>
                </c:pt>
                <c:pt idx="652">
                  <c:v>70</c:v>
                </c:pt>
                <c:pt idx="653">
                  <c:v>70</c:v>
                </c:pt>
                <c:pt idx="654">
                  <c:v>70</c:v>
                </c:pt>
                <c:pt idx="655">
                  <c:v>71.099999999999994</c:v>
                </c:pt>
                <c:pt idx="656">
                  <c:v>71.099999999999994</c:v>
                </c:pt>
                <c:pt idx="657">
                  <c:v>71.099999999999994</c:v>
                </c:pt>
                <c:pt idx="658">
                  <c:v>71.099999999999994</c:v>
                </c:pt>
                <c:pt idx="659">
                  <c:v>71.099999999999994</c:v>
                </c:pt>
                <c:pt idx="660">
                  <c:v>73.900000000000006</c:v>
                </c:pt>
                <c:pt idx="661">
                  <c:v>73.900000000000006</c:v>
                </c:pt>
                <c:pt idx="662">
                  <c:v>73.900000000000006</c:v>
                </c:pt>
                <c:pt idx="663">
                  <c:v>73.900000000000006</c:v>
                </c:pt>
                <c:pt idx="664">
                  <c:v>73.900000000000006</c:v>
                </c:pt>
                <c:pt idx="665">
                  <c:v>76.7</c:v>
                </c:pt>
                <c:pt idx="666">
                  <c:v>76.7</c:v>
                </c:pt>
                <c:pt idx="667">
                  <c:v>76.7</c:v>
                </c:pt>
                <c:pt idx="668">
                  <c:v>76.7</c:v>
                </c:pt>
                <c:pt idx="669">
                  <c:v>76.7</c:v>
                </c:pt>
                <c:pt idx="670">
                  <c:v>57</c:v>
                </c:pt>
                <c:pt idx="671">
                  <c:v>57</c:v>
                </c:pt>
                <c:pt idx="672">
                  <c:v>57</c:v>
                </c:pt>
                <c:pt idx="673">
                  <c:v>57</c:v>
                </c:pt>
                <c:pt idx="674">
                  <c:v>57</c:v>
                </c:pt>
                <c:pt idx="675">
                  <c:v>57</c:v>
                </c:pt>
                <c:pt idx="676">
                  <c:v>57</c:v>
                </c:pt>
                <c:pt idx="677">
                  <c:v>57</c:v>
                </c:pt>
                <c:pt idx="678">
                  <c:v>62.5</c:v>
                </c:pt>
                <c:pt idx="679">
                  <c:v>62.5</c:v>
                </c:pt>
                <c:pt idx="680">
                  <c:v>62.5</c:v>
                </c:pt>
                <c:pt idx="681">
                  <c:v>59.5</c:v>
                </c:pt>
                <c:pt idx="682">
                  <c:v>62.5</c:v>
                </c:pt>
                <c:pt idx="683">
                  <c:v>59.5</c:v>
                </c:pt>
                <c:pt idx="684">
                  <c:v>62.5</c:v>
                </c:pt>
                <c:pt idx="685">
                  <c:v>62.5</c:v>
                </c:pt>
                <c:pt idx="686">
                  <c:v>62.5</c:v>
                </c:pt>
                <c:pt idx="687">
                  <c:v>62.5</c:v>
                </c:pt>
                <c:pt idx="688">
                  <c:v>62.5</c:v>
                </c:pt>
                <c:pt idx="689">
                  <c:v>62.5</c:v>
                </c:pt>
                <c:pt idx="690">
                  <c:v>62.5</c:v>
                </c:pt>
                <c:pt idx="691">
                  <c:v>62.5</c:v>
                </c:pt>
                <c:pt idx="692">
                  <c:v>62.5</c:v>
                </c:pt>
                <c:pt idx="693">
                  <c:v>62.5</c:v>
                </c:pt>
                <c:pt idx="694">
                  <c:v>62.5</c:v>
                </c:pt>
                <c:pt idx="695">
                  <c:v>55</c:v>
                </c:pt>
                <c:pt idx="696">
                  <c:v>52</c:v>
                </c:pt>
                <c:pt idx="697">
                  <c:v>55</c:v>
                </c:pt>
                <c:pt idx="698">
                  <c:v>55</c:v>
                </c:pt>
                <c:pt idx="699">
                  <c:v>58</c:v>
                </c:pt>
                <c:pt idx="700">
                  <c:v>60</c:v>
                </c:pt>
                <c:pt idx="701">
                  <c:v>51.4</c:v>
                </c:pt>
                <c:pt idx="702">
                  <c:v>52.5</c:v>
                </c:pt>
                <c:pt idx="703">
                  <c:v>52.9</c:v>
                </c:pt>
                <c:pt idx="704">
                  <c:v>53.9</c:v>
                </c:pt>
                <c:pt idx="705">
                  <c:v>54.7</c:v>
                </c:pt>
                <c:pt idx="706">
                  <c:v>55.2</c:v>
                </c:pt>
                <c:pt idx="707">
                  <c:v>55.7</c:v>
                </c:pt>
                <c:pt idx="708">
                  <c:v>56.8</c:v>
                </c:pt>
                <c:pt idx="709">
                  <c:v>57.1</c:v>
                </c:pt>
                <c:pt idx="710">
                  <c:v>55</c:v>
                </c:pt>
                <c:pt idx="711">
                  <c:v>55</c:v>
                </c:pt>
                <c:pt idx="712">
                  <c:v>55</c:v>
                </c:pt>
                <c:pt idx="713">
                  <c:v>55</c:v>
                </c:pt>
                <c:pt idx="714">
                  <c:v>55</c:v>
                </c:pt>
                <c:pt idx="715">
                  <c:v>55</c:v>
                </c:pt>
                <c:pt idx="716">
                  <c:v>51.7</c:v>
                </c:pt>
                <c:pt idx="717">
                  <c:v>55</c:v>
                </c:pt>
                <c:pt idx="718">
                  <c:v>58</c:v>
                </c:pt>
                <c:pt idx="719">
                  <c:v>52.8</c:v>
                </c:pt>
                <c:pt idx="720">
                  <c:v>53.8</c:v>
                </c:pt>
                <c:pt idx="721">
                  <c:v>55.1</c:v>
                </c:pt>
                <c:pt idx="722">
                  <c:v>57</c:v>
                </c:pt>
                <c:pt idx="723">
                  <c:v>58.5</c:v>
                </c:pt>
                <c:pt idx="724">
                  <c:v>58.8</c:v>
                </c:pt>
                <c:pt idx="725">
                  <c:v>59.6</c:v>
                </c:pt>
                <c:pt idx="726">
                  <c:v>60.8</c:v>
                </c:pt>
                <c:pt idx="727" formatCode="0.00">
                  <c:v>57</c:v>
                </c:pt>
                <c:pt idx="728">
                  <c:v>59.2</c:v>
                </c:pt>
                <c:pt idx="729">
                  <c:v>61</c:v>
                </c:pt>
                <c:pt idx="730">
                  <c:v>62.3</c:v>
                </c:pt>
                <c:pt idx="731">
                  <c:v>62.8</c:v>
                </c:pt>
                <c:pt idx="732">
                  <c:v>65</c:v>
                </c:pt>
                <c:pt idx="733">
                  <c:v>54.4</c:v>
                </c:pt>
                <c:pt idx="734">
                  <c:v>57.2</c:v>
                </c:pt>
                <c:pt idx="735">
                  <c:v>58</c:v>
                </c:pt>
                <c:pt idx="736">
                  <c:v>58</c:v>
                </c:pt>
                <c:pt idx="737">
                  <c:v>59</c:v>
                </c:pt>
                <c:pt idx="738">
                  <c:v>59</c:v>
                </c:pt>
                <c:pt idx="739">
                  <c:v>60</c:v>
                </c:pt>
                <c:pt idx="740">
                  <c:v>60</c:v>
                </c:pt>
                <c:pt idx="741">
                  <c:v>60</c:v>
                </c:pt>
                <c:pt idx="742">
                  <c:v>62.8</c:v>
                </c:pt>
              </c:numCache>
            </c:numRef>
          </c:xVal>
          <c:yVal>
            <c:numRef>
              <c:f>Salmonella!$L$344:$L$1086</c:f>
              <c:numCache>
                <c:formatCode>0.00</c:formatCode>
                <c:ptCount val="743"/>
                <c:pt idx="0">
                  <c:v>0.61278385671973545</c:v>
                </c:pt>
                <c:pt idx="1">
                  <c:v>3.1408464251624121E-2</c:v>
                </c:pt>
                <c:pt idx="2">
                  <c:v>1</c:v>
                </c:pt>
                <c:pt idx="3">
                  <c:v>0.54814363743484551</c:v>
                </c:pt>
                <c:pt idx="4">
                  <c:v>0.14612803567823801</c:v>
                </c:pt>
                <c:pt idx="5">
                  <c:v>1</c:v>
                </c:pt>
                <c:pt idx="6">
                  <c:v>1.0569048513364727</c:v>
                </c:pt>
                <c:pt idx="7">
                  <c:v>0.57978359661681012</c:v>
                </c:pt>
                <c:pt idx="8">
                  <c:v>-1.0995384301463193E-2</c:v>
                </c:pt>
                <c:pt idx="9">
                  <c:v>0.68394713075151214</c:v>
                </c:pt>
                <c:pt idx="10">
                  <c:v>0.42488163663106698</c:v>
                </c:pt>
                <c:pt idx="11">
                  <c:v>-0.22184874961635639</c:v>
                </c:pt>
                <c:pt idx="12">
                  <c:v>1.1613680022349748</c:v>
                </c:pt>
                <c:pt idx="13">
                  <c:v>0.55630250076728727</c:v>
                </c:pt>
                <c:pt idx="14">
                  <c:v>-0.3010299956639812</c:v>
                </c:pt>
                <c:pt idx="15">
                  <c:v>0.63346845557958653</c:v>
                </c:pt>
                <c:pt idx="16">
                  <c:v>-7.9354998593212434E-2</c:v>
                </c:pt>
                <c:pt idx="17">
                  <c:v>-0.52287874528033762</c:v>
                </c:pt>
                <c:pt idx="18">
                  <c:v>0.85733249643126852</c:v>
                </c:pt>
                <c:pt idx="19">
                  <c:v>4.1392685158225077E-2</c:v>
                </c:pt>
                <c:pt idx="20">
                  <c:v>-0.82390874094431876</c:v>
                </c:pt>
                <c:pt idx="21">
                  <c:v>-0.22184874961635639</c:v>
                </c:pt>
                <c:pt idx="22">
                  <c:v>-1.1804560644581312</c:v>
                </c:pt>
                <c:pt idx="23">
                  <c:v>0.85733249643126852</c:v>
                </c:pt>
                <c:pt idx="24">
                  <c:v>4.1392685158225077E-2</c:v>
                </c:pt>
                <c:pt idx="25">
                  <c:v>-0.66756154008439472</c:v>
                </c:pt>
                <c:pt idx="26">
                  <c:v>-0.74472749489669399</c:v>
                </c:pt>
                <c:pt idx="27">
                  <c:v>-1.3010299956639813</c:v>
                </c:pt>
                <c:pt idx="28">
                  <c:v>1.0791812460476249</c:v>
                </c:pt>
                <c:pt idx="29">
                  <c:v>0.74036268949424389</c:v>
                </c:pt>
                <c:pt idx="30">
                  <c:v>0.84509804001425681</c:v>
                </c:pt>
                <c:pt idx="31">
                  <c:v>0.90308998699194354</c:v>
                </c:pt>
                <c:pt idx="32">
                  <c:v>1.6180480967120927</c:v>
                </c:pt>
                <c:pt idx="33">
                  <c:v>0.77815125038364363</c:v>
                </c:pt>
                <c:pt idx="34">
                  <c:v>0.94448267215016868</c:v>
                </c:pt>
                <c:pt idx="35">
                  <c:v>0.36172783601759284</c:v>
                </c:pt>
                <c:pt idx="36">
                  <c:v>0.36172783601759284</c:v>
                </c:pt>
                <c:pt idx="37">
                  <c:v>0.44715803134221921</c:v>
                </c:pt>
                <c:pt idx="38">
                  <c:v>0.47712125471966244</c:v>
                </c:pt>
                <c:pt idx="39">
                  <c:v>1.4983105537896004</c:v>
                </c:pt>
                <c:pt idx="40">
                  <c:v>0.23044892137827391</c:v>
                </c:pt>
                <c:pt idx="41">
                  <c:v>0.41497334797081797</c:v>
                </c:pt>
                <c:pt idx="42">
                  <c:v>4.1392685158225077E-2</c:v>
                </c:pt>
                <c:pt idx="43">
                  <c:v>-9.6910013008056392E-2</c:v>
                </c:pt>
                <c:pt idx="44">
                  <c:v>4.1392685158225077E-2</c:v>
                </c:pt>
                <c:pt idx="45">
                  <c:v>4.1392685158225077E-2</c:v>
                </c:pt>
                <c:pt idx="46">
                  <c:v>1.1303337684950061</c:v>
                </c:pt>
                <c:pt idx="47">
                  <c:v>4.1392685158225077E-2</c:v>
                </c:pt>
                <c:pt idx="48">
                  <c:v>4.1392685158225077E-2</c:v>
                </c:pt>
                <c:pt idx="49">
                  <c:v>1.9777236052888478</c:v>
                </c:pt>
                <c:pt idx="50">
                  <c:v>1.9206450014067875</c:v>
                </c:pt>
                <c:pt idx="51">
                  <c:v>1.9731278535996986</c:v>
                </c:pt>
                <c:pt idx="52">
                  <c:v>1.414973347970818</c:v>
                </c:pt>
                <c:pt idx="53">
                  <c:v>1.8750612633917001</c:v>
                </c:pt>
                <c:pt idx="54">
                  <c:v>1.5550944485783191</c:v>
                </c:pt>
                <c:pt idx="55">
                  <c:v>1.7888751157754168</c:v>
                </c:pt>
                <c:pt idx="56">
                  <c:v>1.9030899869919435</c:v>
                </c:pt>
                <c:pt idx="57">
                  <c:v>1.7708520116421442</c:v>
                </c:pt>
                <c:pt idx="58">
                  <c:v>1.7958800173440752</c:v>
                </c:pt>
                <c:pt idx="59">
                  <c:v>1.3242824552976926</c:v>
                </c:pt>
                <c:pt idx="60">
                  <c:v>1.8603380065709938</c:v>
                </c:pt>
                <c:pt idx="61">
                  <c:v>1.7923916894982539</c:v>
                </c:pt>
                <c:pt idx="62">
                  <c:v>1.3710678622717363</c:v>
                </c:pt>
                <c:pt idx="63">
                  <c:v>1.6693168805661123</c:v>
                </c:pt>
                <c:pt idx="64">
                  <c:v>1.7781512503836436</c:v>
                </c:pt>
                <c:pt idx="65">
                  <c:v>1.7481880270062005</c:v>
                </c:pt>
                <c:pt idx="66">
                  <c:v>1.8369567370595505</c:v>
                </c:pt>
                <c:pt idx="67">
                  <c:v>1.1553360374650619</c:v>
                </c:pt>
                <c:pt idx="68">
                  <c:v>1.7664128471123994</c:v>
                </c:pt>
                <c:pt idx="69">
                  <c:v>1.7403626894942439</c:v>
                </c:pt>
                <c:pt idx="70">
                  <c:v>1.3283796034387378</c:v>
                </c:pt>
                <c:pt idx="71">
                  <c:v>1.4842998393467859</c:v>
                </c:pt>
                <c:pt idx="72">
                  <c:v>1.4232458739368079</c:v>
                </c:pt>
                <c:pt idx="73">
                  <c:v>1.550228353055094</c:v>
                </c:pt>
                <c:pt idx="74">
                  <c:v>0.72427586960078905</c:v>
                </c:pt>
                <c:pt idx="75">
                  <c:v>1.3010299956639813</c:v>
                </c:pt>
                <c:pt idx="76">
                  <c:v>1.6839471307515121</c:v>
                </c:pt>
                <c:pt idx="77">
                  <c:v>0.97772360528884772</c:v>
                </c:pt>
                <c:pt idx="78">
                  <c:v>1.1553360374650619</c:v>
                </c:pt>
                <c:pt idx="79">
                  <c:v>4.1392685158225077E-2</c:v>
                </c:pt>
                <c:pt idx="80">
                  <c:v>0</c:v>
                </c:pt>
                <c:pt idx="81">
                  <c:v>4.1392685158225077E-2</c:v>
                </c:pt>
                <c:pt idx="82">
                  <c:v>-4.5757490560675115E-2</c:v>
                </c:pt>
                <c:pt idx="83">
                  <c:v>4.1392685158225077E-2</c:v>
                </c:pt>
                <c:pt idx="84">
                  <c:v>1.1613680022349748</c:v>
                </c:pt>
                <c:pt idx="85">
                  <c:v>-9.6910013008056392E-2</c:v>
                </c:pt>
                <c:pt idx="86">
                  <c:v>4.1392685158225077E-2</c:v>
                </c:pt>
                <c:pt idx="87">
                  <c:v>1.0681858617461617</c:v>
                </c:pt>
                <c:pt idx="88">
                  <c:v>0.82607480270082645</c:v>
                </c:pt>
                <c:pt idx="89">
                  <c:v>0.79239168949825389</c:v>
                </c:pt>
                <c:pt idx="90">
                  <c:v>0.86332286012045589</c:v>
                </c:pt>
                <c:pt idx="91">
                  <c:v>1.2174839442139063</c:v>
                </c:pt>
                <c:pt idx="92">
                  <c:v>1.5440680443502757</c:v>
                </c:pt>
                <c:pt idx="93">
                  <c:v>1.2304489213782739</c:v>
                </c:pt>
                <c:pt idx="94">
                  <c:v>1.0791812460476249</c:v>
                </c:pt>
                <c:pt idx="95">
                  <c:v>-1.7728766960431602E-2</c:v>
                </c:pt>
                <c:pt idx="96">
                  <c:v>-0.18045606445813131</c:v>
                </c:pt>
                <c:pt idx="97">
                  <c:v>-0.12493873660829995</c:v>
                </c:pt>
                <c:pt idx="98">
                  <c:v>-0.25181197299379954</c:v>
                </c:pt>
                <c:pt idx="99">
                  <c:v>1.2624510897304295</c:v>
                </c:pt>
                <c:pt idx="100">
                  <c:v>0.66275783168157409</c:v>
                </c:pt>
                <c:pt idx="101">
                  <c:v>-8.6186147616283335E-2</c:v>
                </c:pt>
                <c:pt idx="102">
                  <c:v>-0.3979400086720376</c:v>
                </c:pt>
                <c:pt idx="103">
                  <c:v>0.72427586960078905</c:v>
                </c:pt>
                <c:pt idx="104">
                  <c:v>0.43136376415898736</c:v>
                </c:pt>
                <c:pt idx="105">
                  <c:v>0.11394335230683679</c:v>
                </c:pt>
                <c:pt idx="106">
                  <c:v>-4.5757490560675115E-2</c:v>
                </c:pt>
                <c:pt idx="107">
                  <c:v>0.36172783601759284</c:v>
                </c:pt>
                <c:pt idx="108">
                  <c:v>0.3222192947339193</c:v>
                </c:pt>
                <c:pt idx="109">
                  <c:v>0.27875360095282892</c:v>
                </c:pt>
                <c:pt idx="110">
                  <c:v>0.25527250510330607</c:v>
                </c:pt>
                <c:pt idx="111">
                  <c:v>0.3010299956639812</c:v>
                </c:pt>
                <c:pt idx="112">
                  <c:v>0.64345267648618742</c:v>
                </c:pt>
                <c:pt idx="113">
                  <c:v>0.3010299956639812</c:v>
                </c:pt>
                <c:pt idx="114">
                  <c:v>0.23044892137827391</c:v>
                </c:pt>
                <c:pt idx="115">
                  <c:v>0.23044892137827391</c:v>
                </c:pt>
                <c:pt idx="116">
                  <c:v>4.1392685158225077E-2</c:v>
                </c:pt>
                <c:pt idx="117">
                  <c:v>-0.36653154442041347</c:v>
                </c:pt>
                <c:pt idx="118">
                  <c:v>-0.35654732351381258</c:v>
                </c:pt>
                <c:pt idx="119">
                  <c:v>-0.38721614328026455</c:v>
                </c:pt>
                <c:pt idx="120">
                  <c:v>-0.14874165128092473</c:v>
                </c:pt>
                <c:pt idx="121">
                  <c:v>0.41497334797081797</c:v>
                </c:pt>
                <c:pt idx="122">
                  <c:v>0.17609125905568124</c:v>
                </c:pt>
                <c:pt idx="123">
                  <c:v>0.20411998265592479</c:v>
                </c:pt>
                <c:pt idx="124">
                  <c:v>-6.0480747381381476E-2</c:v>
                </c:pt>
                <c:pt idx="125">
                  <c:v>-0.14874165128092473</c:v>
                </c:pt>
                <c:pt idx="126">
                  <c:v>-0.33724216831842591</c:v>
                </c:pt>
                <c:pt idx="127">
                  <c:v>-8.7739243075051505E-3</c:v>
                </c:pt>
                <c:pt idx="128">
                  <c:v>0.51851393987788741</c:v>
                </c:pt>
                <c:pt idx="129">
                  <c:v>0.3979400086720376</c:v>
                </c:pt>
                <c:pt idx="130">
                  <c:v>0.34242268082220628</c:v>
                </c:pt>
                <c:pt idx="131">
                  <c:v>0.36172783601759284</c:v>
                </c:pt>
                <c:pt idx="132">
                  <c:v>0.41497334797081797</c:v>
                </c:pt>
                <c:pt idx="133">
                  <c:v>0.78532983501076703</c:v>
                </c:pt>
                <c:pt idx="134">
                  <c:v>0.3010299956639812</c:v>
                </c:pt>
                <c:pt idx="135">
                  <c:v>0.36172783601759284</c:v>
                </c:pt>
                <c:pt idx="136">
                  <c:v>0.41497334797081797</c:v>
                </c:pt>
                <c:pt idx="137">
                  <c:v>0.69019608002851374</c:v>
                </c:pt>
                <c:pt idx="138">
                  <c:v>0.62324929039790045</c:v>
                </c:pt>
                <c:pt idx="139">
                  <c:v>0.66275783168157409</c:v>
                </c:pt>
                <c:pt idx="140">
                  <c:v>0.57978359661681012</c:v>
                </c:pt>
                <c:pt idx="141">
                  <c:v>-0.16115090926274472</c:v>
                </c:pt>
                <c:pt idx="142">
                  <c:v>4.1392685158225077E-2</c:v>
                </c:pt>
                <c:pt idx="143">
                  <c:v>4.1392685158225077E-2</c:v>
                </c:pt>
                <c:pt idx="144">
                  <c:v>-0.16749108729376366</c:v>
                </c:pt>
                <c:pt idx="145">
                  <c:v>-0.37675070960209955</c:v>
                </c:pt>
                <c:pt idx="146">
                  <c:v>0.11394335230683679</c:v>
                </c:pt>
                <c:pt idx="147">
                  <c:v>-0.22184874961635639</c:v>
                </c:pt>
                <c:pt idx="148">
                  <c:v>7.9181246047624818E-2</c:v>
                </c:pt>
                <c:pt idx="149">
                  <c:v>0.3010299956639812</c:v>
                </c:pt>
                <c:pt idx="150">
                  <c:v>0</c:v>
                </c:pt>
                <c:pt idx="151">
                  <c:v>-0.34678748622465633</c:v>
                </c:pt>
                <c:pt idx="152">
                  <c:v>0.25527250510330607</c:v>
                </c:pt>
                <c:pt idx="153">
                  <c:v>0.43136376415898736</c:v>
                </c:pt>
                <c:pt idx="154">
                  <c:v>0.56820172406699498</c:v>
                </c:pt>
                <c:pt idx="155">
                  <c:v>0.85733249643126852</c:v>
                </c:pt>
                <c:pt idx="156">
                  <c:v>0.72427586960078905</c:v>
                </c:pt>
                <c:pt idx="157">
                  <c:v>0.78532983501076703</c:v>
                </c:pt>
                <c:pt idx="158">
                  <c:v>0.70757017609793638</c:v>
                </c:pt>
                <c:pt idx="159">
                  <c:v>1.6693168805661123</c:v>
                </c:pt>
                <c:pt idx="160">
                  <c:v>1.6655809910179531</c:v>
                </c:pt>
                <c:pt idx="161">
                  <c:v>1.4756711883244296</c:v>
                </c:pt>
                <c:pt idx="162">
                  <c:v>1.1003705451175629</c:v>
                </c:pt>
                <c:pt idx="163">
                  <c:v>0.61278385671973545</c:v>
                </c:pt>
                <c:pt idx="164">
                  <c:v>1.5611013836490559</c:v>
                </c:pt>
                <c:pt idx="165">
                  <c:v>1.7315887651867388</c:v>
                </c:pt>
                <c:pt idx="166">
                  <c:v>1.7143297597452329</c:v>
                </c:pt>
                <c:pt idx="167">
                  <c:v>1.2648178230095364</c:v>
                </c:pt>
                <c:pt idx="168">
                  <c:v>0.6020599913279624</c:v>
                </c:pt>
                <c:pt idx="169">
                  <c:v>-0.36653154442041347</c:v>
                </c:pt>
                <c:pt idx="170">
                  <c:v>1.503790683057181</c:v>
                </c:pt>
                <c:pt idx="171">
                  <c:v>1.8122446968003694</c:v>
                </c:pt>
                <c:pt idx="172">
                  <c:v>1.6560982020128319</c:v>
                </c:pt>
                <c:pt idx="173">
                  <c:v>1.1903316981702914</c:v>
                </c:pt>
                <c:pt idx="174">
                  <c:v>0.78532983501076703</c:v>
                </c:pt>
                <c:pt idx="175">
                  <c:v>-0.35654732351381258</c:v>
                </c:pt>
                <c:pt idx="176">
                  <c:v>1.5065050324048721</c:v>
                </c:pt>
                <c:pt idx="177">
                  <c:v>1.8762178405916423</c:v>
                </c:pt>
                <c:pt idx="178">
                  <c:v>1.651278013998144</c:v>
                </c:pt>
                <c:pt idx="179">
                  <c:v>1.3364597338485296</c:v>
                </c:pt>
                <c:pt idx="180">
                  <c:v>0.9493900066449128</c:v>
                </c:pt>
                <c:pt idx="181">
                  <c:v>0.75587485567249146</c:v>
                </c:pt>
                <c:pt idx="182">
                  <c:v>1.5587085705331658</c:v>
                </c:pt>
                <c:pt idx="183">
                  <c:v>-0.3979400086720376</c:v>
                </c:pt>
                <c:pt idx="184">
                  <c:v>-4.5757490560675115E-2</c:v>
                </c:pt>
                <c:pt idx="185">
                  <c:v>3.0902580529313162</c:v>
                </c:pt>
                <c:pt idx="186">
                  <c:v>2.5440680443502757</c:v>
                </c:pt>
                <c:pt idx="187">
                  <c:v>1.2741578492636798</c:v>
                </c:pt>
                <c:pt idx="188">
                  <c:v>0.63346845557958653</c:v>
                </c:pt>
                <c:pt idx="189">
                  <c:v>3.1476763242410986</c:v>
                </c:pt>
                <c:pt idx="190">
                  <c:v>1.9444826721501687</c:v>
                </c:pt>
                <c:pt idx="191">
                  <c:v>0.74036268949424389</c:v>
                </c:pt>
                <c:pt idx="192">
                  <c:v>-0.30980391997148632</c:v>
                </c:pt>
                <c:pt idx="193">
                  <c:v>-0.52287874528033762</c:v>
                </c:pt>
                <c:pt idx="194">
                  <c:v>0.72427586960078905</c:v>
                </c:pt>
                <c:pt idx="195">
                  <c:v>-0.3979400086720376</c:v>
                </c:pt>
                <c:pt idx="196">
                  <c:v>-0.15490195998574319</c:v>
                </c:pt>
                <c:pt idx="197">
                  <c:v>-0.3979400086720376</c:v>
                </c:pt>
                <c:pt idx="198">
                  <c:v>-4.5757490560675115E-2</c:v>
                </c:pt>
                <c:pt idx="199">
                  <c:v>0.11394335230683679</c:v>
                </c:pt>
                <c:pt idx="200">
                  <c:v>0.36172783601759284</c:v>
                </c:pt>
                <c:pt idx="201">
                  <c:v>-0.52287874528033762</c:v>
                </c:pt>
                <c:pt idx="202">
                  <c:v>-0.3010299956639812</c:v>
                </c:pt>
                <c:pt idx="203">
                  <c:v>7.9181246047624818E-2</c:v>
                </c:pt>
                <c:pt idx="204">
                  <c:v>-0.3979400086720376</c:v>
                </c:pt>
                <c:pt idx="205">
                  <c:v>7.9181246047624818E-2</c:v>
                </c:pt>
                <c:pt idx="206">
                  <c:v>-0.3010299956639812</c:v>
                </c:pt>
                <c:pt idx="207">
                  <c:v>-0.22184874961635639</c:v>
                </c:pt>
                <c:pt idx="208">
                  <c:v>-0.15490195998574319</c:v>
                </c:pt>
                <c:pt idx="209">
                  <c:v>-9.6910013008056392E-2</c:v>
                </c:pt>
                <c:pt idx="210">
                  <c:v>-0.22184874961635639</c:v>
                </c:pt>
                <c:pt idx="211">
                  <c:v>-0.22184874961635639</c:v>
                </c:pt>
                <c:pt idx="212">
                  <c:v>-0.15490195998574319</c:v>
                </c:pt>
                <c:pt idx="213">
                  <c:v>-0.3979400086720376</c:v>
                </c:pt>
                <c:pt idx="214">
                  <c:v>-0.3010299956639812</c:v>
                </c:pt>
                <c:pt idx="215">
                  <c:v>-0.52287874528033762</c:v>
                </c:pt>
                <c:pt idx="216">
                  <c:v>-0.15490195998574319</c:v>
                </c:pt>
                <c:pt idx="217">
                  <c:v>0.17609125905568124</c:v>
                </c:pt>
                <c:pt idx="218">
                  <c:v>-0.3010299956639812</c:v>
                </c:pt>
                <c:pt idx="219">
                  <c:v>-9.6910013008056392E-2</c:v>
                </c:pt>
                <c:pt idx="220">
                  <c:v>-0.3010299956639812</c:v>
                </c:pt>
                <c:pt idx="221">
                  <c:v>-0.22184874961635639</c:v>
                </c:pt>
                <c:pt idx="222">
                  <c:v>3.1293675957229854</c:v>
                </c:pt>
                <c:pt idx="223">
                  <c:v>2.1643528557844371</c:v>
                </c:pt>
                <c:pt idx="224">
                  <c:v>0.69019608002851374</c:v>
                </c:pt>
                <c:pt idx="225">
                  <c:v>-0.20760831050174613</c:v>
                </c:pt>
                <c:pt idx="226">
                  <c:v>2.9153998352122699</c:v>
                </c:pt>
                <c:pt idx="227">
                  <c:v>2.428134794028789</c:v>
                </c:pt>
                <c:pt idx="228">
                  <c:v>1.5587085705331658</c:v>
                </c:pt>
                <c:pt idx="229">
                  <c:v>0.79934054945358168</c:v>
                </c:pt>
                <c:pt idx="230">
                  <c:v>-0.69897000433601875</c:v>
                </c:pt>
                <c:pt idx="231">
                  <c:v>0.81291335664285558</c:v>
                </c:pt>
                <c:pt idx="232">
                  <c:v>-0.3979400086720376</c:v>
                </c:pt>
                <c:pt idx="233">
                  <c:v>-0.3010299956639812</c:v>
                </c:pt>
                <c:pt idx="234">
                  <c:v>-0.69897000433601875</c:v>
                </c:pt>
                <c:pt idx="235">
                  <c:v>-4.5757490560675115E-2</c:v>
                </c:pt>
                <c:pt idx="236">
                  <c:v>-0.3979400086720376</c:v>
                </c:pt>
                <c:pt idx="237">
                  <c:v>-4.5757490560675115E-2</c:v>
                </c:pt>
                <c:pt idx="238">
                  <c:v>0.36172783601759284</c:v>
                </c:pt>
                <c:pt idx="239">
                  <c:v>0.3222192947339193</c:v>
                </c:pt>
                <c:pt idx="240">
                  <c:v>0.36172783601759284</c:v>
                </c:pt>
                <c:pt idx="241">
                  <c:v>1.6693168805661123</c:v>
                </c:pt>
                <c:pt idx="242">
                  <c:v>0.27875360095282892</c:v>
                </c:pt>
                <c:pt idx="243">
                  <c:v>0.41497334797081797</c:v>
                </c:pt>
                <c:pt idx="244">
                  <c:v>1.6655809910179531</c:v>
                </c:pt>
                <c:pt idx="245">
                  <c:v>0.3010299956639812</c:v>
                </c:pt>
                <c:pt idx="246">
                  <c:v>0.57978359661681012</c:v>
                </c:pt>
                <c:pt idx="247">
                  <c:v>1.5611013836490559</c:v>
                </c:pt>
                <c:pt idx="248">
                  <c:v>0.25527250510330607</c:v>
                </c:pt>
                <c:pt idx="249">
                  <c:v>0.69019608002851374</c:v>
                </c:pt>
                <c:pt idx="250">
                  <c:v>1.4756711883244296</c:v>
                </c:pt>
                <c:pt idx="251">
                  <c:v>0.3010299956639812</c:v>
                </c:pt>
                <c:pt idx="252">
                  <c:v>0.62324929039790045</c:v>
                </c:pt>
                <c:pt idx="253">
                  <c:v>1.1003705451175629</c:v>
                </c:pt>
                <c:pt idx="254">
                  <c:v>0.61278385671973545</c:v>
                </c:pt>
                <c:pt idx="255">
                  <c:v>0.63346845557958653</c:v>
                </c:pt>
                <c:pt idx="256">
                  <c:v>0.64345267648618742</c:v>
                </c:pt>
                <c:pt idx="257">
                  <c:v>0.66275783168157409</c:v>
                </c:pt>
                <c:pt idx="258">
                  <c:v>1.2741578492636798</c:v>
                </c:pt>
                <c:pt idx="259">
                  <c:v>0.23044892137827391</c:v>
                </c:pt>
                <c:pt idx="260">
                  <c:v>-0.16115090926274472</c:v>
                </c:pt>
                <c:pt idx="261">
                  <c:v>0.23044892137827391</c:v>
                </c:pt>
                <c:pt idx="262">
                  <c:v>1.7315887651867388</c:v>
                </c:pt>
                <c:pt idx="263">
                  <c:v>4.1392685158225077E-2</c:v>
                </c:pt>
                <c:pt idx="264">
                  <c:v>4.1392685158225077E-2</c:v>
                </c:pt>
                <c:pt idx="265">
                  <c:v>1.7143297597452329</c:v>
                </c:pt>
                <c:pt idx="266">
                  <c:v>-0.14874165128092473</c:v>
                </c:pt>
                <c:pt idx="267">
                  <c:v>0.11394335230683679</c:v>
                </c:pt>
                <c:pt idx="268">
                  <c:v>1.503790683057181</c:v>
                </c:pt>
                <c:pt idx="269">
                  <c:v>-0.36653154442041347</c:v>
                </c:pt>
                <c:pt idx="270">
                  <c:v>4.1392685158225077E-2</c:v>
                </c:pt>
                <c:pt idx="271">
                  <c:v>1.2648178230095364</c:v>
                </c:pt>
                <c:pt idx="272">
                  <c:v>-0.35654732351381258</c:v>
                </c:pt>
                <c:pt idx="273">
                  <c:v>-0.16749108729376366</c:v>
                </c:pt>
                <c:pt idx="274">
                  <c:v>0.6020599913279624</c:v>
                </c:pt>
                <c:pt idx="275">
                  <c:v>-0.38721614328026455</c:v>
                </c:pt>
                <c:pt idx="276">
                  <c:v>-0.37675070960209955</c:v>
                </c:pt>
                <c:pt idx="277">
                  <c:v>-0.36653154442041347</c:v>
                </c:pt>
                <c:pt idx="278">
                  <c:v>-0.30980391997148632</c:v>
                </c:pt>
                <c:pt idx="279">
                  <c:v>0.74036268949424389</c:v>
                </c:pt>
                <c:pt idx="280">
                  <c:v>-0.52287874528033762</c:v>
                </c:pt>
                <c:pt idx="281">
                  <c:v>0.72427586960078905</c:v>
                </c:pt>
                <c:pt idx="282">
                  <c:v>-0.3979400086720376</c:v>
                </c:pt>
                <c:pt idx="283">
                  <c:v>-0.15490195998574319</c:v>
                </c:pt>
                <c:pt idx="284">
                  <c:v>-0.3979400086720376</c:v>
                </c:pt>
                <c:pt idx="285">
                  <c:v>-4.5757490560675115E-2</c:v>
                </c:pt>
                <c:pt idx="286">
                  <c:v>0.11394335230683679</c:v>
                </c:pt>
                <c:pt idx="287">
                  <c:v>0.36172783601759284</c:v>
                </c:pt>
                <c:pt idx="288">
                  <c:v>-0.52287874528033762</c:v>
                </c:pt>
                <c:pt idx="289">
                  <c:v>-0.3010299956639812</c:v>
                </c:pt>
                <c:pt idx="290">
                  <c:v>7.9181246047624818E-2</c:v>
                </c:pt>
                <c:pt idx="291">
                  <c:v>-0.3979400086720376</c:v>
                </c:pt>
                <c:pt idx="292">
                  <c:v>7.9181246047624818E-2</c:v>
                </c:pt>
                <c:pt idx="293">
                  <c:v>-0.3010299956639812</c:v>
                </c:pt>
                <c:pt idx="294">
                  <c:v>-0.22184874961635639</c:v>
                </c:pt>
                <c:pt idx="295">
                  <c:v>-0.15490195998574319</c:v>
                </c:pt>
                <c:pt idx="296">
                  <c:v>-9.6910013008056392E-2</c:v>
                </c:pt>
                <c:pt idx="297">
                  <c:v>-0.22184874961635639</c:v>
                </c:pt>
                <c:pt idx="298">
                  <c:v>-0.22184874961635639</c:v>
                </c:pt>
                <c:pt idx="299">
                  <c:v>-0.15490195998574319</c:v>
                </c:pt>
                <c:pt idx="300">
                  <c:v>-0.3979400086720376</c:v>
                </c:pt>
                <c:pt idx="301">
                  <c:v>-0.3010299956639812</c:v>
                </c:pt>
                <c:pt idx="302">
                  <c:v>-0.52287874528033762</c:v>
                </c:pt>
                <c:pt idx="303">
                  <c:v>-0.15490195998574319</c:v>
                </c:pt>
                <c:pt idx="304">
                  <c:v>0.17609125905568124</c:v>
                </c:pt>
                <c:pt idx="305">
                  <c:v>-0.3010299956639812</c:v>
                </c:pt>
                <c:pt idx="306">
                  <c:v>-9.6910013008056392E-2</c:v>
                </c:pt>
                <c:pt idx="307">
                  <c:v>-0.3010299956639812</c:v>
                </c:pt>
                <c:pt idx="308">
                  <c:v>-0.22184874961635639</c:v>
                </c:pt>
                <c:pt idx="309">
                  <c:v>0.51851393987788741</c:v>
                </c:pt>
                <c:pt idx="310">
                  <c:v>0.3979400086720376</c:v>
                </c:pt>
                <c:pt idx="311">
                  <c:v>0.43136376415898736</c:v>
                </c:pt>
                <c:pt idx="312">
                  <c:v>1.8762178405916423</c:v>
                </c:pt>
                <c:pt idx="313">
                  <c:v>0.34242268082220628</c:v>
                </c:pt>
                <c:pt idx="314">
                  <c:v>0.56820172406699498</c:v>
                </c:pt>
                <c:pt idx="315">
                  <c:v>1.651278013998144</c:v>
                </c:pt>
                <c:pt idx="316">
                  <c:v>0.3010299956639812</c:v>
                </c:pt>
                <c:pt idx="317">
                  <c:v>0.70757017609793638</c:v>
                </c:pt>
                <c:pt idx="318">
                  <c:v>1.5587085705331658</c:v>
                </c:pt>
                <c:pt idx="319">
                  <c:v>0.36172783601759284</c:v>
                </c:pt>
                <c:pt idx="320">
                  <c:v>0.85733249643126852</c:v>
                </c:pt>
                <c:pt idx="321">
                  <c:v>1.3364597338485296</c:v>
                </c:pt>
                <c:pt idx="322">
                  <c:v>0.41497334797081797</c:v>
                </c:pt>
                <c:pt idx="323">
                  <c:v>0.72427586960078905</c:v>
                </c:pt>
                <c:pt idx="324">
                  <c:v>0.9493900066449128</c:v>
                </c:pt>
                <c:pt idx="325">
                  <c:v>0.75587485567249146</c:v>
                </c:pt>
                <c:pt idx="326">
                  <c:v>0.78532983501076703</c:v>
                </c:pt>
                <c:pt idx="327">
                  <c:v>0.78532983501076703</c:v>
                </c:pt>
                <c:pt idx="328">
                  <c:v>0.79934054945358168</c:v>
                </c:pt>
                <c:pt idx="329">
                  <c:v>1.5587085705331658</c:v>
                </c:pt>
                <c:pt idx="330">
                  <c:v>0.41497334797081797</c:v>
                </c:pt>
                <c:pt idx="331">
                  <c:v>-0.22184874961635639</c:v>
                </c:pt>
                <c:pt idx="332">
                  <c:v>0.17609125905568124</c:v>
                </c:pt>
                <c:pt idx="333">
                  <c:v>1.8122446968003694</c:v>
                </c:pt>
                <c:pt idx="334">
                  <c:v>7.9181246047624818E-2</c:v>
                </c:pt>
                <c:pt idx="335">
                  <c:v>0.20411998265592479</c:v>
                </c:pt>
                <c:pt idx="336">
                  <c:v>1.6560982020128319</c:v>
                </c:pt>
                <c:pt idx="337">
                  <c:v>-8.7739243075051505E-3</c:v>
                </c:pt>
                <c:pt idx="338">
                  <c:v>0.25527250510330607</c:v>
                </c:pt>
                <c:pt idx="339">
                  <c:v>1.5065050324048721</c:v>
                </c:pt>
                <c:pt idx="340">
                  <c:v>-6.0480747381381476E-2</c:v>
                </c:pt>
                <c:pt idx="341">
                  <c:v>0.3010299956639812</c:v>
                </c:pt>
                <c:pt idx="342">
                  <c:v>1.1903316981702914</c:v>
                </c:pt>
                <c:pt idx="343">
                  <c:v>-0.14874165128092473</c:v>
                </c:pt>
                <c:pt idx="344">
                  <c:v>0</c:v>
                </c:pt>
                <c:pt idx="345">
                  <c:v>0.78532983501076703</c:v>
                </c:pt>
                <c:pt idx="346">
                  <c:v>-0.35654732351381258</c:v>
                </c:pt>
                <c:pt idx="347">
                  <c:v>-0.34678748622465633</c:v>
                </c:pt>
                <c:pt idx="348">
                  <c:v>-0.33724216831842591</c:v>
                </c:pt>
                <c:pt idx="349">
                  <c:v>-0.20760831050174613</c:v>
                </c:pt>
                <c:pt idx="350">
                  <c:v>0.69019608002851374</c:v>
                </c:pt>
                <c:pt idx="351">
                  <c:v>-0.69897000433601875</c:v>
                </c:pt>
                <c:pt idx="352">
                  <c:v>0.81291335664285558</c:v>
                </c:pt>
                <c:pt idx="353">
                  <c:v>-0.3979400086720376</c:v>
                </c:pt>
                <c:pt idx="354">
                  <c:v>-0.3010299956639812</c:v>
                </c:pt>
                <c:pt idx="355">
                  <c:v>-0.69897000433601875</c:v>
                </c:pt>
                <c:pt idx="356">
                  <c:v>-4.5757490560675115E-2</c:v>
                </c:pt>
                <c:pt idx="357">
                  <c:v>0.69460519893356876</c:v>
                </c:pt>
                <c:pt idx="358">
                  <c:v>0.69460519893356876</c:v>
                </c:pt>
                <c:pt idx="359">
                  <c:v>0.79934054945358168</c:v>
                </c:pt>
                <c:pt idx="360">
                  <c:v>0.79934054945358168</c:v>
                </c:pt>
                <c:pt idx="361">
                  <c:v>0.27875360095282892</c:v>
                </c:pt>
                <c:pt idx="362">
                  <c:v>0.27875360095282892</c:v>
                </c:pt>
                <c:pt idx="363">
                  <c:v>0.49136169383427269</c:v>
                </c:pt>
                <c:pt idx="364">
                  <c:v>1.2764618041732441</c:v>
                </c:pt>
                <c:pt idx="365">
                  <c:v>1.5118833609788744</c:v>
                </c:pt>
                <c:pt idx="366">
                  <c:v>1.0569048513364727</c:v>
                </c:pt>
                <c:pt idx="367">
                  <c:v>1.0569048513364727</c:v>
                </c:pt>
                <c:pt idx="368">
                  <c:v>0.49136169383427269</c:v>
                </c:pt>
                <c:pt idx="369">
                  <c:v>0.71600334363479923</c:v>
                </c:pt>
                <c:pt idx="370">
                  <c:v>0.71600334363479923</c:v>
                </c:pt>
                <c:pt idx="371">
                  <c:v>1.2764618041732441</c:v>
                </c:pt>
                <c:pt idx="372">
                  <c:v>1.5118833609788744</c:v>
                </c:pt>
                <c:pt idx="373">
                  <c:v>-0.79588001734407521</c:v>
                </c:pt>
                <c:pt idx="374">
                  <c:v>-0.69897000433601875</c:v>
                </c:pt>
                <c:pt idx="375">
                  <c:v>-0.43179827593300502</c:v>
                </c:pt>
                <c:pt idx="376">
                  <c:v>0.65321251377534373</c:v>
                </c:pt>
                <c:pt idx="377">
                  <c:v>0.79601896934714933</c:v>
                </c:pt>
                <c:pt idx="378">
                  <c:v>-7.4172425375257686E-2</c:v>
                </c:pt>
                <c:pt idx="379">
                  <c:v>0.52608069180202999</c:v>
                </c:pt>
                <c:pt idx="380">
                  <c:v>-0.40450377817442584</c:v>
                </c:pt>
                <c:pt idx="381">
                  <c:v>0.41497334797081797</c:v>
                </c:pt>
                <c:pt idx="382">
                  <c:v>0.2380461031287954</c:v>
                </c:pt>
                <c:pt idx="383">
                  <c:v>0.79795964373719619</c:v>
                </c:pt>
                <c:pt idx="384">
                  <c:v>1.0704073217401198</c:v>
                </c:pt>
                <c:pt idx="385">
                  <c:v>0.56584781867351763</c:v>
                </c:pt>
                <c:pt idx="386">
                  <c:v>-0.10790539730951958</c:v>
                </c:pt>
                <c:pt idx="387">
                  <c:v>0.55870857053316569</c:v>
                </c:pt>
                <c:pt idx="388">
                  <c:v>0.96094619573383144</c:v>
                </c:pt>
                <c:pt idx="389">
                  <c:v>0.16731733474817609</c:v>
                </c:pt>
                <c:pt idx="390">
                  <c:v>0.54530711646582408</c:v>
                </c:pt>
                <c:pt idx="391">
                  <c:v>0.658964842664435</c:v>
                </c:pt>
                <c:pt idx="392">
                  <c:v>0.18469143081759881</c:v>
                </c:pt>
                <c:pt idx="393">
                  <c:v>-0.65757731917779372</c:v>
                </c:pt>
                <c:pt idx="394">
                  <c:v>0.43136376415898736</c:v>
                </c:pt>
                <c:pt idx="395">
                  <c:v>-5.551732784983137E-2</c:v>
                </c:pt>
                <c:pt idx="396">
                  <c:v>-1</c:v>
                </c:pt>
                <c:pt idx="397">
                  <c:v>0.12385164096708581</c:v>
                </c:pt>
                <c:pt idx="398">
                  <c:v>-0.42021640338318983</c:v>
                </c:pt>
                <c:pt idx="399">
                  <c:v>-1.5228787452803376</c:v>
                </c:pt>
                <c:pt idx="400">
                  <c:v>-0.16749108729376366</c:v>
                </c:pt>
                <c:pt idx="401">
                  <c:v>-0.92081875395237522</c:v>
                </c:pt>
                <c:pt idx="402">
                  <c:v>-0.79588001734407521</c:v>
                </c:pt>
                <c:pt idx="403">
                  <c:v>-1.3979400086720375</c:v>
                </c:pt>
                <c:pt idx="404">
                  <c:v>-1.3010299956639813</c:v>
                </c:pt>
                <c:pt idx="405">
                  <c:v>0.14612803567823801</c:v>
                </c:pt>
                <c:pt idx="406">
                  <c:v>-0.3010299956639812</c:v>
                </c:pt>
                <c:pt idx="407">
                  <c:v>-0.69897000433601875</c:v>
                </c:pt>
                <c:pt idx="408">
                  <c:v>0.46239799789895608</c:v>
                </c:pt>
                <c:pt idx="409">
                  <c:v>-9.6910013008056392E-2</c:v>
                </c:pt>
                <c:pt idx="410">
                  <c:v>-0.52287874528033762</c:v>
                </c:pt>
                <c:pt idx="411">
                  <c:v>0.38021124171160603</c:v>
                </c:pt>
                <c:pt idx="412">
                  <c:v>4.1392685158225077E-2</c:v>
                </c:pt>
                <c:pt idx="413">
                  <c:v>-0.3010299956639812</c:v>
                </c:pt>
                <c:pt idx="414">
                  <c:v>4.1392685158225077E-2</c:v>
                </c:pt>
                <c:pt idx="415">
                  <c:v>-0.3979400086720376</c:v>
                </c:pt>
                <c:pt idx="416">
                  <c:v>-0.69897000433601875</c:v>
                </c:pt>
                <c:pt idx="417">
                  <c:v>0.11394335230683679</c:v>
                </c:pt>
                <c:pt idx="418">
                  <c:v>7.9181246047624818E-2</c:v>
                </c:pt>
                <c:pt idx="419">
                  <c:v>0.3222192947339193</c:v>
                </c:pt>
                <c:pt idx="420">
                  <c:v>0.43136376415898736</c:v>
                </c:pt>
                <c:pt idx="421">
                  <c:v>0.3010299956639812</c:v>
                </c:pt>
                <c:pt idx="422">
                  <c:v>0.6020599913279624</c:v>
                </c:pt>
                <c:pt idx="423">
                  <c:v>0.34242268082220628</c:v>
                </c:pt>
                <c:pt idx="424">
                  <c:v>0.3979400086720376</c:v>
                </c:pt>
                <c:pt idx="425">
                  <c:v>0.44715803134221921</c:v>
                </c:pt>
                <c:pt idx="426">
                  <c:v>0.49136169383427269</c:v>
                </c:pt>
                <c:pt idx="427">
                  <c:v>1.4471580313422192</c:v>
                </c:pt>
                <c:pt idx="428">
                  <c:v>1.5440680443502757</c:v>
                </c:pt>
                <c:pt idx="429">
                  <c:v>0.11394335230683679</c:v>
                </c:pt>
                <c:pt idx="430">
                  <c:v>0.36172783601759284</c:v>
                </c:pt>
                <c:pt idx="431">
                  <c:v>0.25527250510330607</c:v>
                </c:pt>
                <c:pt idx="432">
                  <c:v>0.91907809237607396</c:v>
                </c:pt>
                <c:pt idx="433">
                  <c:v>-4.5757490560675115E-2</c:v>
                </c:pt>
                <c:pt idx="434">
                  <c:v>0.17609125905568124</c:v>
                </c:pt>
                <c:pt idx="435">
                  <c:v>0</c:v>
                </c:pt>
                <c:pt idx="436">
                  <c:v>7.9181246047624818E-2</c:v>
                </c:pt>
                <c:pt idx="437">
                  <c:v>-9.6910013008056392E-2</c:v>
                </c:pt>
                <c:pt idx="438">
                  <c:v>4.1392685158225077E-2</c:v>
                </c:pt>
                <c:pt idx="439">
                  <c:v>0</c:v>
                </c:pt>
                <c:pt idx="440">
                  <c:v>7.9181246047624818E-2</c:v>
                </c:pt>
                <c:pt idx="441">
                  <c:v>1.0969100130080565</c:v>
                </c:pt>
                <c:pt idx="442">
                  <c:v>1.1613680022349748</c:v>
                </c:pt>
                <c:pt idx="443">
                  <c:v>-0.15490195998574319</c:v>
                </c:pt>
                <c:pt idx="444">
                  <c:v>0.11394335230683679</c:v>
                </c:pt>
                <c:pt idx="445">
                  <c:v>4.1392685158225077E-2</c:v>
                </c:pt>
                <c:pt idx="446">
                  <c:v>1.0211892990699381</c:v>
                </c:pt>
                <c:pt idx="447">
                  <c:v>1.146128035678238</c:v>
                </c:pt>
                <c:pt idx="448">
                  <c:v>0.69897000433601886</c:v>
                </c:pt>
                <c:pt idx="449">
                  <c:v>0.81291335664285558</c:v>
                </c:pt>
                <c:pt idx="450">
                  <c:v>0.69897000433601886</c:v>
                </c:pt>
                <c:pt idx="451">
                  <c:v>0.92941892571429274</c:v>
                </c:pt>
                <c:pt idx="452">
                  <c:v>0.77815125038364363</c:v>
                </c:pt>
                <c:pt idx="453">
                  <c:v>1</c:v>
                </c:pt>
                <c:pt idx="454">
                  <c:v>1.6020599913279623</c:v>
                </c:pt>
                <c:pt idx="455">
                  <c:v>1.6334684555795864</c:v>
                </c:pt>
                <c:pt idx="456">
                  <c:v>0.69897000433601886</c:v>
                </c:pt>
                <c:pt idx="457">
                  <c:v>0.84509804001425681</c:v>
                </c:pt>
                <c:pt idx="458">
                  <c:v>0.92941892571429274</c:v>
                </c:pt>
                <c:pt idx="459">
                  <c:v>0.97772360528884772</c:v>
                </c:pt>
                <c:pt idx="460">
                  <c:v>0.74036268949424389</c:v>
                </c:pt>
                <c:pt idx="461">
                  <c:v>1.2174839442139063</c:v>
                </c:pt>
                <c:pt idx="462">
                  <c:v>0</c:v>
                </c:pt>
                <c:pt idx="463">
                  <c:v>0.11394335230683679</c:v>
                </c:pt>
                <c:pt idx="464">
                  <c:v>0</c:v>
                </c:pt>
                <c:pt idx="465">
                  <c:v>7.9181246047624818E-2</c:v>
                </c:pt>
                <c:pt idx="466">
                  <c:v>-9.6910013008056392E-2</c:v>
                </c:pt>
                <c:pt idx="467">
                  <c:v>0.11394335230683679</c:v>
                </c:pt>
                <c:pt idx="468">
                  <c:v>-9.6910013008056392E-2</c:v>
                </c:pt>
                <c:pt idx="469">
                  <c:v>0</c:v>
                </c:pt>
                <c:pt idx="470">
                  <c:v>-0.15490195998574319</c:v>
                </c:pt>
                <c:pt idx="471">
                  <c:v>0.14612803567823801</c:v>
                </c:pt>
                <c:pt idx="472">
                  <c:v>1.1303337684950061</c:v>
                </c:pt>
                <c:pt idx="473">
                  <c:v>1.2041199826559248</c:v>
                </c:pt>
                <c:pt idx="474">
                  <c:v>-0.22184874961635639</c:v>
                </c:pt>
                <c:pt idx="475">
                  <c:v>-4.5757490560675115E-2</c:v>
                </c:pt>
                <c:pt idx="476">
                  <c:v>-0.15490195998574319</c:v>
                </c:pt>
                <c:pt idx="477">
                  <c:v>0.17609125905568124</c:v>
                </c:pt>
                <c:pt idx="478">
                  <c:v>1.3010299956639813</c:v>
                </c:pt>
                <c:pt idx="479">
                  <c:v>1.5185139398778875</c:v>
                </c:pt>
                <c:pt idx="480">
                  <c:v>1.5185139398778875</c:v>
                </c:pt>
                <c:pt idx="481">
                  <c:v>1.5797835966168101</c:v>
                </c:pt>
                <c:pt idx="482">
                  <c:v>0.69897000433601886</c:v>
                </c:pt>
                <c:pt idx="483">
                  <c:v>0.74036268949424389</c:v>
                </c:pt>
                <c:pt idx="484">
                  <c:v>1.2671717284030137</c:v>
                </c:pt>
                <c:pt idx="485">
                  <c:v>1.3617278360175928</c:v>
                </c:pt>
                <c:pt idx="486">
                  <c:v>1.6334684555795864</c:v>
                </c:pt>
                <c:pt idx="487">
                  <c:v>1.7403626894942439</c:v>
                </c:pt>
                <c:pt idx="488">
                  <c:v>0.95424250943932487</c:v>
                </c:pt>
                <c:pt idx="489">
                  <c:v>1</c:v>
                </c:pt>
                <c:pt idx="490">
                  <c:v>1.0413926851582251</c:v>
                </c:pt>
                <c:pt idx="491">
                  <c:v>1.2787536009528289</c:v>
                </c:pt>
                <c:pt idx="492">
                  <c:v>1.7634279935629373</c:v>
                </c:pt>
                <c:pt idx="493">
                  <c:v>1.7923916894982539</c:v>
                </c:pt>
                <c:pt idx="494">
                  <c:v>1.6020599913279623</c:v>
                </c:pt>
                <c:pt idx="495">
                  <c:v>1.8450980400142569</c:v>
                </c:pt>
                <c:pt idx="496">
                  <c:v>1.8129133566428555</c:v>
                </c:pt>
                <c:pt idx="497">
                  <c:v>1.8750612633917001</c:v>
                </c:pt>
                <c:pt idx="498">
                  <c:v>1.0791812460476249</c:v>
                </c:pt>
                <c:pt idx="499">
                  <c:v>1.1760912590556813</c:v>
                </c:pt>
                <c:pt idx="500">
                  <c:v>1.6989700043360187</c:v>
                </c:pt>
                <c:pt idx="501">
                  <c:v>1.8750612633917001</c:v>
                </c:pt>
                <c:pt idx="502">
                  <c:v>1.6989700043360187</c:v>
                </c:pt>
                <c:pt idx="503">
                  <c:v>1.7781512503836436</c:v>
                </c:pt>
                <c:pt idx="504">
                  <c:v>1.3010299956639813</c:v>
                </c:pt>
                <c:pt idx="505">
                  <c:v>1.3979400086720377</c:v>
                </c:pt>
                <c:pt idx="506">
                  <c:v>1.1760912590556813</c:v>
                </c:pt>
                <c:pt idx="507">
                  <c:v>1.6127838567197355</c:v>
                </c:pt>
                <c:pt idx="508">
                  <c:v>1.8450980400142569</c:v>
                </c:pt>
                <c:pt idx="509">
                  <c:v>2.0413926851582249</c:v>
                </c:pt>
                <c:pt idx="510">
                  <c:v>1.7242758696007889</c:v>
                </c:pt>
                <c:pt idx="511">
                  <c:v>1.8129133566428555</c:v>
                </c:pt>
                <c:pt idx="512">
                  <c:v>1.7781512503836436</c:v>
                </c:pt>
                <c:pt idx="513">
                  <c:v>1.8129133566428555</c:v>
                </c:pt>
                <c:pt idx="514">
                  <c:v>1.2304489213782739</c:v>
                </c:pt>
                <c:pt idx="515">
                  <c:v>1.4471580313422192</c:v>
                </c:pt>
                <c:pt idx="516">
                  <c:v>1.8129133566428555</c:v>
                </c:pt>
                <c:pt idx="517">
                  <c:v>1.9030899869919435</c:v>
                </c:pt>
                <c:pt idx="518">
                  <c:v>1.7403626894942439</c:v>
                </c:pt>
                <c:pt idx="519">
                  <c:v>1.8750612633917001</c:v>
                </c:pt>
                <c:pt idx="520">
                  <c:v>1.3010299956639813</c:v>
                </c:pt>
                <c:pt idx="521">
                  <c:v>1.4313637641589874</c:v>
                </c:pt>
                <c:pt idx="522">
                  <c:v>1.6020599913279623</c:v>
                </c:pt>
                <c:pt idx="523">
                  <c:v>1.7403626894942439</c:v>
                </c:pt>
                <c:pt idx="524">
                  <c:v>1.8750612633917001</c:v>
                </c:pt>
                <c:pt idx="525">
                  <c:v>2.1461280356782382</c:v>
                </c:pt>
                <c:pt idx="526">
                  <c:v>1.8750612633917001</c:v>
                </c:pt>
                <c:pt idx="527">
                  <c:v>2.1760912590556813</c:v>
                </c:pt>
                <c:pt idx="528">
                  <c:v>1.7781512503836436</c:v>
                </c:pt>
                <c:pt idx="529">
                  <c:v>2.0791812460476247</c:v>
                </c:pt>
                <c:pt idx="530">
                  <c:v>1.2787536009528289</c:v>
                </c:pt>
                <c:pt idx="531">
                  <c:v>1.6020599913279623</c:v>
                </c:pt>
                <c:pt idx="532">
                  <c:v>1.8129133566428555</c:v>
                </c:pt>
                <c:pt idx="533">
                  <c:v>1.9030899869919435</c:v>
                </c:pt>
                <c:pt idx="534">
                  <c:v>1.3979400086720377</c:v>
                </c:pt>
                <c:pt idx="535">
                  <c:v>1.6532125137753437</c:v>
                </c:pt>
                <c:pt idx="536">
                  <c:v>1.7781512503836436</c:v>
                </c:pt>
                <c:pt idx="537">
                  <c:v>1.7993405494535817</c:v>
                </c:pt>
                <c:pt idx="538">
                  <c:v>4.1392685158225077E-2</c:v>
                </c:pt>
                <c:pt idx="539">
                  <c:v>-0.3010299956639812</c:v>
                </c:pt>
                <c:pt idx="540">
                  <c:v>0.92941892571429274</c:v>
                </c:pt>
                <c:pt idx="541">
                  <c:v>1.0791812460476249</c:v>
                </c:pt>
                <c:pt idx="542">
                  <c:v>0.3010299956639812</c:v>
                </c:pt>
                <c:pt idx="543">
                  <c:v>-4.5757490560675115E-2</c:v>
                </c:pt>
                <c:pt idx="544">
                  <c:v>4.1392685158225077E-2</c:v>
                </c:pt>
                <c:pt idx="545">
                  <c:v>0.19312459835446161</c:v>
                </c:pt>
                <c:pt idx="546">
                  <c:v>1.2304489213782739</c:v>
                </c:pt>
                <c:pt idx="547">
                  <c:v>1.6232492903979006</c:v>
                </c:pt>
                <c:pt idx="548">
                  <c:v>1.6812412373755872</c:v>
                </c:pt>
                <c:pt idx="549">
                  <c:v>-0.85387196432176193</c:v>
                </c:pt>
                <c:pt idx="550">
                  <c:v>-2.2276394711152253E-2</c:v>
                </c:pt>
                <c:pt idx="551">
                  <c:v>-0.69897000433601875</c:v>
                </c:pt>
                <c:pt idx="552">
                  <c:v>-0.52287874528033762</c:v>
                </c:pt>
                <c:pt idx="553">
                  <c:v>-0.58502665202918203</c:v>
                </c:pt>
                <c:pt idx="554">
                  <c:v>-0.15490195998574319</c:v>
                </c:pt>
                <c:pt idx="555">
                  <c:v>-4.5757490560675115E-2</c:v>
                </c:pt>
                <c:pt idx="556">
                  <c:v>0</c:v>
                </c:pt>
                <c:pt idx="557">
                  <c:v>0.3222192947339193</c:v>
                </c:pt>
                <c:pt idx="558">
                  <c:v>-0.15490195998574319</c:v>
                </c:pt>
                <c:pt idx="559">
                  <c:v>-0.15490195998574319</c:v>
                </c:pt>
                <c:pt idx="560">
                  <c:v>1.2304489213782739</c:v>
                </c:pt>
                <c:pt idx="561">
                  <c:v>1.3010299956639813</c:v>
                </c:pt>
                <c:pt idx="562">
                  <c:v>0.23044892137827391</c:v>
                </c:pt>
                <c:pt idx="563">
                  <c:v>0.20139712432045151</c:v>
                </c:pt>
                <c:pt idx="564">
                  <c:v>0.20951501454263097</c:v>
                </c:pt>
                <c:pt idx="565">
                  <c:v>-0.40893539297350079</c:v>
                </c:pt>
                <c:pt idx="566">
                  <c:v>0.14612803567823801</c:v>
                </c:pt>
                <c:pt idx="567">
                  <c:v>-9.6910013008056392E-2</c:v>
                </c:pt>
                <c:pt idx="568">
                  <c:v>6.069784035361165E-2</c:v>
                </c:pt>
                <c:pt idx="569">
                  <c:v>1.1398790864012365</c:v>
                </c:pt>
                <c:pt idx="570">
                  <c:v>0.49831055378960049</c:v>
                </c:pt>
                <c:pt idx="571">
                  <c:v>0.26007138798507479</c:v>
                </c:pt>
                <c:pt idx="572">
                  <c:v>0.70415051683979912</c:v>
                </c:pt>
                <c:pt idx="573">
                  <c:v>-0.95860731484177497</c:v>
                </c:pt>
                <c:pt idx="574">
                  <c:v>0.5428254269591799</c:v>
                </c:pt>
                <c:pt idx="575">
                  <c:v>0.44090908206521767</c:v>
                </c:pt>
                <c:pt idx="576">
                  <c:v>0.84198480459011393</c:v>
                </c:pt>
                <c:pt idx="577">
                  <c:v>1.2041199826559248</c:v>
                </c:pt>
                <c:pt idx="578">
                  <c:v>1.0413926851582251</c:v>
                </c:pt>
                <c:pt idx="579">
                  <c:v>0.13987908640123647</c:v>
                </c:pt>
                <c:pt idx="580">
                  <c:v>1.255272505103306</c:v>
                </c:pt>
                <c:pt idx="581">
                  <c:v>1.2671717284030137</c:v>
                </c:pt>
                <c:pt idx="582">
                  <c:v>1.4983105537896004</c:v>
                </c:pt>
                <c:pt idx="583">
                  <c:v>1.6334684555795864</c:v>
                </c:pt>
                <c:pt idx="584">
                  <c:v>1.7242758696007889</c:v>
                </c:pt>
                <c:pt idx="585">
                  <c:v>1.7323937598229686</c:v>
                </c:pt>
                <c:pt idx="586">
                  <c:v>-0.38721614328026455</c:v>
                </c:pt>
                <c:pt idx="587">
                  <c:v>-0.79588001734407521</c:v>
                </c:pt>
                <c:pt idx="588">
                  <c:v>-0.53760200210104392</c:v>
                </c:pt>
                <c:pt idx="589">
                  <c:v>-1.2518119729937995</c:v>
                </c:pt>
                <c:pt idx="590">
                  <c:v>-1.1029229967905798</c:v>
                </c:pt>
                <c:pt idx="591">
                  <c:v>-0.96657624451305035</c:v>
                </c:pt>
                <c:pt idx="592">
                  <c:v>1.2860071220794747</c:v>
                </c:pt>
                <c:pt idx="593">
                  <c:v>0.57054293988189753</c:v>
                </c:pt>
                <c:pt idx="594">
                  <c:v>0.48572142648158001</c:v>
                </c:pt>
                <c:pt idx="595">
                  <c:v>1.1061908972634154</c:v>
                </c:pt>
                <c:pt idx="596">
                  <c:v>0.73158876518673865</c:v>
                </c:pt>
                <c:pt idx="597">
                  <c:v>0.36361197989214433</c:v>
                </c:pt>
                <c:pt idx="598">
                  <c:v>1.1185953652237619</c:v>
                </c:pt>
                <c:pt idx="599">
                  <c:v>0.74507479158205747</c:v>
                </c:pt>
                <c:pt idx="600">
                  <c:v>0.28330122870354957</c:v>
                </c:pt>
                <c:pt idx="601">
                  <c:v>1.2337573629655105</c:v>
                </c:pt>
                <c:pt idx="602">
                  <c:v>0.85369821177617433</c:v>
                </c:pt>
                <c:pt idx="603">
                  <c:v>0.45939248775923086</c:v>
                </c:pt>
                <c:pt idx="604">
                  <c:v>1.1532049000842843</c:v>
                </c:pt>
                <c:pt idx="605">
                  <c:v>1.1139433523068367</c:v>
                </c:pt>
                <c:pt idx="606">
                  <c:v>0.79448804665916961</c:v>
                </c:pt>
                <c:pt idx="607">
                  <c:v>0.42975228000240795</c:v>
                </c:pt>
                <c:pt idx="608">
                  <c:v>0.56820172406699498</c:v>
                </c:pt>
                <c:pt idx="609">
                  <c:v>-0.75696195131370558</c:v>
                </c:pt>
                <c:pt idx="610">
                  <c:v>-0.12493873660829995</c:v>
                </c:pt>
                <c:pt idx="611">
                  <c:v>-0.12493873660829995</c:v>
                </c:pt>
                <c:pt idx="612">
                  <c:v>9.691001300805642E-2</c:v>
                </c:pt>
                <c:pt idx="613">
                  <c:v>0.18469143081759881</c:v>
                </c:pt>
                <c:pt idx="614">
                  <c:v>0.21748394421390627</c:v>
                </c:pt>
                <c:pt idx="615">
                  <c:v>0.2576785748691845</c:v>
                </c:pt>
                <c:pt idx="616">
                  <c:v>0.35218251811136247</c:v>
                </c:pt>
                <c:pt idx="617">
                  <c:v>0.3979400086720376</c:v>
                </c:pt>
                <c:pt idx="618">
                  <c:v>0.45484486000851021</c:v>
                </c:pt>
                <c:pt idx="619">
                  <c:v>0.47712125471966244</c:v>
                </c:pt>
                <c:pt idx="620">
                  <c:v>0.66275783168157409</c:v>
                </c:pt>
                <c:pt idx="621">
                  <c:v>0.78532983501076703</c:v>
                </c:pt>
                <c:pt idx="622">
                  <c:v>1.3344537511509309</c:v>
                </c:pt>
                <c:pt idx="623">
                  <c:v>1.5378190950732742</c:v>
                </c:pt>
                <c:pt idx="624">
                  <c:v>1.541579243946581</c:v>
                </c:pt>
                <c:pt idx="625">
                  <c:v>0.91169015875386117</c:v>
                </c:pt>
                <c:pt idx="626">
                  <c:v>0.36921585741014279</c:v>
                </c:pt>
                <c:pt idx="627">
                  <c:v>-0.20065945054641829</c:v>
                </c:pt>
                <c:pt idx="628">
                  <c:v>1.0569048513364727</c:v>
                </c:pt>
                <c:pt idx="629">
                  <c:v>1</c:v>
                </c:pt>
                <c:pt idx="630">
                  <c:v>0.85733249643126852</c:v>
                </c:pt>
                <c:pt idx="631">
                  <c:v>0.57978359661681012</c:v>
                </c:pt>
                <c:pt idx="632">
                  <c:v>4.1392685158225077E-2</c:v>
                </c:pt>
                <c:pt idx="633">
                  <c:v>0.68394713075151214</c:v>
                </c:pt>
                <c:pt idx="634">
                  <c:v>0.63346845557958653</c:v>
                </c:pt>
                <c:pt idx="635">
                  <c:v>-0.22184874961635639</c:v>
                </c:pt>
                <c:pt idx="636">
                  <c:v>1.6042260530844701</c:v>
                </c:pt>
                <c:pt idx="637">
                  <c:v>0.54777470538782258</c:v>
                </c:pt>
                <c:pt idx="638">
                  <c:v>1.2833012287035497</c:v>
                </c:pt>
                <c:pt idx="639">
                  <c:v>0.31175386105575426</c:v>
                </c:pt>
                <c:pt idx="640">
                  <c:v>0.68124123737558717</c:v>
                </c:pt>
                <c:pt idx="641">
                  <c:v>0.42488163663106698</c:v>
                </c:pt>
                <c:pt idx="642">
                  <c:v>-8.092190762392612E-2</c:v>
                </c:pt>
                <c:pt idx="643">
                  <c:v>0.14612803567823801</c:v>
                </c:pt>
                <c:pt idx="644">
                  <c:v>-1.1804560644581312</c:v>
                </c:pt>
                <c:pt idx="645">
                  <c:v>-0.53760200210104392</c:v>
                </c:pt>
                <c:pt idx="646">
                  <c:v>1.2405492482825997</c:v>
                </c:pt>
                <c:pt idx="647">
                  <c:v>0.86332286012045589</c:v>
                </c:pt>
                <c:pt idx="648">
                  <c:v>0.27875360095282892</c:v>
                </c:pt>
                <c:pt idx="649">
                  <c:v>-0.21467016498923297</c:v>
                </c:pt>
                <c:pt idx="650">
                  <c:v>-0.92081875395237522</c:v>
                </c:pt>
                <c:pt idx="651">
                  <c:v>0.44715803134221921</c:v>
                </c:pt>
                <c:pt idx="652">
                  <c:v>-4.3648054024500883E-3</c:v>
                </c:pt>
                <c:pt idx="653">
                  <c:v>-0.22184874961635639</c:v>
                </c:pt>
                <c:pt idx="654">
                  <c:v>-0.52287874528033762</c:v>
                </c:pt>
                <c:pt idx="655">
                  <c:v>0.87506126339170009</c:v>
                </c:pt>
                <c:pt idx="656">
                  <c:v>0.44715803134221921</c:v>
                </c:pt>
                <c:pt idx="657">
                  <c:v>-0.13076828026902382</c:v>
                </c:pt>
                <c:pt idx="658">
                  <c:v>-0.56863623584101264</c:v>
                </c:pt>
                <c:pt idx="659">
                  <c:v>-1.3010299956639813</c:v>
                </c:pt>
                <c:pt idx="660">
                  <c:v>0.51851393987788741</c:v>
                </c:pt>
                <c:pt idx="661">
                  <c:v>4.1392685158225077E-2</c:v>
                </c:pt>
                <c:pt idx="662">
                  <c:v>-0.53760200210104392</c:v>
                </c:pt>
                <c:pt idx="663">
                  <c:v>-0.92081875395237522</c:v>
                </c:pt>
                <c:pt idx="664">
                  <c:v>-1.6989700043360187</c:v>
                </c:pt>
                <c:pt idx="665">
                  <c:v>0.14612803567823801</c:v>
                </c:pt>
                <c:pt idx="666">
                  <c:v>-0.3979400086720376</c:v>
                </c:pt>
                <c:pt idx="667">
                  <c:v>-0.92081875395237522</c:v>
                </c:pt>
                <c:pt idx="668">
                  <c:v>-1.3010299956639813</c:v>
                </c:pt>
                <c:pt idx="669">
                  <c:v>-2</c:v>
                </c:pt>
                <c:pt idx="670">
                  <c:v>1.0681858617461617</c:v>
                </c:pt>
                <c:pt idx="671">
                  <c:v>0.82607480270082645</c:v>
                </c:pt>
                <c:pt idx="672">
                  <c:v>0.79239168949825389</c:v>
                </c:pt>
                <c:pt idx="673">
                  <c:v>0.86332286012045589</c:v>
                </c:pt>
                <c:pt idx="674">
                  <c:v>1.2174839442139063</c:v>
                </c:pt>
                <c:pt idx="675">
                  <c:v>1.5440680443502757</c:v>
                </c:pt>
                <c:pt idx="676">
                  <c:v>1.2304489213782739</c:v>
                </c:pt>
                <c:pt idx="677">
                  <c:v>1.0791812460476249</c:v>
                </c:pt>
                <c:pt idx="678">
                  <c:v>-0.85387196432176193</c:v>
                </c:pt>
                <c:pt idx="679">
                  <c:v>-1.7367585652254185</c:v>
                </c:pt>
                <c:pt idx="680">
                  <c:v>-0.47712125471966244</c:v>
                </c:pt>
                <c:pt idx="681">
                  <c:v>0.4259687322722811</c:v>
                </c:pt>
                <c:pt idx="682">
                  <c:v>-0.38021124171160603</c:v>
                </c:pt>
                <c:pt idx="683">
                  <c:v>0.54613120491404898</c:v>
                </c:pt>
                <c:pt idx="684">
                  <c:v>-0.18708664335714442</c:v>
                </c:pt>
                <c:pt idx="685">
                  <c:v>-1.4559319556497243</c:v>
                </c:pt>
                <c:pt idx="686">
                  <c:v>-0.63513645012954856</c:v>
                </c:pt>
                <c:pt idx="687">
                  <c:v>-0.65429960941655785</c:v>
                </c:pt>
                <c:pt idx="688">
                  <c:v>-1.0969100130080565</c:v>
                </c:pt>
                <c:pt idx="689">
                  <c:v>-0.338818556553381</c:v>
                </c:pt>
                <c:pt idx="690">
                  <c:v>-0.13667713987954411</c:v>
                </c:pt>
                <c:pt idx="691">
                  <c:v>-0.18265502855806953</c:v>
                </c:pt>
                <c:pt idx="692">
                  <c:v>-0.59063052954718054</c:v>
                </c:pt>
                <c:pt idx="693">
                  <c:v>-0.60788953498868625</c:v>
                </c:pt>
                <c:pt idx="694">
                  <c:v>-1.5477023290053697</c:v>
                </c:pt>
                <c:pt idx="695">
                  <c:v>1.3802112417116059</c:v>
                </c:pt>
                <c:pt idx="696">
                  <c:v>1.3010299956639813</c:v>
                </c:pt>
                <c:pt idx="697">
                  <c:v>0.92941892571429274</c:v>
                </c:pt>
                <c:pt idx="698">
                  <c:v>1.146128035678238</c:v>
                </c:pt>
                <c:pt idx="699">
                  <c:v>0.69897000433601886</c:v>
                </c:pt>
                <c:pt idx="700">
                  <c:v>-0.52287874528033762</c:v>
                </c:pt>
                <c:pt idx="701">
                  <c:v>1.6901960800285136</c:v>
                </c:pt>
                <c:pt idx="702">
                  <c:v>1.3521825181113625</c:v>
                </c:pt>
                <c:pt idx="703">
                  <c:v>1.3010299956639813</c:v>
                </c:pt>
                <c:pt idx="704">
                  <c:v>1.0334237554869496</c:v>
                </c:pt>
                <c:pt idx="705">
                  <c:v>0.87506126339170009</c:v>
                </c:pt>
                <c:pt idx="706">
                  <c:v>0.67209785793571752</c:v>
                </c:pt>
                <c:pt idx="707">
                  <c:v>0.50514997831990605</c:v>
                </c:pt>
                <c:pt idx="708">
                  <c:v>0.3010299956639812</c:v>
                </c:pt>
                <c:pt idx="709">
                  <c:v>0.14612803567823801</c:v>
                </c:pt>
                <c:pt idx="710">
                  <c:v>0.38021124171160603</c:v>
                </c:pt>
                <c:pt idx="711">
                  <c:v>0.68124123737558717</c:v>
                </c:pt>
                <c:pt idx="712">
                  <c:v>1.0969100130080565</c:v>
                </c:pt>
                <c:pt idx="713">
                  <c:v>1.1643528557844371</c:v>
                </c:pt>
                <c:pt idx="714">
                  <c:v>1.3424226808222062</c:v>
                </c:pt>
                <c:pt idx="715">
                  <c:v>1.6232492903979006</c:v>
                </c:pt>
                <c:pt idx="716">
                  <c:v>1.7767011839884108</c:v>
                </c:pt>
                <c:pt idx="717">
                  <c:v>1.0413926851582251</c:v>
                </c:pt>
                <c:pt idx="718">
                  <c:v>0.3979400086720376</c:v>
                </c:pt>
                <c:pt idx="719">
                  <c:v>1.6857417386022637</c:v>
                </c:pt>
                <c:pt idx="720">
                  <c:v>1.6020599913279623</c:v>
                </c:pt>
                <c:pt idx="721">
                  <c:v>1.2624510897304295</c:v>
                </c:pt>
                <c:pt idx="722">
                  <c:v>0.9956351945975499</c:v>
                </c:pt>
                <c:pt idx="723">
                  <c:v>0.77085201164214423</c:v>
                </c:pt>
                <c:pt idx="724">
                  <c:v>0.7323937598229685</c:v>
                </c:pt>
                <c:pt idx="725">
                  <c:v>0.61278385671973545</c:v>
                </c:pt>
                <c:pt idx="726">
                  <c:v>0.46239799789895608</c:v>
                </c:pt>
                <c:pt idx="727">
                  <c:v>1.7558748556724915</c:v>
                </c:pt>
                <c:pt idx="728">
                  <c:v>1.0170333392987803</c:v>
                </c:pt>
                <c:pt idx="729">
                  <c:v>0.82607480270082645</c:v>
                </c:pt>
                <c:pt idx="730">
                  <c:v>0.65321251377534373</c:v>
                </c:pt>
                <c:pt idx="731">
                  <c:v>0.57978359661681012</c:v>
                </c:pt>
                <c:pt idx="732">
                  <c:v>0.23044892137827391</c:v>
                </c:pt>
                <c:pt idx="733">
                  <c:v>0.99913054128737111</c:v>
                </c:pt>
                <c:pt idx="734">
                  <c:v>0.3010299956639812</c:v>
                </c:pt>
                <c:pt idx="735">
                  <c:v>-0.11350927482751812</c:v>
                </c:pt>
                <c:pt idx="736">
                  <c:v>0.50242711998443268</c:v>
                </c:pt>
                <c:pt idx="737">
                  <c:v>-0.42021640338318983</c:v>
                </c:pt>
                <c:pt idx="738">
                  <c:v>0.17318626841227402</c:v>
                </c:pt>
                <c:pt idx="739">
                  <c:v>-0.65757731917779372</c:v>
                </c:pt>
                <c:pt idx="740">
                  <c:v>-0.40893539297350079</c:v>
                </c:pt>
                <c:pt idx="741">
                  <c:v>-4.0958607678906384E-2</c:v>
                </c:pt>
                <c:pt idx="742">
                  <c:v>-1.3010299956639813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E05-4975-868A-8E24161DA3FD}"/>
            </c:ext>
          </c:extLst>
        </c:ser>
        <c:ser>
          <c:idx val="8"/>
          <c:order val="4"/>
          <c:tx>
            <c:v>Milk</c:v>
          </c:tx>
          <c:spPr>
            <a:ln w="28575">
              <a:noFill/>
            </a:ln>
          </c:spPr>
          <c:marker>
            <c:symbol val="dash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Salmonella!$I$2:$I$69</c:f>
              <c:numCache>
                <c:formatCode>General</c:formatCode>
                <c:ptCount val="68"/>
                <c:pt idx="0">
                  <c:v>60</c:v>
                </c:pt>
                <c:pt idx="1">
                  <c:v>60</c:v>
                </c:pt>
                <c:pt idx="2">
                  <c:v>61.5</c:v>
                </c:pt>
                <c:pt idx="3">
                  <c:v>63</c:v>
                </c:pt>
                <c:pt idx="4">
                  <c:v>60</c:v>
                </c:pt>
                <c:pt idx="5">
                  <c:v>61.5</c:v>
                </c:pt>
                <c:pt idx="6">
                  <c:v>63</c:v>
                </c:pt>
                <c:pt idx="7">
                  <c:v>64.5</c:v>
                </c:pt>
                <c:pt idx="8">
                  <c:v>60</c:v>
                </c:pt>
                <c:pt idx="9">
                  <c:v>61.5</c:v>
                </c:pt>
                <c:pt idx="10">
                  <c:v>63</c:v>
                </c:pt>
                <c:pt idx="11">
                  <c:v>64.5</c:v>
                </c:pt>
                <c:pt idx="12">
                  <c:v>67.5</c:v>
                </c:pt>
                <c:pt idx="13">
                  <c:v>51.8</c:v>
                </c:pt>
                <c:pt idx="14">
                  <c:v>57.2</c:v>
                </c:pt>
                <c:pt idx="15">
                  <c:v>62.8</c:v>
                </c:pt>
                <c:pt idx="16">
                  <c:v>68.3</c:v>
                </c:pt>
                <c:pt idx="17">
                  <c:v>60</c:v>
                </c:pt>
                <c:pt idx="18">
                  <c:v>60</c:v>
                </c:pt>
                <c:pt idx="19">
                  <c:v>61.5</c:v>
                </c:pt>
                <c:pt idx="20">
                  <c:v>61.5</c:v>
                </c:pt>
                <c:pt idx="21">
                  <c:v>51.8</c:v>
                </c:pt>
                <c:pt idx="22">
                  <c:v>71.7</c:v>
                </c:pt>
                <c:pt idx="23">
                  <c:v>63</c:v>
                </c:pt>
                <c:pt idx="24">
                  <c:v>63</c:v>
                </c:pt>
                <c:pt idx="25">
                  <c:v>63</c:v>
                </c:pt>
                <c:pt idx="26">
                  <c:v>63</c:v>
                </c:pt>
                <c:pt idx="27">
                  <c:v>63</c:v>
                </c:pt>
                <c:pt idx="28">
                  <c:v>63</c:v>
                </c:pt>
                <c:pt idx="29">
                  <c:v>63</c:v>
                </c:pt>
                <c:pt idx="30">
                  <c:v>65.5</c:v>
                </c:pt>
                <c:pt idx="31">
                  <c:v>65.5</c:v>
                </c:pt>
                <c:pt idx="32">
                  <c:v>63</c:v>
                </c:pt>
                <c:pt idx="33">
                  <c:v>62.8</c:v>
                </c:pt>
                <c:pt idx="34">
                  <c:v>65.599999999999994</c:v>
                </c:pt>
                <c:pt idx="35">
                  <c:v>68.3</c:v>
                </c:pt>
                <c:pt idx="36">
                  <c:v>62.8</c:v>
                </c:pt>
                <c:pt idx="37">
                  <c:v>65.599999999999994</c:v>
                </c:pt>
                <c:pt idx="38">
                  <c:v>68.3</c:v>
                </c:pt>
                <c:pt idx="39">
                  <c:v>62.8</c:v>
                </c:pt>
                <c:pt idx="40">
                  <c:v>65.599999999999994</c:v>
                </c:pt>
                <c:pt idx="41">
                  <c:v>68.3</c:v>
                </c:pt>
                <c:pt idx="42">
                  <c:v>62.8</c:v>
                </c:pt>
                <c:pt idx="43">
                  <c:v>65.599999999999994</c:v>
                </c:pt>
                <c:pt idx="44">
                  <c:v>68.3</c:v>
                </c:pt>
                <c:pt idx="45">
                  <c:v>62.8</c:v>
                </c:pt>
                <c:pt idx="46">
                  <c:v>65.599999999999994</c:v>
                </c:pt>
                <c:pt idx="47">
                  <c:v>68.3</c:v>
                </c:pt>
                <c:pt idx="48">
                  <c:v>65.599999999999994</c:v>
                </c:pt>
                <c:pt idx="49">
                  <c:v>68.3</c:v>
                </c:pt>
                <c:pt idx="50">
                  <c:v>71.7</c:v>
                </c:pt>
                <c:pt idx="51">
                  <c:v>73.900000000000006</c:v>
                </c:pt>
                <c:pt idx="52">
                  <c:v>62.8</c:v>
                </c:pt>
                <c:pt idx="53">
                  <c:v>65.599999999999994</c:v>
                </c:pt>
                <c:pt idx="54">
                  <c:v>68.3</c:v>
                </c:pt>
                <c:pt idx="55">
                  <c:v>63</c:v>
                </c:pt>
                <c:pt idx="56">
                  <c:v>63</c:v>
                </c:pt>
                <c:pt idx="57">
                  <c:v>63</c:v>
                </c:pt>
                <c:pt idx="58">
                  <c:v>63</c:v>
                </c:pt>
                <c:pt idx="59">
                  <c:v>72</c:v>
                </c:pt>
                <c:pt idx="60">
                  <c:v>62.8</c:v>
                </c:pt>
                <c:pt idx="61">
                  <c:v>62.8</c:v>
                </c:pt>
                <c:pt idx="62">
                  <c:v>61.5</c:v>
                </c:pt>
                <c:pt idx="63">
                  <c:v>61.5</c:v>
                </c:pt>
                <c:pt idx="64">
                  <c:v>62.5</c:v>
                </c:pt>
                <c:pt idx="65">
                  <c:v>62.5</c:v>
                </c:pt>
                <c:pt idx="66">
                  <c:v>72</c:v>
                </c:pt>
                <c:pt idx="67">
                  <c:v>62.8</c:v>
                </c:pt>
              </c:numCache>
            </c:numRef>
          </c:xVal>
          <c:yVal>
            <c:numRef>
              <c:f>Salmonella!$L$2:$L$69</c:f>
              <c:numCache>
                <c:formatCode>0.00</c:formatCode>
                <c:ptCount val="68"/>
                <c:pt idx="0">
                  <c:v>-1.0132282657337552</c:v>
                </c:pt>
                <c:pt idx="1">
                  <c:v>-1.2365720064370627</c:v>
                </c:pt>
                <c:pt idx="2">
                  <c:v>-1.2924298239020637</c:v>
                </c:pt>
                <c:pt idx="3">
                  <c:v>-1.4202164033831899</c:v>
                </c:pt>
                <c:pt idx="4">
                  <c:v>-1.1674910872937636</c:v>
                </c:pt>
                <c:pt idx="5">
                  <c:v>-1.2676062401770316</c:v>
                </c:pt>
                <c:pt idx="6">
                  <c:v>-1.3098039199714864</c:v>
                </c:pt>
                <c:pt idx="7">
                  <c:v>-1.4685210829577449</c:v>
                </c:pt>
                <c:pt idx="8">
                  <c:v>-0.91364016932525183</c:v>
                </c:pt>
                <c:pt idx="9">
                  <c:v>-0.97061622231479039</c:v>
                </c:pt>
                <c:pt idx="10">
                  <c:v>-1.1739251972991736</c:v>
                </c:pt>
                <c:pt idx="11">
                  <c:v>-1.1739251972991736</c:v>
                </c:pt>
                <c:pt idx="12">
                  <c:v>-1.3372421683184259</c:v>
                </c:pt>
                <c:pt idx="13">
                  <c:v>1.3242824552976926</c:v>
                </c:pt>
                <c:pt idx="14">
                  <c:v>0.23044892137827391</c:v>
                </c:pt>
                <c:pt idx="15">
                  <c:v>-0.95860731484177497</c:v>
                </c:pt>
                <c:pt idx="16">
                  <c:v>-1.8239087409443189</c:v>
                </c:pt>
                <c:pt idx="17">
                  <c:v>-1.2365720064370627</c:v>
                </c:pt>
                <c:pt idx="18">
                  <c:v>-1.0087739243075051</c:v>
                </c:pt>
                <c:pt idx="19">
                  <c:v>-1.3372421683184259</c:v>
                </c:pt>
                <c:pt idx="20">
                  <c:v>-1.2291479883578558</c:v>
                </c:pt>
                <c:pt idx="21">
                  <c:v>1.3802112417116059</c:v>
                </c:pt>
                <c:pt idx="22">
                  <c:v>-2.3979400086720375</c:v>
                </c:pt>
                <c:pt idx="23">
                  <c:v>-0.38721614328026455</c:v>
                </c:pt>
                <c:pt idx="24">
                  <c:v>4.1392685158225077E-2</c:v>
                </c:pt>
                <c:pt idx="25">
                  <c:v>-0.24412514432750865</c:v>
                </c:pt>
                <c:pt idx="26">
                  <c:v>-0.40893539297350079</c:v>
                </c:pt>
                <c:pt idx="27">
                  <c:v>-0.34678748622465633</c:v>
                </c:pt>
                <c:pt idx="28">
                  <c:v>-0.32790214206428259</c:v>
                </c:pt>
                <c:pt idx="29">
                  <c:v>-0.43179827593300502</c:v>
                </c:pt>
                <c:pt idx="30">
                  <c:v>0.1228709228644355</c:v>
                </c:pt>
                <c:pt idx="31">
                  <c:v>-0.17914201056030005</c:v>
                </c:pt>
                <c:pt idx="32">
                  <c:v>4.1392685158225077E-2</c:v>
                </c:pt>
                <c:pt idx="33">
                  <c:v>-1.0705810742857074</c:v>
                </c:pt>
                <c:pt idx="34">
                  <c:v>-1.6320232147054057</c:v>
                </c:pt>
                <c:pt idx="35">
                  <c:v>-2.1153934187020695</c:v>
                </c:pt>
                <c:pt idx="36">
                  <c:v>-1.0791812460476249</c:v>
                </c:pt>
                <c:pt idx="37">
                  <c:v>-1.6020599913279623</c:v>
                </c:pt>
                <c:pt idx="38">
                  <c:v>-2.0621479067488444</c:v>
                </c:pt>
                <c:pt idx="39">
                  <c:v>-1.0222763947111522</c:v>
                </c:pt>
                <c:pt idx="40">
                  <c:v>-1.5228787452803376</c:v>
                </c:pt>
                <c:pt idx="41">
                  <c:v>-2.3309932190414244</c:v>
                </c:pt>
                <c:pt idx="42">
                  <c:v>-1.2218487496163564</c:v>
                </c:pt>
                <c:pt idx="43">
                  <c:v>-1.7367585652254185</c:v>
                </c:pt>
                <c:pt idx="44">
                  <c:v>-2.1760912590556813</c:v>
                </c:pt>
                <c:pt idx="45">
                  <c:v>-1.045757490560675</c:v>
                </c:pt>
                <c:pt idx="46">
                  <c:v>-1.6642078980768069</c:v>
                </c:pt>
                <c:pt idx="47">
                  <c:v>-2.1346985738974564</c:v>
                </c:pt>
                <c:pt idx="48">
                  <c:v>-0.24667233334138852</c:v>
                </c:pt>
                <c:pt idx="49">
                  <c:v>-0.77815125038364363</c:v>
                </c:pt>
                <c:pt idx="50">
                  <c:v>-1.6989700043360187</c:v>
                </c:pt>
                <c:pt idx="51">
                  <c:v>-2.0377885608893997</c:v>
                </c:pt>
                <c:pt idx="52">
                  <c:v>-1.0621479067488444</c:v>
                </c:pt>
                <c:pt idx="53">
                  <c:v>-1.6320232147054057</c:v>
                </c:pt>
                <c:pt idx="54">
                  <c:v>-2.1983676537668333</c:v>
                </c:pt>
                <c:pt idx="55">
                  <c:v>-0.53760200210104392</c:v>
                </c:pt>
                <c:pt idx="56">
                  <c:v>7.9181246047624818E-2</c:v>
                </c:pt>
                <c:pt idx="57">
                  <c:v>0.11394335230683679</c:v>
                </c:pt>
                <c:pt idx="58">
                  <c:v>7.9181246047624818E-2</c:v>
                </c:pt>
                <c:pt idx="59">
                  <c:v>-1.0457574905606752</c:v>
                </c:pt>
                <c:pt idx="60">
                  <c:v>-1.2218487496163564</c:v>
                </c:pt>
                <c:pt idx="61">
                  <c:v>-1</c:v>
                </c:pt>
                <c:pt idx="62">
                  <c:v>-1.4089353929735009</c:v>
                </c:pt>
                <c:pt idx="63">
                  <c:v>-1.2291479883578558</c:v>
                </c:pt>
                <c:pt idx="64">
                  <c:v>-0.6777807052660807</c:v>
                </c:pt>
                <c:pt idx="65">
                  <c:v>-0.31875876262441277</c:v>
                </c:pt>
                <c:pt idx="66">
                  <c:v>-2.5228787452803374</c:v>
                </c:pt>
                <c:pt idx="67">
                  <c:v>-0.9507819773298184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E05-4975-868A-8E24161DA3FD}"/>
            </c:ext>
          </c:extLst>
        </c:ser>
        <c:ser>
          <c:idx val="11"/>
          <c:order val="5"/>
          <c:tx>
            <c:v>Pea soup</c:v>
          </c:tx>
          <c:spPr>
            <a:ln w="28575">
              <a:noFill/>
            </a:ln>
          </c:spPr>
          <c:marker>
            <c:symbol val="triangle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Salmonella!$I$1087:$I$1090</c:f>
              <c:numCache>
                <c:formatCode>General</c:formatCode>
                <c:ptCount val="4"/>
                <c:pt idx="0">
                  <c:v>60</c:v>
                </c:pt>
                <c:pt idx="1">
                  <c:v>65.5</c:v>
                </c:pt>
                <c:pt idx="2">
                  <c:v>60</c:v>
                </c:pt>
                <c:pt idx="3">
                  <c:v>65.5</c:v>
                </c:pt>
              </c:numCache>
            </c:numRef>
          </c:xVal>
          <c:yVal>
            <c:numRef>
              <c:f>Salmonella!$L$1087:$L$1090</c:f>
              <c:numCache>
                <c:formatCode>0.00</c:formatCode>
                <c:ptCount val="4"/>
                <c:pt idx="0">
                  <c:v>1.0269416279590293</c:v>
                </c:pt>
                <c:pt idx="1">
                  <c:v>4.6885190837710138E-2</c:v>
                </c:pt>
                <c:pt idx="2">
                  <c:v>0.73399928653838686</c:v>
                </c:pt>
                <c:pt idx="3">
                  <c:v>-0.19586056766464957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E05-4975-868A-8E24161DA3FD}"/>
            </c:ext>
          </c:extLst>
        </c:ser>
        <c:ser>
          <c:idx val="17"/>
          <c:order val="6"/>
          <c:tx>
            <c:v>Unknown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Salmonella!$I$1091:$I$1142</c:f>
              <c:numCache>
                <c:formatCode>General</c:formatCode>
                <c:ptCount val="52"/>
                <c:pt idx="0">
                  <c:v>55</c:v>
                </c:pt>
                <c:pt idx="1">
                  <c:v>55</c:v>
                </c:pt>
                <c:pt idx="2">
                  <c:v>55</c:v>
                </c:pt>
                <c:pt idx="3">
                  <c:v>55</c:v>
                </c:pt>
                <c:pt idx="4">
                  <c:v>55</c:v>
                </c:pt>
                <c:pt idx="5">
                  <c:v>55</c:v>
                </c:pt>
                <c:pt idx="6">
                  <c:v>52</c:v>
                </c:pt>
                <c:pt idx="7">
                  <c:v>52</c:v>
                </c:pt>
                <c:pt idx="8">
                  <c:v>52</c:v>
                </c:pt>
                <c:pt idx="9">
                  <c:v>52</c:v>
                </c:pt>
                <c:pt idx="10">
                  <c:v>52</c:v>
                </c:pt>
                <c:pt idx="11">
                  <c:v>52</c:v>
                </c:pt>
                <c:pt idx="12">
                  <c:v>52</c:v>
                </c:pt>
                <c:pt idx="13">
                  <c:v>52</c:v>
                </c:pt>
                <c:pt idx="14">
                  <c:v>52</c:v>
                </c:pt>
                <c:pt idx="15">
                  <c:v>54</c:v>
                </c:pt>
                <c:pt idx="16">
                  <c:v>54</c:v>
                </c:pt>
                <c:pt idx="17">
                  <c:v>54</c:v>
                </c:pt>
                <c:pt idx="18">
                  <c:v>55</c:v>
                </c:pt>
                <c:pt idx="19">
                  <c:v>55</c:v>
                </c:pt>
                <c:pt idx="20">
                  <c:v>56</c:v>
                </c:pt>
                <c:pt idx="21">
                  <c:v>56</c:v>
                </c:pt>
                <c:pt idx="22">
                  <c:v>56</c:v>
                </c:pt>
                <c:pt idx="23">
                  <c:v>56</c:v>
                </c:pt>
                <c:pt idx="24">
                  <c:v>56</c:v>
                </c:pt>
                <c:pt idx="25">
                  <c:v>56</c:v>
                </c:pt>
                <c:pt idx="26">
                  <c:v>57.2</c:v>
                </c:pt>
                <c:pt idx="27">
                  <c:v>57.2</c:v>
                </c:pt>
                <c:pt idx="28">
                  <c:v>58</c:v>
                </c:pt>
                <c:pt idx="29">
                  <c:v>58</c:v>
                </c:pt>
                <c:pt idx="30">
                  <c:v>58</c:v>
                </c:pt>
                <c:pt idx="31">
                  <c:v>65</c:v>
                </c:pt>
                <c:pt idx="32">
                  <c:v>65</c:v>
                </c:pt>
                <c:pt idx="33">
                  <c:v>65</c:v>
                </c:pt>
                <c:pt idx="34">
                  <c:v>65</c:v>
                </c:pt>
                <c:pt idx="35">
                  <c:v>50</c:v>
                </c:pt>
                <c:pt idx="36">
                  <c:v>52</c:v>
                </c:pt>
                <c:pt idx="37">
                  <c:v>52</c:v>
                </c:pt>
                <c:pt idx="38">
                  <c:v>52</c:v>
                </c:pt>
                <c:pt idx="39">
                  <c:v>52</c:v>
                </c:pt>
                <c:pt idx="40">
                  <c:v>55</c:v>
                </c:pt>
                <c:pt idx="41">
                  <c:v>55</c:v>
                </c:pt>
                <c:pt idx="42">
                  <c:v>55</c:v>
                </c:pt>
                <c:pt idx="43">
                  <c:v>55</c:v>
                </c:pt>
                <c:pt idx="44">
                  <c:v>57.8</c:v>
                </c:pt>
                <c:pt idx="45">
                  <c:v>57.8</c:v>
                </c:pt>
                <c:pt idx="46">
                  <c:v>57.8</c:v>
                </c:pt>
                <c:pt idx="47">
                  <c:v>57.8</c:v>
                </c:pt>
                <c:pt idx="48">
                  <c:v>58</c:v>
                </c:pt>
                <c:pt idx="49">
                  <c:v>58</c:v>
                </c:pt>
                <c:pt idx="50">
                  <c:v>60</c:v>
                </c:pt>
                <c:pt idx="51">
                  <c:v>60</c:v>
                </c:pt>
              </c:numCache>
            </c:numRef>
          </c:xVal>
          <c:yVal>
            <c:numRef>
              <c:f>Salmonella!$L$1091:$L$1142</c:f>
              <c:numCache>
                <c:formatCode>0.00</c:formatCode>
                <c:ptCount val="52"/>
                <c:pt idx="0">
                  <c:v>0.69897000433601886</c:v>
                </c:pt>
                <c:pt idx="1">
                  <c:v>0.3979400086720376</c:v>
                </c:pt>
                <c:pt idx="2">
                  <c:v>0.63346845557958653</c:v>
                </c:pt>
                <c:pt idx="3">
                  <c:v>0.38021124171160603</c:v>
                </c:pt>
                <c:pt idx="4">
                  <c:v>0.7323937598229685</c:v>
                </c:pt>
                <c:pt idx="5">
                  <c:v>0.3979400086720376</c:v>
                </c:pt>
                <c:pt idx="6">
                  <c:v>0.72427586960078905</c:v>
                </c:pt>
                <c:pt idx="7">
                  <c:v>1.2278867046136734</c:v>
                </c:pt>
                <c:pt idx="8">
                  <c:v>1.3010299956639813</c:v>
                </c:pt>
                <c:pt idx="9">
                  <c:v>0.67942789661211889</c:v>
                </c:pt>
                <c:pt idx="10">
                  <c:v>1.0334237554869496</c:v>
                </c:pt>
                <c:pt idx="11">
                  <c:v>0.99078269180313783</c:v>
                </c:pt>
                <c:pt idx="12">
                  <c:v>0.57403126772771884</c:v>
                </c:pt>
                <c:pt idx="13">
                  <c:v>0.96236933567002114</c:v>
                </c:pt>
                <c:pt idx="14">
                  <c:v>0.92064500140678762</c:v>
                </c:pt>
                <c:pt idx="15">
                  <c:v>0.43136376415898736</c:v>
                </c:pt>
                <c:pt idx="16">
                  <c:v>0.65321251377534373</c:v>
                </c:pt>
                <c:pt idx="17">
                  <c:v>0.78532983501076703</c:v>
                </c:pt>
                <c:pt idx="18">
                  <c:v>0.79934054945358168</c:v>
                </c:pt>
                <c:pt idx="19">
                  <c:v>0.3979400086720376</c:v>
                </c:pt>
                <c:pt idx="20">
                  <c:v>0.11394335230683679</c:v>
                </c:pt>
                <c:pt idx="21">
                  <c:v>0.3979400086720376</c:v>
                </c:pt>
                <c:pt idx="22">
                  <c:v>0.50514997831990605</c:v>
                </c:pt>
                <c:pt idx="23">
                  <c:v>-4.0958607678906384E-2</c:v>
                </c:pt>
                <c:pt idx="24">
                  <c:v>0.45331834004703764</c:v>
                </c:pt>
                <c:pt idx="25">
                  <c:v>1.1583624920952498</c:v>
                </c:pt>
                <c:pt idx="26">
                  <c:v>0.25527250510330607</c:v>
                </c:pt>
                <c:pt idx="27">
                  <c:v>0.53147891704225514</c:v>
                </c:pt>
                <c:pt idx="28">
                  <c:v>-4.5757490560675115E-2</c:v>
                </c:pt>
                <c:pt idx="29">
                  <c:v>0.11394335230683679</c:v>
                </c:pt>
                <c:pt idx="30">
                  <c:v>0.25527250510330607</c:v>
                </c:pt>
                <c:pt idx="31">
                  <c:v>-9.6910013008056392E-2</c:v>
                </c:pt>
                <c:pt idx="32">
                  <c:v>0</c:v>
                </c:pt>
                <c:pt idx="33">
                  <c:v>-1.6989700043360187</c:v>
                </c:pt>
                <c:pt idx="34">
                  <c:v>-0.6020599913279624</c:v>
                </c:pt>
                <c:pt idx="35">
                  <c:v>1.0791812460476249</c:v>
                </c:pt>
                <c:pt idx="36">
                  <c:v>1.3283796034387378</c:v>
                </c:pt>
                <c:pt idx="37">
                  <c:v>1.9827233876685453</c:v>
                </c:pt>
                <c:pt idx="38">
                  <c:v>1.3010299956639813</c:v>
                </c:pt>
                <c:pt idx="39">
                  <c:v>0.87506126339170009</c:v>
                </c:pt>
                <c:pt idx="40">
                  <c:v>1.146128035678238</c:v>
                </c:pt>
                <c:pt idx="41">
                  <c:v>0.6020599913279624</c:v>
                </c:pt>
                <c:pt idx="42">
                  <c:v>-0.36653154442041347</c:v>
                </c:pt>
                <c:pt idx="43">
                  <c:v>0.32014628611105395</c:v>
                </c:pt>
                <c:pt idx="44">
                  <c:v>-0.15490195998574319</c:v>
                </c:pt>
                <c:pt idx="45">
                  <c:v>-4.5757490560675115E-2</c:v>
                </c:pt>
                <c:pt idx="46">
                  <c:v>0.3222192947339193</c:v>
                </c:pt>
                <c:pt idx="47">
                  <c:v>-9.6910013008056392E-2</c:v>
                </c:pt>
                <c:pt idx="48">
                  <c:v>0.69897000433601886</c:v>
                </c:pt>
                <c:pt idx="49">
                  <c:v>0.3979400086720376</c:v>
                </c:pt>
                <c:pt idx="50">
                  <c:v>-0.52287874528033762</c:v>
                </c:pt>
                <c:pt idx="51">
                  <c:v>-0.69897000433601875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E05-4975-868A-8E24161DA3FD}"/>
            </c:ext>
          </c:extLst>
        </c:ser>
        <c:ser>
          <c:idx val="3"/>
          <c:order val="7"/>
          <c:tx>
            <c:v>Log D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GraphSalmonella!$A$14:$A$34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GraphSalmonella!$B$14:$B$34</c:f>
              <c:numCache>
                <c:formatCode>0.00</c:formatCode>
                <c:ptCount val="21"/>
                <c:pt idx="0">
                  <c:v>1.9216903220362651</c:v>
                </c:pt>
                <c:pt idx="1">
                  <c:v>1.3715348625273336</c:v>
                </c:pt>
                <c:pt idx="2">
                  <c:v>0.82137940301840184</c:v>
                </c:pt>
                <c:pt idx="3">
                  <c:v>0.2712239435094701</c:v>
                </c:pt>
                <c:pt idx="4">
                  <c:v>-0.27893151599946164</c:v>
                </c:pt>
                <c:pt idx="5">
                  <c:v>-0.82908697550839339</c:v>
                </c:pt>
                <c:pt idx="6">
                  <c:v>-1.3792424350173251</c:v>
                </c:pt>
                <c:pt idx="7">
                  <c:v>-1.9293978945262569</c:v>
                </c:pt>
                <c:pt idx="8">
                  <c:v>-2.4795533540351888</c:v>
                </c:pt>
                <c:pt idx="9">
                  <c:v>-3.0297088135441204</c:v>
                </c:pt>
                <c:pt idx="10">
                  <c:v>-3.5798642730530519</c:v>
                </c:pt>
                <c:pt idx="11">
                  <c:v>-4.1300197325619834</c:v>
                </c:pt>
                <c:pt idx="12">
                  <c:v>-4.6801751920709158</c:v>
                </c:pt>
                <c:pt idx="13">
                  <c:v>-5.2303306515798473</c:v>
                </c:pt>
                <c:pt idx="14">
                  <c:v>-5.7804861110887789</c:v>
                </c:pt>
                <c:pt idx="15">
                  <c:v>-6.3306415705977104</c:v>
                </c:pt>
                <c:pt idx="16">
                  <c:v>-6.8807970301066419</c:v>
                </c:pt>
                <c:pt idx="17">
                  <c:v>-7.4309524896155743</c:v>
                </c:pt>
                <c:pt idx="18">
                  <c:v>-7.9811079491245058</c:v>
                </c:pt>
                <c:pt idx="19">
                  <c:v>-8.5312634086334374</c:v>
                </c:pt>
                <c:pt idx="20">
                  <c:v>-9.081418868142368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E05-4975-868A-8E24161DA3FD}"/>
            </c:ext>
          </c:extLst>
        </c:ser>
        <c:ser>
          <c:idx val="9"/>
          <c:order val="8"/>
          <c:tx>
            <c:v>95% CI</c:v>
          </c:tx>
          <c:spPr>
            <a:ln w="25400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Ref>
              <c:f>GraphSalmonella!$A$14:$A$34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GraphSalmonella!$C$14:$C$34</c:f>
              <c:numCache>
                <c:formatCode>0.00</c:formatCode>
                <c:ptCount val="21"/>
                <c:pt idx="0">
                  <c:v>3.3361192107542195</c:v>
                </c:pt>
                <c:pt idx="1">
                  <c:v>2.7859637512452879</c:v>
                </c:pt>
                <c:pt idx="2">
                  <c:v>2.2358082917363564</c:v>
                </c:pt>
                <c:pt idx="3">
                  <c:v>1.6856528322274245</c:v>
                </c:pt>
                <c:pt idx="4">
                  <c:v>1.1354973727184927</c:v>
                </c:pt>
                <c:pt idx="5">
                  <c:v>0.58534191320956097</c:v>
                </c:pt>
                <c:pt idx="6">
                  <c:v>3.5186453700629228E-2</c:v>
                </c:pt>
                <c:pt idx="7">
                  <c:v>-0.51496900580830252</c:v>
                </c:pt>
                <c:pt idx="8">
                  <c:v>-1.0651244653172345</c:v>
                </c:pt>
                <c:pt idx="9">
                  <c:v>-1.615279924826166</c:v>
                </c:pt>
                <c:pt idx="10">
                  <c:v>-2.1654353843350975</c:v>
                </c:pt>
                <c:pt idx="11">
                  <c:v>-2.715590843844029</c:v>
                </c:pt>
                <c:pt idx="12">
                  <c:v>-3.2657463033529615</c:v>
                </c:pt>
                <c:pt idx="13">
                  <c:v>-3.815901762861893</c:v>
                </c:pt>
                <c:pt idx="14">
                  <c:v>-4.3660572223708245</c:v>
                </c:pt>
                <c:pt idx="15">
                  <c:v>-4.916212681879756</c:v>
                </c:pt>
                <c:pt idx="16">
                  <c:v>-5.4663681413886875</c:v>
                </c:pt>
                <c:pt idx="17">
                  <c:v>-6.0165236008976199</c:v>
                </c:pt>
                <c:pt idx="18">
                  <c:v>-6.5666790604065515</c:v>
                </c:pt>
                <c:pt idx="19">
                  <c:v>-7.116834519915483</c:v>
                </c:pt>
                <c:pt idx="20">
                  <c:v>-7.6669899794244136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E05-4975-868A-8E24161DA3FD}"/>
            </c:ext>
          </c:extLst>
        </c:ser>
        <c:ser>
          <c:idx val="5"/>
          <c:order val="9"/>
          <c:tx>
            <c:v>Chocolate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969696"/>
              </a:solidFill>
              <a:ln>
                <a:solidFill>
                  <a:srgbClr val="969696"/>
                </a:solidFill>
                <a:prstDash val="solid"/>
              </a:ln>
            </c:spPr>
          </c:marker>
          <c:xVal>
            <c:numRef>
              <c:f>Salmonella!$I$1143:$I$1162</c:f>
              <c:numCache>
                <c:formatCode>General</c:formatCode>
                <c:ptCount val="20"/>
                <c:pt idx="0">
                  <c:v>70</c:v>
                </c:pt>
                <c:pt idx="1">
                  <c:v>70</c:v>
                </c:pt>
                <c:pt idx="2">
                  <c:v>70</c:v>
                </c:pt>
                <c:pt idx="3">
                  <c:v>70</c:v>
                </c:pt>
                <c:pt idx="4">
                  <c:v>70</c:v>
                </c:pt>
                <c:pt idx="5">
                  <c:v>71</c:v>
                </c:pt>
                <c:pt idx="6">
                  <c:v>71</c:v>
                </c:pt>
                <c:pt idx="7">
                  <c:v>71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90</c:v>
                </c:pt>
                <c:pt idx="13">
                  <c:v>90</c:v>
                </c:pt>
                <c:pt idx="14">
                  <c:v>90</c:v>
                </c:pt>
                <c:pt idx="15">
                  <c:v>90</c:v>
                </c:pt>
                <c:pt idx="16">
                  <c:v>90</c:v>
                </c:pt>
                <c:pt idx="17">
                  <c:v>71</c:v>
                </c:pt>
                <c:pt idx="18">
                  <c:v>71</c:v>
                </c:pt>
                <c:pt idx="19">
                  <c:v>71</c:v>
                </c:pt>
              </c:numCache>
            </c:numRef>
          </c:xVal>
          <c:yVal>
            <c:numRef>
              <c:f>Salmonella!$L$1143:$L$1162</c:f>
              <c:numCache>
                <c:formatCode>0.00</c:formatCode>
                <c:ptCount val="20"/>
                <c:pt idx="0">
                  <c:v>2.5563025007672873</c:v>
                </c:pt>
                <c:pt idx="1">
                  <c:v>2.6812412373755872</c:v>
                </c:pt>
                <c:pt idx="2">
                  <c:v>3.0211892990699383</c:v>
                </c:pt>
                <c:pt idx="3">
                  <c:v>2.8312296938670634</c:v>
                </c:pt>
                <c:pt idx="4">
                  <c:v>2.8573324964312685</c:v>
                </c:pt>
                <c:pt idx="5">
                  <c:v>2.4313637641589874</c:v>
                </c:pt>
                <c:pt idx="6">
                  <c:v>2.4409090820652177</c:v>
                </c:pt>
                <c:pt idx="7">
                  <c:v>2.5976951859255122</c:v>
                </c:pt>
                <c:pt idx="8">
                  <c:v>2.0334237554869499</c:v>
                </c:pt>
                <c:pt idx="9">
                  <c:v>2.1583624920952498</c:v>
                </c:pt>
                <c:pt idx="10">
                  <c:v>1.9822712330395684</c:v>
                </c:pt>
                <c:pt idx="11">
                  <c:v>2.3463529744506388</c:v>
                </c:pt>
                <c:pt idx="12">
                  <c:v>1.4771212547196624</c:v>
                </c:pt>
                <c:pt idx="13">
                  <c:v>1.5563025007672873</c:v>
                </c:pt>
                <c:pt idx="14">
                  <c:v>1.6232492903979006</c:v>
                </c:pt>
                <c:pt idx="15">
                  <c:v>1.8573324964312685</c:v>
                </c:pt>
                <c:pt idx="16">
                  <c:v>1.8920946026904804</c:v>
                </c:pt>
                <c:pt idx="17">
                  <c:v>2.7075701760979363</c:v>
                </c:pt>
                <c:pt idx="18">
                  <c:v>2.3802112417116059</c:v>
                </c:pt>
                <c:pt idx="19">
                  <c:v>2.3222192947339191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E05-4975-868A-8E24161DA3FD}"/>
            </c:ext>
          </c:extLst>
        </c:ser>
        <c:ser>
          <c:idx val="14"/>
          <c:order val="10"/>
          <c:tx>
            <c:v>log D (chocolate)</c:v>
          </c:tx>
          <c:spPr>
            <a:ln w="25400">
              <a:solidFill>
                <a:srgbClr val="969696"/>
              </a:solidFill>
              <a:prstDash val="solid"/>
            </a:ln>
          </c:spPr>
          <c:marker>
            <c:symbol val="none"/>
          </c:marker>
          <c:xVal>
            <c:numRef>
              <c:f>GraphSalmonella!$A$14:$A$34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GraphSalmonella!$D$14:$D$34</c:f>
              <c:numCache>
                <c:formatCode>0.00</c:formatCode>
                <c:ptCount val="21"/>
                <c:pt idx="0">
                  <c:v>3.8734417843390174</c:v>
                </c:pt>
                <c:pt idx="1">
                  <c:v>3.6279691750936847</c:v>
                </c:pt>
                <c:pt idx="2">
                  <c:v>3.3824965658483515</c:v>
                </c:pt>
                <c:pt idx="3">
                  <c:v>3.1370239566030182</c:v>
                </c:pt>
                <c:pt idx="4">
                  <c:v>2.8915513473576855</c:v>
                </c:pt>
                <c:pt idx="5">
                  <c:v>2.6460787381123523</c:v>
                </c:pt>
                <c:pt idx="6">
                  <c:v>2.4006061288670191</c:v>
                </c:pt>
                <c:pt idx="7">
                  <c:v>2.1551335196216863</c:v>
                </c:pt>
                <c:pt idx="8">
                  <c:v>1.9096609103763531</c:v>
                </c:pt>
                <c:pt idx="9">
                  <c:v>1.6641883011310201</c:v>
                </c:pt>
                <c:pt idx="10">
                  <c:v>1.4187156918856871</c:v>
                </c:pt>
                <c:pt idx="11">
                  <c:v>1.1732430826403539</c:v>
                </c:pt>
                <c:pt idx="12">
                  <c:v>0.92777047339502094</c:v>
                </c:pt>
                <c:pt idx="13">
                  <c:v>0.68229786414968796</c:v>
                </c:pt>
                <c:pt idx="14">
                  <c:v>0.43682525490435475</c:v>
                </c:pt>
                <c:pt idx="15">
                  <c:v>0.19135264565902199</c:v>
                </c:pt>
                <c:pt idx="16">
                  <c:v>-5.4119963586311215E-2</c:v>
                </c:pt>
                <c:pt idx="17">
                  <c:v>-0.29959257283164442</c:v>
                </c:pt>
                <c:pt idx="18">
                  <c:v>-0.54506518207697718</c:v>
                </c:pt>
                <c:pt idx="19">
                  <c:v>-0.79053779132231039</c:v>
                </c:pt>
                <c:pt idx="20">
                  <c:v>-1.0360104005676436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E05-4975-868A-8E24161DA3FD}"/>
            </c:ext>
          </c:extLst>
        </c:ser>
        <c:ser>
          <c:idx val="15"/>
          <c:order val="11"/>
          <c:tx>
            <c:v>95 % CI (chocolate)</c:v>
          </c:tx>
          <c:spPr>
            <a:ln w="25400">
              <a:solidFill>
                <a:srgbClr val="969696"/>
              </a:solidFill>
              <a:prstDash val="lgDash"/>
            </a:ln>
          </c:spPr>
          <c:marker>
            <c:symbol val="none"/>
          </c:marker>
          <c:xVal>
            <c:numRef>
              <c:f>GraphSalmonella!$A$14:$A$34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GraphSalmonella!$E$14:$E$34</c:f>
              <c:numCache>
                <c:formatCode>0.00</c:formatCode>
                <c:ptCount val="21"/>
                <c:pt idx="0">
                  <c:v>4.2678099955124056</c:v>
                </c:pt>
                <c:pt idx="1">
                  <c:v>4.0223373862670728</c:v>
                </c:pt>
                <c:pt idx="2">
                  <c:v>3.7768647770217396</c:v>
                </c:pt>
                <c:pt idx="3">
                  <c:v>3.5313921677764064</c:v>
                </c:pt>
                <c:pt idx="4">
                  <c:v>3.2859195585310736</c:v>
                </c:pt>
                <c:pt idx="5">
                  <c:v>3.0404469492857404</c:v>
                </c:pt>
                <c:pt idx="6">
                  <c:v>2.7949743400404072</c:v>
                </c:pt>
                <c:pt idx="7">
                  <c:v>2.5495017307950745</c:v>
                </c:pt>
                <c:pt idx="8">
                  <c:v>2.3040291215497413</c:v>
                </c:pt>
                <c:pt idx="9">
                  <c:v>2.0585565123044081</c:v>
                </c:pt>
                <c:pt idx="10">
                  <c:v>1.8130839030590753</c:v>
                </c:pt>
                <c:pt idx="11">
                  <c:v>1.5676112938137421</c:v>
                </c:pt>
                <c:pt idx="12">
                  <c:v>1.3221386845684091</c:v>
                </c:pt>
                <c:pt idx="13">
                  <c:v>1.0766660753230761</c:v>
                </c:pt>
                <c:pt idx="14">
                  <c:v>0.83119346607774292</c:v>
                </c:pt>
                <c:pt idx="15">
                  <c:v>0.58572085683241015</c:v>
                </c:pt>
                <c:pt idx="16">
                  <c:v>0.34024824758707695</c:v>
                </c:pt>
                <c:pt idx="17">
                  <c:v>9.477563834174374E-2</c:v>
                </c:pt>
                <c:pt idx="18">
                  <c:v>-0.15069697090358902</c:v>
                </c:pt>
                <c:pt idx="19">
                  <c:v>-0.39616958014892223</c:v>
                </c:pt>
                <c:pt idx="20">
                  <c:v>-0.64164218939425544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E05-4975-868A-8E24161DA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913328"/>
        <c:axId val="1"/>
      </c:scatterChart>
      <c:valAx>
        <c:axId val="480913328"/>
        <c:scaling>
          <c:orientation val="minMax"/>
          <c:max val="95"/>
          <c:min val="45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1575" b="0" i="1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T</a:t>
                </a:r>
                <a:r>
                  <a:rPr lang="nl-NL" sz="1575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(</a:t>
                </a:r>
                <a:r>
                  <a:rPr lang="nl-NL" sz="1575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°</a:t>
                </a:r>
                <a:r>
                  <a:rPr lang="nl-NL" sz="1575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C)</a:t>
                </a:r>
              </a:p>
            </c:rich>
          </c:tx>
          <c:layout>
            <c:manualLayout>
              <c:xMode val="edge"/>
              <c:yMode val="edge"/>
              <c:x val="0.40567435453547029"/>
              <c:y val="0.916668497833119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  <c:majorUnit val="10"/>
      </c:valAx>
      <c:valAx>
        <c:axId val="1"/>
        <c:scaling>
          <c:orientation val="minMax"/>
          <c:max val="4"/>
          <c:min val="-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1575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Log </a:t>
                </a:r>
                <a:r>
                  <a:rPr lang="nl-NL" sz="1575" b="0" i="1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D</a:t>
                </a:r>
                <a:r>
                  <a:rPr lang="nl-NL" sz="1575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(log min)</a:t>
                </a:r>
              </a:p>
            </c:rich>
          </c:tx>
          <c:layout>
            <c:manualLayout>
              <c:xMode val="edge"/>
              <c:yMode val="edge"/>
              <c:x val="7.0921985815602835E-3"/>
              <c:y val="0.3217062402083460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8091332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3688032612944656"/>
          <c:y val="0.25000040692587844"/>
          <c:w val="0.35602881554699273"/>
          <c:h val="0.7364355327677063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effect pH at various aw for media aq.</a:t>
            </a:r>
          </a:p>
        </c:rich>
      </c:tx>
      <c:layout>
        <c:manualLayout>
          <c:xMode val="edge"/>
          <c:yMode val="edge"/>
          <c:x val="0.20339005293829795"/>
          <c:y val="3.819444444444444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949170076190576"/>
          <c:y val="0.22916744373726311"/>
          <c:w val="0.67584815678809917"/>
          <c:h val="0.60069648131131081"/>
        </c:manualLayout>
      </c:layout>
      <c:scatterChart>
        <c:scatterStyle val="lineMarker"/>
        <c:varyColors val="0"/>
        <c:ser>
          <c:idx val="0"/>
          <c:order val="0"/>
          <c:tx>
            <c:v>5.85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Salmonella!$I$344:$I$371</c:f>
              <c:numCache>
                <c:formatCode>General</c:formatCode>
                <c:ptCount val="28"/>
                <c:pt idx="0">
                  <c:v>65.5</c:v>
                </c:pt>
                <c:pt idx="1">
                  <c:v>70</c:v>
                </c:pt>
                <c:pt idx="2">
                  <c:v>60</c:v>
                </c:pt>
                <c:pt idx="3">
                  <c:v>65.5</c:v>
                </c:pt>
                <c:pt idx="4">
                  <c:v>70</c:v>
                </c:pt>
                <c:pt idx="5">
                  <c:v>60</c:v>
                </c:pt>
                <c:pt idx="6">
                  <c:v>60</c:v>
                </c:pt>
                <c:pt idx="7">
                  <c:v>65.5</c:v>
                </c:pt>
                <c:pt idx="8">
                  <c:v>70</c:v>
                </c:pt>
                <c:pt idx="9">
                  <c:v>60</c:v>
                </c:pt>
                <c:pt idx="10">
                  <c:v>65.5</c:v>
                </c:pt>
                <c:pt idx="11">
                  <c:v>70</c:v>
                </c:pt>
                <c:pt idx="12">
                  <c:v>60</c:v>
                </c:pt>
                <c:pt idx="13">
                  <c:v>65.5</c:v>
                </c:pt>
                <c:pt idx="14">
                  <c:v>70</c:v>
                </c:pt>
                <c:pt idx="15">
                  <c:v>60</c:v>
                </c:pt>
                <c:pt idx="16">
                  <c:v>65.5</c:v>
                </c:pt>
                <c:pt idx="17">
                  <c:v>70</c:v>
                </c:pt>
                <c:pt idx="18">
                  <c:v>60</c:v>
                </c:pt>
                <c:pt idx="19">
                  <c:v>65.5</c:v>
                </c:pt>
                <c:pt idx="20">
                  <c:v>70</c:v>
                </c:pt>
                <c:pt idx="21">
                  <c:v>60</c:v>
                </c:pt>
                <c:pt idx="22">
                  <c:v>65.5</c:v>
                </c:pt>
                <c:pt idx="23">
                  <c:v>60</c:v>
                </c:pt>
                <c:pt idx="24">
                  <c:v>65.5</c:v>
                </c:pt>
                <c:pt idx="25">
                  <c:v>70</c:v>
                </c:pt>
                <c:pt idx="26">
                  <c:v>60</c:v>
                </c:pt>
                <c:pt idx="27">
                  <c:v>65.5</c:v>
                </c:pt>
              </c:numCache>
            </c:numRef>
          </c:xVal>
          <c:yVal>
            <c:numRef>
              <c:f>Salmonella!$L$344:$L$371</c:f>
              <c:numCache>
                <c:formatCode>0.00</c:formatCode>
                <c:ptCount val="28"/>
                <c:pt idx="0">
                  <c:v>0.61278385671973545</c:v>
                </c:pt>
                <c:pt idx="1">
                  <c:v>3.1408464251624121E-2</c:v>
                </c:pt>
                <c:pt idx="2">
                  <c:v>1</c:v>
                </c:pt>
                <c:pt idx="3">
                  <c:v>0.54814363743484551</c:v>
                </c:pt>
                <c:pt idx="4">
                  <c:v>0.14612803567823801</c:v>
                </c:pt>
                <c:pt idx="5">
                  <c:v>1</c:v>
                </c:pt>
                <c:pt idx="6">
                  <c:v>1.0569048513364727</c:v>
                </c:pt>
                <c:pt idx="7">
                  <c:v>0.57978359661681012</c:v>
                </c:pt>
                <c:pt idx="8">
                  <c:v>-1.0995384301463193E-2</c:v>
                </c:pt>
                <c:pt idx="9">
                  <c:v>0.68394713075151214</c:v>
                </c:pt>
                <c:pt idx="10">
                  <c:v>0.42488163663106698</c:v>
                </c:pt>
                <c:pt idx="11">
                  <c:v>-0.22184874961635639</c:v>
                </c:pt>
                <c:pt idx="12">
                  <c:v>1.1613680022349748</c:v>
                </c:pt>
                <c:pt idx="13">
                  <c:v>0.55630250076728727</c:v>
                </c:pt>
                <c:pt idx="14">
                  <c:v>-0.3010299956639812</c:v>
                </c:pt>
                <c:pt idx="15">
                  <c:v>0.63346845557958653</c:v>
                </c:pt>
                <c:pt idx="16">
                  <c:v>-7.9354998593212434E-2</c:v>
                </c:pt>
                <c:pt idx="17">
                  <c:v>-0.52287874528033762</c:v>
                </c:pt>
                <c:pt idx="18">
                  <c:v>0.85733249643126852</c:v>
                </c:pt>
                <c:pt idx="19">
                  <c:v>4.1392685158225077E-2</c:v>
                </c:pt>
                <c:pt idx="20">
                  <c:v>-0.82390874094431876</c:v>
                </c:pt>
                <c:pt idx="21">
                  <c:v>-0.22184874961635639</c:v>
                </c:pt>
                <c:pt idx="22">
                  <c:v>-1.1804560644581312</c:v>
                </c:pt>
                <c:pt idx="23">
                  <c:v>0.85733249643126852</c:v>
                </c:pt>
                <c:pt idx="24">
                  <c:v>4.1392685158225077E-2</c:v>
                </c:pt>
                <c:pt idx="25">
                  <c:v>-0.66756154008439472</c:v>
                </c:pt>
                <c:pt idx="26">
                  <c:v>-0.74472749489669399</c:v>
                </c:pt>
                <c:pt idx="27">
                  <c:v>-1.3010299956639813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2F-467E-8A72-B566BEF58835}"/>
            </c:ext>
          </c:extLst>
        </c:ser>
        <c:ser>
          <c:idx val="1"/>
          <c:order val="1"/>
          <c:tx>
            <c:v>6.9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Salmonella!$I$372:$I$430</c:f>
              <c:numCache>
                <c:formatCode>General</c:formatCode>
                <c:ptCount val="59"/>
                <c:pt idx="0">
                  <c:v>57.2</c:v>
                </c:pt>
                <c:pt idx="1">
                  <c:v>57.2</c:v>
                </c:pt>
                <c:pt idx="2">
                  <c:v>57.2</c:v>
                </c:pt>
                <c:pt idx="3">
                  <c:v>57.2</c:v>
                </c:pt>
                <c:pt idx="4">
                  <c:v>57.2</c:v>
                </c:pt>
                <c:pt idx="5">
                  <c:v>57.2</c:v>
                </c:pt>
                <c:pt idx="6">
                  <c:v>57.2</c:v>
                </c:pt>
                <c:pt idx="7">
                  <c:v>57.2</c:v>
                </c:pt>
                <c:pt idx="8">
                  <c:v>57.2</c:v>
                </c:pt>
                <c:pt idx="9">
                  <c:v>57.2</c:v>
                </c:pt>
                <c:pt idx="10">
                  <c:v>57.2</c:v>
                </c:pt>
                <c:pt idx="11">
                  <c:v>57.2</c:v>
                </c:pt>
                <c:pt idx="12">
                  <c:v>57.2</c:v>
                </c:pt>
                <c:pt idx="13">
                  <c:v>57.2</c:v>
                </c:pt>
                <c:pt idx="14">
                  <c:v>57.2</c:v>
                </c:pt>
                <c:pt idx="15">
                  <c:v>57.2</c:v>
                </c:pt>
                <c:pt idx="16">
                  <c:v>57.2</c:v>
                </c:pt>
                <c:pt idx="17">
                  <c:v>57.2</c:v>
                </c:pt>
                <c:pt idx="18">
                  <c:v>57.2</c:v>
                </c:pt>
                <c:pt idx="19">
                  <c:v>57.2</c:v>
                </c:pt>
                <c:pt idx="20">
                  <c:v>57.2</c:v>
                </c:pt>
                <c:pt idx="21">
                  <c:v>57.2</c:v>
                </c:pt>
                <c:pt idx="22">
                  <c:v>57.2</c:v>
                </c:pt>
                <c:pt idx="23">
                  <c:v>57.2</c:v>
                </c:pt>
                <c:pt idx="24">
                  <c:v>57.2</c:v>
                </c:pt>
                <c:pt idx="25">
                  <c:v>57.2</c:v>
                </c:pt>
                <c:pt idx="26">
                  <c:v>57.2</c:v>
                </c:pt>
                <c:pt idx="27">
                  <c:v>57.2</c:v>
                </c:pt>
                <c:pt idx="28">
                  <c:v>57.2</c:v>
                </c:pt>
                <c:pt idx="29">
                  <c:v>57.2</c:v>
                </c:pt>
                <c:pt idx="30">
                  <c:v>57.2</c:v>
                </c:pt>
                <c:pt idx="31">
                  <c:v>57.2</c:v>
                </c:pt>
                <c:pt idx="32">
                  <c:v>57.2</c:v>
                </c:pt>
                <c:pt idx="33">
                  <c:v>57.2</c:v>
                </c:pt>
                <c:pt idx="34">
                  <c:v>57.2</c:v>
                </c:pt>
                <c:pt idx="35">
                  <c:v>57.2</c:v>
                </c:pt>
                <c:pt idx="36">
                  <c:v>57.2</c:v>
                </c:pt>
                <c:pt idx="37">
                  <c:v>57.2</c:v>
                </c:pt>
                <c:pt idx="38">
                  <c:v>57.2</c:v>
                </c:pt>
                <c:pt idx="39">
                  <c:v>57.2</c:v>
                </c:pt>
                <c:pt idx="40">
                  <c:v>57.2</c:v>
                </c:pt>
                <c:pt idx="41">
                  <c:v>57.2</c:v>
                </c:pt>
                <c:pt idx="42">
                  <c:v>57.2</c:v>
                </c:pt>
                <c:pt idx="43">
                  <c:v>57.2</c:v>
                </c:pt>
                <c:pt idx="44">
                  <c:v>57.2</c:v>
                </c:pt>
                <c:pt idx="45">
                  <c:v>57.2</c:v>
                </c:pt>
                <c:pt idx="46">
                  <c:v>57.2</c:v>
                </c:pt>
                <c:pt idx="47">
                  <c:v>57.2</c:v>
                </c:pt>
                <c:pt idx="48">
                  <c:v>57.2</c:v>
                </c:pt>
                <c:pt idx="49">
                  <c:v>57.2</c:v>
                </c:pt>
                <c:pt idx="50">
                  <c:v>57.2</c:v>
                </c:pt>
                <c:pt idx="51">
                  <c:v>57.2</c:v>
                </c:pt>
                <c:pt idx="52">
                  <c:v>57.2</c:v>
                </c:pt>
                <c:pt idx="53">
                  <c:v>57.2</c:v>
                </c:pt>
                <c:pt idx="54">
                  <c:v>57.2</c:v>
                </c:pt>
                <c:pt idx="55">
                  <c:v>57.2</c:v>
                </c:pt>
                <c:pt idx="56">
                  <c:v>57.2</c:v>
                </c:pt>
                <c:pt idx="57">
                  <c:v>57.2</c:v>
                </c:pt>
                <c:pt idx="58">
                  <c:v>57.2</c:v>
                </c:pt>
              </c:numCache>
            </c:numRef>
          </c:xVal>
          <c:yVal>
            <c:numRef>
              <c:f>Salmonella!$L$372:$L$430</c:f>
              <c:numCache>
                <c:formatCode>0.00</c:formatCode>
                <c:ptCount val="59"/>
                <c:pt idx="0">
                  <c:v>1.0791812460476249</c:v>
                </c:pt>
                <c:pt idx="1">
                  <c:v>0.74036268949424389</c:v>
                </c:pt>
                <c:pt idx="2">
                  <c:v>0.84509804001425681</c:v>
                </c:pt>
                <c:pt idx="3">
                  <c:v>0.90308998699194354</c:v>
                </c:pt>
                <c:pt idx="4">
                  <c:v>1.6180480967120927</c:v>
                </c:pt>
                <c:pt idx="5">
                  <c:v>0.77815125038364363</c:v>
                </c:pt>
                <c:pt idx="6">
                  <c:v>0.94448267215016868</c:v>
                </c:pt>
                <c:pt idx="7">
                  <c:v>0.36172783601759284</c:v>
                </c:pt>
                <c:pt idx="8">
                  <c:v>0.36172783601759284</c:v>
                </c:pt>
                <c:pt idx="9">
                  <c:v>0.44715803134221921</c:v>
                </c:pt>
                <c:pt idx="10">
                  <c:v>0.47712125471966244</c:v>
                </c:pt>
                <c:pt idx="11">
                  <c:v>1.4983105537896004</c:v>
                </c:pt>
                <c:pt idx="12">
                  <c:v>0.23044892137827391</c:v>
                </c:pt>
                <c:pt idx="13">
                  <c:v>0.41497334797081797</c:v>
                </c:pt>
                <c:pt idx="14">
                  <c:v>4.1392685158225077E-2</c:v>
                </c:pt>
                <c:pt idx="15">
                  <c:v>-9.6910013008056392E-2</c:v>
                </c:pt>
                <c:pt idx="16">
                  <c:v>4.1392685158225077E-2</c:v>
                </c:pt>
                <c:pt idx="17">
                  <c:v>4.1392685158225077E-2</c:v>
                </c:pt>
                <c:pt idx="18">
                  <c:v>1.1303337684950061</c:v>
                </c:pt>
                <c:pt idx="19">
                  <c:v>4.1392685158225077E-2</c:v>
                </c:pt>
                <c:pt idx="20">
                  <c:v>4.1392685158225077E-2</c:v>
                </c:pt>
                <c:pt idx="21">
                  <c:v>1.9777236052888478</c:v>
                </c:pt>
                <c:pt idx="22">
                  <c:v>1.9206450014067875</c:v>
                </c:pt>
                <c:pt idx="23">
                  <c:v>1.9731278535996986</c:v>
                </c:pt>
                <c:pt idx="24">
                  <c:v>1.414973347970818</c:v>
                </c:pt>
                <c:pt idx="25">
                  <c:v>1.8750612633917001</c:v>
                </c:pt>
                <c:pt idx="26">
                  <c:v>1.5550944485783191</c:v>
                </c:pt>
                <c:pt idx="27">
                  <c:v>1.7888751157754168</c:v>
                </c:pt>
                <c:pt idx="28">
                  <c:v>1.9030899869919435</c:v>
                </c:pt>
                <c:pt idx="29">
                  <c:v>1.7708520116421442</c:v>
                </c:pt>
                <c:pt idx="30">
                  <c:v>1.7958800173440752</c:v>
                </c:pt>
                <c:pt idx="31">
                  <c:v>1.3242824552976926</c:v>
                </c:pt>
                <c:pt idx="32">
                  <c:v>1.8603380065709938</c:v>
                </c:pt>
                <c:pt idx="33">
                  <c:v>1.7923916894982539</c:v>
                </c:pt>
                <c:pt idx="34">
                  <c:v>1.3710678622717363</c:v>
                </c:pt>
                <c:pt idx="35">
                  <c:v>1.6693168805661123</c:v>
                </c:pt>
                <c:pt idx="36">
                  <c:v>1.7781512503836436</c:v>
                </c:pt>
                <c:pt idx="37">
                  <c:v>1.7481880270062005</c:v>
                </c:pt>
                <c:pt idx="38">
                  <c:v>1.8369567370595505</c:v>
                </c:pt>
                <c:pt idx="39">
                  <c:v>1.1553360374650619</c:v>
                </c:pt>
                <c:pt idx="40">
                  <c:v>1.7664128471123994</c:v>
                </c:pt>
                <c:pt idx="41">
                  <c:v>1.7403626894942439</c:v>
                </c:pt>
                <c:pt idx="42">
                  <c:v>1.3283796034387378</c:v>
                </c:pt>
                <c:pt idx="43">
                  <c:v>1.4842998393467859</c:v>
                </c:pt>
                <c:pt idx="44">
                  <c:v>1.4232458739368079</c:v>
                </c:pt>
                <c:pt idx="45">
                  <c:v>1.550228353055094</c:v>
                </c:pt>
                <c:pt idx="46">
                  <c:v>0.72427586960078905</c:v>
                </c:pt>
                <c:pt idx="47">
                  <c:v>1.3010299956639813</c:v>
                </c:pt>
                <c:pt idx="48">
                  <c:v>1.6839471307515121</c:v>
                </c:pt>
                <c:pt idx="49">
                  <c:v>0.97772360528884772</c:v>
                </c:pt>
                <c:pt idx="50">
                  <c:v>1.1553360374650619</c:v>
                </c:pt>
                <c:pt idx="51">
                  <c:v>4.1392685158225077E-2</c:v>
                </c:pt>
                <c:pt idx="52">
                  <c:v>0</c:v>
                </c:pt>
                <c:pt idx="53">
                  <c:v>4.1392685158225077E-2</c:v>
                </c:pt>
                <c:pt idx="54">
                  <c:v>-4.5757490560675115E-2</c:v>
                </c:pt>
                <c:pt idx="55">
                  <c:v>4.1392685158225077E-2</c:v>
                </c:pt>
                <c:pt idx="56">
                  <c:v>1.1613680022349748</c:v>
                </c:pt>
                <c:pt idx="57">
                  <c:v>-9.6910013008056392E-2</c:v>
                </c:pt>
                <c:pt idx="58">
                  <c:v>4.1392685158225077E-2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2F-467E-8A72-B566BEF588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914768"/>
        <c:axId val="1"/>
      </c:scatterChart>
      <c:valAx>
        <c:axId val="480914768"/>
        <c:scaling>
          <c:orientation val="minMax"/>
          <c:min val="5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T</a:t>
                </a:r>
              </a:p>
            </c:rich>
          </c:tx>
          <c:layout>
            <c:manualLayout>
              <c:xMode val="edge"/>
              <c:yMode val="edge"/>
              <c:x val="0.49364451265625692"/>
              <c:y val="0.8680584718576844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log D</a:t>
                </a:r>
              </a:p>
            </c:rich>
          </c:tx>
          <c:layout>
            <c:manualLayout>
              <c:xMode val="edge"/>
              <c:yMode val="edge"/>
              <c:x val="3.3898305084745763E-2"/>
              <c:y val="0.4652792359288422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8091476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45339872770141"/>
          <c:y val="0.42361256926217555"/>
          <c:w val="0.14406801903999289"/>
          <c:h val="0.2256951735199766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effect aw at various pH for media aq.</a:t>
            </a:r>
          </a:p>
        </c:rich>
      </c:tx>
      <c:layout>
        <c:manualLayout>
          <c:xMode val="edge"/>
          <c:yMode val="edge"/>
          <c:x val="0.20339005293829795"/>
          <c:y val="3.819444444444444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949170076190576"/>
          <c:y val="0.22916744373726311"/>
          <c:w val="0.66101763297143246"/>
          <c:h val="0.60069648131131081"/>
        </c:manualLayout>
      </c:layout>
      <c:scatterChart>
        <c:scatterStyle val="lineMarker"/>
        <c:varyColors val="0"/>
        <c:ser>
          <c:idx val="0"/>
          <c:order val="0"/>
          <c:tx>
            <c:v>0.75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Salmonella!$I$344:$I$350</c:f>
              <c:numCache>
                <c:formatCode>General</c:formatCode>
                <c:ptCount val="7"/>
                <c:pt idx="0">
                  <c:v>65.5</c:v>
                </c:pt>
                <c:pt idx="1">
                  <c:v>70</c:v>
                </c:pt>
                <c:pt idx="2">
                  <c:v>60</c:v>
                </c:pt>
                <c:pt idx="3">
                  <c:v>65.5</c:v>
                </c:pt>
                <c:pt idx="4">
                  <c:v>70</c:v>
                </c:pt>
                <c:pt idx="5">
                  <c:v>60</c:v>
                </c:pt>
                <c:pt idx="6">
                  <c:v>60</c:v>
                </c:pt>
              </c:numCache>
            </c:numRef>
          </c:xVal>
          <c:yVal>
            <c:numRef>
              <c:f>Salmonella!$L$344:$L$350</c:f>
              <c:numCache>
                <c:formatCode>0.00</c:formatCode>
                <c:ptCount val="7"/>
                <c:pt idx="0">
                  <c:v>0.61278385671973545</c:v>
                </c:pt>
                <c:pt idx="1">
                  <c:v>3.1408464251624121E-2</c:v>
                </c:pt>
                <c:pt idx="2">
                  <c:v>1</c:v>
                </c:pt>
                <c:pt idx="3">
                  <c:v>0.54814363743484551</c:v>
                </c:pt>
                <c:pt idx="4">
                  <c:v>0.14612803567823801</c:v>
                </c:pt>
                <c:pt idx="5">
                  <c:v>1</c:v>
                </c:pt>
                <c:pt idx="6">
                  <c:v>1.0569048513364727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C2-4F3A-9705-A030B6B36F5D}"/>
            </c:ext>
          </c:extLst>
        </c:ser>
        <c:ser>
          <c:idx val="1"/>
          <c:order val="1"/>
          <c:tx>
            <c:v>0.85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Salmonella!$I$351:$I$355</c:f>
              <c:numCache>
                <c:formatCode>General</c:formatCode>
                <c:ptCount val="5"/>
                <c:pt idx="0">
                  <c:v>65.5</c:v>
                </c:pt>
                <c:pt idx="1">
                  <c:v>70</c:v>
                </c:pt>
                <c:pt idx="2">
                  <c:v>60</c:v>
                </c:pt>
                <c:pt idx="3">
                  <c:v>65.5</c:v>
                </c:pt>
                <c:pt idx="4">
                  <c:v>70</c:v>
                </c:pt>
              </c:numCache>
            </c:numRef>
          </c:xVal>
          <c:yVal>
            <c:numRef>
              <c:f>Salmonella!$L$351:$L$355</c:f>
              <c:numCache>
                <c:formatCode>0.00</c:formatCode>
                <c:ptCount val="5"/>
                <c:pt idx="0">
                  <c:v>0.57978359661681012</c:v>
                </c:pt>
                <c:pt idx="1">
                  <c:v>-1.0995384301463193E-2</c:v>
                </c:pt>
                <c:pt idx="2">
                  <c:v>0.68394713075151214</c:v>
                </c:pt>
                <c:pt idx="3">
                  <c:v>0.42488163663106698</c:v>
                </c:pt>
                <c:pt idx="4">
                  <c:v>-0.22184874961635639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C2-4F3A-9705-A030B6B36F5D}"/>
            </c:ext>
          </c:extLst>
        </c:ser>
        <c:ser>
          <c:idx val="2"/>
          <c:order val="2"/>
          <c:tx>
            <c:v>0.87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Salmonella!$I$356:$I$362</c:f>
              <c:numCache>
                <c:formatCode>General</c:formatCode>
                <c:ptCount val="7"/>
                <c:pt idx="0">
                  <c:v>60</c:v>
                </c:pt>
                <c:pt idx="1">
                  <c:v>65.5</c:v>
                </c:pt>
                <c:pt idx="2">
                  <c:v>70</c:v>
                </c:pt>
                <c:pt idx="3">
                  <c:v>60</c:v>
                </c:pt>
                <c:pt idx="4">
                  <c:v>65.5</c:v>
                </c:pt>
                <c:pt idx="5">
                  <c:v>70</c:v>
                </c:pt>
                <c:pt idx="6">
                  <c:v>60</c:v>
                </c:pt>
              </c:numCache>
            </c:numRef>
          </c:xVal>
          <c:yVal>
            <c:numRef>
              <c:f>Salmonella!$L$356:$L$362</c:f>
              <c:numCache>
                <c:formatCode>0.00</c:formatCode>
                <c:ptCount val="7"/>
                <c:pt idx="0">
                  <c:v>1.1613680022349748</c:v>
                </c:pt>
                <c:pt idx="1">
                  <c:v>0.55630250076728727</c:v>
                </c:pt>
                <c:pt idx="2">
                  <c:v>-0.3010299956639812</c:v>
                </c:pt>
                <c:pt idx="3">
                  <c:v>0.63346845557958653</c:v>
                </c:pt>
                <c:pt idx="4">
                  <c:v>-7.9354998593212434E-2</c:v>
                </c:pt>
                <c:pt idx="5">
                  <c:v>-0.52287874528033762</c:v>
                </c:pt>
                <c:pt idx="6">
                  <c:v>0.85733249643126852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C2-4F3A-9705-A030B6B36F5D}"/>
            </c:ext>
          </c:extLst>
        </c:ser>
        <c:ser>
          <c:idx val="3"/>
          <c:order val="3"/>
          <c:tx>
            <c:v>0.9</c:v>
          </c:tx>
          <c:spPr>
            <a:ln w="28575"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Salmonella!$I$363:$I$384</c:f>
              <c:numCache>
                <c:formatCode>General</c:formatCode>
                <c:ptCount val="22"/>
                <c:pt idx="0">
                  <c:v>65.5</c:v>
                </c:pt>
                <c:pt idx="1">
                  <c:v>70</c:v>
                </c:pt>
                <c:pt idx="2">
                  <c:v>60</c:v>
                </c:pt>
                <c:pt idx="3">
                  <c:v>65.5</c:v>
                </c:pt>
                <c:pt idx="4">
                  <c:v>60</c:v>
                </c:pt>
                <c:pt idx="5">
                  <c:v>65.5</c:v>
                </c:pt>
                <c:pt idx="6">
                  <c:v>70</c:v>
                </c:pt>
                <c:pt idx="7">
                  <c:v>60</c:v>
                </c:pt>
                <c:pt idx="8">
                  <c:v>65.5</c:v>
                </c:pt>
                <c:pt idx="9">
                  <c:v>57.2</c:v>
                </c:pt>
                <c:pt idx="10">
                  <c:v>57.2</c:v>
                </c:pt>
                <c:pt idx="11">
                  <c:v>57.2</c:v>
                </c:pt>
                <c:pt idx="12">
                  <c:v>57.2</c:v>
                </c:pt>
                <c:pt idx="13">
                  <c:v>57.2</c:v>
                </c:pt>
                <c:pt idx="14">
                  <c:v>57.2</c:v>
                </c:pt>
                <c:pt idx="15">
                  <c:v>57.2</c:v>
                </c:pt>
                <c:pt idx="16">
                  <c:v>57.2</c:v>
                </c:pt>
                <c:pt idx="17">
                  <c:v>57.2</c:v>
                </c:pt>
                <c:pt idx="18">
                  <c:v>57.2</c:v>
                </c:pt>
                <c:pt idx="19">
                  <c:v>57.2</c:v>
                </c:pt>
                <c:pt idx="20">
                  <c:v>57.2</c:v>
                </c:pt>
                <c:pt idx="21">
                  <c:v>57.2</c:v>
                </c:pt>
              </c:numCache>
            </c:numRef>
          </c:xVal>
          <c:yVal>
            <c:numRef>
              <c:f>Salmonella!$L$363:$L$384</c:f>
              <c:numCache>
                <c:formatCode>0.00</c:formatCode>
                <c:ptCount val="22"/>
                <c:pt idx="0">
                  <c:v>4.1392685158225077E-2</c:v>
                </c:pt>
                <c:pt idx="1">
                  <c:v>-0.82390874094431876</c:v>
                </c:pt>
                <c:pt idx="2">
                  <c:v>-0.22184874961635639</c:v>
                </c:pt>
                <c:pt idx="3">
                  <c:v>-1.1804560644581312</c:v>
                </c:pt>
                <c:pt idx="4">
                  <c:v>0.85733249643126852</c:v>
                </c:pt>
                <c:pt idx="5">
                  <c:v>4.1392685158225077E-2</c:v>
                </c:pt>
                <c:pt idx="6">
                  <c:v>-0.66756154008439472</c:v>
                </c:pt>
                <c:pt idx="7">
                  <c:v>-0.74472749489669399</c:v>
                </c:pt>
                <c:pt idx="8">
                  <c:v>-1.3010299956639813</c:v>
                </c:pt>
                <c:pt idx="9">
                  <c:v>1.0791812460476249</c:v>
                </c:pt>
                <c:pt idx="10">
                  <c:v>0.74036268949424389</c:v>
                </c:pt>
                <c:pt idx="11">
                  <c:v>0.84509804001425681</c:v>
                </c:pt>
                <c:pt idx="12">
                  <c:v>0.90308998699194354</c:v>
                </c:pt>
                <c:pt idx="13">
                  <c:v>1.6180480967120927</c:v>
                </c:pt>
                <c:pt idx="14">
                  <c:v>0.77815125038364363</c:v>
                </c:pt>
                <c:pt idx="15">
                  <c:v>0.94448267215016868</c:v>
                </c:pt>
                <c:pt idx="16">
                  <c:v>0.36172783601759284</c:v>
                </c:pt>
                <c:pt idx="17">
                  <c:v>0.36172783601759284</c:v>
                </c:pt>
                <c:pt idx="18">
                  <c:v>0.44715803134221921</c:v>
                </c:pt>
                <c:pt idx="19">
                  <c:v>0.47712125471966244</c:v>
                </c:pt>
                <c:pt idx="20">
                  <c:v>1.4983105537896004</c:v>
                </c:pt>
                <c:pt idx="21">
                  <c:v>0.23044892137827391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C2-4F3A-9705-A030B6B36F5D}"/>
            </c:ext>
          </c:extLst>
        </c:ser>
        <c:ser>
          <c:idx val="4"/>
          <c:order val="4"/>
          <c:tx>
            <c:v>0.93</c:v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Salmonella!$I$385:$I$392</c:f>
              <c:numCache>
                <c:formatCode>General</c:formatCode>
                <c:ptCount val="8"/>
                <c:pt idx="0">
                  <c:v>57.2</c:v>
                </c:pt>
                <c:pt idx="1">
                  <c:v>57.2</c:v>
                </c:pt>
                <c:pt idx="2">
                  <c:v>57.2</c:v>
                </c:pt>
                <c:pt idx="3">
                  <c:v>57.2</c:v>
                </c:pt>
                <c:pt idx="4">
                  <c:v>57.2</c:v>
                </c:pt>
                <c:pt idx="5">
                  <c:v>57.2</c:v>
                </c:pt>
                <c:pt idx="6">
                  <c:v>57.2</c:v>
                </c:pt>
                <c:pt idx="7">
                  <c:v>57.2</c:v>
                </c:pt>
              </c:numCache>
            </c:numRef>
          </c:xVal>
          <c:yVal>
            <c:numRef>
              <c:f>Salmonella!$L$385:$L$392</c:f>
              <c:numCache>
                <c:formatCode>0.00</c:formatCode>
                <c:ptCount val="8"/>
                <c:pt idx="0">
                  <c:v>0.41497334797081797</c:v>
                </c:pt>
                <c:pt idx="1">
                  <c:v>4.1392685158225077E-2</c:v>
                </c:pt>
                <c:pt idx="2">
                  <c:v>-9.6910013008056392E-2</c:v>
                </c:pt>
                <c:pt idx="3">
                  <c:v>4.1392685158225077E-2</c:v>
                </c:pt>
                <c:pt idx="4">
                  <c:v>4.1392685158225077E-2</c:v>
                </c:pt>
                <c:pt idx="5">
                  <c:v>1.1303337684950061</c:v>
                </c:pt>
                <c:pt idx="6">
                  <c:v>4.1392685158225077E-2</c:v>
                </c:pt>
                <c:pt idx="7">
                  <c:v>4.1392685158225077E-2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8C2-4F3A-9705-A030B6B36F5D}"/>
            </c:ext>
          </c:extLst>
        </c:ser>
        <c:ser>
          <c:idx val="5"/>
          <c:order val="5"/>
          <c:tx>
            <c:v>0.94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Salmonella!$I$393:$I$398</c:f>
              <c:numCache>
                <c:formatCode>General</c:formatCode>
                <c:ptCount val="6"/>
                <c:pt idx="0">
                  <c:v>57.2</c:v>
                </c:pt>
                <c:pt idx="1">
                  <c:v>57.2</c:v>
                </c:pt>
                <c:pt idx="2">
                  <c:v>57.2</c:v>
                </c:pt>
                <c:pt idx="3">
                  <c:v>57.2</c:v>
                </c:pt>
                <c:pt idx="4">
                  <c:v>57.2</c:v>
                </c:pt>
                <c:pt idx="5">
                  <c:v>57.2</c:v>
                </c:pt>
              </c:numCache>
            </c:numRef>
          </c:xVal>
          <c:yVal>
            <c:numRef>
              <c:f>Salmonella!$L$393:$L$398</c:f>
              <c:numCache>
                <c:formatCode>0.00</c:formatCode>
                <c:ptCount val="6"/>
                <c:pt idx="0">
                  <c:v>1.9777236052888478</c:v>
                </c:pt>
                <c:pt idx="1">
                  <c:v>1.9206450014067875</c:v>
                </c:pt>
                <c:pt idx="2">
                  <c:v>1.9731278535996986</c:v>
                </c:pt>
                <c:pt idx="3">
                  <c:v>1.414973347970818</c:v>
                </c:pt>
                <c:pt idx="4">
                  <c:v>1.8750612633917001</c:v>
                </c:pt>
                <c:pt idx="5">
                  <c:v>1.5550944485783191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8C2-4F3A-9705-A030B6B36F5D}"/>
            </c:ext>
          </c:extLst>
        </c:ser>
        <c:ser>
          <c:idx val="6"/>
          <c:order val="6"/>
          <c:tx>
            <c:v>0.96</c:v>
          </c:tx>
          <c:spPr>
            <a:ln w="28575"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Salmonella!$I$399:$I$405</c:f>
              <c:numCache>
                <c:formatCode>General</c:formatCode>
                <c:ptCount val="7"/>
                <c:pt idx="0">
                  <c:v>57.2</c:v>
                </c:pt>
                <c:pt idx="1">
                  <c:v>57.2</c:v>
                </c:pt>
                <c:pt idx="2">
                  <c:v>57.2</c:v>
                </c:pt>
                <c:pt idx="3">
                  <c:v>57.2</c:v>
                </c:pt>
                <c:pt idx="4">
                  <c:v>57.2</c:v>
                </c:pt>
                <c:pt idx="5">
                  <c:v>57.2</c:v>
                </c:pt>
                <c:pt idx="6">
                  <c:v>57.2</c:v>
                </c:pt>
              </c:numCache>
            </c:numRef>
          </c:xVal>
          <c:yVal>
            <c:numRef>
              <c:f>Salmonella!$L$399:$L$405</c:f>
              <c:numCache>
                <c:formatCode>0.00</c:formatCode>
                <c:ptCount val="7"/>
                <c:pt idx="0">
                  <c:v>1.7888751157754168</c:v>
                </c:pt>
                <c:pt idx="1">
                  <c:v>1.9030899869919435</c:v>
                </c:pt>
                <c:pt idx="2">
                  <c:v>1.7708520116421442</c:v>
                </c:pt>
                <c:pt idx="3">
                  <c:v>1.7958800173440752</c:v>
                </c:pt>
                <c:pt idx="4">
                  <c:v>1.3242824552976926</c:v>
                </c:pt>
                <c:pt idx="5">
                  <c:v>1.8603380065709938</c:v>
                </c:pt>
                <c:pt idx="6">
                  <c:v>1.7923916894982539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8C2-4F3A-9705-A030B6B36F5D}"/>
            </c:ext>
          </c:extLst>
        </c:ser>
        <c:ser>
          <c:idx val="8"/>
          <c:order val="7"/>
          <c:tx>
            <c:v>0.98</c:v>
          </c:tx>
          <c:spPr>
            <a:ln w="28575">
              <a:noFill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xVal>
            <c:numRef>
              <c:f>Salmonella!$I$406:$I$410</c:f>
              <c:numCache>
                <c:formatCode>General</c:formatCode>
                <c:ptCount val="5"/>
                <c:pt idx="0">
                  <c:v>57.2</c:v>
                </c:pt>
                <c:pt idx="1">
                  <c:v>57.2</c:v>
                </c:pt>
                <c:pt idx="2">
                  <c:v>57.2</c:v>
                </c:pt>
                <c:pt idx="3">
                  <c:v>57.2</c:v>
                </c:pt>
                <c:pt idx="4">
                  <c:v>57.2</c:v>
                </c:pt>
              </c:numCache>
            </c:numRef>
          </c:xVal>
          <c:yVal>
            <c:numRef>
              <c:f>Salmonella!$L$406:$L$410</c:f>
              <c:numCache>
                <c:formatCode>0.00</c:formatCode>
                <c:ptCount val="5"/>
                <c:pt idx="0">
                  <c:v>1.3710678622717363</c:v>
                </c:pt>
                <c:pt idx="1">
                  <c:v>1.6693168805661123</c:v>
                </c:pt>
                <c:pt idx="2">
                  <c:v>1.7781512503836436</c:v>
                </c:pt>
                <c:pt idx="3">
                  <c:v>1.7481880270062005</c:v>
                </c:pt>
                <c:pt idx="4">
                  <c:v>1.8369567370595505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8C2-4F3A-9705-A030B6B36F5D}"/>
            </c:ext>
          </c:extLst>
        </c:ser>
        <c:ser>
          <c:idx val="9"/>
          <c:order val="8"/>
          <c:tx>
            <c:v>0.99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CCFFFF"/>
              </a:solidFill>
              <a:ln>
                <a:solidFill>
                  <a:srgbClr val="CCFFFF"/>
                </a:solidFill>
                <a:prstDash val="solid"/>
              </a:ln>
            </c:spPr>
          </c:marker>
          <c:xVal>
            <c:numRef>
              <c:f>Salmonella!$I$411:$I$425</c:f>
              <c:numCache>
                <c:formatCode>General</c:formatCode>
                <c:ptCount val="15"/>
                <c:pt idx="0">
                  <c:v>57.2</c:v>
                </c:pt>
                <c:pt idx="1">
                  <c:v>57.2</c:v>
                </c:pt>
                <c:pt idx="2">
                  <c:v>57.2</c:v>
                </c:pt>
                <c:pt idx="3">
                  <c:v>57.2</c:v>
                </c:pt>
                <c:pt idx="4">
                  <c:v>57.2</c:v>
                </c:pt>
                <c:pt idx="5">
                  <c:v>57.2</c:v>
                </c:pt>
                <c:pt idx="6">
                  <c:v>57.2</c:v>
                </c:pt>
                <c:pt idx="7">
                  <c:v>57.2</c:v>
                </c:pt>
                <c:pt idx="8">
                  <c:v>57.2</c:v>
                </c:pt>
                <c:pt idx="9">
                  <c:v>57.2</c:v>
                </c:pt>
                <c:pt idx="10">
                  <c:v>57.2</c:v>
                </c:pt>
                <c:pt idx="11">
                  <c:v>57.2</c:v>
                </c:pt>
                <c:pt idx="12">
                  <c:v>57.2</c:v>
                </c:pt>
                <c:pt idx="13">
                  <c:v>57.2</c:v>
                </c:pt>
                <c:pt idx="14">
                  <c:v>57.2</c:v>
                </c:pt>
              </c:numCache>
            </c:numRef>
          </c:xVal>
          <c:yVal>
            <c:numRef>
              <c:f>Salmonella!$L$411:$L$425</c:f>
              <c:numCache>
                <c:formatCode>0.00</c:formatCode>
                <c:ptCount val="15"/>
                <c:pt idx="0">
                  <c:v>1.1553360374650619</c:v>
                </c:pt>
                <c:pt idx="1">
                  <c:v>1.7664128471123994</c:v>
                </c:pt>
                <c:pt idx="2">
                  <c:v>1.7403626894942439</c:v>
                </c:pt>
                <c:pt idx="3">
                  <c:v>1.3283796034387378</c:v>
                </c:pt>
                <c:pt idx="4">
                  <c:v>1.4842998393467859</c:v>
                </c:pt>
                <c:pt idx="5">
                  <c:v>1.4232458739368079</c:v>
                </c:pt>
                <c:pt idx="6">
                  <c:v>1.550228353055094</c:v>
                </c:pt>
                <c:pt idx="7">
                  <c:v>0.72427586960078905</c:v>
                </c:pt>
                <c:pt idx="8">
                  <c:v>1.3010299956639813</c:v>
                </c:pt>
                <c:pt idx="9">
                  <c:v>1.6839471307515121</c:v>
                </c:pt>
                <c:pt idx="10">
                  <c:v>0.97772360528884772</c:v>
                </c:pt>
                <c:pt idx="11">
                  <c:v>1.1553360374650619</c:v>
                </c:pt>
                <c:pt idx="12">
                  <c:v>4.1392685158225077E-2</c:v>
                </c:pt>
                <c:pt idx="13">
                  <c:v>0</c:v>
                </c:pt>
                <c:pt idx="14">
                  <c:v>4.1392685158225077E-2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8C2-4F3A-9705-A030B6B36F5D}"/>
            </c:ext>
          </c:extLst>
        </c:ser>
        <c:ser>
          <c:idx val="10"/>
          <c:order val="9"/>
          <c:tx>
            <c:v>0.995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xVal>
            <c:numRef>
              <c:f>Salmonella!$I$426:$I$430</c:f>
              <c:numCache>
                <c:formatCode>General</c:formatCode>
                <c:ptCount val="5"/>
                <c:pt idx="0">
                  <c:v>57.2</c:v>
                </c:pt>
                <c:pt idx="1">
                  <c:v>57.2</c:v>
                </c:pt>
                <c:pt idx="2">
                  <c:v>57.2</c:v>
                </c:pt>
                <c:pt idx="3">
                  <c:v>57.2</c:v>
                </c:pt>
                <c:pt idx="4">
                  <c:v>57.2</c:v>
                </c:pt>
              </c:numCache>
            </c:numRef>
          </c:xVal>
          <c:yVal>
            <c:numRef>
              <c:f>Salmonella!$L$426:$L$430</c:f>
              <c:numCache>
                <c:formatCode>0.00</c:formatCode>
                <c:ptCount val="5"/>
                <c:pt idx="0">
                  <c:v>-4.5757490560675115E-2</c:v>
                </c:pt>
                <c:pt idx="1">
                  <c:v>4.1392685158225077E-2</c:v>
                </c:pt>
                <c:pt idx="2">
                  <c:v>1.1613680022349748</c:v>
                </c:pt>
                <c:pt idx="3">
                  <c:v>-9.6910013008056392E-2</c:v>
                </c:pt>
                <c:pt idx="4">
                  <c:v>4.1392685158225077E-2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8C2-4F3A-9705-A030B6B36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553264"/>
        <c:axId val="1"/>
      </c:scatterChart>
      <c:valAx>
        <c:axId val="482553264"/>
        <c:scaling>
          <c:orientation val="minMax"/>
          <c:min val="5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T</a:t>
                </a:r>
              </a:p>
            </c:rich>
          </c:tx>
          <c:layout>
            <c:manualLayout>
              <c:xMode val="edge"/>
              <c:yMode val="edge"/>
              <c:x val="0.4872885804528671"/>
              <c:y val="0.8680584718576844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log D</a:t>
                </a:r>
              </a:p>
            </c:rich>
          </c:tx>
          <c:layout>
            <c:manualLayout>
              <c:xMode val="edge"/>
              <c:yMode val="edge"/>
              <c:x val="3.3898305084745763E-2"/>
              <c:y val="0.4652792359288422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825532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8347546599047999"/>
          <c:y val="0.19097295129775446"/>
          <c:w val="0.10169491525423724"/>
          <c:h val="0.7118081073199183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Shigella</a:t>
            </a:r>
          </a:p>
        </c:rich>
      </c:tx>
      <c:layout>
        <c:manualLayout>
          <c:xMode val="edge"/>
          <c:yMode val="edge"/>
          <c:x val="0.44113534744327171"/>
          <c:y val="2.90697674418604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319170156208661"/>
          <c:y val="0.1414731359638747"/>
          <c:w val="0.61985901465399862"/>
          <c:h val="0.67635786919715435"/>
        </c:manualLayout>
      </c:layout>
      <c:scatterChart>
        <c:scatterStyle val="lineMarker"/>
        <c:varyColors val="0"/>
        <c:ser>
          <c:idx val="3"/>
          <c:order val="0"/>
          <c:tx>
            <c:v>Log D (model)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GraphShigella!$A$14:$A$34</c:f>
              <c:numCache>
                <c:formatCode>General</c:formatCode>
                <c:ptCount val="21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GraphShigella!$B$14:$B$34</c:f>
              <c:numCache>
                <c:formatCode>0.00</c:formatCode>
                <c:ptCount val="21"/>
                <c:pt idx="0">
                  <c:v>4.1391168762185702</c:v>
                </c:pt>
                <c:pt idx="1">
                  <c:v>3.9042154715809203</c:v>
                </c:pt>
                <c:pt idx="2">
                  <c:v>3.6693140669432709</c:v>
                </c:pt>
                <c:pt idx="3">
                  <c:v>3.434412662305621</c:v>
                </c:pt>
                <c:pt idx="4">
                  <c:v>3.1995112576679716</c:v>
                </c:pt>
                <c:pt idx="5">
                  <c:v>1.3203000205667741</c:v>
                </c:pt>
                <c:pt idx="6">
                  <c:v>1.0853986159291242</c:v>
                </c:pt>
                <c:pt idx="7">
                  <c:v>0.85049721129147482</c:v>
                </c:pt>
                <c:pt idx="8">
                  <c:v>0.61559580665382496</c:v>
                </c:pt>
                <c:pt idx="9">
                  <c:v>0.3806944020161751</c:v>
                </c:pt>
                <c:pt idx="10">
                  <c:v>0.14579299737852569</c:v>
                </c:pt>
                <c:pt idx="11">
                  <c:v>-8.9108407259123723E-2</c:v>
                </c:pt>
                <c:pt idx="12">
                  <c:v>-0.32400981189677402</c:v>
                </c:pt>
                <c:pt idx="13">
                  <c:v>-0.55891121653442344</c:v>
                </c:pt>
                <c:pt idx="14">
                  <c:v>-0.79381262117207285</c:v>
                </c:pt>
                <c:pt idx="15">
                  <c:v>-1.0287140258097232</c:v>
                </c:pt>
                <c:pt idx="16">
                  <c:v>-1.2636154304473726</c:v>
                </c:pt>
                <c:pt idx="17">
                  <c:v>-1.498516835085022</c:v>
                </c:pt>
                <c:pt idx="18">
                  <c:v>-1.7334182397226723</c:v>
                </c:pt>
                <c:pt idx="19">
                  <c:v>-1.9683196443603217</c:v>
                </c:pt>
                <c:pt idx="20">
                  <c:v>-2.2032210489979711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04-419A-8CEF-B94599741FCA}"/>
            </c:ext>
          </c:extLst>
        </c:ser>
        <c:ser>
          <c:idx val="9"/>
          <c:order val="1"/>
          <c:tx>
            <c:v>95% cfi</c:v>
          </c:tx>
          <c:spPr>
            <a:ln w="25400">
              <a:solidFill>
                <a:srgbClr val="000080"/>
              </a:solidFill>
              <a:prstDash val="lgDash"/>
            </a:ln>
          </c:spPr>
          <c:marker>
            <c:symbol val="none"/>
          </c:marker>
          <c:xVal>
            <c:numRef>
              <c:f>GraphShigella!$A$14:$A$34</c:f>
              <c:numCache>
                <c:formatCode>General</c:formatCode>
                <c:ptCount val="21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GraphShigella!$C$14:$C$34</c:f>
              <c:numCache>
                <c:formatCode>0.00</c:formatCode>
                <c:ptCount val="21"/>
                <c:pt idx="0">
                  <c:v>5.0777324648182116</c:v>
                </c:pt>
                <c:pt idx="1">
                  <c:v>4.8428310601805613</c:v>
                </c:pt>
                <c:pt idx="2">
                  <c:v>4.6079296555429119</c:v>
                </c:pt>
                <c:pt idx="3">
                  <c:v>4.3730282509052625</c:v>
                </c:pt>
                <c:pt idx="4">
                  <c:v>4.1381268462676131</c:v>
                </c:pt>
                <c:pt idx="5">
                  <c:v>2.2589156091664151</c:v>
                </c:pt>
                <c:pt idx="6">
                  <c:v>2.0240142045287657</c:v>
                </c:pt>
                <c:pt idx="7">
                  <c:v>1.789112799891116</c:v>
                </c:pt>
                <c:pt idx="8">
                  <c:v>1.5542113952534662</c:v>
                </c:pt>
                <c:pt idx="9">
                  <c:v>1.3193099906158163</c:v>
                </c:pt>
                <c:pt idx="10">
                  <c:v>1.0844085859781669</c:v>
                </c:pt>
                <c:pt idx="11">
                  <c:v>0.8495071813405175</c:v>
                </c:pt>
                <c:pt idx="12">
                  <c:v>0.6146057767028672</c:v>
                </c:pt>
                <c:pt idx="13">
                  <c:v>0.37970437206521779</c:v>
                </c:pt>
                <c:pt idx="14">
                  <c:v>0.14480296742756837</c:v>
                </c:pt>
                <c:pt idx="15">
                  <c:v>-9.0098437210081928E-2</c:v>
                </c:pt>
                <c:pt idx="16">
                  <c:v>-0.32499984184773134</c:v>
                </c:pt>
                <c:pt idx="17">
                  <c:v>-0.55990124648538075</c:v>
                </c:pt>
                <c:pt idx="18">
                  <c:v>-0.79480265112303106</c:v>
                </c:pt>
                <c:pt idx="19">
                  <c:v>-1.0297040557606805</c:v>
                </c:pt>
                <c:pt idx="20">
                  <c:v>-1.2646054603983299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604-419A-8CEF-B94599741FCA}"/>
            </c:ext>
          </c:extLst>
        </c:ser>
        <c:ser>
          <c:idx val="0"/>
          <c:order val="2"/>
          <c:tx>
            <c:v>BHI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Shigella!$H$2:$H$58</c:f>
              <c:numCache>
                <c:formatCode>General</c:formatCode>
                <c:ptCount val="57"/>
                <c:pt idx="0">
                  <c:v>37</c:v>
                </c:pt>
                <c:pt idx="1">
                  <c:v>37</c:v>
                </c:pt>
                <c:pt idx="2">
                  <c:v>37</c:v>
                </c:pt>
                <c:pt idx="3">
                  <c:v>37</c:v>
                </c:pt>
                <c:pt idx="4">
                  <c:v>37</c:v>
                </c:pt>
                <c:pt idx="5">
                  <c:v>37</c:v>
                </c:pt>
                <c:pt idx="6">
                  <c:v>37</c:v>
                </c:pt>
                <c:pt idx="7">
                  <c:v>28</c:v>
                </c:pt>
                <c:pt idx="8">
                  <c:v>28</c:v>
                </c:pt>
                <c:pt idx="9">
                  <c:v>28</c:v>
                </c:pt>
                <c:pt idx="10">
                  <c:v>28</c:v>
                </c:pt>
                <c:pt idx="11">
                  <c:v>28</c:v>
                </c:pt>
                <c:pt idx="12">
                  <c:v>28</c:v>
                </c:pt>
                <c:pt idx="13">
                  <c:v>28</c:v>
                </c:pt>
                <c:pt idx="14">
                  <c:v>19</c:v>
                </c:pt>
                <c:pt idx="15">
                  <c:v>19</c:v>
                </c:pt>
                <c:pt idx="16">
                  <c:v>19</c:v>
                </c:pt>
                <c:pt idx="17">
                  <c:v>19</c:v>
                </c:pt>
                <c:pt idx="18">
                  <c:v>19</c:v>
                </c:pt>
                <c:pt idx="19">
                  <c:v>19</c:v>
                </c:pt>
                <c:pt idx="20">
                  <c:v>19</c:v>
                </c:pt>
                <c:pt idx="21">
                  <c:v>19</c:v>
                </c:pt>
                <c:pt idx="22">
                  <c:v>12</c:v>
                </c:pt>
                <c:pt idx="23">
                  <c:v>12</c:v>
                </c:pt>
                <c:pt idx="24">
                  <c:v>12</c:v>
                </c:pt>
                <c:pt idx="25">
                  <c:v>12</c:v>
                </c:pt>
                <c:pt idx="26">
                  <c:v>37</c:v>
                </c:pt>
                <c:pt idx="27">
                  <c:v>37</c:v>
                </c:pt>
                <c:pt idx="28">
                  <c:v>37</c:v>
                </c:pt>
                <c:pt idx="29">
                  <c:v>37</c:v>
                </c:pt>
                <c:pt idx="30">
                  <c:v>37</c:v>
                </c:pt>
                <c:pt idx="31">
                  <c:v>37</c:v>
                </c:pt>
                <c:pt idx="32">
                  <c:v>28</c:v>
                </c:pt>
                <c:pt idx="33">
                  <c:v>28</c:v>
                </c:pt>
                <c:pt idx="34">
                  <c:v>28</c:v>
                </c:pt>
                <c:pt idx="35">
                  <c:v>28</c:v>
                </c:pt>
                <c:pt idx="36">
                  <c:v>28</c:v>
                </c:pt>
                <c:pt idx="37">
                  <c:v>28</c:v>
                </c:pt>
                <c:pt idx="38">
                  <c:v>19</c:v>
                </c:pt>
                <c:pt idx="39">
                  <c:v>19</c:v>
                </c:pt>
                <c:pt idx="40">
                  <c:v>19</c:v>
                </c:pt>
                <c:pt idx="41">
                  <c:v>19</c:v>
                </c:pt>
                <c:pt idx="42">
                  <c:v>19</c:v>
                </c:pt>
                <c:pt idx="43">
                  <c:v>19</c:v>
                </c:pt>
                <c:pt idx="44">
                  <c:v>12</c:v>
                </c:pt>
                <c:pt idx="45">
                  <c:v>12</c:v>
                </c:pt>
                <c:pt idx="46">
                  <c:v>12</c:v>
                </c:pt>
                <c:pt idx="47">
                  <c:v>12</c:v>
                </c:pt>
                <c:pt idx="48">
                  <c:v>19</c:v>
                </c:pt>
                <c:pt idx="49">
                  <c:v>19</c:v>
                </c:pt>
                <c:pt idx="50">
                  <c:v>19</c:v>
                </c:pt>
                <c:pt idx="51">
                  <c:v>28</c:v>
                </c:pt>
                <c:pt idx="52">
                  <c:v>28</c:v>
                </c:pt>
                <c:pt idx="53">
                  <c:v>28</c:v>
                </c:pt>
                <c:pt idx="54" formatCode="0">
                  <c:v>37</c:v>
                </c:pt>
                <c:pt idx="55" formatCode="0">
                  <c:v>37</c:v>
                </c:pt>
                <c:pt idx="56" formatCode="0">
                  <c:v>37</c:v>
                </c:pt>
              </c:numCache>
            </c:numRef>
          </c:xVal>
          <c:yVal>
            <c:numRef>
              <c:f>Shigella!$K$2:$K$58</c:f>
              <c:numCache>
                <c:formatCode>0.00</c:formatCode>
                <c:ptCount val="57"/>
                <c:pt idx="0">
                  <c:v>2.9536630637470913</c:v>
                </c:pt>
                <c:pt idx="1">
                  <c:v>3.0937017848055484</c:v>
                </c:pt>
                <c:pt idx="2">
                  <c:v>3.1778249718646818</c:v>
                </c:pt>
                <c:pt idx="3">
                  <c:v>3.186391215695493</c:v>
                </c:pt>
                <c:pt idx="4">
                  <c:v>3.4999618655961902</c:v>
                </c:pt>
                <c:pt idx="5">
                  <c:v>3.5475285764597819</c:v>
                </c:pt>
                <c:pt idx="6">
                  <c:v>3.1341771075767664</c:v>
                </c:pt>
                <c:pt idx="7">
                  <c:v>3.5624831984057921</c:v>
                </c:pt>
                <c:pt idx="8">
                  <c:v>3.6503075231319366</c:v>
                </c:pt>
                <c:pt idx="9">
                  <c:v>3.6440839185768295</c:v>
                </c:pt>
                <c:pt idx="10">
                  <c:v>3.7191654940892134</c:v>
                </c:pt>
                <c:pt idx="11">
                  <c:v>3.7136585162083566</c:v>
                </c:pt>
                <c:pt idx="12">
                  <c:v>3.6366884479532828</c:v>
                </c:pt>
                <c:pt idx="13">
                  <c:v>3.8870543780509568</c:v>
                </c:pt>
                <c:pt idx="14">
                  <c:v>3.7943486038960827</c:v>
                </c:pt>
                <c:pt idx="15">
                  <c:v>4.0041837537286025</c:v>
                </c:pt>
                <c:pt idx="16">
                  <c:v>3.9003671286564705</c:v>
                </c:pt>
                <c:pt idx="17">
                  <c:v>3.8017329080485833</c:v>
                </c:pt>
                <c:pt idx="18">
                  <c:v>3.0523090996473234</c:v>
                </c:pt>
                <c:pt idx="19">
                  <c:v>4.0619046337161704</c:v>
                </c:pt>
                <c:pt idx="20">
                  <c:v>3.8680563618230415</c:v>
                </c:pt>
                <c:pt idx="21">
                  <c:v>4.2053126533096092</c:v>
                </c:pt>
                <c:pt idx="22">
                  <c:v>4.2729456788120102</c:v>
                </c:pt>
                <c:pt idx="23">
                  <c:v>4.3724553857583777</c:v>
                </c:pt>
                <c:pt idx="24">
                  <c:v>4.2107678342874335</c:v>
                </c:pt>
                <c:pt idx="25">
                  <c:v>4.3494640300128378</c:v>
                </c:pt>
                <c:pt idx="26">
                  <c:v>2.9454685851318199</c:v>
                </c:pt>
                <c:pt idx="27">
                  <c:v>2.8131805325860118</c:v>
                </c:pt>
                <c:pt idx="28">
                  <c:v>2.8273692730538253</c:v>
                </c:pt>
                <c:pt idx="29">
                  <c:v>2.6668922110665361</c:v>
                </c:pt>
                <c:pt idx="30">
                  <c:v>2.8987251815894934</c:v>
                </c:pt>
                <c:pt idx="31">
                  <c:v>2.8529676910288182</c:v>
                </c:pt>
                <c:pt idx="32">
                  <c:v>3.4913056522209418</c:v>
                </c:pt>
                <c:pt idx="33">
                  <c:v>3.2095150145426308</c:v>
                </c:pt>
                <c:pt idx="34">
                  <c:v>3.2638726768652235</c:v>
                </c:pt>
                <c:pt idx="35">
                  <c:v>3.1443873741019366</c:v>
                </c:pt>
                <c:pt idx="36">
                  <c:v>3.3075816047506295</c:v>
                </c:pt>
                <c:pt idx="37">
                  <c:v>3.3465876648005288</c:v>
                </c:pt>
                <c:pt idx="38">
                  <c:v>3.8886062748446593</c:v>
                </c:pt>
                <c:pt idx="39">
                  <c:v>3.7846172926328752</c:v>
                </c:pt>
                <c:pt idx="40">
                  <c:v>3.7952680998224571</c:v>
                </c:pt>
                <c:pt idx="41">
                  <c:v>3.7377649614546877</c:v>
                </c:pt>
                <c:pt idx="42">
                  <c:v>3.7977659660750609</c:v>
                </c:pt>
                <c:pt idx="43">
                  <c:v>3.8194649657295039</c:v>
                </c:pt>
                <c:pt idx="44">
                  <c:v>2.9594230219431052</c:v>
                </c:pt>
                <c:pt idx="45">
                  <c:v>3.7641163286885146</c:v>
                </c:pt>
                <c:pt idx="46">
                  <c:v>4.3435267530977173</c:v>
                </c:pt>
                <c:pt idx="47">
                  <c:v>4.6593189910956028</c:v>
                </c:pt>
                <c:pt idx="48">
                  <c:v>2.529430354366986</c:v>
                </c:pt>
                <c:pt idx="49">
                  <c:v>3.43539838026736</c:v>
                </c:pt>
                <c:pt idx="50">
                  <c:v>3.7106250150607969</c:v>
                </c:pt>
                <c:pt idx="51">
                  <c:v>1.8573324964312685</c:v>
                </c:pt>
                <c:pt idx="52">
                  <c:v>3.1391231341095795</c:v>
                </c:pt>
                <c:pt idx="53">
                  <c:v>3.5866323069495945</c:v>
                </c:pt>
                <c:pt idx="54">
                  <c:v>1.3096301674258988</c:v>
                </c:pt>
                <c:pt idx="55">
                  <c:v>2.1547282074401557</c:v>
                </c:pt>
                <c:pt idx="56">
                  <c:v>2.9484129657786009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604-419A-8CEF-B94599741FCA}"/>
            </c:ext>
          </c:extLst>
        </c:ser>
        <c:ser>
          <c:idx val="1"/>
          <c:order val="3"/>
          <c:tx>
            <c:v>Tomato juice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Shigella!$H$59:$H$60</c:f>
              <c:numCache>
                <c:formatCode>General</c:formatCode>
                <c:ptCount val="2"/>
                <c:pt idx="0">
                  <c:v>24</c:v>
                </c:pt>
                <c:pt idx="1">
                  <c:v>24</c:v>
                </c:pt>
              </c:numCache>
            </c:numRef>
          </c:xVal>
          <c:yVal>
            <c:numRef>
              <c:f>Shigella!$K$59:$K$60</c:f>
              <c:numCache>
                <c:formatCode>0.00</c:formatCode>
                <c:ptCount val="2"/>
                <c:pt idx="0">
                  <c:v>3.4014005407815442</c:v>
                </c:pt>
                <c:pt idx="1">
                  <c:v>3.5563025007672873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604-419A-8CEF-B94599741FCA}"/>
            </c:ext>
          </c:extLst>
        </c:ser>
        <c:ser>
          <c:idx val="2"/>
          <c:order val="4"/>
          <c:tx>
            <c:v>Orange juice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Shigella!$H$61:$H$62</c:f>
              <c:numCache>
                <c:formatCode>General</c:formatCode>
                <c:ptCount val="2"/>
                <c:pt idx="0">
                  <c:v>24</c:v>
                </c:pt>
                <c:pt idx="1">
                  <c:v>24</c:v>
                </c:pt>
              </c:numCache>
            </c:numRef>
          </c:xVal>
          <c:yVal>
            <c:numRef>
              <c:f>Shigella!$K$61:$K$62</c:f>
              <c:numCache>
                <c:formatCode>0.00</c:formatCode>
                <c:ptCount val="2"/>
                <c:pt idx="0">
                  <c:v>2.9153244434089554</c:v>
                </c:pt>
                <c:pt idx="1">
                  <c:v>3.4014005407815442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604-419A-8CEF-B94599741FCA}"/>
            </c:ext>
          </c:extLst>
        </c:ser>
        <c:ser>
          <c:idx val="4"/>
          <c:order val="5"/>
          <c:tx>
            <c:v>Apple juice</c:v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Shigella!$H$63:$H$64</c:f>
              <c:numCache>
                <c:formatCode>General</c:formatCode>
                <c:ptCount val="2"/>
                <c:pt idx="0">
                  <c:v>24</c:v>
                </c:pt>
                <c:pt idx="1">
                  <c:v>24</c:v>
                </c:pt>
              </c:numCache>
            </c:numRef>
          </c:xVal>
          <c:yVal>
            <c:numRef>
              <c:f>Shigella!$K$63:$K$64</c:f>
              <c:numCache>
                <c:formatCode>0.00</c:formatCode>
                <c:ptCount val="2"/>
                <c:pt idx="0">
                  <c:v>2.8573324964312685</c:v>
                </c:pt>
                <c:pt idx="1">
                  <c:v>3.5563025007672873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604-419A-8CEF-B94599741FCA}"/>
            </c:ext>
          </c:extLst>
        </c:ser>
        <c:ser>
          <c:idx val="5"/>
          <c:order val="6"/>
          <c:tx>
            <c:v>Lemon juice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Shigella!$H$65</c:f>
              <c:numCache>
                <c:formatCode>General</c:formatCode>
                <c:ptCount val="1"/>
                <c:pt idx="0">
                  <c:v>24</c:v>
                </c:pt>
              </c:numCache>
            </c:numRef>
          </c:xVal>
          <c:yVal>
            <c:numRef>
              <c:f>Shigella!$K$65</c:f>
              <c:numCache>
                <c:formatCode>0.00</c:formatCode>
                <c:ptCount val="1"/>
                <c:pt idx="0">
                  <c:v>2.5563025007672873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604-419A-8CEF-B94599741F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037080"/>
        <c:axId val="1"/>
      </c:scatterChart>
      <c:valAx>
        <c:axId val="484037080"/>
        <c:scaling>
          <c:orientation val="minMax"/>
          <c:max val="50"/>
          <c:min val="10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16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T (</a:t>
                </a:r>
                <a:r>
                  <a:rPr lang="nl-NL" sz="16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°</a:t>
                </a:r>
                <a:r>
                  <a:rPr lang="nl-NL" sz="16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C)</a:t>
                </a:r>
              </a:p>
            </c:rich>
          </c:tx>
          <c:layout>
            <c:manualLayout>
              <c:xMode val="edge"/>
              <c:yMode val="edge"/>
              <c:x val="0.41985875169859083"/>
              <c:y val="0.916668497833119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  <c:majorUnit val="10"/>
      </c:valAx>
      <c:valAx>
        <c:axId val="1"/>
        <c:scaling>
          <c:orientation val="minMax"/>
          <c:max val="6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Log D (log min)</a:t>
                </a:r>
              </a:p>
            </c:rich>
          </c:tx>
          <c:layout>
            <c:manualLayout>
              <c:xMode val="edge"/>
              <c:yMode val="edge"/>
              <c:x val="7.0921985815602835E-3"/>
              <c:y val="0.3275199902337789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8403708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0496558142998078"/>
          <c:y val="0.16472908909642109"/>
          <c:w val="0.28510682973139001"/>
          <c:h val="0.4282953874951677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Staph aureus</a:t>
            </a:r>
          </a:p>
        </c:rich>
      </c:tx>
      <c:layout>
        <c:manualLayout>
          <c:xMode val="edge"/>
          <c:yMode val="edge"/>
          <c:x val="0.4177362893815636"/>
          <c:y val="2.90697674418604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652275379229872"/>
          <c:y val="0.14534911229165207"/>
          <c:w val="0.56476079346557762"/>
          <c:h val="0.73255952594992646"/>
        </c:manualLayout>
      </c:layout>
      <c:scatterChart>
        <c:scatterStyle val="lineMarker"/>
        <c:varyColors val="0"/>
        <c:ser>
          <c:idx val="0"/>
          <c:order val="0"/>
          <c:tx>
            <c:v>Beef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333333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xVal>
            <c:numRef>
              <c:f>Staphaureus!$H$95:$H$98</c:f>
              <c:numCache>
                <c:formatCode>General</c:formatCode>
                <c:ptCount val="4"/>
                <c:pt idx="0">
                  <c:v>60</c:v>
                </c:pt>
                <c:pt idx="1">
                  <c:v>65.5</c:v>
                </c:pt>
                <c:pt idx="2">
                  <c:v>60</c:v>
                </c:pt>
                <c:pt idx="3">
                  <c:v>65.5</c:v>
                </c:pt>
              </c:numCache>
            </c:numRef>
          </c:xVal>
          <c:yVal>
            <c:numRef>
              <c:f>Staphaureus!$K$95:$K$98</c:f>
              <c:numCache>
                <c:formatCode>0.00</c:formatCode>
                <c:ptCount val="4"/>
                <c:pt idx="0">
                  <c:v>0.34202768808747175</c:v>
                </c:pt>
                <c:pt idx="1">
                  <c:v>-0.52870828894106148</c:v>
                </c:pt>
                <c:pt idx="2">
                  <c:v>0.49009900506330495</c:v>
                </c:pt>
                <c:pt idx="3">
                  <c:v>-0.79588001734407521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07-4723-A043-6DCAFD8258C4}"/>
            </c:ext>
          </c:extLst>
        </c:ser>
        <c:ser>
          <c:idx val="13"/>
          <c:order val="1"/>
          <c:tx>
            <c:v>poultry</c:v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FF99CC"/>
                </a:solidFill>
                <a:prstDash val="solid"/>
              </a:ln>
            </c:spPr>
          </c:marker>
          <c:dPt>
            <c:idx val="0"/>
            <c:marker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F407-4723-A043-6DCAFD8258C4}"/>
              </c:ext>
            </c:extLst>
          </c:dPt>
          <c:xVal>
            <c:numRef>
              <c:f>Staphaureus!$H$111:$H$113</c:f>
              <c:numCache>
                <c:formatCode>General</c:formatCode>
                <c:ptCount val="3"/>
                <c:pt idx="0">
                  <c:v>50</c:v>
                </c:pt>
                <c:pt idx="1">
                  <c:v>55</c:v>
                </c:pt>
                <c:pt idx="2">
                  <c:v>60</c:v>
                </c:pt>
              </c:numCache>
            </c:numRef>
          </c:xVal>
          <c:yVal>
            <c:numRef>
              <c:f>Staphaureus!$K$111:$K$113</c:f>
              <c:numCache>
                <c:formatCode>0.00</c:formatCode>
                <c:ptCount val="3"/>
                <c:pt idx="0">
                  <c:v>1.5327543789924978</c:v>
                </c:pt>
                <c:pt idx="1">
                  <c:v>1.1238516409670858</c:v>
                </c:pt>
                <c:pt idx="2">
                  <c:v>0.77085201164214423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407-4723-A043-6DCAFD8258C4}"/>
            </c:ext>
          </c:extLst>
        </c:ser>
        <c:ser>
          <c:idx val="1"/>
          <c:order val="2"/>
          <c:tx>
            <c:v>BHI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Staphaureus!$H$115:$H$116</c:f>
              <c:numCache>
                <c:formatCode>General</c:formatCode>
                <c:ptCount val="2"/>
                <c:pt idx="0">
                  <c:v>55</c:v>
                </c:pt>
                <c:pt idx="1">
                  <c:v>55</c:v>
                </c:pt>
              </c:numCache>
            </c:numRef>
          </c:xVal>
          <c:yVal>
            <c:numRef>
              <c:f>Staphaureus!$K$115:$K$116</c:f>
              <c:numCache>
                <c:formatCode>0.00</c:formatCode>
                <c:ptCount val="2"/>
                <c:pt idx="0">
                  <c:v>1.0644579892269184</c:v>
                </c:pt>
                <c:pt idx="1">
                  <c:v>1.2504200023088941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407-4723-A043-6DCAFD8258C4}"/>
            </c:ext>
          </c:extLst>
        </c:ser>
        <c:ser>
          <c:idx val="2"/>
          <c:order val="3"/>
          <c:tx>
            <c:v>Buffer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(Staphaureus!$H$121:$H$165,Staphaureus!$H$170:$H$193)</c:f>
              <c:numCache>
                <c:formatCode>General</c:formatCode>
                <c:ptCount val="69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60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60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60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49</c:v>
                </c:pt>
                <c:pt idx="46">
                  <c:v>49</c:v>
                </c:pt>
                <c:pt idx="47">
                  <c:v>49</c:v>
                </c:pt>
                <c:pt idx="48">
                  <c:v>49</c:v>
                </c:pt>
                <c:pt idx="49">
                  <c:v>52</c:v>
                </c:pt>
                <c:pt idx="50">
                  <c:v>52</c:v>
                </c:pt>
                <c:pt idx="51">
                  <c:v>52</c:v>
                </c:pt>
                <c:pt idx="52">
                  <c:v>52</c:v>
                </c:pt>
                <c:pt idx="53">
                  <c:v>54</c:v>
                </c:pt>
                <c:pt idx="54">
                  <c:v>54</c:v>
                </c:pt>
                <c:pt idx="55">
                  <c:v>54</c:v>
                </c:pt>
                <c:pt idx="56">
                  <c:v>54</c:v>
                </c:pt>
                <c:pt idx="57">
                  <c:v>57</c:v>
                </c:pt>
                <c:pt idx="58">
                  <c:v>57</c:v>
                </c:pt>
                <c:pt idx="59">
                  <c:v>57</c:v>
                </c:pt>
                <c:pt idx="60">
                  <c:v>57</c:v>
                </c:pt>
                <c:pt idx="61">
                  <c:v>60</c:v>
                </c:pt>
                <c:pt idx="62">
                  <c:v>60</c:v>
                </c:pt>
                <c:pt idx="63">
                  <c:v>60</c:v>
                </c:pt>
                <c:pt idx="64">
                  <c:v>60</c:v>
                </c:pt>
                <c:pt idx="65">
                  <c:v>63</c:v>
                </c:pt>
                <c:pt idx="66">
                  <c:v>63</c:v>
                </c:pt>
                <c:pt idx="67">
                  <c:v>63</c:v>
                </c:pt>
                <c:pt idx="68">
                  <c:v>63</c:v>
                </c:pt>
              </c:numCache>
            </c:numRef>
          </c:xVal>
          <c:yVal>
            <c:numRef>
              <c:f>(Staphaureus!$K$121:$K$165,Staphaureus!$K$170:$K$193)</c:f>
              <c:numCache>
                <c:formatCode>0.00</c:formatCode>
                <c:ptCount val="69"/>
                <c:pt idx="0">
                  <c:v>-2.2276394711152253E-2</c:v>
                </c:pt>
                <c:pt idx="1">
                  <c:v>7.554696139253074E-2</c:v>
                </c:pt>
                <c:pt idx="2">
                  <c:v>0.3010299956639812</c:v>
                </c:pt>
                <c:pt idx="3">
                  <c:v>0.42651126136457523</c:v>
                </c:pt>
                <c:pt idx="4">
                  <c:v>0.47567118832442967</c:v>
                </c:pt>
                <c:pt idx="5">
                  <c:v>0.26245108973042947</c:v>
                </c:pt>
                <c:pt idx="6">
                  <c:v>6.8185861746161619E-2</c:v>
                </c:pt>
                <c:pt idx="7">
                  <c:v>0.20411998265592479</c:v>
                </c:pt>
                <c:pt idx="8">
                  <c:v>0.26717172840301384</c:v>
                </c:pt>
                <c:pt idx="9">
                  <c:v>0.64738297011461987</c:v>
                </c:pt>
                <c:pt idx="10">
                  <c:v>-3.1517051446064863E-2</c:v>
                </c:pt>
                <c:pt idx="11">
                  <c:v>2.5305865264770262E-2</c:v>
                </c:pt>
                <c:pt idx="12">
                  <c:v>0.25527250510330607</c:v>
                </c:pt>
                <c:pt idx="13">
                  <c:v>0.42324587393680785</c:v>
                </c:pt>
                <c:pt idx="14">
                  <c:v>0.88252453795488051</c:v>
                </c:pt>
                <c:pt idx="15">
                  <c:v>7.1882007306125359E-2</c:v>
                </c:pt>
                <c:pt idx="16">
                  <c:v>7.554696139253074E-2</c:v>
                </c:pt>
                <c:pt idx="17">
                  <c:v>0.6599162000698503</c:v>
                </c:pt>
                <c:pt idx="18">
                  <c:v>0.71767050300226209</c:v>
                </c:pt>
                <c:pt idx="19">
                  <c:v>0.80140371001735511</c:v>
                </c:pt>
                <c:pt idx="20">
                  <c:v>0.13353890837021754</c:v>
                </c:pt>
                <c:pt idx="21">
                  <c:v>0.14612803567823801</c:v>
                </c:pt>
                <c:pt idx="22">
                  <c:v>0.82672252016899206</c:v>
                </c:pt>
                <c:pt idx="23">
                  <c:v>0.88252453795488051</c:v>
                </c:pt>
                <c:pt idx="24">
                  <c:v>0.92064500140678762</c:v>
                </c:pt>
                <c:pt idx="25">
                  <c:v>-2.2276394711152253E-2</c:v>
                </c:pt>
                <c:pt idx="26">
                  <c:v>0.20411998265592479</c:v>
                </c:pt>
                <c:pt idx="27">
                  <c:v>0.78247262416628616</c:v>
                </c:pt>
                <c:pt idx="28">
                  <c:v>0.93550726582471277</c:v>
                </c:pt>
                <c:pt idx="29">
                  <c:v>1.0603200286882852</c:v>
                </c:pt>
                <c:pt idx="30">
                  <c:v>7.9181246047624818E-2</c:v>
                </c:pt>
                <c:pt idx="31">
                  <c:v>-7.0581074285707285E-2</c:v>
                </c:pt>
                <c:pt idx="32">
                  <c:v>5.3078443483419682E-2</c:v>
                </c:pt>
                <c:pt idx="33">
                  <c:v>0.19589965240923377</c:v>
                </c:pt>
                <c:pt idx="34">
                  <c:v>0.26245108973042947</c:v>
                </c:pt>
                <c:pt idx="35">
                  <c:v>-4.3648054024500883E-3</c:v>
                </c:pt>
                <c:pt idx="36">
                  <c:v>0</c:v>
                </c:pt>
                <c:pt idx="37">
                  <c:v>7.9181246047624818E-2</c:v>
                </c:pt>
                <c:pt idx="38">
                  <c:v>0.22271647114758325</c:v>
                </c:pt>
                <c:pt idx="39">
                  <c:v>8.6359830674748214E-2</c:v>
                </c:pt>
                <c:pt idx="40">
                  <c:v>0.18752072083646307</c:v>
                </c:pt>
                <c:pt idx="41">
                  <c:v>4.3213737826425782E-3</c:v>
                </c:pt>
                <c:pt idx="42">
                  <c:v>0.22271647114758325</c:v>
                </c:pt>
                <c:pt idx="43">
                  <c:v>0.21484384804769785</c:v>
                </c:pt>
                <c:pt idx="44">
                  <c:v>-6.5501548756432285E-2</c:v>
                </c:pt>
                <c:pt idx="45">
                  <c:v>0.97772360528884772</c:v>
                </c:pt>
                <c:pt idx="46">
                  <c:v>1.4014005407815442</c:v>
                </c:pt>
                <c:pt idx="47">
                  <c:v>1.6242820958356683</c:v>
                </c:pt>
                <c:pt idx="48">
                  <c:v>1.3820170425748683</c:v>
                </c:pt>
                <c:pt idx="49">
                  <c:v>0.80617997398388719</c:v>
                </c:pt>
                <c:pt idx="50">
                  <c:v>1.2455126678141499</c:v>
                </c:pt>
                <c:pt idx="51">
                  <c:v>1.2810333672477277</c:v>
                </c:pt>
                <c:pt idx="52">
                  <c:v>1.3096301674258988</c:v>
                </c:pt>
                <c:pt idx="53">
                  <c:v>0.69019608002851374</c:v>
                </c:pt>
                <c:pt idx="54">
                  <c:v>0.9242792860618817</c:v>
                </c:pt>
                <c:pt idx="55">
                  <c:v>1.0755469613925308</c:v>
                </c:pt>
                <c:pt idx="56">
                  <c:v>0.93449845124356767</c:v>
                </c:pt>
                <c:pt idx="57">
                  <c:v>0.25527250510330607</c:v>
                </c:pt>
                <c:pt idx="58">
                  <c:v>0.51851393987788741</c:v>
                </c:pt>
                <c:pt idx="59">
                  <c:v>0.95904139232109353</c:v>
                </c:pt>
                <c:pt idx="60">
                  <c:v>0.75587485567249146</c:v>
                </c:pt>
                <c:pt idx="61">
                  <c:v>0</c:v>
                </c:pt>
                <c:pt idx="62">
                  <c:v>0.14612803567823801</c:v>
                </c:pt>
                <c:pt idx="63">
                  <c:v>0.3979400086720376</c:v>
                </c:pt>
                <c:pt idx="64">
                  <c:v>4.1392685158225077E-2</c:v>
                </c:pt>
                <c:pt idx="65">
                  <c:v>-0.3979400086720376</c:v>
                </c:pt>
                <c:pt idx="66">
                  <c:v>0.11394335230683679</c:v>
                </c:pt>
                <c:pt idx="67">
                  <c:v>4.1392685158225077E-2</c:v>
                </c:pt>
                <c:pt idx="68">
                  <c:v>-0.15490195998574319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407-4723-A043-6DCAFD8258C4}"/>
            </c:ext>
          </c:extLst>
        </c:ser>
        <c:ser>
          <c:idx val="8"/>
          <c:order val="4"/>
          <c:tx>
            <c:v>Mackerel and oil</c:v>
          </c:tx>
          <c:spPr>
            <a:ln w="28575">
              <a:noFill/>
            </a:ln>
          </c:spPr>
          <c:marker>
            <c:symbol val="dash"/>
            <c:size val="5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Staphaureus!$H$64:$H$94</c:f>
              <c:numCache>
                <c:formatCode>General</c:formatCode>
                <c:ptCount val="31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50</c:v>
                </c:pt>
                <c:pt idx="5">
                  <c:v>50</c:v>
                </c:pt>
                <c:pt idx="6">
                  <c:v>55</c:v>
                </c:pt>
                <c:pt idx="7">
                  <c:v>55</c:v>
                </c:pt>
                <c:pt idx="8">
                  <c:v>58</c:v>
                </c:pt>
                <c:pt idx="9">
                  <c:v>60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70</c:v>
                </c:pt>
                <c:pt idx="14">
                  <c:v>75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60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60</c:v>
                </c:pt>
              </c:numCache>
            </c:numRef>
          </c:xVal>
          <c:yVal>
            <c:numRef>
              <c:f>Staphaureus!$K$64:$K$94</c:f>
              <c:numCache>
                <c:formatCode>0.00</c:formatCode>
                <c:ptCount val="31"/>
                <c:pt idx="0">
                  <c:v>0.69897000433601886</c:v>
                </c:pt>
                <c:pt idx="1">
                  <c:v>0.84509804001425681</c:v>
                </c:pt>
                <c:pt idx="2">
                  <c:v>0.78532983501076703</c:v>
                </c:pt>
                <c:pt idx="3">
                  <c:v>0.54406804435027567</c:v>
                </c:pt>
                <c:pt idx="4">
                  <c:v>2.0400000000000005</c:v>
                </c:pt>
                <c:pt idx="5">
                  <c:v>1.9300000000000002</c:v>
                </c:pt>
                <c:pt idx="6">
                  <c:v>1.7700000000000005</c:v>
                </c:pt>
                <c:pt idx="7">
                  <c:v>1.51</c:v>
                </c:pt>
                <c:pt idx="8">
                  <c:v>1.2200000000000002</c:v>
                </c:pt>
                <c:pt idx="9">
                  <c:v>0.82000000000000006</c:v>
                </c:pt>
                <c:pt idx="10">
                  <c:v>0.73000000000000009</c:v>
                </c:pt>
                <c:pt idx="11">
                  <c:v>0.38000000000000006</c:v>
                </c:pt>
                <c:pt idx="12">
                  <c:v>8.0000000000000016E-2</c:v>
                </c:pt>
                <c:pt idx="13">
                  <c:v>2.0000000000000032E-2</c:v>
                </c:pt>
                <c:pt idx="14">
                  <c:v>-0.68</c:v>
                </c:pt>
                <c:pt idx="15">
                  <c:v>0.9242792860618817</c:v>
                </c:pt>
                <c:pt idx="16">
                  <c:v>0.9493900066449128</c:v>
                </c:pt>
                <c:pt idx="17">
                  <c:v>1.0791812460476249</c:v>
                </c:pt>
                <c:pt idx="18">
                  <c:v>0.7323937598229685</c:v>
                </c:pt>
                <c:pt idx="19">
                  <c:v>0.91381385238371671</c:v>
                </c:pt>
                <c:pt idx="20">
                  <c:v>0.85733249643126852</c:v>
                </c:pt>
                <c:pt idx="21">
                  <c:v>0.91381385238371671</c:v>
                </c:pt>
                <c:pt idx="22">
                  <c:v>0.3979400086720376</c:v>
                </c:pt>
                <c:pt idx="23">
                  <c:v>1.1038037209559568</c:v>
                </c:pt>
                <c:pt idx="24">
                  <c:v>0.94448267215016868</c:v>
                </c:pt>
                <c:pt idx="25">
                  <c:v>0.98677173426624487</c:v>
                </c:pt>
                <c:pt idx="26">
                  <c:v>0.7323937598229685</c:v>
                </c:pt>
                <c:pt idx="27">
                  <c:v>0.69897000433601886</c:v>
                </c:pt>
                <c:pt idx="28">
                  <c:v>0.70757017609793638</c:v>
                </c:pt>
                <c:pt idx="29">
                  <c:v>0.80617997398388719</c:v>
                </c:pt>
                <c:pt idx="30">
                  <c:v>0.84509804001425681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407-4723-A043-6DCAFD8258C4}"/>
            </c:ext>
          </c:extLst>
        </c:ser>
        <c:ser>
          <c:idx val="4"/>
          <c:order val="5"/>
          <c:tx>
            <c:v>Milk</c:v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(Staphaureus!$H$2:$H$29,Staphaureus!$H$33:$H$63)</c:f>
              <c:numCache>
                <c:formatCode>General</c:formatCode>
                <c:ptCount val="59"/>
                <c:pt idx="0">
                  <c:v>62</c:v>
                </c:pt>
                <c:pt idx="1">
                  <c:v>63</c:v>
                </c:pt>
                <c:pt idx="2">
                  <c:v>67</c:v>
                </c:pt>
                <c:pt idx="3">
                  <c:v>68</c:v>
                </c:pt>
                <c:pt idx="4">
                  <c:v>72</c:v>
                </c:pt>
                <c:pt idx="5">
                  <c:v>72</c:v>
                </c:pt>
                <c:pt idx="6">
                  <c:v>77</c:v>
                </c:pt>
                <c:pt idx="7">
                  <c:v>78</c:v>
                </c:pt>
                <c:pt idx="8">
                  <c:v>60</c:v>
                </c:pt>
                <c:pt idx="9">
                  <c:v>65.5</c:v>
                </c:pt>
                <c:pt idx="10">
                  <c:v>60</c:v>
                </c:pt>
                <c:pt idx="11">
                  <c:v>65.5</c:v>
                </c:pt>
                <c:pt idx="12">
                  <c:v>52</c:v>
                </c:pt>
                <c:pt idx="13">
                  <c:v>52</c:v>
                </c:pt>
                <c:pt idx="14">
                  <c:v>52</c:v>
                </c:pt>
                <c:pt idx="15">
                  <c:v>52</c:v>
                </c:pt>
                <c:pt idx="16">
                  <c:v>52</c:v>
                </c:pt>
                <c:pt idx="17">
                  <c:v>57.5</c:v>
                </c:pt>
                <c:pt idx="18">
                  <c:v>57.5</c:v>
                </c:pt>
                <c:pt idx="19">
                  <c:v>62</c:v>
                </c:pt>
                <c:pt idx="20">
                  <c:v>67</c:v>
                </c:pt>
                <c:pt idx="21">
                  <c:v>72</c:v>
                </c:pt>
                <c:pt idx="22">
                  <c:v>78</c:v>
                </c:pt>
                <c:pt idx="23">
                  <c:v>63</c:v>
                </c:pt>
                <c:pt idx="24">
                  <c:v>68</c:v>
                </c:pt>
                <c:pt idx="25">
                  <c:v>72</c:v>
                </c:pt>
                <c:pt idx="26">
                  <c:v>77</c:v>
                </c:pt>
                <c:pt idx="27">
                  <c:v>57.5</c:v>
                </c:pt>
                <c:pt idx="28">
                  <c:v>58</c:v>
                </c:pt>
                <c:pt idx="29">
                  <c:v>58</c:v>
                </c:pt>
                <c:pt idx="30">
                  <c:v>58</c:v>
                </c:pt>
                <c:pt idx="31">
                  <c:v>58</c:v>
                </c:pt>
                <c:pt idx="32">
                  <c:v>58</c:v>
                </c:pt>
                <c:pt idx="33">
                  <c:v>58</c:v>
                </c:pt>
                <c:pt idx="34">
                  <c:v>58</c:v>
                </c:pt>
                <c:pt idx="35">
                  <c:v>63</c:v>
                </c:pt>
                <c:pt idx="36">
                  <c:v>65</c:v>
                </c:pt>
                <c:pt idx="37">
                  <c:v>68</c:v>
                </c:pt>
                <c:pt idx="38">
                  <c:v>73</c:v>
                </c:pt>
                <c:pt idx="39">
                  <c:v>78</c:v>
                </c:pt>
                <c:pt idx="40">
                  <c:v>79</c:v>
                </c:pt>
                <c:pt idx="41">
                  <c:v>57.5</c:v>
                </c:pt>
                <c:pt idx="42">
                  <c:v>57.5</c:v>
                </c:pt>
                <c:pt idx="43">
                  <c:v>57</c:v>
                </c:pt>
                <c:pt idx="44">
                  <c:v>58</c:v>
                </c:pt>
                <c:pt idx="45">
                  <c:v>63</c:v>
                </c:pt>
                <c:pt idx="46">
                  <c:v>65</c:v>
                </c:pt>
                <c:pt idx="47">
                  <c:v>68</c:v>
                </c:pt>
                <c:pt idx="48">
                  <c:v>72</c:v>
                </c:pt>
                <c:pt idx="49">
                  <c:v>73</c:v>
                </c:pt>
                <c:pt idx="50">
                  <c:v>78</c:v>
                </c:pt>
                <c:pt idx="51">
                  <c:v>79</c:v>
                </c:pt>
                <c:pt idx="52">
                  <c:v>57.5</c:v>
                </c:pt>
                <c:pt idx="53">
                  <c:v>50</c:v>
                </c:pt>
                <c:pt idx="54">
                  <c:v>55</c:v>
                </c:pt>
                <c:pt idx="55" formatCode="0">
                  <c:v>60</c:v>
                </c:pt>
                <c:pt idx="56">
                  <c:v>65</c:v>
                </c:pt>
                <c:pt idx="57">
                  <c:v>70</c:v>
                </c:pt>
                <c:pt idx="58">
                  <c:v>75</c:v>
                </c:pt>
              </c:numCache>
            </c:numRef>
          </c:xVal>
          <c:yVal>
            <c:numRef>
              <c:f>(Staphaureus!$K$2:$K$29,Staphaureus!$K$33:$K$63)</c:f>
              <c:numCache>
                <c:formatCode>0.00</c:formatCode>
                <c:ptCount val="59"/>
                <c:pt idx="0">
                  <c:v>6.445798922691845E-2</c:v>
                </c:pt>
                <c:pt idx="1">
                  <c:v>-0.3010299956639812</c:v>
                </c:pt>
                <c:pt idx="2">
                  <c:v>-0.40893539297350079</c:v>
                </c:pt>
                <c:pt idx="3">
                  <c:v>-0.46852108295774486</c:v>
                </c:pt>
                <c:pt idx="4">
                  <c:v>-1.2441251443275085</c:v>
                </c:pt>
                <c:pt idx="5">
                  <c:v>-1.1487416512809248</c:v>
                </c:pt>
                <c:pt idx="6">
                  <c:v>-1.2291479883578558</c:v>
                </c:pt>
                <c:pt idx="7">
                  <c:v>-1.5528419686577808</c:v>
                </c:pt>
                <c:pt idx="8">
                  <c:v>0.49623754516673524</c:v>
                </c:pt>
                <c:pt idx="9">
                  <c:v>-0.55284196865778079</c:v>
                </c:pt>
                <c:pt idx="10">
                  <c:v>0.51600623038604776</c:v>
                </c:pt>
                <c:pt idx="11">
                  <c:v>-0.40450377817442584</c:v>
                </c:pt>
                <c:pt idx="12">
                  <c:v>0.23044892137827391</c:v>
                </c:pt>
                <c:pt idx="13">
                  <c:v>0.81291335664285558</c:v>
                </c:pt>
                <c:pt idx="14">
                  <c:v>1.2988530764097066</c:v>
                </c:pt>
                <c:pt idx="15">
                  <c:v>1.4265112613645752</c:v>
                </c:pt>
                <c:pt idx="16">
                  <c:v>1.8475726591421122</c:v>
                </c:pt>
                <c:pt idx="17">
                  <c:v>1.3802112417116059</c:v>
                </c:pt>
                <c:pt idx="18">
                  <c:v>1.3617278360175928</c:v>
                </c:pt>
                <c:pt idx="19">
                  <c:v>-2.6872146400301365E-2</c:v>
                </c:pt>
                <c:pt idx="20">
                  <c:v>-0.45593195564972439</c:v>
                </c:pt>
                <c:pt idx="21">
                  <c:v>-1.1804560644581312</c:v>
                </c:pt>
                <c:pt idx="22">
                  <c:v>-1.5228787452803376</c:v>
                </c:pt>
                <c:pt idx="23">
                  <c:v>-0.20065945054641829</c:v>
                </c:pt>
                <c:pt idx="24">
                  <c:v>-0.56863623584101264</c:v>
                </c:pt>
                <c:pt idx="25">
                  <c:v>-1.3279021420642825</c:v>
                </c:pt>
                <c:pt idx="26">
                  <c:v>-1.3098039199714864</c:v>
                </c:pt>
                <c:pt idx="27">
                  <c:v>1.6334684555795864</c:v>
                </c:pt>
                <c:pt idx="28">
                  <c:v>1.1139433523068367</c:v>
                </c:pt>
                <c:pt idx="29">
                  <c:v>1.3010299956639813</c:v>
                </c:pt>
                <c:pt idx="30">
                  <c:v>1.3010299956639813</c:v>
                </c:pt>
                <c:pt idx="31">
                  <c:v>1.7853298350107671</c:v>
                </c:pt>
                <c:pt idx="32">
                  <c:v>2.143014800254095</c:v>
                </c:pt>
                <c:pt idx="33">
                  <c:v>2.2405492482825999</c:v>
                </c:pt>
                <c:pt idx="34">
                  <c:v>2.2764618041732443</c:v>
                </c:pt>
                <c:pt idx="35">
                  <c:v>-7.0581074285707285E-2</c:v>
                </c:pt>
                <c:pt idx="36">
                  <c:v>-0.16115090926274472</c:v>
                </c:pt>
                <c:pt idx="37">
                  <c:v>-0.26760624017703144</c:v>
                </c:pt>
                <c:pt idx="38">
                  <c:v>-1.1870866433571443</c:v>
                </c:pt>
                <c:pt idx="39">
                  <c:v>-1.5228787452803376</c:v>
                </c:pt>
                <c:pt idx="40">
                  <c:v>-1.4814860601221125</c:v>
                </c:pt>
                <c:pt idx="41">
                  <c:v>1.0791812460476249</c:v>
                </c:pt>
                <c:pt idx="42">
                  <c:v>1.0791812460476249</c:v>
                </c:pt>
                <c:pt idx="43">
                  <c:v>1.8864907251724818</c:v>
                </c:pt>
                <c:pt idx="44">
                  <c:v>0.90308998699194354</c:v>
                </c:pt>
                <c:pt idx="45">
                  <c:v>-0.27572413039921095</c:v>
                </c:pt>
                <c:pt idx="46">
                  <c:v>-0.3010299956639812</c:v>
                </c:pt>
                <c:pt idx="47">
                  <c:v>-0.52287874528033762</c:v>
                </c:pt>
                <c:pt idx="48">
                  <c:v>-0.52287874528033762</c:v>
                </c:pt>
                <c:pt idx="49">
                  <c:v>-1.1870866433571443</c:v>
                </c:pt>
                <c:pt idx="50">
                  <c:v>-1.2676062401770316</c:v>
                </c:pt>
                <c:pt idx="51">
                  <c:v>-0.29242982390206362</c:v>
                </c:pt>
                <c:pt idx="52">
                  <c:v>1.1139433523068367</c:v>
                </c:pt>
                <c:pt idx="53">
                  <c:v>1</c:v>
                </c:pt>
                <c:pt idx="54">
                  <c:v>0.47712125471966244</c:v>
                </c:pt>
                <c:pt idx="55">
                  <c:v>-4.5757490560675115E-2</c:v>
                </c:pt>
                <c:pt idx="56">
                  <c:v>-0.69897000433601875</c:v>
                </c:pt>
                <c:pt idx="57">
                  <c:v>-1</c:v>
                </c:pt>
                <c:pt idx="58">
                  <c:v>-1.6989700043360187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407-4723-A043-6DCAFD8258C4}"/>
            </c:ext>
          </c:extLst>
        </c:ser>
        <c:ser>
          <c:idx val="14"/>
          <c:order val="6"/>
          <c:tx>
            <c:v>UHT milk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Staphaureus!$H$30:$H$32</c:f>
              <c:numCache>
                <c:formatCode>General</c:formatCode>
                <c:ptCount val="3"/>
                <c:pt idx="0">
                  <c:v>50</c:v>
                </c:pt>
                <c:pt idx="1">
                  <c:v>55</c:v>
                </c:pt>
                <c:pt idx="2">
                  <c:v>60</c:v>
                </c:pt>
              </c:numCache>
            </c:numRef>
          </c:xVal>
          <c:yVal>
            <c:numRef>
              <c:f>Staphaureus!$K$30:$K$32</c:f>
              <c:numCache>
                <c:formatCode>0.00</c:formatCode>
                <c:ptCount val="3"/>
                <c:pt idx="0">
                  <c:v>2.2730012720637376</c:v>
                </c:pt>
                <c:pt idx="1">
                  <c:v>1.7958800173440752</c:v>
                </c:pt>
                <c:pt idx="2">
                  <c:v>0.76342799356293722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407-4723-A043-6DCAFD8258C4}"/>
            </c:ext>
          </c:extLst>
        </c:ser>
        <c:ser>
          <c:idx val="7"/>
          <c:order val="7"/>
          <c:tx>
            <c:v>Oil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Staphaureus!$H$248:$H$249</c:f>
              <c:numCache>
                <c:formatCode>General</c:formatCode>
                <c:ptCount val="2"/>
                <c:pt idx="0">
                  <c:v>120</c:v>
                </c:pt>
                <c:pt idx="1">
                  <c:v>120</c:v>
                </c:pt>
              </c:numCache>
            </c:numRef>
          </c:xVal>
          <c:yVal>
            <c:numRef>
              <c:f>Staphaureus!$K$248:$K$249</c:f>
              <c:numCache>
                <c:formatCode>0.00</c:formatCode>
                <c:ptCount val="2"/>
                <c:pt idx="0">
                  <c:v>0.47712125471966244</c:v>
                </c:pt>
                <c:pt idx="1">
                  <c:v>0.77815125038364363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407-4723-A043-6DCAFD8258C4}"/>
            </c:ext>
          </c:extLst>
        </c:ser>
        <c:ser>
          <c:idx val="6"/>
          <c:order val="8"/>
          <c:tx>
            <c:v>NaCl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Staphaureus!$H$166:$H$169</c:f>
              <c:numCache>
                <c:formatCode>General</c:formatCode>
                <c:ptCount val="4"/>
                <c:pt idx="0">
                  <c:v>60</c:v>
                </c:pt>
                <c:pt idx="1">
                  <c:v>65.5</c:v>
                </c:pt>
                <c:pt idx="2">
                  <c:v>60</c:v>
                </c:pt>
                <c:pt idx="3">
                  <c:v>65.5</c:v>
                </c:pt>
              </c:numCache>
            </c:numRef>
          </c:xVal>
          <c:yVal>
            <c:numRef>
              <c:f>Staphaureus!$K$166:$K$169</c:f>
              <c:numCache>
                <c:formatCode>0.00</c:formatCode>
                <c:ptCount val="4"/>
                <c:pt idx="0">
                  <c:v>0.39093510710337914</c:v>
                </c:pt>
                <c:pt idx="1">
                  <c:v>-0.57839607313016894</c:v>
                </c:pt>
                <c:pt idx="2">
                  <c:v>0.3100557377508914</c:v>
                </c:pt>
                <c:pt idx="3">
                  <c:v>-0.44977164694490596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407-4723-A043-6DCAFD8258C4}"/>
            </c:ext>
          </c:extLst>
        </c:ser>
        <c:ser>
          <c:idx val="5"/>
          <c:order val="9"/>
          <c:tx>
            <c:v>Pasta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Staphaureus!$H$194:$H$199</c:f>
              <c:numCache>
                <c:formatCode>General</c:formatCode>
                <c:ptCount val="6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</c:numCache>
            </c:numRef>
          </c:xVal>
          <c:yVal>
            <c:numRef>
              <c:f>Staphaureus!$K$194:$K$199</c:f>
              <c:numCache>
                <c:formatCode>0.00</c:formatCode>
                <c:ptCount val="6"/>
                <c:pt idx="0">
                  <c:v>1.3424226808222062</c:v>
                </c:pt>
                <c:pt idx="1">
                  <c:v>1.505149978319906</c:v>
                </c:pt>
                <c:pt idx="2">
                  <c:v>1.0791812460476249</c:v>
                </c:pt>
                <c:pt idx="3">
                  <c:v>0.90308998699194354</c:v>
                </c:pt>
                <c:pt idx="4">
                  <c:v>0.69897000433601886</c:v>
                </c:pt>
                <c:pt idx="5">
                  <c:v>0.47712125471966244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407-4723-A043-6DCAFD8258C4}"/>
            </c:ext>
          </c:extLst>
        </c:ser>
        <c:ser>
          <c:idx val="10"/>
          <c:order val="10"/>
          <c:tx>
            <c:v>196E (Pea soup)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Staphaureus!$H$200:$H$203</c:f>
              <c:numCache>
                <c:formatCode>General</c:formatCode>
                <c:ptCount val="4"/>
                <c:pt idx="0">
                  <c:v>60</c:v>
                </c:pt>
                <c:pt idx="1">
                  <c:v>60</c:v>
                </c:pt>
                <c:pt idx="2">
                  <c:v>65.5</c:v>
                </c:pt>
                <c:pt idx="3">
                  <c:v>65.5</c:v>
                </c:pt>
              </c:numCache>
            </c:numRef>
          </c:xVal>
          <c:yVal>
            <c:numRef>
              <c:f>Staphaureus!$K$200:$K$203</c:f>
              <c:numCache>
                <c:formatCode>0.00</c:formatCode>
                <c:ptCount val="4"/>
                <c:pt idx="0">
                  <c:v>1.0153597554092142</c:v>
                </c:pt>
                <c:pt idx="1">
                  <c:v>0.83701994854090844</c:v>
                </c:pt>
                <c:pt idx="2">
                  <c:v>-0.19928292171761497</c:v>
                </c:pt>
                <c:pt idx="3">
                  <c:v>-0.3925449767853314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407-4723-A043-6DCAFD8258C4}"/>
            </c:ext>
          </c:extLst>
        </c:ser>
        <c:ser>
          <c:idx val="16"/>
          <c:order val="11"/>
          <c:tx>
            <c:v>Unknown</c:v>
          </c:tx>
          <c:spPr>
            <a:ln w="28575">
              <a:noFill/>
            </a:ln>
          </c:spPr>
          <c:marker>
            <c:symbol val="dot"/>
            <c:size val="5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Staphaureus!$H$204:$H$205</c:f>
              <c:numCache>
                <c:formatCode>General</c:formatCode>
                <c:ptCount val="2"/>
                <c:pt idx="0">
                  <c:v>65.5</c:v>
                </c:pt>
                <c:pt idx="1">
                  <c:v>65.5</c:v>
                </c:pt>
              </c:numCache>
            </c:numRef>
          </c:xVal>
          <c:yVal>
            <c:numRef>
              <c:f>Staphaureus!$K$204:$K$205</c:f>
              <c:numCache>
                <c:formatCode>0.00</c:formatCode>
                <c:ptCount val="2"/>
                <c:pt idx="0">
                  <c:v>-0.69897000433601875</c:v>
                </c:pt>
                <c:pt idx="1">
                  <c:v>0.3010299956639812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407-4723-A043-6DCAFD8258C4}"/>
            </c:ext>
          </c:extLst>
        </c:ser>
        <c:ser>
          <c:idx val="3"/>
          <c:order val="12"/>
          <c:tx>
            <c:v>Log D (model)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GraphSaureus!$A$14:$A$34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GraphSaureus!$B$14:$B$34</c:f>
              <c:numCache>
                <c:formatCode>0.00</c:formatCode>
                <c:ptCount val="21"/>
                <c:pt idx="0">
                  <c:v>2.2657040495755507</c:v>
                </c:pt>
                <c:pt idx="1">
                  <c:v>1.694365429951644</c:v>
                </c:pt>
                <c:pt idx="2">
                  <c:v>1.1230268103277374</c:v>
                </c:pt>
                <c:pt idx="3">
                  <c:v>0.55168819070383068</c:v>
                </c:pt>
                <c:pt idx="4">
                  <c:v>-1.9650428920075957E-2</c:v>
                </c:pt>
                <c:pt idx="5">
                  <c:v>-0.5909890485439826</c:v>
                </c:pt>
                <c:pt idx="6">
                  <c:v>-1.1623276681678893</c:v>
                </c:pt>
                <c:pt idx="7">
                  <c:v>-1.7336662877917959</c:v>
                </c:pt>
                <c:pt idx="8">
                  <c:v>-2.3050049074157029</c:v>
                </c:pt>
                <c:pt idx="9">
                  <c:v>-2.8763435270396092</c:v>
                </c:pt>
                <c:pt idx="10">
                  <c:v>-3.4476821466635159</c:v>
                </c:pt>
                <c:pt idx="11">
                  <c:v>-4.0190207662874222</c:v>
                </c:pt>
                <c:pt idx="12">
                  <c:v>-4.590359385911329</c:v>
                </c:pt>
                <c:pt idx="13">
                  <c:v>-5.1616980055352357</c:v>
                </c:pt>
                <c:pt idx="14">
                  <c:v>-5.7330366251591425</c:v>
                </c:pt>
                <c:pt idx="15">
                  <c:v>-6.3043752447830492</c:v>
                </c:pt>
                <c:pt idx="16">
                  <c:v>-6.875713864406956</c:v>
                </c:pt>
                <c:pt idx="17">
                  <c:v>-7.4470524840308627</c:v>
                </c:pt>
                <c:pt idx="18">
                  <c:v>-8.0183911036547695</c:v>
                </c:pt>
                <c:pt idx="19">
                  <c:v>-8.5897297232786762</c:v>
                </c:pt>
                <c:pt idx="20">
                  <c:v>-9.1610683429025812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F407-4723-A043-6DCAFD8258C4}"/>
            </c:ext>
          </c:extLst>
        </c:ser>
        <c:ser>
          <c:idx val="9"/>
          <c:order val="13"/>
          <c:tx>
            <c:v>95% cfi</c:v>
          </c:tx>
          <c:spPr>
            <a:ln w="25400">
              <a:solidFill>
                <a:srgbClr val="000080"/>
              </a:solidFill>
              <a:prstDash val="lgDash"/>
            </a:ln>
          </c:spPr>
          <c:marker>
            <c:symbol val="none"/>
          </c:marker>
          <c:xVal>
            <c:numRef>
              <c:f>GraphSaureus!$A$14:$A$34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GraphSaureus!$C$14:$C$34</c:f>
              <c:numCache>
                <c:formatCode>0.00</c:formatCode>
                <c:ptCount val="21"/>
                <c:pt idx="0">
                  <c:v>3.1871377576517395</c:v>
                </c:pt>
                <c:pt idx="1">
                  <c:v>2.6157991380278327</c:v>
                </c:pt>
                <c:pt idx="2">
                  <c:v>2.044460518403926</c:v>
                </c:pt>
                <c:pt idx="3">
                  <c:v>1.4731218987800192</c:v>
                </c:pt>
                <c:pt idx="4">
                  <c:v>0.90178327915611256</c:v>
                </c:pt>
                <c:pt idx="5">
                  <c:v>0.33044465953220592</c:v>
                </c:pt>
                <c:pt idx="6">
                  <c:v>-0.24089396009170083</c:v>
                </c:pt>
                <c:pt idx="7">
                  <c:v>-0.81223257971560736</c:v>
                </c:pt>
                <c:pt idx="8">
                  <c:v>-1.3835711993395143</c:v>
                </c:pt>
                <c:pt idx="9">
                  <c:v>-1.9549098189634206</c:v>
                </c:pt>
                <c:pt idx="10">
                  <c:v>-2.5262484385873272</c:v>
                </c:pt>
                <c:pt idx="11">
                  <c:v>-3.0975870582112339</c:v>
                </c:pt>
                <c:pt idx="12">
                  <c:v>-3.6689256778351407</c:v>
                </c:pt>
                <c:pt idx="13">
                  <c:v>-4.2402642974590474</c:v>
                </c:pt>
                <c:pt idx="14">
                  <c:v>-4.8116029170829542</c:v>
                </c:pt>
                <c:pt idx="15">
                  <c:v>-5.3829415367068609</c:v>
                </c:pt>
                <c:pt idx="16">
                  <c:v>-5.9542801563307677</c:v>
                </c:pt>
                <c:pt idx="17">
                  <c:v>-6.5256187759546744</c:v>
                </c:pt>
                <c:pt idx="18">
                  <c:v>-7.0969573955785812</c:v>
                </c:pt>
                <c:pt idx="19">
                  <c:v>-7.6682960152024879</c:v>
                </c:pt>
                <c:pt idx="20">
                  <c:v>-8.2396346348263929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F407-4723-A043-6DCAFD8258C4}"/>
            </c:ext>
          </c:extLst>
        </c:ser>
        <c:ser>
          <c:idx val="12"/>
          <c:order val="14"/>
          <c:tx>
            <c:v>strain NCTC 10652 (Gaze)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00FFFF"/>
              </a:solidFill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Staphaureus!$H$206:$H$244</c:f>
              <c:numCache>
                <c:formatCode>General</c:formatCode>
                <c:ptCount val="39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70</c:v>
                </c:pt>
                <c:pt idx="7">
                  <c:v>70</c:v>
                </c:pt>
                <c:pt idx="8">
                  <c:v>76</c:v>
                </c:pt>
                <c:pt idx="9">
                  <c:v>76</c:v>
                </c:pt>
                <c:pt idx="10">
                  <c:v>85</c:v>
                </c:pt>
                <c:pt idx="11">
                  <c:v>85</c:v>
                </c:pt>
                <c:pt idx="12">
                  <c:v>90</c:v>
                </c:pt>
                <c:pt idx="13">
                  <c:v>90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70</c:v>
                </c:pt>
                <c:pt idx="18">
                  <c:v>70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80</c:v>
                </c:pt>
                <c:pt idx="23">
                  <c:v>80</c:v>
                </c:pt>
                <c:pt idx="24">
                  <c:v>85</c:v>
                </c:pt>
                <c:pt idx="25">
                  <c:v>85</c:v>
                </c:pt>
                <c:pt idx="26">
                  <c:v>90</c:v>
                </c:pt>
                <c:pt idx="27">
                  <c:v>90</c:v>
                </c:pt>
                <c:pt idx="28">
                  <c:v>90</c:v>
                </c:pt>
                <c:pt idx="29">
                  <c:v>95</c:v>
                </c:pt>
                <c:pt idx="30">
                  <c:v>95</c:v>
                </c:pt>
                <c:pt idx="31">
                  <c:v>60</c:v>
                </c:pt>
                <c:pt idx="32">
                  <c:v>76</c:v>
                </c:pt>
                <c:pt idx="33">
                  <c:v>80</c:v>
                </c:pt>
                <c:pt idx="34">
                  <c:v>85</c:v>
                </c:pt>
                <c:pt idx="35">
                  <c:v>60</c:v>
                </c:pt>
                <c:pt idx="36">
                  <c:v>60</c:v>
                </c:pt>
                <c:pt idx="37">
                  <c:v>76</c:v>
                </c:pt>
                <c:pt idx="38">
                  <c:v>76</c:v>
                </c:pt>
              </c:numCache>
            </c:numRef>
          </c:xVal>
          <c:yVal>
            <c:numRef>
              <c:f>Staphaureus!$K$206:$K$244</c:f>
              <c:numCache>
                <c:formatCode>0.00</c:formatCode>
                <c:ptCount val="39"/>
                <c:pt idx="0">
                  <c:v>0.59106460702649921</c:v>
                </c:pt>
                <c:pt idx="1">
                  <c:v>0.80617997398388719</c:v>
                </c:pt>
                <c:pt idx="2">
                  <c:v>0.70757017609793638</c:v>
                </c:pt>
                <c:pt idx="3">
                  <c:v>0.77815125038364363</c:v>
                </c:pt>
                <c:pt idx="4">
                  <c:v>1.3117538610557542</c:v>
                </c:pt>
                <c:pt idx="5">
                  <c:v>1.3010299956639813</c:v>
                </c:pt>
                <c:pt idx="6">
                  <c:v>0.54406804435027567</c:v>
                </c:pt>
                <c:pt idx="7">
                  <c:v>0.49136169383427269</c:v>
                </c:pt>
                <c:pt idx="8">
                  <c:v>0.23044892137827391</c:v>
                </c:pt>
                <c:pt idx="9">
                  <c:v>0.46239799789895608</c:v>
                </c:pt>
                <c:pt idx="10">
                  <c:v>-0.52287874528033762</c:v>
                </c:pt>
                <c:pt idx="11">
                  <c:v>4.1392685158225077E-2</c:v>
                </c:pt>
                <c:pt idx="12">
                  <c:v>-0.3979400086720376</c:v>
                </c:pt>
                <c:pt idx="13">
                  <c:v>-0.3979400086720376</c:v>
                </c:pt>
                <c:pt idx="14">
                  <c:v>1.0600000000000003</c:v>
                </c:pt>
                <c:pt idx="15">
                  <c:v>0.9900000000000001</c:v>
                </c:pt>
                <c:pt idx="16">
                  <c:v>0.92</c:v>
                </c:pt>
                <c:pt idx="17">
                  <c:v>0.57000000000000006</c:v>
                </c:pt>
                <c:pt idx="18">
                  <c:v>0.33999999999999997</c:v>
                </c:pt>
                <c:pt idx="19">
                  <c:v>0.48000000000000004</c:v>
                </c:pt>
                <c:pt idx="20">
                  <c:v>0.25000000000000006</c:v>
                </c:pt>
                <c:pt idx="21">
                  <c:v>0.31000000000000005</c:v>
                </c:pt>
                <c:pt idx="22">
                  <c:v>0.48000000000000004</c:v>
                </c:pt>
                <c:pt idx="23">
                  <c:v>0.25000000000000006</c:v>
                </c:pt>
                <c:pt idx="24">
                  <c:v>0.15999999999999998</c:v>
                </c:pt>
                <c:pt idx="25">
                  <c:v>-0.21999999999999997</c:v>
                </c:pt>
                <c:pt idx="26">
                  <c:v>9.0000000000000024E-2</c:v>
                </c:pt>
                <c:pt idx="27">
                  <c:v>2.0000000000000032E-2</c:v>
                </c:pt>
                <c:pt idx="28">
                  <c:v>-0.12000000000000006</c:v>
                </c:pt>
                <c:pt idx="29">
                  <c:v>0.20000000000000004</c:v>
                </c:pt>
                <c:pt idx="30">
                  <c:v>-0.19000000000000006</c:v>
                </c:pt>
                <c:pt idx="31">
                  <c:v>0.95904139232109353</c:v>
                </c:pt>
                <c:pt idx="32">
                  <c:v>4.1392685158225077E-2</c:v>
                </c:pt>
                <c:pt idx="33">
                  <c:v>0.11394335230683679</c:v>
                </c:pt>
                <c:pt idx="34">
                  <c:v>0</c:v>
                </c:pt>
                <c:pt idx="35">
                  <c:v>0.3222192947339193</c:v>
                </c:pt>
                <c:pt idx="36">
                  <c:v>0.34242268082220628</c:v>
                </c:pt>
                <c:pt idx="37">
                  <c:v>-9.6910013008056392E-2</c:v>
                </c:pt>
                <c:pt idx="38">
                  <c:v>-0.15490195998574319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F407-4723-A043-6DCAFD8258C4}"/>
            </c:ext>
          </c:extLst>
        </c:ser>
        <c:ser>
          <c:idx val="11"/>
          <c:order val="15"/>
          <c:tx>
            <c:v>log D (NCTC 10652l)</c:v>
          </c:tx>
          <c:spPr>
            <a:ln w="254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GraphSaureus!$A$14:$A$34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GraphSaureus!$D$14:$D$34</c:f>
              <c:numCache>
                <c:formatCode>0.00</c:formatCode>
                <c:ptCount val="21"/>
                <c:pt idx="0">
                  <c:v>1.2774637080642757</c:v>
                </c:pt>
                <c:pt idx="1">
                  <c:v>1.1183415576835356</c:v>
                </c:pt>
                <c:pt idx="2">
                  <c:v>0.95921940730279553</c:v>
                </c:pt>
                <c:pt idx="3">
                  <c:v>0.80009725692205536</c:v>
                </c:pt>
                <c:pt idx="4">
                  <c:v>0.64097510654131518</c:v>
                </c:pt>
                <c:pt idx="5">
                  <c:v>0.48185295616057511</c:v>
                </c:pt>
                <c:pt idx="6">
                  <c:v>0.32273080577983498</c:v>
                </c:pt>
                <c:pt idx="7">
                  <c:v>0.16360865539909486</c:v>
                </c:pt>
                <c:pt idx="8">
                  <c:v>4.4865050183546806E-3</c:v>
                </c:pt>
                <c:pt idx="9">
                  <c:v>-0.15463564536238539</c:v>
                </c:pt>
                <c:pt idx="10">
                  <c:v>-0.31375779574312557</c:v>
                </c:pt>
                <c:pt idx="11">
                  <c:v>-0.47287994612386575</c:v>
                </c:pt>
                <c:pt idx="12">
                  <c:v>-0.63200209650460581</c:v>
                </c:pt>
                <c:pt idx="13">
                  <c:v>-0.79112424688534588</c:v>
                </c:pt>
                <c:pt idx="14">
                  <c:v>-0.95024639726608617</c:v>
                </c:pt>
                <c:pt idx="15">
                  <c:v>-1.1093685476468262</c:v>
                </c:pt>
                <c:pt idx="16">
                  <c:v>-1.2684906980275663</c:v>
                </c:pt>
                <c:pt idx="17">
                  <c:v>-1.4276128484083066</c:v>
                </c:pt>
                <c:pt idx="18">
                  <c:v>-1.5867349987890464</c:v>
                </c:pt>
                <c:pt idx="19">
                  <c:v>-1.7458571491697867</c:v>
                </c:pt>
                <c:pt idx="20">
                  <c:v>-1.904979299550527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F407-4723-A043-6DCAFD8258C4}"/>
            </c:ext>
          </c:extLst>
        </c:ser>
        <c:ser>
          <c:idx val="17"/>
          <c:order val="16"/>
          <c:tx>
            <c:v>95 cfi (NCTC 10652)</c:v>
          </c:tx>
          <c:spPr>
            <a:ln w="25400">
              <a:solidFill>
                <a:srgbClr val="00FFFF"/>
              </a:solidFill>
              <a:prstDash val="lgDash"/>
            </a:ln>
          </c:spPr>
          <c:marker>
            <c:symbol val="none"/>
          </c:marker>
          <c:xVal>
            <c:numRef>
              <c:f>GraphSaureus!$A$14:$A$34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GraphSaureus!$E$14:$E$34</c:f>
              <c:numCache>
                <c:formatCode>0.00</c:formatCode>
                <c:ptCount val="21"/>
                <c:pt idx="0">
                  <c:v>1.8152386936322673</c:v>
                </c:pt>
                <c:pt idx="1">
                  <c:v>1.6561165432515272</c:v>
                </c:pt>
                <c:pt idx="2">
                  <c:v>1.4969943928707872</c:v>
                </c:pt>
                <c:pt idx="3">
                  <c:v>1.3378722424900471</c:v>
                </c:pt>
                <c:pt idx="4">
                  <c:v>1.1787500921093068</c:v>
                </c:pt>
                <c:pt idx="5">
                  <c:v>1.0196279417285667</c:v>
                </c:pt>
                <c:pt idx="6">
                  <c:v>0.86050579134782668</c:v>
                </c:pt>
                <c:pt idx="7">
                  <c:v>0.7013836409670865</c:v>
                </c:pt>
                <c:pt idx="8">
                  <c:v>0.54226149058634632</c:v>
                </c:pt>
                <c:pt idx="9">
                  <c:v>0.38313934020560625</c:v>
                </c:pt>
                <c:pt idx="10">
                  <c:v>0.22401718982486607</c:v>
                </c:pt>
                <c:pt idx="11">
                  <c:v>6.489503944412589E-2</c:v>
                </c:pt>
                <c:pt idx="12">
                  <c:v>-9.4227110936614178E-2</c:v>
                </c:pt>
                <c:pt idx="13">
                  <c:v>-0.25334926131735425</c:v>
                </c:pt>
                <c:pt idx="14">
                  <c:v>-0.41247141169809454</c:v>
                </c:pt>
                <c:pt idx="15">
                  <c:v>-0.5715935620788346</c:v>
                </c:pt>
                <c:pt idx="16">
                  <c:v>-0.73071571245957467</c:v>
                </c:pt>
                <c:pt idx="17">
                  <c:v>-0.88983786284031496</c:v>
                </c:pt>
                <c:pt idx="18">
                  <c:v>-1.0489600132210548</c:v>
                </c:pt>
                <c:pt idx="19">
                  <c:v>-1.2080821636017951</c:v>
                </c:pt>
                <c:pt idx="20">
                  <c:v>-1.3672043139825354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F407-4723-A043-6DCAFD825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548944"/>
        <c:axId val="1"/>
      </c:scatterChart>
      <c:valAx>
        <c:axId val="482548944"/>
        <c:scaling>
          <c:orientation val="minMax"/>
          <c:max val="130"/>
          <c:min val="45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165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T (</a:t>
                </a:r>
                <a:r>
                  <a:rPr lang="nl-NL" sz="165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°</a:t>
                </a:r>
                <a:r>
                  <a:rPr lang="nl-NL" sz="165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C)</a:t>
                </a:r>
              </a:p>
            </c:rich>
          </c:tx>
          <c:layout>
            <c:manualLayout>
              <c:xMode val="edge"/>
              <c:yMode val="edge"/>
              <c:x val="0.38156359393232203"/>
              <c:y val="0.9147305133369956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  <c:majorUnit val="10"/>
      </c:valAx>
      <c:valAx>
        <c:axId val="1"/>
        <c:scaling>
          <c:orientation val="minMax"/>
          <c:max val="4"/>
          <c:min val="-2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6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Log D (log min)</a:t>
                </a:r>
              </a:p>
            </c:rich>
          </c:tx>
          <c:layout>
            <c:manualLayout>
              <c:xMode val="edge"/>
              <c:yMode val="edge"/>
              <c:x val="5.8343057176196032E-3"/>
              <c:y val="0.35077580418726728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8254894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0746791131855311"/>
          <c:y val="0.24031048444525827"/>
          <c:w val="0.18319719953325553"/>
          <c:h val="0.5910862886325256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6051344251694"/>
          <c:y val="6.5573845476532167E-2"/>
          <c:w val="0.62857194440318442"/>
          <c:h val="0.87119537561678451"/>
        </c:manualLayout>
      </c:layout>
      <c:scatterChart>
        <c:scatterStyle val="lineMarker"/>
        <c:varyColors val="0"/>
        <c:ser>
          <c:idx val="0"/>
          <c:order val="0"/>
          <c:tx>
            <c:v>425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Staphaureus!$H$2:$H$39</c:f>
              <c:numCache>
                <c:formatCode>General</c:formatCode>
                <c:ptCount val="38"/>
                <c:pt idx="0">
                  <c:v>62</c:v>
                </c:pt>
                <c:pt idx="1">
                  <c:v>63</c:v>
                </c:pt>
                <c:pt idx="2">
                  <c:v>67</c:v>
                </c:pt>
                <c:pt idx="3">
                  <c:v>68</c:v>
                </c:pt>
                <c:pt idx="4">
                  <c:v>72</c:v>
                </c:pt>
                <c:pt idx="5">
                  <c:v>72</c:v>
                </c:pt>
                <c:pt idx="6">
                  <c:v>77</c:v>
                </c:pt>
                <c:pt idx="7">
                  <c:v>78</c:v>
                </c:pt>
                <c:pt idx="8">
                  <c:v>60</c:v>
                </c:pt>
                <c:pt idx="9">
                  <c:v>65.5</c:v>
                </c:pt>
                <c:pt idx="10">
                  <c:v>60</c:v>
                </c:pt>
                <c:pt idx="11">
                  <c:v>65.5</c:v>
                </c:pt>
                <c:pt idx="12">
                  <c:v>52</c:v>
                </c:pt>
                <c:pt idx="13">
                  <c:v>52</c:v>
                </c:pt>
                <c:pt idx="14">
                  <c:v>52</c:v>
                </c:pt>
                <c:pt idx="15">
                  <c:v>52</c:v>
                </c:pt>
                <c:pt idx="16">
                  <c:v>52</c:v>
                </c:pt>
                <c:pt idx="17">
                  <c:v>57.5</c:v>
                </c:pt>
                <c:pt idx="18">
                  <c:v>57.5</c:v>
                </c:pt>
                <c:pt idx="19">
                  <c:v>62</c:v>
                </c:pt>
                <c:pt idx="20">
                  <c:v>67</c:v>
                </c:pt>
                <c:pt idx="21">
                  <c:v>72</c:v>
                </c:pt>
                <c:pt idx="22">
                  <c:v>78</c:v>
                </c:pt>
                <c:pt idx="23">
                  <c:v>63</c:v>
                </c:pt>
                <c:pt idx="24">
                  <c:v>68</c:v>
                </c:pt>
                <c:pt idx="25">
                  <c:v>72</c:v>
                </c:pt>
                <c:pt idx="26">
                  <c:v>77</c:v>
                </c:pt>
                <c:pt idx="27">
                  <c:v>57.5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58</c:v>
                </c:pt>
                <c:pt idx="32">
                  <c:v>58</c:v>
                </c:pt>
                <c:pt idx="33">
                  <c:v>58</c:v>
                </c:pt>
                <c:pt idx="34">
                  <c:v>58</c:v>
                </c:pt>
                <c:pt idx="35">
                  <c:v>58</c:v>
                </c:pt>
                <c:pt idx="36">
                  <c:v>58</c:v>
                </c:pt>
                <c:pt idx="37">
                  <c:v>58</c:v>
                </c:pt>
              </c:numCache>
            </c:numRef>
          </c:xVal>
          <c:yVal>
            <c:numRef>
              <c:f>Staphaureus!$K$2:$K$39</c:f>
              <c:numCache>
                <c:formatCode>0.00</c:formatCode>
                <c:ptCount val="38"/>
                <c:pt idx="0">
                  <c:v>6.445798922691845E-2</c:v>
                </c:pt>
                <c:pt idx="1">
                  <c:v>-0.3010299956639812</c:v>
                </c:pt>
                <c:pt idx="2">
                  <c:v>-0.40893539297350079</c:v>
                </c:pt>
                <c:pt idx="3">
                  <c:v>-0.46852108295774486</c:v>
                </c:pt>
                <c:pt idx="4">
                  <c:v>-1.2441251443275085</c:v>
                </c:pt>
                <c:pt idx="5">
                  <c:v>-1.1487416512809248</c:v>
                </c:pt>
                <c:pt idx="6">
                  <c:v>-1.2291479883578558</c:v>
                </c:pt>
                <c:pt idx="7">
                  <c:v>-1.5528419686577808</c:v>
                </c:pt>
                <c:pt idx="8">
                  <c:v>0.49623754516673524</c:v>
                </c:pt>
                <c:pt idx="9">
                  <c:v>-0.55284196865778079</c:v>
                </c:pt>
                <c:pt idx="10">
                  <c:v>0.51600623038604776</c:v>
                </c:pt>
                <c:pt idx="11">
                  <c:v>-0.40450377817442584</c:v>
                </c:pt>
                <c:pt idx="12">
                  <c:v>0.23044892137827391</c:v>
                </c:pt>
                <c:pt idx="13">
                  <c:v>0.81291335664285558</c:v>
                </c:pt>
                <c:pt idx="14">
                  <c:v>1.2988530764097066</c:v>
                </c:pt>
                <c:pt idx="15">
                  <c:v>1.4265112613645752</c:v>
                </c:pt>
                <c:pt idx="16">
                  <c:v>1.8475726591421122</c:v>
                </c:pt>
                <c:pt idx="17">
                  <c:v>1.3802112417116059</c:v>
                </c:pt>
                <c:pt idx="18">
                  <c:v>1.3617278360175928</c:v>
                </c:pt>
                <c:pt idx="19">
                  <c:v>-2.6872146400301365E-2</c:v>
                </c:pt>
                <c:pt idx="20">
                  <c:v>-0.45593195564972439</c:v>
                </c:pt>
                <c:pt idx="21">
                  <c:v>-1.1804560644581312</c:v>
                </c:pt>
                <c:pt idx="22">
                  <c:v>-1.5228787452803376</c:v>
                </c:pt>
                <c:pt idx="23">
                  <c:v>-0.20065945054641829</c:v>
                </c:pt>
                <c:pt idx="24">
                  <c:v>-0.56863623584101264</c:v>
                </c:pt>
                <c:pt idx="25">
                  <c:v>-1.3279021420642825</c:v>
                </c:pt>
                <c:pt idx="26">
                  <c:v>-1.3098039199714864</c:v>
                </c:pt>
                <c:pt idx="27">
                  <c:v>1.6334684555795864</c:v>
                </c:pt>
                <c:pt idx="28">
                  <c:v>2.2730012720637376</c:v>
                </c:pt>
                <c:pt idx="29">
                  <c:v>1.7958800173440752</c:v>
                </c:pt>
                <c:pt idx="30">
                  <c:v>0.76342799356293722</c:v>
                </c:pt>
                <c:pt idx="31">
                  <c:v>1.1139433523068367</c:v>
                </c:pt>
                <c:pt idx="32">
                  <c:v>1.3010299956639813</c:v>
                </c:pt>
                <c:pt idx="33">
                  <c:v>1.3010299956639813</c:v>
                </c:pt>
                <c:pt idx="34">
                  <c:v>1.7853298350107671</c:v>
                </c:pt>
                <c:pt idx="35">
                  <c:v>2.143014800254095</c:v>
                </c:pt>
                <c:pt idx="36">
                  <c:v>2.2405492482825999</c:v>
                </c:pt>
                <c:pt idx="37">
                  <c:v>2.2764618041732443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22-4EDD-BCBA-19C3B1AAC394}"/>
            </c:ext>
          </c:extLst>
        </c:ser>
        <c:ser>
          <c:idx val="1"/>
          <c:order val="1"/>
          <c:tx>
            <c:v>196E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Staphaureus!$H$40:$H$50</c:f>
              <c:numCache>
                <c:formatCode>General</c:formatCode>
                <c:ptCount val="11"/>
                <c:pt idx="0">
                  <c:v>63</c:v>
                </c:pt>
                <c:pt idx="1">
                  <c:v>65</c:v>
                </c:pt>
                <c:pt idx="2">
                  <c:v>68</c:v>
                </c:pt>
                <c:pt idx="3">
                  <c:v>73</c:v>
                </c:pt>
                <c:pt idx="4">
                  <c:v>78</c:v>
                </c:pt>
                <c:pt idx="5">
                  <c:v>79</c:v>
                </c:pt>
                <c:pt idx="6">
                  <c:v>57.5</c:v>
                </c:pt>
                <c:pt idx="7">
                  <c:v>57.5</c:v>
                </c:pt>
                <c:pt idx="8">
                  <c:v>57</c:v>
                </c:pt>
                <c:pt idx="9">
                  <c:v>58</c:v>
                </c:pt>
                <c:pt idx="10">
                  <c:v>63</c:v>
                </c:pt>
              </c:numCache>
            </c:numRef>
          </c:xVal>
          <c:yVal>
            <c:numRef>
              <c:f>Staphaureus!$K$40:$K$50</c:f>
              <c:numCache>
                <c:formatCode>0.00</c:formatCode>
                <c:ptCount val="11"/>
                <c:pt idx="0">
                  <c:v>-7.0581074285707285E-2</c:v>
                </c:pt>
                <c:pt idx="1">
                  <c:v>-0.16115090926274472</c:v>
                </c:pt>
                <c:pt idx="2">
                  <c:v>-0.26760624017703144</c:v>
                </c:pt>
                <c:pt idx="3">
                  <c:v>-1.1870866433571443</c:v>
                </c:pt>
                <c:pt idx="4">
                  <c:v>-1.5228787452803376</c:v>
                </c:pt>
                <c:pt idx="5">
                  <c:v>-1.4814860601221125</c:v>
                </c:pt>
                <c:pt idx="6">
                  <c:v>1.0791812460476249</c:v>
                </c:pt>
                <c:pt idx="7">
                  <c:v>1.0791812460476249</c:v>
                </c:pt>
                <c:pt idx="8">
                  <c:v>1.8864907251724818</c:v>
                </c:pt>
                <c:pt idx="9">
                  <c:v>0.90308998699194354</c:v>
                </c:pt>
                <c:pt idx="10">
                  <c:v>-0.27572413039921095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22-4EDD-BCBA-19C3B1AAC394}"/>
            </c:ext>
          </c:extLst>
        </c:ser>
        <c:ser>
          <c:idx val="2"/>
          <c:order val="2"/>
          <c:tx>
            <c:v>60-7895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Staphaureus!$H$51:$H$65</c:f>
              <c:numCache>
                <c:formatCode>General</c:formatCode>
                <c:ptCount val="15"/>
                <c:pt idx="0">
                  <c:v>65</c:v>
                </c:pt>
                <c:pt idx="1">
                  <c:v>68</c:v>
                </c:pt>
                <c:pt idx="2">
                  <c:v>72</c:v>
                </c:pt>
                <c:pt idx="3">
                  <c:v>73</c:v>
                </c:pt>
                <c:pt idx="4">
                  <c:v>78</c:v>
                </c:pt>
                <c:pt idx="5">
                  <c:v>79</c:v>
                </c:pt>
                <c:pt idx="6">
                  <c:v>57.5</c:v>
                </c:pt>
                <c:pt idx="7">
                  <c:v>50</c:v>
                </c:pt>
                <c:pt idx="8">
                  <c:v>55</c:v>
                </c:pt>
                <c:pt idx="9" formatCode="0">
                  <c:v>60</c:v>
                </c:pt>
                <c:pt idx="10">
                  <c:v>65</c:v>
                </c:pt>
                <c:pt idx="11">
                  <c:v>70</c:v>
                </c:pt>
                <c:pt idx="12">
                  <c:v>75</c:v>
                </c:pt>
                <c:pt idx="13">
                  <c:v>60</c:v>
                </c:pt>
                <c:pt idx="14">
                  <c:v>60</c:v>
                </c:pt>
              </c:numCache>
            </c:numRef>
          </c:xVal>
          <c:yVal>
            <c:numRef>
              <c:f>Staphaureus!$K$51:$K$65</c:f>
              <c:numCache>
                <c:formatCode>0.00</c:formatCode>
                <c:ptCount val="15"/>
                <c:pt idx="0">
                  <c:v>-0.3010299956639812</c:v>
                </c:pt>
                <c:pt idx="1">
                  <c:v>-0.52287874528033762</c:v>
                </c:pt>
                <c:pt idx="2">
                  <c:v>-0.52287874528033762</c:v>
                </c:pt>
                <c:pt idx="3">
                  <c:v>-1.1870866433571443</c:v>
                </c:pt>
                <c:pt idx="4">
                  <c:v>-1.2676062401770316</c:v>
                </c:pt>
                <c:pt idx="5">
                  <c:v>-0.29242982390206362</c:v>
                </c:pt>
                <c:pt idx="6">
                  <c:v>1.1139433523068367</c:v>
                </c:pt>
                <c:pt idx="7">
                  <c:v>1</c:v>
                </c:pt>
                <c:pt idx="8">
                  <c:v>0.47712125471966244</c:v>
                </c:pt>
                <c:pt idx="9">
                  <c:v>-4.5757490560675115E-2</c:v>
                </c:pt>
                <c:pt idx="10">
                  <c:v>-0.69897000433601875</c:v>
                </c:pt>
                <c:pt idx="11">
                  <c:v>-1</c:v>
                </c:pt>
                <c:pt idx="12">
                  <c:v>-1.6989700043360187</c:v>
                </c:pt>
                <c:pt idx="13">
                  <c:v>0.69897000433601886</c:v>
                </c:pt>
                <c:pt idx="14">
                  <c:v>0.84509804001425681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22-4EDD-BCBA-19C3B1AAC394}"/>
            </c:ext>
          </c:extLst>
        </c:ser>
        <c:ser>
          <c:idx val="3"/>
          <c:order val="3"/>
          <c:tx>
            <c:v>isolate 111</c:v>
          </c:tx>
          <c:spPr>
            <a:ln w="28575"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Staphaureus!$H$66:$H$69</c:f>
              <c:numCache>
                <c:formatCode>General</c:formatCode>
                <c:ptCount val="4"/>
                <c:pt idx="0">
                  <c:v>60</c:v>
                </c:pt>
                <c:pt idx="1">
                  <c:v>60</c:v>
                </c:pt>
                <c:pt idx="2">
                  <c:v>50</c:v>
                </c:pt>
                <c:pt idx="3">
                  <c:v>50</c:v>
                </c:pt>
              </c:numCache>
            </c:numRef>
          </c:xVal>
          <c:yVal>
            <c:numRef>
              <c:f>Staphaureus!$K$66:$K$69</c:f>
              <c:numCache>
                <c:formatCode>0.00</c:formatCode>
                <c:ptCount val="4"/>
                <c:pt idx="0">
                  <c:v>0.78532983501076703</c:v>
                </c:pt>
                <c:pt idx="1">
                  <c:v>0.54406804435027567</c:v>
                </c:pt>
                <c:pt idx="2">
                  <c:v>2.0400000000000005</c:v>
                </c:pt>
                <c:pt idx="3">
                  <c:v>1.9300000000000002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922-4EDD-BCBA-19C3B1AAC394}"/>
            </c:ext>
          </c:extLst>
        </c:ser>
        <c:ser>
          <c:idx val="4"/>
          <c:order val="4"/>
          <c:tx>
            <c:v>isolate M14</c:v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Staphaureus!$H$70:$H$73</c:f>
              <c:numCache>
                <c:formatCode>General</c:formatCode>
                <c:ptCount val="4"/>
                <c:pt idx="0">
                  <c:v>55</c:v>
                </c:pt>
                <c:pt idx="1">
                  <c:v>55</c:v>
                </c:pt>
                <c:pt idx="2">
                  <c:v>58</c:v>
                </c:pt>
                <c:pt idx="3">
                  <c:v>60</c:v>
                </c:pt>
              </c:numCache>
            </c:numRef>
          </c:xVal>
          <c:yVal>
            <c:numRef>
              <c:f>Staphaureus!$K$70:$K$73</c:f>
              <c:numCache>
                <c:formatCode>0.00</c:formatCode>
                <c:ptCount val="4"/>
                <c:pt idx="0">
                  <c:v>1.7700000000000005</c:v>
                </c:pt>
                <c:pt idx="1">
                  <c:v>1.51</c:v>
                </c:pt>
                <c:pt idx="2">
                  <c:v>1.2200000000000002</c:v>
                </c:pt>
                <c:pt idx="3">
                  <c:v>0.82000000000000006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922-4EDD-BCBA-19C3B1AAC394}"/>
            </c:ext>
          </c:extLst>
        </c:ser>
        <c:ser>
          <c:idx val="5"/>
          <c:order val="5"/>
          <c:tx>
            <c:v>isolate V48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Staphaureus!$H$74:$H$77</c:f>
              <c:numCache>
                <c:formatCode>General</c:formatCode>
                <c:ptCount val="4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70</c:v>
                </c:pt>
              </c:numCache>
            </c:numRef>
          </c:xVal>
          <c:yVal>
            <c:numRef>
              <c:f>Staphaureus!$K$74:$K$77</c:f>
              <c:numCache>
                <c:formatCode>0.00</c:formatCode>
                <c:ptCount val="4"/>
                <c:pt idx="0">
                  <c:v>0.73000000000000009</c:v>
                </c:pt>
                <c:pt idx="1">
                  <c:v>0.38000000000000006</c:v>
                </c:pt>
                <c:pt idx="2">
                  <c:v>8.0000000000000016E-2</c:v>
                </c:pt>
                <c:pt idx="3">
                  <c:v>2.0000000000000032E-2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922-4EDD-BCBA-19C3B1AAC394}"/>
            </c:ext>
          </c:extLst>
        </c:ser>
        <c:ser>
          <c:idx val="6"/>
          <c:order val="6"/>
          <c:tx>
            <c:v>MF31</c:v>
          </c:tx>
          <c:spPr>
            <a:ln w="28575"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Staphaureus!$H$78:$H$158</c:f>
              <c:numCache>
                <c:formatCode>General</c:formatCode>
                <c:ptCount val="81"/>
                <c:pt idx="0">
                  <c:v>75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65.5</c:v>
                </c:pt>
                <c:pt idx="19">
                  <c:v>60</c:v>
                </c:pt>
                <c:pt idx="20">
                  <c:v>65.5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60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60</c:v>
                </c:pt>
                <c:pt idx="31">
                  <c:v>60</c:v>
                </c:pt>
                <c:pt idx="32">
                  <c:v>60</c:v>
                </c:pt>
                <c:pt idx="33">
                  <c:v>50</c:v>
                </c:pt>
                <c:pt idx="34">
                  <c:v>55</c:v>
                </c:pt>
                <c:pt idx="35">
                  <c:v>60</c:v>
                </c:pt>
                <c:pt idx="36">
                  <c:v>54.5</c:v>
                </c:pt>
                <c:pt idx="37">
                  <c:v>55</c:v>
                </c:pt>
                <c:pt idx="38">
                  <c:v>55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60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60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60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60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</c:numCache>
            </c:numRef>
          </c:xVal>
          <c:yVal>
            <c:numRef>
              <c:f>Staphaureus!$K$78:$K$158</c:f>
              <c:numCache>
                <c:formatCode>0.00</c:formatCode>
                <c:ptCount val="81"/>
                <c:pt idx="0">
                  <c:v>-0.68</c:v>
                </c:pt>
                <c:pt idx="1">
                  <c:v>0.9242792860618817</c:v>
                </c:pt>
                <c:pt idx="2">
                  <c:v>0.9493900066449128</c:v>
                </c:pt>
                <c:pt idx="3">
                  <c:v>1.0791812460476249</c:v>
                </c:pt>
                <c:pt idx="4">
                  <c:v>0.7323937598229685</c:v>
                </c:pt>
                <c:pt idx="5">
                  <c:v>0.91381385238371671</c:v>
                </c:pt>
                <c:pt idx="6">
                  <c:v>0.85733249643126852</c:v>
                </c:pt>
                <c:pt idx="7">
                  <c:v>0.91381385238371671</c:v>
                </c:pt>
                <c:pt idx="8">
                  <c:v>0.3979400086720376</c:v>
                </c:pt>
                <c:pt idx="9">
                  <c:v>1.1038037209559568</c:v>
                </c:pt>
                <c:pt idx="10">
                  <c:v>0.94448267215016868</c:v>
                </c:pt>
                <c:pt idx="11">
                  <c:v>0.98677173426624487</c:v>
                </c:pt>
                <c:pt idx="12">
                  <c:v>0.7323937598229685</c:v>
                </c:pt>
                <c:pt idx="13">
                  <c:v>0.69897000433601886</c:v>
                </c:pt>
                <c:pt idx="14">
                  <c:v>0.70757017609793638</c:v>
                </c:pt>
                <c:pt idx="15">
                  <c:v>0.80617997398388719</c:v>
                </c:pt>
                <c:pt idx="16">
                  <c:v>0.84509804001425681</c:v>
                </c:pt>
                <c:pt idx="17">
                  <c:v>0.34202768808747175</c:v>
                </c:pt>
                <c:pt idx="18">
                  <c:v>-0.52870828894106148</c:v>
                </c:pt>
                <c:pt idx="19">
                  <c:v>0.49009900506330495</c:v>
                </c:pt>
                <c:pt idx="20">
                  <c:v>-0.79588001734407521</c:v>
                </c:pt>
                <c:pt idx="21">
                  <c:v>0.6637009253896482</c:v>
                </c:pt>
                <c:pt idx="22">
                  <c:v>0.98317507203781296</c:v>
                </c:pt>
                <c:pt idx="23">
                  <c:v>0.7395723444500919</c:v>
                </c:pt>
                <c:pt idx="24">
                  <c:v>0.81624129999178308</c:v>
                </c:pt>
                <c:pt idx="25">
                  <c:v>0.6503075231319364</c:v>
                </c:pt>
                <c:pt idx="26">
                  <c:v>0.80955971463526777</c:v>
                </c:pt>
                <c:pt idx="27">
                  <c:v>1.2699796766453237</c:v>
                </c:pt>
                <c:pt idx="28">
                  <c:v>1.4212747912103465</c:v>
                </c:pt>
                <c:pt idx="29">
                  <c:v>1.4546924492394768</c:v>
                </c:pt>
                <c:pt idx="30">
                  <c:v>1.4282968139828796</c:v>
                </c:pt>
                <c:pt idx="31">
                  <c:v>0.65417654187796048</c:v>
                </c:pt>
                <c:pt idx="32">
                  <c:v>0.75358305889290655</c:v>
                </c:pt>
                <c:pt idx="33">
                  <c:v>1.5327543789924978</c:v>
                </c:pt>
                <c:pt idx="34">
                  <c:v>1.1238516409670858</c:v>
                </c:pt>
                <c:pt idx="35">
                  <c:v>0.77085201164214423</c:v>
                </c:pt>
                <c:pt idx="36">
                  <c:v>1.8920946026904804</c:v>
                </c:pt>
                <c:pt idx="37">
                  <c:v>1.0644579892269184</c:v>
                </c:pt>
                <c:pt idx="38">
                  <c:v>1.2504200023088941</c:v>
                </c:pt>
                <c:pt idx="39">
                  <c:v>0.3979400086720376</c:v>
                </c:pt>
                <c:pt idx="40">
                  <c:v>0.49136169383427269</c:v>
                </c:pt>
                <c:pt idx="41">
                  <c:v>1.0863598306747482</c:v>
                </c:pt>
                <c:pt idx="42">
                  <c:v>1.167317334748176</c:v>
                </c:pt>
                <c:pt idx="43">
                  <c:v>-2.2276394711152253E-2</c:v>
                </c:pt>
                <c:pt idx="44">
                  <c:v>7.554696139253074E-2</c:v>
                </c:pt>
                <c:pt idx="45">
                  <c:v>0.3010299956639812</c:v>
                </c:pt>
                <c:pt idx="46">
                  <c:v>0.42651126136457523</c:v>
                </c:pt>
                <c:pt idx="47">
                  <c:v>0.47567118832442967</c:v>
                </c:pt>
                <c:pt idx="48">
                  <c:v>0.26245108973042947</c:v>
                </c:pt>
                <c:pt idx="49">
                  <c:v>6.8185861746161619E-2</c:v>
                </c:pt>
                <c:pt idx="50">
                  <c:v>0.20411998265592479</c:v>
                </c:pt>
                <c:pt idx="51">
                  <c:v>0.26717172840301384</c:v>
                </c:pt>
                <c:pt idx="52">
                  <c:v>0.64738297011461987</c:v>
                </c:pt>
                <c:pt idx="53">
                  <c:v>-3.1517051446064863E-2</c:v>
                </c:pt>
                <c:pt idx="54">
                  <c:v>2.5305865264770262E-2</c:v>
                </c:pt>
                <c:pt idx="55">
                  <c:v>0.25527250510330607</c:v>
                </c:pt>
                <c:pt idx="56">
                  <c:v>0.42324587393680785</c:v>
                </c:pt>
                <c:pt idx="57">
                  <c:v>0.88252453795488051</c:v>
                </c:pt>
                <c:pt idx="58">
                  <c:v>7.1882007306125359E-2</c:v>
                </c:pt>
                <c:pt idx="59">
                  <c:v>7.554696139253074E-2</c:v>
                </c:pt>
                <c:pt idx="60">
                  <c:v>0.6599162000698503</c:v>
                </c:pt>
                <c:pt idx="61">
                  <c:v>0.71767050300226209</c:v>
                </c:pt>
                <c:pt idx="62">
                  <c:v>0.80140371001735511</c:v>
                </c:pt>
                <c:pt idx="63">
                  <c:v>0.13353890837021754</c:v>
                </c:pt>
                <c:pt idx="64">
                  <c:v>0.14612803567823801</c:v>
                </c:pt>
                <c:pt idx="65">
                  <c:v>0.82672252016899206</c:v>
                </c:pt>
                <c:pt idx="66">
                  <c:v>0.88252453795488051</c:v>
                </c:pt>
                <c:pt idx="67">
                  <c:v>0.92064500140678762</c:v>
                </c:pt>
                <c:pt idx="68">
                  <c:v>-2.2276394711152253E-2</c:v>
                </c:pt>
                <c:pt idx="69">
                  <c:v>0.20411998265592479</c:v>
                </c:pt>
                <c:pt idx="70">
                  <c:v>0.78247262416628616</c:v>
                </c:pt>
                <c:pt idx="71">
                  <c:v>0.93550726582471277</c:v>
                </c:pt>
                <c:pt idx="72">
                  <c:v>1.0603200286882852</c:v>
                </c:pt>
                <c:pt idx="73">
                  <c:v>7.9181246047624818E-2</c:v>
                </c:pt>
                <c:pt idx="74">
                  <c:v>-7.0581074285707285E-2</c:v>
                </c:pt>
                <c:pt idx="75">
                  <c:v>5.3078443483419682E-2</c:v>
                </c:pt>
                <c:pt idx="76">
                  <c:v>0.19589965240923377</c:v>
                </c:pt>
                <c:pt idx="77">
                  <c:v>0.26245108973042947</c:v>
                </c:pt>
                <c:pt idx="78">
                  <c:v>-4.3648054024500883E-3</c:v>
                </c:pt>
                <c:pt idx="79">
                  <c:v>0</c:v>
                </c:pt>
                <c:pt idx="80">
                  <c:v>7.9181246047624818E-2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922-4EDD-BCBA-19C3B1AAC394}"/>
            </c:ext>
          </c:extLst>
        </c:ser>
        <c:ser>
          <c:idx val="7"/>
          <c:order val="7"/>
          <c:tx>
            <c:v>MS149</c:v>
          </c:tx>
          <c:spPr>
            <a:ln w="28575">
              <a:noFill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Staphaureus!$H$159:$H$164</c:f>
              <c:numCache>
                <c:formatCode>General</c:formatCode>
                <c:ptCount val="6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</c:numCache>
            </c:numRef>
          </c:xVal>
          <c:yVal>
            <c:numRef>
              <c:f>Staphaureus!$K$159:$K$164</c:f>
              <c:numCache>
                <c:formatCode>0.00</c:formatCode>
                <c:ptCount val="6"/>
                <c:pt idx="0">
                  <c:v>0.22271647114758325</c:v>
                </c:pt>
                <c:pt idx="1">
                  <c:v>8.6359830674748214E-2</c:v>
                </c:pt>
                <c:pt idx="2">
                  <c:v>0.18752072083646307</c:v>
                </c:pt>
                <c:pt idx="3">
                  <c:v>4.3213737826425782E-3</c:v>
                </c:pt>
                <c:pt idx="4">
                  <c:v>0.22271647114758325</c:v>
                </c:pt>
                <c:pt idx="5">
                  <c:v>0.21484384804769785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922-4EDD-BCBA-19C3B1AAC394}"/>
            </c:ext>
          </c:extLst>
        </c:ser>
        <c:ser>
          <c:idx val="8"/>
          <c:order val="8"/>
          <c:tx>
            <c:v>NCTC 10652</c:v>
          </c:tx>
          <c:spPr>
            <a:ln w="28575">
              <a:noFill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xVal>
            <c:numRef>
              <c:f>Staphaureus!$H$95:$H$154</c:f>
              <c:numCache>
                <c:formatCode>General</c:formatCode>
                <c:ptCount val="60"/>
                <c:pt idx="0">
                  <c:v>60</c:v>
                </c:pt>
                <c:pt idx="1">
                  <c:v>65.5</c:v>
                </c:pt>
                <c:pt idx="2">
                  <c:v>60</c:v>
                </c:pt>
                <c:pt idx="3">
                  <c:v>65.5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50</c:v>
                </c:pt>
                <c:pt idx="17">
                  <c:v>55</c:v>
                </c:pt>
                <c:pt idx="18">
                  <c:v>60</c:v>
                </c:pt>
                <c:pt idx="19">
                  <c:v>54.5</c:v>
                </c:pt>
                <c:pt idx="20">
                  <c:v>55</c:v>
                </c:pt>
                <c:pt idx="21">
                  <c:v>55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60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60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60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60</c:v>
                </c:pt>
                <c:pt idx="59">
                  <c:v>60</c:v>
                </c:pt>
              </c:numCache>
            </c:numRef>
          </c:xVal>
          <c:yVal>
            <c:numRef>
              <c:f>Staphaureus!$K$95:$K$154</c:f>
              <c:numCache>
                <c:formatCode>0.00</c:formatCode>
                <c:ptCount val="60"/>
                <c:pt idx="0">
                  <c:v>0.34202768808747175</c:v>
                </c:pt>
                <c:pt idx="1">
                  <c:v>-0.52870828894106148</c:v>
                </c:pt>
                <c:pt idx="2">
                  <c:v>0.49009900506330495</c:v>
                </c:pt>
                <c:pt idx="3">
                  <c:v>-0.79588001734407521</c:v>
                </c:pt>
                <c:pt idx="4">
                  <c:v>0.6637009253896482</c:v>
                </c:pt>
                <c:pt idx="5">
                  <c:v>0.98317507203781296</c:v>
                </c:pt>
                <c:pt idx="6">
                  <c:v>0.7395723444500919</c:v>
                </c:pt>
                <c:pt idx="7">
                  <c:v>0.81624129999178308</c:v>
                </c:pt>
                <c:pt idx="8">
                  <c:v>0.6503075231319364</c:v>
                </c:pt>
                <c:pt idx="9">
                  <c:v>0.80955971463526777</c:v>
                </c:pt>
                <c:pt idx="10">
                  <c:v>1.2699796766453237</c:v>
                </c:pt>
                <c:pt idx="11">
                  <c:v>1.4212747912103465</c:v>
                </c:pt>
                <c:pt idx="12">
                  <c:v>1.4546924492394768</c:v>
                </c:pt>
                <c:pt idx="13">
                  <c:v>1.4282968139828796</c:v>
                </c:pt>
                <c:pt idx="14">
                  <c:v>0.65417654187796048</c:v>
                </c:pt>
                <c:pt idx="15">
                  <c:v>0.75358305889290655</c:v>
                </c:pt>
                <c:pt idx="16">
                  <c:v>1.5327543789924978</c:v>
                </c:pt>
                <c:pt idx="17">
                  <c:v>1.1238516409670858</c:v>
                </c:pt>
                <c:pt idx="18">
                  <c:v>0.77085201164214423</c:v>
                </c:pt>
                <c:pt idx="19">
                  <c:v>1.8920946026904804</c:v>
                </c:pt>
                <c:pt idx="20">
                  <c:v>1.0644579892269184</c:v>
                </c:pt>
                <c:pt idx="21">
                  <c:v>1.2504200023088941</c:v>
                </c:pt>
                <c:pt idx="22">
                  <c:v>0.3979400086720376</c:v>
                </c:pt>
                <c:pt idx="23">
                  <c:v>0.49136169383427269</c:v>
                </c:pt>
                <c:pt idx="24">
                  <c:v>1.0863598306747482</c:v>
                </c:pt>
                <c:pt idx="25">
                  <c:v>1.167317334748176</c:v>
                </c:pt>
                <c:pt idx="26">
                  <c:v>-2.2276394711152253E-2</c:v>
                </c:pt>
                <c:pt idx="27">
                  <c:v>7.554696139253074E-2</c:v>
                </c:pt>
                <c:pt idx="28">
                  <c:v>0.3010299956639812</c:v>
                </c:pt>
                <c:pt idx="29">
                  <c:v>0.42651126136457523</c:v>
                </c:pt>
                <c:pt idx="30">
                  <c:v>0.47567118832442967</c:v>
                </c:pt>
                <c:pt idx="31">
                  <c:v>0.26245108973042947</c:v>
                </c:pt>
                <c:pt idx="32">
                  <c:v>6.8185861746161619E-2</c:v>
                </c:pt>
                <c:pt idx="33">
                  <c:v>0.20411998265592479</c:v>
                </c:pt>
                <c:pt idx="34">
                  <c:v>0.26717172840301384</c:v>
                </c:pt>
                <c:pt idx="35">
                  <c:v>0.64738297011461987</c:v>
                </c:pt>
                <c:pt idx="36">
                  <c:v>-3.1517051446064863E-2</c:v>
                </c:pt>
                <c:pt idx="37">
                  <c:v>2.5305865264770262E-2</c:v>
                </c:pt>
                <c:pt idx="38">
                  <c:v>0.25527250510330607</c:v>
                </c:pt>
                <c:pt idx="39">
                  <c:v>0.42324587393680785</c:v>
                </c:pt>
                <c:pt idx="40">
                  <c:v>0.88252453795488051</c:v>
                </c:pt>
                <c:pt idx="41">
                  <c:v>7.1882007306125359E-2</c:v>
                </c:pt>
                <c:pt idx="42">
                  <c:v>7.554696139253074E-2</c:v>
                </c:pt>
                <c:pt idx="43">
                  <c:v>0.6599162000698503</c:v>
                </c:pt>
                <c:pt idx="44">
                  <c:v>0.71767050300226209</c:v>
                </c:pt>
                <c:pt idx="45">
                  <c:v>0.80140371001735511</c:v>
                </c:pt>
                <c:pt idx="46">
                  <c:v>0.13353890837021754</c:v>
                </c:pt>
                <c:pt idx="47">
                  <c:v>0.14612803567823801</c:v>
                </c:pt>
                <c:pt idx="48">
                  <c:v>0.82672252016899206</c:v>
                </c:pt>
                <c:pt idx="49">
                  <c:v>0.88252453795488051</c:v>
                </c:pt>
                <c:pt idx="50">
                  <c:v>0.92064500140678762</c:v>
                </c:pt>
                <c:pt idx="51">
                  <c:v>-2.2276394711152253E-2</c:v>
                </c:pt>
                <c:pt idx="52">
                  <c:v>0.20411998265592479</c:v>
                </c:pt>
                <c:pt idx="53">
                  <c:v>0.78247262416628616</c:v>
                </c:pt>
                <c:pt idx="54">
                  <c:v>0.93550726582471277</c:v>
                </c:pt>
                <c:pt idx="55">
                  <c:v>1.0603200286882852</c:v>
                </c:pt>
                <c:pt idx="56">
                  <c:v>7.9181246047624818E-2</c:v>
                </c:pt>
                <c:pt idx="57">
                  <c:v>-7.0581074285707285E-2</c:v>
                </c:pt>
                <c:pt idx="58">
                  <c:v>5.3078443483419682E-2</c:v>
                </c:pt>
                <c:pt idx="59">
                  <c:v>0.19589965240923377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922-4EDD-BCBA-19C3B1AAC394}"/>
            </c:ext>
          </c:extLst>
        </c:ser>
        <c:ser>
          <c:idx val="9"/>
          <c:order val="9"/>
          <c:tx>
            <c:v>UNknown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CCFFFF"/>
              </a:solidFill>
              <a:ln>
                <a:solidFill>
                  <a:srgbClr val="CCFFFF"/>
                </a:solidFill>
                <a:prstDash val="solid"/>
              </a:ln>
            </c:spPr>
          </c:marker>
          <c:xVal>
            <c:numRef>
              <c:f>Staphaureus!$H$214:$H$238</c:f>
              <c:numCache>
                <c:formatCode>General</c:formatCode>
                <c:ptCount val="25"/>
                <c:pt idx="0">
                  <c:v>76</c:v>
                </c:pt>
                <c:pt idx="1">
                  <c:v>76</c:v>
                </c:pt>
                <c:pt idx="2">
                  <c:v>85</c:v>
                </c:pt>
                <c:pt idx="3">
                  <c:v>85</c:v>
                </c:pt>
                <c:pt idx="4">
                  <c:v>90</c:v>
                </c:pt>
                <c:pt idx="5">
                  <c:v>90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70</c:v>
                </c:pt>
                <c:pt idx="10">
                  <c:v>70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80</c:v>
                </c:pt>
                <c:pt idx="15">
                  <c:v>80</c:v>
                </c:pt>
                <c:pt idx="16">
                  <c:v>85</c:v>
                </c:pt>
                <c:pt idx="17">
                  <c:v>85</c:v>
                </c:pt>
                <c:pt idx="18">
                  <c:v>90</c:v>
                </c:pt>
                <c:pt idx="19">
                  <c:v>90</c:v>
                </c:pt>
                <c:pt idx="20">
                  <c:v>90</c:v>
                </c:pt>
                <c:pt idx="21">
                  <c:v>95</c:v>
                </c:pt>
                <c:pt idx="22">
                  <c:v>95</c:v>
                </c:pt>
                <c:pt idx="23">
                  <c:v>60</c:v>
                </c:pt>
                <c:pt idx="24">
                  <c:v>76</c:v>
                </c:pt>
              </c:numCache>
            </c:numRef>
          </c:xVal>
          <c:yVal>
            <c:numRef>
              <c:f>Staphaureus!$K$214:$K$238</c:f>
              <c:numCache>
                <c:formatCode>0.00</c:formatCode>
                <c:ptCount val="25"/>
                <c:pt idx="0">
                  <c:v>0.23044892137827391</c:v>
                </c:pt>
                <c:pt idx="1">
                  <c:v>0.46239799789895608</c:v>
                </c:pt>
                <c:pt idx="2">
                  <c:v>-0.52287874528033762</c:v>
                </c:pt>
                <c:pt idx="3">
                  <c:v>4.1392685158225077E-2</c:v>
                </c:pt>
                <c:pt idx="4">
                  <c:v>-0.3979400086720376</c:v>
                </c:pt>
                <c:pt idx="5">
                  <c:v>-0.3979400086720376</c:v>
                </c:pt>
                <c:pt idx="6">
                  <c:v>1.0600000000000003</c:v>
                </c:pt>
                <c:pt idx="7">
                  <c:v>0.9900000000000001</c:v>
                </c:pt>
                <c:pt idx="8">
                  <c:v>0.92</c:v>
                </c:pt>
                <c:pt idx="9">
                  <c:v>0.57000000000000006</c:v>
                </c:pt>
                <c:pt idx="10">
                  <c:v>0.33999999999999997</c:v>
                </c:pt>
                <c:pt idx="11">
                  <c:v>0.48000000000000004</c:v>
                </c:pt>
                <c:pt idx="12">
                  <c:v>0.25000000000000006</c:v>
                </c:pt>
                <c:pt idx="13">
                  <c:v>0.31000000000000005</c:v>
                </c:pt>
                <c:pt idx="14">
                  <c:v>0.48000000000000004</c:v>
                </c:pt>
                <c:pt idx="15">
                  <c:v>0.25000000000000006</c:v>
                </c:pt>
                <c:pt idx="16">
                  <c:v>0.15999999999999998</c:v>
                </c:pt>
                <c:pt idx="17">
                  <c:v>-0.21999999999999997</c:v>
                </c:pt>
                <c:pt idx="18">
                  <c:v>9.0000000000000024E-2</c:v>
                </c:pt>
                <c:pt idx="19">
                  <c:v>2.0000000000000032E-2</c:v>
                </c:pt>
                <c:pt idx="20">
                  <c:v>-0.12000000000000006</c:v>
                </c:pt>
                <c:pt idx="21">
                  <c:v>0.20000000000000004</c:v>
                </c:pt>
                <c:pt idx="22">
                  <c:v>-0.19000000000000006</c:v>
                </c:pt>
                <c:pt idx="23">
                  <c:v>0.95904139232109353</c:v>
                </c:pt>
                <c:pt idx="24">
                  <c:v>4.1392685158225077E-2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922-4EDD-BCBA-19C3B1AAC394}"/>
            </c:ext>
          </c:extLst>
        </c:ser>
        <c:ser>
          <c:idx val="10"/>
          <c:order val="10"/>
          <c:tx>
            <c:v>NCTC 10656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xVal>
            <c:numRef>
              <c:f>Staphaureus!$H$165:$H$168</c:f>
              <c:numCache>
                <c:formatCode>General</c:formatCode>
                <c:ptCount val="4"/>
                <c:pt idx="0">
                  <c:v>60</c:v>
                </c:pt>
                <c:pt idx="1">
                  <c:v>60</c:v>
                </c:pt>
                <c:pt idx="2">
                  <c:v>65.5</c:v>
                </c:pt>
                <c:pt idx="3">
                  <c:v>60</c:v>
                </c:pt>
              </c:numCache>
            </c:numRef>
          </c:xVal>
          <c:yVal>
            <c:numRef>
              <c:f>Staphaureus!$K$165:$K$168</c:f>
              <c:numCache>
                <c:formatCode>0.00</c:formatCode>
                <c:ptCount val="4"/>
                <c:pt idx="0">
                  <c:v>-6.5501548756432285E-2</c:v>
                </c:pt>
                <c:pt idx="1">
                  <c:v>0.39093510710337914</c:v>
                </c:pt>
                <c:pt idx="2">
                  <c:v>-0.57839607313016894</c:v>
                </c:pt>
                <c:pt idx="3">
                  <c:v>0.3100557377508914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922-4EDD-BCBA-19C3B1AAC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551824"/>
        <c:axId val="1"/>
      </c:scatterChart>
      <c:valAx>
        <c:axId val="482551824"/>
        <c:scaling>
          <c:orientation val="minMax"/>
          <c:min val="5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8255182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9075683186660497"/>
          <c:y val="3.5128805620608897E-2"/>
          <c:w val="0.29747916804517083"/>
          <c:h val="0.9297433722424041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NCTC 10652</a:t>
            </a:r>
          </a:p>
        </c:rich>
      </c:tx>
      <c:layout>
        <c:manualLayout>
          <c:xMode val="edge"/>
          <c:yMode val="edge"/>
          <c:x val="0.39936641834192277"/>
          <c:y val="2.985074626865671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618074777506854"/>
          <c:y val="0.1769724656979462"/>
          <c:w val="0.61648225200748752"/>
          <c:h val="0.76545921910316483"/>
        </c:manualLayout>
      </c:layout>
      <c:scatterChart>
        <c:scatterStyle val="lineMarker"/>
        <c:varyColors val="0"/>
        <c:ser>
          <c:idx val="0"/>
          <c:order val="0"/>
          <c:tx>
            <c:v>mackerel and oil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Staphaureus!$H$206:$H$236</c:f>
              <c:numCache>
                <c:formatCode>General</c:formatCode>
                <c:ptCount val="31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70</c:v>
                </c:pt>
                <c:pt idx="7">
                  <c:v>70</c:v>
                </c:pt>
                <c:pt idx="8">
                  <c:v>76</c:v>
                </c:pt>
                <c:pt idx="9">
                  <c:v>76</c:v>
                </c:pt>
                <c:pt idx="10">
                  <c:v>85</c:v>
                </c:pt>
                <c:pt idx="11">
                  <c:v>85</c:v>
                </c:pt>
                <c:pt idx="12">
                  <c:v>90</c:v>
                </c:pt>
                <c:pt idx="13">
                  <c:v>90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70</c:v>
                </c:pt>
                <c:pt idx="18">
                  <c:v>70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80</c:v>
                </c:pt>
                <c:pt idx="23">
                  <c:v>80</c:v>
                </c:pt>
                <c:pt idx="24">
                  <c:v>85</c:v>
                </c:pt>
                <c:pt idx="25">
                  <c:v>85</c:v>
                </c:pt>
                <c:pt idx="26">
                  <c:v>90</c:v>
                </c:pt>
                <c:pt idx="27">
                  <c:v>90</c:v>
                </c:pt>
                <c:pt idx="28">
                  <c:v>90</c:v>
                </c:pt>
                <c:pt idx="29">
                  <c:v>95</c:v>
                </c:pt>
                <c:pt idx="30">
                  <c:v>95</c:v>
                </c:pt>
              </c:numCache>
            </c:numRef>
          </c:xVal>
          <c:yVal>
            <c:numRef>
              <c:f>Staphaureus!$K$206:$K$236</c:f>
              <c:numCache>
                <c:formatCode>0.00</c:formatCode>
                <c:ptCount val="31"/>
                <c:pt idx="0">
                  <c:v>0.59106460702649921</c:v>
                </c:pt>
                <c:pt idx="1">
                  <c:v>0.80617997398388719</c:v>
                </c:pt>
                <c:pt idx="2">
                  <c:v>0.70757017609793638</c:v>
                </c:pt>
                <c:pt idx="3">
                  <c:v>0.77815125038364363</c:v>
                </c:pt>
                <c:pt idx="4">
                  <c:v>1.3117538610557542</c:v>
                </c:pt>
                <c:pt idx="5">
                  <c:v>1.3010299956639813</c:v>
                </c:pt>
                <c:pt idx="6">
                  <c:v>0.54406804435027567</c:v>
                </c:pt>
                <c:pt idx="7">
                  <c:v>0.49136169383427269</c:v>
                </c:pt>
                <c:pt idx="8">
                  <c:v>0.23044892137827391</c:v>
                </c:pt>
                <c:pt idx="9">
                  <c:v>0.46239799789895608</c:v>
                </c:pt>
                <c:pt idx="10">
                  <c:v>-0.52287874528033762</c:v>
                </c:pt>
                <c:pt idx="11">
                  <c:v>4.1392685158225077E-2</c:v>
                </c:pt>
                <c:pt idx="12">
                  <c:v>-0.3979400086720376</c:v>
                </c:pt>
                <c:pt idx="13">
                  <c:v>-0.3979400086720376</c:v>
                </c:pt>
                <c:pt idx="14">
                  <c:v>1.0600000000000003</c:v>
                </c:pt>
                <c:pt idx="15">
                  <c:v>0.9900000000000001</c:v>
                </c:pt>
                <c:pt idx="16">
                  <c:v>0.92</c:v>
                </c:pt>
                <c:pt idx="17">
                  <c:v>0.57000000000000006</c:v>
                </c:pt>
                <c:pt idx="18">
                  <c:v>0.33999999999999997</c:v>
                </c:pt>
                <c:pt idx="19">
                  <c:v>0.48000000000000004</c:v>
                </c:pt>
                <c:pt idx="20">
                  <c:v>0.25000000000000006</c:v>
                </c:pt>
                <c:pt idx="21">
                  <c:v>0.31000000000000005</c:v>
                </c:pt>
                <c:pt idx="22">
                  <c:v>0.48000000000000004</c:v>
                </c:pt>
                <c:pt idx="23">
                  <c:v>0.25000000000000006</c:v>
                </c:pt>
                <c:pt idx="24">
                  <c:v>0.15999999999999998</c:v>
                </c:pt>
                <c:pt idx="25">
                  <c:v>-0.21999999999999997</c:v>
                </c:pt>
                <c:pt idx="26">
                  <c:v>9.0000000000000024E-2</c:v>
                </c:pt>
                <c:pt idx="27">
                  <c:v>2.0000000000000032E-2</c:v>
                </c:pt>
                <c:pt idx="28">
                  <c:v>-0.12000000000000006</c:v>
                </c:pt>
                <c:pt idx="29">
                  <c:v>0.20000000000000004</c:v>
                </c:pt>
                <c:pt idx="30">
                  <c:v>-0.19000000000000006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28-480E-9D5D-7C4BA25030EA}"/>
            </c:ext>
          </c:extLst>
        </c:ser>
        <c:ser>
          <c:idx val="1"/>
          <c:order val="1"/>
          <c:tx>
            <c:v>soya oil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Staphaureus!$H$237:$H$240</c:f>
              <c:numCache>
                <c:formatCode>General</c:formatCode>
                <c:ptCount val="4"/>
                <c:pt idx="0">
                  <c:v>60</c:v>
                </c:pt>
                <c:pt idx="1">
                  <c:v>76</c:v>
                </c:pt>
                <c:pt idx="2">
                  <c:v>80</c:v>
                </c:pt>
                <c:pt idx="3">
                  <c:v>85</c:v>
                </c:pt>
              </c:numCache>
            </c:numRef>
          </c:xVal>
          <c:yVal>
            <c:numRef>
              <c:f>Staphaureus!$K$237:$K$240</c:f>
              <c:numCache>
                <c:formatCode>0.00</c:formatCode>
                <c:ptCount val="4"/>
                <c:pt idx="0">
                  <c:v>0.95904139232109353</c:v>
                </c:pt>
                <c:pt idx="1">
                  <c:v>4.1392685158225077E-2</c:v>
                </c:pt>
                <c:pt idx="2">
                  <c:v>0.11394335230683679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428-480E-9D5D-7C4BA25030EA}"/>
            </c:ext>
          </c:extLst>
        </c:ser>
        <c:ser>
          <c:idx val="2"/>
          <c:order val="2"/>
          <c:tx>
            <c:v>Water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Staphaureus!$H$241:$H$244</c:f>
              <c:numCache>
                <c:formatCode>General</c:formatCode>
                <c:ptCount val="4"/>
                <c:pt idx="0">
                  <c:v>60</c:v>
                </c:pt>
                <c:pt idx="1">
                  <c:v>60</c:v>
                </c:pt>
                <c:pt idx="2">
                  <c:v>76</c:v>
                </c:pt>
                <c:pt idx="3">
                  <c:v>76</c:v>
                </c:pt>
              </c:numCache>
            </c:numRef>
          </c:xVal>
          <c:yVal>
            <c:numRef>
              <c:f>Staphaureus!$K$241:$K$244</c:f>
              <c:numCache>
                <c:formatCode>0.00</c:formatCode>
                <c:ptCount val="4"/>
                <c:pt idx="0">
                  <c:v>0.3222192947339193</c:v>
                </c:pt>
                <c:pt idx="1">
                  <c:v>0.34242268082220628</c:v>
                </c:pt>
                <c:pt idx="2">
                  <c:v>-9.6910013008056392E-2</c:v>
                </c:pt>
                <c:pt idx="3">
                  <c:v>-0.15490195998574319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428-480E-9D5D-7C4BA25030EA}"/>
            </c:ext>
          </c:extLst>
        </c:ser>
        <c:ser>
          <c:idx val="3"/>
          <c:order val="3"/>
          <c:tx>
            <c:v>Pork</c:v>
          </c:tx>
          <c:spPr>
            <a:ln w="28575"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Staphaureus!$H$99:$H$110</c:f>
              <c:numCache>
                <c:formatCode>General</c:formatCode>
                <c:ptCount val="12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</c:numCache>
            </c:numRef>
          </c:xVal>
          <c:yVal>
            <c:numRef>
              <c:f>Staphaureus!$K$99:$K$110</c:f>
              <c:numCache>
                <c:formatCode>0.00</c:formatCode>
                <c:ptCount val="12"/>
                <c:pt idx="0">
                  <c:v>0.6637009253896482</c:v>
                </c:pt>
                <c:pt idx="1">
                  <c:v>0.98317507203781296</c:v>
                </c:pt>
                <c:pt idx="2">
                  <c:v>0.7395723444500919</c:v>
                </c:pt>
                <c:pt idx="3">
                  <c:v>0.81624129999178308</c:v>
                </c:pt>
                <c:pt idx="4">
                  <c:v>0.6503075231319364</c:v>
                </c:pt>
                <c:pt idx="5">
                  <c:v>0.80955971463526777</c:v>
                </c:pt>
                <c:pt idx="6">
                  <c:v>1.2699796766453237</c:v>
                </c:pt>
                <c:pt idx="7">
                  <c:v>1.4212747912103465</c:v>
                </c:pt>
                <c:pt idx="8">
                  <c:v>1.4546924492394768</c:v>
                </c:pt>
                <c:pt idx="9">
                  <c:v>1.4282968139828796</c:v>
                </c:pt>
                <c:pt idx="10">
                  <c:v>0.65417654187796048</c:v>
                </c:pt>
                <c:pt idx="11">
                  <c:v>0.75358305889290655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428-480E-9D5D-7C4BA25030EA}"/>
            </c:ext>
          </c:extLst>
        </c:ser>
        <c:ser>
          <c:idx val="4"/>
          <c:order val="4"/>
          <c:tx>
            <c:v>Buffer</c:v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Staphaureus!$H$121:$H$165</c:f>
              <c:numCache>
                <c:formatCode>General</c:formatCode>
                <c:ptCount val="45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60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60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60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</c:numCache>
            </c:numRef>
          </c:xVal>
          <c:yVal>
            <c:numRef>
              <c:f>Staphaureus!$K$121:$K$165</c:f>
              <c:numCache>
                <c:formatCode>0.00</c:formatCode>
                <c:ptCount val="45"/>
                <c:pt idx="0">
                  <c:v>-2.2276394711152253E-2</c:v>
                </c:pt>
                <c:pt idx="1">
                  <c:v>7.554696139253074E-2</c:v>
                </c:pt>
                <c:pt idx="2">
                  <c:v>0.3010299956639812</c:v>
                </c:pt>
                <c:pt idx="3">
                  <c:v>0.42651126136457523</c:v>
                </c:pt>
                <c:pt idx="4">
                  <c:v>0.47567118832442967</c:v>
                </c:pt>
                <c:pt idx="5">
                  <c:v>0.26245108973042947</c:v>
                </c:pt>
                <c:pt idx="6">
                  <c:v>6.8185861746161619E-2</c:v>
                </c:pt>
                <c:pt idx="7">
                  <c:v>0.20411998265592479</c:v>
                </c:pt>
                <c:pt idx="8">
                  <c:v>0.26717172840301384</c:v>
                </c:pt>
                <c:pt idx="9">
                  <c:v>0.64738297011461987</c:v>
                </c:pt>
                <c:pt idx="10">
                  <c:v>-3.1517051446064863E-2</c:v>
                </c:pt>
                <c:pt idx="11">
                  <c:v>2.5305865264770262E-2</c:v>
                </c:pt>
                <c:pt idx="12">
                  <c:v>0.25527250510330607</c:v>
                </c:pt>
                <c:pt idx="13">
                  <c:v>0.42324587393680785</c:v>
                </c:pt>
                <c:pt idx="14">
                  <c:v>0.88252453795488051</c:v>
                </c:pt>
                <c:pt idx="15">
                  <c:v>7.1882007306125359E-2</c:v>
                </c:pt>
                <c:pt idx="16">
                  <c:v>7.554696139253074E-2</c:v>
                </c:pt>
                <c:pt idx="17">
                  <c:v>0.6599162000698503</c:v>
                </c:pt>
                <c:pt idx="18">
                  <c:v>0.71767050300226209</c:v>
                </c:pt>
                <c:pt idx="19">
                  <c:v>0.80140371001735511</c:v>
                </c:pt>
                <c:pt idx="20">
                  <c:v>0.13353890837021754</c:v>
                </c:pt>
                <c:pt idx="21">
                  <c:v>0.14612803567823801</c:v>
                </c:pt>
                <c:pt idx="22">
                  <c:v>0.82672252016899206</c:v>
                </c:pt>
                <c:pt idx="23">
                  <c:v>0.88252453795488051</c:v>
                </c:pt>
                <c:pt idx="24">
                  <c:v>0.92064500140678762</c:v>
                </c:pt>
                <c:pt idx="25">
                  <c:v>-2.2276394711152253E-2</c:v>
                </c:pt>
                <c:pt idx="26">
                  <c:v>0.20411998265592479</c:v>
                </c:pt>
                <c:pt idx="27">
                  <c:v>0.78247262416628616</c:v>
                </c:pt>
                <c:pt idx="28">
                  <c:v>0.93550726582471277</c:v>
                </c:pt>
                <c:pt idx="29">
                  <c:v>1.0603200286882852</c:v>
                </c:pt>
                <c:pt idx="30">
                  <c:v>7.9181246047624818E-2</c:v>
                </c:pt>
                <c:pt idx="31">
                  <c:v>-7.0581074285707285E-2</c:v>
                </c:pt>
                <c:pt idx="32">
                  <c:v>5.3078443483419682E-2</c:v>
                </c:pt>
                <c:pt idx="33">
                  <c:v>0.19589965240923377</c:v>
                </c:pt>
                <c:pt idx="34">
                  <c:v>0.26245108973042947</c:v>
                </c:pt>
                <c:pt idx="35">
                  <c:v>-4.3648054024500883E-3</c:v>
                </c:pt>
                <c:pt idx="36">
                  <c:v>0</c:v>
                </c:pt>
                <c:pt idx="37">
                  <c:v>7.9181246047624818E-2</c:v>
                </c:pt>
                <c:pt idx="38">
                  <c:v>0.22271647114758325</c:v>
                </c:pt>
                <c:pt idx="39">
                  <c:v>8.6359830674748214E-2</c:v>
                </c:pt>
                <c:pt idx="40">
                  <c:v>0.18752072083646307</c:v>
                </c:pt>
                <c:pt idx="41">
                  <c:v>4.3213737826425782E-3</c:v>
                </c:pt>
                <c:pt idx="42">
                  <c:v>0.22271647114758325</c:v>
                </c:pt>
                <c:pt idx="43">
                  <c:v>0.21484384804769785</c:v>
                </c:pt>
                <c:pt idx="44">
                  <c:v>-6.5501548756432285E-2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428-480E-9D5D-7C4BA25030EA}"/>
            </c:ext>
          </c:extLst>
        </c:ser>
        <c:ser>
          <c:idx val="5"/>
          <c:order val="5"/>
          <c:tx>
            <c:v>Poultry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Staphaureus!$H$111:$H$113</c:f>
              <c:numCache>
                <c:formatCode>General</c:formatCode>
                <c:ptCount val="3"/>
                <c:pt idx="0">
                  <c:v>50</c:v>
                </c:pt>
                <c:pt idx="1">
                  <c:v>55</c:v>
                </c:pt>
                <c:pt idx="2">
                  <c:v>60</c:v>
                </c:pt>
              </c:numCache>
            </c:numRef>
          </c:xVal>
          <c:yVal>
            <c:numRef>
              <c:f>Staphaureus!$K$111:$K$113</c:f>
              <c:numCache>
                <c:formatCode>0.00</c:formatCode>
                <c:ptCount val="3"/>
                <c:pt idx="0">
                  <c:v>1.5327543789924978</c:v>
                </c:pt>
                <c:pt idx="1">
                  <c:v>1.1238516409670858</c:v>
                </c:pt>
                <c:pt idx="2">
                  <c:v>0.77085201164214423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428-480E-9D5D-7C4BA25030EA}"/>
            </c:ext>
          </c:extLst>
        </c:ser>
        <c:ser>
          <c:idx val="6"/>
          <c:order val="6"/>
          <c:tx>
            <c:v>UHT milk</c:v>
          </c:tx>
          <c:spPr>
            <a:ln w="28575"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Staphaureus!$H$30:$H$32</c:f>
              <c:numCache>
                <c:formatCode>General</c:formatCode>
                <c:ptCount val="3"/>
                <c:pt idx="0">
                  <c:v>50</c:v>
                </c:pt>
                <c:pt idx="1">
                  <c:v>55</c:v>
                </c:pt>
                <c:pt idx="2">
                  <c:v>60</c:v>
                </c:pt>
              </c:numCache>
            </c:numRef>
          </c:xVal>
          <c:yVal>
            <c:numRef>
              <c:f>Staphaureus!$K$30:$K$32</c:f>
              <c:numCache>
                <c:formatCode>0.00</c:formatCode>
                <c:ptCount val="3"/>
                <c:pt idx="0">
                  <c:v>2.2730012720637376</c:v>
                </c:pt>
                <c:pt idx="1">
                  <c:v>1.7958800173440752</c:v>
                </c:pt>
                <c:pt idx="2">
                  <c:v>0.76342799356293722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428-480E-9D5D-7C4BA25030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552904"/>
        <c:axId val="1"/>
      </c:scatterChart>
      <c:valAx>
        <c:axId val="482552904"/>
        <c:scaling>
          <c:orientation val="minMax"/>
          <c:max val="100"/>
          <c:min val="45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825529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5134756729101417"/>
          <c:y val="0.29211109805304186"/>
          <c:w val="0.33122061802496561"/>
          <c:h val="0.5394463005557139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Mackerel and oil</a:t>
            </a:r>
          </a:p>
        </c:rich>
      </c:tx>
      <c:layout>
        <c:manualLayout>
          <c:xMode val="edge"/>
          <c:yMode val="edge"/>
          <c:x val="0.36188811188811187"/>
          <c:y val="3.260869565217391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713286713286714"/>
          <c:y val="0.20108695652173914"/>
          <c:w val="0.62062937062937062"/>
          <c:h val="0.72554347826086951"/>
        </c:manualLayout>
      </c:layout>
      <c:scatterChart>
        <c:scatterStyle val="lineMarker"/>
        <c:varyColors val="0"/>
        <c:ser>
          <c:idx val="0"/>
          <c:order val="0"/>
          <c:tx>
            <c:v>68-7895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Staphaureus!$H$51:$H$65</c:f>
              <c:numCache>
                <c:formatCode>General</c:formatCode>
                <c:ptCount val="15"/>
                <c:pt idx="0">
                  <c:v>65</c:v>
                </c:pt>
                <c:pt idx="1">
                  <c:v>68</c:v>
                </c:pt>
                <c:pt idx="2">
                  <c:v>72</c:v>
                </c:pt>
                <c:pt idx="3">
                  <c:v>73</c:v>
                </c:pt>
                <c:pt idx="4">
                  <c:v>78</c:v>
                </c:pt>
                <c:pt idx="5">
                  <c:v>79</c:v>
                </c:pt>
                <c:pt idx="6">
                  <c:v>57.5</c:v>
                </c:pt>
                <c:pt idx="7">
                  <c:v>50</c:v>
                </c:pt>
                <c:pt idx="8">
                  <c:v>55</c:v>
                </c:pt>
                <c:pt idx="9" formatCode="0">
                  <c:v>60</c:v>
                </c:pt>
                <c:pt idx="10">
                  <c:v>65</c:v>
                </c:pt>
                <c:pt idx="11">
                  <c:v>70</c:v>
                </c:pt>
                <c:pt idx="12">
                  <c:v>75</c:v>
                </c:pt>
                <c:pt idx="13">
                  <c:v>60</c:v>
                </c:pt>
                <c:pt idx="14">
                  <c:v>60</c:v>
                </c:pt>
              </c:numCache>
            </c:numRef>
          </c:xVal>
          <c:yVal>
            <c:numRef>
              <c:f>Staphaureus!$K$51:$K$65</c:f>
              <c:numCache>
                <c:formatCode>0.00</c:formatCode>
                <c:ptCount val="15"/>
                <c:pt idx="0">
                  <c:v>-0.3010299956639812</c:v>
                </c:pt>
                <c:pt idx="1">
                  <c:v>-0.52287874528033762</c:v>
                </c:pt>
                <c:pt idx="2">
                  <c:v>-0.52287874528033762</c:v>
                </c:pt>
                <c:pt idx="3">
                  <c:v>-1.1870866433571443</c:v>
                </c:pt>
                <c:pt idx="4">
                  <c:v>-1.2676062401770316</c:v>
                </c:pt>
                <c:pt idx="5">
                  <c:v>-0.29242982390206362</c:v>
                </c:pt>
                <c:pt idx="6">
                  <c:v>1.1139433523068367</c:v>
                </c:pt>
                <c:pt idx="7">
                  <c:v>1</c:v>
                </c:pt>
                <c:pt idx="8">
                  <c:v>0.47712125471966244</c:v>
                </c:pt>
                <c:pt idx="9">
                  <c:v>-4.5757490560675115E-2</c:v>
                </c:pt>
                <c:pt idx="10">
                  <c:v>-0.69897000433601875</c:v>
                </c:pt>
                <c:pt idx="11">
                  <c:v>-1</c:v>
                </c:pt>
                <c:pt idx="12">
                  <c:v>-1.6989700043360187</c:v>
                </c:pt>
                <c:pt idx="13">
                  <c:v>0.69897000433601886</c:v>
                </c:pt>
                <c:pt idx="14">
                  <c:v>0.84509804001425681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AC-4B6C-B6CC-DB3A337400E5}"/>
            </c:ext>
          </c:extLst>
        </c:ser>
        <c:ser>
          <c:idx val="1"/>
          <c:order val="1"/>
          <c:tx>
            <c:v>isolate 111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Staphaureus!$H$66:$H$69</c:f>
              <c:numCache>
                <c:formatCode>General</c:formatCode>
                <c:ptCount val="4"/>
                <c:pt idx="0">
                  <c:v>60</c:v>
                </c:pt>
                <c:pt idx="1">
                  <c:v>60</c:v>
                </c:pt>
                <c:pt idx="2">
                  <c:v>50</c:v>
                </c:pt>
                <c:pt idx="3">
                  <c:v>50</c:v>
                </c:pt>
              </c:numCache>
            </c:numRef>
          </c:xVal>
          <c:yVal>
            <c:numRef>
              <c:f>Staphaureus!$K$66:$K$69</c:f>
              <c:numCache>
                <c:formatCode>0.00</c:formatCode>
                <c:ptCount val="4"/>
                <c:pt idx="0">
                  <c:v>0.78532983501076703</c:v>
                </c:pt>
                <c:pt idx="1">
                  <c:v>0.54406804435027567</c:v>
                </c:pt>
                <c:pt idx="2">
                  <c:v>2.0400000000000005</c:v>
                </c:pt>
                <c:pt idx="3">
                  <c:v>1.9300000000000002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CAC-4B6C-B6CC-DB3A337400E5}"/>
            </c:ext>
          </c:extLst>
        </c:ser>
        <c:ser>
          <c:idx val="2"/>
          <c:order val="2"/>
          <c:tx>
            <c:v>Isoalte M14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Staphaureus!$H$70:$H$73</c:f>
              <c:numCache>
                <c:formatCode>General</c:formatCode>
                <c:ptCount val="4"/>
                <c:pt idx="0">
                  <c:v>55</c:v>
                </c:pt>
                <c:pt idx="1">
                  <c:v>55</c:v>
                </c:pt>
                <c:pt idx="2">
                  <c:v>58</c:v>
                </c:pt>
                <c:pt idx="3">
                  <c:v>60</c:v>
                </c:pt>
              </c:numCache>
            </c:numRef>
          </c:xVal>
          <c:yVal>
            <c:numRef>
              <c:f>Staphaureus!$K$70:$K$73</c:f>
              <c:numCache>
                <c:formatCode>0.00</c:formatCode>
                <c:ptCount val="4"/>
                <c:pt idx="0">
                  <c:v>1.7700000000000005</c:v>
                </c:pt>
                <c:pt idx="1">
                  <c:v>1.51</c:v>
                </c:pt>
                <c:pt idx="2">
                  <c:v>1.2200000000000002</c:v>
                </c:pt>
                <c:pt idx="3">
                  <c:v>0.82000000000000006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CAC-4B6C-B6CC-DB3A337400E5}"/>
            </c:ext>
          </c:extLst>
        </c:ser>
        <c:ser>
          <c:idx val="3"/>
          <c:order val="3"/>
          <c:tx>
            <c:v>V48</c:v>
          </c:tx>
          <c:spPr>
            <a:ln w="28575"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Staphaureus!$H$74:$H$77</c:f>
              <c:numCache>
                <c:formatCode>General</c:formatCode>
                <c:ptCount val="4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70</c:v>
                </c:pt>
              </c:numCache>
            </c:numRef>
          </c:xVal>
          <c:yVal>
            <c:numRef>
              <c:f>Staphaureus!$K$74:$K$77</c:f>
              <c:numCache>
                <c:formatCode>0.00</c:formatCode>
                <c:ptCount val="4"/>
                <c:pt idx="0">
                  <c:v>0.73000000000000009</c:v>
                </c:pt>
                <c:pt idx="1">
                  <c:v>0.38000000000000006</c:v>
                </c:pt>
                <c:pt idx="2">
                  <c:v>8.0000000000000016E-2</c:v>
                </c:pt>
                <c:pt idx="3">
                  <c:v>2.0000000000000032E-2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CAC-4B6C-B6CC-DB3A337400E5}"/>
            </c:ext>
          </c:extLst>
        </c:ser>
        <c:ser>
          <c:idx val="4"/>
          <c:order val="4"/>
          <c:tx>
            <c:v>NCTC 10652</c:v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Staphaureus!$H$95:$H$123</c:f>
              <c:numCache>
                <c:formatCode>General</c:formatCode>
                <c:ptCount val="29"/>
                <c:pt idx="0">
                  <c:v>60</c:v>
                </c:pt>
                <c:pt idx="1">
                  <c:v>65.5</c:v>
                </c:pt>
                <c:pt idx="2">
                  <c:v>60</c:v>
                </c:pt>
                <c:pt idx="3">
                  <c:v>65.5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50</c:v>
                </c:pt>
                <c:pt idx="17">
                  <c:v>55</c:v>
                </c:pt>
                <c:pt idx="18">
                  <c:v>60</c:v>
                </c:pt>
                <c:pt idx="19">
                  <c:v>54.5</c:v>
                </c:pt>
                <c:pt idx="20">
                  <c:v>55</c:v>
                </c:pt>
                <c:pt idx="21">
                  <c:v>55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60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</c:numCache>
            </c:numRef>
          </c:xVal>
          <c:yVal>
            <c:numRef>
              <c:f>Staphaureus!$K$95:$K$123</c:f>
              <c:numCache>
                <c:formatCode>0.00</c:formatCode>
                <c:ptCount val="29"/>
                <c:pt idx="0">
                  <c:v>0.34202768808747175</c:v>
                </c:pt>
                <c:pt idx="1">
                  <c:v>-0.52870828894106148</c:v>
                </c:pt>
                <c:pt idx="2">
                  <c:v>0.49009900506330495</c:v>
                </c:pt>
                <c:pt idx="3">
                  <c:v>-0.79588001734407521</c:v>
                </c:pt>
                <c:pt idx="4">
                  <c:v>0.6637009253896482</c:v>
                </c:pt>
                <c:pt idx="5">
                  <c:v>0.98317507203781296</c:v>
                </c:pt>
                <c:pt idx="6">
                  <c:v>0.7395723444500919</c:v>
                </c:pt>
                <c:pt idx="7">
                  <c:v>0.81624129999178308</c:v>
                </c:pt>
                <c:pt idx="8">
                  <c:v>0.6503075231319364</c:v>
                </c:pt>
                <c:pt idx="9">
                  <c:v>0.80955971463526777</c:v>
                </c:pt>
                <c:pt idx="10">
                  <c:v>1.2699796766453237</c:v>
                </c:pt>
                <c:pt idx="11">
                  <c:v>1.4212747912103465</c:v>
                </c:pt>
                <c:pt idx="12">
                  <c:v>1.4546924492394768</c:v>
                </c:pt>
                <c:pt idx="13">
                  <c:v>1.4282968139828796</c:v>
                </c:pt>
                <c:pt idx="14">
                  <c:v>0.65417654187796048</c:v>
                </c:pt>
                <c:pt idx="15">
                  <c:v>0.75358305889290655</c:v>
                </c:pt>
                <c:pt idx="16">
                  <c:v>1.5327543789924978</c:v>
                </c:pt>
                <c:pt idx="17">
                  <c:v>1.1238516409670858</c:v>
                </c:pt>
                <c:pt idx="18">
                  <c:v>0.77085201164214423</c:v>
                </c:pt>
                <c:pt idx="19">
                  <c:v>1.8920946026904804</c:v>
                </c:pt>
                <c:pt idx="20">
                  <c:v>1.0644579892269184</c:v>
                </c:pt>
                <c:pt idx="21">
                  <c:v>1.2504200023088941</c:v>
                </c:pt>
                <c:pt idx="22">
                  <c:v>0.3979400086720376</c:v>
                </c:pt>
                <c:pt idx="23">
                  <c:v>0.49136169383427269</c:v>
                </c:pt>
                <c:pt idx="24">
                  <c:v>1.0863598306747482</c:v>
                </c:pt>
                <c:pt idx="25">
                  <c:v>1.167317334748176</c:v>
                </c:pt>
                <c:pt idx="26">
                  <c:v>-2.2276394711152253E-2</c:v>
                </c:pt>
                <c:pt idx="27">
                  <c:v>7.554696139253074E-2</c:v>
                </c:pt>
                <c:pt idx="28">
                  <c:v>0.3010299956639812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CAC-4B6C-B6CC-DB3A33740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036720"/>
        <c:axId val="1"/>
      </c:scatterChart>
      <c:valAx>
        <c:axId val="484036720"/>
        <c:scaling>
          <c:orientation val="minMax"/>
          <c:min val="4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840367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7657342657342656"/>
          <c:y val="0.32880434782608697"/>
          <c:w val="0.31293706293706292"/>
          <c:h val="0.491847826086956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Streptococcus</a:t>
            </a:r>
          </a:p>
        </c:rich>
      </c:tx>
      <c:layout>
        <c:manualLayout>
          <c:xMode val="edge"/>
          <c:yMode val="edge"/>
          <c:x val="0.39148995737234971"/>
          <c:y val="2.90697674418604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312079332999962"/>
          <c:y val="0.1414731359638747"/>
          <c:w val="0.60992992288608561"/>
          <c:h val="0.7403114786054813"/>
        </c:manualLayout>
      </c:layout>
      <c:scatterChart>
        <c:scatterStyle val="lineMarker"/>
        <c:varyColors val="0"/>
        <c:ser>
          <c:idx val="0"/>
          <c:order val="0"/>
          <c:tx>
            <c:v>Milk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Streptococcus!$H$2:$H$10</c:f>
              <c:numCache>
                <c:formatCode>General</c:formatCode>
                <c:ptCount val="9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70</c:v>
                </c:pt>
                <c:pt idx="4">
                  <c:v>70</c:v>
                </c:pt>
                <c:pt idx="5">
                  <c:v>70</c:v>
                </c:pt>
                <c:pt idx="6">
                  <c:v>80</c:v>
                </c:pt>
                <c:pt idx="7">
                  <c:v>66</c:v>
                </c:pt>
                <c:pt idx="8">
                  <c:v>66</c:v>
                </c:pt>
              </c:numCache>
            </c:numRef>
          </c:xVal>
          <c:yVal>
            <c:numRef>
              <c:f>Streptococcus!$K$2:$K$10</c:f>
              <c:numCache>
                <c:formatCode>0.00</c:formatCode>
                <c:ptCount val="9"/>
                <c:pt idx="0">
                  <c:v>-0.35654732351381258</c:v>
                </c:pt>
                <c:pt idx="1">
                  <c:v>-0.48148606012211248</c:v>
                </c:pt>
                <c:pt idx="2">
                  <c:v>-0.82390874094431876</c:v>
                </c:pt>
                <c:pt idx="3">
                  <c:v>-1.6989700043360187</c:v>
                </c:pt>
                <c:pt idx="4">
                  <c:v>-2</c:v>
                </c:pt>
                <c:pt idx="5">
                  <c:v>-2.1549019599857431</c:v>
                </c:pt>
                <c:pt idx="6">
                  <c:v>-2.3010299956639813</c:v>
                </c:pt>
                <c:pt idx="7">
                  <c:v>-1</c:v>
                </c:pt>
                <c:pt idx="8">
                  <c:v>-0.69897000433601875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68-4860-8612-AC2FF86C384E}"/>
            </c:ext>
          </c:extLst>
        </c:ser>
        <c:ser>
          <c:idx val="1"/>
          <c:order val="1"/>
          <c:tx>
            <c:v>Food (pasteurised)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Streptococcus!$H$11:$H$12</c:f>
              <c:numCache>
                <c:formatCode>General</c:formatCode>
                <c:ptCount val="2"/>
                <c:pt idx="0">
                  <c:v>65.599999999999994</c:v>
                </c:pt>
                <c:pt idx="1">
                  <c:v>65.599999999999994</c:v>
                </c:pt>
              </c:numCache>
            </c:numRef>
          </c:xVal>
          <c:yVal>
            <c:numRef>
              <c:f>Streptococcus!$K$11:$K$12</c:f>
              <c:numCache>
                <c:formatCode>0.00</c:formatCode>
                <c:ptCount val="2"/>
                <c:pt idx="0">
                  <c:v>-0.69897000433601875</c:v>
                </c:pt>
                <c:pt idx="1">
                  <c:v>0.3010299956639812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68-4860-8612-AC2FF86C384E}"/>
            </c:ext>
          </c:extLst>
        </c:ser>
        <c:ser>
          <c:idx val="3"/>
          <c:order val="2"/>
          <c:tx>
            <c:v>Log D (model)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GraphStrept!$A$14:$A$34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GraphStrept!$B$14:$B$34</c:f>
              <c:numCache>
                <c:formatCode>0.00</c:formatCode>
                <c:ptCount val="21"/>
                <c:pt idx="0">
                  <c:v>1.2655523384433813</c:v>
                </c:pt>
                <c:pt idx="1">
                  <c:v>0.72325952105355684</c:v>
                </c:pt>
                <c:pt idx="2">
                  <c:v>0.18096670366373258</c:v>
                </c:pt>
                <c:pt idx="3">
                  <c:v>-0.36132611372609191</c:v>
                </c:pt>
                <c:pt idx="4">
                  <c:v>-0.90361893111591629</c:v>
                </c:pt>
                <c:pt idx="5">
                  <c:v>-1.4459117485057407</c:v>
                </c:pt>
                <c:pt idx="6">
                  <c:v>-1.9882045658955652</c:v>
                </c:pt>
                <c:pt idx="7">
                  <c:v>-2.5304973832853896</c:v>
                </c:pt>
                <c:pt idx="8">
                  <c:v>-3.0727902006752137</c:v>
                </c:pt>
                <c:pt idx="9">
                  <c:v>-3.6150830180650382</c:v>
                </c:pt>
                <c:pt idx="10">
                  <c:v>-4.1573758354548627</c:v>
                </c:pt>
                <c:pt idx="11">
                  <c:v>-4.6996686528446876</c:v>
                </c:pt>
                <c:pt idx="12">
                  <c:v>-5.2419614702345108</c:v>
                </c:pt>
                <c:pt idx="13">
                  <c:v>-5.7842542876243357</c:v>
                </c:pt>
                <c:pt idx="14">
                  <c:v>-6.3265471050141597</c:v>
                </c:pt>
                <c:pt idx="15">
                  <c:v>-6.8688399224039847</c:v>
                </c:pt>
                <c:pt idx="16">
                  <c:v>-7.4111327397938087</c:v>
                </c:pt>
                <c:pt idx="17">
                  <c:v>-7.9534255571836336</c:v>
                </c:pt>
                <c:pt idx="18">
                  <c:v>-8.4957183745734568</c:v>
                </c:pt>
                <c:pt idx="19">
                  <c:v>-9.0380111919632817</c:v>
                </c:pt>
                <c:pt idx="20">
                  <c:v>-9.5803040093531067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168-4860-8612-AC2FF86C384E}"/>
            </c:ext>
          </c:extLst>
        </c:ser>
        <c:ser>
          <c:idx val="9"/>
          <c:order val="3"/>
          <c:tx>
            <c:v>95% cfi</c:v>
          </c:tx>
          <c:spPr>
            <a:ln w="25400">
              <a:solidFill>
                <a:srgbClr val="000080"/>
              </a:solidFill>
              <a:prstDash val="lgDash"/>
            </a:ln>
          </c:spPr>
          <c:marker>
            <c:symbol val="none"/>
          </c:marker>
          <c:xVal>
            <c:numRef>
              <c:f>GraphStrept!$A$14:$A$34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GraphStrept!$C$14:$C$34</c:f>
              <c:numCache>
                <c:formatCode>0.00</c:formatCode>
                <c:ptCount val="21"/>
                <c:pt idx="0">
                  <c:v>2.558032236076123</c:v>
                </c:pt>
                <c:pt idx="1">
                  <c:v>2.0157394186862989</c:v>
                </c:pt>
                <c:pt idx="2">
                  <c:v>1.4734466012964744</c:v>
                </c:pt>
                <c:pt idx="3">
                  <c:v>0.93115378390664993</c:v>
                </c:pt>
                <c:pt idx="4">
                  <c:v>0.38886096651682556</c:v>
                </c:pt>
                <c:pt idx="5">
                  <c:v>-0.15343185087299882</c:v>
                </c:pt>
                <c:pt idx="6">
                  <c:v>-0.69572466826282331</c:v>
                </c:pt>
                <c:pt idx="7">
                  <c:v>-1.2380174856526478</c:v>
                </c:pt>
                <c:pt idx="8">
                  <c:v>-1.7803103030424718</c:v>
                </c:pt>
                <c:pt idx="9">
                  <c:v>-2.3226031204322961</c:v>
                </c:pt>
                <c:pt idx="10">
                  <c:v>-2.864895937822121</c:v>
                </c:pt>
                <c:pt idx="11">
                  <c:v>-3.407188755211946</c:v>
                </c:pt>
                <c:pt idx="12">
                  <c:v>-3.9494815726017691</c:v>
                </c:pt>
                <c:pt idx="13">
                  <c:v>-4.4917743899915941</c:v>
                </c:pt>
                <c:pt idx="14">
                  <c:v>-5.0340672073814181</c:v>
                </c:pt>
                <c:pt idx="15">
                  <c:v>-5.576360024771243</c:v>
                </c:pt>
                <c:pt idx="16">
                  <c:v>-6.1186528421610671</c:v>
                </c:pt>
                <c:pt idx="17">
                  <c:v>-6.660945659550892</c:v>
                </c:pt>
                <c:pt idx="18">
                  <c:v>-7.2032384769407152</c:v>
                </c:pt>
                <c:pt idx="19">
                  <c:v>-7.7455312943305401</c:v>
                </c:pt>
                <c:pt idx="20">
                  <c:v>-8.287824111720365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168-4860-8612-AC2FF86C3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030960"/>
        <c:axId val="1"/>
      </c:scatterChart>
      <c:valAx>
        <c:axId val="484030960"/>
        <c:scaling>
          <c:orientation val="minMax"/>
          <c:max val="95"/>
          <c:min val="55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16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T (</a:t>
                </a:r>
                <a:r>
                  <a:rPr lang="nl-NL" sz="16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°</a:t>
                </a:r>
                <a:r>
                  <a:rPr lang="nl-NL" sz="16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C)</a:t>
                </a:r>
              </a:p>
            </c:rich>
          </c:tx>
          <c:layout>
            <c:manualLayout>
              <c:xMode val="edge"/>
              <c:yMode val="edge"/>
              <c:x val="0.42553251056383906"/>
              <c:y val="0.916668497833119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  <c:majorUnit val="10"/>
      </c:valAx>
      <c:valAx>
        <c:axId val="1"/>
        <c:scaling>
          <c:orientation val="minMax"/>
          <c:max val="1"/>
          <c:min val="-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Log D (log min)</a:t>
                </a:r>
              </a:p>
            </c:rich>
          </c:tx>
          <c:layout>
            <c:manualLayout>
              <c:xMode val="edge"/>
              <c:yMode val="edge"/>
              <c:x val="7.0921985815602835E-3"/>
              <c:y val="0.3585277421717633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840309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4397252471100686"/>
          <c:y val="6.5891676331156279E-2"/>
          <c:w val="0.34468129781649637"/>
          <c:h val="0.248062422429754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Vibro cholerae</a:t>
            </a:r>
          </a:p>
        </c:rich>
      </c:tx>
      <c:layout>
        <c:manualLayout>
          <c:xMode val="edge"/>
          <c:yMode val="edge"/>
          <c:x val="0.38674110487570268"/>
          <c:y val="3.414634146341463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390453050279571"/>
          <c:y val="0.14390243902439023"/>
          <c:w val="0.60405265174064038"/>
          <c:h val="0.74146341463414633"/>
        </c:manualLayout>
      </c:layout>
      <c:scatterChart>
        <c:scatterStyle val="lineMarker"/>
        <c:varyColors val="0"/>
        <c:ser>
          <c:idx val="1"/>
          <c:order val="0"/>
          <c:tx>
            <c:v>Crabmeat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Vibrio!$H$2:$H$6</c:f>
              <c:numCache>
                <c:formatCode>General</c:formatCode>
                <c:ptCount val="5"/>
                <c:pt idx="0">
                  <c:v>49</c:v>
                </c:pt>
                <c:pt idx="1">
                  <c:v>54</c:v>
                </c:pt>
                <c:pt idx="2">
                  <c:v>60</c:v>
                </c:pt>
                <c:pt idx="3">
                  <c:v>66</c:v>
                </c:pt>
                <c:pt idx="4">
                  <c:v>71</c:v>
                </c:pt>
              </c:numCache>
            </c:numRef>
          </c:xVal>
          <c:yVal>
            <c:numRef>
              <c:f>Vibrio!$K$2:$K$6</c:f>
              <c:numCache>
                <c:formatCode>0.00</c:formatCode>
                <c:ptCount val="5"/>
                <c:pt idx="0">
                  <c:v>0.91115760873997664</c:v>
                </c:pt>
                <c:pt idx="1">
                  <c:v>0.70070371714501933</c:v>
                </c:pt>
                <c:pt idx="2">
                  <c:v>0.42324587393680785</c:v>
                </c:pt>
                <c:pt idx="3">
                  <c:v>0.20411998265592479</c:v>
                </c:pt>
                <c:pt idx="4">
                  <c:v>-0.52287874528033762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E9-4F95-9361-2339ED83331E}"/>
            </c:ext>
          </c:extLst>
        </c:ser>
        <c:ser>
          <c:idx val="0"/>
          <c:order val="1"/>
          <c:tx>
            <c:v>Peptone water</c:v>
          </c:tx>
          <c:spPr>
            <a:ln w="28575">
              <a:noFill/>
            </a:ln>
          </c:spPr>
          <c:marker>
            <c:symbol val="diamond"/>
            <c:size val="8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Vibrio!$H$7:$H$10</c:f>
              <c:numCache>
                <c:formatCode>General</c:formatCode>
                <c:ptCount val="4"/>
                <c:pt idx="0">
                  <c:v>49</c:v>
                </c:pt>
                <c:pt idx="1">
                  <c:v>54</c:v>
                </c:pt>
                <c:pt idx="2">
                  <c:v>60</c:v>
                </c:pt>
                <c:pt idx="3">
                  <c:v>63</c:v>
                </c:pt>
              </c:numCache>
            </c:numRef>
          </c:xVal>
          <c:yVal>
            <c:numRef>
              <c:f>Vibrio!$K$7:$K$10</c:f>
              <c:numCache>
                <c:formatCode>0.00</c:formatCode>
                <c:ptCount val="4"/>
                <c:pt idx="0">
                  <c:v>0.23044892137827391</c:v>
                </c:pt>
                <c:pt idx="1">
                  <c:v>1.703333929878037E-2</c:v>
                </c:pt>
                <c:pt idx="2">
                  <c:v>-0.20065945054641829</c:v>
                </c:pt>
                <c:pt idx="3">
                  <c:v>-0.44369749923271273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E9-4F95-9361-2339ED83331E}"/>
            </c:ext>
          </c:extLst>
        </c:ser>
        <c:ser>
          <c:idx val="3"/>
          <c:order val="2"/>
          <c:tx>
            <c:v>Log D (crabmeat)</c:v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GraphVibrio!$A$14:$A$34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GraphVibrio!$B$14:$B$34</c:f>
              <c:numCache>
                <c:formatCode>0.00</c:formatCode>
                <c:ptCount val="21"/>
                <c:pt idx="0">
                  <c:v>1.239156740042568</c:v>
                </c:pt>
                <c:pt idx="1">
                  <c:v>0.94052772250820471</c:v>
                </c:pt>
                <c:pt idx="2">
                  <c:v>0.64189870497384127</c:v>
                </c:pt>
                <c:pt idx="3">
                  <c:v>0.34326968743947783</c:v>
                </c:pt>
                <c:pt idx="4">
                  <c:v>4.4640669905114394E-2</c:v>
                </c:pt>
                <c:pt idx="5">
                  <c:v>-0.25398834762924904</c:v>
                </c:pt>
                <c:pt idx="6">
                  <c:v>-0.55261736516361248</c:v>
                </c:pt>
                <c:pt idx="7">
                  <c:v>-0.85124638269797592</c:v>
                </c:pt>
                <c:pt idx="8">
                  <c:v>-1.1498754002323395</c:v>
                </c:pt>
                <c:pt idx="9">
                  <c:v>-1.4485044177667028</c:v>
                </c:pt>
                <c:pt idx="10">
                  <c:v>-1.7471334353010661</c:v>
                </c:pt>
                <c:pt idx="11">
                  <c:v>-2.0457624528354295</c:v>
                </c:pt>
                <c:pt idx="12">
                  <c:v>-2.3443914703697932</c:v>
                </c:pt>
                <c:pt idx="13">
                  <c:v>-2.6430204879041566</c:v>
                </c:pt>
                <c:pt idx="14">
                  <c:v>-2.9416495054385199</c:v>
                </c:pt>
                <c:pt idx="15">
                  <c:v>-3.2402785229728832</c:v>
                </c:pt>
                <c:pt idx="16">
                  <c:v>-3.538907540507247</c:v>
                </c:pt>
                <c:pt idx="17">
                  <c:v>-3.8375365580416103</c:v>
                </c:pt>
                <c:pt idx="18">
                  <c:v>-4.1361655755759736</c:v>
                </c:pt>
                <c:pt idx="19">
                  <c:v>-4.4347945931103379</c:v>
                </c:pt>
                <c:pt idx="20">
                  <c:v>-4.7334236106447012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5E9-4F95-9361-2339ED83331E}"/>
            </c:ext>
          </c:extLst>
        </c:ser>
        <c:ser>
          <c:idx val="9"/>
          <c:order val="3"/>
          <c:tx>
            <c:v>95% cfi crabmeat</c:v>
          </c:tx>
          <c:spPr>
            <a:ln w="25400">
              <a:solidFill>
                <a:srgbClr val="FF00FF"/>
              </a:solidFill>
              <a:prstDash val="lgDash"/>
            </a:ln>
          </c:spPr>
          <c:marker>
            <c:symbol val="none"/>
          </c:marker>
          <c:xVal>
            <c:numRef>
              <c:f>GraphVibrio!$A$14:$A$34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GraphVibrio!$C$14:$C$34</c:f>
              <c:numCache>
                <c:formatCode>0.00</c:formatCode>
                <c:ptCount val="21"/>
                <c:pt idx="0">
                  <c:v>1.8377495144835714</c:v>
                </c:pt>
                <c:pt idx="1">
                  <c:v>1.5391204969492081</c:v>
                </c:pt>
                <c:pt idx="2">
                  <c:v>1.2404914794148447</c:v>
                </c:pt>
                <c:pt idx="3">
                  <c:v>0.94186246188048128</c:v>
                </c:pt>
                <c:pt idx="4">
                  <c:v>0.64323344434611784</c:v>
                </c:pt>
                <c:pt idx="5">
                  <c:v>0.34460442681175441</c:v>
                </c:pt>
                <c:pt idx="6">
                  <c:v>4.5975409277390966E-2</c:v>
                </c:pt>
                <c:pt idx="7">
                  <c:v>-0.25265360825697247</c:v>
                </c:pt>
                <c:pt idx="8">
                  <c:v>-0.55128262579133602</c:v>
                </c:pt>
                <c:pt idx="9">
                  <c:v>-0.84991164332569935</c:v>
                </c:pt>
                <c:pt idx="10">
                  <c:v>-1.1485406608600628</c:v>
                </c:pt>
                <c:pt idx="11">
                  <c:v>-1.4471696783944261</c:v>
                </c:pt>
                <c:pt idx="12">
                  <c:v>-1.7457986959287899</c:v>
                </c:pt>
                <c:pt idx="13">
                  <c:v>-2.0444277134631532</c:v>
                </c:pt>
                <c:pt idx="14">
                  <c:v>-2.3430567309975165</c:v>
                </c:pt>
                <c:pt idx="15">
                  <c:v>-2.6416857485318799</c:v>
                </c:pt>
                <c:pt idx="16">
                  <c:v>-2.9403147660662436</c:v>
                </c:pt>
                <c:pt idx="17">
                  <c:v>-3.238943783600607</c:v>
                </c:pt>
                <c:pt idx="18">
                  <c:v>-3.5375728011349703</c:v>
                </c:pt>
                <c:pt idx="19">
                  <c:v>-3.8362018186693345</c:v>
                </c:pt>
                <c:pt idx="20">
                  <c:v>-4.1348308362036974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5E9-4F95-9361-2339ED83331E}"/>
            </c:ext>
          </c:extLst>
        </c:ser>
        <c:ser>
          <c:idx val="2"/>
          <c:order val="4"/>
          <c:tx>
            <c:v>log D (peptone water)</c:v>
          </c:tx>
          <c:spPr>
            <a:ln w="254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GraphVibrio!$A$14:$A$34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GraphVibrio!$D$14:$D$34</c:f>
              <c:numCache>
                <c:formatCode>0.00</c:formatCode>
                <c:ptCount val="21"/>
                <c:pt idx="0">
                  <c:v>0.42735277153520435</c:v>
                </c:pt>
                <c:pt idx="1">
                  <c:v>0.19840866553054182</c:v>
                </c:pt>
                <c:pt idx="2">
                  <c:v>-3.0535440474120712E-2</c:v>
                </c:pt>
                <c:pt idx="3">
                  <c:v>-0.25947954647878319</c:v>
                </c:pt>
                <c:pt idx="4">
                  <c:v>-0.48842365248344566</c:v>
                </c:pt>
                <c:pt idx="5">
                  <c:v>-0.71736775848810819</c:v>
                </c:pt>
                <c:pt idx="6">
                  <c:v>-0.94631186449277072</c:v>
                </c:pt>
                <c:pt idx="7">
                  <c:v>-1.1752559704974332</c:v>
                </c:pt>
                <c:pt idx="8">
                  <c:v>-1.4042000765020957</c:v>
                </c:pt>
                <c:pt idx="9">
                  <c:v>-1.6331441825067583</c:v>
                </c:pt>
                <c:pt idx="10">
                  <c:v>-1.8620882885114207</c:v>
                </c:pt>
                <c:pt idx="11">
                  <c:v>-2.0910323945160831</c:v>
                </c:pt>
                <c:pt idx="12">
                  <c:v>-2.3199765005207458</c:v>
                </c:pt>
                <c:pt idx="13">
                  <c:v>-2.5489206065254084</c:v>
                </c:pt>
                <c:pt idx="14">
                  <c:v>-2.7778647125300706</c:v>
                </c:pt>
                <c:pt idx="15">
                  <c:v>-3.0068088185347333</c:v>
                </c:pt>
                <c:pt idx="16">
                  <c:v>-3.2357529245393959</c:v>
                </c:pt>
                <c:pt idx="17">
                  <c:v>-3.4646970305440581</c:v>
                </c:pt>
                <c:pt idx="18">
                  <c:v>-3.6936411365487207</c:v>
                </c:pt>
                <c:pt idx="19">
                  <c:v>-3.9225852425533834</c:v>
                </c:pt>
                <c:pt idx="20">
                  <c:v>-4.1515293485580456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5E9-4F95-9361-2339ED83331E}"/>
            </c:ext>
          </c:extLst>
        </c:ser>
        <c:ser>
          <c:idx val="4"/>
          <c:order val="5"/>
          <c:tx>
            <c:v>95% cfi (peptone water)</c:v>
          </c:tx>
          <c:spPr>
            <a:ln w="25400">
              <a:solidFill>
                <a:srgbClr val="FFFF00"/>
              </a:solidFill>
              <a:prstDash val="lgDash"/>
            </a:ln>
          </c:spPr>
          <c:marker>
            <c:symbol val="none"/>
          </c:marker>
          <c:xVal>
            <c:numRef>
              <c:f>GraphVibrio!$A$14:$A$34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GraphVibrio!$E$14:$E$34</c:f>
              <c:numCache>
                <c:formatCode>0.00</c:formatCode>
                <c:ptCount val="21"/>
                <c:pt idx="0">
                  <c:v>0.65999575680909195</c:v>
                </c:pt>
                <c:pt idx="1">
                  <c:v>0.43105165080442942</c:v>
                </c:pt>
                <c:pt idx="2">
                  <c:v>0.20210754479976692</c:v>
                </c:pt>
                <c:pt idx="3">
                  <c:v>-2.6836561204895554E-2</c:v>
                </c:pt>
                <c:pt idx="4">
                  <c:v>-0.25578066720955805</c:v>
                </c:pt>
                <c:pt idx="5">
                  <c:v>-0.48472477321422058</c:v>
                </c:pt>
                <c:pt idx="6">
                  <c:v>-0.71366887921888311</c:v>
                </c:pt>
                <c:pt idx="7">
                  <c:v>-0.94261298522354564</c:v>
                </c:pt>
                <c:pt idx="8">
                  <c:v>-1.1715570912282081</c:v>
                </c:pt>
                <c:pt idx="9">
                  <c:v>-1.4005011972328707</c:v>
                </c:pt>
                <c:pt idx="10">
                  <c:v>-1.6294453032375331</c:v>
                </c:pt>
                <c:pt idx="11">
                  <c:v>-1.8583894092421955</c:v>
                </c:pt>
                <c:pt idx="12">
                  <c:v>-2.0873335152468582</c:v>
                </c:pt>
                <c:pt idx="13">
                  <c:v>-2.3162776212515208</c:v>
                </c:pt>
                <c:pt idx="14">
                  <c:v>-2.545221727256183</c:v>
                </c:pt>
                <c:pt idx="15">
                  <c:v>-2.7741658332608456</c:v>
                </c:pt>
                <c:pt idx="16">
                  <c:v>-3.0031099392655083</c:v>
                </c:pt>
                <c:pt idx="17">
                  <c:v>-3.2320540452701705</c:v>
                </c:pt>
                <c:pt idx="18">
                  <c:v>-3.4609981512748331</c:v>
                </c:pt>
                <c:pt idx="19">
                  <c:v>-3.6899422572794958</c:v>
                </c:pt>
                <c:pt idx="20">
                  <c:v>-3.918886363284158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5E9-4F95-9361-2339ED833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035640"/>
        <c:axId val="1"/>
      </c:scatterChart>
      <c:valAx>
        <c:axId val="484035640"/>
        <c:scaling>
          <c:orientation val="minMax"/>
          <c:max val="85"/>
          <c:min val="40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1225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T (</a:t>
                </a:r>
                <a:r>
                  <a:rPr lang="nl-NL" sz="1225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°</a:t>
                </a:r>
                <a:r>
                  <a:rPr lang="nl-NL" sz="1225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C)</a:t>
                </a:r>
              </a:p>
            </c:rich>
          </c:tx>
          <c:layout>
            <c:manualLayout>
              <c:xMode val="edge"/>
              <c:yMode val="edge"/>
              <c:x val="0.4235735173987229"/>
              <c:y val="0.9170731707317073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  <c:majorUnit val="10"/>
      </c:valAx>
      <c:valAx>
        <c:axId val="1"/>
        <c:scaling>
          <c:orientation val="minMax"/>
          <c:max val="1"/>
          <c:min val="-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Log D (log min)</a:t>
                </a:r>
              </a:p>
            </c:rich>
          </c:tx>
          <c:layout>
            <c:manualLayout>
              <c:xMode val="edge"/>
              <c:yMode val="edge"/>
              <c:x val="1.289134438305709E-2"/>
              <c:y val="0.3658536585365853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8403564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1933798330457315"/>
          <c:y val="1.2195121951219513E-2"/>
          <c:w val="0.47145565367864928"/>
          <c:h val="0.4219512195121951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Vibro</a:t>
            </a:r>
          </a:p>
        </c:rich>
      </c:tx>
      <c:layout>
        <c:manualLayout>
          <c:xMode val="edge"/>
          <c:yMode val="edge"/>
          <c:x val="0.45955920951057588"/>
          <c:y val="4.098360655737704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360308802264764"/>
          <c:y val="0.15847036818639051"/>
          <c:w val="0.60477995460057388"/>
          <c:h val="0.71311665683875736"/>
        </c:manualLayout>
      </c:layout>
      <c:scatterChart>
        <c:scatterStyle val="lineMarker"/>
        <c:varyColors val="0"/>
        <c:ser>
          <c:idx val="3"/>
          <c:order val="0"/>
          <c:tx>
            <c:v>Log D</c:v>
          </c:tx>
          <c:spPr>
            <a:ln w="254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GraphVibrio!$A$49:$A$69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GraphVibrio!$B$49:$B$69</c:f>
              <c:numCache>
                <c:formatCode>0.00</c:formatCode>
                <c:ptCount val="21"/>
                <c:pt idx="0">
                  <c:v>0.69888806744814991</c:v>
                </c:pt>
                <c:pt idx="1">
                  <c:v>0.11150752152958976</c:v>
                </c:pt>
                <c:pt idx="2">
                  <c:v>-0.47587302438897017</c:v>
                </c:pt>
                <c:pt idx="3">
                  <c:v>-1.0632535703075301</c:v>
                </c:pt>
                <c:pt idx="4">
                  <c:v>-1.65063411622609</c:v>
                </c:pt>
                <c:pt idx="5">
                  <c:v>-2.2380146621446499</c:v>
                </c:pt>
                <c:pt idx="6">
                  <c:v>-2.8253952080632097</c:v>
                </c:pt>
                <c:pt idx="7">
                  <c:v>-3.4127757539817698</c:v>
                </c:pt>
                <c:pt idx="8">
                  <c:v>-4.0001562999003299</c:v>
                </c:pt>
                <c:pt idx="9">
                  <c:v>-4.5875368458188897</c:v>
                </c:pt>
                <c:pt idx="10">
                  <c:v>-5.1749173917374502</c:v>
                </c:pt>
                <c:pt idx="11">
                  <c:v>-5.7622979376560099</c:v>
                </c:pt>
                <c:pt idx="12">
                  <c:v>-6.3496784835745697</c:v>
                </c:pt>
                <c:pt idx="13">
                  <c:v>-6.9370590294931294</c:v>
                </c:pt>
                <c:pt idx="14">
                  <c:v>-7.52443957541169</c:v>
                </c:pt>
                <c:pt idx="15">
                  <c:v>-8.1118201213302505</c:v>
                </c:pt>
                <c:pt idx="16">
                  <c:v>-8.6992006672488102</c:v>
                </c:pt>
                <c:pt idx="17">
                  <c:v>-9.28658121316737</c:v>
                </c:pt>
                <c:pt idx="18">
                  <c:v>-9.8739617590859297</c:v>
                </c:pt>
                <c:pt idx="19">
                  <c:v>-10.461342305004489</c:v>
                </c:pt>
                <c:pt idx="20">
                  <c:v>-11.048722850923049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3F-4A9E-A363-6E7BE9C1ABA7}"/>
            </c:ext>
          </c:extLst>
        </c:ser>
        <c:ser>
          <c:idx val="9"/>
          <c:order val="1"/>
          <c:tx>
            <c:v>95% cfi</c:v>
          </c:tx>
          <c:spPr>
            <a:ln w="25400">
              <a:solidFill>
                <a:srgbClr val="00FF00"/>
              </a:solidFill>
              <a:prstDash val="lgDash"/>
            </a:ln>
          </c:spPr>
          <c:marker>
            <c:symbol val="none"/>
          </c:marker>
          <c:xVal>
            <c:numRef>
              <c:f>GraphVibrio!$A$49:$A$69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GraphVibrio!$C$49:$C$69</c:f>
              <c:numCache>
                <c:formatCode>0.00</c:formatCode>
                <c:ptCount val="21"/>
                <c:pt idx="0">
                  <c:v>1.2974808418891532</c:v>
                </c:pt>
                <c:pt idx="1">
                  <c:v>0.71010029597059321</c:v>
                </c:pt>
                <c:pt idx="2">
                  <c:v>0.12271975005203328</c:v>
                </c:pt>
                <c:pt idx="3">
                  <c:v>-0.46466079586652664</c:v>
                </c:pt>
                <c:pt idx="4">
                  <c:v>-1.0520413417850865</c:v>
                </c:pt>
                <c:pt idx="5">
                  <c:v>-1.6394218877036466</c:v>
                </c:pt>
                <c:pt idx="6">
                  <c:v>-2.2268024336222063</c:v>
                </c:pt>
                <c:pt idx="7">
                  <c:v>-2.8141829795407665</c:v>
                </c:pt>
                <c:pt idx="8">
                  <c:v>-3.4015635254593266</c:v>
                </c:pt>
                <c:pt idx="9">
                  <c:v>-3.9889440713778863</c:v>
                </c:pt>
                <c:pt idx="10">
                  <c:v>-4.5763246172964465</c:v>
                </c:pt>
                <c:pt idx="11">
                  <c:v>-5.1637051632150062</c:v>
                </c:pt>
                <c:pt idx="12">
                  <c:v>-5.7510857091335659</c:v>
                </c:pt>
                <c:pt idx="13">
                  <c:v>-6.3384662550521256</c:v>
                </c:pt>
                <c:pt idx="14">
                  <c:v>-6.9258468009706862</c:v>
                </c:pt>
                <c:pt idx="15">
                  <c:v>-7.5132273468892468</c:v>
                </c:pt>
                <c:pt idx="16">
                  <c:v>-8.1006078928078065</c:v>
                </c:pt>
                <c:pt idx="17">
                  <c:v>-8.6879884387263662</c:v>
                </c:pt>
                <c:pt idx="18">
                  <c:v>-9.2753689846449259</c:v>
                </c:pt>
                <c:pt idx="19">
                  <c:v>-9.8627495305634856</c:v>
                </c:pt>
                <c:pt idx="20">
                  <c:v>-10.450130076482045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3F-4A9E-A363-6E7BE9C1ABA7}"/>
            </c:ext>
          </c:extLst>
        </c:ser>
        <c:ser>
          <c:idx val="5"/>
          <c:order val="2"/>
          <c:tx>
            <c:v>Fish (para)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Vibrio!$H$11:$H$19</c:f>
              <c:numCache>
                <c:formatCode>General</c:formatCode>
                <c:ptCount val="9"/>
                <c:pt idx="0">
                  <c:v>49</c:v>
                </c:pt>
                <c:pt idx="1">
                  <c:v>49</c:v>
                </c:pt>
                <c:pt idx="2">
                  <c:v>51</c:v>
                </c:pt>
                <c:pt idx="3">
                  <c:v>51</c:v>
                </c:pt>
                <c:pt idx="4">
                  <c:v>55</c:v>
                </c:pt>
                <c:pt idx="5">
                  <c:v>55</c:v>
                </c:pt>
                <c:pt idx="6">
                  <c:v>55</c:v>
                </c:pt>
                <c:pt idx="7">
                  <c:v>48</c:v>
                </c:pt>
                <c:pt idx="8">
                  <c:v>48</c:v>
                </c:pt>
              </c:numCache>
            </c:numRef>
          </c:xVal>
          <c:yVal>
            <c:numRef>
              <c:f>Vibrio!$K$11:$K$19</c:f>
              <c:numCache>
                <c:formatCode>0.00</c:formatCode>
                <c:ptCount val="9"/>
                <c:pt idx="0">
                  <c:v>-0.45593195564972439</c:v>
                </c:pt>
                <c:pt idx="1">
                  <c:v>-0.14266750356873156</c:v>
                </c:pt>
                <c:pt idx="2">
                  <c:v>-0.69897000433601875</c:v>
                </c:pt>
                <c:pt idx="3">
                  <c:v>-0.22914798835785583</c:v>
                </c:pt>
                <c:pt idx="4">
                  <c:v>-1.6989700043360187</c:v>
                </c:pt>
                <c:pt idx="5">
                  <c:v>-0.53760200210104392</c:v>
                </c:pt>
                <c:pt idx="6">
                  <c:v>0.3979400086720376</c:v>
                </c:pt>
                <c:pt idx="7">
                  <c:v>1</c:v>
                </c:pt>
                <c:pt idx="8">
                  <c:v>1.2041199826559248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B3F-4A9E-A363-6E7BE9C1ABA7}"/>
            </c:ext>
          </c:extLst>
        </c:ser>
        <c:ser>
          <c:idx val="6"/>
          <c:order val="3"/>
          <c:tx>
            <c:v>Media (para)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Vibrio!$H$20:$H$25</c:f>
              <c:numCache>
                <c:formatCode>General</c:formatCode>
                <c:ptCount val="6"/>
                <c:pt idx="0">
                  <c:v>47</c:v>
                </c:pt>
                <c:pt idx="1">
                  <c:v>47</c:v>
                </c:pt>
                <c:pt idx="2">
                  <c:v>53</c:v>
                </c:pt>
                <c:pt idx="3">
                  <c:v>53</c:v>
                </c:pt>
                <c:pt idx="4">
                  <c:v>48</c:v>
                </c:pt>
                <c:pt idx="5">
                  <c:v>48</c:v>
                </c:pt>
              </c:numCache>
            </c:numRef>
          </c:xVal>
          <c:yVal>
            <c:numRef>
              <c:f>Vibrio!$K$20:$K$25</c:f>
              <c:numCache>
                <c:formatCode>0.00</c:formatCode>
                <c:ptCount val="6"/>
                <c:pt idx="0">
                  <c:v>0.41497334797081797</c:v>
                </c:pt>
                <c:pt idx="1">
                  <c:v>0.55630250076728727</c:v>
                </c:pt>
                <c:pt idx="2">
                  <c:v>0.44715803134221921</c:v>
                </c:pt>
                <c:pt idx="3">
                  <c:v>0.6020599913279624</c:v>
                </c:pt>
                <c:pt idx="4">
                  <c:v>0</c:v>
                </c:pt>
                <c:pt idx="5">
                  <c:v>0.17609125905568124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B3F-4A9E-A363-6E7BE9C1ABA7}"/>
            </c:ext>
          </c:extLst>
        </c:ser>
        <c:ser>
          <c:idx val="0"/>
          <c:order val="4"/>
          <c:tx>
            <c:v>Fish (vulnificus)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Vibrio!$H$26:$H$31</c:f>
              <c:numCache>
                <c:formatCode>General</c:formatCode>
                <c:ptCount val="6"/>
                <c:pt idx="0">
                  <c:v>40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</c:numCache>
            </c:numRef>
          </c:xVal>
          <c:yVal>
            <c:numRef>
              <c:f>Vibrio!$K$26:$K$31</c:f>
              <c:numCache>
                <c:formatCode>0.00</c:formatCode>
                <c:ptCount val="6"/>
                <c:pt idx="0">
                  <c:v>1.0791812460476249</c:v>
                </c:pt>
                <c:pt idx="1">
                  <c:v>0.43136376415898736</c:v>
                </c:pt>
                <c:pt idx="2">
                  <c:v>0.23044892137827391</c:v>
                </c:pt>
                <c:pt idx="3">
                  <c:v>0.47712125471966244</c:v>
                </c:pt>
                <c:pt idx="4">
                  <c:v>0.3010299956639812</c:v>
                </c:pt>
                <c:pt idx="5">
                  <c:v>0.21748394421390627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B3F-4A9E-A363-6E7BE9C1ABA7}"/>
            </c:ext>
          </c:extLst>
        </c:ser>
        <c:ser>
          <c:idx val="1"/>
          <c:order val="5"/>
          <c:tx>
            <c:v>Media (vulnificus)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Vibrio!$H$32:$H$44</c:f>
              <c:numCache>
                <c:formatCode>General</c:formatCode>
                <c:ptCount val="13"/>
                <c:pt idx="0">
                  <c:v>50</c:v>
                </c:pt>
                <c:pt idx="1">
                  <c:v>40</c:v>
                </c:pt>
                <c:pt idx="2">
                  <c:v>50</c:v>
                </c:pt>
                <c:pt idx="3">
                  <c:v>40</c:v>
                </c:pt>
                <c:pt idx="4">
                  <c:v>50</c:v>
                </c:pt>
                <c:pt idx="5">
                  <c:v>40</c:v>
                </c:pt>
                <c:pt idx="6">
                  <c:v>50</c:v>
                </c:pt>
                <c:pt idx="7">
                  <c:v>47</c:v>
                </c:pt>
                <c:pt idx="8">
                  <c:v>47</c:v>
                </c:pt>
                <c:pt idx="9">
                  <c:v>47</c:v>
                </c:pt>
                <c:pt idx="10">
                  <c:v>47</c:v>
                </c:pt>
                <c:pt idx="11">
                  <c:v>47</c:v>
                </c:pt>
                <c:pt idx="12">
                  <c:v>47</c:v>
                </c:pt>
              </c:numCache>
            </c:numRef>
          </c:xVal>
          <c:yVal>
            <c:numRef>
              <c:f>Vibrio!$K$32:$K$44</c:f>
              <c:numCache>
                <c:formatCode>0.00</c:formatCode>
                <c:ptCount val="13"/>
                <c:pt idx="0">
                  <c:v>0.14612803567823801</c:v>
                </c:pt>
                <c:pt idx="1">
                  <c:v>1.6020599913279623</c:v>
                </c:pt>
                <c:pt idx="2">
                  <c:v>7.9181246047624818E-2</c:v>
                </c:pt>
                <c:pt idx="3">
                  <c:v>1.550228353055094</c:v>
                </c:pt>
                <c:pt idx="4">
                  <c:v>-4.5757490560675115E-2</c:v>
                </c:pt>
                <c:pt idx="5">
                  <c:v>1.3010299956639813</c:v>
                </c:pt>
                <c:pt idx="6">
                  <c:v>-0.3010299956639812</c:v>
                </c:pt>
                <c:pt idx="7">
                  <c:v>0.25527250510330607</c:v>
                </c:pt>
                <c:pt idx="8">
                  <c:v>0.27875360095282892</c:v>
                </c:pt>
                <c:pt idx="9">
                  <c:v>0.23044892137827391</c:v>
                </c:pt>
                <c:pt idx="10">
                  <c:v>0.25527250510330607</c:v>
                </c:pt>
                <c:pt idx="11">
                  <c:v>0.27875360095282892</c:v>
                </c:pt>
                <c:pt idx="12">
                  <c:v>0.38021124171160603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B3F-4A9E-A363-6E7BE9C1AB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353456"/>
        <c:axId val="1"/>
      </c:scatterChart>
      <c:valAx>
        <c:axId val="490353456"/>
        <c:scaling>
          <c:orientation val="minMax"/>
          <c:max val="70"/>
          <c:min val="40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1175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T (</a:t>
                </a:r>
                <a:r>
                  <a:rPr lang="nl-NL" sz="1175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°</a:t>
                </a:r>
                <a:r>
                  <a:rPr lang="nl-NL" sz="1175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C)</a:t>
                </a:r>
              </a:p>
            </c:rich>
          </c:tx>
          <c:layout>
            <c:manualLayout>
              <c:xMode val="edge"/>
              <c:yMode val="edge"/>
              <c:x val="0.42279450362822291"/>
              <c:y val="0.907106119931729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  <c:majorUnit val="10"/>
      </c:valAx>
      <c:valAx>
        <c:axId val="1"/>
        <c:scaling>
          <c:orientation val="minMax"/>
          <c:max val="1"/>
          <c:min val="-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Log D (log min)</a:t>
                </a:r>
              </a:p>
            </c:rich>
          </c:tx>
          <c:layout>
            <c:manualLayout>
              <c:xMode val="edge"/>
              <c:yMode val="edge"/>
              <c:x val="1.2867647058823529E-2"/>
              <c:y val="0.34972763650445338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90353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1213293191292262"/>
          <c:y val="1.3661202185792349E-2"/>
          <c:w val="0.37500038598116403"/>
          <c:h val="0.4726787430259741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Vibro</a:t>
            </a:r>
          </a:p>
        </c:rich>
      </c:tx>
      <c:layout>
        <c:manualLayout>
          <c:xMode val="edge"/>
          <c:yMode val="edge"/>
          <c:x val="0.472072828734246"/>
          <c:y val="4.48275862068965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513537291556327"/>
          <c:y val="0.16551724137931034"/>
          <c:w val="0.63603715518925108"/>
          <c:h val="0.68965517241379315"/>
        </c:manualLayout>
      </c:layout>
      <c:scatterChart>
        <c:scatterStyle val="lineMarker"/>
        <c:varyColors val="0"/>
        <c:ser>
          <c:idx val="5"/>
          <c:order val="0"/>
          <c:tx>
            <c:v>Fish (para)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Vibrio!$H$11:$H$19</c:f>
              <c:numCache>
                <c:formatCode>General</c:formatCode>
                <c:ptCount val="9"/>
                <c:pt idx="0">
                  <c:v>49</c:v>
                </c:pt>
                <c:pt idx="1">
                  <c:v>49</c:v>
                </c:pt>
                <c:pt idx="2">
                  <c:v>51</c:v>
                </c:pt>
                <c:pt idx="3">
                  <c:v>51</c:v>
                </c:pt>
                <c:pt idx="4">
                  <c:v>55</c:v>
                </c:pt>
                <c:pt idx="5">
                  <c:v>55</c:v>
                </c:pt>
                <c:pt idx="6">
                  <c:v>55</c:v>
                </c:pt>
                <c:pt idx="7">
                  <c:v>48</c:v>
                </c:pt>
                <c:pt idx="8">
                  <c:v>48</c:v>
                </c:pt>
              </c:numCache>
            </c:numRef>
          </c:xVal>
          <c:yVal>
            <c:numRef>
              <c:f>Vibrio!$K$11:$K$19</c:f>
              <c:numCache>
                <c:formatCode>0.00</c:formatCode>
                <c:ptCount val="9"/>
                <c:pt idx="0">
                  <c:v>-0.45593195564972439</c:v>
                </c:pt>
                <c:pt idx="1">
                  <c:v>-0.14266750356873156</c:v>
                </c:pt>
                <c:pt idx="2">
                  <c:v>-0.69897000433601875</c:v>
                </c:pt>
                <c:pt idx="3">
                  <c:v>-0.22914798835785583</c:v>
                </c:pt>
                <c:pt idx="4">
                  <c:v>-1.6989700043360187</c:v>
                </c:pt>
                <c:pt idx="5">
                  <c:v>-0.53760200210104392</c:v>
                </c:pt>
                <c:pt idx="6">
                  <c:v>0.3979400086720376</c:v>
                </c:pt>
                <c:pt idx="7">
                  <c:v>1</c:v>
                </c:pt>
                <c:pt idx="8">
                  <c:v>1.2041199826559248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91-4397-B80E-A846A889AA95}"/>
            </c:ext>
          </c:extLst>
        </c:ser>
        <c:ser>
          <c:idx val="6"/>
          <c:order val="1"/>
          <c:tx>
            <c:v>Media (para)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Vibrio!$H$20:$H$25</c:f>
              <c:numCache>
                <c:formatCode>General</c:formatCode>
                <c:ptCount val="6"/>
                <c:pt idx="0">
                  <c:v>47</c:v>
                </c:pt>
                <c:pt idx="1">
                  <c:v>47</c:v>
                </c:pt>
                <c:pt idx="2">
                  <c:v>53</c:v>
                </c:pt>
                <c:pt idx="3">
                  <c:v>53</c:v>
                </c:pt>
                <c:pt idx="4">
                  <c:v>48</c:v>
                </c:pt>
                <c:pt idx="5">
                  <c:v>48</c:v>
                </c:pt>
              </c:numCache>
            </c:numRef>
          </c:xVal>
          <c:yVal>
            <c:numRef>
              <c:f>Vibrio!$K$20:$K$25</c:f>
              <c:numCache>
                <c:formatCode>0.00</c:formatCode>
                <c:ptCount val="6"/>
                <c:pt idx="0">
                  <c:v>0.41497334797081797</c:v>
                </c:pt>
                <c:pt idx="1">
                  <c:v>0.55630250076728727</c:v>
                </c:pt>
                <c:pt idx="2">
                  <c:v>0.44715803134221921</c:v>
                </c:pt>
                <c:pt idx="3">
                  <c:v>0.6020599913279624</c:v>
                </c:pt>
                <c:pt idx="4">
                  <c:v>0</c:v>
                </c:pt>
                <c:pt idx="5">
                  <c:v>0.17609125905568124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91-4397-B80E-A846A889AA95}"/>
            </c:ext>
          </c:extLst>
        </c:ser>
        <c:ser>
          <c:idx val="0"/>
          <c:order val="2"/>
          <c:tx>
            <c:v>Fish vulnificus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Vibrio!$H$26:$H$31</c:f>
              <c:numCache>
                <c:formatCode>General</c:formatCode>
                <c:ptCount val="6"/>
                <c:pt idx="0">
                  <c:v>40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</c:numCache>
            </c:numRef>
          </c:xVal>
          <c:yVal>
            <c:numRef>
              <c:f>Vibrio!$K$26:$K$31</c:f>
              <c:numCache>
                <c:formatCode>0.00</c:formatCode>
                <c:ptCount val="6"/>
                <c:pt idx="0">
                  <c:v>1.0791812460476249</c:v>
                </c:pt>
                <c:pt idx="1">
                  <c:v>0.43136376415898736</c:v>
                </c:pt>
                <c:pt idx="2">
                  <c:v>0.23044892137827391</c:v>
                </c:pt>
                <c:pt idx="3">
                  <c:v>0.47712125471966244</c:v>
                </c:pt>
                <c:pt idx="4">
                  <c:v>0.3010299956639812</c:v>
                </c:pt>
                <c:pt idx="5">
                  <c:v>0.21748394421390627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91-4397-B80E-A846A889AA95}"/>
            </c:ext>
          </c:extLst>
        </c:ser>
        <c:ser>
          <c:idx val="1"/>
          <c:order val="3"/>
          <c:tx>
            <c:v>Media vulnificus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Vibrio!$H$32:$H$44</c:f>
              <c:numCache>
                <c:formatCode>General</c:formatCode>
                <c:ptCount val="13"/>
                <c:pt idx="0">
                  <c:v>50</c:v>
                </c:pt>
                <c:pt idx="1">
                  <c:v>40</c:v>
                </c:pt>
                <c:pt idx="2">
                  <c:v>50</c:v>
                </c:pt>
                <c:pt idx="3">
                  <c:v>40</c:v>
                </c:pt>
                <c:pt idx="4">
                  <c:v>50</c:v>
                </c:pt>
                <c:pt idx="5">
                  <c:v>40</c:v>
                </c:pt>
                <c:pt idx="6">
                  <c:v>50</c:v>
                </c:pt>
                <c:pt idx="7">
                  <c:v>47</c:v>
                </c:pt>
                <c:pt idx="8">
                  <c:v>47</c:v>
                </c:pt>
                <c:pt idx="9">
                  <c:v>47</c:v>
                </c:pt>
                <c:pt idx="10">
                  <c:v>47</c:v>
                </c:pt>
                <c:pt idx="11">
                  <c:v>47</c:v>
                </c:pt>
                <c:pt idx="12">
                  <c:v>47</c:v>
                </c:pt>
              </c:numCache>
            </c:numRef>
          </c:xVal>
          <c:yVal>
            <c:numRef>
              <c:f>Vibrio!$K$32:$K$44</c:f>
              <c:numCache>
                <c:formatCode>0.00</c:formatCode>
                <c:ptCount val="13"/>
                <c:pt idx="0">
                  <c:v>0.14612803567823801</c:v>
                </c:pt>
                <c:pt idx="1">
                  <c:v>1.6020599913279623</c:v>
                </c:pt>
                <c:pt idx="2">
                  <c:v>7.9181246047624818E-2</c:v>
                </c:pt>
                <c:pt idx="3">
                  <c:v>1.550228353055094</c:v>
                </c:pt>
                <c:pt idx="4">
                  <c:v>-4.5757490560675115E-2</c:v>
                </c:pt>
                <c:pt idx="5">
                  <c:v>1.3010299956639813</c:v>
                </c:pt>
                <c:pt idx="6">
                  <c:v>-0.3010299956639812</c:v>
                </c:pt>
                <c:pt idx="7">
                  <c:v>0.25527250510330607</c:v>
                </c:pt>
                <c:pt idx="8">
                  <c:v>0.27875360095282892</c:v>
                </c:pt>
                <c:pt idx="9">
                  <c:v>0.23044892137827391</c:v>
                </c:pt>
                <c:pt idx="10">
                  <c:v>0.25527250510330607</c:v>
                </c:pt>
                <c:pt idx="11">
                  <c:v>0.27875360095282892</c:v>
                </c:pt>
                <c:pt idx="12">
                  <c:v>0.38021124171160603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691-4397-B80E-A846A889AA95}"/>
            </c:ext>
          </c:extLst>
        </c:ser>
        <c:ser>
          <c:idx val="2"/>
          <c:order val="4"/>
          <c:tx>
            <c:v>Fish (cholerae)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Vibrio!$H$2:$H$6</c:f>
              <c:numCache>
                <c:formatCode>General</c:formatCode>
                <c:ptCount val="5"/>
                <c:pt idx="0">
                  <c:v>49</c:v>
                </c:pt>
                <c:pt idx="1">
                  <c:v>54</c:v>
                </c:pt>
                <c:pt idx="2">
                  <c:v>60</c:v>
                </c:pt>
                <c:pt idx="3">
                  <c:v>66</c:v>
                </c:pt>
                <c:pt idx="4">
                  <c:v>71</c:v>
                </c:pt>
              </c:numCache>
            </c:numRef>
          </c:xVal>
          <c:yVal>
            <c:numRef>
              <c:f>Vibrio!$K$2:$K$6</c:f>
              <c:numCache>
                <c:formatCode>0.00</c:formatCode>
                <c:ptCount val="5"/>
                <c:pt idx="0">
                  <c:v>0.91115760873997664</c:v>
                </c:pt>
                <c:pt idx="1">
                  <c:v>0.70070371714501933</c:v>
                </c:pt>
                <c:pt idx="2">
                  <c:v>0.42324587393680785</c:v>
                </c:pt>
                <c:pt idx="3">
                  <c:v>0.20411998265592479</c:v>
                </c:pt>
                <c:pt idx="4">
                  <c:v>-0.52287874528033762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691-4397-B80E-A846A889AA95}"/>
            </c:ext>
          </c:extLst>
        </c:ser>
        <c:ser>
          <c:idx val="4"/>
          <c:order val="5"/>
          <c:tx>
            <c:v>Media (cholerae)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Vibrio!$H$7:$H$10</c:f>
              <c:numCache>
                <c:formatCode>General</c:formatCode>
                <c:ptCount val="4"/>
                <c:pt idx="0">
                  <c:v>49</c:v>
                </c:pt>
                <c:pt idx="1">
                  <c:v>54</c:v>
                </c:pt>
                <c:pt idx="2">
                  <c:v>60</c:v>
                </c:pt>
                <c:pt idx="3">
                  <c:v>63</c:v>
                </c:pt>
              </c:numCache>
            </c:numRef>
          </c:xVal>
          <c:yVal>
            <c:numRef>
              <c:f>Vibrio!$K$7:$K$10</c:f>
              <c:numCache>
                <c:formatCode>0.00</c:formatCode>
                <c:ptCount val="4"/>
                <c:pt idx="0">
                  <c:v>0.23044892137827391</c:v>
                </c:pt>
                <c:pt idx="1">
                  <c:v>1.703333929878037E-2</c:v>
                </c:pt>
                <c:pt idx="2">
                  <c:v>-0.20065945054641829</c:v>
                </c:pt>
                <c:pt idx="3">
                  <c:v>-0.44369749923271273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691-4397-B80E-A846A889AA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352736"/>
        <c:axId val="1"/>
      </c:scatterChart>
      <c:valAx>
        <c:axId val="490352736"/>
        <c:scaling>
          <c:orientation val="minMax"/>
          <c:max val="85"/>
          <c:min val="40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925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T (</a:t>
                </a:r>
                <a:r>
                  <a:rPr lang="nl-NL" sz="925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°</a:t>
                </a:r>
                <a:r>
                  <a:rPr lang="nl-NL" sz="925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C)</a:t>
                </a:r>
              </a:p>
            </c:rich>
          </c:tx>
          <c:layout>
            <c:manualLayout>
              <c:xMode val="edge"/>
              <c:yMode val="edge"/>
              <c:x val="0.41982057648199378"/>
              <c:y val="0.8931034482758620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  <c:majorUnit val="10"/>
      </c:valAx>
      <c:valAx>
        <c:axId val="1"/>
        <c:scaling>
          <c:orientation val="minMax"/>
          <c:max val="1"/>
          <c:min val="-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Log D (log min)</a:t>
                </a:r>
              </a:p>
            </c:rich>
          </c:tx>
          <c:layout>
            <c:manualLayout>
              <c:xMode val="edge"/>
              <c:yMode val="edge"/>
              <c:x val="1.2612612612612612E-2"/>
              <c:y val="0.3482758620689654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903527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3693826109574145"/>
          <c:y val="1.7241379310344827E-2"/>
          <c:w val="0.20720758553829421"/>
          <c:h val="0.4137931034482758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Y. enterocoliticus</a:t>
            </a:r>
          </a:p>
        </c:rich>
      </c:tx>
      <c:layout>
        <c:manualLayout>
          <c:xMode val="edge"/>
          <c:yMode val="edge"/>
          <c:x val="0.37305009214273743"/>
          <c:y val="2.90697674418604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312079332999962"/>
          <c:y val="0.1414731359638747"/>
          <c:w val="0.60992992288608561"/>
          <c:h val="0.7403114786054813"/>
        </c:manualLayout>
      </c:layout>
      <c:scatterChart>
        <c:scatterStyle val="lineMarker"/>
        <c:varyColors val="0"/>
        <c:ser>
          <c:idx val="4"/>
          <c:order val="0"/>
          <c:tx>
            <c:v>Milk</c:v>
          </c:tx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Yersinia!$H$2:$H$38</c:f>
              <c:numCache>
                <c:formatCode>General</c:formatCode>
                <c:ptCount val="37"/>
                <c:pt idx="0">
                  <c:v>51.7</c:v>
                </c:pt>
                <c:pt idx="1">
                  <c:v>51.7</c:v>
                </c:pt>
                <c:pt idx="2">
                  <c:v>55</c:v>
                </c:pt>
                <c:pt idx="3">
                  <c:v>55</c:v>
                </c:pt>
                <c:pt idx="4">
                  <c:v>57.2</c:v>
                </c:pt>
                <c:pt idx="5">
                  <c:v>57.2</c:v>
                </c:pt>
                <c:pt idx="6">
                  <c:v>58</c:v>
                </c:pt>
                <c:pt idx="7">
                  <c:v>58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62</c:v>
                </c:pt>
                <c:pt idx="12">
                  <c:v>62</c:v>
                </c:pt>
                <c:pt idx="13">
                  <c:v>62.8</c:v>
                </c:pt>
                <c:pt idx="14">
                  <c:v>62.8</c:v>
                </c:pt>
                <c:pt idx="15">
                  <c:v>62.8</c:v>
                </c:pt>
                <c:pt idx="16">
                  <c:v>62.8</c:v>
                </c:pt>
                <c:pt idx="17">
                  <c:v>62.8</c:v>
                </c:pt>
                <c:pt idx="18">
                  <c:v>62.8</c:v>
                </c:pt>
                <c:pt idx="19">
                  <c:v>51.7</c:v>
                </c:pt>
                <c:pt idx="20">
                  <c:v>51.7</c:v>
                </c:pt>
                <c:pt idx="21">
                  <c:v>57.2</c:v>
                </c:pt>
                <c:pt idx="22">
                  <c:v>57.2</c:v>
                </c:pt>
                <c:pt idx="23">
                  <c:v>62.8</c:v>
                </c:pt>
                <c:pt idx="24">
                  <c:v>62.8</c:v>
                </c:pt>
                <c:pt idx="25">
                  <c:v>51.7</c:v>
                </c:pt>
                <c:pt idx="26">
                  <c:v>51.7</c:v>
                </c:pt>
                <c:pt idx="27">
                  <c:v>57.2</c:v>
                </c:pt>
                <c:pt idx="28">
                  <c:v>62.8</c:v>
                </c:pt>
                <c:pt idx="29">
                  <c:v>62.8</c:v>
                </c:pt>
                <c:pt idx="30">
                  <c:v>57.2</c:v>
                </c:pt>
                <c:pt idx="31">
                  <c:v>57.2</c:v>
                </c:pt>
                <c:pt idx="32">
                  <c:v>62.8</c:v>
                </c:pt>
                <c:pt idx="33">
                  <c:v>62.8</c:v>
                </c:pt>
                <c:pt idx="34">
                  <c:v>68.3</c:v>
                </c:pt>
                <c:pt idx="35">
                  <c:v>65</c:v>
                </c:pt>
                <c:pt idx="36">
                  <c:v>68.3</c:v>
                </c:pt>
              </c:numCache>
            </c:numRef>
          </c:xVal>
          <c:yVal>
            <c:numRef>
              <c:f>Yersinia!$K$2:$K$38</c:f>
              <c:numCache>
                <c:formatCode>0.00</c:formatCode>
                <c:ptCount val="37"/>
                <c:pt idx="0">
                  <c:v>1.3692158574101427</c:v>
                </c:pt>
                <c:pt idx="1">
                  <c:v>1.4756711883244296</c:v>
                </c:pt>
                <c:pt idx="2">
                  <c:v>0.25527250510330607</c:v>
                </c:pt>
                <c:pt idx="3">
                  <c:v>0.34242268082220628</c:v>
                </c:pt>
                <c:pt idx="4">
                  <c:v>0.66275783168157409</c:v>
                </c:pt>
                <c:pt idx="5">
                  <c:v>1.167317334748176</c:v>
                </c:pt>
                <c:pt idx="6">
                  <c:v>0.14612803567823801</c:v>
                </c:pt>
                <c:pt idx="7">
                  <c:v>0.25527250510330607</c:v>
                </c:pt>
                <c:pt idx="8">
                  <c:v>-1.1739251972991736</c:v>
                </c:pt>
                <c:pt idx="9">
                  <c:v>-0.3979400086720376</c:v>
                </c:pt>
                <c:pt idx="10">
                  <c:v>-0.29242982390206362</c:v>
                </c:pt>
                <c:pt idx="11">
                  <c:v>-0.82390874094431876</c:v>
                </c:pt>
                <c:pt idx="12">
                  <c:v>-0.72124639904717103</c:v>
                </c:pt>
                <c:pt idx="13">
                  <c:v>-1.9330532103693869</c:v>
                </c:pt>
                <c:pt idx="14">
                  <c:v>-0.74472749489669399</c:v>
                </c:pt>
                <c:pt idx="15">
                  <c:v>-1.9330532103693869</c:v>
                </c:pt>
                <c:pt idx="16">
                  <c:v>-1.7728766960431602E-2</c:v>
                </c:pt>
                <c:pt idx="17">
                  <c:v>-1.7728766960431554E-2</c:v>
                </c:pt>
                <c:pt idx="18">
                  <c:v>-0.52773124807474958</c:v>
                </c:pt>
                <c:pt idx="19">
                  <c:v>1.3729120029701065</c:v>
                </c:pt>
                <c:pt idx="20">
                  <c:v>1.3692158574101427</c:v>
                </c:pt>
                <c:pt idx="21">
                  <c:v>0.81291335664285558</c:v>
                </c:pt>
                <c:pt idx="22">
                  <c:v>0.76342799356293722</c:v>
                </c:pt>
                <c:pt idx="23">
                  <c:v>-0.50863830616572736</c:v>
                </c:pt>
                <c:pt idx="24">
                  <c:v>-0.58502665202918203</c:v>
                </c:pt>
                <c:pt idx="25">
                  <c:v>1.4082399653118496</c:v>
                </c:pt>
                <c:pt idx="26">
                  <c:v>1.4756711883244296</c:v>
                </c:pt>
                <c:pt idx="27">
                  <c:v>0.66275783168157409</c:v>
                </c:pt>
                <c:pt idx="28">
                  <c:v>-0.61978875828839397</c:v>
                </c:pt>
                <c:pt idx="29">
                  <c:v>-0.74472749489669399</c:v>
                </c:pt>
                <c:pt idx="30">
                  <c:v>1.167317334748176</c:v>
                </c:pt>
                <c:pt idx="31">
                  <c:v>1.0827853703164501</c:v>
                </c:pt>
                <c:pt idx="32">
                  <c:v>-1.7728766960431602E-2</c:v>
                </c:pt>
                <c:pt idx="33">
                  <c:v>-6.0480747381381476E-2</c:v>
                </c:pt>
                <c:pt idx="34">
                  <c:v>-1.0457574905606752</c:v>
                </c:pt>
                <c:pt idx="35">
                  <c:v>-1.5477023290053697</c:v>
                </c:pt>
                <c:pt idx="36">
                  <c:v>-1.0457574905606752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23-46B1-9994-05A88551AB92}"/>
            </c:ext>
          </c:extLst>
        </c:ser>
        <c:ser>
          <c:idx val="1"/>
          <c:order val="1"/>
          <c:tx>
            <c:v>Beef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Yersinia!$H$45:$H$62</c:f>
              <c:numCache>
                <c:formatCode>General</c:formatCode>
                <c:ptCount val="18"/>
                <c:pt idx="0">
                  <c:v>50</c:v>
                </c:pt>
                <c:pt idx="1">
                  <c:v>50</c:v>
                </c:pt>
                <c:pt idx="2">
                  <c:v>55</c:v>
                </c:pt>
                <c:pt idx="3">
                  <c:v>55</c:v>
                </c:pt>
                <c:pt idx="4">
                  <c:v>60</c:v>
                </c:pt>
                <c:pt idx="5">
                  <c:v>60</c:v>
                </c:pt>
                <c:pt idx="6">
                  <c:v>48</c:v>
                </c:pt>
                <c:pt idx="7">
                  <c:v>48</c:v>
                </c:pt>
                <c:pt idx="8">
                  <c:v>52</c:v>
                </c:pt>
                <c:pt idx="9">
                  <c:v>52</c:v>
                </c:pt>
                <c:pt idx="10">
                  <c:v>56</c:v>
                </c:pt>
                <c:pt idx="11">
                  <c:v>56</c:v>
                </c:pt>
                <c:pt idx="12">
                  <c:v>48</c:v>
                </c:pt>
                <c:pt idx="13">
                  <c:v>48</c:v>
                </c:pt>
                <c:pt idx="14">
                  <c:v>52</c:v>
                </c:pt>
                <c:pt idx="15">
                  <c:v>52</c:v>
                </c:pt>
                <c:pt idx="16">
                  <c:v>56</c:v>
                </c:pt>
                <c:pt idx="17">
                  <c:v>56</c:v>
                </c:pt>
              </c:numCache>
            </c:numRef>
          </c:xVal>
          <c:yVal>
            <c:numRef>
              <c:f>Yersinia!$K$45:$K$62</c:f>
              <c:numCache>
                <c:formatCode>0.00</c:formatCode>
                <c:ptCount val="18"/>
                <c:pt idx="0">
                  <c:v>1.2405492482825997</c:v>
                </c:pt>
                <c:pt idx="1">
                  <c:v>1.3263358609287514</c:v>
                </c:pt>
                <c:pt idx="2">
                  <c:v>0.29225607135647602</c:v>
                </c:pt>
                <c:pt idx="3">
                  <c:v>2.5305865264770262E-2</c:v>
                </c:pt>
                <c:pt idx="4">
                  <c:v>-1.322826573375516E-2</c:v>
                </c:pt>
                <c:pt idx="5">
                  <c:v>-0.25963731050575611</c:v>
                </c:pt>
                <c:pt idx="6">
                  <c:v>1.6454222693490919</c:v>
                </c:pt>
                <c:pt idx="7">
                  <c:v>1.651278013998144</c:v>
                </c:pt>
                <c:pt idx="8">
                  <c:v>0.78532983501076703</c:v>
                </c:pt>
                <c:pt idx="9">
                  <c:v>0.85125834871907524</c:v>
                </c:pt>
                <c:pt idx="10">
                  <c:v>7.9181246047624818E-2</c:v>
                </c:pt>
                <c:pt idx="11">
                  <c:v>7.9181246047624818E-2</c:v>
                </c:pt>
                <c:pt idx="12">
                  <c:v>1.8506462351830666</c:v>
                </c:pt>
                <c:pt idx="13">
                  <c:v>1.8796692056320534</c:v>
                </c:pt>
                <c:pt idx="14">
                  <c:v>0.98227123303956843</c:v>
                </c:pt>
                <c:pt idx="15">
                  <c:v>0.98677173426624487</c:v>
                </c:pt>
                <c:pt idx="16">
                  <c:v>0.3010299956639812</c:v>
                </c:pt>
                <c:pt idx="17">
                  <c:v>0.14612803567823801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23-46B1-9994-05A88551AB92}"/>
            </c:ext>
          </c:extLst>
        </c:ser>
        <c:ser>
          <c:idx val="0"/>
          <c:order val="2"/>
          <c:tx>
            <c:v>Saline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Yersinia!$H$63:$H$64</c:f>
              <c:numCache>
                <c:formatCode>General</c:formatCode>
                <c:ptCount val="2"/>
                <c:pt idx="0">
                  <c:v>60</c:v>
                </c:pt>
                <c:pt idx="1">
                  <c:v>60</c:v>
                </c:pt>
              </c:numCache>
            </c:numRef>
          </c:xVal>
          <c:yVal>
            <c:numRef>
              <c:f>Yersinia!$K$63:$K$63</c:f>
              <c:numCache>
                <c:formatCode>0.00</c:formatCode>
                <c:ptCount val="1"/>
                <c:pt idx="0">
                  <c:v>-0.3979400086720376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223-46B1-9994-05A88551AB92}"/>
            </c:ext>
          </c:extLst>
        </c:ser>
        <c:ser>
          <c:idx val="5"/>
          <c:order val="3"/>
          <c:tx>
            <c:v>Water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Yersinia!$H$39:$H$44</c:f>
              <c:numCache>
                <c:formatCode>General</c:formatCode>
                <c:ptCount val="6"/>
                <c:pt idx="0">
                  <c:v>58</c:v>
                </c:pt>
                <c:pt idx="1">
                  <c:v>58</c:v>
                </c:pt>
                <c:pt idx="2">
                  <c:v>59</c:v>
                </c:pt>
                <c:pt idx="3">
                  <c:v>60</c:v>
                </c:pt>
                <c:pt idx="4">
                  <c:v>60</c:v>
                </c:pt>
                <c:pt idx="5">
                  <c:v>62</c:v>
                </c:pt>
              </c:numCache>
            </c:numRef>
          </c:xVal>
          <c:yVal>
            <c:numRef>
              <c:f>Yersinia!$K$39:$K$44</c:f>
              <c:numCache>
                <c:formatCode>0.00</c:formatCode>
                <c:ptCount val="6"/>
                <c:pt idx="0">
                  <c:v>0.14612803567823801</c:v>
                </c:pt>
                <c:pt idx="1">
                  <c:v>0.25527250510330607</c:v>
                </c:pt>
                <c:pt idx="2">
                  <c:v>0</c:v>
                </c:pt>
                <c:pt idx="3">
                  <c:v>-0.3979400086720376</c:v>
                </c:pt>
                <c:pt idx="4">
                  <c:v>-0.3010299956639812</c:v>
                </c:pt>
                <c:pt idx="5">
                  <c:v>-0.69897000433601875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223-46B1-9994-05A88551AB92}"/>
            </c:ext>
          </c:extLst>
        </c:ser>
        <c:ser>
          <c:idx val="3"/>
          <c:order val="4"/>
          <c:tx>
            <c:v>Log D (model)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GraphYersinia!$A$14:$A$34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GraphYersinia!$B$14:$B$34</c:f>
              <c:numCache>
                <c:formatCode>0.00</c:formatCode>
                <c:ptCount val="21"/>
                <c:pt idx="0">
                  <c:v>2.2373215772050896</c:v>
                </c:pt>
                <c:pt idx="1">
                  <c:v>1.430563545759894</c:v>
                </c:pt>
                <c:pt idx="2">
                  <c:v>0.62380551431469788</c:v>
                </c:pt>
                <c:pt idx="3">
                  <c:v>-0.18295251713049754</c:v>
                </c:pt>
                <c:pt idx="4">
                  <c:v>-0.98971054857569329</c:v>
                </c:pt>
                <c:pt idx="5">
                  <c:v>-1.796468580020889</c:v>
                </c:pt>
                <c:pt idx="6">
                  <c:v>-2.6032266114660847</c:v>
                </c:pt>
                <c:pt idx="7">
                  <c:v>-3.4099846429112803</c:v>
                </c:pt>
                <c:pt idx="8">
                  <c:v>-4.2167426743564764</c:v>
                </c:pt>
                <c:pt idx="9">
                  <c:v>-5.0235007058016716</c:v>
                </c:pt>
                <c:pt idx="10">
                  <c:v>-5.8302587372468677</c:v>
                </c:pt>
                <c:pt idx="11">
                  <c:v>-6.6370167686920629</c:v>
                </c:pt>
                <c:pt idx="12">
                  <c:v>-7.443774800137259</c:v>
                </c:pt>
                <c:pt idx="13">
                  <c:v>-8.2505328315824542</c:v>
                </c:pt>
                <c:pt idx="14">
                  <c:v>-9.0572908630276494</c:v>
                </c:pt>
                <c:pt idx="15">
                  <c:v>-9.8640488944728464</c:v>
                </c:pt>
                <c:pt idx="16">
                  <c:v>-10.670806925918042</c:v>
                </c:pt>
                <c:pt idx="17">
                  <c:v>-11.477564957363237</c:v>
                </c:pt>
                <c:pt idx="18">
                  <c:v>-12.284322988808434</c:v>
                </c:pt>
                <c:pt idx="19">
                  <c:v>-13.091081020253629</c:v>
                </c:pt>
                <c:pt idx="20">
                  <c:v>-13.897839051698824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223-46B1-9994-05A88551AB92}"/>
            </c:ext>
          </c:extLst>
        </c:ser>
        <c:ser>
          <c:idx val="9"/>
          <c:order val="5"/>
          <c:tx>
            <c:v>95% cfi</c:v>
          </c:tx>
          <c:spPr>
            <a:ln w="25400">
              <a:solidFill>
                <a:srgbClr val="000080"/>
              </a:solidFill>
              <a:prstDash val="lgDash"/>
            </a:ln>
          </c:spPr>
          <c:marker>
            <c:symbol val="none"/>
          </c:marker>
          <c:xVal>
            <c:numRef>
              <c:f>GraphYersinia!$A$14:$A$34</c:f>
              <c:numCache>
                <c:formatCode>General</c:formatCode>
                <c:ptCount val="21"/>
                <c:pt idx="0">
                  <c:v>45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</c:numCache>
            </c:numRef>
          </c:xVal>
          <c:yVal>
            <c:numRef>
              <c:f>GraphYersinia!$C$14:$C$34</c:f>
              <c:numCache>
                <c:formatCode>0.00</c:formatCode>
                <c:ptCount val="21"/>
                <c:pt idx="0">
                  <c:v>3.1241962322647865</c:v>
                </c:pt>
                <c:pt idx="1">
                  <c:v>2.3174382008195908</c:v>
                </c:pt>
                <c:pt idx="2">
                  <c:v>1.5106801693743948</c:v>
                </c:pt>
                <c:pt idx="3">
                  <c:v>0.70392213792919922</c:v>
                </c:pt>
                <c:pt idx="4">
                  <c:v>-0.10283589351599653</c:v>
                </c:pt>
                <c:pt idx="5">
                  <c:v>-0.90959392496119229</c:v>
                </c:pt>
                <c:pt idx="6">
                  <c:v>-1.7163519564063878</c:v>
                </c:pt>
                <c:pt idx="7">
                  <c:v>-2.5231099878515835</c:v>
                </c:pt>
                <c:pt idx="8">
                  <c:v>-3.3298680192967796</c:v>
                </c:pt>
                <c:pt idx="9">
                  <c:v>-4.1366260507419748</c:v>
                </c:pt>
                <c:pt idx="10">
                  <c:v>-4.9433840821871708</c:v>
                </c:pt>
                <c:pt idx="11">
                  <c:v>-5.750142113632366</c:v>
                </c:pt>
                <c:pt idx="12">
                  <c:v>-6.5569001450775621</c:v>
                </c:pt>
                <c:pt idx="13">
                  <c:v>-7.3636581765227573</c:v>
                </c:pt>
                <c:pt idx="14">
                  <c:v>-8.1704162079679534</c:v>
                </c:pt>
                <c:pt idx="15">
                  <c:v>-8.9771742394131504</c:v>
                </c:pt>
                <c:pt idx="16">
                  <c:v>-9.7839322708583456</c:v>
                </c:pt>
                <c:pt idx="17">
                  <c:v>-10.590690302303541</c:v>
                </c:pt>
                <c:pt idx="18">
                  <c:v>-11.397448333748738</c:v>
                </c:pt>
                <c:pt idx="19">
                  <c:v>-12.204206365193933</c:v>
                </c:pt>
                <c:pt idx="20">
                  <c:v>-13.010964396639128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223-46B1-9994-05A88551A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357776"/>
        <c:axId val="1"/>
      </c:scatterChart>
      <c:valAx>
        <c:axId val="490357776"/>
        <c:scaling>
          <c:orientation val="minMax"/>
          <c:max val="75"/>
          <c:min val="45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nl-NL" sz="16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T (</a:t>
                </a:r>
                <a:r>
                  <a:rPr lang="nl-NL" sz="16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°</a:t>
                </a:r>
                <a:r>
                  <a:rPr lang="nl-NL" sz="16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C)</a:t>
                </a:r>
              </a:p>
            </c:rich>
          </c:tx>
          <c:layout>
            <c:manualLayout>
              <c:xMode val="edge"/>
              <c:yMode val="edge"/>
              <c:x val="0.42553251056383906"/>
              <c:y val="0.916668497833119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"/>
        <c:crosses val="autoZero"/>
        <c:crossBetween val="midCat"/>
        <c:majorUnit val="10"/>
      </c:valAx>
      <c:valAx>
        <c:axId val="1"/>
        <c:scaling>
          <c:orientation val="minMax"/>
          <c:max val="2"/>
          <c:min val="-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Log D (log min)</a:t>
                </a:r>
              </a:p>
            </c:rich>
          </c:tx>
          <c:layout>
            <c:manualLayout>
              <c:xMode val="edge"/>
              <c:yMode val="edge"/>
              <c:x val="7.0921985815602835E-3"/>
              <c:y val="0.3585277421717633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4903577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936179147819288"/>
          <c:y val="9.6899224806201549E-3"/>
          <c:w val="0.28794370916401402"/>
          <c:h val="0.3720936336446316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4" Type="http://schemas.openxmlformats.org/officeDocument/2006/relationships/chart" Target="../charts/chart1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chart" Target="../charts/chart2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342900</xdr:colOff>
      <xdr:row>1</xdr:row>
      <xdr:rowOff>38100</xdr:rowOff>
    </xdr:from>
    <xdr:to>
      <xdr:col>21</xdr:col>
      <xdr:colOff>238125</xdr:colOff>
      <xdr:row>31</xdr:row>
      <xdr:rowOff>38100</xdr:rowOff>
    </xdr:to>
    <xdr:graphicFrame macro="">
      <xdr:nvGraphicFramePr>
        <xdr:cNvPr id="2103" name="Chart 1">
          <a:extLst>
            <a:ext uri="{FF2B5EF4-FFF2-40B4-BE49-F238E27FC236}">
              <a16:creationId xmlns:a16="http://schemas.microsoft.com/office/drawing/2014/main" id="{BEC0613F-386A-06D0-87B4-24FC5A78CD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352425</xdr:colOff>
      <xdr:row>34</xdr:row>
      <xdr:rowOff>28575</xdr:rowOff>
    </xdr:from>
    <xdr:to>
      <xdr:col>21</xdr:col>
      <xdr:colOff>295275</xdr:colOff>
      <xdr:row>52</xdr:row>
      <xdr:rowOff>76200</xdr:rowOff>
    </xdr:to>
    <xdr:graphicFrame macro="">
      <xdr:nvGraphicFramePr>
        <xdr:cNvPr id="2104" name="Chart 4">
          <a:extLst>
            <a:ext uri="{FF2B5EF4-FFF2-40B4-BE49-F238E27FC236}">
              <a16:creationId xmlns:a16="http://schemas.microsoft.com/office/drawing/2014/main" id="{C2427695-7789-D9E7-347B-5D69595AEC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133350</xdr:colOff>
      <xdr:row>55</xdr:row>
      <xdr:rowOff>114300</xdr:rowOff>
    </xdr:from>
    <xdr:to>
      <xdr:col>10</xdr:col>
      <xdr:colOff>600075</xdr:colOff>
      <xdr:row>81</xdr:row>
      <xdr:rowOff>57150</xdr:rowOff>
    </xdr:to>
    <xdr:graphicFrame macro="">
      <xdr:nvGraphicFramePr>
        <xdr:cNvPr id="2105" name="Chart 9">
          <a:extLst>
            <a:ext uri="{FF2B5EF4-FFF2-40B4-BE49-F238E27FC236}">
              <a16:creationId xmlns:a16="http://schemas.microsoft.com/office/drawing/2014/main" id="{CEC88738-6EF5-AFE6-1CF8-7C76CF519B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590550</xdr:colOff>
      <xdr:row>2</xdr:row>
      <xdr:rowOff>9525</xdr:rowOff>
    </xdr:from>
    <xdr:to>
      <xdr:col>14</xdr:col>
      <xdr:colOff>600075</xdr:colOff>
      <xdr:row>33</xdr:row>
      <xdr:rowOff>66675</xdr:rowOff>
    </xdr:to>
    <xdr:graphicFrame macro="">
      <xdr:nvGraphicFramePr>
        <xdr:cNvPr id="3092" name="Chart 3">
          <a:extLst>
            <a:ext uri="{FF2B5EF4-FFF2-40B4-BE49-F238E27FC236}">
              <a16:creationId xmlns:a16="http://schemas.microsoft.com/office/drawing/2014/main" id="{38A38E48-38A5-9356-FB81-76F5A78507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361950</xdr:colOff>
      <xdr:row>1</xdr:row>
      <xdr:rowOff>9525</xdr:rowOff>
    </xdr:from>
    <xdr:to>
      <xdr:col>19</xdr:col>
      <xdr:colOff>228600</xdr:colOff>
      <xdr:row>33</xdr:row>
      <xdr:rowOff>0</xdr:rowOff>
    </xdr:to>
    <xdr:graphicFrame macro="">
      <xdr:nvGraphicFramePr>
        <xdr:cNvPr id="4136" name="Chart 8">
          <a:extLst>
            <a:ext uri="{FF2B5EF4-FFF2-40B4-BE49-F238E27FC236}">
              <a16:creationId xmlns:a16="http://schemas.microsoft.com/office/drawing/2014/main" id="{C2FAF9D1-19DB-EB5F-866D-98A05C845B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38</xdr:row>
      <xdr:rowOff>0</xdr:rowOff>
    </xdr:from>
    <xdr:to>
      <xdr:col>21</xdr:col>
      <xdr:colOff>485775</xdr:colOff>
      <xdr:row>71</xdr:row>
      <xdr:rowOff>0</xdr:rowOff>
    </xdr:to>
    <xdr:graphicFrame macro="">
      <xdr:nvGraphicFramePr>
        <xdr:cNvPr id="4137" name="Chart 9">
          <a:extLst>
            <a:ext uri="{FF2B5EF4-FFF2-40B4-BE49-F238E27FC236}">
              <a16:creationId xmlns:a16="http://schemas.microsoft.com/office/drawing/2014/main" id="{3A357C95-A21A-3C26-E025-7CF9FB4BBA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66675</xdr:colOff>
      <xdr:row>3</xdr:row>
      <xdr:rowOff>152400</xdr:rowOff>
    </xdr:from>
    <xdr:to>
      <xdr:col>17</xdr:col>
      <xdr:colOff>142875</xdr:colOff>
      <xdr:row>31</xdr:row>
      <xdr:rowOff>47625</xdr:rowOff>
    </xdr:to>
    <xdr:graphicFrame macro="">
      <xdr:nvGraphicFramePr>
        <xdr:cNvPr id="6165" name="Chart 5">
          <a:extLst>
            <a:ext uri="{FF2B5EF4-FFF2-40B4-BE49-F238E27FC236}">
              <a16:creationId xmlns:a16="http://schemas.microsoft.com/office/drawing/2014/main" id="{FD17E207-7360-C4F0-9912-13A1717A44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190500</xdr:rowOff>
    </xdr:from>
    <xdr:to>
      <xdr:col>15</xdr:col>
      <xdr:colOff>9525</xdr:colOff>
      <xdr:row>30</xdr:row>
      <xdr:rowOff>123825</xdr:rowOff>
    </xdr:to>
    <xdr:graphicFrame macro="">
      <xdr:nvGraphicFramePr>
        <xdr:cNvPr id="16417" name="Chart 1">
          <a:extLst>
            <a:ext uri="{FF2B5EF4-FFF2-40B4-BE49-F238E27FC236}">
              <a16:creationId xmlns:a16="http://schemas.microsoft.com/office/drawing/2014/main" id="{8AA7A592-AC26-FB58-9E74-1468BC58D9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447675</xdr:colOff>
      <xdr:row>33</xdr:row>
      <xdr:rowOff>76200</xdr:rowOff>
    </xdr:from>
    <xdr:to>
      <xdr:col>14</xdr:col>
      <xdr:colOff>200025</xdr:colOff>
      <xdr:row>56</xdr:row>
      <xdr:rowOff>114300</xdr:rowOff>
    </xdr:to>
    <xdr:graphicFrame macro="">
      <xdr:nvGraphicFramePr>
        <xdr:cNvPr id="16418" name="Chart 2">
          <a:extLst>
            <a:ext uri="{FF2B5EF4-FFF2-40B4-BE49-F238E27FC236}">
              <a16:creationId xmlns:a16="http://schemas.microsoft.com/office/drawing/2014/main" id="{35D3A587-E2FE-CB78-3E48-748EFDFBBB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666750</xdr:colOff>
      <xdr:row>99</xdr:row>
      <xdr:rowOff>152400</xdr:rowOff>
    </xdr:from>
    <xdr:to>
      <xdr:col>11</xdr:col>
      <xdr:colOff>133350</xdr:colOff>
      <xdr:row>412</xdr:row>
      <xdr:rowOff>142875</xdr:rowOff>
    </xdr:to>
    <xdr:graphicFrame macro="">
      <xdr:nvGraphicFramePr>
        <xdr:cNvPr id="460801" name="Chart 1">
          <a:extLst>
            <a:ext uri="{FF2B5EF4-FFF2-40B4-BE49-F238E27FC236}">
              <a16:creationId xmlns:a16="http://schemas.microsoft.com/office/drawing/2014/main" id="{1A7DFACD-AD22-6CCF-ACB9-A20A8B8112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590550</xdr:colOff>
      <xdr:row>2</xdr:row>
      <xdr:rowOff>9525</xdr:rowOff>
    </xdr:from>
    <xdr:to>
      <xdr:col>14</xdr:col>
      <xdr:colOff>600075</xdr:colOff>
      <xdr:row>32</xdr:row>
      <xdr:rowOff>66675</xdr:rowOff>
    </xdr:to>
    <xdr:graphicFrame macro="">
      <xdr:nvGraphicFramePr>
        <xdr:cNvPr id="5171" name="Chart 2">
          <a:extLst>
            <a:ext uri="{FF2B5EF4-FFF2-40B4-BE49-F238E27FC236}">
              <a16:creationId xmlns:a16="http://schemas.microsoft.com/office/drawing/2014/main" id="{5EDBEC31-14B4-F3BB-50B8-B3C5197ADE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409575</xdr:colOff>
      <xdr:row>37</xdr:row>
      <xdr:rowOff>142875</xdr:rowOff>
    </xdr:from>
    <xdr:to>
      <xdr:col>17</xdr:col>
      <xdr:colOff>85725</xdr:colOff>
      <xdr:row>59</xdr:row>
      <xdr:rowOff>0</xdr:rowOff>
    </xdr:to>
    <xdr:graphicFrame macro="">
      <xdr:nvGraphicFramePr>
        <xdr:cNvPr id="5172" name="Chart 4">
          <a:extLst>
            <a:ext uri="{FF2B5EF4-FFF2-40B4-BE49-F238E27FC236}">
              <a16:creationId xmlns:a16="http://schemas.microsoft.com/office/drawing/2014/main" id="{D44C46DF-4D02-8FD2-6325-E944A7576B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314325</xdr:colOff>
      <xdr:row>62</xdr:row>
      <xdr:rowOff>142875</xdr:rowOff>
    </xdr:from>
    <xdr:to>
      <xdr:col>10</xdr:col>
      <xdr:colOff>295275</xdr:colOff>
      <xdr:row>85</xdr:row>
      <xdr:rowOff>19050</xdr:rowOff>
    </xdr:to>
    <xdr:graphicFrame macro="">
      <xdr:nvGraphicFramePr>
        <xdr:cNvPr id="5173" name="Chart 5">
          <a:extLst>
            <a:ext uri="{FF2B5EF4-FFF2-40B4-BE49-F238E27FC236}">
              <a16:creationId xmlns:a16="http://schemas.microsoft.com/office/drawing/2014/main" id="{399F4C88-A06E-5922-BD54-4D6F4659D8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47625</xdr:colOff>
      <xdr:row>8</xdr:row>
      <xdr:rowOff>38100</xdr:rowOff>
    </xdr:from>
    <xdr:to>
      <xdr:col>30</xdr:col>
      <xdr:colOff>438150</xdr:colOff>
      <xdr:row>57</xdr:row>
      <xdr:rowOff>66675</xdr:rowOff>
    </xdr:to>
    <xdr:graphicFrame macro="">
      <xdr:nvGraphicFramePr>
        <xdr:cNvPr id="7187" name="Chart 2">
          <a:extLst>
            <a:ext uri="{FF2B5EF4-FFF2-40B4-BE49-F238E27FC236}">
              <a16:creationId xmlns:a16="http://schemas.microsoft.com/office/drawing/2014/main" id="{0225046B-63E0-3943-E8EC-0E8B8A31F2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228600</xdr:colOff>
      <xdr:row>60</xdr:row>
      <xdr:rowOff>114300</xdr:rowOff>
    </xdr:from>
    <xdr:to>
      <xdr:col>24</xdr:col>
      <xdr:colOff>133350</xdr:colOff>
      <xdr:row>84</xdr:row>
      <xdr:rowOff>28575</xdr:rowOff>
    </xdr:to>
    <xdr:graphicFrame macro="">
      <xdr:nvGraphicFramePr>
        <xdr:cNvPr id="8262" name="Chart 1">
          <a:extLst>
            <a:ext uri="{FF2B5EF4-FFF2-40B4-BE49-F238E27FC236}">
              <a16:creationId xmlns:a16="http://schemas.microsoft.com/office/drawing/2014/main" id="{0E101145-E151-94E8-E045-CB8C5A793E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152400</xdr:colOff>
      <xdr:row>1</xdr:row>
      <xdr:rowOff>38100</xdr:rowOff>
    </xdr:from>
    <xdr:to>
      <xdr:col>16</xdr:col>
      <xdr:colOff>161925</xdr:colOff>
      <xdr:row>31</xdr:row>
      <xdr:rowOff>95250</xdr:rowOff>
    </xdr:to>
    <xdr:graphicFrame macro="">
      <xdr:nvGraphicFramePr>
        <xdr:cNvPr id="8263" name="Chart 2">
          <a:extLst>
            <a:ext uri="{FF2B5EF4-FFF2-40B4-BE49-F238E27FC236}">
              <a16:creationId xmlns:a16="http://schemas.microsoft.com/office/drawing/2014/main" id="{A91B8D84-6764-F7C5-2968-8188F703D1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552450</xdr:colOff>
      <xdr:row>101</xdr:row>
      <xdr:rowOff>104775</xdr:rowOff>
    </xdr:from>
    <xdr:to>
      <xdr:col>8</xdr:col>
      <xdr:colOff>171450</xdr:colOff>
      <xdr:row>118</xdr:row>
      <xdr:rowOff>95250</xdr:rowOff>
    </xdr:to>
    <xdr:graphicFrame macro="">
      <xdr:nvGraphicFramePr>
        <xdr:cNvPr id="8264" name="Chart 8">
          <a:extLst>
            <a:ext uri="{FF2B5EF4-FFF2-40B4-BE49-F238E27FC236}">
              <a16:creationId xmlns:a16="http://schemas.microsoft.com/office/drawing/2014/main" id="{6777A5E8-7065-DA6A-901F-EB364688F3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514350</xdr:colOff>
      <xdr:row>101</xdr:row>
      <xdr:rowOff>66675</xdr:rowOff>
    </xdr:from>
    <xdr:to>
      <xdr:col>16</xdr:col>
      <xdr:colOff>133350</xdr:colOff>
      <xdr:row>118</xdr:row>
      <xdr:rowOff>57150</xdr:rowOff>
    </xdr:to>
    <xdr:graphicFrame macro="">
      <xdr:nvGraphicFramePr>
        <xdr:cNvPr id="8265" name="Chart 9">
          <a:extLst>
            <a:ext uri="{FF2B5EF4-FFF2-40B4-BE49-F238E27FC236}">
              <a16:creationId xmlns:a16="http://schemas.microsoft.com/office/drawing/2014/main" id="{D6A4E2E7-4387-FFF2-5F6D-90C1306D94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314325</xdr:colOff>
      <xdr:row>1</xdr:row>
      <xdr:rowOff>123825</xdr:rowOff>
    </xdr:from>
    <xdr:to>
      <xdr:col>14</xdr:col>
      <xdr:colOff>323850</xdr:colOff>
      <xdr:row>32</xdr:row>
      <xdr:rowOff>19050</xdr:rowOff>
    </xdr:to>
    <xdr:graphicFrame macro="">
      <xdr:nvGraphicFramePr>
        <xdr:cNvPr id="17425" name="Chart 1">
          <a:extLst>
            <a:ext uri="{FF2B5EF4-FFF2-40B4-BE49-F238E27FC236}">
              <a16:creationId xmlns:a16="http://schemas.microsoft.com/office/drawing/2014/main" id="{F826B548-B64B-E827-CC4D-41D2056E44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209550</xdr:rowOff>
    </xdr:from>
    <xdr:to>
      <xdr:col>18</xdr:col>
      <xdr:colOff>238125</xdr:colOff>
      <xdr:row>31</xdr:row>
      <xdr:rowOff>38100</xdr:rowOff>
    </xdr:to>
    <xdr:graphicFrame macro="">
      <xdr:nvGraphicFramePr>
        <xdr:cNvPr id="9283" name="Chart 2">
          <a:extLst>
            <a:ext uri="{FF2B5EF4-FFF2-40B4-BE49-F238E27FC236}">
              <a16:creationId xmlns:a16="http://schemas.microsoft.com/office/drawing/2014/main" id="{8924ADEB-6A34-65D4-112D-0B92955EE6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85725</xdr:colOff>
      <xdr:row>56</xdr:row>
      <xdr:rowOff>123825</xdr:rowOff>
    </xdr:from>
    <xdr:to>
      <xdr:col>10</xdr:col>
      <xdr:colOff>238125</xdr:colOff>
      <xdr:row>81</xdr:row>
      <xdr:rowOff>142875</xdr:rowOff>
    </xdr:to>
    <xdr:graphicFrame macro="">
      <xdr:nvGraphicFramePr>
        <xdr:cNvPr id="9284" name="Chart 4">
          <a:extLst>
            <a:ext uri="{FF2B5EF4-FFF2-40B4-BE49-F238E27FC236}">
              <a16:creationId xmlns:a16="http://schemas.microsoft.com/office/drawing/2014/main" id="{B272BFF5-47C5-D665-3058-B38D2A883B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48</xdr:row>
      <xdr:rowOff>28575</xdr:rowOff>
    </xdr:from>
    <xdr:to>
      <xdr:col>20</xdr:col>
      <xdr:colOff>523875</xdr:colOff>
      <xdr:row>75</xdr:row>
      <xdr:rowOff>123825</xdr:rowOff>
    </xdr:to>
    <xdr:graphicFrame macro="">
      <xdr:nvGraphicFramePr>
        <xdr:cNvPr id="9285" name="Chart 5">
          <a:extLst>
            <a:ext uri="{FF2B5EF4-FFF2-40B4-BE49-F238E27FC236}">
              <a16:creationId xmlns:a16="http://schemas.microsoft.com/office/drawing/2014/main" id="{06E687CB-9BE6-FA58-A189-05D6BDB062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123825</xdr:colOff>
      <xdr:row>77</xdr:row>
      <xdr:rowOff>47625</xdr:rowOff>
    </xdr:from>
    <xdr:to>
      <xdr:col>20</xdr:col>
      <xdr:colOff>85725</xdr:colOff>
      <xdr:row>98</xdr:row>
      <xdr:rowOff>152400</xdr:rowOff>
    </xdr:to>
    <xdr:graphicFrame macro="">
      <xdr:nvGraphicFramePr>
        <xdr:cNvPr id="9286" name="Chart 6">
          <a:extLst>
            <a:ext uri="{FF2B5EF4-FFF2-40B4-BE49-F238E27FC236}">
              <a16:creationId xmlns:a16="http://schemas.microsoft.com/office/drawing/2014/main" id="{2B615EBB-D6A3-0EBB-F770-FEB1316F5D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409575</xdr:colOff>
      <xdr:row>1</xdr:row>
      <xdr:rowOff>28575</xdr:rowOff>
    </xdr:from>
    <xdr:to>
      <xdr:col>14</xdr:col>
      <xdr:colOff>419100</xdr:colOff>
      <xdr:row>31</xdr:row>
      <xdr:rowOff>85725</xdr:rowOff>
    </xdr:to>
    <xdr:graphicFrame macro="">
      <xdr:nvGraphicFramePr>
        <xdr:cNvPr id="11282" name="Chart 1">
          <a:extLst>
            <a:ext uri="{FF2B5EF4-FFF2-40B4-BE49-F238E27FC236}">
              <a16:creationId xmlns:a16="http://schemas.microsoft.com/office/drawing/2014/main" id="{7F3E98EC-F306-227A-29B2-D7277E9BC9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419100</xdr:colOff>
      <xdr:row>17</xdr:row>
      <xdr:rowOff>28575</xdr:rowOff>
    </xdr:from>
    <xdr:to>
      <xdr:col>14</xdr:col>
      <xdr:colOff>104775</xdr:colOff>
      <xdr:row>41</xdr:row>
      <xdr:rowOff>47625</xdr:rowOff>
    </xdr:to>
    <xdr:graphicFrame macro="">
      <xdr:nvGraphicFramePr>
        <xdr:cNvPr id="12338" name="Chart 1">
          <a:extLst>
            <a:ext uri="{FF2B5EF4-FFF2-40B4-BE49-F238E27FC236}">
              <a16:creationId xmlns:a16="http://schemas.microsoft.com/office/drawing/2014/main" id="{71ED64ED-2EE4-421D-F8A3-172F6135BD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428625</xdr:colOff>
      <xdr:row>43</xdr:row>
      <xdr:rowOff>76200</xdr:rowOff>
    </xdr:from>
    <xdr:to>
      <xdr:col>14</xdr:col>
      <xdr:colOff>123825</xdr:colOff>
      <xdr:row>65</xdr:row>
      <xdr:rowOff>0</xdr:rowOff>
    </xdr:to>
    <xdr:graphicFrame macro="">
      <xdr:nvGraphicFramePr>
        <xdr:cNvPr id="12339" name="Chart 2">
          <a:extLst>
            <a:ext uri="{FF2B5EF4-FFF2-40B4-BE49-F238E27FC236}">
              <a16:creationId xmlns:a16="http://schemas.microsoft.com/office/drawing/2014/main" id="{03E1C01F-A33F-94D8-C667-843712B162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514350</xdr:colOff>
      <xdr:row>0</xdr:row>
      <xdr:rowOff>19050</xdr:rowOff>
    </xdr:from>
    <xdr:to>
      <xdr:col>14</xdr:col>
      <xdr:colOff>314325</xdr:colOff>
      <xdr:row>16</xdr:row>
      <xdr:rowOff>123825</xdr:rowOff>
    </xdr:to>
    <xdr:graphicFrame macro="">
      <xdr:nvGraphicFramePr>
        <xdr:cNvPr id="12340" name="Chart 4">
          <a:extLst>
            <a:ext uri="{FF2B5EF4-FFF2-40B4-BE49-F238E27FC236}">
              <a16:creationId xmlns:a16="http://schemas.microsoft.com/office/drawing/2014/main" id="{6B70A32A-B6D8-9776-C100-D2F8EE5DFA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409575</xdr:colOff>
      <xdr:row>1</xdr:row>
      <xdr:rowOff>28575</xdr:rowOff>
    </xdr:from>
    <xdr:to>
      <xdr:col>14</xdr:col>
      <xdr:colOff>419100</xdr:colOff>
      <xdr:row>31</xdr:row>
      <xdr:rowOff>85725</xdr:rowOff>
    </xdr:to>
    <xdr:graphicFrame macro="">
      <xdr:nvGraphicFramePr>
        <xdr:cNvPr id="14353" name="Chart 1">
          <a:extLst>
            <a:ext uri="{FF2B5EF4-FFF2-40B4-BE49-F238E27FC236}">
              <a16:creationId xmlns:a16="http://schemas.microsoft.com/office/drawing/2014/main" id="{D974A269-7E07-9727-E52F-E61D9D6A95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486"/>
  <sheetViews>
    <sheetView topLeftCell="F1" workbookViewId="0">
      <pane ySplit="1" topLeftCell="A480" activePane="bottomLeft" state="frozen"/>
      <selection pane="bottomLeft" activeCell="M486" sqref="M486"/>
    </sheetView>
  </sheetViews>
  <sheetFormatPr defaultRowHeight="12.75" x14ac:dyDescent="0.2"/>
  <cols>
    <col min="1" max="1" width="16.28515625" customWidth="1"/>
    <col min="4" max="4" width="17.5703125" customWidth="1"/>
    <col min="5" max="5" width="22.42578125" customWidth="1"/>
    <col min="6" max="7" width="11.5703125" customWidth="1"/>
    <col min="8" max="8" width="8.5703125" style="4" customWidth="1"/>
    <col min="9" max="9" width="10.28515625" style="4" customWidth="1"/>
    <col min="10" max="10" width="9.140625" style="11" customWidth="1"/>
    <col min="11" max="12" width="9.140625" style="4" customWidth="1"/>
    <col min="13" max="13" width="14.5703125" style="4" customWidth="1"/>
    <col min="16" max="16" width="17.5703125" customWidth="1"/>
    <col min="19" max="19" width="12.5703125" customWidth="1"/>
  </cols>
  <sheetData>
    <row r="1" spans="1:21" s="18" customFormat="1" ht="15" x14ac:dyDescent="0.25">
      <c r="A1" s="14" t="s">
        <v>1221</v>
      </c>
      <c r="B1" s="14" t="s">
        <v>64</v>
      </c>
      <c r="C1" s="14" t="s">
        <v>65</v>
      </c>
      <c r="D1" s="14" t="s">
        <v>39</v>
      </c>
      <c r="E1" s="14" t="s">
        <v>1222</v>
      </c>
      <c r="F1" s="14" t="s">
        <v>1255</v>
      </c>
      <c r="G1" s="14" t="s">
        <v>509</v>
      </c>
      <c r="H1" s="15" t="s">
        <v>1230</v>
      </c>
      <c r="I1" s="15" t="s">
        <v>1229</v>
      </c>
      <c r="J1" s="20" t="s">
        <v>1232</v>
      </c>
      <c r="K1" s="15" t="s">
        <v>1231</v>
      </c>
      <c r="L1" s="16" t="s">
        <v>1343</v>
      </c>
      <c r="M1" s="17" t="s">
        <v>1344</v>
      </c>
      <c r="N1" s="14" t="s">
        <v>1223</v>
      </c>
      <c r="O1" s="14" t="s">
        <v>1224</v>
      </c>
      <c r="P1" s="14" t="s">
        <v>1225</v>
      </c>
      <c r="R1" s="18" t="s">
        <v>255</v>
      </c>
      <c r="S1" s="18" t="s">
        <v>269</v>
      </c>
      <c r="T1" s="18" t="s">
        <v>906</v>
      </c>
      <c r="U1" s="18" t="s">
        <v>989</v>
      </c>
    </row>
    <row r="2" spans="1:21" x14ac:dyDescent="0.2">
      <c r="A2" s="2" t="s">
        <v>1236</v>
      </c>
      <c r="B2" s="2" t="s">
        <v>1237</v>
      </c>
      <c r="C2" s="2" t="s">
        <v>878</v>
      </c>
      <c r="D2" s="2" t="s">
        <v>40</v>
      </c>
      <c r="E2" s="1" t="s">
        <v>1248</v>
      </c>
      <c r="F2" s="1"/>
      <c r="G2" s="1"/>
      <c r="H2" s="5"/>
      <c r="I2" s="5">
        <v>95</v>
      </c>
      <c r="J2" s="9">
        <v>2.9</v>
      </c>
      <c r="K2" s="5"/>
      <c r="L2" s="9">
        <f t="shared" ref="L2:L34" si="0">LOG(J2)</f>
        <v>0.46239799789895608</v>
      </c>
      <c r="M2" s="11">
        <f>GraphBacillus!$B$10-(I2-GraphBacillus!$B$6)/GraphBacillus!$B$5</f>
        <v>0.56430441936438891</v>
      </c>
      <c r="N2" s="2" t="s">
        <v>1226</v>
      </c>
      <c r="O2">
        <v>1996</v>
      </c>
      <c r="S2" s="10">
        <f>GraphBacillus!$B$37*Bacillus!I2+GraphBacillus!$B$38</f>
        <v>0.4454019479325515</v>
      </c>
      <c r="T2" s="10">
        <f>GraphBacillus!$E$37*Bacillus!I2+GraphBacillus!$E$38</f>
        <v>0.54852241566997151</v>
      </c>
      <c r="U2" s="10">
        <f>GraphBacillus!$I$37*Bacillus!I2+GraphBacillus!$I$38</f>
        <v>0.28686251267950968</v>
      </c>
    </row>
    <row r="3" spans="1:21" x14ac:dyDescent="0.2">
      <c r="A3" s="2" t="s">
        <v>1236</v>
      </c>
      <c r="B3" s="2" t="s">
        <v>1237</v>
      </c>
      <c r="C3" s="2" t="s">
        <v>879</v>
      </c>
      <c r="D3" s="2" t="s">
        <v>40</v>
      </c>
      <c r="E3" s="1" t="s">
        <v>1248</v>
      </c>
      <c r="F3" s="1"/>
      <c r="G3" s="1"/>
      <c r="H3" s="5"/>
      <c r="I3" s="5">
        <v>95</v>
      </c>
      <c r="J3" s="9">
        <v>36.200000000000003</v>
      </c>
      <c r="K3" s="5"/>
      <c r="L3" s="9">
        <f t="shared" si="0"/>
        <v>1.5587085705331658</v>
      </c>
      <c r="M3" s="11">
        <f>GraphBacillus!$B$10-(I3-GraphBacillus!$B$6)/GraphBacillus!$B$5</f>
        <v>0.56430441936438891</v>
      </c>
      <c r="N3" s="2" t="s">
        <v>1226</v>
      </c>
      <c r="O3">
        <v>1996</v>
      </c>
      <c r="S3" s="10">
        <f>GraphBacillus!$B$37*Bacillus!I3+GraphBacillus!$B$38</f>
        <v>0.4454019479325515</v>
      </c>
      <c r="T3" s="10">
        <f>GraphBacillus!$E$37*Bacillus!I3+GraphBacillus!$E$38</f>
        <v>0.54852241566997151</v>
      </c>
      <c r="U3" s="10">
        <f>GraphBacillus!$I$37*Bacillus!I3+GraphBacillus!$I$38</f>
        <v>0.28686251267950968</v>
      </c>
    </row>
    <row r="4" spans="1:21" x14ac:dyDescent="0.2">
      <c r="A4" s="2" t="s">
        <v>1236</v>
      </c>
      <c r="B4" s="2" t="s">
        <v>1237</v>
      </c>
      <c r="C4" s="1" t="s">
        <v>876</v>
      </c>
      <c r="D4" s="1" t="s">
        <v>40</v>
      </c>
      <c r="E4" s="1" t="s">
        <v>1256</v>
      </c>
      <c r="F4" s="1" t="s">
        <v>1257</v>
      </c>
      <c r="G4" s="1"/>
      <c r="H4" s="5">
        <v>7</v>
      </c>
      <c r="I4" s="5">
        <v>100</v>
      </c>
      <c r="J4" s="9">
        <v>6.3</v>
      </c>
      <c r="K4" s="5"/>
      <c r="L4" s="9">
        <f t="shared" si="0"/>
        <v>0.79934054945358168</v>
      </c>
      <c r="M4" s="11">
        <f>GraphBacillus!$B$10-(I4-GraphBacillus!$B$6)/GraphBacillus!$B$5</f>
        <v>0.1750683851365975</v>
      </c>
      <c r="N4" s="2" t="s">
        <v>1226</v>
      </c>
      <c r="O4">
        <v>1996</v>
      </c>
      <c r="S4" s="10">
        <f>GraphBacillus!$B$37*Bacillus!I4+GraphBacillus!$B$38</f>
        <v>0.11225308463062955</v>
      </c>
      <c r="T4" s="10">
        <f>GraphBacillus!$E$37*Bacillus!I4+GraphBacillus!$E$38</f>
        <v>0.23312293957895225</v>
      </c>
      <c r="U4" s="10">
        <f>GraphBacillus!$I$37*Bacillus!I4+GraphBacillus!$I$38</f>
        <v>-9.0547291552894649E-2</v>
      </c>
    </row>
    <row r="5" spans="1:21" x14ac:dyDescent="0.2">
      <c r="A5" s="2" t="s">
        <v>1236</v>
      </c>
      <c r="B5" s="2" t="s">
        <v>1237</v>
      </c>
      <c r="C5" s="1" t="s">
        <v>877</v>
      </c>
      <c r="D5" s="1" t="s">
        <v>40</v>
      </c>
      <c r="E5" s="1" t="s">
        <v>1256</v>
      </c>
      <c r="F5" s="1" t="s">
        <v>1257</v>
      </c>
      <c r="G5" s="1"/>
      <c r="H5" s="5">
        <v>7</v>
      </c>
      <c r="I5" s="5">
        <v>100</v>
      </c>
      <c r="J5" s="9">
        <v>4.2</v>
      </c>
      <c r="K5" s="5"/>
      <c r="L5" s="9">
        <f t="shared" si="0"/>
        <v>0.62324929039790045</v>
      </c>
      <c r="M5" s="11">
        <f>GraphBacillus!$B$10-(I5-GraphBacillus!$B$6)/GraphBacillus!$B$5</f>
        <v>0.1750683851365975</v>
      </c>
      <c r="N5" s="2" t="s">
        <v>1226</v>
      </c>
      <c r="O5">
        <v>1996</v>
      </c>
      <c r="S5" s="10">
        <f>GraphBacillus!$B$37*Bacillus!I5+GraphBacillus!$B$38</f>
        <v>0.11225308463062955</v>
      </c>
      <c r="T5" s="10">
        <f>GraphBacillus!$E$37*Bacillus!I5+GraphBacillus!$E$38</f>
        <v>0.23312293957895225</v>
      </c>
      <c r="U5" s="10">
        <f>GraphBacillus!$I$37*Bacillus!I5+GraphBacillus!$I$38</f>
        <v>-9.0547291552894649E-2</v>
      </c>
    </row>
    <row r="6" spans="1:21" x14ac:dyDescent="0.2">
      <c r="A6" s="2" t="s">
        <v>1236</v>
      </c>
      <c r="B6" s="2" t="s">
        <v>1237</v>
      </c>
      <c r="C6" s="2" t="s">
        <v>1415</v>
      </c>
      <c r="D6" s="1" t="s">
        <v>42</v>
      </c>
      <c r="E6" s="2" t="s">
        <v>1240</v>
      </c>
      <c r="F6" s="2"/>
      <c r="G6" s="2"/>
      <c r="H6" s="5"/>
      <c r="I6" s="5">
        <v>95</v>
      </c>
      <c r="J6" s="9">
        <v>3</v>
      </c>
      <c r="K6" s="5"/>
      <c r="L6" s="9">
        <f t="shared" si="0"/>
        <v>0.47712125471966244</v>
      </c>
      <c r="M6" s="11">
        <f>GraphBacillus!$B$10-(I6-GraphBacillus!$B$6)/GraphBacillus!$B$5</f>
        <v>0.56430441936438891</v>
      </c>
      <c r="N6" s="2" t="s">
        <v>1226</v>
      </c>
      <c r="O6">
        <v>1996</v>
      </c>
      <c r="S6" s="10">
        <f>GraphBacillus!$B$37*Bacillus!I6+GraphBacillus!$B$38</f>
        <v>0.4454019479325515</v>
      </c>
      <c r="T6" s="10">
        <f>GraphBacillus!$E$37*Bacillus!I6+GraphBacillus!$E$38</f>
        <v>0.54852241566997151</v>
      </c>
      <c r="U6" s="10">
        <f>GraphBacillus!$I$37*Bacillus!I6+GraphBacillus!$I$38</f>
        <v>0.28686251267950968</v>
      </c>
    </row>
    <row r="7" spans="1:21" x14ac:dyDescent="0.2">
      <c r="A7" s="2" t="s">
        <v>1236</v>
      </c>
      <c r="B7" s="2" t="s">
        <v>1237</v>
      </c>
      <c r="C7" s="1" t="s">
        <v>293</v>
      </c>
      <c r="D7" s="1" t="s">
        <v>42</v>
      </c>
      <c r="E7" s="2" t="s">
        <v>1240</v>
      </c>
      <c r="F7" s="2"/>
      <c r="G7" s="2"/>
      <c r="H7" s="5"/>
      <c r="I7" s="5">
        <v>95</v>
      </c>
      <c r="J7" s="9">
        <v>1.8</v>
      </c>
      <c r="K7" s="5">
        <v>9.4</v>
      </c>
      <c r="L7" s="9">
        <f t="shared" si="0"/>
        <v>0.25527250510330607</v>
      </c>
      <c r="M7" s="11">
        <f>GraphBacillus!$B$10-(I7-GraphBacillus!$B$6)/GraphBacillus!$B$5</f>
        <v>0.56430441936438891</v>
      </c>
      <c r="N7" t="s">
        <v>1226</v>
      </c>
      <c r="O7">
        <v>1996</v>
      </c>
      <c r="S7" s="10">
        <f>GraphBacillus!$B$37*Bacillus!I7+GraphBacillus!$B$38</f>
        <v>0.4454019479325515</v>
      </c>
      <c r="T7" s="10">
        <f>GraphBacillus!$E$37*Bacillus!I7+GraphBacillus!$E$38</f>
        <v>0.54852241566997151</v>
      </c>
      <c r="U7" s="10">
        <f>GraphBacillus!$I$37*Bacillus!I7+GraphBacillus!$I$38</f>
        <v>0.28686251267950968</v>
      </c>
    </row>
    <row r="8" spans="1:21" x14ac:dyDescent="0.2">
      <c r="A8" s="2" t="s">
        <v>1236</v>
      </c>
      <c r="B8" s="2" t="s">
        <v>1237</v>
      </c>
      <c r="C8" s="1" t="s">
        <v>293</v>
      </c>
      <c r="D8" s="1" t="s">
        <v>42</v>
      </c>
      <c r="E8" s="2" t="s">
        <v>1240</v>
      </c>
      <c r="F8" s="2"/>
      <c r="G8" s="2"/>
      <c r="H8" s="5"/>
      <c r="I8" s="5">
        <v>95</v>
      </c>
      <c r="J8" s="9">
        <v>19.100000000000001</v>
      </c>
      <c r="K8" s="5"/>
      <c r="L8" s="9">
        <f t="shared" si="0"/>
        <v>1.2810333672477277</v>
      </c>
      <c r="M8" s="11">
        <f>GraphBacillus!$B$10-(I8-GraphBacillus!$B$6)/GraphBacillus!$B$5</f>
        <v>0.56430441936438891</v>
      </c>
      <c r="N8" s="2" t="s">
        <v>1226</v>
      </c>
      <c r="O8">
        <v>1996</v>
      </c>
      <c r="S8" s="10">
        <f>GraphBacillus!$B$37*Bacillus!I8+GraphBacillus!$B$38</f>
        <v>0.4454019479325515</v>
      </c>
      <c r="T8" s="10">
        <f>GraphBacillus!$E$37*Bacillus!I8+GraphBacillus!$E$38</f>
        <v>0.54852241566997151</v>
      </c>
      <c r="U8" s="10">
        <f>GraphBacillus!$I$37*Bacillus!I8+GraphBacillus!$I$38</f>
        <v>0.28686251267950968</v>
      </c>
    </row>
    <row r="9" spans="1:21" x14ac:dyDescent="0.2">
      <c r="A9" s="2" t="s">
        <v>1236</v>
      </c>
      <c r="B9" s="2" t="s">
        <v>1237</v>
      </c>
      <c r="C9" s="2" t="s">
        <v>1067</v>
      </c>
      <c r="D9" s="2" t="s">
        <v>41</v>
      </c>
      <c r="E9" s="2" t="s">
        <v>1238</v>
      </c>
      <c r="F9" s="2"/>
      <c r="G9" s="2"/>
      <c r="H9" s="5">
        <v>6.3</v>
      </c>
      <c r="I9" s="5">
        <v>95</v>
      </c>
      <c r="J9" s="9">
        <v>2.7</v>
      </c>
      <c r="K9" s="5">
        <v>8.1</v>
      </c>
      <c r="L9" s="9">
        <f t="shared" si="0"/>
        <v>0.43136376415898736</v>
      </c>
      <c r="M9" s="11">
        <f>GraphBacillus!$B$10-(I9-GraphBacillus!$B$6)/GraphBacillus!$B$5</f>
        <v>0.56430441936438891</v>
      </c>
      <c r="N9" s="2" t="s">
        <v>858</v>
      </c>
      <c r="O9">
        <v>1987</v>
      </c>
      <c r="S9" s="10">
        <f>GraphBacillus!$B$37*Bacillus!I9+GraphBacillus!$B$38</f>
        <v>0.4454019479325515</v>
      </c>
      <c r="T9" s="10">
        <f>GraphBacillus!$E$37*Bacillus!I9+GraphBacillus!$E$38</f>
        <v>0.54852241566997151</v>
      </c>
      <c r="U9" s="10">
        <f>GraphBacillus!$I$37*Bacillus!I9+GraphBacillus!$I$38</f>
        <v>0.28686251267950968</v>
      </c>
    </row>
    <row r="10" spans="1:21" x14ac:dyDescent="0.2">
      <c r="A10" s="2" t="s">
        <v>1236</v>
      </c>
      <c r="B10" s="2" t="s">
        <v>1237</v>
      </c>
      <c r="C10" s="2" t="s">
        <v>1067</v>
      </c>
      <c r="D10" s="2" t="s">
        <v>41</v>
      </c>
      <c r="E10" s="2" t="s">
        <v>1238</v>
      </c>
      <c r="F10" s="2"/>
      <c r="G10" s="2"/>
      <c r="H10" s="5">
        <v>6.3</v>
      </c>
      <c r="I10" s="5">
        <v>90</v>
      </c>
      <c r="J10" s="9">
        <v>10.9</v>
      </c>
      <c r="K10" s="5"/>
      <c r="L10" s="9">
        <f t="shared" si="0"/>
        <v>1.0374264979406236</v>
      </c>
      <c r="M10" s="11">
        <f>GraphBacillus!$B$10-(I10-GraphBacillus!$B$6)/GraphBacillus!$B$5</f>
        <v>0.95354045359218009</v>
      </c>
      <c r="N10" s="2" t="s">
        <v>858</v>
      </c>
      <c r="O10">
        <v>1987</v>
      </c>
      <c r="S10" s="10"/>
      <c r="T10" s="10"/>
      <c r="U10" s="10"/>
    </row>
    <row r="11" spans="1:21" x14ac:dyDescent="0.2">
      <c r="A11" s="2" t="s">
        <v>1236</v>
      </c>
      <c r="B11" s="2" t="s">
        <v>1237</v>
      </c>
      <c r="C11" s="2" t="s">
        <v>1067</v>
      </c>
      <c r="D11" s="2" t="s">
        <v>41</v>
      </c>
      <c r="E11" s="2" t="s">
        <v>1238</v>
      </c>
      <c r="F11" s="2"/>
      <c r="G11" s="2"/>
      <c r="H11" s="5">
        <v>6.3</v>
      </c>
      <c r="I11" s="5">
        <v>97.5</v>
      </c>
      <c r="J11" s="9">
        <v>1.3</v>
      </c>
      <c r="K11" s="5"/>
      <c r="L11" s="9">
        <f t="shared" si="0"/>
        <v>0.11394335230683679</v>
      </c>
      <c r="M11" s="11">
        <f>GraphBacillus!$B$10-(I11-GraphBacillus!$B$6)/GraphBacillus!$B$5</f>
        <v>0.3696864022504931</v>
      </c>
      <c r="N11" s="2" t="s">
        <v>858</v>
      </c>
      <c r="O11">
        <v>1987</v>
      </c>
      <c r="S11" s="10"/>
      <c r="T11" s="10"/>
      <c r="U11" s="10"/>
    </row>
    <row r="12" spans="1:21" x14ac:dyDescent="0.2">
      <c r="A12" s="2" t="s">
        <v>1236</v>
      </c>
      <c r="B12" s="2" t="s">
        <v>1237</v>
      </c>
      <c r="C12" s="1" t="s">
        <v>862</v>
      </c>
      <c r="D12" s="2" t="s">
        <v>41</v>
      </c>
      <c r="E12" s="2" t="s">
        <v>1238</v>
      </c>
      <c r="F12" s="2"/>
      <c r="G12" s="2"/>
      <c r="H12" s="5">
        <v>6.3</v>
      </c>
      <c r="I12" s="5">
        <v>90</v>
      </c>
      <c r="J12" s="9">
        <v>44</v>
      </c>
      <c r="K12" s="5"/>
      <c r="L12" s="9">
        <f t="shared" si="0"/>
        <v>1.6434526764861874</v>
      </c>
      <c r="M12" s="11">
        <f>GraphBacillus!$B$10-(I12-GraphBacillus!$B$6)/GraphBacillus!$B$5</f>
        <v>0.95354045359218009</v>
      </c>
      <c r="N12" s="2" t="s">
        <v>858</v>
      </c>
      <c r="O12">
        <v>1987</v>
      </c>
      <c r="S12" s="10">
        <f>GraphBacillus!$B$37*Bacillus!I12+GraphBacillus!$B$38</f>
        <v>0.77855081123447345</v>
      </c>
      <c r="T12" s="10">
        <f>GraphBacillus!$E$37*Bacillus!I12+GraphBacillus!$E$38</f>
        <v>0.86392189176099077</v>
      </c>
      <c r="U12" s="10">
        <f>GraphBacillus!$I$37*Bacillus!I12+GraphBacillus!$I$38</f>
        <v>0.66427231691191402</v>
      </c>
    </row>
    <row r="13" spans="1:21" x14ac:dyDescent="0.2">
      <c r="A13" s="2" t="s">
        <v>1236</v>
      </c>
      <c r="B13" s="2" t="s">
        <v>1237</v>
      </c>
      <c r="C13" s="1" t="s">
        <v>862</v>
      </c>
      <c r="D13" s="2" t="s">
        <v>41</v>
      </c>
      <c r="E13" s="2" t="s">
        <v>1238</v>
      </c>
      <c r="F13" s="2"/>
      <c r="G13" s="2"/>
      <c r="H13" s="5">
        <v>6.3</v>
      </c>
      <c r="I13" s="5">
        <v>95</v>
      </c>
      <c r="J13" s="9">
        <v>9.3000000000000007</v>
      </c>
      <c r="K13" s="5"/>
      <c r="L13" s="9">
        <f t="shared" si="0"/>
        <v>0.96848294855393513</v>
      </c>
      <c r="M13" s="11">
        <f>GraphBacillus!$B$10-(I13-GraphBacillus!$B$6)/GraphBacillus!$B$5</f>
        <v>0.56430441936438891</v>
      </c>
      <c r="N13" s="2" t="s">
        <v>858</v>
      </c>
      <c r="O13">
        <v>1987</v>
      </c>
      <c r="S13" s="10"/>
      <c r="T13" s="10"/>
      <c r="U13" s="10"/>
    </row>
    <row r="14" spans="1:21" x14ac:dyDescent="0.2">
      <c r="A14" s="2" t="s">
        <v>1236</v>
      </c>
      <c r="B14" s="2" t="s">
        <v>1237</v>
      </c>
      <c r="C14" s="1" t="s">
        <v>862</v>
      </c>
      <c r="D14" s="2" t="s">
        <v>41</v>
      </c>
      <c r="E14" s="2" t="s">
        <v>1238</v>
      </c>
      <c r="F14" s="2"/>
      <c r="G14" s="2"/>
      <c r="H14" s="5">
        <v>6.3</v>
      </c>
      <c r="I14" s="5">
        <v>97.5</v>
      </c>
      <c r="J14" s="9">
        <v>6.7</v>
      </c>
      <c r="K14" s="5"/>
      <c r="L14" s="9">
        <f t="shared" si="0"/>
        <v>0.82607480270082645</v>
      </c>
      <c r="M14" s="11">
        <f>GraphBacillus!$B$10-(I14-GraphBacillus!$B$6)/GraphBacillus!$B$5</f>
        <v>0.3696864022504931</v>
      </c>
      <c r="N14" s="2" t="s">
        <v>858</v>
      </c>
      <c r="O14">
        <v>1987</v>
      </c>
      <c r="S14" s="10"/>
      <c r="T14" s="10"/>
      <c r="U14" s="10"/>
    </row>
    <row r="15" spans="1:21" x14ac:dyDescent="0.2">
      <c r="A15" s="2" t="s">
        <v>1236</v>
      </c>
      <c r="B15" s="2" t="s">
        <v>1237</v>
      </c>
      <c r="C15" s="1" t="s">
        <v>862</v>
      </c>
      <c r="D15" s="2" t="s">
        <v>41</v>
      </c>
      <c r="E15" s="2" t="s">
        <v>1238</v>
      </c>
      <c r="F15" s="2"/>
      <c r="G15" s="2"/>
      <c r="H15" s="5">
        <v>6.3</v>
      </c>
      <c r="I15" s="5">
        <v>100</v>
      </c>
      <c r="J15" s="9">
        <v>2.9</v>
      </c>
      <c r="K15" s="5"/>
      <c r="L15" s="9">
        <f t="shared" si="0"/>
        <v>0.46239799789895608</v>
      </c>
      <c r="M15" s="11">
        <f>GraphBacillus!$B$10-(I15-GraphBacillus!$B$6)/GraphBacillus!$B$5</f>
        <v>0.1750683851365975</v>
      </c>
      <c r="N15" s="2" t="s">
        <v>858</v>
      </c>
      <c r="O15">
        <v>1987</v>
      </c>
      <c r="S15" s="10"/>
      <c r="T15" s="10"/>
      <c r="U15" s="10"/>
    </row>
    <row r="16" spans="1:21" x14ac:dyDescent="0.2">
      <c r="A16" s="2" t="s">
        <v>1236</v>
      </c>
      <c r="B16" s="2" t="s">
        <v>1237</v>
      </c>
      <c r="C16" s="1" t="s">
        <v>863</v>
      </c>
      <c r="D16" s="2" t="s">
        <v>41</v>
      </c>
      <c r="E16" s="2" t="s">
        <v>1238</v>
      </c>
      <c r="F16" s="2"/>
      <c r="G16" s="2"/>
      <c r="H16" s="5">
        <v>6.3</v>
      </c>
      <c r="I16" s="5">
        <v>90</v>
      </c>
      <c r="J16" s="9">
        <v>22.5</v>
      </c>
      <c r="K16" s="5"/>
      <c r="L16" s="9">
        <f t="shared" si="0"/>
        <v>1.3521825181113625</v>
      </c>
      <c r="M16" s="11">
        <f>GraphBacillus!$B$10-(I16-GraphBacillus!$B$6)/GraphBacillus!$B$5</f>
        <v>0.95354045359218009</v>
      </c>
      <c r="N16" s="2" t="s">
        <v>858</v>
      </c>
      <c r="O16">
        <v>1987</v>
      </c>
      <c r="S16" s="10"/>
      <c r="T16" s="10"/>
      <c r="U16" s="10"/>
    </row>
    <row r="17" spans="1:21" x14ac:dyDescent="0.2">
      <c r="A17" s="2" t="s">
        <v>1236</v>
      </c>
      <c r="B17" s="2" t="s">
        <v>1237</v>
      </c>
      <c r="C17" s="1" t="s">
        <v>863</v>
      </c>
      <c r="D17" s="2" t="s">
        <v>41</v>
      </c>
      <c r="E17" s="2" t="s">
        <v>1238</v>
      </c>
      <c r="F17" s="2"/>
      <c r="G17" s="2"/>
      <c r="H17" s="5">
        <v>6.3</v>
      </c>
      <c r="I17" s="5">
        <v>95</v>
      </c>
      <c r="J17" s="9">
        <v>5.9</v>
      </c>
      <c r="K17" s="5"/>
      <c r="L17" s="9">
        <f t="shared" si="0"/>
        <v>0.77085201164214423</v>
      </c>
      <c r="M17" s="11">
        <f>GraphBacillus!$B$10-(I17-GraphBacillus!$B$6)/GraphBacillus!$B$5</f>
        <v>0.56430441936438891</v>
      </c>
      <c r="N17" s="2" t="s">
        <v>858</v>
      </c>
      <c r="O17">
        <v>1987</v>
      </c>
      <c r="S17" s="10"/>
      <c r="T17" s="10"/>
      <c r="U17" s="10"/>
    </row>
    <row r="18" spans="1:21" x14ac:dyDescent="0.2">
      <c r="A18" s="2" t="s">
        <v>1236</v>
      </c>
      <c r="B18" s="2" t="s">
        <v>1237</v>
      </c>
      <c r="C18" s="1" t="s">
        <v>863</v>
      </c>
      <c r="D18" s="2" t="s">
        <v>41</v>
      </c>
      <c r="E18" s="2" t="s">
        <v>1238</v>
      </c>
      <c r="F18" s="2"/>
      <c r="G18" s="2"/>
      <c r="H18" s="5">
        <v>6.3</v>
      </c>
      <c r="I18" s="5">
        <v>97.5</v>
      </c>
      <c r="J18" s="9">
        <v>2.7</v>
      </c>
      <c r="K18" s="5"/>
      <c r="L18" s="9">
        <f t="shared" si="0"/>
        <v>0.43136376415898736</v>
      </c>
      <c r="M18" s="11">
        <f>GraphBacillus!$B$10-(I18-GraphBacillus!$B$6)/GraphBacillus!$B$5</f>
        <v>0.3696864022504931</v>
      </c>
      <c r="N18" s="2" t="s">
        <v>858</v>
      </c>
      <c r="O18">
        <v>1987</v>
      </c>
      <c r="S18" s="10"/>
      <c r="T18" s="10"/>
      <c r="U18" s="10"/>
    </row>
    <row r="19" spans="1:21" x14ac:dyDescent="0.2">
      <c r="A19" s="2" t="s">
        <v>1236</v>
      </c>
      <c r="B19" s="2" t="s">
        <v>1237</v>
      </c>
      <c r="C19" s="1" t="s">
        <v>863</v>
      </c>
      <c r="D19" s="2" t="s">
        <v>41</v>
      </c>
      <c r="E19" s="2" t="s">
        <v>1238</v>
      </c>
      <c r="F19" s="2"/>
      <c r="G19" s="2"/>
      <c r="H19" s="5">
        <v>6.3</v>
      </c>
      <c r="I19" s="5">
        <v>100</v>
      </c>
      <c r="J19" s="9">
        <v>1.6</v>
      </c>
      <c r="K19" s="5"/>
      <c r="L19" s="9">
        <f t="shared" si="0"/>
        <v>0.20411998265592479</v>
      </c>
      <c r="M19" s="11">
        <f>GraphBacillus!$B$10-(I19-GraphBacillus!$B$6)/GraphBacillus!$B$5</f>
        <v>0.1750683851365975</v>
      </c>
      <c r="N19" s="2" t="s">
        <v>858</v>
      </c>
      <c r="O19">
        <v>1987</v>
      </c>
      <c r="S19" s="10"/>
      <c r="T19" s="10"/>
      <c r="U19" s="10"/>
    </row>
    <row r="20" spans="1:21" x14ac:dyDescent="0.2">
      <c r="A20" s="2" t="s">
        <v>1236</v>
      </c>
      <c r="B20" s="2" t="s">
        <v>1237</v>
      </c>
      <c r="C20" s="1" t="s">
        <v>1068</v>
      </c>
      <c r="D20" s="2" t="s">
        <v>41</v>
      </c>
      <c r="E20" s="2" t="s">
        <v>1238</v>
      </c>
      <c r="F20" s="2"/>
      <c r="G20" s="2"/>
      <c r="H20" s="5">
        <v>6.3</v>
      </c>
      <c r="I20" s="5">
        <v>95</v>
      </c>
      <c r="J20" s="9">
        <v>15.3</v>
      </c>
      <c r="K20" s="5">
        <v>8.6999999999999993</v>
      </c>
      <c r="L20" s="9">
        <f t="shared" si="0"/>
        <v>1.1846914308175989</v>
      </c>
      <c r="M20" s="11">
        <f>GraphBacillus!$B$10-(I20-GraphBacillus!$B$6)/GraphBacillus!$B$5</f>
        <v>0.56430441936438891</v>
      </c>
      <c r="N20" s="2" t="s">
        <v>858</v>
      </c>
      <c r="O20">
        <v>1987</v>
      </c>
      <c r="S20" s="10"/>
      <c r="T20" s="10"/>
      <c r="U20" s="10"/>
    </row>
    <row r="21" spans="1:21" x14ac:dyDescent="0.2">
      <c r="A21" s="2" t="s">
        <v>1236</v>
      </c>
      <c r="B21" s="2" t="s">
        <v>1237</v>
      </c>
      <c r="C21" s="1" t="s">
        <v>1068</v>
      </c>
      <c r="D21" s="2" t="s">
        <v>41</v>
      </c>
      <c r="E21" s="2" t="s">
        <v>1238</v>
      </c>
      <c r="F21" s="2"/>
      <c r="G21" s="2"/>
      <c r="H21" s="5">
        <v>6.3</v>
      </c>
      <c r="I21" s="5">
        <v>97.5</v>
      </c>
      <c r="J21" s="9">
        <v>8.1999999999999993</v>
      </c>
      <c r="K21" s="5"/>
      <c r="L21" s="9">
        <f t="shared" si="0"/>
        <v>0.91381385238371671</v>
      </c>
      <c r="M21" s="11">
        <f>GraphBacillus!$B$10-(I21-GraphBacillus!$B$6)/GraphBacillus!$B$5</f>
        <v>0.3696864022504931</v>
      </c>
      <c r="N21" s="2" t="s">
        <v>858</v>
      </c>
      <c r="O21">
        <v>1987</v>
      </c>
      <c r="S21" s="10"/>
      <c r="T21" s="10"/>
      <c r="U21" s="10"/>
    </row>
    <row r="22" spans="1:21" x14ac:dyDescent="0.2">
      <c r="A22" s="2" t="s">
        <v>1236</v>
      </c>
      <c r="B22" s="2" t="s">
        <v>1237</v>
      </c>
      <c r="C22" s="1" t="s">
        <v>1068</v>
      </c>
      <c r="D22" s="2" t="s">
        <v>41</v>
      </c>
      <c r="E22" s="2" t="s">
        <v>1238</v>
      </c>
      <c r="F22" s="2"/>
      <c r="G22" s="2"/>
      <c r="H22" s="5">
        <v>6.3</v>
      </c>
      <c r="I22" s="5">
        <v>100</v>
      </c>
      <c r="J22" s="9">
        <v>4.2</v>
      </c>
      <c r="K22" s="5"/>
      <c r="L22" s="9">
        <f t="shared" si="0"/>
        <v>0.62324929039790045</v>
      </c>
      <c r="M22" s="11">
        <f>GraphBacillus!$B$10-(I22-GraphBacillus!$B$6)/GraphBacillus!$B$5</f>
        <v>0.1750683851365975</v>
      </c>
      <c r="N22" s="2" t="s">
        <v>858</v>
      </c>
      <c r="O22">
        <v>1987</v>
      </c>
      <c r="S22" s="10"/>
      <c r="T22" s="10"/>
      <c r="U22" s="10"/>
    </row>
    <row r="23" spans="1:21" x14ac:dyDescent="0.2">
      <c r="A23" s="2" t="s">
        <v>1236</v>
      </c>
      <c r="B23" s="2" t="s">
        <v>1237</v>
      </c>
      <c r="C23" s="1"/>
      <c r="D23" s="1" t="s">
        <v>45</v>
      </c>
      <c r="E23" s="1" t="s">
        <v>1239</v>
      </c>
      <c r="F23" s="1" t="s">
        <v>1269</v>
      </c>
      <c r="G23" s="1"/>
      <c r="H23" s="5"/>
      <c r="I23" s="5">
        <v>100</v>
      </c>
      <c r="J23" s="9">
        <v>5.5</v>
      </c>
      <c r="K23" s="5">
        <v>9.6999999999999993</v>
      </c>
      <c r="L23" s="9">
        <f t="shared" si="0"/>
        <v>0.74036268949424389</v>
      </c>
      <c r="M23" s="11">
        <f>GraphBacillus!$B$10-(I23-GraphBacillus!$B$6)/GraphBacillus!$B$5</f>
        <v>0.1750683851365975</v>
      </c>
      <c r="N23" s="2" t="s">
        <v>1226</v>
      </c>
      <c r="O23">
        <v>1996</v>
      </c>
      <c r="S23" s="10">
        <f>GraphBacillus!$B$37*Bacillus!I23+GraphBacillus!$B$38</f>
        <v>0.11225308463062955</v>
      </c>
      <c r="T23" s="10">
        <f>GraphBacillus!$E$37*Bacillus!I23+GraphBacillus!$E$38</f>
        <v>0.23312293957895225</v>
      </c>
      <c r="U23" s="10">
        <f>GraphBacillus!$I$37*Bacillus!I23+GraphBacillus!$I$38</f>
        <v>-9.0547291552894649E-2</v>
      </c>
    </row>
    <row r="24" spans="1:21" x14ac:dyDescent="0.2">
      <c r="A24" s="2" t="s">
        <v>1236</v>
      </c>
      <c r="B24" s="2" t="s">
        <v>1237</v>
      </c>
      <c r="C24" s="1"/>
      <c r="D24" s="1" t="s">
        <v>45</v>
      </c>
      <c r="E24" s="1" t="s">
        <v>1239</v>
      </c>
      <c r="F24" s="1" t="s">
        <v>1269</v>
      </c>
      <c r="G24" s="1"/>
      <c r="H24" s="5"/>
      <c r="I24" s="5">
        <v>115</v>
      </c>
      <c r="J24" s="9">
        <v>0.13</v>
      </c>
      <c r="K24" s="5">
        <v>9.6999999999999993</v>
      </c>
      <c r="L24" s="9">
        <f t="shared" si="0"/>
        <v>-0.88605664769316317</v>
      </c>
      <c r="M24" s="11">
        <f>GraphBacillus!$B$10-(I24-GraphBacillus!$B$6)/GraphBacillus!$B$5</f>
        <v>-0.99263971754677649</v>
      </c>
      <c r="N24" s="2" t="s">
        <v>1226</v>
      </c>
      <c r="O24">
        <v>1996</v>
      </c>
      <c r="S24" s="10">
        <f>GraphBacillus!$B$37*Bacillus!I24+GraphBacillus!$B$38</f>
        <v>-0.88719350527513718</v>
      </c>
      <c r="T24" s="10">
        <f>GraphBacillus!$E$37*Bacillus!I24+GraphBacillus!$E$38</f>
        <v>-0.71307548869410553</v>
      </c>
      <c r="U24" s="10">
        <f>GraphBacillus!$I$37*Bacillus!I24+GraphBacillus!$I$38</f>
        <v>-1.2227767042501076</v>
      </c>
    </row>
    <row r="25" spans="1:21" x14ac:dyDescent="0.2">
      <c r="A25" s="2" t="s">
        <v>1236</v>
      </c>
      <c r="B25" s="2" t="s">
        <v>1237</v>
      </c>
      <c r="C25" s="1"/>
      <c r="D25" s="1" t="s">
        <v>45</v>
      </c>
      <c r="E25" s="1" t="s">
        <v>1239</v>
      </c>
      <c r="F25" s="1" t="s">
        <v>1269</v>
      </c>
      <c r="G25" s="1"/>
      <c r="H25" s="5"/>
      <c r="I25" s="5">
        <v>95</v>
      </c>
      <c r="J25" s="9">
        <v>16.2</v>
      </c>
      <c r="K25" s="5"/>
      <c r="L25" s="9">
        <f t="shared" si="0"/>
        <v>1.209515014542631</v>
      </c>
      <c r="M25" s="11">
        <f>GraphBacillus!$B$10-(I25-GraphBacillus!$B$6)/GraphBacillus!$B$5</f>
        <v>0.56430441936438891</v>
      </c>
      <c r="N25" s="2" t="s">
        <v>1226</v>
      </c>
      <c r="O25">
        <v>1996</v>
      </c>
      <c r="S25" s="10">
        <f>GraphBacillus!$B$37*Bacillus!I25+GraphBacillus!$B$38</f>
        <v>0.4454019479325515</v>
      </c>
      <c r="T25" s="10">
        <f>GraphBacillus!$E$37*Bacillus!I25+GraphBacillus!$E$38</f>
        <v>0.54852241566997151</v>
      </c>
      <c r="U25" s="10">
        <f>GraphBacillus!$I$37*Bacillus!I25+GraphBacillus!$I$38</f>
        <v>0.28686251267950968</v>
      </c>
    </row>
    <row r="26" spans="1:21" x14ac:dyDescent="0.2">
      <c r="A26" s="2" t="s">
        <v>1236</v>
      </c>
      <c r="B26" s="2" t="s">
        <v>1237</v>
      </c>
      <c r="C26" s="1"/>
      <c r="D26" s="1" t="s">
        <v>45</v>
      </c>
      <c r="E26" s="1" t="s">
        <v>1239</v>
      </c>
      <c r="F26" s="1" t="s">
        <v>1269</v>
      </c>
      <c r="G26" s="1"/>
      <c r="H26" s="5"/>
      <c r="I26" s="5">
        <v>95</v>
      </c>
      <c r="J26" s="9">
        <v>19.7</v>
      </c>
      <c r="K26" s="5"/>
      <c r="L26" s="9">
        <f t="shared" si="0"/>
        <v>1.2944662261615929</v>
      </c>
      <c r="M26" s="11">
        <f>GraphBacillus!$B$10-(I26-GraphBacillus!$B$6)/GraphBacillus!$B$5</f>
        <v>0.56430441936438891</v>
      </c>
      <c r="N26" s="2" t="s">
        <v>1226</v>
      </c>
      <c r="O26">
        <v>1996</v>
      </c>
      <c r="S26" s="10">
        <f>GraphBacillus!$B$37*Bacillus!I26+GraphBacillus!$B$38</f>
        <v>0.4454019479325515</v>
      </c>
      <c r="T26" s="10">
        <f>GraphBacillus!$E$37*Bacillus!I26+GraphBacillus!$E$38</f>
        <v>0.54852241566997151</v>
      </c>
      <c r="U26" s="10">
        <f>GraphBacillus!$I$37*Bacillus!I26+GraphBacillus!$I$38</f>
        <v>0.28686251267950968</v>
      </c>
    </row>
    <row r="27" spans="1:21" x14ac:dyDescent="0.2">
      <c r="A27" s="2" t="s">
        <v>1236</v>
      </c>
      <c r="B27" s="2" t="s">
        <v>1237</v>
      </c>
      <c r="C27" s="1"/>
      <c r="D27" s="1" t="s">
        <v>45</v>
      </c>
      <c r="E27" s="1" t="s">
        <v>1239</v>
      </c>
      <c r="F27" s="1" t="s">
        <v>1269</v>
      </c>
      <c r="G27" s="1"/>
      <c r="H27" s="5"/>
      <c r="I27" s="5">
        <v>95</v>
      </c>
      <c r="J27" s="9">
        <v>24</v>
      </c>
      <c r="K27" s="5"/>
      <c r="L27" s="9">
        <f t="shared" si="0"/>
        <v>1.3802112417116059</v>
      </c>
      <c r="M27" s="11">
        <f>GraphBacillus!$B$10-(I27-GraphBacillus!$B$6)/GraphBacillus!$B$5</f>
        <v>0.56430441936438891</v>
      </c>
      <c r="N27" s="2" t="s">
        <v>1226</v>
      </c>
      <c r="O27">
        <v>1996</v>
      </c>
      <c r="S27" s="10">
        <f>GraphBacillus!$B$37*Bacillus!I27+GraphBacillus!$B$38</f>
        <v>0.4454019479325515</v>
      </c>
      <c r="T27" s="10">
        <f>GraphBacillus!$E$37*Bacillus!I27+GraphBacillus!$E$38</f>
        <v>0.54852241566997151</v>
      </c>
      <c r="U27" s="10">
        <f>GraphBacillus!$I$37*Bacillus!I27+GraphBacillus!$I$38</f>
        <v>0.28686251267950968</v>
      </c>
    </row>
    <row r="28" spans="1:21" x14ac:dyDescent="0.2">
      <c r="A28" s="2" t="s">
        <v>1236</v>
      </c>
      <c r="B28" s="2" t="s">
        <v>1237</v>
      </c>
      <c r="C28" s="1"/>
      <c r="D28" s="1" t="s">
        <v>45</v>
      </c>
      <c r="E28" s="1" t="s">
        <v>1239</v>
      </c>
      <c r="F28" s="1" t="s">
        <v>1269</v>
      </c>
      <c r="G28" s="1"/>
      <c r="H28" s="5"/>
      <c r="I28" s="5">
        <v>95</v>
      </c>
      <c r="J28" s="9">
        <v>36.200000000000003</v>
      </c>
      <c r="K28" s="5"/>
      <c r="L28" s="9">
        <f t="shared" si="0"/>
        <v>1.5587085705331658</v>
      </c>
      <c r="M28" s="11">
        <f>GraphBacillus!$B$10-(I28-GraphBacillus!$B$6)/GraphBacillus!$B$5</f>
        <v>0.56430441936438891</v>
      </c>
      <c r="N28" s="2" t="s">
        <v>1226</v>
      </c>
      <c r="O28">
        <v>1996</v>
      </c>
      <c r="S28" s="10">
        <f>GraphBacillus!$B$37*Bacillus!I28+GraphBacillus!$B$38</f>
        <v>0.4454019479325515</v>
      </c>
      <c r="T28" s="10">
        <f>GraphBacillus!$E$37*Bacillus!I28+GraphBacillus!$E$38</f>
        <v>0.54852241566997151</v>
      </c>
      <c r="U28" s="10">
        <f>GraphBacillus!$I$37*Bacillus!I28+GraphBacillus!$I$38</f>
        <v>0.28686251267950968</v>
      </c>
    </row>
    <row r="29" spans="1:21" x14ac:dyDescent="0.2">
      <c r="A29" s="2" t="s">
        <v>1236</v>
      </c>
      <c r="B29" s="2" t="s">
        <v>1237</v>
      </c>
      <c r="C29" s="1"/>
      <c r="D29" s="1" t="s">
        <v>45</v>
      </c>
      <c r="E29" s="1" t="s">
        <v>1239</v>
      </c>
      <c r="F29" s="1" t="s">
        <v>1269</v>
      </c>
      <c r="G29" s="1"/>
      <c r="H29" s="5"/>
      <c r="I29" s="5">
        <v>95</v>
      </c>
      <c r="J29" s="9">
        <v>1.5</v>
      </c>
      <c r="K29" s="5"/>
      <c r="L29" s="9">
        <f t="shared" si="0"/>
        <v>0.17609125905568124</v>
      </c>
      <c r="M29" s="11">
        <f>GraphBacillus!$B$10-(I29-GraphBacillus!$B$6)/GraphBacillus!$B$5</f>
        <v>0.56430441936438891</v>
      </c>
      <c r="N29" s="2" t="s">
        <v>1226</v>
      </c>
      <c r="O29">
        <v>1996</v>
      </c>
      <c r="S29" s="10">
        <f>GraphBacillus!$B$37*Bacillus!I29+GraphBacillus!$B$38</f>
        <v>0.4454019479325515</v>
      </c>
      <c r="T29" s="10">
        <f>GraphBacillus!$E$37*Bacillus!I29+GraphBacillus!$E$38</f>
        <v>0.54852241566997151</v>
      </c>
      <c r="U29" s="10">
        <f>GraphBacillus!$I$37*Bacillus!I29+GraphBacillus!$I$38</f>
        <v>0.28686251267950968</v>
      </c>
    </row>
    <row r="30" spans="1:21" x14ac:dyDescent="0.2">
      <c r="A30" s="2" t="s">
        <v>1236</v>
      </c>
      <c r="B30" s="2" t="s">
        <v>1237</v>
      </c>
      <c r="C30" s="1"/>
      <c r="D30" s="1" t="s">
        <v>45</v>
      </c>
      <c r="E30" s="1" t="s">
        <v>1239</v>
      </c>
      <c r="F30" s="1" t="s">
        <v>1269</v>
      </c>
      <c r="G30" s="1"/>
      <c r="H30" s="5"/>
      <c r="I30" s="5">
        <v>95</v>
      </c>
      <c r="J30" s="9">
        <v>9.5</v>
      </c>
      <c r="K30" s="5"/>
      <c r="L30" s="9">
        <f t="shared" si="0"/>
        <v>0.97772360528884772</v>
      </c>
      <c r="M30" s="11">
        <f>GraphBacillus!$B$10-(I30-GraphBacillus!$B$6)/GraphBacillus!$B$5</f>
        <v>0.56430441936438891</v>
      </c>
      <c r="N30" s="2" t="s">
        <v>1226</v>
      </c>
      <c r="O30">
        <v>1996</v>
      </c>
      <c r="S30" s="10">
        <f>GraphBacillus!$B$37*Bacillus!I30+GraphBacillus!$B$38</f>
        <v>0.4454019479325515</v>
      </c>
      <c r="T30" s="10">
        <f>GraphBacillus!$E$37*Bacillus!I30+GraphBacillus!$E$38</f>
        <v>0.54852241566997151</v>
      </c>
      <c r="U30" s="10">
        <f>GraphBacillus!$I$37*Bacillus!I30+GraphBacillus!$I$38</f>
        <v>0.28686251267950968</v>
      </c>
    </row>
    <row r="31" spans="1:21" x14ac:dyDescent="0.2">
      <c r="A31" s="2" t="s">
        <v>1236</v>
      </c>
      <c r="B31" s="2" t="s">
        <v>1237</v>
      </c>
      <c r="C31" s="1" t="s">
        <v>956</v>
      </c>
      <c r="D31" s="1" t="s">
        <v>45</v>
      </c>
      <c r="E31" s="1" t="s">
        <v>1239</v>
      </c>
      <c r="F31" s="1" t="s">
        <v>1269</v>
      </c>
      <c r="G31" s="1"/>
      <c r="H31" s="5"/>
      <c r="I31" s="5">
        <v>85</v>
      </c>
      <c r="J31" s="9">
        <v>16</v>
      </c>
      <c r="K31" s="5">
        <v>8.1</v>
      </c>
      <c r="L31" s="9">
        <f t="shared" si="0"/>
        <v>1.2041199826559248</v>
      </c>
      <c r="M31" s="11">
        <f>GraphBacillus!$B$10-(I31-GraphBacillus!$B$6)/GraphBacillus!$B$5</f>
        <v>1.3427764878199717</v>
      </c>
      <c r="N31" s="1" t="s">
        <v>958</v>
      </c>
      <c r="O31" t="s">
        <v>960</v>
      </c>
      <c r="S31" s="10">
        <f>GraphBacillus!$B$37*Bacillus!I31+GraphBacillus!$B$38</f>
        <v>1.1116996745363954</v>
      </c>
      <c r="T31" s="10">
        <f>GraphBacillus!$E$37*Bacillus!I31+GraphBacillus!$E$38</f>
        <v>1.1793213678520091</v>
      </c>
      <c r="U31" s="10">
        <f>GraphBacillus!$I$37*Bacillus!I31+GraphBacillus!$I$38</f>
        <v>1.0416821211443184</v>
      </c>
    </row>
    <row r="32" spans="1:21" x14ac:dyDescent="0.2">
      <c r="A32" s="2" t="s">
        <v>1236</v>
      </c>
      <c r="B32" s="2" t="s">
        <v>1237</v>
      </c>
      <c r="C32" s="1" t="s">
        <v>956</v>
      </c>
      <c r="D32" s="1" t="s">
        <v>45</v>
      </c>
      <c r="E32" s="1" t="s">
        <v>1239</v>
      </c>
      <c r="F32" s="1" t="s">
        <v>1269</v>
      </c>
      <c r="G32" s="1"/>
      <c r="H32" s="5"/>
      <c r="I32" s="5">
        <v>85</v>
      </c>
      <c r="J32" s="9">
        <v>17</v>
      </c>
      <c r="K32" s="5">
        <v>8</v>
      </c>
      <c r="L32" s="9">
        <f t="shared" si="0"/>
        <v>1.2304489213782739</v>
      </c>
      <c r="M32" s="11">
        <f>GraphBacillus!$B$10-(I32-GraphBacillus!$B$6)/GraphBacillus!$B$5</f>
        <v>1.3427764878199717</v>
      </c>
      <c r="N32" s="1" t="s">
        <v>959</v>
      </c>
      <c r="O32" t="s">
        <v>961</v>
      </c>
      <c r="S32" s="10">
        <f>GraphBacillus!$B$37*Bacillus!I32+GraphBacillus!$B$38</f>
        <v>1.1116996745363954</v>
      </c>
      <c r="T32" s="10">
        <f>GraphBacillus!$E$37*Bacillus!I32+GraphBacillus!$E$38</f>
        <v>1.1793213678520091</v>
      </c>
      <c r="U32" s="10">
        <f>GraphBacillus!$I$37*Bacillus!I32+GraphBacillus!$I$38</f>
        <v>1.0416821211443184</v>
      </c>
    </row>
    <row r="33" spans="1:21" x14ac:dyDescent="0.2">
      <c r="A33" s="2" t="s">
        <v>1236</v>
      </c>
      <c r="B33" s="2" t="s">
        <v>1237</v>
      </c>
      <c r="C33" s="1" t="s">
        <v>956</v>
      </c>
      <c r="D33" s="1" t="s">
        <v>45</v>
      </c>
      <c r="E33" s="1" t="s">
        <v>1239</v>
      </c>
      <c r="F33" s="1" t="s">
        <v>1269</v>
      </c>
      <c r="G33" s="1"/>
      <c r="H33" s="5"/>
      <c r="I33" s="5">
        <v>90</v>
      </c>
      <c r="J33" s="9">
        <v>3.9</v>
      </c>
      <c r="K33" s="5">
        <v>8.1</v>
      </c>
      <c r="L33" s="9">
        <f t="shared" si="0"/>
        <v>0.59106460702649921</v>
      </c>
      <c r="M33" s="11">
        <f>GraphBacillus!$B$10-(I33-GraphBacillus!$B$6)/GraphBacillus!$B$5</f>
        <v>0.95354045359218009</v>
      </c>
      <c r="N33" s="1" t="s">
        <v>958</v>
      </c>
      <c r="O33" t="s">
        <v>960</v>
      </c>
      <c r="S33" s="10">
        <f>GraphBacillus!$B$37*Bacillus!I33+GraphBacillus!$B$38</f>
        <v>0.77855081123447345</v>
      </c>
      <c r="T33" s="10">
        <f>GraphBacillus!$E$37*Bacillus!I33+GraphBacillus!$E$38</f>
        <v>0.86392189176099077</v>
      </c>
      <c r="U33" s="10">
        <f>GraphBacillus!$I$37*Bacillus!I33+GraphBacillus!$I$38</f>
        <v>0.66427231691191402</v>
      </c>
    </row>
    <row r="34" spans="1:21" x14ac:dyDescent="0.2">
      <c r="A34" s="2" t="s">
        <v>1236</v>
      </c>
      <c r="B34" s="2" t="s">
        <v>1237</v>
      </c>
      <c r="C34" s="1" t="s">
        <v>956</v>
      </c>
      <c r="D34" s="1" t="s">
        <v>45</v>
      </c>
      <c r="E34" s="1" t="s">
        <v>1239</v>
      </c>
      <c r="F34" s="1" t="s">
        <v>1269</v>
      </c>
      <c r="G34" s="1"/>
      <c r="H34" s="5"/>
      <c r="I34" s="5">
        <v>90</v>
      </c>
      <c r="J34" s="9">
        <v>4.0999999999999996</v>
      </c>
      <c r="K34" s="5">
        <v>8</v>
      </c>
      <c r="L34" s="9">
        <f t="shared" si="0"/>
        <v>0.61278385671973545</v>
      </c>
      <c r="M34" s="11">
        <f>GraphBacillus!$B$10-(I34-GraphBacillus!$B$6)/GraphBacillus!$B$5</f>
        <v>0.95354045359218009</v>
      </c>
      <c r="N34" s="1" t="s">
        <v>959</v>
      </c>
      <c r="O34" t="s">
        <v>961</v>
      </c>
      <c r="S34" s="10">
        <f>GraphBacillus!$B$37*Bacillus!I34+GraphBacillus!$B$38</f>
        <v>0.77855081123447345</v>
      </c>
      <c r="T34" s="10">
        <f>GraphBacillus!$E$37*Bacillus!I34+GraphBacillus!$E$38</f>
        <v>0.86392189176099077</v>
      </c>
      <c r="U34" s="10">
        <f>GraphBacillus!$I$37*Bacillus!I34+GraphBacillus!$I$38</f>
        <v>0.66427231691191402</v>
      </c>
    </row>
    <row r="35" spans="1:21" x14ac:dyDescent="0.2">
      <c r="A35" s="2" t="s">
        <v>1236</v>
      </c>
      <c r="B35" s="2" t="s">
        <v>1237</v>
      </c>
      <c r="C35" s="1" t="s">
        <v>956</v>
      </c>
      <c r="D35" s="1" t="s">
        <v>45</v>
      </c>
      <c r="E35" s="1" t="s">
        <v>1239</v>
      </c>
      <c r="F35" s="1" t="s">
        <v>1269</v>
      </c>
      <c r="G35" s="1"/>
      <c r="H35" s="5"/>
      <c r="I35" s="5">
        <v>95</v>
      </c>
      <c r="J35" s="9">
        <v>0.94</v>
      </c>
      <c r="K35" s="5">
        <v>8.1</v>
      </c>
      <c r="L35" s="9">
        <f t="shared" ref="L35:L66" si="1">LOG(J35)</f>
        <v>-2.6872146400301365E-2</v>
      </c>
      <c r="M35" s="11">
        <f>GraphBacillus!$B$10-(I35-GraphBacillus!$B$6)/GraphBacillus!$B$5</f>
        <v>0.56430441936438891</v>
      </c>
      <c r="N35" s="1" t="s">
        <v>958</v>
      </c>
      <c r="O35" t="s">
        <v>960</v>
      </c>
      <c r="S35" s="10">
        <f>GraphBacillus!$B$37*Bacillus!I35+GraphBacillus!$B$38</f>
        <v>0.4454019479325515</v>
      </c>
      <c r="T35" s="10">
        <f>GraphBacillus!$E$37*Bacillus!I35+GraphBacillus!$E$38</f>
        <v>0.54852241566997151</v>
      </c>
      <c r="U35" s="10">
        <f>GraphBacillus!$I$37*Bacillus!I35+GraphBacillus!$I$38</f>
        <v>0.28686251267950968</v>
      </c>
    </row>
    <row r="36" spans="1:21" x14ac:dyDescent="0.2">
      <c r="A36" s="2" t="s">
        <v>1236</v>
      </c>
      <c r="B36" s="2" t="s">
        <v>1237</v>
      </c>
      <c r="C36" s="1" t="s">
        <v>956</v>
      </c>
      <c r="D36" s="1" t="s">
        <v>45</v>
      </c>
      <c r="E36" s="1" t="s">
        <v>1239</v>
      </c>
      <c r="F36" s="1" t="s">
        <v>1269</v>
      </c>
      <c r="G36" s="1"/>
      <c r="H36" s="5"/>
      <c r="I36" s="5">
        <v>95</v>
      </c>
      <c r="J36" s="9">
        <v>0.98</v>
      </c>
      <c r="K36" s="5">
        <v>8</v>
      </c>
      <c r="L36" s="9">
        <f t="shared" si="1"/>
        <v>-8.7739243075051505E-3</v>
      </c>
      <c r="M36" s="11">
        <f>GraphBacillus!$B$10-(I36-GraphBacillus!$B$6)/GraphBacillus!$B$5</f>
        <v>0.56430441936438891</v>
      </c>
      <c r="N36" s="1" t="s">
        <v>959</v>
      </c>
      <c r="O36" t="s">
        <v>961</v>
      </c>
      <c r="S36" s="10">
        <f>GraphBacillus!$B$37*Bacillus!I36+GraphBacillus!$B$38</f>
        <v>0.4454019479325515</v>
      </c>
      <c r="T36" s="10">
        <f>GraphBacillus!$E$37*Bacillus!I36+GraphBacillus!$E$38</f>
        <v>0.54852241566997151</v>
      </c>
      <c r="U36" s="10">
        <f>GraphBacillus!$I$37*Bacillus!I36+GraphBacillus!$I$38</f>
        <v>0.28686251267950968</v>
      </c>
    </row>
    <row r="37" spans="1:21" x14ac:dyDescent="0.2">
      <c r="A37" s="2" t="s">
        <v>1236</v>
      </c>
      <c r="B37" s="2" t="s">
        <v>1237</v>
      </c>
      <c r="C37" s="1" t="s">
        <v>956</v>
      </c>
      <c r="D37" s="1" t="s">
        <v>45</v>
      </c>
      <c r="E37" s="1" t="s">
        <v>1239</v>
      </c>
      <c r="F37" s="1" t="s">
        <v>1269</v>
      </c>
      <c r="G37" s="1"/>
      <c r="H37" s="5"/>
      <c r="I37" s="5">
        <v>100</v>
      </c>
      <c r="J37" s="9">
        <v>0.22</v>
      </c>
      <c r="K37" s="5">
        <v>8.1</v>
      </c>
      <c r="L37" s="9">
        <f t="shared" si="1"/>
        <v>-0.65757731917779372</v>
      </c>
      <c r="M37" s="11">
        <f>GraphBacillus!$B$10-(I37-GraphBacillus!$B$6)/GraphBacillus!$B$5</f>
        <v>0.1750683851365975</v>
      </c>
      <c r="N37" s="1" t="s">
        <v>958</v>
      </c>
      <c r="O37" t="s">
        <v>960</v>
      </c>
      <c r="S37" s="10">
        <f>GraphBacillus!$B$37*Bacillus!I37+GraphBacillus!$B$38</f>
        <v>0.11225308463062955</v>
      </c>
      <c r="T37" s="10">
        <f>GraphBacillus!$E$37*Bacillus!I37+GraphBacillus!$E$38</f>
        <v>0.23312293957895225</v>
      </c>
      <c r="U37" s="10">
        <f>GraphBacillus!$I$37*Bacillus!I37+GraphBacillus!$I$38</f>
        <v>-9.0547291552894649E-2</v>
      </c>
    </row>
    <row r="38" spans="1:21" x14ac:dyDescent="0.2">
      <c r="A38" s="2" t="s">
        <v>1236</v>
      </c>
      <c r="B38" s="2" t="s">
        <v>1237</v>
      </c>
      <c r="C38" s="1" t="s">
        <v>956</v>
      </c>
      <c r="D38" s="1" t="s">
        <v>45</v>
      </c>
      <c r="E38" s="1" t="s">
        <v>1239</v>
      </c>
      <c r="F38" s="1" t="s">
        <v>1269</v>
      </c>
      <c r="G38" s="1"/>
      <c r="H38" s="5"/>
      <c r="I38" s="5">
        <v>100</v>
      </c>
      <c r="J38" s="9">
        <v>0.22</v>
      </c>
      <c r="K38" s="5">
        <v>8</v>
      </c>
      <c r="L38" s="9">
        <f t="shared" si="1"/>
        <v>-0.65757731917779372</v>
      </c>
      <c r="M38" s="11">
        <f>GraphBacillus!$B$10-(I38-GraphBacillus!$B$6)/GraphBacillus!$B$5</f>
        <v>0.1750683851365975</v>
      </c>
      <c r="N38" s="1" t="s">
        <v>959</v>
      </c>
      <c r="O38" t="s">
        <v>961</v>
      </c>
      <c r="S38" s="10">
        <f>GraphBacillus!$B$37*Bacillus!I38+GraphBacillus!$B$38</f>
        <v>0.11225308463062955</v>
      </c>
      <c r="T38" s="10">
        <f>GraphBacillus!$E$37*Bacillus!I38+GraphBacillus!$E$38</f>
        <v>0.23312293957895225</v>
      </c>
      <c r="U38" s="10">
        <f>GraphBacillus!$I$37*Bacillus!I38+GraphBacillus!$I$38</f>
        <v>-9.0547291552894649E-2</v>
      </c>
    </row>
    <row r="39" spans="1:21" x14ac:dyDescent="0.2">
      <c r="A39" s="2" t="s">
        <v>1236</v>
      </c>
      <c r="B39" s="2" t="s">
        <v>1237</v>
      </c>
      <c r="C39" t="s">
        <v>956</v>
      </c>
      <c r="D39" s="1" t="s">
        <v>45</v>
      </c>
      <c r="E39" s="1" t="s">
        <v>1239</v>
      </c>
      <c r="F39" s="1" t="s">
        <v>1269</v>
      </c>
      <c r="G39" s="2"/>
      <c r="H39" s="5"/>
      <c r="I39" s="4">
        <v>90</v>
      </c>
      <c r="J39" s="9">
        <v>3.1</v>
      </c>
      <c r="K39" s="5">
        <v>7.1</v>
      </c>
      <c r="L39" s="9">
        <f t="shared" si="1"/>
        <v>0.49136169383427269</v>
      </c>
      <c r="M39" s="11">
        <f>GraphBacillus!$B$10-(I39-GraphBacillus!$B$6)/GraphBacillus!$B$5</f>
        <v>0.95354045359218009</v>
      </c>
      <c r="N39" s="1" t="s">
        <v>958</v>
      </c>
      <c r="O39">
        <v>2001</v>
      </c>
      <c r="P39" t="s">
        <v>949</v>
      </c>
      <c r="S39" s="10">
        <f>GraphBacillus!$B$37*Bacillus!I39+GraphBacillus!$B$38</f>
        <v>0.77855081123447345</v>
      </c>
      <c r="T39" s="10">
        <f>GraphBacillus!$E$37*Bacillus!I39+GraphBacillus!$E$38</f>
        <v>0.86392189176099077</v>
      </c>
      <c r="U39" s="10">
        <f>GraphBacillus!$I$37*Bacillus!I39+GraphBacillus!$I$38</f>
        <v>0.66427231691191402</v>
      </c>
    </row>
    <row r="40" spans="1:21" x14ac:dyDescent="0.2">
      <c r="A40" s="2" t="s">
        <v>1236</v>
      </c>
      <c r="B40" s="2" t="s">
        <v>1237</v>
      </c>
      <c r="C40" t="s">
        <v>956</v>
      </c>
      <c r="D40" s="1" t="s">
        <v>45</v>
      </c>
      <c r="E40" s="1" t="s">
        <v>1239</v>
      </c>
      <c r="F40" s="1" t="s">
        <v>1269</v>
      </c>
      <c r="I40" s="4">
        <v>90</v>
      </c>
      <c r="J40" s="11">
        <v>3.5</v>
      </c>
      <c r="K40" s="4">
        <v>5.6</v>
      </c>
      <c r="L40" s="9">
        <f t="shared" si="1"/>
        <v>0.54406804435027567</v>
      </c>
      <c r="M40" s="11">
        <f>GraphBacillus!$B$10-(I40-GraphBacillus!$B$6)/GraphBacillus!$B$5</f>
        <v>0.95354045359218009</v>
      </c>
      <c r="N40" s="1" t="s">
        <v>958</v>
      </c>
      <c r="O40">
        <v>2001</v>
      </c>
      <c r="P40" t="s">
        <v>947</v>
      </c>
      <c r="S40" s="10">
        <f>GraphBacillus!$B$37*Bacillus!I40+GraphBacillus!$B$38</f>
        <v>0.77855081123447345</v>
      </c>
      <c r="T40" s="10">
        <f>GraphBacillus!$E$37*Bacillus!I40+GraphBacillus!$E$38</f>
        <v>0.86392189176099077</v>
      </c>
      <c r="U40" s="10">
        <f>GraphBacillus!$I$37*Bacillus!I40+GraphBacillus!$I$38</f>
        <v>0.66427231691191402</v>
      </c>
    </row>
    <row r="41" spans="1:21" x14ac:dyDescent="0.2">
      <c r="A41" s="2" t="s">
        <v>1236</v>
      </c>
      <c r="B41" s="2" t="s">
        <v>1237</v>
      </c>
      <c r="C41" t="s">
        <v>956</v>
      </c>
      <c r="D41" s="1" t="s">
        <v>45</v>
      </c>
      <c r="E41" s="1" t="s">
        <v>1239</v>
      </c>
      <c r="F41" s="1" t="s">
        <v>1269</v>
      </c>
      <c r="G41" s="2"/>
      <c r="H41" s="5"/>
      <c r="I41" s="4">
        <v>90</v>
      </c>
      <c r="J41" s="9">
        <v>3.9</v>
      </c>
      <c r="K41" s="5">
        <v>6.5</v>
      </c>
      <c r="L41" s="9">
        <f t="shared" si="1"/>
        <v>0.59106460702649921</v>
      </c>
      <c r="M41" s="11">
        <f>GraphBacillus!$B$10-(I41-GraphBacillus!$B$6)/GraphBacillus!$B$5</f>
        <v>0.95354045359218009</v>
      </c>
      <c r="N41" s="1" t="s">
        <v>958</v>
      </c>
      <c r="O41">
        <v>2001</v>
      </c>
      <c r="P41" t="s">
        <v>950</v>
      </c>
      <c r="S41" s="10">
        <f>GraphBacillus!$B$37*Bacillus!I41+GraphBacillus!$B$38</f>
        <v>0.77855081123447345</v>
      </c>
      <c r="T41" s="10">
        <f>GraphBacillus!$E$37*Bacillus!I41+GraphBacillus!$E$38</f>
        <v>0.86392189176099077</v>
      </c>
      <c r="U41" s="10">
        <f>GraphBacillus!$I$37*Bacillus!I41+GraphBacillus!$I$38</f>
        <v>0.66427231691191402</v>
      </c>
    </row>
    <row r="42" spans="1:21" x14ac:dyDescent="0.2">
      <c r="A42" s="2" t="s">
        <v>1236</v>
      </c>
      <c r="B42" s="2" t="s">
        <v>1237</v>
      </c>
      <c r="C42" t="s">
        <v>956</v>
      </c>
      <c r="D42" s="1" t="s">
        <v>45</v>
      </c>
      <c r="E42" s="1" t="s">
        <v>1239</v>
      </c>
      <c r="F42" s="1" t="s">
        <v>1269</v>
      </c>
      <c r="G42" s="2"/>
      <c r="H42" s="5"/>
      <c r="I42" s="4">
        <v>90</v>
      </c>
      <c r="J42" s="9">
        <v>4.5999999999999996</v>
      </c>
      <c r="K42" s="5">
        <v>8.1</v>
      </c>
      <c r="L42" s="9">
        <f t="shared" si="1"/>
        <v>0.66275783168157409</v>
      </c>
      <c r="M42" s="11">
        <f>GraphBacillus!$B$10-(I42-GraphBacillus!$B$6)/GraphBacillus!$B$5</f>
        <v>0.95354045359218009</v>
      </c>
      <c r="N42" s="1" t="s">
        <v>958</v>
      </c>
      <c r="O42">
        <v>2001</v>
      </c>
      <c r="P42" t="s">
        <v>952</v>
      </c>
      <c r="S42" s="10">
        <f>GraphBacillus!$B$37*Bacillus!I42+GraphBacillus!$B$38</f>
        <v>0.77855081123447345</v>
      </c>
      <c r="T42" s="10">
        <f>GraphBacillus!$E$37*Bacillus!I42+GraphBacillus!$E$38</f>
        <v>0.86392189176099077</v>
      </c>
      <c r="U42" s="10">
        <f>GraphBacillus!$I$37*Bacillus!I42+GraphBacillus!$I$38</f>
        <v>0.66427231691191402</v>
      </c>
    </row>
    <row r="43" spans="1:21" x14ac:dyDescent="0.2">
      <c r="A43" s="2" t="s">
        <v>1236</v>
      </c>
      <c r="B43" s="2" t="s">
        <v>1237</v>
      </c>
      <c r="C43" t="s">
        <v>956</v>
      </c>
      <c r="D43" s="1" t="s">
        <v>45</v>
      </c>
      <c r="E43" s="1" t="s">
        <v>1239</v>
      </c>
      <c r="F43" s="1" t="s">
        <v>1269</v>
      </c>
      <c r="G43" s="2"/>
      <c r="H43" s="5"/>
      <c r="I43" s="4">
        <v>90</v>
      </c>
      <c r="J43" s="9">
        <v>4.7</v>
      </c>
      <c r="K43" s="5">
        <v>8.3000000000000007</v>
      </c>
      <c r="L43" s="9">
        <f t="shared" si="1"/>
        <v>0.67209785793571752</v>
      </c>
      <c r="M43" s="11">
        <f>GraphBacillus!$B$10-(I43-GraphBacillus!$B$6)/GraphBacillus!$B$5</f>
        <v>0.95354045359218009</v>
      </c>
      <c r="N43" s="1" t="s">
        <v>958</v>
      </c>
      <c r="O43">
        <v>2001</v>
      </c>
      <c r="P43" t="s">
        <v>951</v>
      </c>
      <c r="S43" s="10">
        <f>GraphBacillus!$B$37*Bacillus!I43+GraphBacillus!$B$38</f>
        <v>0.77855081123447345</v>
      </c>
      <c r="T43" s="10">
        <f>GraphBacillus!$E$37*Bacillus!I43+GraphBacillus!$E$38</f>
        <v>0.86392189176099077</v>
      </c>
      <c r="U43" s="10">
        <f>GraphBacillus!$I$37*Bacillus!I43+GraphBacillus!$I$38</f>
        <v>0.66427231691191402</v>
      </c>
    </row>
    <row r="44" spans="1:21" x14ac:dyDescent="0.2">
      <c r="A44" s="2" t="s">
        <v>1236</v>
      </c>
      <c r="B44" s="2" t="s">
        <v>1237</v>
      </c>
      <c r="C44" t="s">
        <v>956</v>
      </c>
      <c r="D44" s="1" t="s">
        <v>45</v>
      </c>
      <c r="E44" s="1" t="s">
        <v>1239</v>
      </c>
      <c r="F44" s="1" t="s">
        <v>1269</v>
      </c>
      <c r="G44" s="2"/>
      <c r="H44" s="5"/>
      <c r="I44" s="4">
        <v>90</v>
      </c>
      <c r="J44" s="9">
        <v>5</v>
      </c>
      <c r="K44" s="5">
        <v>4.8</v>
      </c>
      <c r="L44" s="9">
        <f t="shared" si="1"/>
        <v>0.69897000433601886</v>
      </c>
      <c r="M44" s="11">
        <f>GraphBacillus!$B$10-(I44-GraphBacillus!$B$6)/GraphBacillus!$B$5</f>
        <v>0.95354045359218009</v>
      </c>
      <c r="N44" s="1" t="s">
        <v>958</v>
      </c>
      <c r="O44">
        <v>2001</v>
      </c>
      <c r="P44" t="s">
        <v>948</v>
      </c>
      <c r="S44" s="10">
        <f>GraphBacillus!$B$37*Bacillus!I44+GraphBacillus!$B$38</f>
        <v>0.77855081123447345</v>
      </c>
      <c r="T44" s="10">
        <f>GraphBacillus!$E$37*Bacillus!I44+GraphBacillus!$E$38</f>
        <v>0.86392189176099077</v>
      </c>
      <c r="U44" s="10">
        <f>GraphBacillus!$I$37*Bacillus!I44+GraphBacillus!$I$38</f>
        <v>0.66427231691191402</v>
      </c>
    </row>
    <row r="45" spans="1:21" x14ac:dyDescent="0.2">
      <c r="A45" s="2" t="s">
        <v>1236</v>
      </c>
      <c r="B45" s="2" t="s">
        <v>1237</v>
      </c>
      <c r="C45" t="s">
        <v>956</v>
      </c>
      <c r="D45" s="1" t="s">
        <v>45</v>
      </c>
      <c r="E45" s="1" t="s">
        <v>1239</v>
      </c>
      <c r="F45" s="1" t="s">
        <v>1269</v>
      </c>
      <c r="I45" s="4">
        <v>95</v>
      </c>
      <c r="J45" s="11">
        <v>0.44</v>
      </c>
      <c r="K45" s="4">
        <v>5.6</v>
      </c>
      <c r="L45" s="9">
        <f t="shared" si="1"/>
        <v>-0.35654732351381258</v>
      </c>
      <c r="M45" s="11">
        <f>GraphBacillus!$B$10-(I45-GraphBacillus!$B$6)/GraphBacillus!$B$5</f>
        <v>0.56430441936438891</v>
      </c>
      <c r="N45" s="1" t="s">
        <v>958</v>
      </c>
      <c r="O45">
        <v>2001</v>
      </c>
      <c r="P45" t="s">
        <v>947</v>
      </c>
      <c r="S45" s="10">
        <f>GraphBacillus!$B$37*Bacillus!I45+GraphBacillus!$B$38</f>
        <v>0.4454019479325515</v>
      </c>
      <c r="T45" s="10">
        <f>GraphBacillus!$E$37*Bacillus!I45+GraphBacillus!$E$38</f>
        <v>0.54852241566997151</v>
      </c>
      <c r="U45" s="10">
        <f>GraphBacillus!$I$37*Bacillus!I45+GraphBacillus!$I$38</f>
        <v>0.28686251267950968</v>
      </c>
    </row>
    <row r="46" spans="1:21" x14ac:dyDescent="0.2">
      <c r="A46" s="2" t="s">
        <v>1236</v>
      </c>
      <c r="B46" s="2" t="s">
        <v>1237</v>
      </c>
      <c r="C46" t="s">
        <v>956</v>
      </c>
      <c r="D46" s="1" t="s">
        <v>45</v>
      </c>
      <c r="E46" s="1" t="s">
        <v>1239</v>
      </c>
      <c r="F46" s="1" t="s">
        <v>1269</v>
      </c>
      <c r="G46" s="2"/>
      <c r="H46" s="5"/>
      <c r="I46" s="4">
        <v>95</v>
      </c>
      <c r="J46" s="9">
        <v>0.46</v>
      </c>
      <c r="K46" s="5">
        <v>4.8</v>
      </c>
      <c r="L46" s="9">
        <f t="shared" si="1"/>
        <v>-0.33724216831842591</v>
      </c>
      <c r="M46" s="11">
        <f>GraphBacillus!$B$10-(I46-GraphBacillus!$B$6)/GraphBacillus!$B$5</f>
        <v>0.56430441936438891</v>
      </c>
      <c r="N46" s="1" t="s">
        <v>958</v>
      </c>
      <c r="O46">
        <v>2001</v>
      </c>
      <c r="P46" t="s">
        <v>948</v>
      </c>
      <c r="S46" s="10">
        <f>GraphBacillus!$B$37*Bacillus!I46+GraphBacillus!$B$38</f>
        <v>0.4454019479325515</v>
      </c>
      <c r="T46" s="10">
        <f>GraphBacillus!$E$37*Bacillus!I46+GraphBacillus!$E$38</f>
        <v>0.54852241566997151</v>
      </c>
      <c r="U46" s="10">
        <f>GraphBacillus!$I$37*Bacillus!I46+GraphBacillus!$I$38</f>
        <v>0.28686251267950968</v>
      </c>
    </row>
    <row r="47" spans="1:21" x14ac:dyDescent="0.2">
      <c r="A47" s="2" t="s">
        <v>1236</v>
      </c>
      <c r="B47" s="2" t="s">
        <v>1237</v>
      </c>
      <c r="C47" t="s">
        <v>956</v>
      </c>
      <c r="D47" s="1" t="s">
        <v>45</v>
      </c>
      <c r="E47" s="1" t="s">
        <v>1239</v>
      </c>
      <c r="F47" s="1" t="s">
        <v>1269</v>
      </c>
      <c r="G47" s="2"/>
      <c r="H47" s="5"/>
      <c r="I47" s="4">
        <v>95</v>
      </c>
      <c r="J47" s="9">
        <v>0.62</v>
      </c>
      <c r="K47" s="5">
        <v>7.1</v>
      </c>
      <c r="L47" s="9">
        <f t="shared" si="1"/>
        <v>-0.20760831050174613</v>
      </c>
      <c r="M47" s="11">
        <f>GraphBacillus!$B$10-(I47-GraphBacillus!$B$6)/GraphBacillus!$B$5</f>
        <v>0.56430441936438891</v>
      </c>
      <c r="N47" s="1" t="s">
        <v>958</v>
      </c>
      <c r="O47">
        <v>2001</v>
      </c>
      <c r="P47" t="s">
        <v>949</v>
      </c>
      <c r="S47" s="10">
        <f>GraphBacillus!$B$37*Bacillus!I47+GraphBacillus!$B$38</f>
        <v>0.4454019479325515</v>
      </c>
      <c r="T47" s="10">
        <f>GraphBacillus!$E$37*Bacillus!I47+GraphBacillus!$E$38</f>
        <v>0.54852241566997151</v>
      </c>
      <c r="U47" s="10">
        <f>GraphBacillus!$I$37*Bacillus!I47+GraphBacillus!$I$38</f>
        <v>0.28686251267950968</v>
      </c>
    </row>
    <row r="48" spans="1:21" x14ac:dyDescent="0.2">
      <c r="A48" s="2" t="s">
        <v>1236</v>
      </c>
      <c r="B48" s="2" t="s">
        <v>1237</v>
      </c>
      <c r="C48" t="s">
        <v>956</v>
      </c>
      <c r="D48" s="1" t="s">
        <v>45</v>
      </c>
      <c r="E48" s="1" t="s">
        <v>1239</v>
      </c>
      <c r="F48" s="1" t="s">
        <v>1269</v>
      </c>
      <c r="G48" s="2"/>
      <c r="H48" s="5"/>
      <c r="I48" s="4">
        <v>95</v>
      </c>
      <c r="J48" s="9">
        <v>0.66</v>
      </c>
      <c r="K48" s="5">
        <v>6.5</v>
      </c>
      <c r="L48" s="9">
        <f t="shared" si="1"/>
        <v>-0.18045606445813131</v>
      </c>
      <c r="M48" s="11">
        <f>GraphBacillus!$B$10-(I48-GraphBacillus!$B$6)/GraphBacillus!$B$5</f>
        <v>0.56430441936438891</v>
      </c>
      <c r="N48" s="1" t="s">
        <v>958</v>
      </c>
      <c r="O48">
        <v>2001</v>
      </c>
      <c r="P48" t="s">
        <v>950</v>
      </c>
      <c r="S48" s="10">
        <f>GraphBacillus!$B$37*Bacillus!I48+GraphBacillus!$B$38</f>
        <v>0.4454019479325515</v>
      </c>
      <c r="T48" s="10">
        <f>GraphBacillus!$E$37*Bacillus!I48+GraphBacillus!$E$38</f>
        <v>0.54852241566997151</v>
      </c>
      <c r="U48" s="10">
        <f>GraphBacillus!$I$37*Bacillus!I48+GraphBacillus!$I$38</f>
        <v>0.28686251267950968</v>
      </c>
    </row>
    <row r="49" spans="1:21" x14ac:dyDescent="0.2">
      <c r="A49" s="2" t="s">
        <v>1236</v>
      </c>
      <c r="B49" s="2" t="s">
        <v>1237</v>
      </c>
      <c r="C49" t="s">
        <v>956</v>
      </c>
      <c r="D49" s="1" t="s">
        <v>45</v>
      </c>
      <c r="E49" s="1" t="s">
        <v>1239</v>
      </c>
      <c r="F49" s="1" t="s">
        <v>1269</v>
      </c>
      <c r="G49" s="2"/>
      <c r="H49" s="5"/>
      <c r="I49" s="4">
        <v>95</v>
      </c>
      <c r="J49" s="9">
        <v>1.1000000000000001</v>
      </c>
      <c r="K49" s="5">
        <v>8.1</v>
      </c>
      <c r="L49" s="9">
        <f t="shared" si="1"/>
        <v>4.1392685158225077E-2</v>
      </c>
      <c r="M49" s="11">
        <f>GraphBacillus!$B$10-(I49-GraphBacillus!$B$6)/GraphBacillus!$B$5</f>
        <v>0.56430441936438891</v>
      </c>
      <c r="N49" s="1" t="s">
        <v>958</v>
      </c>
      <c r="O49">
        <v>2001</v>
      </c>
      <c r="P49" t="s">
        <v>952</v>
      </c>
      <c r="S49" s="10">
        <f>GraphBacillus!$B$37*Bacillus!I49+GraphBacillus!$B$38</f>
        <v>0.4454019479325515</v>
      </c>
      <c r="T49" s="10">
        <f>GraphBacillus!$E$37*Bacillus!I49+GraphBacillus!$E$38</f>
        <v>0.54852241566997151</v>
      </c>
      <c r="U49" s="10">
        <f>GraphBacillus!$I$37*Bacillus!I49+GraphBacillus!$I$38</f>
        <v>0.28686251267950968</v>
      </c>
    </row>
    <row r="50" spans="1:21" x14ac:dyDescent="0.2">
      <c r="A50" s="2" t="s">
        <v>1236</v>
      </c>
      <c r="B50" s="2" t="s">
        <v>1237</v>
      </c>
      <c r="C50" t="s">
        <v>956</v>
      </c>
      <c r="D50" s="1" t="s">
        <v>45</v>
      </c>
      <c r="E50" s="1" t="s">
        <v>1239</v>
      </c>
      <c r="F50" s="1" t="s">
        <v>1269</v>
      </c>
      <c r="G50" s="2"/>
      <c r="H50" s="5"/>
      <c r="I50" s="4">
        <v>95</v>
      </c>
      <c r="J50" s="9">
        <v>1.17</v>
      </c>
      <c r="K50" s="5">
        <v>8.3000000000000007</v>
      </c>
      <c r="L50" s="9">
        <f t="shared" si="1"/>
        <v>6.8185861746161619E-2</v>
      </c>
      <c r="M50" s="11">
        <f>GraphBacillus!$B$10-(I50-GraphBacillus!$B$6)/GraphBacillus!$B$5</f>
        <v>0.56430441936438891</v>
      </c>
      <c r="N50" s="1" t="s">
        <v>958</v>
      </c>
      <c r="O50">
        <v>2001</v>
      </c>
      <c r="P50" t="s">
        <v>951</v>
      </c>
      <c r="S50" s="10">
        <f>GraphBacillus!$B$37*Bacillus!I50+GraphBacillus!$B$38</f>
        <v>0.4454019479325515</v>
      </c>
      <c r="T50" s="10">
        <f>GraphBacillus!$E$37*Bacillus!I50+GraphBacillus!$E$38</f>
        <v>0.54852241566997151</v>
      </c>
      <c r="U50" s="10">
        <f>GraphBacillus!$I$37*Bacillus!I50+GraphBacillus!$I$38</f>
        <v>0.28686251267950968</v>
      </c>
    </row>
    <row r="51" spans="1:21" x14ac:dyDescent="0.2">
      <c r="A51" s="2" t="s">
        <v>1236</v>
      </c>
      <c r="B51" s="2" t="s">
        <v>1237</v>
      </c>
      <c r="C51" s="1" t="s">
        <v>957</v>
      </c>
      <c r="D51" s="1" t="s">
        <v>45</v>
      </c>
      <c r="E51" s="1" t="s">
        <v>1239</v>
      </c>
      <c r="F51" s="1" t="s">
        <v>1269</v>
      </c>
      <c r="G51" s="1"/>
      <c r="H51" s="5"/>
      <c r="I51" s="5">
        <v>90</v>
      </c>
      <c r="J51" s="9">
        <v>40</v>
      </c>
      <c r="K51" s="5">
        <v>8</v>
      </c>
      <c r="L51" s="9">
        <f t="shared" si="1"/>
        <v>1.6020599913279623</v>
      </c>
      <c r="M51" s="11">
        <f>GraphBacillus!$B$10-(I51-GraphBacillus!$B$6)/GraphBacillus!$B$5</f>
        <v>0.95354045359218009</v>
      </c>
      <c r="N51" s="1" t="s">
        <v>958</v>
      </c>
      <c r="O51" t="s">
        <v>960</v>
      </c>
      <c r="S51" s="10">
        <f>GraphBacillus!$B$37*Bacillus!I51+GraphBacillus!$B$38</f>
        <v>0.77855081123447345</v>
      </c>
      <c r="T51" s="10">
        <f>GraphBacillus!$E$37*Bacillus!I51+GraphBacillus!$E$38</f>
        <v>0.86392189176099077</v>
      </c>
      <c r="U51" s="10">
        <f>GraphBacillus!$I$37*Bacillus!I51+GraphBacillus!$I$38</f>
        <v>0.66427231691191402</v>
      </c>
    </row>
    <row r="52" spans="1:21" x14ac:dyDescent="0.2">
      <c r="A52" s="2" t="s">
        <v>1236</v>
      </c>
      <c r="B52" s="2" t="s">
        <v>1237</v>
      </c>
      <c r="C52" s="1" t="s">
        <v>957</v>
      </c>
      <c r="D52" s="1" t="s">
        <v>45</v>
      </c>
      <c r="E52" s="1" t="s">
        <v>1239</v>
      </c>
      <c r="F52" s="1" t="s">
        <v>1269</v>
      </c>
      <c r="G52" s="1"/>
      <c r="H52" s="5"/>
      <c r="I52" s="5">
        <v>95</v>
      </c>
      <c r="J52" s="9">
        <v>11</v>
      </c>
      <c r="K52" s="5">
        <v>8</v>
      </c>
      <c r="L52" s="9">
        <f t="shared" si="1"/>
        <v>1.0413926851582251</v>
      </c>
      <c r="M52" s="11">
        <f>GraphBacillus!$B$10-(I52-GraphBacillus!$B$6)/GraphBacillus!$B$5</f>
        <v>0.56430441936438891</v>
      </c>
      <c r="N52" s="1" t="s">
        <v>958</v>
      </c>
      <c r="O52" t="s">
        <v>960</v>
      </c>
      <c r="S52" s="10">
        <f>GraphBacillus!$B$37*Bacillus!I52+GraphBacillus!$B$38</f>
        <v>0.4454019479325515</v>
      </c>
      <c r="T52" s="10">
        <f>GraphBacillus!$E$37*Bacillus!I52+GraphBacillus!$E$38</f>
        <v>0.54852241566997151</v>
      </c>
      <c r="U52" s="10">
        <f>GraphBacillus!$I$37*Bacillus!I52+GraphBacillus!$I$38</f>
        <v>0.28686251267950968</v>
      </c>
    </row>
    <row r="53" spans="1:21" x14ac:dyDescent="0.2">
      <c r="A53" s="2" t="s">
        <v>1236</v>
      </c>
      <c r="B53" s="2" t="s">
        <v>1237</v>
      </c>
      <c r="C53" s="1" t="s">
        <v>957</v>
      </c>
      <c r="D53" s="1" t="s">
        <v>45</v>
      </c>
      <c r="E53" s="1" t="s">
        <v>1239</v>
      </c>
      <c r="F53" s="1" t="s">
        <v>1269</v>
      </c>
      <c r="G53" s="1"/>
      <c r="H53" s="5"/>
      <c r="I53" s="5">
        <v>95</v>
      </c>
      <c r="J53" s="9">
        <v>14</v>
      </c>
      <c r="K53" s="5">
        <v>8.1</v>
      </c>
      <c r="L53" s="9">
        <f t="shared" si="1"/>
        <v>1.146128035678238</v>
      </c>
      <c r="M53" s="11">
        <f>GraphBacillus!$B$10-(I53-GraphBacillus!$B$6)/GraphBacillus!$B$5</f>
        <v>0.56430441936438891</v>
      </c>
      <c r="N53" s="1" t="s">
        <v>959</v>
      </c>
      <c r="O53" t="s">
        <v>961</v>
      </c>
      <c r="S53" s="10">
        <f>GraphBacillus!$B$37*Bacillus!I53+GraphBacillus!$B$38</f>
        <v>0.4454019479325515</v>
      </c>
      <c r="T53" s="10">
        <f>GraphBacillus!$E$37*Bacillus!I53+GraphBacillus!$E$38</f>
        <v>0.54852241566997151</v>
      </c>
      <c r="U53" s="10">
        <f>GraphBacillus!$I$37*Bacillus!I53+GraphBacillus!$I$38</f>
        <v>0.28686251267950968</v>
      </c>
    </row>
    <row r="54" spans="1:21" x14ac:dyDescent="0.2">
      <c r="A54" s="2" t="s">
        <v>1236</v>
      </c>
      <c r="B54" s="2" t="s">
        <v>1237</v>
      </c>
      <c r="C54" s="1" t="s">
        <v>957</v>
      </c>
      <c r="D54" s="1" t="s">
        <v>45</v>
      </c>
      <c r="E54" s="1" t="s">
        <v>1239</v>
      </c>
      <c r="F54" s="1" t="s">
        <v>1269</v>
      </c>
      <c r="G54" s="1"/>
      <c r="H54" s="5"/>
      <c r="I54" s="5">
        <v>97.5</v>
      </c>
      <c r="J54" s="9">
        <v>5.9</v>
      </c>
      <c r="K54" s="5">
        <v>8.1</v>
      </c>
      <c r="L54" s="9">
        <f t="shared" si="1"/>
        <v>0.77085201164214423</v>
      </c>
      <c r="M54" s="11">
        <f>GraphBacillus!$B$10-(I54-GraphBacillus!$B$6)/GraphBacillus!$B$5</f>
        <v>0.3696864022504931</v>
      </c>
      <c r="N54" s="1" t="s">
        <v>959</v>
      </c>
      <c r="O54" t="s">
        <v>961</v>
      </c>
      <c r="S54" s="10">
        <f>GraphBacillus!$B$37*Bacillus!I54+GraphBacillus!$B$38</f>
        <v>0.27882751628159053</v>
      </c>
      <c r="T54" s="10">
        <f>GraphBacillus!$E$37*Bacillus!I54+GraphBacillus!$E$38</f>
        <v>0.39082267762446143</v>
      </c>
      <c r="U54" s="10">
        <f>GraphBacillus!$I$37*Bacillus!I54+GraphBacillus!$I$38</f>
        <v>9.8157610563307074E-2</v>
      </c>
    </row>
    <row r="55" spans="1:21" x14ac:dyDescent="0.2">
      <c r="A55" s="2" t="s">
        <v>1236</v>
      </c>
      <c r="B55" s="2" t="s">
        <v>1237</v>
      </c>
      <c r="C55" s="1" t="s">
        <v>957</v>
      </c>
      <c r="D55" s="1" t="s">
        <v>45</v>
      </c>
      <c r="E55" s="1" t="s">
        <v>1239</v>
      </c>
      <c r="F55" s="1" t="s">
        <v>1269</v>
      </c>
      <c r="G55" s="1"/>
      <c r="H55" s="5"/>
      <c r="I55" s="5">
        <v>100</v>
      </c>
      <c r="J55" s="9">
        <v>2.5</v>
      </c>
      <c r="K55" s="5">
        <v>8</v>
      </c>
      <c r="L55" s="9">
        <f t="shared" si="1"/>
        <v>0.3979400086720376</v>
      </c>
      <c r="M55" s="11">
        <f>GraphBacillus!$B$10-(I55-GraphBacillus!$B$6)/GraphBacillus!$B$5</f>
        <v>0.1750683851365975</v>
      </c>
      <c r="N55" s="1" t="s">
        <v>958</v>
      </c>
      <c r="O55" t="s">
        <v>960</v>
      </c>
      <c r="S55" s="10">
        <f>GraphBacillus!$B$37*Bacillus!I55+GraphBacillus!$B$38</f>
        <v>0.11225308463062955</v>
      </c>
      <c r="T55" s="10">
        <f>GraphBacillus!$E$37*Bacillus!I55+GraphBacillus!$E$38</f>
        <v>0.23312293957895225</v>
      </c>
      <c r="U55" s="10">
        <f>GraphBacillus!$I$37*Bacillus!I55+GraphBacillus!$I$38</f>
        <v>-9.0547291552894649E-2</v>
      </c>
    </row>
    <row r="56" spans="1:21" x14ac:dyDescent="0.2">
      <c r="A56" s="2" t="s">
        <v>1236</v>
      </c>
      <c r="B56" s="2" t="s">
        <v>1237</v>
      </c>
      <c r="C56" s="1" t="s">
        <v>957</v>
      </c>
      <c r="D56" s="1" t="s">
        <v>45</v>
      </c>
      <c r="E56" s="1" t="s">
        <v>1239</v>
      </c>
      <c r="F56" s="1" t="s">
        <v>1269</v>
      </c>
      <c r="G56" s="1"/>
      <c r="H56" s="5"/>
      <c r="I56" s="5">
        <v>100</v>
      </c>
      <c r="J56" s="9">
        <v>2.5</v>
      </c>
      <c r="K56" s="5">
        <v>8.1</v>
      </c>
      <c r="L56" s="9">
        <f t="shared" si="1"/>
        <v>0.3979400086720376</v>
      </c>
      <c r="M56" s="11">
        <f>GraphBacillus!$B$10-(I56-GraphBacillus!$B$6)/GraphBacillus!$B$5</f>
        <v>0.1750683851365975</v>
      </c>
      <c r="N56" s="1" t="s">
        <v>959</v>
      </c>
      <c r="O56" t="s">
        <v>961</v>
      </c>
      <c r="S56" s="10">
        <f>GraphBacillus!$B$37*Bacillus!I56+GraphBacillus!$B$38</f>
        <v>0.11225308463062955</v>
      </c>
      <c r="T56" s="10">
        <f>GraphBacillus!$E$37*Bacillus!I56+GraphBacillus!$E$38</f>
        <v>0.23312293957895225</v>
      </c>
      <c r="U56" s="10">
        <f>GraphBacillus!$I$37*Bacillus!I56+GraphBacillus!$I$38</f>
        <v>-9.0547291552894649E-2</v>
      </c>
    </row>
    <row r="57" spans="1:21" x14ac:dyDescent="0.2">
      <c r="A57" s="2" t="s">
        <v>1236</v>
      </c>
      <c r="B57" s="2" t="s">
        <v>1237</v>
      </c>
      <c r="C57" s="1" t="s">
        <v>957</v>
      </c>
      <c r="D57" s="1" t="s">
        <v>45</v>
      </c>
      <c r="E57" s="1" t="s">
        <v>1239</v>
      </c>
      <c r="F57" s="1" t="s">
        <v>1269</v>
      </c>
      <c r="G57" s="1"/>
      <c r="H57" s="5"/>
      <c r="I57" s="5">
        <v>102.5</v>
      </c>
      <c r="J57" s="9">
        <v>1.5</v>
      </c>
      <c r="K57" s="5">
        <v>8.1</v>
      </c>
      <c r="L57" s="9">
        <f t="shared" si="1"/>
        <v>0.17609125905568124</v>
      </c>
      <c r="M57" s="11">
        <f>GraphBacillus!$B$10-(I57-GraphBacillus!$B$6)/GraphBacillus!$B$5</f>
        <v>-1.9549631977298088E-2</v>
      </c>
      <c r="N57" s="1" t="s">
        <v>959</v>
      </c>
      <c r="O57" t="s">
        <v>961</v>
      </c>
      <c r="S57" s="10">
        <f>GraphBacillus!$B$37*Bacillus!I57+GraphBacillus!$B$38</f>
        <v>-5.4321347020331423E-2</v>
      </c>
      <c r="T57" s="10">
        <f>GraphBacillus!$E$37*Bacillus!I57+GraphBacillus!$E$38</f>
        <v>7.5423201533442175E-2</v>
      </c>
      <c r="U57" s="10">
        <f>GraphBacillus!$I$37*Bacillus!I57+GraphBacillus!$I$38</f>
        <v>-0.27925219366909726</v>
      </c>
    </row>
    <row r="58" spans="1:21" x14ac:dyDescent="0.2">
      <c r="A58" s="2" t="s">
        <v>1236</v>
      </c>
      <c r="B58" s="2" t="s">
        <v>1237</v>
      </c>
      <c r="C58" s="1" t="s">
        <v>957</v>
      </c>
      <c r="D58" s="1" t="s">
        <v>45</v>
      </c>
      <c r="E58" s="1" t="s">
        <v>1239</v>
      </c>
      <c r="F58" s="1" t="s">
        <v>1269</v>
      </c>
      <c r="G58" s="1"/>
      <c r="H58" s="5"/>
      <c r="I58" s="5">
        <v>105</v>
      </c>
      <c r="J58" s="9">
        <v>0.6</v>
      </c>
      <c r="K58" s="5">
        <v>8</v>
      </c>
      <c r="L58" s="9">
        <f t="shared" si="1"/>
        <v>-0.22184874961635639</v>
      </c>
      <c r="M58" s="11">
        <f>GraphBacillus!$B$10-(I58-GraphBacillus!$B$6)/GraphBacillus!$B$5</f>
        <v>-0.2141676490911939</v>
      </c>
      <c r="N58" s="1" t="s">
        <v>958</v>
      </c>
      <c r="O58" t="s">
        <v>960</v>
      </c>
      <c r="S58" s="10">
        <f>GraphBacillus!$B$37*Bacillus!I58+GraphBacillus!$B$38</f>
        <v>-0.2208957786712924</v>
      </c>
      <c r="T58" s="10">
        <f>GraphBacillus!$E$37*Bacillus!I58+GraphBacillus!$E$38</f>
        <v>-8.2276536512067011E-2</v>
      </c>
      <c r="U58" s="10">
        <f>GraphBacillus!$I$37*Bacillus!I58+GraphBacillus!$I$38</f>
        <v>-0.46795709578529898</v>
      </c>
    </row>
    <row r="59" spans="1:21" x14ac:dyDescent="0.2">
      <c r="A59" s="2" t="s">
        <v>1236</v>
      </c>
      <c r="B59" s="2" t="s">
        <v>1237</v>
      </c>
      <c r="C59" s="1" t="s">
        <v>957</v>
      </c>
      <c r="D59" s="1" t="s">
        <v>45</v>
      </c>
      <c r="E59" s="1" t="s">
        <v>1239</v>
      </c>
      <c r="F59" s="1" t="s">
        <v>1269</v>
      </c>
      <c r="G59" s="1"/>
      <c r="H59" s="5"/>
      <c r="I59" s="5">
        <v>105</v>
      </c>
      <c r="J59" s="9">
        <v>0.76</v>
      </c>
      <c r="K59" s="5">
        <v>8.1</v>
      </c>
      <c r="L59" s="9">
        <f t="shared" si="1"/>
        <v>-0.11918640771920865</v>
      </c>
      <c r="M59" s="11">
        <f>GraphBacillus!$B$10-(I59-GraphBacillus!$B$6)/GraphBacillus!$B$5</f>
        <v>-0.2141676490911939</v>
      </c>
      <c r="N59" s="1" t="s">
        <v>959</v>
      </c>
      <c r="O59" t="s">
        <v>961</v>
      </c>
      <c r="S59" s="10">
        <f>GraphBacillus!$B$37*Bacillus!I59+GraphBacillus!$B$38</f>
        <v>-0.2208957786712924</v>
      </c>
      <c r="T59" s="10">
        <f>GraphBacillus!$E$37*Bacillus!I59+GraphBacillus!$E$38</f>
        <v>-8.2276536512067011E-2</v>
      </c>
      <c r="U59" s="10">
        <f>GraphBacillus!$I$37*Bacillus!I59+GraphBacillus!$I$38</f>
        <v>-0.46795709578529898</v>
      </c>
    </row>
    <row r="60" spans="1:21" x14ac:dyDescent="0.2">
      <c r="A60" s="2" t="s">
        <v>1236</v>
      </c>
      <c r="B60" s="2" t="s">
        <v>1237</v>
      </c>
      <c r="C60" s="2" t="s">
        <v>648</v>
      </c>
      <c r="D60" s="1" t="s">
        <v>45</v>
      </c>
      <c r="E60" s="1" t="s">
        <v>1239</v>
      </c>
      <c r="F60" s="1"/>
      <c r="G60" s="1"/>
      <c r="H60" s="5"/>
      <c r="I60" s="5">
        <v>95</v>
      </c>
      <c r="J60" s="9">
        <v>36</v>
      </c>
      <c r="K60" s="5">
        <v>8.3000000000000007</v>
      </c>
      <c r="L60" s="9">
        <f t="shared" si="1"/>
        <v>1.5563025007672873</v>
      </c>
      <c r="M60" s="11">
        <f>GraphBacillus!$B$10-(I60-GraphBacillus!$B$6)/GraphBacillus!$B$5</f>
        <v>0.56430441936438891</v>
      </c>
      <c r="N60" s="2" t="s">
        <v>1226</v>
      </c>
      <c r="O60">
        <v>1996</v>
      </c>
      <c r="S60" s="10">
        <f>GraphBacillus!$B$37*Bacillus!I60+GraphBacillus!$B$38</f>
        <v>0.4454019479325515</v>
      </c>
      <c r="T60" s="10">
        <f>GraphBacillus!$E$37*Bacillus!I60+GraphBacillus!$E$38</f>
        <v>0.54852241566997151</v>
      </c>
      <c r="U60" s="10">
        <f>GraphBacillus!$I$37*Bacillus!I60+GraphBacillus!$I$38</f>
        <v>0.28686251267950968</v>
      </c>
    </row>
    <row r="61" spans="1:21" x14ac:dyDescent="0.2">
      <c r="A61" s="2" t="s">
        <v>1236</v>
      </c>
      <c r="B61" s="2" t="s">
        <v>1237</v>
      </c>
      <c r="C61" s="2" t="s">
        <v>647</v>
      </c>
      <c r="D61" s="1" t="s">
        <v>45</v>
      </c>
      <c r="E61" s="2" t="s">
        <v>1239</v>
      </c>
      <c r="F61" s="2"/>
      <c r="G61" s="2"/>
      <c r="H61" s="5"/>
      <c r="I61" s="5">
        <v>95</v>
      </c>
      <c r="J61" s="9">
        <v>36</v>
      </c>
      <c r="K61" s="5">
        <v>6.7</v>
      </c>
      <c r="L61" s="9">
        <f t="shared" si="1"/>
        <v>1.5563025007672873</v>
      </c>
      <c r="M61" s="11">
        <f>GraphBacillus!$B$10-(I61-GraphBacillus!$B$6)/GraphBacillus!$B$5</f>
        <v>0.56430441936438891</v>
      </c>
      <c r="N61" t="s">
        <v>1226</v>
      </c>
      <c r="O61">
        <v>1996</v>
      </c>
      <c r="S61" s="10">
        <f>GraphBacillus!$B$37*Bacillus!I61+GraphBacillus!$B$38</f>
        <v>0.4454019479325515</v>
      </c>
      <c r="T61" s="10">
        <f>GraphBacillus!$E$37*Bacillus!I61+GraphBacillus!$E$38</f>
        <v>0.54852241566997151</v>
      </c>
      <c r="U61" s="10">
        <f>GraphBacillus!$I$37*Bacillus!I61+GraphBacillus!$I$38</f>
        <v>0.28686251267950968</v>
      </c>
    </row>
    <row r="62" spans="1:21" x14ac:dyDescent="0.2">
      <c r="A62" s="2" t="s">
        <v>1236</v>
      </c>
      <c r="B62" s="2" t="s">
        <v>1237</v>
      </c>
      <c r="C62" s="1">
        <v>4342</v>
      </c>
      <c r="D62" s="1" t="s">
        <v>44</v>
      </c>
      <c r="E62" s="1" t="s">
        <v>933</v>
      </c>
      <c r="F62" s="19" t="s">
        <v>940</v>
      </c>
      <c r="G62" s="1">
        <v>0.96</v>
      </c>
      <c r="H62" s="5">
        <v>7.38</v>
      </c>
      <c r="I62" s="5">
        <v>98</v>
      </c>
      <c r="J62" s="9">
        <v>1.2</v>
      </c>
      <c r="K62" s="5">
        <v>8.4</v>
      </c>
      <c r="L62" s="9">
        <f t="shared" si="1"/>
        <v>7.9181246047624818E-2</v>
      </c>
      <c r="M62" s="11">
        <f>GraphBacillus!$B$10-(I62-GraphBacillus!$B$6)/GraphBacillus!$B$5</f>
        <v>0.33076279882771398</v>
      </c>
      <c r="N62" s="1" t="s">
        <v>944</v>
      </c>
      <c r="O62">
        <v>1999</v>
      </c>
      <c r="S62" s="10">
        <f>GraphBacillus!$B$37*Bacillus!I62+GraphBacillus!$B$38</f>
        <v>0.24551262995139833</v>
      </c>
      <c r="T62" s="10">
        <f>GraphBacillus!$E$37*Bacillus!I62+GraphBacillus!$E$38</f>
        <v>0.3592827300153596</v>
      </c>
      <c r="U62" s="10">
        <f>GraphBacillus!$I$37*Bacillus!I62+GraphBacillus!$I$38</f>
        <v>6.0416630140067262E-2</v>
      </c>
    </row>
    <row r="63" spans="1:21" x14ac:dyDescent="0.2">
      <c r="A63" s="2" t="s">
        <v>1236</v>
      </c>
      <c r="B63" s="2" t="s">
        <v>1237</v>
      </c>
      <c r="C63" s="1">
        <v>4342</v>
      </c>
      <c r="D63" s="1" t="s">
        <v>44</v>
      </c>
      <c r="E63" s="1" t="s">
        <v>933</v>
      </c>
      <c r="F63" s="19" t="s">
        <v>940</v>
      </c>
      <c r="G63" s="1">
        <v>0.96</v>
      </c>
      <c r="H63" s="5">
        <v>7.38</v>
      </c>
      <c r="I63" s="5">
        <v>100</v>
      </c>
      <c r="J63" s="9">
        <f>0.67</f>
        <v>0.67</v>
      </c>
      <c r="K63" s="5">
        <v>8.4</v>
      </c>
      <c r="L63" s="9">
        <f t="shared" si="1"/>
        <v>-0.17392519729917355</v>
      </c>
      <c r="M63" s="11">
        <f>GraphBacillus!$B$10-(I63-GraphBacillus!$B$6)/GraphBacillus!$B$5</f>
        <v>0.1750683851365975</v>
      </c>
      <c r="N63" s="1" t="s">
        <v>944</v>
      </c>
      <c r="O63">
        <v>1999</v>
      </c>
      <c r="S63" s="10">
        <f>GraphBacillus!$B$37*Bacillus!I63+GraphBacillus!$B$38</f>
        <v>0.11225308463062955</v>
      </c>
      <c r="T63" s="10">
        <f>GraphBacillus!$E$37*Bacillus!I63+GraphBacillus!$E$38</f>
        <v>0.23312293957895225</v>
      </c>
      <c r="U63" s="10">
        <f>GraphBacillus!$I$37*Bacillus!I63+GraphBacillus!$I$38</f>
        <v>-9.0547291552894649E-2</v>
      </c>
    </row>
    <row r="64" spans="1:21" x14ac:dyDescent="0.2">
      <c r="A64" s="2" t="s">
        <v>1236</v>
      </c>
      <c r="B64" s="2" t="s">
        <v>1237</v>
      </c>
      <c r="C64" s="1">
        <v>4342</v>
      </c>
      <c r="D64" s="1" t="s">
        <v>44</v>
      </c>
      <c r="E64" s="1" t="s">
        <v>933</v>
      </c>
      <c r="F64" s="19" t="s">
        <v>940</v>
      </c>
      <c r="G64" s="1">
        <v>0.96</v>
      </c>
      <c r="H64" s="5">
        <v>7.38</v>
      </c>
      <c r="I64" s="5">
        <v>106</v>
      </c>
      <c r="J64" s="9">
        <v>0.13</v>
      </c>
      <c r="K64" s="5">
        <v>8.4</v>
      </c>
      <c r="L64" s="9">
        <f t="shared" si="1"/>
        <v>-0.88605664769316317</v>
      </c>
      <c r="M64" s="11">
        <f>GraphBacillus!$B$10-(I64-GraphBacillus!$B$6)/GraphBacillus!$B$5</f>
        <v>-0.29201485593675214</v>
      </c>
      <c r="N64" s="1" t="s">
        <v>944</v>
      </c>
      <c r="O64">
        <v>1999</v>
      </c>
      <c r="S64" s="10">
        <f>GraphBacillus!$B$37*Bacillus!I64+GraphBacillus!$B$38</f>
        <v>-0.28752555133167679</v>
      </c>
      <c r="T64" s="10">
        <f>GraphBacillus!$E$37*Bacillus!I64+GraphBacillus!$E$38</f>
        <v>-0.14535643173027069</v>
      </c>
      <c r="U64" s="10">
        <f>GraphBacillus!$I$37*Bacillus!I64+GraphBacillus!$I$38</f>
        <v>-0.54343905663178038</v>
      </c>
    </row>
    <row r="65" spans="1:21" x14ac:dyDescent="0.2">
      <c r="A65" s="2" t="s">
        <v>1236</v>
      </c>
      <c r="B65" s="2" t="s">
        <v>1237</v>
      </c>
      <c r="C65" s="1">
        <v>4342</v>
      </c>
      <c r="D65" s="1" t="s">
        <v>44</v>
      </c>
      <c r="E65" s="1" t="s">
        <v>933</v>
      </c>
      <c r="F65" s="19" t="s">
        <v>940</v>
      </c>
      <c r="G65" s="1">
        <v>0.96</v>
      </c>
      <c r="H65" s="5">
        <v>7.38</v>
      </c>
      <c r="I65" s="5">
        <v>110</v>
      </c>
      <c r="J65" s="9">
        <v>4.4999999999999998E-2</v>
      </c>
      <c r="K65" s="5">
        <v>8.4</v>
      </c>
      <c r="L65" s="9">
        <f t="shared" si="1"/>
        <v>-1.3467874862246563</v>
      </c>
      <c r="M65" s="11">
        <f>GraphBacillus!$B$10-(I65-GraphBacillus!$B$6)/GraphBacillus!$B$5</f>
        <v>-0.6034036833189852</v>
      </c>
      <c r="N65" s="1" t="s">
        <v>944</v>
      </c>
      <c r="O65">
        <v>1999</v>
      </c>
      <c r="S65" s="10">
        <f>GraphBacillus!$B$37*Bacillus!I65+GraphBacillus!$B$38</f>
        <v>-0.55404464197321435</v>
      </c>
      <c r="T65" s="10">
        <f>GraphBacillus!$E$37*Bacillus!I65+GraphBacillus!$E$38</f>
        <v>-0.39767601260308627</v>
      </c>
      <c r="U65" s="10">
        <f>GraphBacillus!$I$37*Bacillus!I65+GraphBacillus!$I$38</f>
        <v>-0.84536690001770243</v>
      </c>
    </row>
    <row r="66" spans="1:21" x14ac:dyDescent="0.2">
      <c r="A66" s="2" t="s">
        <v>1236</v>
      </c>
      <c r="B66" s="2" t="s">
        <v>1237</v>
      </c>
      <c r="C66" s="1">
        <v>7004</v>
      </c>
      <c r="D66" s="1" t="s">
        <v>44</v>
      </c>
      <c r="E66" s="1" t="s">
        <v>933</v>
      </c>
      <c r="F66" s="19" t="s">
        <v>940</v>
      </c>
      <c r="G66" s="1">
        <v>0.96</v>
      </c>
      <c r="H66" s="5">
        <v>7.38</v>
      </c>
      <c r="I66" s="5">
        <v>92</v>
      </c>
      <c r="J66" s="9">
        <v>2.4700000000000002</v>
      </c>
      <c r="K66" s="5">
        <v>8.1999999999999993</v>
      </c>
      <c r="L66" s="9">
        <f t="shared" si="1"/>
        <v>0.39269695325966575</v>
      </c>
      <c r="M66" s="11">
        <f>GraphBacillus!$B$10-(I66-GraphBacillus!$B$6)/GraphBacillus!$B$5</f>
        <v>0.79784603990106362</v>
      </c>
      <c r="N66" s="1" t="s">
        <v>944</v>
      </c>
      <c r="O66">
        <v>1999</v>
      </c>
      <c r="S66" s="10">
        <f>GraphBacillus!$B$37*Bacillus!I66+GraphBacillus!$B$38</f>
        <v>0.64529126591370467</v>
      </c>
      <c r="T66" s="10">
        <f>GraphBacillus!$E$37*Bacillus!I66+GraphBacillus!$E$38</f>
        <v>0.73776210132458253</v>
      </c>
      <c r="U66" s="10">
        <f>GraphBacillus!$I$37*Bacillus!I66+GraphBacillus!$I$38</f>
        <v>0.51330839521895211</v>
      </c>
    </row>
    <row r="67" spans="1:21" x14ac:dyDescent="0.2">
      <c r="A67" s="2" t="s">
        <v>1236</v>
      </c>
      <c r="B67" s="2" t="s">
        <v>1237</v>
      </c>
      <c r="C67" s="1">
        <v>7004</v>
      </c>
      <c r="D67" s="1" t="s">
        <v>44</v>
      </c>
      <c r="E67" s="1" t="s">
        <v>933</v>
      </c>
      <c r="F67" s="19" t="s">
        <v>940</v>
      </c>
      <c r="G67" s="1">
        <v>0.96</v>
      </c>
      <c r="H67" s="5">
        <v>7.38</v>
      </c>
      <c r="I67" s="5">
        <v>96</v>
      </c>
      <c r="J67" s="9">
        <v>0.9</v>
      </c>
      <c r="K67" s="5">
        <v>8.1999999999999993</v>
      </c>
      <c r="L67" s="9">
        <f t="shared" ref="L67:L98" si="2">LOG(J67)</f>
        <v>-4.5757490560675115E-2</v>
      </c>
      <c r="M67" s="11">
        <f>GraphBacillus!$B$10-(I67-GraphBacillus!$B$6)/GraphBacillus!$B$5</f>
        <v>0.48645721251883067</v>
      </c>
      <c r="N67" s="1" t="s">
        <v>944</v>
      </c>
      <c r="O67">
        <v>1999</v>
      </c>
      <c r="S67" s="10">
        <f>GraphBacillus!$B$37*Bacillus!I67+GraphBacillus!$B$38</f>
        <v>0.37877217527216711</v>
      </c>
      <c r="T67" s="10">
        <f>GraphBacillus!$E$37*Bacillus!I67+GraphBacillus!$E$38</f>
        <v>0.48544252045176783</v>
      </c>
      <c r="U67" s="10">
        <f>GraphBacillus!$I$37*Bacillus!I67+GraphBacillus!$I$38</f>
        <v>0.21138055183302829</v>
      </c>
    </row>
    <row r="68" spans="1:21" x14ac:dyDescent="0.2">
      <c r="A68" s="2" t="s">
        <v>1236</v>
      </c>
      <c r="B68" s="2" t="s">
        <v>1237</v>
      </c>
      <c r="C68" s="1">
        <v>7004</v>
      </c>
      <c r="D68" s="1" t="s">
        <v>44</v>
      </c>
      <c r="E68" s="1" t="s">
        <v>933</v>
      </c>
      <c r="F68" s="19" t="s">
        <v>940</v>
      </c>
      <c r="G68" s="1">
        <v>0.96</v>
      </c>
      <c r="H68" s="5">
        <v>7.38</v>
      </c>
      <c r="I68" s="5">
        <v>100</v>
      </c>
      <c r="J68" s="9">
        <f>0.22</f>
        <v>0.22</v>
      </c>
      <c r="K68" s="5">
        <v>8.1999999999999993</v>
      </c>
      <c r="L68" s="9">
        <f t="shared" si="2"/>
        <v>-0.65757731917779372</v>
      </c>
      <c r="M68" s="11">
        <f>GraphBacillus!$B$10-(I68-GraphBacillus!$B$6)/GraphBacillus!$B$5</f>
        <v>0.1750683851365975</v>
      </c>
      <c r="N68" s="1" t="s">
        <v>944</v>
      </c>
      <c r="O68">
        <v>1999</v>
      </c>
      <c r="S68" s="10">
        <f>GraphBacillus!$B$37*Bacillus!I68+GraphBacillus!$B$38</f>
        <v>0.11225308463062955</v>
      </c>
      <c r="T68" s="10">
        <f>GraphBacillus!$E$37*Bacillus!I68+GraphBacillus!$E$38</f>
        <v>0.23312293957895225</v>
      </c>
      <c r="U68" s="10">
        <f>GraphBacillus!$I$37*Bacillus!I68+GraphBacillus!$I$38</f>
        <v>-9.0547291552894649E-2</v>
      </c>
    </row>
    <row r="69" spans="1:21" x14ac:dyDescent="0.2">
      <c r="A69" s="2" t="s">
        <v>1236</v>
      </c>
      <c r="B69" s="2" t="s">
        <v>1237</v>
      </c>
      <c r="C69" s="1">
        <v>7004</v>
      </c>
      <c r="D69" s="1" t="s">
        <v>44</v>
      </c>
      <c r="E69" s="1" t="s">
        <v>933</v>
      </c>
      <c r="F69" s="19" t="s">
        <v>940</v>
      </c>
      <c r="G69" s="1">
        <v>0.96</v>
      </c>
      <c r="H69" s="5">
        <v>7.38</v>
      </c>
      <c r="I69" s="5">
        <v>106</v>
      </c>
      <c r="J69" s="9">
        <v>5.0999999999999997E-2</v>
      </c>
      <c r="K69" s="5">
        <v>8.1999999999999993</v>
      </c>
      <c r="L69" s="9">
        <f t="shared" si="2"/>
        <v>-1.2924298239020637</v>
      </c>
      <c r="M69" s="11">
        <f>GraphBacillus!$B$10-(I69-GraphBacillus!$B$6)/GraphBacillus!$B$5</f>
        <v>-0.29201485593675214</v>
      </c>
      <c r="N69" s="1" t="s">
        <v>944</v>
      </c>
      <c r="O69">
        <v>1999</v>
      </c>
      <c r="S69" s="10">
        <f>GraphBacillus!$B$37*Bacillus!I69+GraphBacillus!$B$38</f>
        <v>-0.28752555133167679</v>
      </c>
      <c r="T69" s="10">
        <f>GraphBacillus!$E$37*Bacillus!I69+GraphBacillus!$E$38</f>
        <v>-0.14535643173027069</v>
      </c>
      <c r="U69" s="10">
        <f>GraphBacillus!$I$37*Bacillus!I69+GraphBacillus!$I$38</f>
        <v>-0.54343905663178038</v>
      </c>
    </row>
    <row r="70" spans="1:21" x14ac:dyDescent="0.2">
      <c r="A70" s="2" t="s">
        <v>1236</v>
      </c>
      <c r="B70" s="2" t="s">
        <v>1237</v>
      </c>
      <c r="C70" s="1">
        <v>9818</v>
      </c>
      <c r="D70" s="1" t="s">
        <v>44</v>
      </c>
      <c r="E70" s="1" t="s">
        <v>933</v>
      </c>
      <c r="F70" s="19" t="s">
        <v>940</v>
      </c>
      <c r="G70" s="1">
        <v>0.96</v>
      </c>
      <c r="H70" s="5">
        <v>7.38</v>
      </c>
      <c r="I70" s="5">
        <v>100</v>
      </c>
      <c r="J70" s="9">
        <v>3.5</v>
      </c>
      <c r="K70" s="5">
        <v>10</v>
      </c>
      <c r="L70" s="9">
        <f t="shared" si="2"/>
        <v>0.54406804435027567</v>
      </c>
      <c r="M70" s="11">
        <f>GraphBacillus!$B$10-(I70-GraphBacillus!$B$6)/GraphBacillus!$B$5</f>
        <v>0.1750683851365975</v>
      </c>
      <c r="N70" s="1" t="s">
        <v>944</v>
      </c>
      <c r="O70">
        <v>1999</v>
      </c>
      <c r="S70" s="10">
        <f>GraphBacillus!$B$37*Bacillus!I70+GraphBacillus!$B$38</f>
        <v>0.11225308463062955</v>
      </c>
      <c r="T70" s="10">
        <f>GraphBacillus!$E$37*Bacillus!I70+GraphBacillus!$E$38</f>
        <v>0.23312293957895225</v>
      </c>
      <c r="U70" s="10">
        <f>GraphBacillus!$I$37*Bacillus!I70+GraphBacillus!$I$38</f>
        <v>-9.0547291552894649E-2</v>
      </c>
    </row>
    <row r="71" spans="1:21" x14ac:dyDescent="0.2">
      <c r="A71" s="2" t="s">
        <v>1236</v>
      </c>
      <c r="B71" s="2" t="s">
        <v>1237</v>
      </c>
      <c r="C71" s="1">
        <v>9818</v>
      </c>
      <c r="D71" s="1" t="s">
        <v>44</v>
      </c>
      <c r="E71" s="1" t="s">
        <v>933</v>
      </c>
      <c r="F71" s="19" t="s">
        <v>940</v>
      </c>
      <c r="G71" s="1">
        <v>0.96</v>
      </c>
      <c r="H71" s="5">
        <v>7.38</v>
      </c>
      <c r="I71" s="5">
        <v>103</v>
      </c>
      <c r="J71" s="9">
        <f>1.63</f>
        <v>1.63</v>
      </c>
      <c r="K71" s="5">
        <v>10</v>
      </c>
      <c r="L71" s="9">
        <f t="shared" si="2"/>
        <v>0.21218760440395779</v>
      </c>
      <c r="M71" s="11">
        <f>GraphBacillus!$B$10-(I71-GraphBacillus!$B$6)/GraphBacillus!$B$5</f>
        <v>-5.8473235400077428E-2</v>
      </c>
      <c r="N71" s="1" t="s">
        <v>944</v>
      </c>
      <c r="O71">
        <v>1999</v>
      </c>
      <c r="S71" s="10">
        <f>GraphBacillus!$B$37*Bacillus!I71+GraphBacillus!$B$38</f>
        <v>-8.7636233350523618E-2</v>
      </c>
      <c r="T71" s="10">
        <f>GraphBacillus!$E$37*Bacillus!I71+GraphBacillus!$E$38</f>
        <v>4.3883253924340337E-2</v>
      </c>
      <c r="U71" s="10">
        <f>GraphBacillus!$I$37*Bacillus!I71+GraphBacillus!$I$38</f>
        <v>-0.31699317409233707</v>
      </c>
    </row>
    <row r="72" spans="1:21" x14ac:dyDescent="0.2">
      <c r="A72" s="2" t="s">
        <v>1236</v>
      </c>
      <c r="B72" s="2" t="s">
        <v>1237</v>
      </c>
      <c r="C72" s="1">
        <v>9818</v>
      </c>
      <c r="D72" s="1" t="s">
        <v>44</v>
      </c>
      <c r="E72" s="1" t="s">
        <v>933</v>
      </c>
      <c r="F72" s="19" t="s">
        <v>940</v>
      </c>
      <c r="G72" s="1">
        <v>0.96</v>
      </c>
      <c r="H72" s="5">
        <v>7.38</v>
      </c>
      <c r="I72" s="5">
        <v>110</v>
      </c>
      <c r="J72" s="9">
        <v>0.33</v>
      </c>
      <c r="K72" s="5">
        <v>10</v>
      </c>
      <c r="L72" s="9">
        <f t="shared" si="2"/>
        <v>-0.48148606012211248</v>
      </c>
      <c r="M72" s="11">
        <f>GraphBacillus!$B$10-(I72-GraphBacillus!$B$6)/GraphBacillus!$B$5</f>
        <v>-0.6034036833189852</v>
      </c>
      <c r="N72" s="1" t="s">
        <v>944</v>
      </c>
      <c r="O72">
        <v>1999</v>
      </c>
      <c r="S72" s="10">
        <f>GraphBacillus!$B$37*Bacillus!I72+GraphBacillus!$B$38</f>
        <v>-0.55404464197321435</v>
      </c>
      <c r="T72" s="10">
        <f>GraphBacillus!$E$37*Bacillus!I72+GraphBacillus!$E$38</f>
        <v>-0.39767601260308627</v>
      </c>
      <c r="U72" s="10">
        <f>GraphBacillus!$I$37*Bacillus!I72+GraphBacillus!$I$38</f>
        <v>-0.84536690001770243</v>
      </c>
    </row>
    <row r="73" spans="1:21" x14ac:dyDescent="0.2">
      <c r="A73" s="2" t="s">
        <v>1236</v>
      </c>
      <c r="B73" s="2" t="s">
        <v>1237</v>
      </c>
      <c r="C73" s="1">
        <v>9818</v>
      </c>
      <c r="D73" s="1" t="s">
        <v>44</v>
      </c>
      <c r="E73" s="1" t="s">
        <v>933</v>
      </c>
      <c r="F73" s="19" t="s">
        <v>940</v>
      </c>
      <c r="G73" s="1">
        <v>0.96</v>
      </c>
      <c r="H73" s="5">
        <v>7.38</v>
      </c>
      <c r="I73" s="5">
        <v>115</v>
      </c>
      <c r="J73" s="9">
        <v>0.11</v>
      </c>
      <c r="K73" s="5">
        <v>10</v>
      </c>
      <c r="L73" s="9">
        <f t="shared" si="2"/>
        <v>-0.95860731484177497</v>
      </c>
      <c r="M73" s="11">
        <f>GraphBacillus!$B$10-(I73-GraphBacillus!$B$6)/GraphBacillus!$B$5</f>
        <v>-0.99263971754677649</v>
      </c>
      <c r="N73" s="1" t="s">
        <v>944</v>
      </c>
      <c r="O73">
        <v>1999</v>
      </c>
      <c r="S73" s="10">
        <f>GraphBacillus!$B$37*Bacillus!I73+GraphBacillus!$B$38</f>
        <v>-0.88719350527513718</v>
      </c>
      <c r="T73" s="10">
        <f>GraphBacillus!$E$37*Bacillus!I73+GraphBacillus!$E$38</f>
        <v>-0.71307548869410553</v>
      </c>
      <c r="U73" s="10">
        <f>GraphBacillus!$I$37*Bacillus!I73+GraphBacillus!$I$38</f>
        <v>-1.2227767042501076</v>
      </c>
    </row>
    <row r="74" spans="1:21" x14ac:dyDescent="0.2">
      <c r="A74" s="2" t="s">
        <v>1236</v>
      </c>
      <c r="B74" s="2" t="s">
        <v>1237</v>
      </c>
      <c r="C74" s="1">
        <v>4342</v>
      </c>
      <c r="D74" s="1" t="s">
        <v>44</v>
      </c>
      <c r="E74" s="1" t="s">
        <v>933</v>
      </c>
      <c r="F74" s="19" t="s">
        <v>941</v>
      </c>
      <c r="G74" s="1">
        <v>0.9</v>
      </c>
      <c r="H74" s="5"/>
      <c r="I74" s="5">
        <v>98</v>
      </c>
      <c r="J74" s="9">
        <v>2.08</v>
      </c>
      <c r="K74" s="5">
        <v>8.6999999999999993</v>
      </c>
      <c r="L74" s="9">
        <f t="shared" si="2"/>
        <v>0.31806333496276157</v>
      </c>
      <c r="M74" s="11">
        <f>GraphBacillus!$B$10-(I74-GraphBacillus!$B$6)/GraphBacillus!$B$5</f>
        <v>0.33076279882771398</v>
      </c>
      <c r="N74" s="1" t="s">
        <v>944</v>
      </c>
      <c r="O74">
        <v>1999</v>
      </c>
      <c r="S74" s="10">
        <f>GraphBacillus!$B$37*Bacillus!I74+GraphBacillus!$B$38</f>
        <v>0.24551262995139833</v>
      </c>
      <c r="T74" s="10">
        <f>GraphBacillus!$E$37*Bacillus!I74+GraphBacillus!$E$38</f>
        <v>0.3592827300153596</v>
      </c>
      <c r="U74" s="10">
        <f>GraphBacillus!$I$37*Bacillus!I74+GraphBacillus!$I$38</f>
        <v>6.0416630140067262E-2</v>
      </c>
    </row>
    <row r="75" spans="1:21" x14ac:dyDescent="0.2">
      <c r="A75" s="2" t="s">
        <v>1236</v>
      </c>
      <c r="B75" s="2" t="s">
        <v>1237</v>
      </c>
      <c r="C75" s="1">
        <v>4342</v>
      </c>
      <c r="D75" s="1" t="s">
        <v>44</v>
      </c>
      <c r="E75" s="1" t="s">
        <v>933</v>
      </c>
      <c r="F75" s="19" t="s">
        <v>941</v>
      </c>
      <c r="G75" s="1">
        <v>0.9</v>
      </c>
      <c r="H75" s="5"/>
      <c r="I75" s="5">
        <v>100</v>
      </c>
      <c r="J75" s="9">
        <f>1.39</f>
        <v>1.39</v>
      </c>
      <c r="K75" s="5">
        <v>8.6999999999999993</v>
      </c>
      <c r="L75" s="9">
        <f t="shared" si="2"/>
        <v>0.14301480025409505</v>
      </c>
      <c r="M75" s="11">
        <f>GraphBacillus!$B$10-(I75-GraphBacillus!$B$6)/GraphBacillus!$B$5</f>
        <v>0.1750683851365975</v>
      </c>
      <c r="N75" s="1" t="s">
        <v>944</v>
      </c>
      <c r="O75">
        <v>1999</v>
      </c>
      <c r="S75" s="10">
        <f>GraphBacillus!$B$37*Bacillus!I75+GraphBacillus!$B$38</f>
        <v>0.11225308463062955</v>
      </c>
      <c r="T75" s="10">
        <f>GraphBacillus!$E$37*Bacillus!I75+GraphBacillus!$E$38</f>
        <v>0.23312293957895225</v>
      </c>
      <c r="U75" s="10">
        <f>GraphBacillus!$I$37*Bacillus!I75+GraphBacillus!$I$38</f>
        <v>-9.0547291552894649E-2</v>
      </c>
    </row>
    <row r="76" spans="1:21" x14ac:dyDescent="0.2">
      <c r="A76" s="2" t="s">
        <v>1236</v>
      </c>
      <c r="B76" s="2" t="s">
        <v>1237</v>
      </c>
      <c r="C76" s="1">
        <v>4342</v>
      </c>
      <c r="D76" s="1" t="s">
        <v>44</v>
      </c>
      <c r="E76" s="1" t="s">
        <v>933</v>
      </c>
      <c r="F76" s="19" t="s">
        <v>941</v>
      </c>
      <c r="G76" s="1">
        <v>0.9</v>
      </c>
      <c r="H76" s="5"/>
      <c r="I76" s="5">
        <v>106</v>
      </c>
      <c r="J76" s="9">
        <v>0.22</v>
      </c>
      <c r="K76" s="5">
        <v>8.6999999999999993</v>
      </c>
      <c r="L76" s="9">
        <f t="shared" si="2"/>
        <v>-0.65757731917779372</v>
      </c>
      <c r="M76" s="11">
        <f>GraphBacillus!$B$10-(I76-GraphBacillus!$B$6)/GraphBacillus!$B$5</f>
        <v>-0.29201485593675214</v>
      </c>
      <c r="N76" s="1" t="s">
        <v>944</v>
      </c>
      <c r="O76">
        <v>1999</v>
      </c>
      <c r="S76" s="10">
        <f>GraphBacillus!$B$37*Bacillus!I76+GraphBacillus!$B$38</f>
        <v>-0.28752555133167679</v>
      </c>
      <c r="T76" s="10">
        <f>GraphBacillus!$E$37*Bacillus!I76+GraphBacillus!$E$38</f>
        <v>-0.14535643173027069</v>
      </c>
      <c r="U76" s="10">
        <f>GraphBacillus!$I$37*Bacillus!I76+GraphBacillus!$I$38</f>
        <v>-0.54343905663178038</v>
      </c>
    </row>
    <row r="77" spans="1:21" x14ac:dyDescent="0.2">
      <c r="A77" s="2" t="s">
        <v>1236</v>
      </c>
      <c r="B77" s="2" t="s">
        <v>1237</v>
      </c>
      <c r="C77" s="1">
        <v>4342</v>
      </c>
      <c r="D77" s="1" t="s">
        <v>44</v>
      </c>
      <c r="E77" s="1" t="s">
        <v>933</v>
      </c>
      <c r="F77" s="19" t="s">
        <v>941</v>
      </c>
      <c r="G77" s="1">
        <v>0.9</v>
      </c>
      <c r="H77" s="5"/>
      <c r="I77" s="5">
        <v>110</v>
      </c>
      <c r="J77" s="9">
        <v>9.8000000000000004E-2</v>
      </c>
      <c r="K77" s="5">
        <v>8.6999999999999993</v>
      </c>
      <c r="L77" s="9">
        <f t="shared" si="2"/>
        <v>-1.0087739243075051</v>
      </c>
      <c r="M77" s="11">
        <f>GraphBacillus!$B$10-(I77-GraphBacillus!$B$6)/GraphBacillus!$B$5</f>
        <v>-0.6034036833189852</v>
      </c>
      <c r="N77" s="1" t="s">
        <v>944</v>
      </c>
      <c r="O77">
        <v>1999</v>
      </c>
      <c r="S77" s="10">
        <f>GraphBacillus!$B$37*Bacillus!I77+GraphBacillus!$B$38</f>
        <v>-0.55404464197321435</v>
      </c>
      <c r="T77" s="10">
        <f>GraphBacillus!$E$37*Bacillus!I77+GraphBacillus!$E$38</f>
        <v>-0.39767601260308627</v>
      </c>
      <c r="U77" s="10">
        <f>GraphBacillus!$I$37*Bacillus!I77+GraphBacillus!$I$38</f>
        <v>-0.84536690001770243</v>
      </c>
    </row>
    <row r="78" spans="1:21" x14ac:dyDescent="0.2">
      <c r="A78" s="2" t="s">
        <v>1236</v>
      </c>
      <c r="B78" s="2" t="s">
        <v>1237</v>
      </c>
      <c r="C78" s="1">
        <v>7004</v>
      </c>
      <c r="D78" s="1" t="s">
        <v>44</v>
      </c>
      <c r="E78" s="1" t="s">
        <v>933</v>
      </c>
      <c r="F78" s="19" t="s">
        <v>941</v>
      </c>
      <c r="G78" s="1">
        <v>0.9</v>
      </c>
      <c r="H78" s="5"/>
      <c r="I78" s="5">
        <v>92</v>
      </c>
      <c r="J78" s="9">
        <v>5.28</v>
      </c>
      <c r="K78" s="5">
        <v>8.5</v>
      </c>
      <c r="L78" s="9">
        <f t="shared" si="2"/>
        <v>0.72263392253381231</v>
      </c>
      <c r="M78" s="11">
        <f>GraphBacillus!$B$10-(I78-GraphBacillus!$B$6)/GraphBacillus!$B$5</f>
        <v>0.79784603990106362</v>
      </c>
      <c r="N78" s="1" t="s">
        <v>944</v>
      </c>
      <c r="O78">
        <v>1999</v>
      </c>
      <c r="S78" s="10">
        <f>GraphBacillus!$B$37*Bacillus!I78+GraphBacillus!$B$38</f>
        <v>0.64529126591370467</v>
      </c>
      <c r="T78" s="10">
        <f>GraphBacillus!$E$37*Bacillus!I78+GraphBacillus!$E$38</f>
        <v>0.73776210132458253</v>
      </c>
      <c r="U78" s="10">
        <f>GraphBacillus!$I$37*Bacillus!I78+GraphBacillus!$I$38</f>
        <v>0.51330839521895211</v>
      </c>
    </row>
    <row r="79" spans="1:21" x14ac:dyDescent="0.2">
      <c r="A79" s="2" t="s">
        <v>1236</v>
      </c>
      <c r="B79" s="2" t="s">
        <v>1237</v>
      </c>
      <c r="C79" s="1">
        <v>7004</v>
      </c>
      <c r="D79" s="1" t="s">
        <v>44</v>
      </c>
      <c r="E79" s="1" t="s">
        <v>933</v>
      </c>
      <c r="F79" s="19" t="s">
        <v>941</v>
      </c>
      <c r="G79" s="1">
        <v>0.9</v>
      </c>
      <c r="H79" s="5"/>
      <c r="I79" s="5">
        <v>96</v>
      </c>
      <c r="J79" s="9">
        <v>1.2</v>
      </c>
      <c r="K79" s="5">
        <v>8.5</v>
      </c>
      <c r="L79" s="9">
        <f t="shared" si="2"/>
        <v>7.9181246047624818E-2</v>
      </c>
      <c r="M79" s="11">
        <f>GraphBacillus!$B$10-(I79-GraphBacillus!$B$6)/GraphBacillus!$B$5</f>
        <v>0.48645721251883067</v>
      </c>
      <c r="N79" s="1" t="s">
        <v>944</v>
      </c>
      <c r="O79">
        <v>1999</v>
      </c>
      <c r="S79" s="10">
        <f>GraphBacillus!$B$37*Bacillus!I79+GraphBacillus!$B$38</f>
        <v>0.37877217527216711</v>
      </c>
      <c r="T79" s="10">
        <f>GraphBacillus!$E$37*Bacillus!I79+GraphBacillus!$E$38</f>
        <v>0.48544252045176783</v>
      </c>
      <c r="U79" s="10">
        <f>GraphBacillus!$I$37*Bacillus!I79+GraphBacillus!$I$38</f>
        <v>0.21138055183302829</v>
      </c>
    </row>
    <row r="80" spans="1:21" x14ac:dyDescent="0.2">
      <c r="A80" s="2" t="s">
        <v>1236</v>
      </c>
      <c r="B80" s="2" t="s">
        <v>1237</v>
      </c>
      <c r="C80" s="1">
        <v>7004</v>
      </c>
      <c r="D80" s="1" t="s">
        <v>44</v>
      </c>
      <c r="E80" s="1" t="s">
        <v>933</v>
      </c>
      <c r="F80" s="19" t="s">
        <v>941</v>
      </c>
      <c r="G80" s="1">
        <v>0.9</v>
      </c>
      <c r="H80" s="5"/>
      <c r="I80" s="5">
        <v>100</v>
      </c>
      <c r="J80" s="9">
        <f>0.44</f>
        <v>0.44</v>
      </c>
      <c r="K80" s="5">
        <v>8.5</v>
      </c>
      <c r="L80" s="9">
        <f t="shared" si="2"/>
        <v>-0.35654732351381258</v>
      </c>
      <c r="M80" s="11">
        <f>GraphBacillus!$B$10-(I80-GraphBacillus!$B$6)/GraphBacillus!$B$5</f>
        <v>0.1750683851365975</v>
      </c>
      <c r="N80" s="1" t="s">
        <v>944</v>
      </c>
      <c r="O80">
        <v>1999</v>
      </c>
      <c r="S80" s="10">
        <f>GraphBacillus!$B$37*Bacillus!I80+GraphBacillus!$B$38</f>
        <v>0.11225308463062955</v>
      </c>
      <c r="T80" s="10">
        <f>GraphBacillus!$E$37*Bacillus!I80+GraphBacillus!$E$38</f>
        <v>0.23312293957895225</v>
      </c>
      <c r="U80" s="10">
        <f>GraphBacillus!$I$37*Bacillus!I80+GraphBacillus!$I$38</f>
        <v>-9.0547291552894649E-2</v>
      </c>
    </row>
    <row r="81" spans="1:21" x14ac:dyDescent="0.2">
      <c r="A81" s="2" t="s">
        <v>1236</v>
      </c>
      <c r="B81" s="2" t="s">
        <v>1237</v>
      </c>
      <c r="C81" s="1">
        <v>7004</v>
      </c>
      <c r="D81" s="1" t="s">
        <v>44</v>
      </c>
      <c r="E81" s="1" t="s">
        <v>933</v>
      </c>
      <c r="F81" s="19" t="s">
        <v>941</v>
      </c>
      <c r="G81" s="1">
        <v>0.9</v>
      </c>
      <c r="H81" s="5"/>
      <c r="I81" s="5">
        <v>106</v>
      </c>
      <c r="J81" s="9">
        <v>0.11</v>
      </c>
      <c r="K81" s="5">
        <v>8.5</v>
      </c>
      <c r="L81" s="9">
        <f t="shared" si="2"/>
        <v>-0.95860731484177497</v>
      </c>
      <c r="M81" s="11">
        <f>GraphBacillus!$B$10-(I81-GraphBacillus!$B$6)/GraphBacillus!$B$5</f>
        <v>-0.29201485593675214</v>
      </c>
      <c r="N81" s="1" t="s">
        <v>944</v>
      </c>
      <c r="O81">
        <v>1999</v>
      </c>
      <c r="S81" s="10">
        <f>GraphBacillus!$B$37*Bacillus!I81+GraphBacillus!$B$38</f>
        <v>-0.28752555133167679</v>
      </c>
      <c r="T81" s="10">
        <f>GraphBacillus!$E$37*Bacillus!I81+GraphBacillus!$E$38</f>
        <v>-0.14535643173027069</v>
      </c>
      <c r="U81" s="10">
        <f>GraphBacillus!$I$37*Bacillus!I81+GraphBacillus!$I$38</f>
        <v>-0.54343905663178038</v>
      </c>
    </row>
    <row r="82" spans="1:21" x14ac:dyDescent="0.2">
      <c r="A82" s="2" t="s">
        <v>1236</v>
      </c>
      <c r="B82" s="2" t="s">
        <v>1237</v>
      </c>
      <c r="C82" s="1">
        <v>9818</v>
      </c>
      <c r="D82" s="1" t="s">
        <v>44</v>
      </c>
      <c r="E82" s="1" t="s">
        <v>933</v>
      </c>
      <c r="F82" s="19" t="s">
        <v>941</v>
      </c>
      <c r="G82" s="1">
        <v>0.9</v>
      </c>
      <c r="H82" s="5"/>
      <c r="I82" s="5">
        <v>100</v>
      </c>
      <c r="J82" s="9">
        <v>3.65</v>
      </c>
      <c r="K82" s="5">
        <v>10.1</v>
      </c>
      <c r="L82" s="9">
        <f t="shared" si="2"/>
        <v>0.56229286445647475</v>
      </c>
      <c r="M82" s="11">
        <f>GraphBacillus!$B$10-(I82-GraphBacillus!$B$6)/GraphBacillus!$B$5</f>
        <v>0.1750683851365975</v>
      </c>
      <c r="N82" s="1" t="s">
        <v>944</v>
      </c>
      <c r="O82">
        <v>1999</v>
      </c>
      <c r="S82" s="10">
        <f>GraphBacillus!$B$37*Bacillus!I82+GraphBacillus!$B$38</f>
        <v>0.11225308463062955</v>
      </c>
      <c r="T82" s="10">
        <f>GraphBacillus!$E$37*Bacillus!I82+GraphBacillus!$E$38</f>
        <v>0.23312293957895225</v>
      </c>
      <c r="U82" s="10">
        <f>GraphBacillus!$I$37*Bacillus!I82+GraphBacillus!$I$38</f>
        <v>-9.0547291552894649E-2</v>
      </c>
    </row>
    <row r="83" spans="1:21" x14ac:dyDescent="0.2">
      <c r="A83" s="2" t="s">
        <v>1236</v>
      </c>
      <c r="B83" s="2" t="s">
        <v>1237</v>
      </c>
      <c r="C83" s="1">
        <v>9818</v>
      </c>
      <c r="D83" s="1" t="s">
        <v>44</v>
      </c>
      <c r="E83" s="1" t="s">
        <v>933</v>
      </c>
      <c r="F83" s="19" t="s">
        <v>941</v>
      </c>
      <c r="G83" s="1">
        <v>0.9</v>
      </c>
      <c r="H83" s="5"/>
      <c r="I83" s="5">
        <v>103</v>
      </c>
      <c r="J83" s="9">
        <f>2.09</f>
        <v>2.09</v>
      </c>
      <c r="K83" s="5">
        <v>10.1</v>
      </c>
      <c r="L83" s="9">
        <f t="shared" si="2"/>
        <v>0.32014628611105395</v>
      </c>
      <c r="M83" s="11">
        <f>GraphBacillus!$B$10-(I83-GraphBacillus!$B$6)/GraphBacillus!$B$5</f>
        <v>-5.8473235400077428E-2</v>
      </c>
      <c r="N83" s="1" t="s">
        <v>944</v>
      </c>
      <c r="O83">
        <v>1999</v>
      </c>
      <c r="S83" s="10">
        <f>GraphBacillus!$B$37*Bacillus!I83+GraphBacillus!$B$38</f>
        <v>-8.7636233350523618E-2</v>
      </c>
      <c r="T83" s="10">
        <f>GraphBacillus!$E$37*Bacillus!I83+GraphBacillus!$E$38</f>
        <v>4.3883253924340337E-2</v>
      </c>
      <c r="U83" s="10">
        <f>GraphBacillus!$I$37*Bacillus!I83+GraphBacillus!$I$38</f>
        <v>-0.31699317409233707</v>
      </c>
    </row>
    <row r="84" spans="1:21" x14ac:dyDescent="0.2">
      <c r="A84" s="2" t="s">
        <v>1236</v>
      </c>
      <c r="B84" s="2" t="s">
        <v>1237</v>
      </c>
      <c r="C84" s="1">
        <v>9818</v>
      </c>
      <c r="D84" s="1" t="s">
        <v>44</v>
      </c>
      <c r="E84" s="1" t="s">
        <v>933</v>
      </c>
      <c r="F84" s="19" t="s">
        <v>941</v>
      </c>
      <c r="G84" s="1">
        <v>0.9</v>
      </c>
      <c r="H84" s="5"/>
      <c r="I84" s="5">
        <v>110</v>
      </c>
      <c r="J84" s="9">
        <v>0.42</v>
      </c>
      <c r="K84" s="5">
        <v>10.1</v>
      </c>
      <c r="L84" s="9">
        <f t="shared" si="2"/>
        <v>-0.37675070960209955</v>
      </c>
      <c r="M84" s="11">
        <f>GraphBacillus!$B$10-(I84-GraphBacillus!$B$6)/GraphBacillus!$B$5</f>
        <v>-0.6034036833189852</v>
      </c>
      <c r="N84" s="1" t="s">
        <v>944</v>
      </c>
      <c r="O84">
        <v>1999</v>
      </c>
      <c r="S84" s="10">
        <f>GraphBacillus!$B$37*Bacillus!I84+GraphBacillus!$B$38</f>
        <v>-0.55404464197321435</v>
      </c>
      <c r="T84" s="10">
        <f>GraphBacillus!$E$37*Bacillus!I84+GraphBacillus!$E$38</f>
        <v>-0.39767601260308627</v>
      </c>
      <c r="U84" s="10">
        <f>GraphBacillus!$I$37*Bacillus!I84+GraphBacillus!$I$38</f>
        <v>-0.84536690001770243</v>
      </c>
    </row>
    <row r="85" spans="1:21" x14ac:dyDescent="0.2">
      <c r="A85" s="2" t="s">
        <v>1236</v>
      </c>
      <c r="B85" s="2" t="s">
        <v>1237</v>
      </c>
      <c r="C85" s="1">
        <v>9818</v>
      </c>
      <c r="D85" s="1" t="s">
        <v>44</v>
      </c>
      <c r="E85" s="1" t="s">
        <v>933</v>
      </c>
      <c r="F85" s="19" t="s">
        <v>941</v>
      </c>
      <c r="G85" s="1">
        <v>0.9</v>
      </c>
      <c r="H85" s="5"/>
      <c r="I85" s="5">
        <v>115</v>
      </c>
      <c r="J85" s="9">
        <v>0.12</v>
      </c>
      <c r="K85" s="5">
        <v>10.1</v>
      </c>
      <c r="L85" s="9">
        <f t="shared" si="2"/>
        <v>-0.92081875395237522</v>
      </c>
      <c r="M85" s="11">
        <f>GraphBacillus!$B$10-(I85-GraphBacillus!$B$6)/GraphBacillus!$B$5</f>
        <v>-0.99263971754677649</v>
      </c>
      <c r="N85" s="1" t="s">
        <v>944</v>
      </c>
      <c r="O85">
        <v>1999</v>
      </c>
      <c r="S85" s="10">
        <f>GraphBacillus!$B$37*Bacillus!I85+GraphBacillus!$B$38</f>
        <v>-0.88719350527513718</v>
      </c>
      <c r="T85" s="10">
        <f>GraphBacillus!$E$37*Bacillus!I85+GraphBacillus!$E$38</f>
        <v>-0.71307548869410553</v>
      </c>
      <c r="U85" s="10">
        <f>GraphBacillus!$I$37*Bacillus!I85+GraphBacillus!$I$38</f>
        <v>-1.2227767042501076</v>
      </c>
    </row>
    <row r="86" spans="1:21" x14ac:dyDescent="0.2">
      <c r="A86" s="2" t="s">
        <v>1236</v>
      </c>
      <c r="B86" s="2" t="s">
        <v>1237</v>
      </c>
      <c r="C86" s="1">
        <v>4342</v>
      </c>
      <c r="D86" s="1" t="s">
        <v>44</v>
      </c>
      <c r="E86" s="1" t="s">
        <v>933</v>
      </c>
      <c r="F86" s="19" t="s">
        <v>942</v>
      </c>
      <c r="G86" s="1">
        <v>0.83</v>
      </c>
      <c r="H86" s="5"/>
      <c r="I86" s="5">
        <v>100</v>
      </c>
      <c r="J86" s="9">
        <f>5.71</f>
        <v>5.71</v>
      </c>
      <c r="K86" s="5">
        <v>8</v>
      </c>
      <c r="L86" s="9">
        <f t="shared" si="2"/>
        <v>0.75663610824584804</v>
      </c>
      <c r="M86" s="11">
        <f>GraphBacillus!$B$10-(I86-GraphBacillus!$B$6)/GraphBacillus!$B$5</f>
        <v>0.1750683851365975</v>
      </c>
      <c r="N86" s="1" t="s">
        <v>944</v>
      </c>
      <c r="O86">
        <v>1999</v>
      </c>
      <c r="S86" s="10">
        <f>GraphBacillus!$B$37*Bacillus!I86+GraphBacillus!$B$38</f>
        <v>0.11225308463062955</v>
      </c>
      <c r="T86" s="10">
        <f>GraphBacillus!$E$37*Bacillus!I86+GraphBacillus!$E$38</f>
        <v>0.23312293957895225</v>
      </c>
      <c r="U86" s="10">
        <f>GraphBacillus!$I$37*Bacillus!I86+GraphBacillus!$I$38</f>
        <v>-9.0547291552894649E-2</v>
      </c>
    </row>
    <row r="87" spans="1:21" x14ac:dyDescent="0.2">
      <c r="A87" s="2" t="s">
        <v>1236</v>
      </c>
      <c r="B87" s="2" t="s">
        <v>1237</v>
      </c>
      <c r="C87" s="1">
        <v>4342</v>
      </c>
      <c r="D87" s="1" t="s">
        <v>44</v>
      </c>
      <c r="E87" s="1" t="s">
        <v>933</v>
      </c>
      <c r="F87" s="19" t="s">
        <v>942</v>
      </c>
      <c r="G87" s="1">
        <v>0.83</v>
      </c>
      <c r="H87" s="5"/>
      <c r="I87" s="5">
        <v>106</v>
      </c>
      <c r="J87" s="9">
        <v>1.19</v>
      </c>
      <c r="K87" s="5">
        <v>8</v>
      </c>
      <c r="L87" s="9">
        <f t="shared" si="2"/>
        <v>7.554696139253074E-2</v>
      </c>
      <c r="M87" s="11">
        <f>GraphBacillus!$B$10-(I87-GraphBacillus!$B$6)/GraphBacillus!$B$5</f>
        <v>-0.29201485593675214</v>
      </c>
      <c r="N87" s="1" t="s">
        <v>944</v>
      </c>
      <c r="O87">
        <v>1999</v>
      </c>
      <c r="S87" s="10">
        <f>GraphBacillus!$B$37*Bacillus!I87+GraphBacillus!$B$38</f>
        <v>-0.28752555133167679</v>
      </c>
      <c r="T87" s="10">
        <f>GraphBacillus!$E$37*Bacillus!I87+GraphBacillus!$E$38</f>
        <v>-0.14535643173027069</v>
      </c>
      <c r="U87" s="10">
        <f>GraphBacillus!$I$37*Bacillus!I87+GraphBacillus!$I$38</f>
        <v>-0.54343905663178038</v>
      </c>
    </row>
    <row r="88" spans="1:21" x14ac:dyDescent="0.2">
      <c r="A88" s="2" t="s">
        <v>1236</v>
      </c>
      <c r="B88" s="2" t="s">
        <v>1237</v>
      </c>
      <c r="C88" s="1">
        <v>4342</v>
      </c>
      <c r="D88" s="1" t="s">
        <v>44</v>
      </c>
      <c r="E88" s="1" t="s">
        <v>933</v>
      </c>
      <c r="F88" s="19" t="s">
        <v>942</v>
      </c>
      <c r="G88" s="1">
        <v>0.83</v>
      </c>
      <c r="H88" s="5"/>
      <c r="I88" s="5">
        <v>110</v>
      </c>
      <c r="J88" s="9">
        <v>0.34</v>
      </c>
      <c r="K88" s="5">
        <v>8</v>
      </c>
      <c r="L88" s="9">
        <f t="shared" si="2"/>
        <v>-0.46852108295774486</v>
      </c>
      <c r="M88" s="11">
        <f>GraphBacillus!$B$10-(I88-GraphBacillus!$B$6)/GraphBacillus!$B$5</f>
        <v>-0.6034036833189852</v>
      </c>
      <c r="N88" s="1" t="s">
        <v>944</v>
      </c>
      <c r="O88">
        <v>1999</v>
      </c>
      <c r="S88" s="10">
        <f>GraphBacillus!$B$37*Bacillus!I88+GraphBacillus!$B$38</f>
        <v>-0.55404464197321435</v>
      </c>
      <c r="T88" s="10">
        <f>GraphBacillus!$E$37*Bacillus!I88+GraphBacillus!$E$38</f>
        <v>-0.39767601260308627</v>
      </c>
      <c r="U88" s="10">
        <f>GraphBacillus!$I$37*Bacillus!I88+GraphBacillus!$I$38</f>
        <v>-0.84536690001770243</v>
      </c>
    </row>
    <row r="89" spans="1:21" x14ac:dyDescent="0.2">
      <c r="A89" s="2" t="s">
        <v>1236</v>
      </c>
      <c r="B89" s="2" t="s">
        <v>1237</v>
      </c>
      <c r="C89" s="1">
        <v>4342</v>
      </c>
      <c r="D89" s="1" t="s">
        <v>44</v>
      </c>
      <c r="E89" s="1" t="s">
        <v>933</v>
      </c>
      <c r="F89" s="19" t="s">
        <v>942</v>
      </c>
      <c r="G89" s="1">
        <v>0.83</v>
      </c>
      <c r="H89" s="5"/>
      <c r="I89" s="5">
        <v>115</v>
      </c>
      <c r="J89" s="9">
        <v>7.9000000000000001E-2</v>
      </c>
      <c r="K89" s="5">
        <v>8</v>
      </c>
      <c r="L89" s="9">
        <f t="shared" si="2"/>
        <v>-1.1023729087095586</v>
      </c>
      <c r="M89" s="11">
        <f>GraphBacillus!$B$10-(I89-GraphBacillus!$B$6)/GraphBacillus!$B$5</f>
        <v>-0.99263971754677649</v>
      </c>
      <c r="N89" s="1" t="s">
        <v>944</v>
      </c>
      <c r="O89">
        <v>1999</v>
      </c>
      <c r="S89" s="10">
        <f>GraphBacillus!$B$37*Bacillus!I89+GraphBacillus!$B$38</f>
        <v>-0.88719350527513718</v>
      </c>
      <c r="T89" s="10">
        <f>GraphBacillus!$E$37*Bacillus!I89+GraphBacillus!$E$38</f>
        <v>-0.71307548869410553</v>
      </c>
      <c r="U89" s="10">
        <f>GraphBacillus!$I$37*Bacillus!I89+GraphBacillus!$I$38</f>
        <v>-1.2227767042501076</v>
      </c>
    </row>
    <row r="90" spans="1:21" x14ac:dyDescent="0.2">
      <c r="A90" s="2" t="s">
        <v>1236</v>
      </c>
      <c r="B90" s="2" t="s">
        <v>1237</v>
      </c>
      <c r="C90" s="1">
        <v>7004</v>
      </c>
      <c r="D90" s="1" t="s">
        <v>44</v>
      </c>
      <c r="E90" s="1" t="s">
        <v>933</v>
      </c>
      <c r="F90" s="19" t="s">
        <v>942</v>
      </c>
      <c r="G90" s="1">
        <v>0.83</v>
      </c>
      <c r="H90" s="5"/>
      <c r="I90" s="5">
        <v>96</v>
      </c>
      <c r="J90" s="9">
        <v>6.13</v>
      </c>
      <c r="K90" s="5">
        <v>9</v>
      </c>
      <c r="L90" s="9">
        <f t="shared" si="2"/>
        <v>0.78746047451841505</v>
      </c>
      <c r="M90" s="11">
        <f>GraphBacillus!$B$10-(I90-GraphBacillus!$B$6)/GraphBacillus!$B$5</f>
        <v>0.48645721251883067</v>
      </c>
      <c r="N90" s="1" t="s">
        <v>944</v>
      </c>
      <c r="O90">
        <v>1999</v>
      </c>
      <c r="S90" s="10">
        <f>GraphBacillus!$B$37*Bacillus!I90+GraphBacillus!$B$38</f>
        <v>0.37877217527216711</v>
      </c>
      <c r="T90" s="10">
        <f>GraphBacillus!$E$37*Bacillus!I90+GraphBacillus!$E$38</f>
        <v>0.48544252045176783</v>
      </c>
      <c r="U90" s="10">
        <f>GraphBacillus!$I$37*Bacillus!I90+GraphBacillus!$I$38</f>
        <v>0.21138055183302829</v>
      </c>
    </row>
    <row r="91" spans="1:21" x14ac:dyDescent="0.2">
      <c r="A91" s="2" t="s">
        <v>1236</v>
      </c>
      <c r="B91" s="2" t="s">
        <v>1237</v>
      </c>
      <c r="C91" s="1">
        <v>7004</v>
      </c>
      <c r="D91" s="1" t="s">
        <v>44</v>
      </c>
      <c r="E91" s="1" t="s">
        <v>933</v>
      </c>
      <c r="F91" s="19" t="s">
        <v>942</v>
      </c>
      <c r="G91" s="1">
        <v>0.83</v>
      </c>
      <c r="H91" s="5"/>
      <c r="I91" s="5">
        <v>100</v>
      </c>
      <c r="J91" s="9">
        <f>2.17</f>
        <v>2.17</v>
      </c>
      <c r="K91" s="5">
        <v>9</v>
      </c>
      <c r="L91" s="9">
        <f t="shared" si="2"/>
        <v>0.33645973384852951</v>
      </c>
      <c r="M91" s="11">
        <f>GraphBacillus!$B$10-(I91-GraphBacillus!$B$6)/GraphBacillus!$B$5</f>
        <v>0.1750683851365975</v>
      </c>
      <c r="N91" s="1" t="s">
        <v>944</v>
      </c>
      <c r="O91">
        <v>1999</v>
      </c>
      <c r="S91" s="10">
        <f>GraphBacillus!$B$37*Bacillus!I91+GraphBacillus!$B$38</f>
        <v>0.11225308463062955</v>
      </c>
      <c r="T91" s="10">
        <f>GraphBacillus!$E$37*Bacillus!I91+GraphBacillus!$E$38</f>
        <v>0.23312293957895225</v>
      </c>
      <c r="U91" s="10">
        <f>GraphBacillus!$I$37*Bacillus!I91+GraphBacillus!$I$38</f>
        <v>-9.0547291552894649E-2</v>
      </c>
    </row>
    <row r="92" spans="1:21" x14ac:dyDescent="0.2">
      <c r="A92" s="2" t="s">
        <v>1236</v>
      </c>
      <c r="B92" s="2" t="s">
        <v>1237</v>
      </c>
      <c r="C92" s="1">
        <v>7004</v>
      </c>
      <c r="D92" s="1" t="s">
        <v>44</v>
      </c>
      <c r="E92" s="1" t="s">
        <v>933</v>
      </c>
      <c r="F92" s="19" t="s">
        <v>942</v>
      </c>
      <c r="G92" s="1">
        <v>0.83</v>
      </c>
      <c r="H92" s="5"/>
      <c r="I92" s="5">
        <v>106</v>
      </c>
      <c r="J92" s="9">
        <v>0.51</v>
      </c>
      <c r="K92" s="5">
        <v>9</v>
      </c>
      <c r="L92" s="9">
        <f t="shared" si="2"/>
        <v>-0.29242982390206362</v>
      </c>
      <c r="M92" s="11">
        <f>GraphBacillus!$B$10-(I92-GraphBacillus!$B$6)/GraphBacillus!$B$5</f>
        <v>-0.29201485593675214</v>
      </c>
      <c r="N92" s="1" t="s">
        <v>944</v>
      </c>
      <c r="O92">
        <v>1999</v>
      </c>
      <c r="S92" s="10">
        <f>GraphBacillus!$B$37*Bacillus!I92+GraphBacillus!$B$38</f>
        <v>-0.28752555133167679</v>
      </c>
      <c r="T92" s="10">
        <f>GraphBacillus!$E$37*Bacillus!I92+GraphBacillus!$E$38</f>
        <v>-0.14535643173027069</v>
      </c>
      <c r="U92" s="10">
        <f>GraphBacillus!$I$37*Bacillus!I92+GraphBacillus!$I$38</f>
        <v>-0.54343905663178038</v>
      </c>
    </row>
    <row r="93" spans="1:21" x14ac:dyDescent="0.2">
      <c r="A93" s="2" t="s">
        <v>1236</v>
      </c>
      <c r="B93" s="2" t="s">
        <v>1237</v>
      </c>
      <c r="C93" s="1">
        <v>7004</v>
      </c>
      <c r="D93" s="1" t="s">
        <v>44</v>
      </c>
      <c r="E93" s="1" t="s">
        <v>933</v>
      </c>
      <c r="F93" s="19" t="s">
        <v>942</v>
      </c>
      <c r="G93" s="1">
        <v>0.83</v>
      </c>
      <c r="H93" s="5"/>
      <c r="I93" s="5">
        <v>110</v>
      </c>
      <c r="J93" s="9">
        <v>0.17</v>
      </c>
      <c r="K93" s="5">
        <v>9</v>
      </c>
      <c r="L93" s="9">
        <f t="shared" si="2"/>
        <v>-0.769551078621726</v>
      </c>
      <c r="M93" s="11">
        <f>GraphBacillus!$B$10-(I93-GraphBacillus!$B$6)/GraphBacillus!$B$5</f>
        <v>-0.6034036833189852</v>
      </c>
      <c r="N93" s="1" t="s">
        <v>944</v>
      </c>
      <c r="O93">
        <v>1999</v>
      </c>
      <c r="S93" s="10">
        <f>GraphBacillus!$B$37*Bacillus!I93+GraphBacillus!$B$38</f>
        <v>-0.55404464197321435</v>
      </c>
      <c r="T93" s="10">
        <f>GraphBacillus!$E$37*Bacillus!I93+GraphBacillus!$E$38</f>
        <v>-0.39767601260308627</v>
      </c>
      <c r="U93" s="10">
        <f>GraphBacillus!$I$37*Bacillus!I93+GraphBacillus!$I$38</f>
        <v>-0.84536690001770243</v>
      </c>
    </row>
    <row r="94" spans="1:21" x14ac:dyDescent="0.2">
      <c r="A94" s="2" t="s">
        <v>1236</v>
      </c>
      <c r="B94" s="2" t="s">
        <v>1237</v>
      </c>
      <c r="C94" s="1">
        <v>9818</v>
      </c>
      <c r="D94" s="1" t="s">
        <v>44</v>
      </c>
      <c r="E94" s="1" t="s">
        <v>933</v>
      </c>
      <c r="F94" s="19" t="s">
        <v>942</v>
      </c>
      <c r="G94" s="1">
        <v>0.83</v>
      </c>
      <c r="H94" s="5"/>
      <c r="I94" s="5">
        <v>103</v>
      </c>
      <c r="J94" s="11">
        <f>14.75</f>
        <v>14.75</v>
      </c>
      <c r="K94" s="5">
        <v>10.199999999999999</v>
      </c>
      <c r="L94" s="9">
        <f t="shared" si="2"/>
        <v>1.1687920203141817</v>
      </c>
      <c r="M94" s="11">
        <f>GraphBacillus!$B$10-(I94-GraphBacillus!$B$6)/GraphBacillus!$B$5</f>
        <v>-5.8473235400077428E-2</v>
      </c>
      <c r="N94" s="1" t="s">
        <v>944</v>
      </c>
      <c r="O94">
        <v>1999</v>
      </c>
      <c r="S94" s="10">
        <f>GraphBacillus!$B$37*Bacillus!I94+GraphBacillus!$B$38</f>
        <v>-8.7636233350523618E-2</v>
      </c>
      <c r="T94" s="10">
        <f>GraphBacillus!$E$37*Bacillus!I94+GraphBacillus!$E$38</f>
        <v>4.3883253924340337E-2</v>
      </c>
      <c r="U94" s="10">
        <f>GraphBacillus!$I$37*Bacillus!I94+GraphBacillus!$I$38</f>
        <v>-0.31699317409233707</v>
      </c>
    </row>
    <row r="95" spans="1:21" x14ac:dyDescent="0.2">
      <c r="A95" s="2" t="s">
        <v>1236</v>
      </c>
      <c r="B95" s="2" t="s">
        <v>1237</v>
      </c>
      <c r="C95" s="1">
        <v>9818</v>
      </c>
      <c r="D95" s="1" t="s">
        <v>44</v>
      </c>
      <c r="E95" s="1" t="s">
        <v>933</v>
      </c>
      <c r="F95" s="19" t="s">
        <v>942</v>
      </c>
      <c r="G95" s="1">
        <v>0.83</v>
      </c>
      <c r="H95" s="5"/>
      <c r="I95" s="5">
        <v>110</v>
      </c>
      <c r="J95" s="11">
        <v>2.78</v>
      </c>
      <c r="K95" s="5">
        <v>10.199999999999999</v>
      </c>
      <c r="L95" s="9">
        <f t="shared" si="2"/>
        <v>0.44404479591807622</v>
      </c>
      <c r="M95" s="11">
        <f>GraphBacillus!$B$10-(I95-GraphBacillus!$B$6)/GraphBacillus!$B$5</f>
        <v>-0.6034036833189852</v>
      </c>
      <c r="N95" s="1" t="s">
        <v>944</v>
      </c>
      <c r="O95">
        <v>1999</v>
      </c>
      <c r="S95" s="10">
        <f>GraphBacillus!$B$37*Bacillus!I95+GraphBacillus!$B$38</f>
        <v>-0.55404464197321435</v>
      </c>
      <c r="T95" s="10">
        <f>GraphBacillus!$E$37*Bacillus!I95+GraphBacillus!$E$38</f>
        <v>-0.39767601260308627</v>
      </c>
      <c r="U95" s="10">
        <f>GraphBacillus!$I$37*Bacillus!I95+GraphBacillus!$I$38</f>
        <v>-0.84536690001770243</v>
      </c>
    </row>
    <row r="96" spans="1:21" x14ac:dyDescent="0.2">
      <c r="A96" s="2" t="s">
        <v>1236</v>
      </c>
      <c r="B96" s="2" t="s">
        <v>1237</v>
      </c>
      <c r="C96" s="1">
        <v>9818</v>
      </c>
      <c r="D96" s="1" t="s">
        <v>44</v>
      </c>
      <c r="E96" s="1" t="s">
        <v>933</v>
      </c>
      <c r="F96" s="19" t="s">
        <v>942</v>
      </c>
      <c r="G96" s="1">
        <v>0.83</v>
      </c>
      <c r="H96" s="5"/>
      <c r="I96" s="5">
        <v>115</v>
      </c>
      <c r="J96" s="11">
        <v>1.1299999999999999</v>
      </c>
      <c r="K96" s="5">
        <v>10.199999999999999</v>
      </c>
      <c r="L96" s="9">
        <f t="shared" si="2"/>
        <v>5.3078443483419682E-2</v>
      </c>
      <c r="M96" s="11">
        <f>GraphBacillus!$B$10-(I96-GraphBacillus!$B$6)/GraphBacillus!$B$5</f>
        <v>-0.99263971754677649</v>
      </c>
      <c r="N96" s="1" t="s">
        <v>944</v>
      </c>
      <c r="O96">
        <v>1999</v>
      </c>
      <c r="S96" s="10">
        <f>GraphBacillus!$B$37*Bacillus!I96+GraphBacillus!$B$38</f>
        <v>-0.88719350527513718</v>
      </c>
      <c r="T96" s="10">
        <f>GraphBacillus!$E$37*Bacillus!I96+GraphBacillus!$E$38</f>
        <v>-0.71307548869410553</v>
      </c>
      <c r="U96" s="10">
        <f>GraphBacillus!$I$37*Bacillus!I96+GraphBacillus!$I$38</f>
        <v>-1.2227767042501076</v>
      </c>
    </row>
    <row r="97" spans="1:21" x14ac:dyDescent="0.2">
      <c r="A97" s="2" t="s">
        <v>1236</v>
      </c>
      <c r="B97" s="2" t="s">
        <v>1237</v>
      </c>
      <c r="C97" s="1">
        <v>9818</v>
      </c>
      <c r="D97" s="1" t="s">
        <v>44</v>
      </c>
      <c r="E97" s="1" t="s">
        <v>933</v>
      </c>
      <c r="F97" s="19" t="s">
        <v>942</v>
      </c>
      <c r="G97" s="1">
        <v>0.83</v>
      </c>
      <c r="H97" s="5"/>
      <c r="I97" s="5">
        <v>120</v>
      </c>
      <c r="J97" s="11">
        <v>0.28999999999999998</v>
      </c>
      <c r="K97" s="5">
        <v>10.199999999999999</v>
      </c>
      <c r="L97" s="9">
        <f t="shared" si="2"/>
        <v>-0.53760200210104392</v>
      </c>
      <c r="M97" s="11">
        <f>GraphBacillus!$B$10-(I97-GraphBacillus!$B$6)/GraphBacillus!$B$5</f>
        <v>-1.3818757517745679</v>
      </c>
      <c r="N97" s="1" t="s">
        <v>944</v>
      </c>
      <c r="O97">
        <v>1999</v>
      </c>
      <c r="S97" s="10">
        <f>GraphBacillus!$B$37*Bacillus!I97+GraphBacillus!$B$38</f>
        <v>-1.2203423685770591</v>
      </c>
      <c r="T97" s="10">
        <f>GraphBacillus!$E$37*Bacillus!I97+GraphBacillus!$E$38</f>
        <v>-1.0284749647851248</v>
      </c>
      <c r="U97" s="10">
        <f>GraphBacillus!$I$37*Bacillus!I97+GraphBacillus!$I$38</f>
        <v>-1.6001865084825111</v>
      </c>
    </row>
    <row r="98" spans="1:21" x14ac:dyDescent="0.2">
      <c r="A98" s="2" t="s">
        <v>1236</v>
      </c>
      <c r="B98" s="2" t="s">
        <v>1237</v>
      </c>
      <c r="C98" s="1">
        <v>4342</v>
      </c>
      <c r="D98" s="1" t="s">
        <v>44</v>
      </c>
      <c r="E98" s="1" t="s">
        <v>933</v>
      </c>
      <c r="F98" s="19" t="s">
        <v>943</v>
      </c>
      <c r="G98" s="1">
        <v>0.71</v>
      </c>
      <c r="H98" s="5">
        <v>7.02</v>
      </c>
      <c r="I98" s="5">
        <v>100</v>
      </c>
      <c r="J98" s="9">
        <f>21.4</f>
        <v>21.4</v>
      </c>
      <c r="K98" s="5">
        <v>7.8</v>
      </c>
      <c r="L98" s="9">
        <f t="shared" si="2"/>
        <v>1.3304137733491908</v>
      </c>
      <c r="M98" s="11">
        <f>GraphBacillus!$B$10-(I98-GraphBacillus!$B$6)/GraphBacillus!$B$5</f>
        <v>0.1750683851365975</v>
      </c>
      <c r="N98" s="1" t="s">
        <v>944</v>
      </c>
      <c r="O98">
        <v>1999</v>
      </c>
      <c r="S98" s="10">
        <f>GraphBacillus!$B$37*Bacillus!I98+GraphBacillus!$B$38</f>
        <v>0.11225308463062955</v>
      </c>
      <c r="T98" s="10">
        <f>GraphBacillus!$E$37*Bacillus!I98+GraphBacillus!$E$38</f>
        <v>0.23312293957895225</v>
      </c>
      <c r="U98" s="10">
        <f>GraphBacillus!$I$37*Bacillus!I98+GraphBacillus!$I$38</f>
        <v>-9.0547291552894649E-2</v>
      </c>
    </row>
    <row r="99" spans="1:21" x14ac:dyDescent="0.2">
      <c r="A99" s="2" t="s">
        <v>1236</v>
      </c>
      <c r="B99" s="2" t="s">
        <v>1237</v>
      </c>
      <c r="C99" s="1">
        <v>4342</v>
      </c>
      <c r="D99" s="1" t="s">
        <v>44</v>
      </c>
      <c r="E99" s="1" t="s">
        <v>933</v>
      </c>
      <c r="F99" s="19" t="s">
        <v>943</v>
      </c>
      <c r="G99" s="1">
        <v>0.71</v>
      </c>
      <c r="H99" s="5">
        <v>7.02</v>
      </c>
      <c r="I99" s="5">
        <v>106</v>
      </c>
      <c r="J99" s="9">
        <v>4.0599999999999996</v>
      </c>
      <c r="K99" s="5">
        <v>7.8</v>
      </c>
      <c r="L99" s="9">
        <f t="shared" ref="L99:L105" si="3">LOG(J99)</f>
        <v>0.60852603357719404</v>
      </c>
      <c r="M99" s="11">
        <f>GraphBacillus!$B$10-(I99-GraphBacillus!$B$6)/GraphBacillus!$B$5</f>
        <v>-0.29201485593675214</v>
      </c>
      <c r="N99" s="1" t="s">
        <v>944</v>
      </c>
      <c r="O99">
        <v>1999</v>
      </c>
      <c r="S99" s="10">
        <f>GraphBacillus!$B$37*Bacillus!I99+GraphBacillus!$B$38</f>
        <v>-0.28752555133167679</v>
      </c>
      <c r="T99" s="10">
        <f>GraphBacillus!$E$37*Bacillus!I99+GraphBacillus!$E$38</f>
        <v>-0.14535643173027069</v>
      </c>
      <c r="U99" s="10">
        <f>GraphBacillus!$I$37*Bacillus!I99+GraphBacillus!$I$38</f>
        <v>-0.54343905663178038</v>
      </c>
    </row>
    <row r="100" spans="1:21" x14ac:dyDescent="0.2">
      <c r="A100" s="2" t="s">
        <v>1236</v>
      </c>
      <c r="B100" s="2" t="s">
        <v>1237</v>
      </c>
      <c r="C100" s="1">
        <v>4342</v>
      </c>
      <c r="D100" s="1" t="s">
        <v>44</v>
      </c>
      <c r="E100" s="1" t="s">
        <v>933</v>
      </c>
      <c r="F100" s="19" t="s">
        <v>943</v>
      </c>
      <c r="G100" s="1">
        <v>0.71</v>
      </c>
      <c r="H100" s="5">
        <v>7.02</v>
      </c>
      <c r="I100" s="5">
        <v>110</v>
      </c>
      <c r="J100" s="9">
        <v>1.06</v>
      </c>
      <c r="K100" s="5">
        <v>7.8</v>
      </c>
      <c r="L100" s="9">
        <f t="shared" si="3"/>
        <v>2.5305865264770262E-2</v>
      </c>
      <c r="M100" s="11">
        <f>GraphBacillus!$B$10-(I100-GraphBacillus!$B$6)/GraphBacillus!$B$5</f>
        <v>-0.6034036833189852</v>
      </c>
      <c r="N100" s="1" t="s">
        <v>944</v>
      </c>
      <c r="O100">
        <v>1999</v>
      </c>
      <c r="S100" s="10">
        <f>GraphBacillus!$B$37*Bacillus!I100+GraphBacillus!$B$38</f>
        <v>-0.55404464197321435</v>
      </c>
      <c r="T100" s="10">
        <f>GraphBacillus!$E$37*Bacillus!I100+GraphBacillus!$E$38</f>
        <v>-0.39767601260308627</v>
      </c>
      <c r="U100" s="10">
        <f>GraphBacillus!$I$37*Bacillus!I100+GraphBacillus!$I$38</f>
        <v>-0.84536690001770243</v>
      </c>
    </row>
    <row r="101" spans="1:21" x14ac:dyDescent="0.2">
      <c r="A101" s="2" t="s">
        <v>1236</v>
      </c>
      <c r="B101" s="2" t="s">
        <v>1237</v>
      </c>
      <c r="C101" s="1">
        <v>4342</v>
      </c>
      <c r="D101" s="1" t="s">
        <v>44</v>
      </c>
      <c r="E101" s="1" t="s">
        <v>933</v>
      </c>
      <c r="F101" s="19" t="s">
        <v>943</v>
      </c>
      <c r="G101" s="1">
        <v>0.71</v>
      </c>
      <c r="H101" s="5">
        <v>7.02</v>
      </c>
      <c r="I101" s="5">
        <v>115</v>
      </c>
      <c r="J101" s="9">
        <v>0.26</v>
      </c>
      <c r="K101" s="5">
        <v>7.8</v>
      </c>
      <c r="L101" s="9">
        <f t="shared" si="3"/>
        <v>-0.58502665202918203</v>
      </c>
      <c r="M101" s="11">
        <f>GraphBacillus!$B$10-(I101-GraphBacillus!$B$6)/GraphBacillus!$B$5</f>
        <v>-0.99263971754677649</v>
      </c>
      <c r="N101" s="1" t="s">
        <v>944</v>
      </c>
      <c r="O101">
        <v>1999</v>
      </c>
      <c r="S101" s="10">
        <f>GraphBacillus!$B$37*Bacillus!I101+GraphBacillus!$B$38</f>
        <v>-0.88719350527513718</v>
      </c>
      <c r="T101" s="10">
        <f>GraphBacillus!$E$37*Bacillus!I101+GraphBacillus!$E$38</f>
        <v>-0.71307548869410553</v>
      </c>
      <c r="U101" s="10">
        <f>GraphBacillus!$I$37*Bacillus!I101+GraphBacillus!$I$38</f>
        <v>-1.2227767042501076</v>
      </c>
    </row>
    <row r="102" spans="1:21" x14ac:dyDescent="0.2">
      <c r="A102" s="2" t="s">
        <v>1236</v>
      </c>
      <c r="B102" s="2" t="s">
        <v>1237</v>
      </c>
      <c r="C102" s="1">
        <v>7004</v>
      </c>
      <c r="D102" s="1" t="s">
        <v>44</v>
      </c>
      <c r="E102" s="1" t="s">
        <v>933</v>
      </c>
      <c r="F102" s="19" t="s">
        <v>943</v>
      </c>
      <c r="G102" s="1">
        <v>0.71</v>
      </c>
      <c r="H102" s="5">
        <v>7.02</v>
      </c>
      <c r="I102" s="5">
        <v>100</v>
      </c>
      <c r="J102" s="9">
        <f>10.94</f>
        <v>10.94</v>
      </c>
      <c r="K102" s="5">
        <v>8.6</v>
      </c>
      <c r="L102" s="9">
        <f t="shared" si="3"/>
        <v>1.0390173219974119</v>
      </c>
      <c r="M102" s="11">
        <f>GraphBacillus!$B$10-(I102-GraphBacillus!$B$6)/GraphBacillus!$B$5</f>
        <v>0.1750683851365975</v>
      </c>
      <c r="N102" s="1" t="s">
        <v>944</v>
      </c>
      <c r="O102">
        <v>1999</v>
      </c>
      <c r="S102" s="10">
        <f>GraphBacillus!$B$37*Bacillus!I102+GraphBacillus!$B$38</f>
        <v>0.11225308463062955</v>
      </c>
      <c r="T102" s="10">
        <f>GraphBacillus!$E$37*Bacillus!I102+GraphBacillus!$E$38</f>
        <v>0.23312293957895225</v>
      </c>
      <c r="U102" s="10">
        <f>GraphBacillus!$I$37*Bacillus!I102+GraphBacillus!$I$38</f>
        <v>-9.0547291552894649E-2</v>
      </c>
    </row>
    <row r="103" spans="1:21" x14ac:dyDescent="0.2">
      <c r="A103" s="2" t="s">
        <v>1236</v>
      </c>
      <c r="B103" s="2" t="s">
        <v>1237</v>
      </c>
      <c r="C103" s="1">
        <v>7004</v>
      </c>
      <c r="D103" s="1" t="s">
        <v>44</v>
      </c>
      <c r="E103" s="1" t="s">
        <v>933</v>
      </c>
      <c r="F103" s="19" t="s">
        <v>943</v>
      </c>
      <c r="G103" s="1">
        <v>0.71</v>
      </c>
      <c r="H103" s="5">
        <v>7.02</v>
      </c>
      <c r="I103" s="5">
        <v>106</v>
      </c>
      <c r="J103" s="9">
        <v>2.77</v>
      </c>
      <c r="K103" s="5">
        <v>8.6</v>
      </c>
      <c r="L103" s="9">
        <f t="shared" si="3"/>
        <v>0.44247976906444858</v>
      </c>
      <c r="M103" s="11">
        <f>GraphBacillus!$B$10-(I103-GraphBacillus!$B$6)/GraphBacillus!$B$5</f>
        <v>-0.29201485593675214</v>
      </c>
      <c r="N103" s="1" t="s">
        <v>944</v>
      </c>
      <c r="O103">
        <v>1999</v>
      </c>
      <c r="S103" s="10">
        <f>GraphBacillus!$B$37*Bacillus!I103+GraphBacillus!$B$38</f>
        <v>-0.28752555133167679</v>
      </c>
      <c r="T103" s="10">
        <f>GraphBacillus!$E$37*Bacillus!I103+GraphBacillus!$E$38</f>
        <v>-0.14535643173027069</v>
      </c>
      <c r="U103" s="10">
        <f>GraphBacillus!$I$37*Bacillus!I103+GraphBacillus!$I$38</f>
        <v>-0.54343905663178038</v>
      </c>
    </row>
    <row r="104" spans="1:21" x14ac:dyDescent="0.2">
      <c r="A104" s="2" t="s">
        <v>1236</v>
      </c>
      <c r="B104" s="2" t="s">
        <v>1237</v>
      </c>
      <c r="C104" s="1">
        <v>7004</v>
      </c>
      <c r="D104" s="1" t="s">
        <v>44</v>
      </c>
      <c r="E104" s="1" t="s">
        <v>933</v>
      </c>
      <c r="F104" s="19" t="s">
        <v>943</v>
      </c>
      <c r="G104" s="1">
        <v>0.71</v>
      </c>
      <c r="H104" s="5">
        <v>7.02</v>
      </c>
      <c r="I104" s="5">
        <v>110</v>
      </c>
      <c r="J104" s="9">
        <v>0.91</v>
      </c>
      <c r="K104" s="5">
        <v>8.6</v>
      </c>
      <c r="L104" s="9">
        <f t="shared" si="3"/>
        <v>-4.0958607678906384E-2</v>
      </c>
      <c r="M104" s="11">
        <f>GraphBacillus!$B$10-(I104-GraphBacillus!$B$6)/GraphBacillus!$B$5</f>
        <v>-0.6034036833189852</v>
      </c>
      <c r="N104" s="1" t="s">
        <v>944</v>
      </c>
      <c r="O104">
        <v>1999</v>
      </c>
      <c r="S104" s="10">
        <f>GraphBacillus!$B$37*Bacillus!I104+GraphBacillus!$B$38</f>
        <v>-0.55404464197321435</v>
      </c>
      <c r="T104" s="10">
        <f>GraphBacillus!$E$37*Bacillus!I104+GraphBacillus!$E$38</f>
        <v>-0.39767601260308627</v>
      </c>
      <c r="U104" s="10">
        <f>GraphBacillus!$I$37*Bacillus!I104+GraphBacillus!$I$38</f>
        <v>-0.84536690001770243</v>
      </c>
    </row>
    <row r="105" spans="1:21" x14ac:dyDescent="0.2">
      <c r="A105" s="2" t="s">
        <v>1236</v>
      </c>
      <c r="B105" s="2" t="s">
        <v>1237</v>
      </c>
      <c r="C105" s="1">
        <v>7004</v>
      </c>
      <c r="D105" s="1" t="s">
        <v>44</v>
      </c>
      <c r="E105" s="1" t="s">
        <v>933</v>
      </c>
      <c r="F105" s="19" t="s">
        <v>943</v>
      </c>
      <c r="G105" s="1">
        <v>0.71</v>
      </c>
      <c r="H105" s="5">
        <v>7.02</v>
      </c>
      <c r="I105" s="5">
        <v>115</v>
      </c>
      <c r="J105" s="9">
        <v>0.2</v>
      </c>
      <c r="K105" s="5">
        <v>8.6</v>
      </c>
      <c r="L105" s="9">
        <f t="shared" si="3"/>
        <v>-0.69897000433601875</v>
      </c>
      <c r="M105" s="11">
        <f>GraphBacillus!$B$10-(I105-GraphBacillus!$B$6)/GraphBacillus!$B$5</f>
        <v>-0.99263971754677649</v>
      </c>
      <c r="N105" s="1" t="s">
        <v>944</v>
      </c>
      <c r="O105">
        <v>1999</v>
      </c>
      <c r="S105" s="10">
        <f>GraphBacillus!$B$37*Bacillus!I105+GraphBacillus!$B$38</f>
        <v>-0.88719350527513718</v>
      </c>
      <c r="T105" s="10">
        <f>GraphBacillus!$E$37*Bacillus!I105+GraphBacillus!$E$38</f>
        <v>-0.71307548869410553</v>
      </c>
      <c r="U105" s="10">
        <f>GraphBacillus!$I$37*Bacillus!I105+GraphBacillus!$I$38</f>
        <v>-1.2227767042501076</v>
      </c>
    </row>
    <row r="106" spans="1:21" x14ac:dyDescent="0.2">
      <c r="A106" s="2" t="s">
        <v>1236</v>
      </c>
      <c r="B106" s="2" t="s">
        <v>1237</v>
      </c>
      <c r="C106" s="1">
        <v>4342</v>
      </c>
      <c r="D106" s="1" t="s">
        <v>44</v>
      </c>
      <c r="E106" s="1" t="s">
        <v>933</v>
      </c>
      <c r="F106" s="19" t="s">
        <v>934</v>
      </c>
      <c r="G106" s="1">
        <v>0.96</v>
      </c>
      <c r="H106" s="5">
        <v>9.48</v>
      </c>
      <c r="I106" s="5">
        <v>98</v>
      </c>
      <c r="J106" s="11">
        <v>1.66</v>
      </c>
      <c r="K106" s="5">
        <v>8.8000000000000007</v>
      </c>
      <c r="L106" s="9">
        <f t="shared" ref="L106:L144" si="4">LOG(J106)</f>
        <v>0.22010808804005508</v>
      </c>
      <c r="M106" s="11">
        <f>GraphBacillus!$B$10-(I106-GraphBacillus!$B$6)/GraphBacillus!$B$5</f>
        <v>0.33076279882771398</v>
      </c>
      <c r="N106" s="1" t="s">
        <v>944</v>
      </c>
      <c r="O106">
        <v>1999</v>
      </c>
      <c r="S106" s="10">
        <f>GraphBacillus!$B$37*Bacillus!I106+GraphBacillus!$B$38</f>
        <v>0.24551262995139833</v>
      </c>
      <c r="T106" s="10">
        <f>GraphBacillus!$E$37*Bacillus!I106+GraphBacillus!$E$38</f>
        <v>0.3592827300153596</v>
      </c>
      <c r="U106" s="10">
        <f>GraphBacillus!$I$37*Bacillus!I106+GraphBacillus!$I$38</f>
        <v>6.0416630140067262E-2</v>
      </c>
    </row>
    <row r="107" spans="1:21" x14ac:dyDescent="0.2">
      <c r="A107" s="2" t="s">
        <v>1236</v>
      </c>
      <c r="B107" s="2" t="s">
        <v>1237</v>
      </c>
      <c r="C107" s="1">
        <v>4342</v>
      </c>
      <c r="D107" s="1" t="s">
        <v>44</v>
      </c>
      <c r="E107" s="1" t="s">
        <v>933</v>
      </c>
      <c r="F107" s="19" t="s">
        <v>934</v>
      </c>
      <c r="G107" s="1">
        <v>0.96</v>
      </c>
      <c r="H107" s="5">
        <v>9.48</v>
      </c>
      <c r="I107" s="5">
        <v>100</v>
      </c>
      <c r="J107" s="11">
        <f>0.78</f>
        <v>0.78</v>
      </c>
      <c r="K107" s="5">
        <v>8.8000000000000007</v>
      </c>
      <c r="L107" s="9">
        <f t="shared" si="4"/>
        <v>-0.10790539730951958</v>
      </c>
      <c r="M107" s="11">
        <f>GraphBacillus!$B$10-(I107-GraphBacillus!$B$6)/GraphBacillus!$B$5</f>
        <v>0.1750683851365975</v>
      </c>
      <c r="N107" s="1" t="s">
        <v>944</v>
      </c>
      <c r="O107">
        <v>1999</v>
      </c>
      <c r="S107" s="10">
        <f>GraphBacillus!$B$37*Bacillus!I107+GraphBacillus!$B$38</f>
        <v>0.11225308463062955</v>
      </c>
      <c r="T107" s="10">
        <f>GraphBacillus!$E$37*Bacillus!I107+GraphBacillus!$E$38</f>
        <v>0.23312293957895225</v>
      </c>
      <c r="U107" s="10">
        <f>GraphBacillus!$I$37*Bacillus!I107+GraphBacillus!$I$38</f>
        <v>-9.0547291552894649E-2</v>
      </c>
    </row>
    <row r="108" spans="1:21" x14ac:dyDescent="0.2">
      <c r="A108" s="2" t="s">
        <v>1236</v>
      </c>
      <c r="B108" s="2" t="s">
        <v>1237</v>
      </c>
      <c r="C108" s="1">
        <v>4342</v>
      </c>
      <c r="D108" s="1" t="s">
        <v>44</v>
      </c>
      <c r="E108" s="1" t="s">
        <v>933</v>
      </c>
      <c r="F108" s="19" t="s">
        <v>934</v>
      </c>
      <c r="G108" s="1">
        <v>0.96</v>
      </c>
      <c r="H108" s="5">
        <v>9.48</v>
      </c>
      <c r="I108" s="5">
        <v>106</v>
      </c>
      <c r="J108" s="11">
        <v>0.18</v>
      </c>
      <c r="K108" s="5">
        <v>8.8000000000000007</v>
      </c>
      <c r="L108" s="9">
        <f t="shared" si="4"/>
        <v>-0.74472749489669399</v>
      </c>
      <c r="M108" s="11">
        <f>GraphBacillus!$B$10-(I108-GraphBacillus!$B$6)/GraphBacillus!$B$5</f>
        <v>-0.29201485593675214</v>
      </c>
      <c r="N108" s="1" t="s">
        <v>944</v>
      </c>
      <c r="O108">
        <v>1999</v>
      </c>
      <c r="S108" s="10">
        <f>GraphBacillus!$B$37*Bacillus!I108+GraphBacillus!$B$38</f>
        <v>-0.28752555133167679</v>
      </c>
      <c r="T108" s="10">
        <f>GraphBacillus!$E$37*Bacillus!I108+GraphBacillus!$E$38</f>
        <v>-0.14535643173027069</v>
      </c>
      <c r="U108" s="10">
        <f>GraphBacillus!$I$37*Bacillus!I108+GraphBacillus!$I$38</f>
        <v>-0.54343905663178038</v>
      </c>
    </row>
    <row r="109" spans="1:21" x14ac:dyDescent="0.2">
      <c r="A109" s="2" t="s">
        <v>1236</v>
      </c>
      <c r="B109" s="2" t="s">
        <v>1237</v>
      </c>
      <c r="C109" s="1">
        <v>4342</v>
      </c>
      <c r="D109" s="1" t="s">
        <v>44</v>
      </c>
      <c r="E109" s="1" t="s">
        <v>933</v>
      </c>
      <c r="F109" s="19" t="s">
        <v>934</v>
      </c>
      <c r="G109" s="1">
        <v>0.96</v>
      </c>
      <c r="H109" s="5">
        <v>9.48</v>
      </c>
      <c r="I109" s="5">
        <v>110</v>
      </c>
      <c r="J109" s="11">
        <v>6.8000000000000005E-2</v>
      </c>
      <c r="K109" s="5">
        <v>8.8000000000000007</v>
      </c>
      <c r="L109" s="9">
        <f t="shared" si="4"/>
        <v>-1.1674910872937636</v>
      </c>
      <c r="M109" s="11">
        <f>GraphBacillus!$B$10-(I109-GraphBacillus!$B$6)/GraphBacillus!$B$5</f>
        <v>-0.6034036833189852</v>
      </c>
      <c r="N109" s="1" t="s">
        <v>944</v>
      </c>
      <c r="O109">
        <v>1999</v>
      </c>
      <c r="S109" s="10">
        <f>GraphBacillus!$B$37*Bacillus!I109+GraphBacillus!$B$38</f>
        <v>-0.55404464197321435</v>
      </c>
      <c r="T109" s="10">
        <f>GraphBacillus!$E$37*Bacillus!I109+GraphBacillus!$E$38</f>
        <v>-0.39767601260308627</v>
      </c>
      <c r="U109" s="10">
        <f>GraphBacillus!$I$37*Bacillus!I109+GraphBacillus!$I$38</f>
        <v>-0.84536690001770243</v>
      </c>
    </row>
    <row r="110" spans="1:21" x14ac:dyDescent="0.2">
      <c r="A110" s="2" t="s">
        <v>1236</v>
      </c>
      <c r="B110" s="2" t="s">
        <v>1237</v>
      </c>
      <c r="C110" s="1">
        <v>7004</v>
      </c>
      <c r="D110" s="1" t="s">
        <v>44</v>
      </c>
      <c r="E110" s="1" t="s">
        <v>933</v>
      </c>
      <c r="F110" s="19" t="s">
        <v>934</v>
      </c>
      <c r="G110" s="1">
        <v>0.96</v>
      </c>
      <c r="H110" s="5">
        <v>9.48</v>
      </c>
      <c r="I110" s="5">
        <v>92</v>
      </c>
      <c r="J110" s="11">
        <v>4.37</v>
      </c>
      <c r="K110" s="5">
        <v>9.3000000000000007</v>
      </c>
      <c r="L110" s="9">
        <f t="shared" si="4"/>
        <v>0.64048143697042181</v>
      </c>
      <c r="M110" s="11">
        <f>GraphBacillus!$B$10-(I110-GraphBacillus!$B$6)/GraphBacillus!$B$5</f>
        <v>0.79784603990106362</v>
      </c>
      <c r="N110" s="1" t="s">
        <v>944</v>
      </c>
      <c r="O110">
        <v>1999</v>
      </c>
      <c r="S110" s="10">
        <f>GraphBacillus!$B$37*Bacillus!I110+GraphBacillus!$B$38</f>
        <v>0.64529126591370467</v>
      </c>
      <c r="T110" s="10">
        <f>GraphBacillus!$E$37*Bacillus!I110+GraphBacillus!$E$38</f>
        <v>0.73776210132458253</v>
      </c>
      <c r="U110" s="10">
        <f>GraphBacillus!$I$37*Bacillus!I110+GraphBacillus!$I$38</f>
        <v>0.51330839521895211</v>
      </c>
    </row>
    <row r="111" spans="1:21" x14ac:dyDescent="0.2">
      <c r="A111" s="2" t="s">
        <v>1236</v>
      </c>
      <c r="B111" s="2" t="s">
        <v>1237</v>
      </c>
      <c r="C111" s="1">
        <v>7004</v>
      </c>
      <c r="D111" s="1" t="s">
        <v>44</v>
      </c>
      <c r="E111" s="1" t="s">
        <v>933</v>
      </c>
      <c r="F111" s="19" t="s">
        <v>934</v>
      </c>
      <c r="G111" s="1">
        <v>0.96</v>
      </c>
      <c r="H111" s="5">
        <v>9.48</v>
      </c>
      <c r="I111" s="5">
        <v>96</v>
      </c>
      <c r="J111" s="11">
        <v>2.04</v>
      </c>
      <c r="K111" s="5">
        <v>9.3000000000000007</v>
      </c>
      <c r="L111" s="9">
        <f t="shared" si="4"/>
        <v>0.30963016742589877</v>
      </c>
      <c r="M111" s="11">
        <f>GraphBacillus!$B$10-(I111-GraphBacillus!$B$6)/GraphBacillus!$B$5</f>
        <v>0.48645721251883067</v>
      </c>
      <c r="N111" s="1" t="s">
        <v>944</v>
      </c>
      <c r="O111">
        <v>1999</v>
      </c>
      <c r="S111" s="10">
        <f>GraphBacillus!$B$37*Bacillus!I111+GraphBacillus!$B$38</f>
        <v>0.37877217527216711</v>
      </c>
      <c r="T111" s="10">
        <f>GraphBacillus!$E$37*Bacillus!I111+GraphBacillus!$E$38</f>
        <v>0.48544252045176783</v>
      </c>
      <c r="U111" s="10">
        <f>GraphBacillus!$I$37*Bacillus!I111+GraphBacillus!$I$38</f>
        <v>0.21138055183302829</v>
      </c>
    </row>
    <row r="112" spans="1:21" x14ac:dyDescent="0.2">
      <c r="A112" s="2" t="s">
        <v>1236</v>
      </c>
      <c r="B112" s="2" t="s">
        <v>1237</v>
      </c>
      <c r="C112" s="1">
        <v>7004</v>
      </c>
      <c r="D112" s="1" t="s">
        <v>44</v>
      </c>
      <c r="E112" s="1" t="s">
        <v>933</v>
      </c>
      <c r="F112" s="19" t="s">
        <v>934</v>
      </c>
      <c r="G112" s="1">
        <v>0.96</v>
      </c>
      <c r="H112" s="5">
        <v>9.48</v>
      </c>
      <c r="I112" s="5">
        <v>100</v>
      </c>
      <c r="J112" s="11">
        <f>0.46</f>
        <v>0.46</v>
      </c>
      <c r="K112" s="5">
        <v>9.3000000000000007</v>
      </c>
      <c r="L112" s="9">
        <f t="shared" si="4"/>
        <v>-0.33724216831842591</v>
      </c>
      <c r="M112" s="11">
        <f>GraphBacillus!$B$10-(I112-GraphBacillus!$B$6)/GraphBacillus!$B$5</f>
        <v>0.1750683851365975</v>
      </c>
      <c r="N112" s="1" t="s">
        <v>944</v>
      </c>
      <c r="O112">
        <v>1999</v>
      </c>
      <c r="S112" s="10">
        <f>GraphBacillus!$B$37*Bacillus!I112+GraphBacillus!$B$38</f>
        <v>0.11225308463062955</v>
      </c>
      <c r="T112" s="10">
        <f>GraphBacillus!$E$37*Bacillus!I112+GraphBacillus!$E$38</f>
        <v>0.23312293957895225</v>
      </c>
      <c r="U112" s="10">
        <f>GraphBacillus!$I$37*Bacillus!I112+GraphBacillus!$I$38</f>
        <v>-9.0547291552894649E-2</v>
      </c>
    </row>
    <row r="113" spans="1:21" x14ac:dyDescent="0.2">
      <c r="A113" s="2" t="s">
        <v>1236</v>
      </c>
      <c r="B113" s="2" t="s">
        <v>1237</v>
      </c>
      <c r="C113" s="1">
        <v>7004</v>
      </c>
      <c r="D113" s="1" t="s">
        <v>44</v>
      </c>
      <c r="E113" s="1" t="s">
        <v>933</v>
      </c>
      <c r="F113" s="19" t="s">
        <v>934</v>
      </c>
      <c r="G113" s="1">
        <v>0.96</v>
      </c>
      <c r="H113" s="5">
        <v>9.48</v>
      </c>
      <c r="I113" s="5">
        <v>103</v>
      </c>
      <c r="J113" s="11">
        <v>0.32</v>
      </c>
      <c r="K113" s="5">
        <v>9.3000000000000007</v>
      </c>
      <c r="L113" s="9">
        <f t="shared" si="4"/>
        <v>-0.49485002168009401</v>
      </c>
      <c r="M113" s="11">
        <f>GraphBacillus!$B$10-(I113-GraphBacillus!$B$6)/GraphBacillus!$B$5</f>
        <v>-5.8473235400077428E-2</v>
      </c>
      <c r="N113" s="1" t="s">
        <v>944</v>
      </c>
      <c r="O113">
        <v>1999</v>
      </c>
      <c r="S113" s="10">
        <f>GraphBacillus!$B$37*Bacillus!I113+GraphBacillus!$B$38</f>
        <v>-8.7636233350523618E-2</v>
      </c>
      <c r="T113" s="10">
        <f>GraphBacillus!$E$37*Bacillus!I113+GraphBacillus!$E$38</f>
        <v>4.3883253924340337E-2</v>
      </c>
      <c r="U113" s="10">
        <f>GraphBacillus!$I$37*Bacillus!I113+GraphBacillus!$I$38</f>
        <v>-0.31699317409233707</v>
      </c>
    </row>
    <row r="114" spans="1:21" x14ac:dyDescent="0.2">
      <c r="A114" s="2" t="s">
        <v>1236</v>
      </c>
      <c r="B114" s="2" t="s">
        <v>1237</v>
      </c>
      <c r="C114" s="1">
        <v>7004</v>
      </c>
      <c r="D114" s="1" t="s">
        <v>44</v>
      </c>
      <c r="E114" s="1" t="s">
        <v>933</v>
      </c>
      <c r="F114" s="19" t="s">
        <v>934</v>
      </c>
      <c r="G114" s="1">
        <v>0.96</v>
      </c>
      <c r="H114" s="5">
        <v>9.48</v>
      </c>
      <c r="I114" s="5">
        <v>106</v>
      </c>
      <c r="J114" s="11">
        <v>0.13</v>
      </c>
      <c r="K114" s="5">
        <v>9.3000000000000007</v>
      </c>
      <c r="L114" s="9">
        <f t="shared" si="4"/>
        <v>-0.88605664769316317</v>
      </c>
      <c r="M114" s="11">
        <f>GraphBacillus!$B$10-(I114-GraphBacillus!$B$6)/GraphBacillus!$B$5</f>
        <v>-0.29201485593675214</v>
      </c>
      <c r="N114" s="1" t="s">
        <v>944</v>
      </c>
      <c r="O114">
        <v>1999</v>
      </c>
      <c r="S114" s="10">
        <f>GraphBacillus!$B$37*Bacillus!I114+GraphBacillus!$B$38</f>
        <v>-0.28752555133167679</v>
      </c>
      <c r="T114" s="10">
        <f>GraphBacillus!$E$37*Bacillus!I114+GraphBacillus!$E$38</f>
        <v>-0.14535643173027069</v>
      </c>
      <c r="U114" s="10">
        <f>GraphBacillus!$I$37*Bacillus!I114+GraphBacillus!$I$38</f>
        <v>-0.54343905663178038</v>
      </c>
    </row>
    <row r="115" spans="1:21" x14ac:dyDescent="0.2">
      <c r="A115" s="2" t="s">
        <v>1236</v>
      </c>
      <c r="B115" s="2" t="s">
        <v>1237</v>
      </c>
      <c r="C115" s="1">
        <v>9818</v>
      </c>
      <c r="D115" s="1" t="s">
        <v>44</v>
      </c>
      <c r="E115" s="1" t="s">
        <v>933</v>
      </c>
      <c r="F115" s="19" t="s">
        <v>934</v>
      </c>
      <c r="G115" s="1">
        <v>0.96</v>
      </c>
      <c r="H115" s="5">
        <v>9.48</v>
      </c>
      <c r="I115" s="5">
        <v>100</v>
      </c>
      <c r="J115" s="11">
        <v>7.97</v>
      </c>
      <c r="K115" s="5">
        <v>9.4</v>
      </c>
      <c r="L115" s="9">
        <f t="shared" si="4"/>
        <v>0.90145832139611237</v>
      </c>
      <c r="M115" s="11">
        <f>GraphBacillus!$B$10-(I115-GraphBacillus!$B$6)/GraphBacillus!$B$5</f>
        <v>0.1750683851365975</v>
      </c>
      <c r="N115" s="1" t="s">
        <v>944</v>
      </c>
      <c r="O115">
        <v>1999</v>
      </c>
      <c r="S115" s="10">
        <f>GraphBacillus!$B$37*Bacillus!I115+GraphBacillus!$B$38</f>
        <v>0.11225308463062955</v>
      </c>
      <c r="T115" s="10">
        <f>GraphBacillus!$E$37*Bacillus!I115+GraphBacillus!$E$38</f>
        <v>0.23312293957895225</v>
      </c>
      <c r="U115" s="10">
        <f>GraphBacillus!$I$37*Bacillus!I115+GraphBacillus!$I$38</f>
        <v>-9.0547291552894649E-2</v>
      </c>
    </row>
    <row r="116" spans="1:21" x14ac:dyDescent="0.2">
      <c r="A116" s="2" t="s">
        <v>1236</v>
      </c>
      <c r="B116" s="2" t="s">
        <v>1237</v>
      </c>
      <c r="C116" s="1">
        <v>9818</v>
      </c>
      <c r="D116" s="1" t="s">
        <v>44</v>
      </c>
      <c r="E116" s="1" t="s">
        <v>933</v>
      </c>
      <c r="F116" s="19" t="s">
        <v>934</v>
      </c>
      <c r="G116" s="1">
        <v>0.96</v>
      </c>
      <c r="H116" s="5">
        <v>9.48</v>
      </c>
      <c r="I116" s="5">
        <v>103</v>
      </c>
      <c r="J116" s="11">
        <f>4.6</f>
        <v>4.5999999999999996</v>
      </c>
      <c r="K116" s="5">
        <v>9.4</v>
      </c>
      <c r="L116" s="9">
        <f t="shared" si="4"/>
        <v>0.66275783168157409</v>
      </c>
      <c r="M116" s="11">
        <f>GraphBacillus!$B$10-(I116-GraphBacillus!$B$6)/GraphBacillus!$B$5</f>
        <v>-5.8473235400077428E-2</v>
      </c>
      <c r="N116" s="1" t="s">
        <v>944</v>
      </c>
      <c r="O116">
        <v>1999</v>
      </c>
      <c r="S116" s="10">
        <f>GraphBacillus!$B$37*Bacillus!I116+GraphBacillus!$B$38</f>
        <v>-8.7636233350523618E-2</v>
      </c>
      <c r="T116" s="10">
        <f>GraphBacillus!$E$37*Bacillus!I116+GraphBacillus!$E$38</f>
        <v>4.3883253924340337E-2</v>
      </c>
      <c r="U116" s="10">
        <f>GraphBacillus!$I$37*Bacillus!I116+GraphBacillus!$I$38</f>
        <v>-0.31699317409233707</v>
      </c>
    </row>
    <row r="117" spans="1:21" x14ac:dyDescent="0.2">
      <c r="A117" s="2" t="s">
        <v>1236</v>
      </c>
      <c r="B117" s="2" t="s">
        <v>1237</v>
      </c>
      <c r="C117" s="1">
        <v>9818</v>
      </c>
      <c r="D117" s="1" t="s">
        <v>44</v>
      </c>
      <c r="E117" s="1" t="s">
        <v>933</v>
      </c>
      <c r="F117" s="19" t="s">
        <v>934</v>
      </c>
      <c r="G117" s="1">
        <v>0.96</v>
      </c>
      <c r="H117" s="5">
        <v>9.48</v>
      </c>
      <c r="I117" s="5">
        <v>110</v>
      </c>
      <c r="J117" s="11">
        <v>0.71</v>
      </c>
      <c r="K117" s="5">
        <v>9.4</v>
      </c>
      <c r="L117" s="9">
        <f t="shared" si="4"/>
        <v>-0.14874165128092473</v>
      </c>
      <c r="M117" s="11">
        <f>GraphBacillus!$B$10-(I117-GraphBacillus!$B$6)/GraphBacillus!$B$5</f>
        <v>-0.6034036833189852</v>
      </c>
      <c r="N117" s="1" t="s">
        <v>944</v>
      </c>
      <c r="O117">
        <v>1999</v>
      </c>
      <c r="S117" s="10">
        <f>GraphBacillus!$B$37*Bacillus!I117+GraphBacillus!$B$38</f>
        <v>-0.55404464197321435</v>
      </c>
      <c r="T117" s="10">
        <f>GraphBacillus!$E$37*Bacillus!I117+GraphBacillus!$E$38</f>
        <v>-0.39767601260308627</v>
      </c>
      <c r="U117" s="10">
        <f>GraphBacillus!$I$37*Bacillus!I117+GraphBacillus!$I$38</f>
        <v>-0.84536690001770243</v>
      </c>
    </row>
    <row r="118" spans="1:21" x14ac:dyDescent="0.2">
      <c r="A118" s="2" t="s">
        <v>1236</v>
      </c>
      <c r="B118" s="2" t="s">
        <v>1237</v>
      </c>
      <c r="C118" s="1">
        <v>9818</v>
      </c>
      <c r="D118" s="1" t="s">
        <v>44</v>
      </c>
      <c r="E118" s="1" t="s">
        <v>933</v>
      </c>
      <c r="F118" s="19" t="s">
        <v>934</v>
      </c>
      <c r="G118" s="1">
        <v>0.96</v>
      </c>
      <c r="H118" s="5">
        <v>9.48</v>
      </c>
      <c r="I118" s="5">
        <v>115</v>
      </c>
      <c r="J118" s="11">
        <v>0.22</v>
      </c>
      <c r="K118" s="5">
        <v>9.4</v>
      </c>
      <c r="L118" s="9">
        <f t="shared" si="4"/>
        <v>-0.65757731917779372</v>
      </c>
      <c r="M118" s="11">
        <f>GraphBacillus!$B$10-(I118-GraphBacillus!$B$6)/GraphBacillus!$B$5</f>
        <v>-0.99263971754677649</v>
      </c>
      <c r="N118" s="1" t="s">
        <v>944</v>
      </c>
      <c r="O118">
        <v>1999</v>
      </c>
      <c r="S118" s="10">
        <f>GraphBacillus!$B$37*Bacillus!I118+GraphBacillus!$B$38</f>
        <v>-0.88719350527513718</v>
      </c>
      <c r="T118" s="10">
        <f>GraphBacillus!$E$37*Bacillus!I118+GraphBacillus!$E$38</f>
        <v>-0.71307548869410553</v>
      </c>
      <c r="U118" s="10">
        <f>GraphBacillus!$I$37*Bacillus!I118+GraphBacillus!$I$38</f>
        <v>-1.2227767042501076</v>
      </c>
    </row>
    <row r="119" spans="1:21" x14ac:dyDescent="0.2">
      <c r="A119" s="2" t="s">
        <v>1236</v>
      </c>
      <c r="B119" s="2" t="s">
        <v>1237</v>
      </c>
      <c r="C119" s="1">
        <v>4342</v>
      </c>
      <c r="D119" s="1" t="s">
        <v>44</v>
      </c>
      <c r="E119" s="1" t="s">
        <v>933</v>
      </c>
      <c r="F119" s="19" t="s">
        <v>935</v>
      </c>
      <c r="G119" s="1">
        <v>0.9</v>
      </c>
      <c r="H119" s="5"/>
      <c r="I119" s="5">
        <v>98</v>
      </c>
      <c r="J119" s="11">
        <v>1.54</v>
      </c>
      <c r="K119" s="5">
        <v>9.1999999999999993</v>
      </c>
      <c r="L119" s="9">
        <f t="shared" si="4"/>
        <v>0.18752072083646307</v>
      </c>
      <c r="M119" s="11">
        <f>GraphBacillus!$B$10-(I119-GraphBacillus!$B$6)/GraphBacillus!$B$5</f>
        <v>0.33076279882771398</v>
      </c>
      <c r="N119" s="1" t="s">
        <v>944</v>
      </c>
      <c r="O119">
        <v>1999</v>
      </c>
      <c r="S119" s="10">
        <f>GraphBacillus!$B$37*Bacillus!I119+GraphBacillus!$B$38</f>
        <v>0.24551262995139833</v>
      </c>
      <c r="T119" s="10">
        <f>GraphBacillus!$E$37*Bacillus!I119+GraphBacillus!$E$38</f>
        <v>0.3592827300153596</v>
      </c>
      <c r="U119" s="10">
        <f>GraphBacillus!$I$37*Bacillus!I119+GraphBacillus!$I$38</f>
        <v>6.0416630140067262E-2</v>
      </c>
    </row>
    <row r="120" spans="1:21" x14ac:dyDescent="0.2">
      <c r="A120" s="2" t="s">
        <v>1236</v>
      </c>
      <c r="B120" s="2" t="s">
        <v>1237</v>
      </c>
      <c r="C120" s="1">
        <v>4342</v>
      </c>
      <c r="D120" s="1" t="s">
        <v>44</v>
      </c>
      <c r="E120" s="1" t="s">
        <v>933</v>
      </c>
      <c r="F120" s="19" t="s">
        <v>935</v>
      </c>
      <c r="G120" s="1">
        <v>0.9</v>
      </c>
      <c r="H120" s="5"/>
      <c r="I120" s="5">
        <v>100</v>
      </c>
      <c r="J120" s="11">
        <f>0.84</f>
        <v>0.84</v>
      </c>
      <c r="K120" s="5">
        <v>9.1999999999999993</v>
      </c>
      <c r="L120" s="9">
        <f t="shared" si="4"/>
        <v>-7.5720713938118356E-2</v>
      </c>
      <c r="M120" s="11">
        <f>GraphBacillus!$B$10-(I120-GraphBacillus!$B$6)/GraphBacillus!$B$5</f>
        <v>0.1750683851365975</v>
      </c>
      <c r="N120" s="1" t="s">
        <v>944</v>
      </c>
      <c r="O120">
        <v>1999</v>
      </c>
      <c r="S120" s="10">
        <f>GraphBacillus!$B$37*Bacillus!I120+GraphBacillus!$B$38</f>
        <v>0.11225308463062955</v>
      </c>
      <c r="T120" s="10">
        <f>GraphBacillus!$E$37*Bacillus!I120+GraphBacillus!$E$38</f>
        <v>0.23312293957895225</v>
      </c>
      <c r="U120" s="10">
        <f>GraphBacillus!$I$37*Bacillus!I120+GraphBacillus!$I$38</f>
        <v>-9.0547291552894649E-2</v>
      </c>
    </row>
    <row r="121" spans="1:21" x14ac:dyDescent="0.2">
      <c r="A121" s="2" t="s">
        <v>1236</v>
      </c>
      <c r="B121" s="2" t="s">
        <v>1237</v>
      </c>
      <c r="C121" s="1">
        <v>4342</v>
      </c>
      <c r="D121" s="1" t="s">
        <v>44</v>
      </c>
      <c r="E121" s="1" t="s">
        <v>933</v>
      </c>
      <c r="F121" s="19" t="s">
        <v>935</v>
      </c>
      <c r="G121" s="1">
        <v>0.9</v>
      </c>
      <c r="H121" s="5"/>
      <c r="I121" s="5">
        <v>106</v>
      </c>
      <c r="J121" s="11">
        <v>0.17</v>
      </c>
      <c r="K121" s="5">
        <v>9.1999999999999993</v>
      </c>
      <c r="L121" s="9">
        <f t="shared" si="4"/>
        <v>-0.769551078621726</v>
      </c>
      <c r="M121" s="11">
        <f>GraphBacillus!$B$10-(I121-GraphBacillus!$B$6)/GraphBacillus!$B$5</f>
        <v>-0.29201485593675214</v>
      </c>
      <c r="N121" s="1" t="s">
        <v>944</v>
      </c>
      <c r="O121">
        <v>1999</v>
      </c>
      <c r="S121" s="10">
        <f>GraphBacillus!$B$37*Bacillus!I121+GraphBacillus!$B$38</f>
        <v>-0.28752555133167679</v>
      </c>
      <c r="T121" s="10">
        <f>GraphBacillus!$E$37*Bacillus!I121+GraphBacillus!$E$38</f>
        <v>-0.14535643173027069</v>
      </c>
      <c r="U121" s="10">
        <f>GraphBacillus!$I$37*Bacillus!I121+GraphBacillus!$I$38</f>
        <v>-0.54343905663178038</v>
      </c>
    </row>
    <row r="122" spans="1:21" x14ac:dyDescent="0.2">
      <c r="A122" s="2" t="s">
        <v>1236</v>
      </c>
      <c r="B122" s="2" t="s">
        <v>1237</v>
      </c>
      <c r="C122" s="1">
        <v>4342</v>
      </c>
      <c r="D122" s="1" t="s">
        <v>44</v>
      </c>
      <c r="E122" s="1" t="s">
        <v>933</v>
      </c>
      <c r="F122" s="19" t="s">
        <v>935</v>
      </c>
      <c r="G122" s="1">
        <v>0.9</v>
      </c>
      <c r="H122" s="5"/>
      <c r="I122" s="5">
        <v>110</v>
      </c>
      <c r="J122" s="11">
        <v>7.6999999999999999E-2</v>
      </c>
      <c r="K122" s="5">
        <v>9.1999999999999993</v>
      </c>
      <c r="L122" s="9">
        <f t="shared" si="4"/>
        <v>-1.1135092748275182</v>
      </c>
      <c r="M122" s="11">
        <f>GraphBacillus!$B$10-(I122-GraphBacillus!$B$6)/GraphBacillus!$B$5</f>
        <v>-0.6034036833189852</v>
      </c>
      <c r="N122" s="1" t="s">
        <v>944</v>
      </c>
      <c r="O122">
        <v>1999</v>
      </c>
      <c r="S122" s="10">
        <f>GraphBacillus!$B$37*Bacillus!I122+GraphBacillus!$B$38</f>
        <v>-0.55404464197321435</v>
      </c>
      <c r="T122" s="10">
        <f>GraphBacillus!$E$37*Bacillus!I122+GraphBacillus!$E$38</f>
        <v>-0.39767601260308627</v>
      </c>
      <c r="U122" s="10">
        <f>GraphBacillus!$I$37*Bacillus!I122+GraphBacillus!$I$38</f>
        <v>-0.84536690001770243</v>
      </c>
    </row>
    <row r="123" spans="1:21" x14ac:dyDescent="0.2">
      <c r="A123" s="2" t="s">
        <v>1236</v>
      </c>
      <c r="B123" s="2" t="s">
        <v>1237</v>
      </c>
      <c r="C123" s="1">
        <v>7004</v>
      </c>
      <c r="D123" s="1" t="s">
        <v>44</v>
      </c>
      <c r="E123" s="1" t="s">
        <v>933</v>
      </c>
      <c r="F123" s="19" t="s">
        <v>935</v>
      </c>
      <c r="G123" s="1">
        <v>0.9</v>
      </c>
      <c r="H123" s="5"/>
      <c r="I123" s="5">
        <v>92</v>
      </c>
      <c r="J123" s="11">
        <v>4.1399999999999997</v>
      </c>
      <c r="K123" s="5">
        <v>9.3000000000000007</v>
      </c>
      <c r="L123" s="9">
        <f t="shared" si="4"/>
        <v>0.61700034112089897</v>
      </c>
      <c r="M123" s="11">
        <f>GraphBacillus!$B$10-(I123-GraphBacillus!$B$6)/GraphBacillus!$B$5</f>
        <v>0.79784603990106362</v>
      </c>
      <c r="N123" s="1" t="s">
        <v>944</v>
      </c>
      <c r="O123">
        <v>1999</v>
      </c>
      <c r="S123" s="10">
        <f>GraphBacillus!$B$37*Bacillus!I123+GraphBacillus!$B$38</f>
        <v>0.64529126591370467</v>
      </c>
      <c r="T123" s="10">
        <f>GraphBacillus!$E$37*Bacillus!I123+GraphBacillus!$E$38</f>
        <v>0.73776210132458253</v>
      </c>
      <c r="U123" s="10">
        <f>GraphBacillus!$I$37*Bacillus!I123+GraphBacillus!$I$38</f>
        <v>0.51330839521895211</v>
      </c>
    </row>
    <row r="124" spans="1:21" x14ac:dyDescent="0.2">
      <c r="A124" s="2" t="s">
        <v>1236</v>
      </c>
      <c r="B124" s="2" t="s">
        <v>1237</v>
      </c>
      <c r="C124" s="1">
        <v>7004</v>
      </c>
      <c r="D124" s="1" t="s">
        <v>44</v>
      </c>
      <c r="E124" s="1" t="s">
        <v>933</v>
      </c>
      <c r="F124" s="19" t="s">
        <v>935</v>
      </c>
      <c r="G124" s="1">
        <v>0.9</v>
      </c>
      <c r="H124" s="5"/>
      <c r="I124" s="5">
        <v>96</v>
      </c>
      <c r="J124" s="11">
        <v>1.7</v>
      </c>
      <c r="K124" s="5">
        <v>9.3000000000000007</v>
      </c>
      <c r="L124" s="9">
        <f t="shared" si="4"/>
        <v>0.23044892137827391</v>
      </c>
      <c r="M124" s="11">
        <f>GraphBacillus!$B$10-(I124-GraphBacillus!$B$6)/GraphBacillus!$B$5</f>
        <v>0.48645721251883067</v>
      </c>
      <c r="N124" s="1" t="s">
        <v>944</v>
      </c>
      <c r="O124">
        <v>1999</v>
      </c>
      <c r="S124" s="10">
        <f>GraphBacillus!$B$37*Bacillus!I124+GraphBacillus!$B$38</f>
        <v>0.37877217527216711</v>
      </c>
      <c r="T124" s="10">
        <f>GraphBacillus!$E$37*Bacillus!I124+GraphBacillus!$E$38</f>
        <v>0.48544252045176783</v>
      </c>
      <c r="U124" s="10">
        <f>GraphBacillus!$I$37*Bacillus!I124+GraphBacillus!$I$38</f>
        <v>0.21138055183302829</v>
      </c>
    </row>
    <row r="125" spans="1:21" x14ac:dyDescent="0.2">
      <c r="A125" s="2" t="s">
        <v>1236</v>
      </c>
      <c r="B125" s="2" t="s">
        <v>1237</v>
      </c>
      <c r="C125" s="1">
        <v>7004</v>
      </c>
      <c r="D125" s="1" t="s">
        <v>44</v>
      </c>
      <c r="E125" s="1" t="s">
        <v>933</v>
      </c>
      <c r="F125" s="19" t="s">
        <v>935</v>
      </c>
      <c r="G125" s="1">
        <v>0.9</v>
      </c>
      <c r="H125" s="5"/>
      <c r="I125" s="5">
        <v>100</v>
      </c>
      <c r="J125" s="11">
        <f>0.44</f>
        <v>0.44</v>
      </c>
      <c r="K125" s="5">
        <v>9.3000000000000007</v>
      </c>
      <c r="L125" s="9">
        <f t="shared" si="4"/>
        <v>-0.35654732351381258</v>
      </c>
      <c r="M125" s="11">
        <f>GraphBacillus!$B$10-(I125-GraphBacillus!$B$6)/GraphBacillus!$B$5</f>
        <v>0.1750683851365975</v>
      </c>
      <c r="N125" s="1" t="s">
        <v>944</v>
      </c>
      <c r="O125">
        <v>1999</v>
      </c>
      <c r="S125" s="10">
        <f>GraphBacillus!$B$37*Bacillus!I125+GraphBacillus!$B$38</f>
        <v>0.11225308463062955</v>
      </c>
      <c r="T125" s="10">
        <f>GraphBacillus!$E$37*Bacillus!I125+GraphBacillus!$E$38</f>
        <v>0.23312293957895225</v>
      </c>
      <c r="U125" s="10">
        <f>GraphBacillus!$I$37*Bacillus!I125+GraphBacillus!$I$38</f>
        <v>-9.0547291552894649E-2</v>
      </c>
    </row>
    <row r="126" spans="1:21" x14ac:dyDescent="0.2">
      <c r="A126" s="2" t="s">
        <v>1236</v>
      </c>
      <c r="B126" s="2" t="s">
        <v>1237</v>
      </c>
      <c r="C126" s="1">
        <v>7004</v>
      </c>
      <c r="D126" s="1" t="s">
        <v>44</v>
      </c>
      <c r="E126" s="1" t="s">
        <v>933</v>
      </c>
      <c r="F126" s="19" t="s">
        <v>935</v>
      </c>
      <c r="G126" s="1">
        <v>0.9</v>
      </c>
      <c r="H126" s="5"/>
      <c r="I126" s="5">
        <v>106</v>
      </c>
      <c r="J126" s="11">
        <v>0.13</v>
      </c>
      <c r="K126" s="5">
        <v>9.3000000000000007</v>
      </c>
      <c r="L126" s="9">
        <f t="shared" si="4"/>
        <v>-0.88605664769316317</v>
      </c>
      <c r="M126" s="11">
        <f>GraphBacillus!$B$10-(I126-GraphBacillus!$B$6)/GraphBacillus!$B$5</f>
        <v>-0.29201485593675214</v>
      </c>
      <c r="N126" s="1" t="s">
        <v>944</v>
      </c>
      <c r="O126">
        <v>1999</v>
      </c>
      <c r="S126" s="10">
        <f>GraphBacillus!$B$37*Bacillus!I126+GraphBacillus!$B$38</f>
        <v>-0.28752555133167679</v>
      </c>
      <c r="T126" s="10">
        <f>GraphBacillus!$E$37*Bacillus!I126+GraphBacillus!$E$38</f>
        <v>-0.14535643173027069</v>
      </c>
      <c r="U126" s="10">
        <f>GraphBacillus!$I$37*Bacillus!I126+GraphBacillus!$I$38</f>
        <v>-0.54343905663178038</v>
      </c>
    </row>
    <row r="127" spans="1:21" x14ac:dyDescent="0.2">
      <c r="A127" s="2" t="s">
        <v>1236</v>
      </c>
      <c r="B127" s="2" t="s">
        <v>1237</v>
      </c>
      <c r="C127" s="1">
        <v>9818</v>
      </c>
      <c r="D127" s="1" t="s">
        <v>44</v>
      </c>
      <c r="E127" s="1" t="s">
        <v>933</v>
      </c>
      <c r="F127" s="19" t="s">
        <v>935</v>
      </c>
      <c r="G127" s="1">
        <v>0.9</v>
      </c>
      <c r="H127" s="5"/>
      <c r="I127" s="5">
        <v>100</v>
      </c>
      <c r="J127" s="11">
        <v>8.23</v>
      </c>
      <c r="K127" s="5">
        <v>10.6</v>
      </c>
      <c r="L127" s="9">
        <f t="shared" si="4"/>
        <v>0.91539983521226986</v>
      </c>
      <c r="M127" s="11">
        <f>GraphBacillus!$B$10-(I127-GraphBacillus!$B$6)/GraphBacillus!$B$5</f>
        <v>0.1750683851365975</v>
      </c>
      <c r="N127" s="1" t="s">
        <v>944</v>
      </c>
      <c r="O127">
        <v>1999</v>
      </c>
      <c r="S127" s="10">
        <f>GraphBacillus!$B$37*Bacillus!I127+GraphBacillus!$B$38</f>
        <v>0.11225308463062955</v>
      </c>
      <c r="T127" s="10">
        <f>GraphBacillus!$E$37*Bacillus!I127+GraphBacillus!$E$38</f>
        <v>0.23312293957895225</v>
      </c>
      <c r="U127" s="10">
        <f>GraphBacillus!$I$37*Bacillus!I127+GraphBacillus!$I$38</f>
        <v>-9.0547291552894649E-2</v>
      </c>
    </row>
    <row r="128" spans="1:21" x14ac:dyDescent="0.2">
      <c r="A128" s="2" t="s">
        <v>1236</v>
      </c>
      <c r="B128" s="2" t="s">
        <v>1237</v>
      </c>
      <c r="C128" s="1">
        <v>9818</v>
      </c>
      <c r="D128" s="1" t="s">
        <v>44</v>
      </c>
      <c r="E128" s="1" t="s">
        <v>933</v>
      </c>
      <c r="F128" s="19" t="s">
        <v>935</v>
      </c>
      <c r="G128" s="1">
        <v>0.9</v>
      </c>
      <c r="H128" s="5"/>
      <c r="I128" s="5">
        <v>103</v>
      </c>
      <c r="J128" s="11">
        <f>4.21</f>
        <v>4.21</v>
      </c>
      <c r="K128" s="5">
        <v>10.6</v>
      </c>
      <c r="L128" s="9">
        <f t="shared" si="4"/>
        <v>0.62428209583566829</v>
      </c>
      <c r="M128" s="11">
        <f>GraphBacillus!$B$10-(I128-GraphBacillus!$B$6)/GraphBacillus!$B$5</f>
        <v>-5.8473235400077428E-2</v>
      </c>
      <c r="N128" s="1" t="s">
        <v>944</v>
      </c>
      <c r="O128">
        <v>1999</v>
      </c>
      <c r="S128" s="10">
        <f>GraphBacillus!$B$37*Bacillus!I128+GraphBacillus!$B$38</f>
        <v>-8.7636233350523618E-2</v>
      </c>
      <c r="T128" s="10">
        <f>GraphBacillus!$E$37*Bacillus!I128+GraphBacillus!$E$38</f>
        <v>4.3883253924340337E-2</v>
      </c>
      <c r="U128" s="10">
        <f>GraphBacillus!$I$37*Bacillus!I128+GraphBacillus!$I$38</f>
        <v>-0.31699317409233707</v>
      </c>
    </row>
    <row r="129" spans="1:21" x14ac:dyDescent="0.2">
      <c r="A129" s="2" t="s">
        <v>1236</v>
      </c>
      <c r="B129" s="2" t="s">
        <v>1237</v>
      </c>
      <c r="C129" s="1">
        <v>9818</v>
      </c>
      <c r="D129" s="1" t="s">
        <v>44</v>
      </c>
      <c r="E129" s="1" t="s">
        <v>933</v>
      </c>
      <c r="F129" s="19" t="s">
        <v>935</v>
      </c>
      <c r="G129" s="1">
        <v>0.9</v>
      </c>
      <c r="H129" s="5"/>
      <c r="I129" s="5">
        <v>110</v>
      </c>
      <c r="J129" s="11">
        <v>0.79</v>
      </c>
      <c r="K129" s="5">
        <v>10.6</v>
      </c>
      <c r="L129" s="9">
        <f t="shared" si="4"/>
        <v>-0.10237290870955855</v>
      </c>
      <c r="M129" s="11">
        <f>GraphBacillus!$B$10-(I129-GraphBacillus!$B$6)/GraphBacillus!$B$5</f>
        <v>-0.6034036833189852</v>
      </c>
      <c r="N129" s="1" t="s">
        <v>944</v>
      </c>
      <c r="O129">
        <v>1999</v>
      </c>
      <c r="S129" s="10">
        <f>GraphBacillus!$B$37*Bacillus!I129+GraphBacillus!$B$38</f>
        <v>-0.55404464197321435</v>
      </c>
      <c r="T129" s="10">
        <f>GraphBacillus!$E$37*Bacillus!I129+GraphBacillus!$E$38</f>
        <v>-0.39767601260308627</v>
      </c>
      <c r="U129" s="10">
        <f>GraphBacillus!$I$37*Bacillus!I129+GraphBacillus!$I$38</f>
        <v>-0.84536690001770243</v>
      </c>
    </row>
    <row r="130" spans="1:21" x14ac:dyDescent="0.2">
      <c r="A130" s="2" t="s">
        <v>1236</v>
      </c>
      <c r="B130" s="2" t="s">
        <v>1237</v>
      </c>
      <c r="C130" s="1">
        <v>9818</v>
      </c>
      <c r="D130" s="1" t="s">
        <v>44</v>
      </c>
      <c r="E130" s="1" t="s">
        <v>933</v>
      </c>
      <c r="F130" s="19" t="s">
        <v>935</v>
      </c>
      <c r="G130" s="1">
        <v>0.9</v>
      </c>
      <c r="H130" s="5"/>
      <c r="I130" s="5">
        <v>115</v>
      </c>
      <c r="J130" s="11">
        <v>0.34</v>
      </c>
      <c r="K130" s="5">
        <v>10.6</v>
      </c>
      <c r="L130" s="9">
        <f t="shared" si="4"/>
        <v>-0.46852108295774486</v>
      </c>
      <c r="M130" s="11">
        <f>GraphBacillus!$B$10-(I130-GraphBacillus!$B$6)/GraphBacillus!$B$5</f>
        <v>-0.99263971754677649</v>
      </c>
      <c r="N130" s="1" t="s">
        <v>944</v>
      </c>
      <c r="O130">
        <v>1999</v>
      </c>
      <c r="S130" s="10">
        <f>GraphBacillus!$B$37*Bacillus!I130+GraphBacillus!$B$38</f>
        <v>-0.88719350527513718</v>
      </c>
      <c r="T130" s="10">
        <f>GraphBacillus!$E$37*Bacillus!I130+GraphBacillus!$E$38</f>
        <v>-0.71307548869410553</v>
      </c>
      <c r="U130" s="10">
        <f>GraphBacillus!$I$37*Bacillus!I130+GraphBacillus!$I$38</f>
        <v>-1.2227767042501076</v>
      </c>
    </row>
    <row r="131" spans="1:21" x14ac:dyDescent="0.2">
      <c r="A131" s="2" t="s">
        <v>1236</v>
      </c>
      <c r="B131" s="2" t="s">
        <v>1237</v>
      </c>
      <c r="C131" s="1">
        <v>4342</v>
      </c>
      <c r="D131" s="1" t="s">
        <v>44</v>
      </c>
      <c r="E131" s="1" t="s">
        <v>933</v>
      </c>
      <c r="F131" s="19" t="s">
        <v>936</v>
      </c>
      <c r="G131" s="1">
        <v>0.71</v>
      </c>
      <c r="H131" s="5">
        <v>9.0500000000000007</v>
      </c>
      <c r="I131" s="5">
        <v>98</v>
      </c>
      <c r="J131" s="11">
        <v>3.25</v>
      </c>
      <c r="K131" s="5">
        <v>10.8</v>
      </c>
      <c r="L131" s="9">
        <f t="shared" si="4"/>
        <v>0.51188336097887432</v>
      </c>
      <c r="M131" s="11">
        <f>GraphBacillus!$B$10-(I131-GraphBacillus!$B$6)/GraphBacillus!$B$5</f>
        <v>0.33076279882771398</v>
      </c>
      <c r="N131" s="1" t="s">
        <v>944</v>
      </c>
      <c r="O131">
        <v>1999</v>
      </c>
      <c r="S131" s="10">
        <f>GraphBacillus!$B$37*Bacillus!I131+GraphBacillus!$B$38</f>
        <v>0.24551262995139833</v>
      </c>
      <c r="T131" s="10">
        <f>GraphBacillus!$E$37*Bacillus!I131+GraphBacillus!$E$38</f>
        <v>0.3592827300153596</v>
      </c>
      <c r="U131" s="10">
        <f>GraphBacillus!$I$37*Bacillus!I131+GraphBacillus!$I$38</f>
        <v>6.0416630140067262E-2</v>
      </c>
    </row>
    <row r="132" spans="1:21" x14ac:dyDescent="0.2">
      <c r="A132" s="2" t="s">
        <v>1236</v>
      </c>
      <c r="B132" s="2" t="s">
        <v>1237</v>
      </c>
      <c r="C132" s="1">
        <v>4342</v>
      </c>
      <c r="D132" s="1" t="s">
        <v>44</v>
      </c>
      <c r="E132" s="1" t="s">
        <v>933</v>
      </c>
      <c r="F132" s="19" t="s">
        <v>936</v>
      </c>
      <c r="G132" s="1">
        <v>0.71</v>
      </c>
      <c r="H132" s="5">
        <v>9.0500000000000007</v>
      </c>
      <c r="I132" s="5">
        <v>100</v>
      </c>
      <c r="J132" s="11">
        <f>1.61</f>
        <v>1.61</v>
      </c>
      <c r="K132" s="5">
        <v>10.8</v>
      </c>
      <c r="L132" s="9">
        <f t="shared" si="4"/>
        <v>0.20682587603184974</v>
      </c>
      <c r="M132" s="11">
        <f>GraphBacillus!$B$10-(I132-GraphBacillus!$B$6)/GraphBacillus!$B$5</f>
        <v>0.1750683851365975</v>
      </c>
      <c r="N132" s="1" t="s">
        <v>944</v>
      </c>
      <c r="O132">
        <v>1999</v>
      </c>
      <c r="S132" s="10">
        <f>GraphBacillus!$B$37*Bacillus!I132+GraphBacillus!$B$38</f>
        <v>0.11225308463062955</v>
      </c>
      <c r="T132" s="10">
        <f>GraphBacillus!$E$37*Bacillus!I132+GraphBacillus!$E$38</f>
        <v>0.23312293957895225</v>
      </c>
      <c r="U132" s="10">
        <f>GraphBacillus!$I$37*Bacillus!I132+GraphBacillus!$I$38</f>
        <v>-9.0547291552894649E-2</v>
      </c>
    </row>
    <row r="133" spans="1:21" x14ac:dyDescent="0.2">
      <c r="A133" s="2" t="s">
        <v>1236</v>
      </c>
      <c r="B133" s="2" t="s">
        <v>1237</v>
      </c>
      <c r="C133" s="1">
        <v>4342</v>
      </c>
      <c r="D133" s="1" t="s">
        <v>44</v>
      </c>
      <c r="E133" s="1" t="s">
        <v>933</v>
      </c>
      <c r="F133" s="19" t="s">
        <v>936</v>
      </c>
      <c r="G133" s="1">
        <v>0.71</v>
      </c>
      <c r="H133" s="5">
        <v>9.0500000000000007</v>
      </c>
      <c r="I133" s="5">
        <v>106</v>
      </c>
      <c r="J133" s="11">
        <v>0.44</v>
      </c>
      <c r="K133" s="5">
        <v>10.8</v>
      </c>
      <c r="L133" s="9">
        <f t="shared" si="4"/>
        <v>-0.35654732351381258</v>
      </c>
      <c r="M133" s="11">
        <f>GraphBacillus!$B$10-(I133-GraphBacillus!$B$6)/GraphBacillus!$B$5</f>
        <v>-0.29201485593675214</v>
      </c>
      <c r="N133" s="1" t="s">
        <v>944</v>
      </c>
      <c r="O133">
        <v>1999</v>
      </c>
      <c r="S133" s="10">
        <f>GraphBacillus!$B$37*Bacillus!I133+GraphBacillus!$B$38</f>
        <v>-0.28752555133167679</v>
      </c>
      <c r="T133" s="10">
        <f>GraphBacillus!$E$37*Bacillus!I133+GraphBacillus!$E$38</f>
        <v>-0.14535643173027069</v>
      </c>
      <c r="U133" s="10">
        <f>GraphBacillus!$I$37*Bacillus!I133+GraphBacillus!$I$38</f>
        <v>-0.54343905663178038</v>
      </c>
    </row>
    <row r="134" spans="1:21" x14ac:dyDescent="0.2">
      <c r="A134" s="2" t="s">
        <v>1236</v>
      </c>
      <c r="B134" s="2" t="s">
        <v>1237</v>
      </c>
      <c r="C134" s="1">
        <v>4342</v>
      </c>
      <c r="D134" s="1" t="s">
        <v>44</v>
      </c>
      <c r="E134" s="1" t="s">
        <v>933</v>
      </c>
      <c r="F134" s="19" t="s">
        <v>936</v>
      </c>
      <c r="G134" s="1">
        <v>0.71</v>
      </c>
      <c r="H134" s="5">
        <v>9.0500000000000007</v>
      </c>
      <c r="I134" s="5">
        <v>110</v>
      </c>
      <c r="J134" s="11">
        <v>0.22</v>
      </c>
      <c r="K134" s="5">
        <v>10.8</v>
      </c>
      <c r="L134" s="9">
        <f t="shared" si="4"/>
        <v>-0.65757731917779372</v>
      </c>
      <c r="M134" s="11">
        <f>GraphBacillus!$B$10-(I134-GraphBacillus!$B$6)/GraphBacillus!$B$5</f>
        <v>-0.6034036833189852</v>
      </c>
      <c r="N134" s="1" t="s">
        <v>944</v>
      </c>
      <c r="O134">
        <v>1999</v>
      </c>
      <c r="S134" s="10">
        <f>GraphBacillus!$B$37*Bacillus!I134+GraphBacillus!$B$38</f>
        <v>-0.55404464197321435</v>
      </c>
      <c r="T134" s="10">
        <f>GraphBacillus!$E$37*Bacillus!I134+GraphBacillus!$E$38</f>
        <v>-0.39767601260308627</v>
      </c>
      <c r="U134" s="10">
        <f>GraphBacillus!$I$37*Bacillus!I134+GraphBacillus!$I$38</f>
        <v>-0.84536690001770243</v>
      </c>
    </row>
    <row r="135" spans="1:21" x14ac:dyDescent="0.2">
      <c r="A135" s="2" t="s">
        <v>1236</v>
      </c>
      <c r="B135" s="2" t="s">
        <v>1237</v>
      </c>
      <c r="C135" s="1">
        <v>4342</v>
      </c>
      <c r="D135" s="1" t="s">
        <v>44</v>
      </c>
      <c r="E135" s="1" t="s">
        <v>933</v>
      </c>
      <c r="F135" s="19" t="s">
        <v>936</v>
      </c>
      <c r="G135" s="1">
        <v>0.71</v>
      </c>
      <c r="H135" s="5">
        <v>9.0500000000000007</v>
      </c>
      <c r="I135" s="5">
        <v>115</v>
      </c>
      <c r="J135" s="11">
        <v>7.6999999999999999E-2</v>
      </c>
      <c r="K135" s="5">
        <v>10.8</v>
      </c>
      <c r="L135" s="9">
        <f t="shared" si="4"/>
        <v>-1.1135092748275182</v>
      </c>
      <c r="M135" s="11">
        <f>GraphBacillus!$B$10-(I135-GraphBacillus!$B$6)/GraphBacillus!$B$5</f>
        <v>-0.99263971754677649</v>
      </c>
      <c r="N135" s="1" t="s">
        <v>944</v>
      </c>
      <c r="O135">
        <v>1999</v>
      </c>
      <c r="S135" s="10">
        <f>GraphBacillus!$B$37*Bacillus!I135+GraphBacillus!$B$38</f>
        <v>-0.88719350527513718</v>
      </c>
      <c r="T135" s="10">
        <f>GraphBacillus!$E$37*Bacillus!I135+GraphBacillus!$E$38</f>
        <v>-0.71307548869410553</v>
      </c>
      <c r="U135" s="10">
        <f>GraphBacillus!$I$37*Bacillus!I135+GraphBacillus!$I$38</f>
        <v>-1.2227767042501076</v>
      </c>
    </row>
    <row r="136" spans="1:21" x14ac:dyDescent="0.2">
      <c r="A136" s="2" t="s">
        <v>1236</v>
      </c>
      <c r="B136" s="2" t="s">
        <v>1237</v>
      </c>
      <c r="C136" s="1">
        <v>7004</v>
      </c>
      <c r="D136" s="1" t="s">
        <v>44</v>
      </c>
      <c r="E136" s="1" t="s">
        <v>933</v>
      </c>
      <c r="F136" s="19" t="s">
        <v>936</v>
      </c>
      <c r="G136" s="1">
        <v>0.71</v>
      </c>
      <c r="H136" s="5">
        <v>9.0500000000000007</v>
      </c>
      <c r="I136" s="5">
        <v>96</v>
      </c>
      <c r="J136" s="11">
        <v>1.05</v>
      </c>
      <c r="K136" s="5">
        <v>12.1</v>
      </c>
      <c r="L136" s="9">
        <f t="shared" si="4"/>
        <v>2.1189299069938092E-2</v>
      </c>
      <c r="M136" s="11">
        <f>GraphBacillus!$B$10-(I136-GraphBacillus!$B$6)/GraphBacillus!$B$5</f>
        <v>0.48645721251883067</v>
      </c>
      <c r="N136" s="1" t="s">
        <v>944</v>
      </c>
      <c r="O136">
        <v>1999</v>
      </c>
      <c r="S136" s="10">
        <f>GraphBacillus!$B$37*Bacillus!I136+GraphBacillus!$B$38</f>
        <v>0.37877217527216711</v>
      </c>
      <c r="T136" s="10">
        <f>GraphBacillus!$E$37*Bacillus!I136+GraphBacillus!$E$38</f>
        <v>0.48544252045176783</v>
      </c>
      <c r="U136" s="10">
        <f>GraphBacillus!$I$37*Bacillus!I136+GraphBacillus!$I$38</f>
        <v>0.21138055183302829</v>
      </c>
    </row>
    <row r="137" spans="1:21" x14ac:dyDescent="0.2">
      <c r="A137" s="2" t="s">
        <v>1236</v>
      </c>
      <c r="B137" s="2" t="s">
        <v>1237</v>
      </c>
      <c r="C137" s="1">
        <v>7004</v>
      </c>
      <c r="D137" s="1" t="s">
        <v>44</v>
      </c>
      <c r="E137" s="1" t="s">
        <v>933</v>
      </c>
      <c r="F137" s="19" t="s">
        <v>936</v>
      </c>
      <c r="G137" s="1">
        <v>0.71</v>
      </c>
      <c r="H137" s="5">
        <v>9.0500000000000007</v>
      </c>
      <c r="I137" s="5">
        <v>100</v>
      </c>
      <c r="J137" s="11">
        <f>0.54</f>
        <v>0.54</v>
      </c>
      <c r="K137" s="5">
        <v>12.1</v>
      </c>
      <c r="L137" s="9">
        <f t="shared" si="4"/>
        <v>-0.26760624017703144</v>
      </c>
      <c r="M137" s="11">
        <f>GraphBacillus!$B$10-(I137-GraphBacillus!$B$6)/GraphBacillus!$B$5</f>
        <v>0.1750683851365975</v>
      </c>
      <c r="N137" s="1" t="s">
        <v>944</v>
      </c>
      <c r="O137">
        <v>1999</v>
      </c>
      <c r="S137" s="10">
        <f>GraphBacillus!$B$37*Bacillus!I137+GraphBacillus!$B$38</f>
        <v>0.11225308463062955</v>
      </c>
      <c r="T137" s="10">
        <f>GraphBacillus!$E$37*Bacillus!I137+GraphBacillus!$E$38</f>
        <v>0.23312293957895225</v>
      </c>
      <c r="U137" s="10">
        <f>GraphBacillus!$I$37*Bacillus!I137+GraphBacillus!$I$38</f>
        <v>-9.0547291552894649E-2</v>
      </c>
    </row>
    <row r="138" spans="1:21" x14ac:dyDescent="0.2">
      <c r="A138" s="2" t="s">
        <v>1236</v>
      </c>
      <c r="B138" s="2" t="s">
        <v>1237</v>
      </c>
      <c r="C138" s="1">
        <v>7004</v>
      </c>
      <c r="D138" s="1" t="s">
        <v>44</v>
      </c>
      <c r="E138" s="1" t="s">
        <v>933</v>
      </c>
      <c r="F138" s="19" t="s">
        <v>936</v>
      </c>
      <c r="G138" s="1">
        <v>0.71</v>
      </c>
      <c r="H138" s="5">
        <v>9.0500000000000007</v>
      </c>
      <c r="I138" s="5">
        <v>103</v>
      </c>
      <c r="J138" s="11">
        <f>0.27</f>
        <v>0.27</v>
      </c>
      <c r="K138" s="5">
        <v>12.1</v>
      </c>
      <c r="L138" s="9">
        <f t="shared" si="4"/>
        <v>-0.56863623584101264</v>
      </c>
      <c r="M138" s="11">
        <f>GraphBacillus!$B$10-(I138-GraphBacillus!$B$6)/GraphBacillus!$B$5</f>
        <v>-5.8473235400077428E-2</v>
      </c>
      <c r="N138" s="1" t="s">
        <v>944</v>
      </c>
      <c r="O138">
        <v>1999</v>
      </c>
      <c r="S138" s="10">
        <f>GraphBacillus!$B$37*Bacillus!I138+GraphBacillus!$B$38</f>
        <v>-8.7636233350523618E-2</v>
      </c>
      <c r="T138" s="10">
        <f>GraphBacillus!$E$37*Bacillus!I138+GraphBacillus!$E$38</f>
        <v>4.3883253924340337E-2</v>
      </c>
      <c r="U138" s="10">
        <f>GraphBacillus!$I$37*Bacillus!I138+GraphBacillus!$I$38</f>
        <v>-0.31699317409233707</v>
      </c>
    </row>
    <row r="139" spans="1:21" x14ac:dyDescent="0.2">
      <c r="A139" s="2" t="s">
        <v>1236</v>
      </c>
      <c r="B139" s="2" t="s">
        <v>1237</v>
      </c>
      <c r="C139" s="1">
        <v>7004</v>
      </c>
      <c r="D139" s="1" t="s">
        <v>44</v>
      </c>
      <c r="E139" s="1" t="s">
        <v>933</v>
      </c>
      <c r="F139" s="19" t="s">
        <v>936</v>
      </c>
      <c r="G139" s="1">
        <v>0.71</v>
      </c>
      <c r="H139" s="5">
        <v>9.0500000000000007</v>
      </c>
      <c r="I139" s="5">
        <v>106</v>
      </c>
      <c r="J139" s="11">
        <v>0.15</v>
      </c>
      <c r="K139" s="5">
        <v>12.1</v>
      </c>
      <c r="L139" s="9">
        <f t="shared" si="4"/>
        <v>-0.82390874094431876</v>
      </c>
      <c r="M139" s="11">
        <f>GraphBacillus!$B$10-(I139-GraphBacillus!$B$6)/GraphBacillus!$B$5</f>
        <v>-0.29201485593675214</v>
      </c>
      <c r="N139" s="1" t="s">
        <v>944</v>
      </c>
      <c r="O139">
        <v>1999</v>
      </c>
      <c r="S139" s="10">
        <f>GraphBacillus!$B$37*Bacillus!I139+GraphBacillus!$B$38</f>
        <v>-0.28752555133167679</v>
      </c>
      <c r="T139" s="10">
        <f>GraphBacillus!$E$37*Bacillus!I139+GraphBacillus!$E$38</f>
        <v>-0.14535643173027069</v>
      </c>
      <c r="U139" s="10">
        <f>GraphBacillus!$I$37*Bacillus!I139+GraphBacillus!$I$38</f>
        <v>-0.54343905663178038</v>
      </c>
    </row>
    <row r="140" spans="1:21" x14ac:dyDescent="0.2">
      <c r="A140" s="2" t="s">
        <v>1236</v>
      </c>
      <c r="B140" s="2" t="s">
        <v>1237</v>
      </c>
      <c r="C140" s="1">
        <v>9818</v>
      </c>
      <c r="D140" s="1" t="s">
        <v>44</v>
      </c>
      <c r="E140" s="1" t="s">
        <v>933</v>
      </c>
      <c r="F140" s="19" t="s">
        <v>936</v>
      </c>
      <c r="G140" s="1">
        <v>0.71</v>
      </c>
      <c r="H140" s="5">
        <v>9.0500000000000007</v>
      </c>
      <c r="I140" s="5">
        <v>100</v>
      </c>
      <c r="J140" s="11">
        <v>8.1</v>
      </c>
      <c r="K140" s="5">
        <v>11</v>
      </c>
      <c r="L140" s="9">
        <f t="shared" si="4"/>
        <v>0.90848501887864974</v>
      </c>
      <c r="M140" s="11">
        <f>GraphBacillus!$B$10-(I140-GraphBacillus!$B$6)/GraphBacillus!$B$5</f>
        <v>0.1750683851365975</v>
      </c>
      <c r="N140" s="1" t="s">
        <v>944</v>
      </c>
      <c r="O140">
        <v>1999</v>
      </c>
      <c r="S140" s="10">
        <f>GraphBacillus!$B$37*Bacillus!I140+GraphBacillus!$B$38</f>
        <v>0.11225308463062955</v>
      </c>
      <c r="T140" s="10">
        <f>GraphBacillus!$E$37*Bacillus!I140+GraphBacillus!$E$38</f>
        <v>0.23312293957895225</v>
      </c>
      <c r="U140" s="10">
        <f>GraphBacillus!$I$37*Bacillus!I140+GraphBacillus!$I$38</f>
        <v>-9.0547291552894649E-2</v>
      </c>
    </row>
    <row r="141" spans="1:21" x14ac:dyDescent="0.2">
      <c r="A141" s="2" t="s">
        <v>1236</v>
      </c>
      <c r="B141" s="2" t="s">
        <v>1237</v>
      </c>
      <c r="C141" s="1">
        <v>9818</v>
      </c>
      <c r="D141" s="1" t="s">
        <v>44</v>
      </c>
      <c r="E141" s="1" t="s">
        <v>933</v>
      </c>
      <c r="F141" s="19" t="s">
        <v>936</v>
      </c>
      <c r="G141" s="1">
        <v>0.71</v>
      </c>
      <c r="H141" s="5">
        <v>9.0500000000000007</v>
      </c>
      <c r="I141" s="5">
        <v>103</v>
      </c>
      <c r="J141" s="11">
        <f>3.97</f>
        <v>3.97</v>
      </c>
      <c r="K141" s="5">
        <v>11</v>
      </c>
      <c r="L141" s="9">
        <f t="shared" si="4"/>
        <v>0.59879050676311507</v>
      </c>
      <c r="M141" s="11">
        <f>GraphBacillus!$B$10-(I141-GraphBacillus!$B$6)/GraphBacillus!$B$5</f>
        <v>-5.8473235400077428E-2</v>
      </c>
      <c r="N141" s="1" t="s">
        <v>944</v>
      </c>
      <c r="O141">
        <v>1999</v>
      </c>
      <c r="S141" s="10">
        <f>GraphBacillus!$B$37*Bacillus!I141+GraphBacillus!$B$38</f>
        <v>-8.7636233350523618E-2</v>
      </c>
      <c r="T141" s="10">
        <f>GraphBacillus!$E$37*Bacillus!I141+GraphBacillus!$E$38</f>
        <v>4.3883253924340337E-2</v>
      </c>
      <c r="U141" s="10">
        <f>GraphBacillus!$I$37*Bacillus!I141+GraphBacillus!$I$38</f>
        <v>-0.31699317409233707</v>
      </c>
    </row>
    <row r="142" spans="1:21" x14ac:dyDescent="0.2">
      <c r="A142" s="2" t="s">
        <v>1236</v>
      </c>
      <c r="B142" s="2" t="s">
        <v>1237</v>
      </c>
      <c r="C142" s="1">
        <v>9818</v>
      </c>
      <c r="D142" s="1" t="s">
        <v>44</v>
      </c>
      <c r="E142" s="1" t="s">
        <v>933</v>
      </c>
      <c r="F142" s="19" t="s">
        <v>936</v>
      </c>
      <c r="G142" s="1">
        <v>0.71</v>
      </c>
      <c r="H142" s="5">
        <v>9.0500000000000007</v>
      </c>
      <c r="I142" s="5">
        <v>110</v>
      </c>
      <c r="J142" s="11">
        <v>0.92</v>
      </c>
      <c r="K142" s="5">
        <v>11</v>
      </c>
      <c r="L142" s="9">
        <f t="shared" si="4"/>
        <v>-3.6212172654444715E-2</v>
      </c>
      <c r="M142" s="11">
        <f>GraphBacillus!$B$10-(I142-GraphBacillus!$B$6)/GraphBacillus!$B$5</f>
        <v>-0.6034036833189852</v>
      </c>
      <c r="N142" s="1" t="s">
        <v>944</v>
      </c>
      <c r="O142">
        <v>1999</v>
      </c>
      <c r="S142" s="10">
        <f>GraphBacillus!$B$37*Bacillus!I142+GraphBacillus!$B$38</f>
        <v>-0.55404464197321435</v>
      </c>
      <c r="T142" s="10">
        <f>GraphBacillus!$E$37*Bacillus!I142+GraphBacillus!$E$38</f>
        <v>-0.39767601260308627</v>
      </c>
      <c r="U142" s="10">
        <f>GraphBacillus!$I$37*Bacillus!I142+GraphBacillus!$I$38</f>
        <v>-0.84536690001770243</v>
      </c>
    </row>
    <row r="143" spans="1:21" x14ac:dyDescent="0.2">
      <c r="A143" s="2" t="s">
        <v>1236</v>
      </c>
      <c r="B143" s="2" t="s">
        <v>1237</v>
      </c>
      <c r="C143" s="1">
        <v>9818</v>
      </c>
      <c r="D143" s="1" t="s">
        <v>44</v>
      </c>
      <c r="E143" s="1" t="s">
        <v>933</v>
      </c>
      <c r="F143" s="19" t="s">
        <v>936</v>
      </c>
      <c r="G143" s="1">
        <v>0.71</v>
      </c>
      <c r="H143" s="5">
        <v>9.0500000000000007</v>
      </c>
      <c r="I143" s="5">
        <v>115</v>
      </c>
      <c r="J143" s="11">
        <v>0.35</v>
      </c>
      <c r="K143" s="5">
        <v>11</v>
      </c>
      <c r="L143" s="9">
        <f t="shared" si="4"/>
        <v>-0.45593195564972439</v>
      </c>
      <c r="M143" s="11">
        <f>GraphBacillus!$B$10-(I143-GraphBacillus!$B$6)/GraphBacillus!$B$5</f>
        <v>-0.99263971754677649</v>
      </c>
      <c r="N143" s="1" t="s">
        <v>944</v>
      </c>
      <c r="O143">
        <v>1999</v>
      </c>
      <c r="S143" s="10">
        <f>GraphBacillus!$B$37*Bacillus!I143+GraphBacillus!$B$38</f>
        <v>-0.88719350527513718</v>
      </c>
      <c r="T143" s="10">
        <f>GraphBacillus!$E$37*Bacillus!I143+GraphBacillus!$E$38</f>
        <v>-0.71307548869410553</v>
      </c>
      <c r="U143" s="10">
        <f>GraphBacillus!$I$37*Bacillus!I143+GraphBacillus!$I$38</f>
        <v>-1.2227767042501076</v>
      </c>
    </row>
    <row r="144" spans="1:21" x14ac:dyDescent="0.2">
      <c r="A144" s="2" t="s">
        <v>1236</v>
      </c>
      <c r="B144" s="2" t="s">
        <v>1237</v>
      </c>
      <c r="C144" s="1">
        <v>4342</v>
      </c>
      <c r="D144" s="1" t="s">
        <v>44</v>
      </c>
      <c r="E144" s="1" t="s">
        <v>933</v>
      </c>
      <c r="F144" s="19" t="s">
        <v>928</v>
      </c>
      <c r="G144" s="1">
        <v>0.99</v>
      </c>
      <c r="H144" s="5">
        <v>7.6</v>
      </c>
      <c r="I144" s="4">
        <v>98</v>
      </c>
      <c r="J144" s="9">
        <v>4.55</v>
      </c>
      <c r="K144" s="5">
        <v>8.1999999999999993</v>
      </c>
      <c r="L144" s="9">
        <f t="shared" si="4"/>
        <v>0.65801139665711239</v>
      </c>
      <c r="M144" s="11">
        <f>GraphBacillus!$B$10-(I144-GraphBacillus!$B$6)/GraphBacillus!$B$5</f>
        <v>0.33076279882771398</v>
      </c>
      <c r="N144" s="1" t="s">
        <v>944</v>
      </c>
      <c r="O144">
        <v>1999</v>
      </c>
      <c r="S144" s="10">
        <f>GraphBacillus!$B$37*Bacillus!I144+GraphBacillus!$B$38</f>
        <v>0.24551262995139833</v>
      </c>
      <c r="T144" s="10">
        <f>GraphBacillus!$E$37*Bacillus!I144+GraphBacillus!$E$38</f>
        <v>0.3592827300153596</v>
      </c>
      <c r="U144" s="10">
        <f>GraphBacillus!$I$37*Bacillus!I144+GraphBacillus!$I$38</f>
        <v>6.0416630140067262E-2</v>
      </c>
    </row>
    <row r="145" spans="1:21" x14ac:dyDescent="0.2">
      <c r="A145" s="2" t="s">
        <v>1236</v>
      </c>
      <c r="B145" s="2" t="s">
        <v>1237</v>
      </c>
      <c r="C145" s="1">
        <v>4342</v>
      </c>
      <c r="D145" s="1" t="s">
        <v>44</v>
      </c>
      <c r="E145" s="1" t="s">
        <v>933</v>
      </c>
      <c r="F145" s="19" t="s">
        <v>928</v>
      </c>
      <c r="G145" s="1">
        <v>0.99</v>
      </c>
      <c r="H145" s="5">
        <v>7.6</v>
      </c>
      <c r="I145" s="5">
        <v>100</v>
      </c>
      <c r="J145" s="9">
        <f>2.28</f>
        <v>2.2799999999999998</v>
      </c>
      <c r="K145" s="5">
        <v>8.1999999999999993</v>
      </c>
      <c r="L145" s="9">
        <f t="shared" ref="L145:L196" si="5">LOG(J145)</f>
        <v>0.35793484700045375</v>
      </c>
      <c r="M145" s="11">
        <f>GraphBacillus!$B$10-(I145-GraphBacillus!$B$6)/GraphBacillus!$B$5</f>
        <v>0.1750683851365975</v>
      </c>
      <c r="N145" s="1" t="s">
        <v>944</v>
      </c>
      <c r="O145">
        <v>1999</v>
      </c>
      <c r="S145" s="10">
        <f>GraphBacillus!$B$37*Bacillus!I145+GraphBacillus!$B$38</f>
        <v>0.11225308463062955</v>
      </c>
      <c r="T145" s="10">
        <f>GraphBacillus!$E$37*Bacillus!I145+GraphBacillus!$E$38</f>
        <v>0.23312293957895225</v>
      </c>
      <c r="U145" s="10">
        <f>GraphBacillus!$I$37*Bacillus!I145+GraphBacillus!$I$38</f>
        <v>-9.0547291552894649E-2</v>
      </c>
    </row>
    <row r="146" spans="1:21" x14ac:dyDescent="0.2">
      <c r="A146" s="2" t="s">
        <v>1236</v>
      </c>
      <c r="B146" s="2" t="s">
        <v>1237</v>
      </c>
      <c r="C146" s="1">
        <v>4342</v>
      </c>
      <c r="D146" s="1" t="s">
        <v>44</v>
      </c>
      <c r="E146" s="1" t="s">
        <v>933</v>
      </c>
      <c r="F146" s="19" t="s">
        <v>928</v>
      </c>
      <c r="G146" s="1">
        <v>0.99</v>
      </c>
      <c r="H146" s="5">
        <v>7.6</v>
      </c>
      <c r="I146" s="5">
        <v>106</v>
      </c>
      <c r="J146" s="9">
        <v>0.47</v>
      </c>
      <c r="K146" s="5">
        <v>8.1999999999999993</v>
      </c>
      <c r="L146" s="9">
        <f t="shared" si="5"/>
        <v>-0.32790214206428259</v>
      </c>
      <c r="M146" s="11">
        <f>GraphBacillus!$B$10-(I146-GraphBacillus!$B$6)/GraphBacillus!$B$5</f>
        <v>-0.29201485593675214</v>
      </c>
      <c r="N146" s="1" t="s">
        <v>944</v>
      </c>
      <c r="O146">
        <v>1999</v>
      </c>
      <c r="S146" s="10">
        <f>GraphBacillus!$B$37*Bacillus!I146+GraphBacillus!$B$38</f>
        <v>-0.28752555133167679</v>
      </c>
      <c r="T146" s="10">
        <f>GraphBacillus!$E$37*Bacillus!I146+GraphBacillus!$E$38</f>
        <v>-0.14535643173027069</v>
      </c>
      <c r="U146" s="10">
        <f>GraphBacillus!$I$37*Bacillus!I146+GraphBacillus!$I$38</f>
        <v>-0.54343905663178038</v>
      </c>
    </row>
    <row r="147" spans="1:21" x14ac:dyDescent="0.2">
      <c r="A147" s="2" t="s">
        <v>1236</v>
      </c>
      <c r="B147" s="2" t="s">
        <v>1237</v>
      </c>
      <c r="C147" s="1">
        <v>4342</v>
      </c>
      <c r="D147" s="1" t="s">
        <v>44</v>
      </c>
      <c r="E147" s="1" t="s">
        <v>933</v>
      </c>
      <c r="F147" s="19" t="s">
        <v>928</v>
      </c>
      <c r="G147" s="1">
        <v>0.99</v>
      </c>
      <c r="H147" s="5">
        <v>7.6</v>
      </c>
      <c r="I147" s="5">
        <v>110</v>
      </c>
      <c r="J147" s="9">
        <v>0.15</v>
      </c>
      <c r="K147" s="5">
        <v>8.1999999999999993</v>
      </c>
      <c r="L147" s="9">
        <f t="shared" si="5"/>
        <v>-0.82390874094431876</v>
      </c>
      <c r="M147" s="11">
        <f>GraphBacillus!$B$10-(I147-GraphBacillus!$B$6)/GraphBacillus!$B$5</f>
        <v>-0.6034036833189852</v>
      </c>
      <c r="N147" s="1" t="s">
        <v>944</v>
      </c>
      <c r="O147">
        <v>1999</v>
      </c>
      <c r="S147" s="10">
        <f>GraphBacillus!$B$37*Bacillus!I147+GraphBacillus!$B$38</f>
        <v>-0.55404464197321435</v>
      </c>
      <c r="T147" s="10">
        <f>GraphBacillus!$E$37*Bacillus!I147+GraphBacillus!$E$38</f>
        <v>-0.39767601260308627</v>
      </c>
      <c r="U147" s="10">
        <f>GraphBacillus!$I$37*Bacillus!I147+GraphBacillus!$I$38</f>
        <v>-0.84536690001770243</v>
      </c>
    </row>
    <row r="148" spans="1:21" x14ac:dyDescent="0.2">
      <c r="A148" s="2" t="s">
        <v>1236</v>
      </c>
      <c r="B148" s="2" t="s">
        <v>1237</v>
      </c>
      <c r="C148" s="1">
        <v>7004</v>
      </c>
      <c r="D148" s="1" t="s">
        <v>44</v>
      </c>
      <c r="E148" s="1" t="s">
        <v>933</v>
      </c>
      <c r="F148" s="19" t="s">
        <v>928</v>
      </c>
      <c r="G148" s="19">
        <v>0.99</v>
      </c>
      <c r="H148" s="5">
        <v>7.6</v>
      </c>
      <c r="I148" s="5">
        <v>92</v>
      </c>
      <c r="J148" s="9">
        <v>3.28</v>
      </c>
      <c r="K148" s="5">
        <v>8</v>
      </c>
      <c r="L148" s="9">
        <f t="shared" si="5"/>
        <v>0.5158738437116791</v>
      </c>
      <c r="M148" s="11">
        <f>GraphBacillus!$B$10-(I148-GraphBacillus!$B$6)/GraphBacillus!$B$5</f>
        <v>0.79784603990106362</v>
      </c>
      <c r="N148" s="1" t="s">
        <v>944</v>
      </c>
      <c r="O148">
        <v>1999</v>
      </c>
      <c r="S148" s="10">
        <f>GraphBacillus!$B$37*Bacillus!I148+GraphBacillus!$B$38</f>
        <v>0.64529126591370467</v>
      </c>
      <c r="T148" s="10">
        <f>GraphBacillus!$E$37*Bacillus!I148+GraphBacillus!$E$38</f>
        <v>0.73776210132458253</v>
      </c>
      <c r="U148" s="10">
        <f>GraphBacillus!$I$37*Bacillus!I148+GraphBacillus!$I$38</f>
        <v>0.51330839521895211</v>
      </c>
    </row>
    <row r="149" spans="1:21" x14ac:dyDescent="0.2">
      <c r="A149" s="2" t="s">
        <v>1236</v>
      </c>
      <c r="B149" s="2" t="s">
        <v>1237</v>
      </c>
      <c r="C149" s="1">
        <v>7004</v>
      </c>
      <c r="D149" s="1" t="s">
        <v>44</v>
      </c>
      <c r="E149" s="1" t="s">
        <v>933</v>
      </c>
      <c r="F149" s="19" t="s">
        <v>928</v>
      </c>
      <c r="G149" s="19">
        <v>0.99</v>
      </c>
      <c r="H149" s="5">
        <v>7.6</v>
      </c>
      <c r="I149" s="5">
        <v>96</v>
      </c>
      <c r="J149" s="9">
        <v>1</v>
      </c>
      <c r="K149" s="5">
        <v>8</v>
      </c>
      <c r="L149" s="9">
        <f t="shared" si="5"/>
        <v>0</v>
      </c>
      <c r="M149" s="11">
        <f>GraphBacillus!$B$10-(I149-GraphBacillus!$B$6)/GraphBacillus!$B$5</f>
        <v>0.48645721251883067</v>
      </c>
      <c r="N149" s="1" t="s">
        <v>944</v>
      </c>
      <c r="O149">
        <v>1999</v>
      </c>
      <c r="S149" s="10">
        <f>GraphBacillus!$B$37*Bacillus!I149+GraphBacillus!$B$38</f>
        <v>0.37877217527216711</v>
      </c>
      <c r="T149" s="10">
        <f>GraphBacillus!$E$37*Bacillus!I149+GraphBacillus!$E$38</f>
        <v>0.48544252045176783</v>
      </c>
      <c r="U149" s="10">
        <f>GraphBacillus!$I$37*Bacillus!I149+GraphBacillus!$I$38</f>
        <v>0.21138055183302829</v>
      </c>
    </row>
    <row r="150" spans="1:21" x14ac:dyDescent="0.2">
      <c r="A150" s="2" t="s">
        <v>1236</v>
      </c>
      <c r="B150" s="2" t="s">
        <v>1237</v>
      </c>
      <c r="C150" s="1">
        <v>7004</v>
      </c>
      <c r="D150" s="1" t="s">
        <v>44</v>
      </c>
      <c r="E150" s="1" t="s">
        <v>933</v>
      </c>
      <c r="F150" s="19" t="s">
        <v>928</v>
      </c>
      <c r="G150" s="19">
        <v>0.99</v>
      </c>
      <c r="H150" s="5">
        <v>7.6</v>
      </c>
      <c r="I150" s="5">
        <v>100</v>
      </c>
      <c r="J150" s="9">
        <f>0.37</f>
        <v>0.37</v>
      </c>
      <c r="K150" s="5">
        <v>8</v>
      </c>
      <c r="L150" s="9">
        <f t="shared" si="5"/>
        <v>-0.43179827593300502</v>
      </c>
      <c r="M150" s="11">
        <f>GraphBacillus!$B$10-(I150-GraphBacillus!$B$6)/GraphBacillus!$B$5</f>
        <v>0.1750683851365975</v>
      </c>
      <c r="N150" s="1" t="s">
        <v>944</v>
      </c>
      <c r="O150">
        <v>1999</v>
      </c>
      <c r="S150" s="10">
        <f>GraphBacillus!$B$37*Bacillus!I150+GraphBacillus!$B$38</f>
        <v>0.11225308463062955</v>
      </c>
      <c r="T150" s="10">
        <f>GraphBacillus!$E$37*Bacillus!I150+GraphBacillus!$E$38</f>
        <v>0.23312293957895225</v>
      </c>
      <c r="U150" s="10">
        <f>GraphBacillus!$I$37*Bacillus!I150+GraphBacillus!$I$38</f>
        <v>-9.0547291552894649E-2</v>
      </c>
    </row>
    <row r="151" spans="1:21" x14ac:dyDescent="0.2">
      <c r="A151" s="2" t="s">
        <v>1236</v>
      </c>
      <c r="B151" s="2" t="s">
        <v>1237</v>
      </c>
      <c r="C151" s="1">
        <v>7004</v>
      </c>
      <c r="D151" s="1" t="s">
        <v>44</v>
      </c>
      <c r="E151" s="1" t="s">
        <v>933</v>
      </c>
      <c r="F151" s="19" t="s">
        <v>928</v>
      </c>
      <c r="G151" s="19">
        <v>0.99</v>
      </c>
      <c r="H151" s="5">
        <v>7.6</v>
      </c>
      <c r="I151" s="5">
        <v>106</v>
      </c>
      <c r="J151" s="9">
        <v>5.5E-2</v>
      </c>
      <c r="K151" s="5">
        <v>8</v>
      </c>
      <c r="L151" s="9">
        <f t="shared" si="5"/>
        <v>-1.2596373105057561</v>
      </c>
      <c r="M151" s="11">
        <f>GraphBacillus!$B$10-(I151-GraphBacillus!$B$6)/GraphBacillus!$B$5</f>
        <v>-0.29201485593675214</v>
      </c>
      <c r="N151" s="1" t="s">
        <v>944</v>
      </c>
      <c r="O151">
        <v>1999</v>
      </c>
      <c r="S151" s="10">
        <f>GraphBacillus!$B$37*Bacillus!I151+GraphBacillus!$B$38</f>
        <v>-0.28752555133167679</v>
      </c>
      <c r="T151" s="10">
        <f>GraphBacillus!$E$37*Bacillus!I151+GraphBacillus!$E$38</f>
        <v>-0.14535643173027069</v>
      </c>
      <c r="U151" s="10">
        <f>GraphBacillus!$I$37*Bacillus!I151+GraphBacillus!$I$38</f>
        <v>-0.54343905663178038</v>
      </c>
    </row>
    <row r="152" spans="1:21" x14ac:dyDescent="0.2">
      <c r="A152" s="2" t="s">
        <v>1236</v>
      </c>
      <c r="B152" s="2" t="s">
        <v>1237</v>
      </c>
      <c r="C152" s="1">
        <v>9818</v>
      </c>
      <c r="D152" s="1" t="s">
        <v>44</v>
      </c>
      <c r="E152" s="1" t="s">
        <v>933</v>
      </c>
      <c r="F152" s="19" t="s">
        <v>928</v>
      </c>
      <c r="G152" s="1">
        <v>0.99</v>
      </c>
      <c r="H152" s="5">
        <v>7.6</v>
      </c>
      <c r="I152" s="5">
        <v>100</v>
      </c>
      <c r="J152" s="9">
        <v>14.76</v>
      </c>
      <c r="K152" s="5">
        <v>9.3000000000000007</v>
      </c>
      <c r="L152" s="9">
        <f t="shared" si="5"/>
        <v>1.1690863574870227</v>
      </c>
      <c r="M152" s="11">
        <f>GraphBacillus!$B$10-(I152-GraphBacillus!$B$6)/GraphBacillus!$B$5</f>
        <v>0.1750683851365975</v>
      </c>
      <c r="N152" s="1" t="s">
        <v>944</v>
      </c>
      <c r="O152">
        <v>1999</v>
      </c>
      <c r="S152" s="10">
        <f>GraphBacillus!$B$37*Bacillus!I152+GraphBacillus!$B$38</f>
        <v>0.11225308463062955</v>
      </c>
      <c r="T152" s="10">
        <f>GraphBacillus!$E$37*Bacillus!I152+GraphBacillus!$E$38</f>
        <v>0.23312293957895225</v>
      </c>
      <c r="U152" s="10">
        <f>GraphBacillus!$I$37*Bacillus!I152+GraphBacillus!$I$38</f>
        <v>-9.0547291552894649E-2</v>
      </c>
    </row>
    <row r="153" spans="1:21" x14ac:dyDescent="0.2">
      <c r="A153" s="2" t="s">
        <v>1236</v>
      </c>
      <c r="B153" s="2" t="s">
        <v>1237</v>
      </c>
      <c r="C153" s="1">
        <v>9818</v>
      </c>
      <c r="D153" s="1" t="s">
        <v>44</v>
      </c>
      <c r="E153" s="1" t="s">
        <v>933</v>
      </c>
      <c r="F153" s="19" t="s">
        <v>928</v>
      </c>
      <c r="G153" s="1">
        <v>0.99</v>
      </c>
      <c r="H153" s="5">
        <v>7.6</v>
      </c>
      <c r="I153" s="5">
        <v>103</v>
      </c>
      <c r="J153" s="9">
        <f>6.58</f>
        <v>6.58</v>
      </c>
      <c r="K153" s="5">
        <v>9.3000000000000007</v>
      </c>
      <c r="L153" s="9">
        <f t="shared" si="5"/>
        <v>0.81822589361395548</v>
      </c>
      <c r="M153" s="11">
        <f>GraphBacillus!$B$10-(I153-GraphBacillus!$B$6)/GraphBacillus!$B$5</f>
        <v>-5.8473235400077428E-2</v>
      </c>
      <c r="N153" s="1" t="s">
        <v>944</v>
      </c>
      <c r="O153">
        <v>1999</v>
      </c>
      <c r="S153" s="10">
        <f>GraphBacillus!$B$37*Bacillus!I153+GraphBacillus!$B$38</f>
        <v>-8.7636233350523618E-2</v>
      </c>
      <c r="T153" s="10">
        <f>GraphBacillus!$E$37*Bacillus!I153+GraphBacillus!$E$38</f>
        <v>4.3883253924340337E-2</v>
      </c>
      <c r="U153" s="10">
        <f>GraphBacillus!$I$37*Bacillus!I153+GraphBacillus!$I$38</f>
        <v>-0.31699317409233707</v>
      </c>
    </row>
    <row r="154" spans="1:21" x14ac:dyDescent="0.2">
      <c r="A154" s="2" t="s">
        <v>1236</v>
      </c>
      <c r="B154" s="2" t="s">
        <v>1237</v>
      </c>
      <c r="C154" s="1">
        <v>9818</v>
      </c>
      <c r="D154" s="1" t="s">
        <v>44</v>
      </c>
      <c r="E154" s="1" t="s">
        <v>933</v>
      </c>
      <c r="F154" s="19" t="s">
        <v>928</v>
      </c>
      <c r="G154" s="1">
        <v>0.99</v>
      </c>
      <c r="H154" s="5">
        <v>7.6</v>
      </c>
      <c r="I154" s="5">
        <v>110</v>
      </c>
      <c r="J154" s="9">
        <v>1.19</v>
      </c>
      <c r="K154" s="5">
        <v>9.3000000000000007</v>
      </c>
      <c r="L154" s="9">
        <f t="shared" si="5"/>
        <v>7.554696139253074E-2</v>
      </c>
      <c r="M154" s="11">
        <f>GraphBacillus!$B$10-(I154-GraphBacillus!$B$6)/GraphBacillus!$B$5</f>
        <v>-0.6034036833189852</v>
      </c>
      <c r="N154" s="1" t="s">
        <v>944</v>
      </c>
      <c r="O154">
        <v>1999</v>
      </c>
      <c r="S154" s="10">
        <f>GraphBacillus!$B$37*Bacillus!I154+GraphBacillus!$B$38</f>
        <v>-0.55404464197321435</v>
      </c>
      <c r="T154" s="10">
        <f>GraphBacillus!$E$37*Bacillus!I154+GraphBacillus!$E$38</f>
        <v>-0.39767601260308627</v>
      </c>
      <c r="U154" s="10">
        <f>GraphBacillus!$I$37*Bacillus!I154+GraphBacillus!$I$38</f>
        <v>-0.84536690001770243</v>
      </c>
    </row>
    <row r="155" spans="1:21" x14ac:dyDescent="0.2">
      <c r="A155" s="2" t="s">
        <v>1236</v>
      </c>
      <c r="B155" s="2" t="s">
        <v>1237</v>
      </c>
      <c r="C155" s="1">
        <v>9818</v>
      </c>
      <c r="D155" s="1" t="s">
        <v>44</v>
      </c>
      <c r="E155" s="1" t="s">
        <v>933</v>
      </c>
      <c r="F155" s="19" t="s">
        <v>928</v>
      </c>
      <c r="G155" s="1">
        <v>0.99</v>
      </c>
      <c r="H155" s="5">
        <v>7.6</v>
      </c>
      <c r="I155" s="5">
        <v>115</v>
      </c>
      <c r="J155" s="9">
        <v>0.35</v>
      </c>
      <c r="K155" s="5">
        <v>9.3000000000000007</v>
      </c>
      <c r="L155" s="9">
        <f t="shared" si="5"/>
        <v>-0.45593195564972439</v>
      </c>
      <c r="M155" s="11">
        <f>GraphBacillus!$B$10-(I155-GraphBacillus!$B$6)/GraphBacillus!$B$5</f>
        <v>-0.99263971754677649</v>
      </c>
      <c r="N155" s="1" t="s">
        <v>944</v>
      </c>
      <c r="O155">
        <v>1999</v>
      </c>
      <c r="S155" s="10">
        <f>GraphBacillus!$B$37*Bacillus!I155+GraphBacillus!$B$38</f>
        <v>-0.88719350527513718</v>
      </c>
      <c r="T155" s="10">
        <f>GraphBacillus!$E$37*Bacillus!I155+GraphBacillus!$E$38</f>
        <v>-0.71307548869410553</v>
      </c>
      <c r="U155" s="10">
        <f>GraphBacillus!$I$37*Bacillus!I155+GraphBacillus!$I$38</f>
        <v>-1.2227767042501076</v>
      </c>
    </row>
    <row r="156" spans="1:21" x14ac:dyDescent="0.2">
      <c r="A156" s="2" t="s">
        <v>1236</v>
      </c>
      <c r="B156" s="2" t="s">
        <v>1237</v>
      </c>
      <c r="C156" s="1">
        <v>4342</v>
      </c>
      <c r="D156" s="1" t="s">
        <v>44</v>
      </c>
      <c r="E156" s="1" t="s">
        <v>933</v>
      </c>
      <c r="F156" s="19" t="s">
        <v>929</v>
      </c>
      <c r="G156" s="1">
        <v>0.98</v>
      </c>
      <c r="H156" s="5"/>
      <c r="I156" s="4">
        <v>98</v>
      </c>
      <c r="J156" s="9">
        <v>4.1500000000000004</v>
      </c>
      <c r="K156" s="5">
        <v>8.1999999999999993</v>
      </c>
      <c r="L156" s="9">
        <f t="shared" si="5"/>
        <v>0.61804809671209271</v>
      </c>
      <c r="M156" s="11">
        <f>GraphBacillus!$B$10-(I156-GraphBacillus!$B$6)/GraphBacillus!$B$5</f>
        <v>0.33076279882771398</v>
      </c>
      <c r="N156" s="1" t="s">
        <v>944</v>
      </c>
      <c r="O156">
        <v>1999</v>
      </c>
      <c r="S156" s="10">
        <f>GraphBacillus!$B$37*Bacillus!I156+GraphBacillus!$B$38</f>
        <v>0.24551262995139833</v>
      </c>
      <c r="T156" s="10">
        <f>GraphBacillus!$E$37*Bacillus!I156+GraphBacillus!$E$38</f>
        <v>0.3592827300153596</v>
      </c>
      <c r="U156" s="10">
        <f>GraphBacillus!$I$37*Bacillus!I156+GraphBacillus!$I$38</f>
        <v>6.0416630140067262E-2</v>
      </c>
    </row>
    <row r="157" spans="1:21" x14ac:dyDescent="0.2">
      <c r="A157" s="2" t="s">
        <v>1236</v>
      </c>
      <c r="B157" s="2" t="s">
        <v>1237</v>
      </c>
      <c r="C157" s="1">
        <v>4342</v>
      </c>
      <c r="D157" s="1" t="s">
        <v>44</v>
      </c>
      <c r="E157" s="1" t="s">
        <v>933</v>
      </c>
      <c r="F157" s="19" t="s">
        <v>929</v>
      </c>
      <c r="G157" s="1">
        <v>0.98</v>
      </c>
      <c r="H157" s="5"/>
      <c r="I157" s="5">
        <v>100</v>
      </c>
      <c r="J157" s="9">
        <f>1.92</f>
        <v>1.92</v>
      </c>
      <c r="K157" s="5">
        <v>8.1999999999999993</v>
      </c>
      <c r="L157" s="9">
        <f t="shared" si="5"/>
        <v>0.28330122870354957</v>
      </c>
      <c r="M157" s="11">
        <f>GraphBacillus!$B$10-(I157-GraphBacillus!$B$6)/GraphBacillus!$B$5</f>
        <v>0.1750683851365975</v>
      </c>
      <c r="N157" s="1" t="s">
        <v>944</v>
      </c>
      <c r="O157">
        <v>1999</v>
      </c>
      <c r="S157" s="10">
        <f>GraphBacillus!$B$37*Bacillus!I157+GraphBacillus!$B$38</f>
        <v>0.11225308463062955</v>
      </c>
      <c r="T157" s="10">
        <f>GraphBacillus!$E$37*Bacillus!I157+GraphBacillus!$E$38</f>
        <v>0.23312293957895225</v>
      </c>
      <c r="U157" s="10">
        <f>GraphBacillus!$I$37*Bacillus!I157+GraphBacillus!$I$38</f>
        <v>-9.0547291552894649E-2</v>
      </c>
    </row>
    <row r="158" spans="1:21" x14ac:dyDescent="0.2">
      <c r="A158" s="2" t="s">
        <v>1236</v>
      </c>
      <c r="B158" s="2" t="s">
        <v>1237</v>
      </c>
      <c r="C158" s="1">
        <v>4342</v>
      </c>
      <c r="D158" s="1" t="s">
        <v>44</v>
      </c>
      <c r="E158" s="1" t="s">
        <v>933</v>
      </c>
      <c r="F158" s="19" t="s">
        <v>929</v>
      </c>
      <c r="G158" s="1">
        <v>0.98</v>
      </c>
      <c r="H158" s="5"/>
      <c r="I158" s="5">
        <v>106</v>
      </c>
      <c r="J158" s="9">
        <v>0.49</v>
      </c>
      <c r="K158" s="5">
        <v>8.1999999999999993</v>
      </c>
      <c r="L158" s="9">
        <f t="shared" si="5"/>
        <v>-0.30980391997148632</v>
      </c>
      <c r="M158" s="11">
        <f>GraphBacillus!$B$10-(I158-GraphBacillus!$B$6)/GraphBacillus!$B$5</f>
        <v>-0.29201485593675214</v>
      </c>
      <c r="N158" s="1" t="s">
        <v>944</v>
      </c>
      <c r="O158">
        <v>1999</v>
      </c>
      <c r="S158" s="10">
        <f>GraphBacillus!$B$37*Bacillus!I158+GraphBacillus!$B$38</f>
        <v>-0.28752555133167679</v>
      </c>
      <c r="T158" s="10">
        <f>GraphBacillus!$E$37*Bacillus!I158+GraphBacillus!$E$38</f>
        <v>-0.14535643173027069</v>
      </c>
      <c r="U158" s="10">
        <f>GraphBacillus!$I$37*Bacillus!I158+GraphBacillus!$I$38</f>
        <v>-0.54343905663178038</v>
      </c>
    </row>
    <row r="159" spans="1:21" x14ac:dyDescent="0.2">
      <c r="A159" s="2" t="s">
        <v>1236</v>
      </c>
      <c r="B159" s="2" t="s">
        <v>1237</v>
      </c>
      <c r="C159" s="1">
        <v>4342</v>
      </c>
      <c r="D159" s="1" t="s">
        <v>44</v>
      </c>
      <c r="E159" s="1" t="s">
        <v>933</v>
      </c>
      <c r="F159" s="19" t="s">
        <v>929</v>
      </c>
      <c r="G159" s="1">
        <v>0.98</v>
      </c>
      <c r="H159" s="5"/>
      <c r="I159" s="5">
        <v>110</v>
      </c>
      <c r="J159" s="9">
        <v>0.12</v>
      </c>
      <c r="K159" s="5">
        <v>8.1999999999999993</v>
      </c>
      <c r="L159" s="9">
        <f t="shared" si="5"/>
        <v>-0.92081875395237522</v>
      </c>
      <c r="M159" s="11">
        <f>GraphBacillus!$B$10-(I159-GraphBacillus!$B$6)/GraphBacillus!$B$5</f>
        <v>-0.6034036833189852</v>
      </c>
      <c r="N159" s="1" t="s">
        <v>944</v>
      </c>
      <c r="O159">
        <v>1999</v>
      </c>
      <c r="S159" s="10">
        <f>GraphBacillus!$B$37*Bacillus!I159+GraphBacillus!$B$38</f>
        <v>-0.55404464197321435</v>
      </c>
      <c r="T159" s="10">
        <f>GraphBacillus!$E$37*Bacillus!I159+GraphBacillus!$E$38</f>
        <v>-0.39767601260308627</v>
      </c>
      <c r="U159" s="10">
        <f>GraphBacillus!$I$37*Bacillus!I159+GraphBacillus!$I$38</f>
        <v>-0.84536690001770243</v>
      </c>
    </row>
    <row r="160" spans="1:21" x14ac:dyDescent="0.2">
      <c r="A160" s="2" t="s">
        <v>1236</v>
      </c>
      <c r="B160" s="2" t="s">
        <v>1237</v>
      </c>
      <c r="C160" s="1">
        <v>7004</v>
      </c>
      <c r="D160" s="1" t="s">
        <v>44</v>
      </c>
      <c r="E160" s="1" t="s">
        <v>933</v>
      </c>
      <c r="F160" s="19" t="s">
        <v>929</v>
      </c>
      <c r="G160" s="19">
        <v>0.98</v>
      </c>
      <c r="H160" s="5"/>
      <c r="I160" s="5">
        <v>92</v>
      </c>
      <c r="J160" s="9">
        <v>3.25</v>
      </c>
      <c r="K160" s="5">
        <v>8.4</v>
      </c>
      <c r="L160" s="9">
        <f t="shared" si="5"/>
        <v>0.51188336097887432</v>
      </c>
      <c r="M160" s="11">
        <f>GraphBacillus!$B$10-(I160-GraphBacillus!$B$6)/GraphBacillus!$B$5</f>
        <v>0.79784603990106362</v>
      </c>
      <c r="N160" s="1" t="s">
        <v>944</v>
      </c>
      <c r="O160">
        <v>1999</v>
      </c>
      <c r="S160" s="10">
        <f>GraphBacillus!$B$37*Bacillus!I160+GraphBacillus!$B$38</f>
        <v>0.64529126591370467</v>
      </c>
      <c r="T160" s="10">
        <f>GraphBacillus!$E$37*Bacillus!I160+GraphBacillus!$E$38</f>
        <v>0.73776210132458253</v>
      </c>
      <c r="U160" s="10">
        <f>GraphBacillus!$I$37*Bacillus!I160+GraphBacillus!$I$38</f>
        <v>0.51330839521895211</v>
      </c>
    </row>
    <row r="161" spans="1:21" x14ac:dyDescent="0.2">
      <c r="A161" s="2" t="s">
        <v>1236</v>
      </c>
      <c r="B161" s="2" t="s">
        <v>1237</v>
      </c>
      <c r="C161" s="1">
        <v>7004</v>
      </c>
      <c r="D161" s="1" t="s">
        <v>44</v>
      </c>
      <c r="E161" s="1" t="s">
        <v>933</v>
      </c>
      <c r="F161" s="19" t="s">
        <v>929</v>
      </c>
      <c r="G161" s="19">
        <v>0.98</v>
      </c>
      <c r="H161" s="5"/>
      <c r="I161" s="5">
        <v>96</v>
      </c>
      <c r="J161" s="9">
        <v>1</v>
      </c>
      <c r="K161" s="5">
        <v>8.4</v>
      </c>
      <c r="L161" s="9">
        <f t="shared" si="5"/>
        <v>0</v>
      </c>
      <c r="M161" s="11">
        <f>GraphBacillus!$B$10-(I161-GraphBacillus!$B$6)/GraphBacillus!$B$5</f>
        <v>0.48645721251883067</v>
      </c>
      <c r="N161" s="1" t="s">
        <v>944</v>
      </c>
      <c r="O161">
        <v>1999</v>
      </c>
      <c r="S161" s="10">
        <f>GraphBacillus!$B$37*Bacillus!I161+GraphBacillus!$B$38</f>
        <v>0.37877217527216711</v>
      </c>
      <c r="T161" s="10">
        <f>GraphBacillus!$E$37*Bacillus!I161+GraphBacillus!$E$38</f>
        <v>0.48544252045176783</v>
      </c>
      <c r="U161" s="10">
        <f>GraphBacillus!$I$37*Bacillus!I161+GraphBacillus!$I$38</f>
        <v>0.21138055183302829</v>
      </c>
    </row>
    <row r="162" spans="1:21" x14ac:dyDescent="0.2">
      <c r="A162" s="2" t="s">
        <v>1236</v>
      </c>
      <c r="B162" s="2" t="s">
        <v>1237</v>
      </c>
      <c r="C162" s="1">
        <v>7004</v>
      </c>
      <c r="D162" s="1" t="s">
        <v>44</v>
      </c>
      <c r="E162" s="1" t="s">
        <v>933</v>
      </c>
      <c r="F162" s="19" t="s">
        <v>929</v>
      </c>
      <c r="G162" s="19">
        <v>0.98</v>
      </c>
      <c r="H162" s="5"/>
      <c r="I162" s="5">
        <v>100</v>
      </c>
      <c r="J162" s="9">
        <f>0.41</f>
        <v>0.41</v>
      </c>
      <c r="K162" s="5">
        <v>8.4</v>
      </c>
      <c r="L162" s="9">
        <f t="shared" si="5"/>
        <v>-0.38721614328026455</v>
      </c>
      <c r="M162" s="11">
        <f>GraphBacillus!$B$10-(I162-GraphBacillus!$B$6)/GraphBacillus!$B$5</f>
        <v>0.1750683851365975</v>
      </c>
      <c r="N162" s="1" t="s">
        <v>944</v>
      </c>
      <c r="O162">
        <v>1999</v>
      </c>
      <c r="S162" s="10">
        <f>GraphBacillus!$B$37*Bacillus!I162+GraphBacillus!$B$38</f>
        <v>0.11225308463062955</v>
      </c>
      <c r="T162" s="10">
        <f>GraphBacillus!$E$37*Bacillus!I162+GraphBacillus!$E$38</f>
        <v>0.23312293957895225</v>
      </c>
      <c r="U162" s="10">
        <f>GraphBacillus!$I$37*Bacillus!I162+GraphBacillus!$I$38</f>
        <v>-9.0547291552894649E-2</v>
      </c>
    </row>
    <row r="163" spans="1:21" x14ac:dyDescent="0.2">
      <c r="A163" s="2" t="s">
        <v>1236</v>
      </c>
      <c r="B163" s="2" t="s">
        <v>1237</v>
      </c>
      <c r="C163" s="1">
        <v>7004</v>
      </c>
      <c r="D163" s="1" t="s">
        <v>44</v>
      </c>
      <c r="E163" s="1" t="s">
        <v>933</v>
      </c>
      <c r="F163" s="19" t="s">
        <v>929</v>
      </c>
      <c r="G163" s="19">
        <v>0.98</v>
      </c>
      <c r="H163" s="5"/>
      <c r="I163" s="5">
        <v>106</v>
      </c>
      <c r="J163" s="9">
        <v>6.6000000000000003E-2</v>
      </c>
      <c r="K163" s="5">
        <v>8.4</v>
      </c>
      <c r="L163" s="9">
        <f t="shared" si="5"/>
        <v>-1.1804560644581312</v>
      </c>
      <c r="M163" s="11">
        <f>GraphBacillus!$B$10-(I163-GraphBacillus!$B$6)/GraphBacillus!$B$5</f>
        <v>-0.29201485593675214</v>
      </c>
      <c r="N163" s="1" t="s">
        <v>944</v>
      </c>
      <c r="O163">
        <v>1999</v>
      </c>
      <c r="S163" s="10">
        <f>GraphBacillus!$B$37*Bacillus!I163+GraphBacillus!$B$38</f>
        <v>-0.28752555133167679</v>
      </c>
      <c r="T163" s="10">
        <f>GraphBacillus!$E$37*Bacillus!I163+GraphBacillus!$E$38</f>
        <v>-0.14535643173027069</v>
      </c>
      <c r="U163" s="10">
        <f>GraphBacillus!$I$37*Bacillus!I163+GraphBacillus!$I$38</f>
        <v>-0.54343905663178038</v>
      </c>
    </row>
    <row r="164" spans="1:21" x14ac:dyDescent="0.2">
      <c r="A164" s="2" t="s">
        <v>1236</v>
      </c>
      <c r="B164" s="2" t="s">
        <v>1237</v>
      </c>
      <c r="C164" s="1">
        <v>9818</v>
      </c>
      <c r="D164" s="1" t="s">
        <v>44</v>
      </c>
      <c r="E164" s="1" t="s">
        <v>933</v>
      </c>
      <c r="F164" s="19" t="s">
        <v>929</v>
      </c>
      <c r="G164" s="1">
        <v>0.98</v>
      </c>
      <c r="H164" s="5"/>
      <c r="I164" s="5">
        <v>100</v>
      </c>
      <c r="J164" s="9">
        <v>11.27</v>
      </c>
      <c r="K164" s="5">
        <v>10.1</v>
      </c>
      <c r="L164" s="9">
        <f t="shared" si="5"/>
        <v>1.0519239160461065</v>
      </c>
      <c r="M164" s="11">
        <f>GraphBacillus!$B$10-(I164-GraphBacillus!$B$6)/GraphBacillus!$B$5</f>
        <v>0.1750683851365975</v>
      </c>
      <c r="N164" s="1" t="s">
        <v>944</v>
      </c>
      <c r="O164">
        <v>1999</v>
      </c>
      <c r="S164" s="10">
        <f>GraphBacillus!$B$37*Bacillus!I164+GraphBacillus!$B$38</f>
        <v>0.11225308463062955</v>
      </c>
      <c r="T164" s="10">
        <f>GraphBacillus!$E$37*Bacillus!I164+GraphBacillus!$E$38</f>
        <v>0.23312293957895225</v>
      </c>
      <c r="U164" s="10">
        <f>GraphBacillus!$I$37*Bacillus!I164+GraphBacillus!$I$38</f>
        <v>-9.0547291552894649E-2</v>
      </c>
    </row>
    <row r="165" spans="1:21" x14ac:dyDescent="0.2">
      <c r="A165" s="2" t="s">
        <v>1236</v>
      </c>
      <c r="B165" s="2" t="s">
        <v>1237</v>
      </c>
      <c r="C165" s="1">
        <v>9818</v>
      </c>
      <c r="D165" s="1" t="s">
        <v>44</v>
      </c>
      <c r="E165" s="1" t="s">
        <v>933</v>
      </c>
      <c r="F165" s="19" t="s">
        <v>929</v>
      </c>
      <c r="G165" s="1">
        <v>0.98</v>
      </c>
      <c r="H165" s="5"/>
      <c r="I165" s="5">
        <v>103</v>
      </c>
      <c r="J165" s="9">
        <f>8.15</f>
        <v>8.15</v>
      </c>
      <c r="K165" s="5">
        <v>10.1</v>
      </c>
      <c r="L165" s="9">
        <f t="shared" si="5"/>
        <v>0.91115760873997664</v>
      </c>
      <c r="M165" s="11">
        <f>GraphBacillus!$B$10-(I165-GraphBacillus!$B$6)/GraphBacillus!$B$5</f>
        <v>-5.8473235400077428E-2</v>
      </c>
      <c r="N165" s="1" t="s">
        <v>944</v>
      </c>
      <c r="O165">
        <v>1999</v>
      </c>
      <c r="S165" s="10">
        <f>GraphBacillus!$B$37*Bacillus!I165+GraphBacillus!$B$38</f>
        <v>-8.7636233350523618E-2</v>
      </c>
      <c r="T165" s="10">
        <f>GraphBacillus!$E$37*Bacillus!I165+GraphBacillus!$E$38</f>
        <v>4.3883253924340337E-2</v>
      </c>
      <c r="U165" s="10">
        <f>GraphBacillus!$I$37*Bacillus!I165+GraphBacillus!$I$38</f>
        <v>-0.31699317409233707</v>
      </c>
    </row>
    <row r="166" spans="1:21" x14ac:dyDescent="0.2">
      <c r="A166" s="2" t="s">
        <v>1236</v>
      </c>
      <c r="B166" s="2" t="s">
        <v>1237</v>
      </c>
      <c r="C166" s="1">
        <v>9818</v>
      </c>
      <c r="D166" s="1" t="s">
        <v>44</v>
      </c>
      <c r="E166" s="1" t="s">
        <v>933</v>
      </c>
      <c r="F166" s="19" t="s">
        <v>929</v>
      </c>
      <c r="G166" s="1">
        <v>0.98</v>
      </c>
      <c r="H166" s="5"/>
      <c r="I166" s="5">
        <v>110</v>
      </c>
      <c r="J166" s="9">
        <v>1.27</v>
      </c>
      <c r="K166" s="5">
        <v>10.1</v>
      </c>
      <c r="L166" s="9">
        <f t="shared" si="5"/>
        <v>0.10380372095595687</v>
      </c>
      <c r="M166" s="11">
        <f>GraphBacillus!$B$10-(I166-GraphBacillus!$B$6)/GraphBacillus!$B$5</f>
        <v>-0.6034036833189852</v>
      </c>
      <c r="N166" s="1" t="s">
        <v>944</v>
      </c>
      <c r="O166">
        <v>1999</v>
      </c>
      <c r="S166" s="10">
        <f>GraphBacillus!$B$37*Bacillus!I166+GraphBacillus!$B$38</f>
        <v>-0.55404464197321435</v>
      </c>
      <c r="T166" s="10">
        <f>GraphBacillus!$E$37*Bacillus!I166+GraphBacillus!$E$38</f>
        <v>-0.39767601260308627</v>
      </c>
      <c r="U166" s="10">
        <f>GraphBacillus!$I$37*Bacillus!I166+GraphBacillus!$I$38</f>
        <v>-0.84536690001770243</v>
      </c>
    </row>
    <row r="167" spans="1:21" x14ac:dyDescent="0.2">
      <c r="A167" s="2" t="s">
        <v>1236</v>
      </c>
      <c r="B167" s="2" t="s">
        <v>1237</v>
      </c>
      <c r="C167" s="1">
        <v>9818</v>
      </c>
      <c r="D167" s="1" t="s">
        <v>44</v>
      </c>
      <c r="E167" s="1" t="s">
        <v>933</v>
      </c>
      <c r="F167" s="19" t="s">
        <v>929</v>
      </c>
      <c r="G167" s="1">
        <v>0.98</v>
      </c>
      <c r="H167" s="5"/>
      <c r="I167" s="5">
        <v>115</v>
      </c>
      <c r="J167" s="9">
        <v>0.43</v>
      </c>
      <c r="K167" s="5">
        <v>10.1</v>
      </c>
      <c r="L167" s="9">
        <f t="shared" si="5"/>
        <v>-0.36653154442041347</v>
      </c>
      <c r="M167" s="11">
        <f>GraphBacillus!$B$10-(I167-GraphBacillus!$B$6)/GraphBacillus!$B$5</f>
        <v>-0.99263971754677649</v>
      </c>
      <c r="N167" s="1" t="s">
        <v>944</v>
      </c>
      <c r="O167">
        <v>1999</v>
      </c>
      <c r="S167" s="10">
        <f>GraphBacillus!$B$37*Bacillus!I167+GraphBacillus!$B$38</f>
        <v>-0.88719350527513718</v>
      </c>
      <c r="T167" s="10">
        <f>GraphBacillus!$E$37*Bacillus!I167+GraphBacillus!$E$38</f>
        <v>-0.71307548869410553</v>
      </c>
      <c r="U167" s="10">
        <f>GraphBacillus!$I$37*Bacillus!I167+GraphBacillus!$I$38</f>
        <v>-1.2227767042501076</v>
      </c>
    </row>
    <row r="168" spans="1:21" x14ac:dyDescent="0.2">
      <c r="A168" s="2" t="s">
        <v>1236</v>
      </c>
      <c r="B168" s="2" t="s">
        <v>1237</v>
      </c>
      <c r="C168" s="1">
        <v>4342</v>
      </c>
      <c r="D168" s="1" t="s">
        <v>44</v>
      </c>
      <c r="E168" s="1" t="s">
        <v>933</v>
      </c>
      <c r="F168" s="19" t="s">
        <v>930</v>
      </c>
      <c r="G168" s="1">
        <v>0.96</v>
      </c>
      <c r="H168" s="5"/>
      <c r="I168" s="4">
        <v>98</v>
      </c>
      <c r="J168" s="9">
        <v>2.79</v>
      </c>
      <c r="K168" s="5">
        <v>7.6</v>
      </c>
      <c r="L168" s="9">
        <f t="shared" si="5"/>
        <v>0.44560420327359757</v>
      </c>
      <c r="M168" s="11">
        <f>GraphBacillus!$B$10-(I168-GraphBacillus!$B$6)/GraphBacillus!$B$5</f>
        <v>0.33076279882771398</v>
      </c>
      <c r="N168" s="1" t="s">
        <v>944</v>
      </c>
      <c r="O168">
        <v>1999</v>
      </c>
      <c r="S168" s="10">
        <f>GraphBacillus!$B$37*Bacillus!I168+GraphBacillus!$B$38</f>
        <v>0.24551262995139833</v>
      </c>
      <c r="T168" s="10">
        <f>GraphBacillus!$E$37*Bacillus!I168+GraphBacillus!$E$38</f>
        <v>0.3592827300153596</v>
      </c>
      <c r="U168" s="10">
        <f>GraphBacillus!$I$37*Bacillus!I168+GraphBacillus!$I$38</f>
        <v>6.0416630140067262E-2</v>
      </c>
    </row>
    <row r="169" spans="1:21" x14ac:dyDescent="0.2">
      <c r="A169" s="2" t="s">
        <v>1236</v>
      </c>
      <c r="B169" s="2" t="s">
        <v>1237</v>
      </c>
      <c r="C169" s="1">
        <v>4342</v>
      </c>
      <c r="D169" s="1" t="s">
        <v>44</v>
      </c>
      <c r="E169" s="1" t="s">
        <v>933</v>
      </c>
      <c r="F169" s="19" t="s">
        <v>930</v>
      </c>
      <c r="G169" s="1">
        <v>0.96</v>
      </c>
      <c r="H169" s="5"/>
      <c r="I169" s="5">
        <v>100</v>
      </c>
      <c r="J169" s="9">
        <f>1.3</f>
        <v>1.3</v>
      </c>
      <c r="K169" s="5">
        <v>7.6</v>
      </c>
      <c r="L169" s="9">
        <f t="shared" si="5"/>
        <v>0.11394335230683679</v>
      </c>
      <c r="M169" s="11">
        <f>GraphBacillus!$B$10-(I169-GraphBacillus!$B$6)/GraphBacillus!$B$5</f>
        <v>0.1750683851365975</v>
      </c>
      <c r="N169" s="1" t="s">
        <v>944</v>
      </c>
      <c r="O169">
        <v>1999</v>
      </c>
      <c r="S169" s="10">
        <f>GraphBacillus!$B$37*Bacillus!I169+GraphBacillus!$B$38</f>
        <v>0.11225308463062955</v>
      </c>
      <c r="T169" s="10">
        <f>GraphBacillus!$E$37*Bacillus!I169+GraphBacillus!$E$38</f>
        <v>0.23312293957895225</v>
      </c>
      <c r="U169" s="10">
        <f>GraphBacillus!$I$37*Bacillus!I169+GraphBacillus!$I$38</f>
        <v>-9.0547291552894649E-2</v>
      </c>
    </row>
    <row r="170" spans="1:21" x14ac:dyDescent="0.2">
      <c r="A170" s="2" t="s">
        <v>1236</v>
      </c>
      <c r="B170" s="2" t="s">
        <v>1237</v>
      </c>
      <c r="C170" s="1">
        <v>4342</v>
      </c>
      <c r="D170" s="1" t="s">
        <v>44</v>
      </c>
      <c r="E170" s="1" t="s">
        <v>933</v>
      </c>
      <c r="F170" s="19" t="s">
        <v>930</v>
      </c>
      <c r="G170" s="1">
        <v>0.96</v>
      </c>
      <c r="H170" s="5"/>
      <c r="I170" s="5">
        <v>106</v>
      </c>
      <c r="J170" s="9">
        <v>0.2</v>
      </c>
      <c r="K170" s="5">
        <v>7.6</v>
      </c>
      <c r="L170" s="9">
        <f t="shared" si="5"/>
        <v>-0.69897000433601875</v>
      </c>
      <c r="M170" s="11">
        <f>GraphBacillus!$B$10-(I170-GraphBacillus!$B$6)/GraphBacillus!$B$5</f>
        <v>-0.29201485593675214</v>
      </c>
      <c r="N170" s="1" t="s">
        <v>944</v>
      </c>
      <c r="O170">
        <v>1999</v>
      </c>
      <c r="S170" s="10">
        <f>GraphBacillus!$B$37*Bacillus!I170+GraphBacillus!$B$38</f>
        <v>-0.28752555133167679</v>
      </c>
      <c r="T170" s="10">
        <f>GraphBacillus!$E$37*Bacillus!I170+GraphBacillus!$E$38</f>
        <v>-0.14535643173027069</v>
      </c>
      <c r="U170" s="10">
        <f>GraphBacillus!$I$37*Bacillus!I170+GraphBacillus!$I$38</f>
        <v>-0.54343905663178038</v>
      </c>
    </row>
    <row r="171" spans="1:21" x14ac:dyDescent="0.2">
      <c r="A171" s="2" t="s">
        <v>1236</v>
      </c>
      <c r="B171" s="2" t="s">
        <v>1237</v>
      </c>
      <c r="C171" s="1">
        <v>4342</v>
      </c>
      <c r="D171" s="1" t="s">
        <v>44</v>
      </c>
      <c r="E171" s="1" t="s">
        <v>933</v>
      </c>
      <c r="F171" s="19" t="s">
        <v>930</v>
      </c>
      <c r="G171" s="1">
        <v>0.96</v>
      </c>
      <c r="H171" s="5"/>
      <c r="I171" s="5">
        <v>110</v>
      </c>
      <c r="J171" s="9">
        <v>7.3999999999999996E-2</v>
      </c>
      <c r="K171" s="5">
        <v>7.6</v>
      </c>
      <c r="L171" s="9">
        <f t="shared" si="5"/>
        <v>-1.1307682802690238</v>
      </c>
      <c r="M171" s="11">
        <f>GraphBacillus!$B$10-(I171-GraphBacillus!$B$6)/GraphBacillus!$B$5</f>
        <v>-0.6034036833189852</v>
      </c>
      <c r="N171" s="1" t="s">
        <v>944</v>
      </c>
      <c r="O171">
        <v>1999</v>
      </c>
      <c r="S171" s="10">
        <f>GraphBacillus!$B$37*Bacillus!I171+GraphBacillus!$B$38</f>
        <v>-0.55404464197321435</v>
      </c>
      <c r="T171" s="10">
        <f>GraphBacillus!$E$37*Bacillus!I171+GraphBacillus!$E$38</f>
        <v>-0.39767601260308627</v>
      </c>
      <c r="U171" s="10">
        <f>GraphBacillus!$I$37*Bacillus!I171+GraphBacillus!$I$38</f>
        <v>-0.84536690001770243</v>
      </c>
    </row>
    <row r="172" spans="1:21" x14ac:dyDescent="0.2">
      <c r="A172" s="2" t="s">
        <v>1236</v>
      </c>
      <c r="B172" s="2" t="s">
        <v>1237</v>
      </c>
      <c r="C172" s="1">
        <v>7004</v>
      </c>
      <c r="D172" s="1" t="s">
        <v>44</v>
      </c>
      <c r="E172" s="1" t="s">
        <v>933</v>
      </c>
      <c r="F172" s="19" t="s">
        <v>930</v>
      </c>
      <c r="G172" s="19">
        <v>0.96</v>
      </c>
      <c r="H172" s="5"/>
      <c r="I172" s="5">
        <v>92</v>
      </c>
      <c r="J172" s="9">
        <v>4.5</v>
      </c>
      <c r="K172" s="5">
        <v>8.5</v>
      </c>
      <c r="L172" s="9">
        <f t="shared" si="5"/>
        <v>0.65321251377534373</v>
      </c>
      <c r="M172" s="11">
        <f>GraphBacillus!$B$10-(I172-GraphBacillus!$B$6)/GraphBacillus!$B$5</f>
        <v>0.79784603990106362</v>
      </c>
      <c r="N172" s="1" t="s">
        <v>944</v>
      </c>
      <c r="O172">
        <v>1999</v>
      </c>
      <c r="S172" s="10">
        <f>GraphBacillus!$B$37*Bacillus!I172+GraphBacillus!$B$38</f>
        <v>0.64529126591370467</v>
      </c>
      <c r="T172" s="10">
        <f>GraphBacillus!$E$37*Bacillus!I172+GraphBacillus!$E$38</f>
        <v>0.73776210132458253</v>
      </c>
      <c r="U172" s="10">
        <f>GraphBacillus!$I$37*Bacillus!I172+GraphBacillus!$I$38</f>
        <v>0.51330839521895211</v>
      </c>
    </row>
    <row r="173" spans="1:21" x14ac:dyDescent="0.2">
      <c r="A173" s="2" t="s">
        <v>1236</v>
      </c>
      <c r="B173" s="2" t="s">
        <v>1237</v>
      </c>
      <c r="C173" s="1">
        <v>7004</v>
      </c>
      <c r="D173" s="1" t="s">
        <v>44</v>
      </c>
      <c r="E173" s="1" t="s">
        <v>933</v>
      </c>
      <c r="F173" s="19" t="s">
        <v>930</v>
      </c>
      <c r="G173" s="19">
        <v>0.96</v>
      </c>
      <c r="H173" s="5"/>
      <c r="I173" s="5">
        <v>96</v>
      </c>
      <c r="J173" s="9">
        <v>1.57</v>
      </c>
      <c r="K173" s="5">
        <v>8.5</v>
      </c>
      <c r="L173" s="9">
        <f t="shared" si="5"/>
        <v>0.19589965240923377</v>
      </c>
      <c r="M173" s="11">
        <f>GraphBacillus!$B$10-(I173-GraphBacillus!$B$6)/GraphBacillus!$B$5</f>
        <v>0.48645721251883067</v>
      </c>
      <c r="N173" s="1" t="s">
        <v>944</v>
      </c>
      <c r="O173">
        <v>1999</v>
      </c>
      <c r="S173" s="10">
        <f>GraphBacillus!$B$37*Bacillus!I173+GraphBacillus!$B$38</f>
        <v>0.37877217527216711</v>
      </c>
      <c r="T173" s="10">
        <f>GraphBacillus!$E$37*Bacillus!I173+GraphBacillus!$E$38</f>
        <v>0.48544252045176783</v>
      </c>
      <c r="U173" s="10">
        <f>GraphBacillus!$I$37*Bacillus!I173+GraphBacillus!$I$38</f>
        <v>0.21138055183302829</v>
      </c>
    </row>
    <row r="174" spans="1:21" x14ac:dyDescent="0.2">
      <c r="A174" s="2" t="s">
        <v>1236</v>
      </c>
      <c r="B174" s="2" t="s">
        <v>1237</v>
      </c>
      <c r="C174" s="1">
        <v>7004</v>
      </c>
      <c r="D174" s="1" t="s">
        <v>44</v>
      </c>
      <c r="E174" s="1" t="s">
        <v>933</v>
      </c>
      <c r="F174" s="19" t="s">
        <v>930</v>
      </c>
      <c r="G174" s="19">
        <v>0.96</v>
      </c>
      <c r="H174" s="5"/>
      <c r="I174" s="5">
        <v>100</v>
      </c>
      <c r="J174" s="9">
        <f>0.49</f>
        <v>0.49</v>
      </c>
      <c r="K174" s="5">
        <v>8.5</v>
      </c>
      <c r="L174" s="9">
        <f t="shared" si="5"/>
        <v>-0.30980391997148632</v>
      </c>
      <c r="M174" s="11">
        <f>GraphBacillus!$B$10-(I174-GraphBacillus!$B$6)/GraphBacillus!$B$5</f>
        <v>0.1750683851365975</v>
      </c>
      <c r="N174" s="1" t="s">
        <v>944</v>
      </c>
      <c r="O174">
        <v>1999</v>
      </c>
      <c r="S174" s="10">
        <f>GraphBacillus!$B$37*Bacillus!I174+GraphBacillus!$B$38</f>
        <v>0.11225308463062955</v>
      </c>
      <c r="T174" s="10">
        <f>GraphBacillus!$E$37*Bacillus!I174+GraphBacillus!$E$38</f>
        <v>0.23312293957895225</v>
      </c>
      <c r="U174" s="10">
        <f>GraphBacillus!$I$37*Bacillus!I174+GraphBacillus!$I$38</f>
        <v>-9.0547291552894649E-2</v>
      </c>
    </row>
    <row r="175" spans="1:21" x14ac:dyDescent="0.2">
      <c r="A175" s="2" t="s">
        <v>1236</v>
      </c>
      <c r="B175" s="2" t="s">
        <v>1237</v>
      </c>
      <c r="C175" s="1">
        <v>7004</v>
      </c>
      <c r="D175" s="1" t="s">
        <v>44</v>
      </c>
      <c r="E175" s="1" t="s">
        <v>933</v>
      </c>
      <c r="F175" s="19" t="s">
        <v>930</v>
      </c>
      <c r="G175" s="19">
        <v>0.96</v>
      </c>
      <c r="H175" s="5"/>
      <c r="I175" s="5">
        <v>106</v>
      </c>
      <c r="J175" s="9">
        <f>0.086</f>
        <v>8.5999999999999993E-2</v>
      </c>
      <c r="K175" s="5">
        <v>8.5</v>
      </c>
      <c r="L175" s="9">
        <f t="shared" si="5"/>
        <v>-1.0655015487564323</v>
      </c>
      <c r="M175" s="11">
        <f>GraphBacillus!$B$10-(I175-GraphBacillus!$B$6)/GraphBacillus!$B$5</f>
        <v>-0.29201485593675214</v>
      </c>
      <c r="N175" s="1" t="s">
        <v>944</v>
      </c>
      <c r="O175">
        <v>1999</v>
      </c>
      <c r="S175" s="10">
        <f>GraphBacillus!$B$37*Bacillus!I175+GraphBacillus!$B$38</f>
        <v>-0.28752555133167679</v>
      </c>
      <c r="T175" s="10">
        <f>GraphBacillus!$E$37*Bacillus!I175+GraphBacillus!$E$38</f>
        <v>-0.14535643173027069</v>
      </c>
      <c r="U175" s="10">
        <f>GraphBacillus!$I$37*Bacillus!I175+GraphBacillus!$I$38</f>
        <v>-0.54343905663178038</v>
      </c>
    </row>
    <row r="176" spans="1:21" x14ac:dyDescent="0.2">
      <c r="A176" s="2" t="s">
        <v>1236</v>
      </c>
      <c r="B176" s="2" t="s">
        <v>1237</v>
      </c>
      <c r="C176" s="1">
        <v>7004</v>
      </c>
      <c r="D176" s="1" t="s">
        <v>44</v>
      </c>
      <c r="E176" s="1" t="s">
        <v>933</v>
      </c>
      <c r="F176" s="19" t="s">
        <v>930</v>
      </c>
      <c r="G176" s="19">
        <v>0.96</v>
      </c>
      <c r="H176" s="5"/>
      <c r="I176" s="5">
        <v>110</v>
      </c>
      <c r="J176" s="9">
        <v>3.7999999999999999E-2</v>
      </c>
      <c r="K176" s="5">
        <v>8.5</v>
      </c>
      <c r="L176" s="9">
        <f t="shared" si="5"/>
        <v>-1.4202164033831899</v>
      </c>
      <c r="M176" s="11">
        <f>GraphBacillus!$B$10-(I176-GraphBacillus!$B$6)/GraphBacillus!$B$5</f>
        <v>-0.6034036833189852</v>
      </c>
      <c r="N176" s="1" t="s">
        <v>944</v>
      </c>
      <c r="O176">
        <v>1999</v>
      </c>
      <c r="S176" s="10">
        <f>GraphBacillus!$B$37*Bacillus!I176+GraphBacillus!$B$38</f>
        <v>-0.55404464197321435</v>
      </c>
      <c r="T176" s="10">
        <f>GraphBacillus!$E$37*Bacillus!I176+GraphBacillus!$E$38</f>
        <v>-0.39767601260308627</v>
      </c>
      <c r="U176" s="10">
        <f>GraphBacillus!$I$37*Bacillus!I176+GraphBacillus!$I$38</f>
        <v>-0.84536690001770243</v>
      </c>
    </row>
    <row r="177" spans="1:21" x14ac:dyDescent="0.2">
      <c r="A177" s="2" t="s">
        <v>1236</v>
      </c>
      <c r="B177" s="2" t="s">
        <v>1237</v>
      </c>
      <c r="C177" s="1">
        <v>9818</v>
      </c>
      <c r="D177" s="1" t="s">
        <v>44</v>
      </c>
      <c r="E177" s="1" t="s">
        <v>933</v>
      </c>
      <c r="F177" s="19" t="s">
        <v>930</v>
      </c>
      <c r="G177" s="1">
        <v>0.96</v>
      </c>
      <c r="H177" s="5"/>
      <c r="I177" s="5">
        <v>100</v>
      </c>
      <c r="J177" s="9">
        <v>13.66</v>
      </c>
      <c r="K177" s="5">
        <v>10</v>
      </c>
      <c r="L177" s="9">
        <f t="shared" si="5"/>
        <v>1.1354506993455138</v>
      </c>
      <c r="M177" s="11">
        <f>GraphBacillus!$B$10-(I177-GraphBacillus!$B$6)/GraphBacillus!$B$5</f>
        <v>0.1750683851365975</v>
      </c>
      <c r="N177" s="1" t="s">
        <v>944</v>
      </c>
      <c r="O177">
        <v>1999</v>
      </c>
      <c r="S177" s="10">
        <f>GraphBacillus!$B$37*Bacillus!I177+GraphBacillus!$B$38</f>
        <v>0.11225308463062955</v>
      </c>
      <c r="T177" s="10">
        <f>GraphBacillus!$E$37*Bacillus!I177+GraphBacillus!$E$38</f>
        <v>0.23312293957895225</v>
      </c>
      <c r="U177" s="10">
        <f>GraphBacillus!$I$37*Bacillus!I177+GraphBacillus!$I$38</f>
        <v>-9.0547291552894649E-2</v>
      </c>
    </row>
    <row r="178" spans="1:21" x14ac:dyDescent="0.2">
      <c r="A178" s="2" t="s">
        <v>1236</v>
      </c>
      <c r="B178" s="2" t="s">
        <v>1237</v>
      </c>
      <c r="C178" s="1">
        <v>9818</v>
      </c>
      <c r="D178" s="1" t="s">
        <v>44</v>
      </c>
      <c r="E178" s="1" t="s">
        <v>933</v>
      </c>
      <c r="F178" s="19" t="s">
        <v>930</v>
      </c>
      <c r="G178" s="1">
        <v>0.96</v>
      </c>
      <c r="H178" s="5"/>
      <c r="I178" s="5">
        <v>103</v>
      </c>
      <c r="J178" s="9">
        <f>8.26</f>
        <v>8.26</v>
      </c>
      <c r="K178" s="5">
        <v>10</v>
      </c>
      <c r="L178" s="9">
        <f t="shared" si="5"/>
        <v>0.91698004732038219</v>
      </c>
      <c r="M178" s="11">
        <f>GraphBacillus!$B$10-(I178-GraphBacillus!$B$6)/GraphBacillus!$B$5</f>
        <v>-5.8473235400077428E-2</v>
      </c>
      <c r="N178" s="1" t="s">
        <v>944</v>
      </c>
      <c r="O178">
        <v>1999</v>
      </c>
      <c r="S178" s="10">
        <f>GraphBacillus!$B$37*Bacillus!I178+GraphBacillus!$B$38</f>
        <v>-8.7636233350523618E-2</v>
      </c>
      <c r="T178" s="10">
        <f>GraphBacillus!$E$37*Bacillus!I178+GraphBacillus!$E$38</f>
        <v>4.3883253924340337E-2</v>
      </c>
      <c r="U178" s="10">
        <f>GraphBacillus!$I$37*Bacillus!I178+GraphBacillus!$I$38</f>
        <v>-0.31699317409233707</v>
      </c>
    </row>
    <row r="179" spans="1:21" x14ac:dyDescent="0.2">
      <c r="A179" s="2" t="s">
        <v>1236</v>
      </c>
      <c r="B179" s="2" t="s">
        <v>1237</v>
      </c>
      <c r="C179" s="1">
        <v>9818</v>
      </c>
      <c r="D179" s="1" t="s">
        <v>44</v>
      </c>
      <c r="E179" s="1" t="s">
        <v>933</v>
      </c>
      <c r="F179" s="19" t="s">
        <v>930</v>
      </c>
      <c r="G179" s="1">
        <v>0.96</v>
      </c>
      <c r="H179" s="5"/>
      <c r="I179" s="5">
        <v>110</v>
      </c>
      <c r="J179" s="9">
        <v>1.4</v>
      </c>
      <c r="K179" s="5">
        <v>10</v>
      </c>
      <c r="L179" s="9">
        <f t="shared" si="5"/>
        <v>0.14612803567823801</v>
      </c>
      <c r="M179" s="11">
        <f>GraphBacillus!$B$10-(I179-GraphBacillus!$B$6)/GraphBacillus!$B$5</f>
        <v>-0.6034036833189852</v>
      </c>
      <c r="N179" s="1" t="s">
        <v>944</v>
      </c>
      <c r="O179">
        <v>1999</v>
      </c>
      <c r="S179" s="10">
        <f>GraphBacillus!$B$37*Bacillus!I179+GraphBacillus!$B$38</f>
        <v>-0.55404464197321435</v>
      </c>
      <c r="T179" s="10">
        <f>GraphBacillus!$E$37*Bacillus!I179+GraphBacillus!$E$38</f>
        <v>-0.39767601260308627</v>
      </c>
      <c r="U179" s="10">
        <f>GraphBacillus!$I$37*Bacillus!I179+GraphBacillus!$I$38</f>
        <v>-0.84536690001770243</v>
      </c>
    </row>
    <row r="180" spans="1:21" x14ac:dyDescent="0.2">
      <c r="A180" s="2" t="s">
        <v>1236</v>
      </c>
      <c r="B180" s="2" t="s">
        <v>1237</v>
      </c>
      <c r="C180" s="1">
        <v>9818</v>
      </c>
      <c r="D180" s="1" t="s">
        <v>44</v>
      </c>
      <c r="E180" s="1" t="s">
        <v>933</v>
      </c>
      <c r="F180" s="19" t="s">
        <v>930</v>
      </c>
      <c r="G180" s="1">
        <v>0.96</v>
      </c>
      <c r="H180" s="5"/>
      <c r="I180" s="5">
        <v>115</v>
      </c>
      <c r="J180" s="9">
        <v>0.47</v>
      </c>
      <c r="K180" s="5">
        <v>10</v>
      </c>
      <c r="L180" s="9">
        <f t="shared" si="5"/>
        <v>-0.32790214206428259</v>
      </c>
      <c r="M180" s="11">
        <f>GraphBacillus!$B$10-(I180-GraphBacillus!$B$6)/GraphBacillus!$B$5</f>
        <v>-0.99263971754677649</v>
      </c>
      <c r="N180" s="1" t="s">
        <v>944</v>
      </c>
      <c r="O180">
        <v>1999</v>
      </c>
      <c r="S180" s="10">
        <f>GraphBacillus!$B$37*Bacillus!I180+GraphBacillus!$B$38</f>
        <v>-0.88719350527513718</v>
      </c>
      <c r="T180" s="10">
        <f>GraphBacillus!$E$37*Bacillus!I180+GraphBacillus!$E$38</f>
        <v>-0.71307548869410553</v>
      </c>
      <c r="U180" s="10">
        <f>GraphBacillus!$I$37*Bacillus!I180+GraphBacillus!$I$38</f>
        <v>-1.2227767042501076</v>
      </c>
    </row>
    <row r="181" spans="1:21" x14ac:dyDescent="0.2">
      <c r="A181" s="2" t="s">
        <v>1236</v>
      </c>
      <c r="B181" s="2" t="s">
        <v>1237</v>
      </c>
      <c r="C181" s="1">
        <v>4342</v>
      </c>
      <c r="D181" s="1" t="s">
        <v>44</v>
      </c>
      <c r="E181" s="1" t="s">
        <v>933</v>
      </c>
      <c r="F181" s="19" t="s">
        <v>931</v>
      </c>
      <c r="G181" s="1">
        <v>0.84</v>
      </c>
      <c r="H181" s="5"/>
      <c r="I181" s="4">
        <v>98</v>
      </c>
      <c r="J181" s="9">
        <v>3.77</v>
      </c>
      <c r="K181" s="5">
        <v>9.5</v>
      </c>
      <c r="L181" s="9">
        <f t="shared" si="5"/>
        <v>0.57634135020579291</v>
      </c>
      <c r="M181" s="11">
        <f>GraphBacillus!$B$10-(I181-GraphBacillus!$B$6)/GraphBacillus!$B$5</f>
        <v>0.33076279882771398</v>
      </c>
      <c r="N181" s="1" t="s">
        <v>944</v>
      </c>
      <c r="O181">
        <v>1999</v>
      </c>
      <c r="S181" s="10">
        <f>GraphBacillus!$B$37*Bacillus!I181+GraphBacillus!$B$38</f>
        <v>0.24551262995139833</v>
      </c>
      <c r="T181" s="10">
        <f>GraphBacillus!$E$37*Bacillus!I181+GraphBacillus!$E$38</f>
        <v>0.3592827300153596</v>
      </c>
      <c r="U181" s="10">
        <f>GraphBacillus!$I$37*Bacillus!I181+GraphBacillus!$I$38</f>
        <v>6.0416630140067262E-2</v>
      </c>
    </row>
    <row r="182" spans="1:21" x14ac:dyDescent="0.2">
      <c r="A182" s="2" t="s">
        <v>1236</v>
      </c>
      <c r="B182" s="2" t="s">
        <v>1237</v>
      </c>
      <c r="C182" s="1">
        <v>4342</v>
      </c>
      <c r="D182" s="1" t="s">
        <v>44</v>
      </c>
      <c r="E182" s="1" t="s">
        <v>933</v>
      </c>
      <c r="F182" s="19" t="s">
        <v>931</v>
      </c>
      <c r="G182" s="1">
        <v>0.84</v>
      </c>
      <c r="H182" s="5"/>
      <c r="I182" s="5">
        <v>100</v>
      </c>
      <c r="J182" s="9">
        <f>2.67</f>
        <v>2.67</v>
      </c>
      <c r="K182" s="5">
        <v>9.5</v>
      </c>
      <c r="L182" s="9">
        <f t="shared" si="5"/>
        <v>0.42651126136457523</v>
      </c>
      <c r="M182" s="11">
        <f>GraphBacillus!$B$10-(I182-GraphBacillus!$B$6)/GraphBacillus!$B$5</f>
        <v>0.1750683851365975</v>
      </c>
      <c r="N182" s="1" t="s">
        <v>944</v>
      </c>
      <c r="O182">
        <v>1999</v>
      </c>
      <c r="S182" s="10">
        <f>GraphBacillus!$B$37*Bacillus!I182+GraphBacillus!$B$38</f>
        <v>0.11225308463062955</v>
      </c>
      <c r="T182" s="10">
        <f>GraphBacillus!$E$37*Bacillus!I182+GraphBacillus!$E$38</f>
        <v>0.23312293957895225</v>
      </c>
      <c r="U182" s="10">
        <f>GraphBacillus!$I$37*Bacillus!I182+GraphBacillus!$I$38</f>
        <v>-9.0547291552894649E-2</v>
      </c>
    </row>
    <row r="183" spans="1:21" x14ac:dyDescent="0.2">
      <c r="A183" s="2" t="s">
        <v>1236</v>
      </c>
      <c r="B183" s="2" t="s">
        <v>1237</v>
      </c>
      <c r="C183" s="1">
        <v>4342</v>
      </c>
      <c r="D183" s="1" t="s">
        <v>44</v>
      </c>
      <c r="E183" s="1" t="s">
        <v>933</v>
      </c>
      <c r="F183" s="19" t="s">
        <v>931</v>
      </c>
      <c r="G183" s="1">
        <v>0.84</v>
      </c>
      <c r="H183" s="5"/>
      <c r="I183" s="5">
        <v>106</v>
      </c>
      <c r="J183" s="9">
        <v>0.63</v>
      </c>
      <c r="K183" s="5">
        <v>9.5</v>
      </c>
      <c r="L183" s="9">
        <f t="shared" si="5"/>
        <v>-0.20065945054641829</v>
      </c>
      <c r="M183" s="11">
        <f>GraphBacillus!$B$10-(I183-GraphBacillus!$B$6)/GraphBacillus!$B$5</f>
        <v>-0.29201485593675214</v>
      </c>
      <c r="N183" s="1" t="s">
        <v>944</v>
      </c>
      <c r="O183">
        <v>1999</v>
      </c>
      <c r="S183" s="10">
        <f>GraphBacillus!$B$37*Bacillus!I183+GraphBacillus!$B$38</f>
        <v>-0.28752555133167679</v>
      </c>
      <c r="T183" s="10">
        <f>GraphBacillus!$E$37*Bacillus!I183+GraphBacillus!$E$38</f>
        <v>-0.14535643173027069</v>
      </c>
      <c r="U183" s="10">
        <f>GraphBacillus!$I$37*Bacillus!I183+GraphBacillus!$I$38</f>
        <v>-0.54343905663178038</v>
      </c>
    </row>
    <row r="184" spans="1:21" x14ac:dyDescent="0.2">
      <c r="A184" s="2" t="s">
        <v>1236</v>
      </c>
      <c r="B184" s="2" t="s">
        <v>1237</v>
      </c>
      <c r="C184" s="1">
        <v>4342</v>
      </c>
      <c r="D184" s="1" t="s">
        <v>44</v>
      </c>
      <c r="E184" s="1" t="s">
        <v>933</v>
      </c>
      <c r="F184" s="19" t="s">
        <v>931</v>
      </c>
      <c r="G184" s="1">
        <v>0.84</v>
      </c>
      <c r="H184" s="5"/>
      <c r="I184" s="5">
        <v>110</v>
      </c>
      <c r="J184" s="9">
        <v>0.21</v>
      </c>
      <c r="K184" s="5">
        <v>9.5</v>
      </c>
      <c r="L184" s="9">
        <f t="shared" si="5"/>
        <v>-0.6777807052660807</v>
      </c>
      <c r="M184" s="11">
        <f>GraphBacillus!$B$10-(I184-GraphBacillus!$B$6)/GraphBacillus!$B$5</f>
        <v>-0.6034036833189852</v>
      </c>
      <c r="N184" s="1" t="s">
        <v>944</v>
      </c>
      <c r="O184">
        <v>1999</v>
      </c>
      <c r="S184" s="10">
        <f>GraphBacillus!$B$37*Bacillus!I184+GraphBacillus!$B$38</f>
        <v>-0.55404464197321435</v>
      </c>
      <c r="T184" s="10">
        <f>GraphBacillus!$E$37*Bacillus!I184+GraphBacillus!$E$38</f>
        <v>-0.39767601260308627</v>
      </c>
      <c r="U184" s="10">
        <f>GraphBacillus!$I$37*Bacillus!I184+GraphBacillus!$I$38</f>
        <v>-0.84536690001770243</v>
      </c>
    </row>
    <row r="185" spans="1:21" x14ac:dyDescent="0.2">
      <c r="A185" s="2" t="s">
        <v>1236</v>
      </c>
      <c r="B185" s="2" t="s">
        <v>1237</v>
      </c>
      <c r="C185" s="1">
        <v>7004</v>
      </c>
      <c r="D185" s="1" t="s">
        <v>44</v>
      </c>
      <c r="E185" s="1" t="s">
        <v>933</v>
      </c>
      <c r="F185" s="19" t="s">
        <v>931</v>
      </c>
      <c r="G185" s="19">
        <v>0.84</v>
      </c>
      <c r="H185" s="5"/>
      <c r="I185" s="5">
        <v>92</v>
      </c>
      <c r="J185" s="9">
        <v>5.1100000000000003</v>
      </c>
      <c r="K185" s="5">
        <v>10.1</v>
      </c>
      <c r="L185" s="9">
        <f t="shared" si="5"/>
        <v>0.70842090013471271</v>
      </c>
      <c r="M185" s="11">
        <f>GraphBacillus!$B$10-(I185-GraphBacillus!$B$6)/GraphBacillus!$B$5</f>
        <v>0.79784603990106362</v>
      </c>
      <c r="N185" s="1" t="s">
        <v>944</v>
      </c>
      <c r="O185">
        <v>1999</v>
      </c>
      <c r="S185" s="10">
        <f>GraphBacillus!$B$37*Bacillus!I185+GraphBacillus!$B$38</f>
        <v>0.64529126591370467</v>
      </c>
      <c r="T185" s="10">
        <f>GraphBacillus!$E$37*Bacillus!I185+GraphBacillus!$E$38</f>
        <v>0.73776210132458253</v>
      </c>
      <c r="U185" s="10">
        <f>GraphBacillus!$I$37*Bacillus!I185+GraphBacillus!$I$38</f>
        <v>0.51330839521895211</v>
      </c>
    </row>
    <row r="186" spans="1:21" x14ac:dyDescent="0.2">
      <c r="A186" s="2" t="s">
        <v>1236</v>
      </c>
      <c r="B186" s="2" t="s">
        <v>1237</v>
      </c>
      <c r="C186" s="1">
        <v>7004</v>
      </c>
      <c r="D186" s="1" t="s">
        <v>44</v>
      </c>
      <c r="E186" s="1" t="s">
        <v>933</v>
      </c>
      <c r="F186" s="19" t="s">
        <v>931</v>
      </c>
      <c r="G186" s="19">
        <v>0.84</v>
      </c>
      <c r="H186" s="5"/>
      <c r="I186" s="5">
        <v>96</v>
      </c>
      <c r="J186" s="9">
        <v>1.98</v>
      </c>
      <c r="K186" s="5">
        <v>10.1</v>
      </c>
      <c r="L186" s="9">
        <f t="shared" si="5"/>
        <v>0.2966651902615311</v>
      </c>
      <c r="M186" s="11">
        <f>GraphBacillus!$B$10-(I186-GraphBacillus!$B$6)/GraphBacillus!$B$5</f>
        <v>0.48645721251883067</v>
      </c>
      <c r="N186" s="1" t="s">
        <v>944</v>
      </c>
      <c r="O186">
        <v>1999</v>
      </c>
      <c r="S186" s="10">
        <f>GraphBacillus!$B$37*Bacillus!I186+GraphBacillus!$B$38</f>
        <v>0.37877217527216711</v>
      </c>
      <c r="T186" s="10">
        <f>GraphBacillus!$E$37*Bacillus!I186+GraphBacillus!$E$38</f>
        <v>0.48544252045176783</v>
      </c>
      <c r="U186" s="10">
        <f>GraphBacillus!$I$37*Bacillus!I186+GraphBacillus!$I$38</f>
        <v>0.21138055183302829</v>
      </c>
    </row>
    <row r="187" spans="1:21" x14ac:dyDescent="0.2">
      <c r="A187" s="2" t="s">
        <v>1236</v>
      </c>
      <c r="B187" s="2" t="s">
        <v>1237</v>
      </c>
      <c r="C187" s="1">
        <v>7004</v>
      </c>
      <c r="D187" s="1" t="s">
        <v>44</v>
      </c>
      <c r="E187" s="1" t="s">
        <v>933</v>
      </c>
      <c r="F187" s="19" t="s">
        <v>931</v>
      </c>
      <c r="G187" s="19">
        <v>0.84</v>
      </c>
      <c r="H187" s="5"/>
      <c r="I187" s="5">
        <v>100</v>
      </c>
      <c r="J187" s="9">
        <f>0.69</f>
        <v>0.69</v>
      </c>
      <c r="K187" s="5">
        <v>10.1</v>
      </c>
      <c r="L187" s="9">
        <f t="shared" si="5"/>
        <v>-0.16115090926274472</v>
      </c>
      <c r="M187" s="11">
        <f>GraphBacillus!$B$10-(I187-GraphBacillus!$B$6)/GraphBacillus!$B$5</f>
        <v>0.1750683851365975</v>
      </c>
      <c r="N187" s="1" t="s">
        <v>944</v>
      </c>
      <c r="O187">
        <v>1999</v>
      </c>
      <c r="S187" s="10">
        <f>GraphBacillus!$B$37*Bacillus!I187+GraphBacillus!$B$38</f>
        <v>0.11225308463062955</v>
      </c>
      <c r="T187" s="10">
        <f>GraphBacillus!$E$37*Bacillus!I187+GraphBacillus!$E$38</f>
        <v>0.23312293957895225</v>
      </c>
      <c r="U187" s="10">
        <f>GraphBacillus!$I$37*Bacillus!I187+GraphBacillus!$I$38</f>
        <v>-9.0547291552894649E-2</v>
      </c>
    </row>
    <row r="188" spans="1:21" x14ac:dyDescent="0.2">
      <c r="A188" s="2" t="s">
        <v>1236</v>
      </c>
      <c r="B188" s="2" t="s">
        <v>1237</v>
      </c>
      <c r="C188" s="1">
        <v>7004</v>
      </c>
      <c r="D188" s="1" t="s">
        <v>44</v>
      </c>
      <c r="E188" s="1" t="s">
        <v>933</v>
      </c>
      <c r="F188" s="19" t="s">
        <v>931</v>
      </c>
      <c r="G188" s="19">
        <v>0.84</v>
      </c>
      <c r="H188" s="5"/>
      <c r="I188" s="5">
        <v>106</v>
      </c>
      <c r="J188" s="9">
        <v>0.19</v>
      </c>
      <c r="K188" s="5">
        <v>10.1</v>
      </c>
      <c r="L188" s="9">
        <f t="shared" si="5"/>
        <v>-0.72124639904717103</v>
      </c>
      <c r="M188" s="11">
        <f>GraphBacillus!$B$10-(I188-GraphBacillus!$B$6)/GraphBacillus!$B$5</f>
        <v>-0.29201485593675214</v>
      </c>
      <c r="N188" s="1" t="s">
        <v>944</v>
      </c>
      <c r="O188">
        <v>1999</v>
      </c>
      <c r="S188" s="10">
        <f>GraphBacillus!$B$37*Bacillus!I188+GraphBacillus!$B$38</f>
        <v>-0.28752555133167679</v>
      </c>
      <c r="T188" s="10">
        <f>GraphBacillus!$E$37*Bacillus!I188+GraphBacillus!$E$38</f>
        <v>-0.14535643173027069</v>
      </c>
      <c r="U188" s="10">
        <f>GraphBacillus!$I$37*Bacillus!I188+GraphBacillus!$I$38</f>
        <v>-0.54343905663178038</v>
      </c>
    </row>
    <row r="189" spans="1:21" x14ac:dyDescent="0.2">
      <c r="A189" s="2" t="s">
        <v>1236</v>
      </c>
      <c r="B189" s="2" t="s">
        <v>1237</v>
      </c>
      <c r="C189" s="1">
        <v>7004</v>
      </c>
      <c r="D189" s="1" t="s">
        <v>44</v>
      </c>
      <c r="E189" s="1" t="s">
        <v>933</v>
      </c>
      <c r="F189" s="19" t="s">
        <v>931</v>
      </c>
      <c r="G189" s="19">
        <v>0.84</v>
      </c>
      <c r="H189" s="5"/>
      <c r="I189" s="5">
        <v>110</v>
      </c>
      <c r="J189" s="9">
        <v>0.86</v>
      </c>
      <c r="K189" s="5">
        <v>10.1</v>
      </c>
      <c r="L189" s="9">
        <f t="shared" si="5"/>
        <v>-6.5501548756432285E-2</v>
      </c>
      <c r="M189" s="11">
        <f>GraphBacillus!$B$10-(I189-GraphBacillus!$B$6)/GraphBacillus!$B$5</f>
        <v>-0.6034036833189852</v>
      </c>
      <c r="N189" s="1" t="s">
        <v>944</v>
      </c>
      <c r="O189">
        <v>1999</v>
      </c>
      <c r="S189" s="10">
        <f>GraphBacillus!$B$37*Bacillus!I189+GraphBacillus!$B$38</f>
        <v>-0.55404464197321435</v>
      </c>
      <c r="T189" s="10">
        <f>GraphBacillus!$E$37*Bacillus!I189+GraphBacillus!$E$38</f>
        <v>-0.39767601260308627</v>
      </c>
      <c r="U189" s="10">
        <f>GraphBacillus!$I$37*Bacillus!I189+GraphBacillus!$I$38</f>
        <v>-0.84536690001770243</v>
      </c>
    </row>
    <row r="190" spans="1:21" x14ac:dyDescent="0.2">
      <c r="A190" s="2" t="s">
        <v>1236</v>
      </c>
      <c r="B190" s="2" t="s">
        <v>1237</v>
      </c>
      <c r="C190" s="1">
        <v>9818</v>
      </c>
      <c r="D190" s="1" t="s">
        <v>44</v>
      </c>
      <c r="E190" s="1" t="s">
        <v>933</v>
      </c>
      <c r="F190" s="19" t="s">
        <v>931</v>
      </c>
      <c r="G190" s="1">
        <v>0.84</v>
      </c>
      <c r="H190" s="5"/>
      <c r="I190" s="5">
        <v>100</v>
      </c>
      <c r="J190" s="9">
        <v>19.79</v>
      </c>
      <c r="K190" s="5">
        <v>10.7</v>
      </c>
      <c r="L190" s="9">
        <f t="shared" si="5"/>
        <v>1.2964457942063963</v>
      </c>
      <c r="M190" s="11">
        <f>GraphBacillus!$B$10-(I190-GraphBacillus!$B$6)/GraphBacillus!$B$5</f>
        <v>0.1750683851365975</v>
      </c>
      <c r="N190" s="1" t="s">
        <v>944</v>
      </c>
      <c r="O190">
        <v>1999</v>
      </c>
      <c r="S190" s="10">
        <f>GraphBacillus!$B$37*Bacillus!I190+GraphBacillus!$B$38</f>
        <v>0.11225308463062955</v>
      </c>
      <c r="T190" s="10">
        <f>GraphBacillus!$E$37*Bacillus!I190+GraphBacillus!$E$38</f>
        <v>0.23312293957895225</v>
      </c>
      <c r="U190" s="10">
        <f>GraphBacillus!$I$37*Bacillus!I190+GraphBacillus!$I$38</f>
        <v>-9.0547291552894649E-2</v>
      </c>
    </row>
    <row r="191" spans="1:21" x14ac:dyDescent="0.2">
      <c r="A191" s="2" t="s">
        <v>1236</v>
      </c>
      <c r="B191" s="2" t="s">
        <v>1237</v>
      </c>
      <c r="C191" s="1">
        <v>9818</v>
      </c>
      <c r="D191" s="1" t="s">
        <v>44</v>
      </c>
      <c r="E191" s="1" t="s">
        <v>933</v>
      </c>
      <c r="F191" s="19" t="s">
        <v>931</v>
      </c>
      <c r="G191" s="1">
        <v>0.84</v>
      </c>
      <c r="H191" s="5"/>
      <c r="I191" s="5">
        <v>103</v>
      </c>
      <c r="J191" s="9">
        <f>8.24</f>
        <v>8.24</v>
      </c>
      <c r="K191" s="5">
        <v>10.7</v>
      </c>
      <c r="L191" s="9">
        <f t="shared" si="5"/>
        <v>0.91592721169711577</v>
      </c>
      <c r="M191" s="11">
        <f>GraphBacillus!$B$10-(I191-GraphBacillus!$B$6)/GraphBacillus!$B$5</f>
        <v>-5.8473235400077428E-2</v>
      </c>
      <c r="N191" s="1" t="s">
        <v>944</v>
      </c>
      <c r="O191">
        <v>1999</v>
      </c>
      <c r="S191" s="10">
        <f>GraphBacillus!$B$37*Bacillus!I191+GraphBacillus!$B$38</f>
        <v>-8.7636233350523618E-2</v>
      </c>
      <c r="T191" s="10">
        <f>GraphBacillus!$E$37*Bacillus!I191+GraphBacillus!$E$38</f>
        <v>4.3883253924340337E-2</v>
      </c>
      <c r="U191" s="10">
        <f>GraphBacillus!$I$37*Bacillus!I191+GraphBacillus!$I$38</f>
        <v>-0.31699317409233707</v>
      </c>
    </row>
    <row r="192" spans="1:21" x14ac:dyDescent="0.2">
      <c r="A192" s="2" t="s">
        <v>1236</v>
      </c>
      <c r="B192" s="2" t="s">
        <v>1237</v>
      </c>
      <c r="C192" s="1">
        <v>9818</v>
      </c>
      <c r="D192" s="1" t="s">
        <v>44</v>
      </c>
      <c r="E192" s="1" t="s">
        <v>933</v>
      </c>
      <c r="F192" s="19" t="s">
        <v>931</v>
      </c>
      <c r="G192" s="1">
        <v>0.84</v>
      </c>
      <c r="H192" s="5"/>
      <c r="I192" s="5">
        <v>110</v>
      </c>
      <c r="J192" s="9">
        <v>2.2000000000000002</v>
      </c>
      <c r="K192" s="5">
        <v>10.7</v>
      </c>
      <c r="L192" s="9">
        <f t="shared" si="5"/>
        <v>0.34242268082220628</v>
      </c>
      <c r="M192" s="11">
        <f>GraphBacillus!$B$10-(I192-GraphBacillus!$B$6)/GraphBacillus!$B$5</f>
        <v>-0.6034036833189852</v>
      </c>
      <c r="N192" s="1" t="s">
        <v>944</v>
      </c>
      <c r="O192">
        <v>1999</v>
      </c>
      <c r="S192" s="10">
        <f>GraphBacillus!$B$37*Bacillus!I192+GraphBacillus!$B$38</f>
        <v>-0.55404464197321435</v>
      </c>
      <c r="T192" s="10">
        <f>GraphBacillus!$E$37*Bacillus!I192+GraphBacillus!$E$38</f>
        <v>-0.39767601260308627</v>
      </c>
      <c r="U192" s="10">
        <f>GraphBacillus!$I$37*Bacillus!I192+GraphBacillus!$I$38</f>
        <v>-0.84536690001770243</v>
      </c>
    </row>
    <row r="193" spans="1:21" x14ac:dyDescent="0.2">
      <c r="A193" s="2" t="s">
        <v>1236</v>
      </c>
      <c r="B193" s="2" t="s">
        <v>1237</v>
      </c>
      <c r="C193" s="1">
        <v>9818</v>
      </c>
      <c r="D193" s="1" t="s">
        <v>44</v>
      </c>
      <c r="E193" s="1" t="s">
        <v>933</v>
      </c>
      <c r="F193" s="19" t="s">
        <v>931</v>
      </c>
      <c r="G193" s="1">
        <v>0.84</v>
      </c>
      <c r="H193" s="5"/>
      <c r="I193" s="5">
        <v>115</v>
      </c>
      <c r="J193" s="9">
        <v>0.85</v>
      </c>
      <c r="K193" s="5">
        <v>10.7</v>
      </c>
      <c r="L193" s="9">
        <f t="shared" si="5"/>
        <v>-7.0581074285707285E-2</v>
      </c>
      <c r="M193" s="11">
        <f>GraphBacillus!$B$10-(I193-GraphBacillus!$B$6)/GraphBacillus!$B$5</f>
        <v>-0.99263971754677649</v>
      </c>
      <c r="N193" s="1" t="s">
        <v>944</v>
      </c>
      <c r="O193">
        <v>1999</v>
      </c>
      <c r="S193" s="10">
        <f>GraphBacillus!$B$37*Bacillus!I193+GraphBacillus!$B$38</f>
        <v>-0.88719350527513718</v>
      </c>
      <c r="T193" s="10">
        <f>GraphBacillus!$E$37*Bacillus!I193+GraphBacillus!$E$38</f>
        <v>-0.71307548869410553</v>
      </c>
      <c r="U193" s="10">
        <f>GraphBacillus!$I$37*Bacillus!I193+GraphBacillus!$I$38</f>
        <v>-1.2227767042501076</v>
      </c>
    </row>
    <row r="194" spans="1:21" x14ac:dyDescent="0.2">
      <c r="A194" s="2" t="s">
        <v>1236</v>
      </c>
      <c r="B194" s="2" t="s">
        <v>1237</v>
      </c>
      <c r="C194" s="1">
        <v>9818</v>
      </c>
      <c r="D194" s="1" t="s">
        <v>44</v>
      </c>
      <c r="E194" s="1" t="s">
        <v>933</v>
      </c>
      <c r="F194" s="19" t="s">
        <v>931</v>
      </c>
      <c r="G194" s="1">
        <v>0.84</v>
      </c>
      <c r="H194" s="5"/>
      <c r="I194" s="5">
        <v>120</v>
      </c>
      <c r="J194" s="9">
        <v>0.23</v>
      </c>
      <c r="K194" s="5">
        <v>10.7</v>
      </c>
      <c r="L194" s="9">
        <f t="shared" si="5"/>
        <v>-0.63827216398240705</v>
      </c>
      <c r="M194" s="11">
        <f>GraphBacillus!$B$10-(I194-GraphBacillus!$B$6)/GraphBacillus!$B$5</f>
        <v>-1.3818757517745679</v>
      </c>
      <c r="N194" s="1" t="s">
        <v>944</v>
      </c>
      <c r="O194">
        <v>1999</v>
      </c>
      <c r="S194" s="10">
        <f>GraphBacillus!$B$37*Bacillus!I194+GraphBacillus!$B$38</f>
        <v>-1.2203423685770591</v>
      </c>
      <c r="T194" s="10">
        <f>GraphBacillus!$E$37*Bacillus!I194+GraphBacillus!$E$38</f>
        <v>-1.0284749647851248</v>
      </c>
      <c r="U194" s="10">
        <f>GraphBacillus!$I$37*Bacillus!I194+GraphBacillus!$I$38</f>
        <v>-1.6001865084825111</v>
      </c>
    </row>
    <row r="195" spans="1:21" x14ac:dyDescent="0.2">
      <c r="A195" s="2" t="s">
        <v>1236</v>
      </c>
      <c r="B195" s="2" t="s">
        <v>1237</v>
      </c>
      <c r="C195" s="1">
        <v>4342</v>
      </c>
      <c r="D195" s="1" t="s">
        <v>44</v>
      </c>
      <c r="E195" s="1" t="s">
        <v>933</v>
      </c>
      <c r="F195" s="19" t="s">
        <v>932</v>
      </c>
      <c r="G195" s="1">
        <v>0.75</v>
      </c>
      <c r="H195" s="5">
        <v>8.35</v>
      </c>
      <c r="I195" s="4">
        <v>98</v>
      </c>
      <c r="J195" s="9">
        <v>7</v>
      </c>
      <c r="K195" s="5">
        <v>10.8</v>
      </c>
      <c r="L195" s="9">
        <f t="shared" si="5"/>
        <v>0.84509804001425681</v>
      </c>
      <c r="M195" s="11">
        <f>GraphBacillus!$B$10-(I195-GraphBacillus!$B$6)/GraphBacillus!$B$5</f>
        <v>0.33076279882771398</v>
      </c>
      <c r="N195" s="1" t="s">
        <v>944</v>
      </c>
      <c r="O195">
        <v>1999</v>
      </c>
      <c r="S195" s="10">
        <f>GraphBacillus!$B$37*Bacillus!I195+GraphBacillus!$B$38</f>
        <v>0.24551262995139833</v>
      </c>
      <c r="T195" s="10">
        <f>GraphBacillus!$E$37*Bacillus!I195+GraphBacillus!$E$38</f>
        <v>0.3592827300153596</v>
      </c>
      <c r="U195" s="10">
        <f>GraphBacillus!$I$37*Bacillus!I195+GraphBacillus!$I$38</f>
        <v>6.0416630140067262E-2</v>
      </c>
    </row>
    <row r="196" spans="1:21" x14ac:dyDescent="0.2">
      <c r="A196" s="2" t="s">
        <v>1236</v>
      </c>
      <c r="B196" s="2" t="s">
        <v>1237</v>
      </c>
      <c r="C196" s="1">
        <v>4342</v>
      </c>
      <c r="D196" s="1" t="s">
        <v>44</v>
      </c>
      <c r="E196" s="1" t="s">
        <v>933</v>
      </c>
      <c r="F196" s="19" t="s">
        <v>932</v>
      </c>
      <c r="G196" s="1">
        <v>0.75</v>
      </c>
      <c r="H196" s="5">
        <v>8.35</v>
      </c>
      <c r="I196" s="5">
        <v>100</v>
      </c>
      <c r="J196" s="9">
        <f>3.6</f>
        <v>3.6</v>
      </c>
      <c r="K196" s="5">
        <v>10.8</v>
      </c>
      <c r="L196" s="9">
        <f t="shared" si="5"/>
        <v>0.55630250076728727</v>
      </c>
      <c r="M196" s="11">
        <f>GraphBacillus!$B$10-(I196-GraphBacillus!$B$6)/GraphBacillus!$B$5</f>
        <v>0.1750683851365975</v>
      </c>
      <c r="N196" s="1" t="s">
        <v>944</v>
      </c>
      <c r="O196">
        <v>1999</v>
      </c>
      <c r="S196" s="10">
        <f>GraphBacillus!$B$37*Bacillus!I196+GraphBacillus!$B$38</f>
        <v>0.11225308463062955</v>
      </c>
      <c r="T196" s="10">
        <f>GraphBacillus!$E$37*Bacillus!I196+GraphBacillus!$E$38</f>
        <v>0.23312293957895225</v>
      </c>
      <c r="U196" s="10">
        <f>GraphBacillus!$I$37*Bacillus!I196+GraphBacillus!$I$38</f>
        <v>-9.0547291552894649E-2</v>
      </c>
    </row>
    <row r="197" spans="1:21" x14ac:dyDescent="0.2">
      <c r="A197" s="2" t="s">
        <v>1236</v>
      </c>
      <c r="B197" s="2" t="s">
        <v>1237</v>
      </c>
      <c r="C197" s="1">
        <v>4342</v>
      </c>
      <c r="D197" s="1" t="s">
        <v>44</v>
      </c>
      <c r="E197" s="1" t="s">
        <v>933</v>
      </c>
      <c r="F197" s="19" t="s">
        <v>932</v>
      </c>
      <c r="G197" s="1">
        <v>0.75</v>
      </c>
      <c r="H197" s="5">
        <v>8.35</v>
      </c>
      <c r="I197" s="5">
        <v>106</v>
      </c>
      <c r="J197" s="9">
        <v>1.1000000000000001</v>
      </c>
      <c r="K197" s="5">
        <v>10.8</v>
      </c>
      <c r="L197" s="9">
        <f t="shared" ref="L197:L204" si="6">LOG(J197)</f>
        <v>4.1392685158225077E-2</v>
      </c>
      <c r="M197" s="11">
        <f>GraphBacillus!$B$10-(I197-GraphBacillus!$B$6)/GraphBacillus!$B$5</f>
        <v>-0.29201485593675214</v>
      </c>
      <c r="N197" s="1" t="s">
        <v>944</v>
      </c>
      <c r="O197">
        <v>1999</v>
      </c>
      <c r="S197" s="10">
        <f>GraphBacillus!$B$37*Bacillus!I197+GraphBacillus!$B$38</f>
        <v>-0.28752555133167679</v>
      </c>
      <c r="T197" s="10">
        <f>GraphBacillus!$E$37*Bacillus!I197+GraphBacillus!$E$38</f>
        <v>-0.14535643173027069</v>
      </c>
      <c r="U197" s="10">
        <f>GraphBacillus!$I$37*Bacillus!I197+GraphBacillus!$I$38</f>
        <v>-0.54343905663178038</v>
      </c>
    </row>
    <row r="198" spans="1:21" x14ac:dyDescent="0.2">
      <c r="A198" s="2" t="s">
        <v>1236</v>
      </c>
      <c r="B198" s="2" t="s">
        <v>1237</v>
      </c>
      <c r="C198" s="1">
        <v>4342</v>
      </c>
      <c r="D198" s="1" t="s">
        <v>44</v>
      </c>
      <c r="E198" s="1" t="s">
        <v>933</v>
      </c>
      <c r="F198" s="19" t="s">
        <v>932</v>
      </c>
      <c r="G198" s="1">
        <v>0.75</v>
      </c>
      <c r="H198" s="5">
        <v>8.35</v>
      </c>
      <c r="I198" s="5">
        <v>110</v>
      </c>
      <c r="J198" s="9">
        <v>0.5</v>
      </c>
      <c r="K198" s="5">
        <v>10.8</v>
      </c>
      <c r="L198" s="9">
        <f t="shared" si="6"/>
        <v>-0.3010299956639812</v>
      </c>
      <c r="M198" s="11">
        <f>GraphBacillus!$B$10-(I198-GraphBacillus!$B$6)/GraphBacillus!$B$5</f>
        <v>-0.6034036833189852</v>
      </c>
      <c r="N198" s="1" t="s">
        <v>944</v>
      </c>
      <c r="O198">
        <v>1999</v>
      </c>
      <c r="S198" s="10">
        <f>GraphBacillus!$B$37*Bacillus!I198+GraphBacillus!$B$38</f>
        <v>-0.55404464197321435</v>
      </c>
      <c r="T198" s="10">
        <f>GraphBacillus!$E$37*Bacillus!I198+GraphBacillus!$E$38</f>
        <v>-0.39767601260308627</v>
      </c>
      <c r="U198" s="10">
        <f>GraphBacillus!$I$37*Bacillus!I198+GraphBacillus!$I$38</f>
        <v>-0.84536690001770243</v>
      </c>
    </row>
    <row r="199" spans="1:21" x14ac:dyDescent="0.2">
      <c r="A199" s="2" t="s">
        <v>1236</v>
      </c>
      <c r="B199" s="2" t="s">
        <v>1237</v>
      </c>
      <c r="C199" s="1">
        <v>7004</v>
      </c>
      <c r="D199" s="1" t="s">
        <v>44</v>
      </c>
      <c r="E199" s="1" t="s">
        <v>933</v>
      </c>
      <c r="F199" s="19" t="s">
        <v>932</v>
      </c>
      <c r="G199" s="19">
        <v>0.75</v>
      </c>
      <c r="H199" s="5">
        <v>8.35</v>
      </c>
      <c r="I199" s="5">
        <v>96</v>
      </c>
      <c r="J199" s="9">
        <v>4.17</v>
      </c>
      <c r="K199" s="5">
        <v>10.3</v>
      </c>
      <c r="L199" s="9">
        <f t="shared" si="6"/>
        <v>0.62013605497375746</v>
      </c>
      <c r="M199" s="11">
        <f>GraphBacillus!$B$10-(I199-GraphBacillus!$B$6)/GraphBacillus!$B$5</f>
        <v>0.48645721251883067</v>
      </c>
      <c r="N199" s="1" t="s">
        <v>944</v>
      </c>
      <c r="O199">
        <v>1999</v>
      </c>
      <c r="S199" s="10">
        <f>GraphBacillus!$B$37*Bacillus!I199+GraphBacillus!$B$38</f>
        <v>0.37877217527216711</v>
      </c>
      <c r="T199" s="10">
        <f>GraphBacillus!$E$37*Bacillus!I199+GraphBacillus!$E$38</f>
        <v>0.48544252045176783</v>
      </c>
      <c r="U199" s="10">
        <f>GraphBacillus!$I$37*Bacillus!I199+GraphBacillus!$I$38</f>
        <v>0.21138055183302829</v>
      </c>
    </row>
    <row r="200" spans="1:21" x14ac:dyDescent="0.2">
      <c r="A200" s="2" t="s">
        <v>1236</v>
      </c>
      <c r="B200" s="2" t="s">
        <v>1237</v>
      </c>
      <c r="C200" s="1">
        <v>7004</v>
      </c>
      <c r="D200" s="1" t="s">
        <v>44</v>
      </c>
      <c r="E200" s="1" t="s">
        <v>933</v>
      </c>
      <c r="F200" s="19" t="s">
        <v>932</v>
      </c>
      <c r="G200" s="19">
        <v>0.75</v>
      </c>
      <c r="H200" s="5">
        <v>8.35</v>
      </c>
      <c r="I200" s="5">
        <v>100</v>
      </c>
      <c r="J200" s="9">
        <f>1.63</f>
        <v>1.63</v>
      </c>
      <c r="K200" s="5">
        <v>10.3</v>
      </c>
      <c r="L200" s="9">
        <f t="shared" si="6"/>
        <v>0.21218760440395779</v>
      </c>
      <c r="M200" s="11">
        <f>GraphBacillus!$B$10-(I200-GraphBacillus!$B$6)/GraphBacillus!$B$5</f>
        <v>0.1750683851365975</v>
      </c>
      <c r="N200" s="1" t="s">
        <v>944</v>
      </c>
      <c r="O200">
        <v>1999</v>
      </c>
      <c r="S200" s="10">
        <f>GraphBacillus!$B$37*Bacillus!I200+GraphBacillus!$B$38</f>
        <v>0.11225308463062955</v>
      </c>
      <c r="T200" s="10">
        <f>GraphBacillus!$E$37*Bacillus!I200+GraphBacillus!$E$38</f>
        <v>0.23312293957895225</v>
      </c>
      <c r="U200" s="10">
        <f>GraphBacillus!$I$37*Bacillus!I200+GraphBacillus!$I$38</f>
        <v>-9.0547291552894649E-2</v>
      </c>
    </row>
    <row r="201" spans="1:21" x14ac:dyDescent="0.2">
      <c r="A201" s="2" t="s">
        <v>1236</v>
      </c>
      <c r="B201" s="2" t="s">
        <v>1237</v>
      </c>
      <c r="C201" s="1">
        <v>7004</v>
      </c>
      <c r="D201" s="1" t="s">
        <v>44</v>
      </c>
      <c r="E201" s="1" t="s">
        <v>933</v>
      </c>
      <c r="F201" s="19" t="s">
        <v>932</v>
      </c>
      <c r="G201" s="19">
        <v>0.75</v>
      </c>
      <c r="H201" s="5">
        <v>8.35</v>
      </c>
      <c r="I201" s="5">
        <v>106</v>
      </c>
      <c r="J201" s="9">
        <v>0.51</v>
      </c>
      <c r="K201" s="5">
        <v>10.3</v>
      </c>
      <c r="L201" s="9">
        <f t="shared" si="6"/>
        <v>-0.29242982390206362</v>
      </c>
      <c r="M201" s="11">
        <f>GraphBacillus!$B$10-(I201-GraphBacillus!$B$6)/GraphBacillus!$B$5</f>
        <v>-0.29201485593675214</v>
      </c>
      <c r="N201" s="1" t="s">
        <v>944</v>
      </c>
      <c r="O201">
        <v>1999</v>
      </c>
      <c r="S201" s="10">
        <f>GraphBacillus!$B$37*Bacillus!I201+GraphBacillus!$B$38</f>
        <v>-0.28752555133167679</v>
      </c>
      <c r="T201" s="10">
        <f>GraphBacillus!$E$37*Bacillus!I201+GraphBacillus!$E$38</f>
        <v>-0.14535643173027069</v>
      </c>
      <c r="U201" s="10">
        <f>GraphBacillus!$I$37*Bacillus!I201+GraphBacillus!$I$38</f>
        <v>-0.54343905663178038</v>
      </c>
    </row>
    <row r="202" spans="1:21" x14ac:dyDescent="0.2">
      <c r="A202" s="2" t="s">
        <v>1236</v>
      </c>
      <c r="B202" s="2" t="s">
        <v>1237</v>
      </c>
      <c r="C202" s="1">
        <v>7004</v>
      </c>
      <c r="D202" s="1" t="s">
        <v>44</v>
      </c>
      <c r="E202" s="1" t="s">
        <v>933</v>
      </c>
      <c r="F202" s="19" t="s">
        <v>932</v>
      </c>
      <c r="G202" s="19">
        <v>0.75</v>
      </c>
      <c r="H202" s="5">
        <v>8.35</v>
      </c>
      <c r="I202" s="5">
        <v>110</v>
      </c>
      <c r="J202" s="9">
        <v>0.16</v>
      </c>
      <c r="K202" s="5">
        <v>10.3</v>
      </c>
      <c r="L202" s="9">
        <f t="shared" si="6"/>
        <v>-0.79588001734407521</v>
      </c>
      <c r="M202" s="11">
        <f>GraphBacillus!$B$10-(I202-GraphBacillus!$B$6)/GraphBacillus!$B$5</f>
        <v>-0.6034036833189852</v>
      </c>
      <c r="N202" s="1" t="s">
        <v>944</v>
      </c>
      <c r="O202">
        <v>1999</v>
      </c>
      <c r="S202" s="10">
        <f>GraphBacillus!$B$37*Bacillus!I202+GraphBacillus!$B$38</f>
        <v>-0.55404464197321435</v>
      </c>
      <c r="T202" s="10">
        <f>GraphBacillus!$E$37*Bacillus!I202+GraphBacillus!$E$38</f>
        <v>-0.39767601260308627</v>
      </c>
      <c r="U202" s="10">
        <f>GraphBacillus!$I$37*Bacillus!I202+GraphBacillus!$I$38</f>
        <v>-0.84536690001770243</v>
      </c>
    </row>
    <row r="203" spans="1:21" x14ac:dyDescent="0.2">
      <c r="A203" s="2" t="s">
        <v>1236</v>
      </c>
      <c r="B203" s="2" t="s">
        <v>1237</v>
      </c>
      <c r="C203" s="1">
        <v>9818</v>
      </c>
      <c r="D203" s="1" t="s">
        <v>44</v>
      </c>
      <c r="E203" s="1" t="s">
        <v>933</v>
      </c>
      <c r="F203" s="19" t="s">
        <v>932</v>
      </c>
      <c r="G203" s="1">
        <v>0.75</v>
      </c>
      <c r="H203" s="5">
        <v>8.35</v>
      </c>
      <c r="I203" s="5">
        <v>103</v>
      </c>
      <c r="J203" s="9">
        <f>14.04</f>
        <v>14.04</v>
      </c>
      <c r="K203" s="5">
        <v>11.1</v>
      </c>
      <c r="L203" s="9">
        <f t="shared" si="6"/>
        <v>1.1473671077937864</v>
      </c>
      <c r="M203" s="11">
        <f>GraphBacillus!$B$10-(I203-GraphBacillus!$B$6)/GraphBacillus!$B$5</f>
        <v>-5.8473235400077428E-2</v>
      </c>
      <c r="N203" s="1" t="s">
        <v>944</v>
      </c>
      <c r="O203">
        <v>1999</v>
      </c>
      <c r="S203" s="10">
        <f>GraphBacillus!$B$37*Bacillus!I203+GraphBacillus!$B$38</f>
        <v>-8.7636233350523618E-2</v>
      </c>
      <c r="T203" s="10">
        <f>GraphBacillus!$E$37*Bacillus!I203+GraphBacillus!$E$38</f>
        <v>4.3883253924340337E-2</v>
      </c>
      <c r="U203" s="10">
        <f>GraphBacillus!$I$37*Bacillus!I203+GraphBacillus!$I$38</f>
        <v>-0.31699317409233707</v>
      </c>
    </row>
    <row r="204" spans="1:21" x14ac:dyDescent="0.2">
      <c r="A204" s="2" t="s">
        <v>1236</v>
      </c>
      <c r="B204" s="2" t="s">
        <v>1237</v>
      </c>
      <c r="C204" s="1">
        <v>9818</v>
      </c>
      <c r="D204" s="1" t="s">
        <v>44</v>
      </c>
      <c r="E204" s="1" t="s">
        <v>933</v>
      </c>
      <c r="F204" s="19" t="s">
        <v>932</v>
      </c>
      <c r="G204" s="1">
        <v>0.75</v>
      </c>
      <c r="H204" s="5">
        <v>8.35</v>
      </c>
      <c r="I204" s="5">
        <v>110</v>
      </c>
      <c r="J204" s="11">
        <v>3.16</v>
      </c>
      <c r="K204" s="5">
        <v>11.1</v>
      </c>
      <c r="L204" s="9">
        <f t="shared" si="6"/>
        <v>0.49968708261840383</v>
      </c>
      <c r="M204" s="11">
        <f>GraphBacillus!$B$10-(I204-GraphBacillus!$B$6)/GraphBacillus!$B$5</f>
        <v>-0.6034036833189852</v>
      </c>
      <c r="N204" s="1" t="s">
        <v>944</v>
      </c>
      <c r="O204">
        <v>1999</v>
      </c>
      <c r="S204" s="10">
        <f>GraphBacillus!$B$37*Bacillus!I204+GraphBacillus!$B$38</f>
        <v>-0.55404464197321435</v>
      </c>
      <c r="T204" s="10">
        <f>GraphBacillus!$E$37*Bacillus!I204+GraphBacillus!$E$38</f>
        <v>-0.39767601260308627</v>
      </c>
      <c r="U204" s="10">
        <f>GraphBacillus!$I$37*Bacillus!I204+GraphBacillus!$I$38</f>
        <v>-0.84536690001770243</v>
      </c>
    </row>
    <row r="205" spans="1:21" x14ac:dyDescent="0.2">
      <c r="A205" s="2" t="s">
        <v>1236</v>
      </c>
      <c r="B205" s="2" t="s">
        <v>1237</v>
      </c>
      <c r="C205" s="1">
        <v>9818</v>
      </c>
      <c r="D205" s="1" t="s">
        <v>44</v>
      </c>
      <c r="E205" s="1" t="s">
        <v>933</v>
      </c>
      <c r="F205" s="19" t="s">
        <v>932</v>
      </c>
      <c r="G205" s="1">
        <v>0.75</v>
      </c>
      <c r="H205" s="5">
        <v>8.35</v>
      </c>
      <c r="I205" s="5">
        <v>115</v>
      </c>
      <c r="J205" s="9">
        <v>0.95</v>
      </c>
      <c r="K205" s="5">
        <v>11.1</v>
      </c>
      <c r="L205" s="9">
        <f t="shared" ref="L205:L217" si="7">LOG(J205)</f>
        <v>-2.2276394711152253E-2</v>
      </c>
      <c r="M205" s="11">
        <f>GraphBacillus!$B$10-(I205-GraphBacillus!$B$6)/GraphBacillus!$B$5</f>
        <v>-0.99263971754677649</v>
      </c>
      <c r="N205" s="1" t="s">
        <v>944</v>
      </c>
      <c r="O205">
        <v>1999</v>
      </c>
      <c r="S205" s="10">
        <f>GraphBacillus!$B$37*Bacillus!I205+GraphBacillus!$B$38</f>
        <v>-0.88719350527513718</v>
      </c>
      <c r="T205" s="10">
        <f>GraphBacillus!$E$37*Bacillus!I205+GraphBacillus!$E$38</f>
        <v>-0.71307548869410553</v>
      </c>
      <c r="U205" s="10">
        <f>GraphBacillus!$I$37*Bacillus!I205+GraphBacillus!$I$38</f>
        <v>-1.2227767042501076</v>
      </c>
    </row>
    <row r="206" spans="1:21" x14ac:dyDescent="0.2">
      <c r="A206" s="2" t="s">
        <v>1236</v>
      </c>
      <c r="B206" s="2" t="s">
        <v>1237</v>
      </c>
      <c r="C206" s="1">
        <v>9818</v>
      </c>
      <c r="D206" s="1" t="s">
        <v>44</v>
      </c>
      <c r="E206" s="1" t="s">
        <v>933</v>
      </c>
      <c r="F206" s="19" t="s">
        <v>932</v>
      </c>
      <c r="G206" s="1">
        <v>0.75</v>
      </c>
      <c r="H206" s="5">
        <v>8.35</v>
      </c>
      <c r="I206" s="5">
        <v>120</v>
      </c>
      <c r="J206" s="9">
        <v>0.44</v>
      </c>
      <c r="K206" s="5">
        <v>11.1</v>
      </c>
      <c r="L206" s="9">
        <f t="shared" si="7"/>
        <v>-0.35654732351381258</v>
      </c>
      <c r="M206" s="11">
        <f>GraphBacillus!$B$10-(I206-GraphBacillus!$B$6)/GraphBacillus!$B$5</f>
        <v>-1.3818757517745679</v>
      </c>
      <c r="N206" s="1" t="s">
        <v>944</v>
      </c>
      <c r="O206">
        <v>1999</v>
      </c>
      <c r="S206" s="10">
        <f>GraphBacillus!$B$37*Bacillus!I206+GraphBacillus!$B$38</f>
        <v>-1.2203423685770591</v>
      </c>
      <c r="T206" s="10">
        <f>GraphBacillus!$E$37*Bacillus!I206+GraphBacillus!$E$38</f>
        <v>-1.0284749647851248</v>
      </c>
      <c r="U206" s="10">
        <f>GraphBacillus!$I$37*Bacillus!I206+GraphBacillus!$I$38</f>
        <v>-1.6001865084825111</v>
      </c>
    </row>
    <row r="207" spans="1:21" x14ac:dyDescent="0.2">
      <c r="A207" s="2" t="s">
        <v>1236</v>
      </c>
      <c r="B207" s="2" t="s">
        <v>1237</v>
      </c>
      <c r="C207" s="1">
        <v>4342</v>
      </c>
      <c r="D207" s="1" t="s">
        <v>44</v>
      </c>
      <c r="E207" s="1" t="s">
        <v>933</v>
      </c>
      <c r="F207" s="19" t="s">
        <v>937</v>
      </c>
      <c r="G207" s="1">
        <v>0.98</v>
      </c>
      <c r="H207" s="5">
        <v>7.28</v>
      </c>
      <c r="I207" s="5">
        <v>98</v>
      </c>
      <c r="J207" s="11">
        <v>1.1000000000000001</v>
      </c>
      <c r="K207" s="5">
        <v>8.6</v>
      </c>
      <c r="L207" s="9">
        <f t="shared" si="7"/>
        <v>4.1392685158225077E-2</v>
      </c>
      <c r="M207" s="11">
        <f>GraphBacillus!$B$10-(I207-GraphBacillus!$B$6)/GraphBacillus!$B$5</f>
        <v>0.33076279882771398</v>
      </c>
      <c r="N207" s="1" t="s">
        <v>944</v>
      </c>
      <c r="O207">
        <v>1999</v>
      </c>
      <c r="S207" s="10">
        <f>GraphBacillus!$B$37*Bacillus!I207+GraphBacillus!$B$38</f>
        <v>0.24551262995139833</v>
      </c>
      <c r="T207" s="10">
        <f>GraphBacillus!$E$37*Bacillus!I207+GraphBacillus!$E$38</f>
        <v>0.3592827300153596</v>
      </c>
      <c r="U207" s="10">
        <f>GraphBacillus!$I$37*Bacillus!I207+GraphBacillus!$I$38</f>
        <v>6.0416630140067262E-2</v>
      </c>
    </row>
    <row r="208" spans="1:21" x14ac:dyDescent="0.2">
      <c r="A208" s="2" t="s">
        <v>1236</v>
      </c>
      <c r="B208" s="2" t="s">
        <v>1237</v>
      </c>
      <c r="C208" s="1">
        <v>4342</v>
      </c>
      <c r="D208" s="1" t="s">
        <v>44</v>
      </c>
      <c r="E208" s="1" t="s">
        <v>933</v>
      </c>
      <c r="F208" s="19" t="s">
        <v>937</v>
      </c>
      <c r="G208" s="1">
        <v>0.98</v>
      </c>
      <c r="H208" s="5">
        <v>7.28</v>
      </c>
      <c r="I208" s="5">
        <v>100</v>
      </c>
      <c r="J208" s="11">
        <f>0.64</f>
        <v>0.64</v>
      </c>
      <c r="K208" s="5">
        <v>8.6</v>
      </c>
      <c r="L208" s="9">
        <f t="shared" si="7"/>
        <v>-0.19382002601611281</v>
      </c>
      <c r="M208" s="11">
        <f>GraphBacillus!$B$10-(I208-GraphBacillus!$B$6)/GraphBacillus!$B$5</f>
        <v>0.1750683851365975</v>
      </c>
      <c r="N208" s="1" t="s">
        <v>944</v>
      </c>
      <c r="O208">
        <v>1999</v>
      </c>
      <c r="S208" s="10">
        <f>GraphBacillus!$B$37*Bacillus!I208+GraphBacillus!$B$38</f>
        <v>0.11225308463062955</v>
      </c>
      <c r="T208" s="10">
        <f>GraphBacillus!$E$37*Bacillus!I208+GraphBacillus!$E$38</f>
        <v>0.23312293957895225</v>
      </c>
      <c r="U208" s="10">
        <f>GraphBacillus!$I$37*Bacillus!I208+GraphBacillus!$I$38</f>
        <v>-9.0547291552894649E-2</v>
      </c>
    </row>
    <row r="209" spans="1:21" x14ac:dyDescent="0.2">
      <c r="A209" s="2" t="s">
        <v>1236</v>
      </c>
      <c r="B209" s="2" t="s">
        <v>1237</v>
      </c>
      <c r="C209" s="1">
        <v>4342</v>
      </c>
      <c r="D209" s="1" t="s">
        <v>44</v>
      </c>
      <c r="E209" s="1" t="s">
        <v>933</v>
      </c>
      <c r="F209" s="19" t="s">
        <v>937</v>
      </c>
      <c r="G209" s="1">
        <v>0.98</v>
      </c>
      <c r="H209" s="5">
        <v>7.28</v>
      </c>
      <c r="I209" s="5">
        <v>106</v>
      </c>
      <c r="J209" s="11">
        <v>0.12</v>
      </c>
      <c r="K209" s="5">
        <v>8.6</v>
      </c>
      <c r="L209" s="9">
        <f t="shared" si="7"/>
        <v>-0.92081875395237522</v>
      </c>
      <c r="M209" s="11">
        <f>GraphBacillus!$B$10-(I209-GraphBacillus!$B$6)/GraphBacillus!$B$5</f>
        <v>-0.29201485593675214</v>
      </c>
      <c r="N209" s="1" t="s">
        <v>944</v>
      </c>
      <c r="O209">
        <v>1999</v>
      </c>
      <c r="S209" s="10">
        <f>GraphBacillus!$B$37*Bacillus!I209+GraphBacillus!$B$38</f>
        <v>-0.28752555133167679</v>
      </c>
      <c r="T209" s="10">
        <f>GraphBacillus!$E$37*Bacillus!I209+GraphBacillus!$E$38</f>
        <v>-0.14535643173027069</v>
      </c>
      <c r="U209" s="10">
        <f>GraphBacillus!$I$37*Bacillus!I209+GraphBacillus!$I$38</f>
        <v>-0.54343905663178038</v>
      </c>
    </row>
    <row r="210" spans="1:21" x14ac:dyDescent="0.2">
      <c r="A210" s="2" t="s">
        <v>1236</v>
      </c>
      <c r="B210" s="2" t="s">
        <v>1237</v>
      </c>
      <c r="C210" s="1">
        <v>4342</v>
      </c>
      <c r="D210" s="1" t="s">
        <v>44</v>
      </c>
      <c r="E210" s="1" t="s">
        <v>933</v>
      </c>
      <c r="F210" s="19" t="s">
        <v>937</v>
      </c>
      <c r="G210" s="1">
        <v>0.98</v>
      </c>
      <c r="H210" s="5">
        <v>7.28</v>
      </c>
      <c r="I210" s="5">
        <v>110</v>
      </c>
      <c r="J210" s="11">
        <v>4.5999999999999999E-2</v>
      </c>
      <c r="K210" s="5">
        <v>8.6</v>
      </c>
      <c r="L210" s="9">
        <f t="shared" si="7"/>
        <v>-1.3372421683184259</v>
      </c>
      <c r="M210" s="11">
        <f>GraphBacillus!$B$10-(I210-GraphBacillus!$B$6)/GraphBacillus!$B$5</f>
        <v>-0.6034036833189852</v>
      </c>
      <c r="N210" s="1" t="s">
        <v>944</v>
      </c>
      <c r="O210">
        <v>1999</v>
      </c>
      <c r="S210" s="10">
        <f>GraphBacillus!$B$37*Bacillus!I210+GraphBacillus!$B$38</f>
        <v>-0.55404464197321435</v>
      </c>
      <c r="T210" s="10">
        <f>GraphBacillus!$E$37*Bacillus!I210+GraphBacillus!$E$38</f>
        <v>-0.39767601260308627</v>
      </c>
      <c r="U210" s="10">
        <f>GraphBacillus!$I$37*Bacillus!I210+GraphBacillus!$I$38</f>
        <v>-0.84536690001770243</v>
      </c>
    </row>
    <row r="211" spans="1:21" x14ac:dyDescent="0.2">
      <c r="A211" s="2" t="s">
        <v>1236</v>
      </c>
      <c r="B211" s="2" t="s">
        <v>1237</v>
      </c>
      <c r="C211" s="1">
        <v>7004</v>
      </c>
      <c r="D211" s="1" t="s">
        <v>44</v>
      </c>
      <c r="E211" s="1" t="s">
        <v>933</v>
      </c>
      <c r="F211" s="19" t="s">
        <v>937</v>
      </c>
      <c r="G211" s="1">
        <v>0.98</v>
      </c>
      <c r="H211" s="5">
        <v>7.28</v>
      </c>
      <c r="I211" s="5">
        <v>92</v>
      </c>
      <c r="J211" s="11">
        <v>2.2200000000000002</v>
      </c>
      <c r="K211" s="5">
        <v>8.5</v>
      </c>
      <c r="L211" s="9">
        <f>LOG(J211)</f>
        <v>0.34635297445063867</v>
      </c>
      <c r="M211" s="11">
        <f>GraphBacillus!$B$10-(I211-GraphBacillus!$B$6)/GraphBacillus!$B$5</f>
        <v>0.79784603990106362</v>
      </c>
      <c r="N211" s="1" t="s">
        <v>944</v>
      </c>
      <c r="O211">
        <v>1999</v>
      </c>
      <c r="S211" s="10">
        <f>GraphBacillus!$B$37*Bacillus!I211+GraphBacillus!$B$38</f>
        <v>0.64529126591370467</v>
      </c>
      <c r="T211" s="10">
        <f>GraphBacillus!$E$37*Bacillus!I211+GraphBacillus!$E$38</f>
        <v>0.73776210132458253</v>
      </c>
      <c r="U211" s="10">
        <f>GraphBacillus!$I$37*Bacillus!I211+GraphBacillus!$I$38</f>
        <v>0.51330839521895211</v>
      </c>
    </row>
    <row r="212" spans="1:21" x14ac:dyDescent="0.2">
      <c r="A212" s="2" t="s">
        <v>1236</v>
      </c>
      <c r="B212" s="2" t="s">
        <v>1237</v>
      </c>
      <c r="C212" s="1">
        <v>7004</v>
      </c>
      <c r="D212" s="1" t="s">
        <v>44</v>
      </c>
      <c r="E212" s="1" t="s">
        <v>933</v>
      </c>
      <c r="F212" s="19" t="s">
        <v>937</v>
      </c>
      <c r="G212" s="1">
        <v>0.98</v>
      </c>
      <c r="H212" s="5">
        <v>7.28</v>
      </c>
      <c r="I212" s="5">
        <v>96</v>
      </c>
      <c r="J212" s="11">
        <v>0.74</v>
      </c>
      <c r="K212" s="5">
        <v>8.5</v>
      </c>
      <c r="L212" s="9">
        <f t="shared" si="7"/>
        <v>-0.13076828026902382</v>
      </c>
      <c r="M212" s="11">
        <f>GraphBacillus!$B$10-(I212-GraphBacillus!$B$6)/GraphBacillus!$B$5</f>
        <v>0.48645721251883067</v>
      </c>
      <c r="N212" s="1" t="s">
        <v>944</v>
      </c>
      <c r="O212">
        <v>1999</v>
      </c>
      <c r="S212" s="10">
        <f>GraphBacillus!$B$37*Bacillus!I212+GraphBacillus!$B$38</f>
        <v>0.37877217527216711</v>
      </c>
      <c r="T212" s="10">
        <f>GraphBacillus!$E$37*Bacillus!I212+GraphBacillus!$E$38</f>
        <v>0.48544252045176783</v>
      </c>
      <c r="U212" s="10">
        <f>GraphBacillus!$I$37*Bacillus!I212+GraphBacillus!$I$38</f>
        <v>0.21138055183302829</v>
      </c>
    </row>
    <row r="213" spans="1:21" x14ac:dyDescent="0.2">
      <c r="A213" s="2" t="s">
        <v>1236</v>
      </c>
      <c r="B213" s="2" t="s">
        <v>1237</v>
      </c>
      <c r="C213" s="1">
        <v>7004</v>
      </c>
      <c r="D213" s="1" t="s">
        <v>44</v>
      </c>
      <c r="E213" s="1" t="s">
        <v>933</v>
      </c>
      <c r="F213" s="19" t="s">
        <v>937</v>
      </c>
      <c r="G213" s="1">
        <v>0.98</v>
      </c>
      <c r="H213" s="5">
        <v>7.28</v>
      </c>
      <c r="I213" s="5">
        <v>100</v>
      </c>
      <c r="J213" s="11">
        <f>0.25</f>
        <v>0.25</v>
      </c>
      <c r="K213" s="5">
        <v>8.5</v>
      </c>
      <c r="L213" s="9">
        <f>LOG(J213)</f>
        <v>-0.6020599913279624</v>
      </c>
      <c r="M213" s="11">
        <f>GraphBacillus!$B$10-(I213-GraphBacillus!$B$6)/GraphBacillus!$B$5</f>
        <v>0.1750683851365975</v>
      </c>
      <c r="N213" s="1" t="s">
        <v>944</v>
      </c>
      <c r="O213">
        <v>1999</v>
      </c>
      <c r="S213" s="10">
        <f>GraphBacillus!$B$37*Bacillus!I213+GraphBacillus!$B$38</f>
        <v>0.11225308463062955</v>
      </c>
      <c r="T213" s="10">
        <f>GraphBacillus!$E$37*Bacillus!I213+GraphBacillus!$E$38</f>
        <v>0.23312293957895225</v>
      </c>
      <c r="U213" s="10">
        <f>GraphBacillus!$I$37*Bacillus!I213+GraphBacillus!$I$38</f>
        <v>-9.0547291552894649E-2</v>
      </c>
    </row>
    <row r="214" spans="1:21" x14ac:dyDescent="0.2">
      <c r="A214" s="2" t="s">
        <v>1236</v>
      </c>
      <c r="B214" s="2" t="s">
        <v>1237</v>
      </c>
      <c r="C214" s="1">
        <v>7004</v>
      </c>
      <c r="D214" s="1" t="s">
        <v>44</v>
      </c>
      <c r="E214" s="1" t="s">
        <v>933</v>
      </c>
      <c r="F214" s="19" t="s">
        <v>937</v>
      </c>
      <c r="G214" s="1">
        <v>0.98</v>
      </c>
      <c r="H214" s="5">
        <v>7.28</v>
      </c>
      <c r="I214" s="5">
        <v>106</v>
      </c>
      <c r="J214" s="11">
        <v>5.0999999999999997E-2</v>
      </c>
      <c r="K214" s="5">
        <v>8.5</v>
      </c>
      <c r="L214" s="9">
        <f t="shared" si="7"/>
        <v>-1.2924298239020637</v>
      </c>
      <c r="M214" s="11">
        <f>GraphBacillus!$B$10-(I214-GraphBacillus!$B$6)/GraphBacillus!$B$5</f>
        <v>-0.29201485593675214</v>
      </c>
      <c r="N214" s="1" t="s">
        <v>944</v>
      </c>
      <c r="O214">
        <v>1999</v>
      </c>
      <c r="S214" s="10">
        <f>GraphBacillus!$B$37*Bacillus!I214+GraphBacillus!$B$38</f>
        <v>-0.28752555133167679</v>
      </c>
      <c r="T214" s="10">
        <f>GraphBacillus!$E$37*Bacillus!I214+GraphBacillus!$E$38</f>
        <v>-0.14535643173027069</v>
      </c>
      <c r="U214" s="10">
        <f>GraphBacillus!$I$37*Bacillus!I214+GraphBacillus!$I$38</f>
        <v>-0.54343905663178038</v>
      </c>
    </row>
    <row r="215" spans="1:21" x14ac:dyDescent="0.2">
      <c r="A215" s="2" t="s">
        <v>1236</v>
      </c>
      <c r="B215" s="2" t="s">
        <v>1237</v>
      </c>
      <c r="C215" s="1">
        <v>9818</v>
      </c>
      <c r="D215" s="1" t="s">
        <v>44</v>
      </c>
      <c r="E215" s="1" t="s">
        <v>933</v>
      </c>
      <c r="F215" s="19" t="s">
        <v>937</v>
      </c>
      <c r="G215" s="1">
        <v>0.96</v>
      </c>
      <c r="H215" s="5"/>
      <c r="I215" s="5">
        <v>100</v>
      </c>
      <c r="J215" s="9">
        <v>5.22</v>
      </c>
      <c r="K215" s="5">
        <v>10.7</v>
      </c>
      <c r="L215" s="9">
        <f>LOG(J215)</f>
        <v>0.71767050300226209</v>
      </c>
      <c r="M215" s="11">
        <f>GraphBacillus!$B$10-(I215-GraphBacillus!$B$6)/GraphBacillus!$B$5</f>
        <v>0.1750683851365975</v>
      </c>
      <c r="N215" s="1" t="s">
        <v>944</v>
      </c>
      <c r="O215">
        <v>1999</v>
      </c>
      <c r="S215" s="10">
        <f>GraphBacillus!$B$37*Bacillus!I215+GraphBacillus!$B$38</f>
        <v>0.11225308463062955</v>
      </c>
      <c r="T215" s="10">
        <f>GraphBacillus!$E$37*Bacillus!I215+GraphBacillus!$E$38</f>
        <v>0.23312293957895225</v>
      </c>
      <c r="U215" s="10">
        <f>GraphBacillus!$I$37*Bacillus!I215+GraphBacillus!$I$38</f>
        <v>-9.0547291552894649E-2</v>
      </c>
    </row>
    <row r="216" spans="1:21" x14ac:dyDescent="0.2">
      <c r="A216" s="2" t="s">
        <v>1236</v>
      </c>
      <c r="B216" s="2" t="s">
        <v>1237</v>
      </c>
      <c r="C216" s="1">
        <v>9818</v>
      </c>
      <c r="D216" s="1" t="s">
        <v>44</v>
      </c>
      <c r="E216" s="1" t="s">
        <v>933</v>
      </c>
      <c r="F216" s="19" t="s">
        <v>937</v>
      </c>
      <c r="G216" s="1">
        <v>0.96</v>
      </c>
      <c r="H216" s="5"/>
      <c r="I216" s="5">
        <v>103</v>
      </c>
      <c r="J216" s="9">
        <f>2.4</f>
        <v>2.4</v>
      </c>
      <c r="K216" s="5">
        <v>10.7</v>
      </c>
      <c r="L216" s="9">
        <f t="shared" si="7"/>
        <v>0.38021124171160603</v>
      </c>
      <c r="M216" s="11">
        <f>GraphBacillus!$B$10-(I216-GraphBacillus!$B$6)/GraphBacillus!$B$5</f>
        <v>-5.8473235400077428E-2</v>
      </c>
      <c r="N216" s="1" t="s">
        <v>944</v>
      </c>
      <c r="O216">
        <v>1999</v>
      </c>
      <c r="S216" s="10">
        <f>GraphBacillus!$B$37*Bacillus!I216+GraphBacillus!$B$38</f>
        <v>-8.7636233350523618E-2</v>
      </c>
      <c r="T216" s="10">
        <f>GraphBacillus!$E$37*Bacillus!I216+GraphBacillus!$E$38</f>
        <v>4.3883253924340337E-2</v>
      </c>
      <c r="U216" s="10">
        <f>GraphBacillus!$I$37*Bacillus!I216+GraphBacillus!$I$38</f>
        <v>-0.31699317409233707</v>
      </c>
    </row>
    <row r="217" spans="1:21" x14ac:dyDescent="0.2">
      <c r="A217" s="2" t="s">
        <v>1236</v>
      </c>
      <c r="B217" s="2" t="s">
        <v>1237</v>
      </c>
      <c r="C217" s="1">
        <v>9818</v>
      </c>
      <c r="D217" s="1" t="s">
        <v>44</v>
      </c>
      <c r="E217" s="1" t="s">
        <v>933</v>
      </c>
      <c r="F217" s="19" t="s">
        <v>937</v>
      </c>
      <c r="G217" s="1">
        <v>0.96</v>
      </c>
      <c r="H217" s="5"/>
      <c r="I217" s="5">
        <v>110</v>
      </c>
      <c r="J217" s="9">
        <v>0.52</v>
      </c>
      <c r="K217" s="5">
        <v>10.7</v>
      </c>
      <c r="L217" s="9">
        <f t="shared" si="7"/>
        <v>-0.28399665636520083</v>
      </c>
      <c r="M217" s="11">
        <f>GraphBacillus!$B$10-(I217-GraphBacillus!$B$6)/GraphBacillus!$B$5</f>
        <v>-0.6034036833189852</v>
      </c>
      <c r="N217" s="1" t="s">
        <v>944</v>
      </c>
      <c r="O217">
        <v>1999</v>
      </c>
      <c r="S217" s="10">
        <f>GraphBacillus!$B$37*Bacillus!I217+GraphBacillus!$B$38</f>
        <v>-0.55404464197321435</v>
      </c>
      <c r="T217" s="10">
        <f>GraphBacillus!$E$37*Bacillus!I217+GraphBacillus!$E$38</f>
        <v>-0.39767601260308627</v>
      </c>
      <c r="U217" s="10">
        <f>GraphBacillus!$I$37*Bacillus!I217+GraphBacillus!$I$38</f>
        <v>-0.84536690001770243</v>
      </c>
    </row>
    <row r="218" spans="1:21" x14ac:dyDescent="0.2">
      <c r="A218" s="2" t="s">
        <v>1236</v>
      </c>
      <c r="B218" s="2" t="s">
        <v>1237</v>
      </c>
      <c r="C218" s="1">
        <v>9818</v>
      </c>
      <c r="D218" s="1" t="s">
        <v>44</v>
      </c>
      <c r="E218" s="1" t="s">
        <v>933</v>
      </c>
      <c r="F218" s="19" t="s">
        <v>937</v>
      </c>
      <c r="G218" s="1">
        <v>0.96</v>
      </c>
      <c r="H218" s="5"/>
      <c r="I218" s="5">
        <v>115</v>
      </c>
      <c r="J218" s="9">
        <v>0.21</v>
      </c>
      <c r="K218" s="5">
        <v>10.7</v>
      </c>
      <c r="L218" s="9">
        <f t="shared" ref="L218:L241" si="8">LOG(J218)</f>
        <v>-0.6777807052660807</v>
      </c>
      <c r="M218" s="11">
        <f>GraphBacillus!$B$10-(I218-GraphBacillus!$B$6)/GraphBacillus!$B$5</f>
        <v>-0.99263971754677649</v>
      </c>
      <c r="N218" s="1" t="s">
        <v>944</v>
      </c>
      <c r="O218">
        <v>1999</v>
      </c>
      <c r="S218" s="10">
        <f>GraphBacillus!$B$37*Bacillus!I218+GraphBacillus!$B$38</f>
        <v>-0.88719350527513718</v>
      </c>
      <c r="T218" s="10">
        <f>GraphBacillus!$E$37*Bacillus!I218+GraphBacillus!$E$38</f>
        <v>-0.71307548869410553</v>
      </c>
      <c r="U218" s="10">
        <f>GraphBacillus!$I$37*Bacillus!I218+GraphBacillus!$I$38</f>
        <v>-1.2227767042501076</v>
      </c>
    </row>
    <row r="219" spans="1:21" x14ac:dyDescent="0.2">
      <c r="A219" s="2" t="s">
        <v>1236</v>
      </c>
      <c r="B219" s="2" t="s">
        <v>1237</v>
      </c>
      <c r="C219" s="1">
        <v>4342</v>
      </c>
      <c r="D219" s="1" t="s">
        <v>44</v>
      </c>
      <c r="E219" s="1" t="s">
        <v>933</v>
      </c>
      <c r="F219" s="19" t="s">
        <v>938</v>
      </c>
      <c r="G219" s="1">
        <v>0.96</v>
      </c>
      <c r="H219" s="5"/>
      <c r="I219" s="5">
        <v>98</v>
      </c>
      <c r="J219" s="11">
        <v>1.48</v>
      </c>
      <c r="K219" s="5">
        <v>8</v>
      </c>
      <c r="L219" s="9">
        <f t="shared" si="8"/>
        <v>0.17026171539495738</v>
      </c>
      <c r="M219" s="11">
        <f>GraphBacillus!$B$10-(I219-GraphBacillus!$B$6)/GraphBacillus!$B$5</f>
        <v>0.33076279882771398</v>
      </c>
      <c r="N219" s="1" t="s">
        <v>944</v>
      </c>
      <c r="O219">
        <v>1999</v>
      </c>
      <c r="S219" s="10">
        <f>GraphBacillus!$B$37*Bacillus!I219+GraphBacillus!$B$38</f>
        <v>0.24551262995139833</v>
      </c>
      <c r="T219" s="10">
        <f>GraphBacillus!$E$37*Bacillus!I219+GraphBacillus!$E$38</f>
        <v>0.3592827300153596</v>
      </c>
      <c r="U219" s="10">
        <f>GraphBacillus!$I$37*Bacillus!I219+GraphBacillus!$I$38</f>
        <v>6.0416630140067262E-2</v>
      </c>
    </row>
    <row r="220" spans="1:21" x14ac:dyDescent="0.2">
      <c r="A220" s="2" t="s">
        <v>1236</v>
      </c>
      <c r="B220" s="2" t="s">
        <v>1237</v>
      </c>
      <c r="C220" s="1">
        <v>4342</v>
      </c>
      <c r="D220" s="1" t="s">
        <v>44</v>
      </c>
      <c r="E220" s="1" t="s">
        <v>933</v>
      </c>
      <c r="F220" s="19" t="s">
        <v>938</v>
      </c>
      <c r="G220" s="1">
        <v>0.96</v>
      </c>
      <c r="H220" s="5"/>
      <c r="I220" s="5">
        <v>100</v>
      </c>
      <c r="J220" s="11">
        <f>0.92</f>
        <v>0.92</v>
      </c>
      <c r="K220" s="5">
        <v>8</v>
      </c>
      <c r="L220" s="9">
        <f t="shared" si="8"/>
        <v>-3.6212172654444715E-2</v>
      </c>
      <c r="M220" s="11">
        <f>GraphBacillus!$B$10-(I220-GraphBacillus!$B$6)/GraphBacillus!$B$5</f>
        <v>0.1750683851365975</v>
      </c>
      <c r="N220" s="1" t="s">
        <v>944</v>
      </c>
      <c r="O220">
        <v>1999</v>
      </c>
      <c r="S220" s="10">
        <f>GraphBacillus!$B$37*Bacillus!I220+GraphBacillus!$B$38</f>
        <v>0.11225308463062955</v>
      </c>
      <c r="T220" s="10">
        <f>GraphBacillus!$E$37*Bacillus!I220+GraphBacillus!$E$38</f>
        <v>0.23312293957895225</v>
      </c>
      <c r="U220" s="10">
        <f>GraphBacillus!$I$37*Bacillus!I220+GraphBacillus!$I$38</f>
        <v>-9.0547291552894649E-2</v>
      </c>
    </row>
    <row r="221" spans="1:21" x14ac:dyDescent="0.2">
      <c r="A221" s="2" t="s">
        <v>1236</v>
      </c>
      <c r="B221" s="2" t="s">
        <v>1237</v>
      </c>
      <c r="C221" s="1">
        <v>4342</v>
      </c>
      <c r="D221" s="1" t="s">
        <v>44</v>
      </c>
      <c r="E221" s="1" t="s">
        <v>933</v>
      </c>
      <c r="F221" s="19" t="s">
        <v>938</v>
      </c>
      <c r="G221" s="1">
        <v>0.96</v>
      </c>
      <c r="H221" s="5"/>
      <c r="I221" s="5">
        <v>106</v>
      </c>
      <c r="J221" s="11">
        <v>0.15</v>
      </c>
      <c r="K221" s="5">
        <v>8</v>
      </c>
      <c r="L221" s="9">
        <f t="shared" si="8"/>
        <v>-0.82390874094431876</v>
      </c>
      <c r="M221" s="11">
        <f>GraphBacillus!$B$10-(I221-GraphBacillus!$B$6)/GraphBacillus!$B$5</f>
        <v>-0.29201485593675214</v>
      </c>
      <c r="N221" s="1" t="s">
        <v>944</v>
      </c>
      <c r="O221">
        <v>1999</v>
      </c>
      <c r="S221" s="10">
        <f>GraphBacillus!$B$37*Bacillus!I221+GraphBacillus!$B$38</f>
        <v>-0.28752555133167679</v>
      </c>
      <c r="T221" s="10">
        <f>GraphBacillus!$E$37*Bacillus!I221+GraphBacillus!$E$38</f>
        <v>-0.14535643173027069</v>
      </c>
      <c r="U221" s="10">
        <f>GraphBacillus!$I$37*Bacillus!I221+GraphBacillus!$I$38</f>
        <v>-0.54343905663178038</v>
      </c>
    </row>
    <row r="222" spans="1:21" x14ac:dyDescent="0.2">
      <c r="A222" s="2" t="s">
        <v>1236</v>
      </c>
      <c r="B222" s="2" t="s">
        <v>1237</v>
      </c>
      <c r="C222" s="1">
        <v>4342</v>
      </c>
      <c r="D222" s="1" t="s">
        <v>44</v>
      </c>
      <c r="E222" s="1" t="s">
        <v>933</v>
      </c>
      <c r="F222" s="19" t="s">
        <v>938</v>
      </c>
      <c r="G222" s="1">
        <v>0.96</v>
      </c>
      <c r="H222" s="5"/>
      <c r="I222" s="5">
        <v>110</v>
      </c>
      <c r="J222" s="11">
        <v>0.05</v>
      </c>
      <c r="K222" s="5">
        <v>8</v>
      </c>
      <c r="L222" s="9">
        <f t="shared" si="8"/>
        <v>-1.3010299956639813</v>
      </c>
      <c r="M222" s="11">
        <f>GraphBacillus!$B$10-(I222-GraphBacillus!$B$6)/GraphBacillus!$B$5</f>
        <v>-0.6034036833189852</v>
      </c>
      <c r="N222" s="1" t="s">
        <v>944</v>
      </c>
      <c r="O222">
        <v>1999</v>
      </c>
      <c r="S222" s="10">
        <f>GraphBacillus!$B$37*Bacillus!I222+GraphBacillus!$B$38</f>
        <v>-0.55404464197321435</v>
      </c>
      <c r="T222" s="10">
        <f>GraphBacillus!$E$37*Bacillus!I222+GraphBacillus!$E$38</f>
        <v>-0.39767601260308627</v>
      </c>
      <c r="U222" s="10">
        <f>GraphBacillus!$I$37*Bacillus!I222+GraphBacillus!$I$38</f>
        <v>-0.84536690001770243</v>
      </c>
    </row>
    <row r="223" spans="1:21" x14ac:dyDescent="0.2">
      <c r="A223" s="2" t="s">
        <v>1236</v>
      </c>
      <c r="B223" s="2" t="s">
        <v>1237</v>
      </c>
      <c r="C223" s="1">
        <v>7004</v>
      </c>
      <c r="D223" s="1" t="s">
        <v>44</v>
      </c>
      <c r="E223" s="1" t="s">
        <v>933</v>
      </c>
      <c r="F223" s="19" t="s">
        <v>938</v>
      </c>
      <c r="G223" s="1">
        <v>0.96</v>
      </c>
      <c r="H223" s="5"/>
      <c r="I223" s="5">
        <v>92</v>
      </c>
      <c r="J223" s="11">
        <v>2.34</v>
      </c>
      <c r="K223" s="5">
        <v>10.199999999999999</v>
      </c>
      <c r="L223" s="9">
        <f t="shared" si="8"/>
        <v>0.36921585741014279</v>
      </c>
      <c r="M223" s="11">
        <f>GraphBacillus!$B$10-(I223-GraphBacillus!$B$6)/GraphBacillus!$B$5</f>
        <v>0.79784603990106362</v>
      </c>
      <c r="N223" s="1" t="s">
        <v>944</v>
      </c>
      <c r="O223">
        <v>1999</v>
      </c>
      <c r="S223" s="10">
        <f>GraphBacillus!$B$37*Bacillus!I223+GraphBacillus!$B$38</f>
        <v>0.64529126591370467</v>
      </c>
      <c r="T223" s="10">
        <f>GraphBacillus!$E$37*Bacillus!I223+GraphBacillus!$E$38</f>
        <v>0.73776210132458253</v>
      </c>
      <c r="U223" s="10">
        <f>GraphBacillus!$I$37*Bacillus!I223+GraphBacillus!$I$38</f>
        <v>0.51330839521895211</v>
      </c>
    </row>
    <row r="224" spans="1:21" x14ac:dyDescent="0.2">
      <c r="A224" s="2" t="s">
        <v>1236</v>
      </c>
      <c r="B224" s="2" t="s">
        <v>1237</v>
      </c>
      <c r="C224" s="1">
        <v>7004</v>
      </c>
      <c r="D224" s="1" t="s">
        <v>44</v>
      </c>
      <c r="E224" s="1" t="s">
        <v>933</v>
      </c>
      <c r="F224" s="19" t="s">
        <v>938</v>
      </c>
      <c r="G224" s="1">
        <v>0.96</v>
      </c>
      <c r="H224" s="5"/>
      <c r="I224" s="5">
        <v>96</v>
      </c>
      <c r="J224" s="11">
        <v>1</v>
      </c>
      <c r="K224" s="5">
        <v>10.199999999999999</v>
      </c>
      <c r="L224" s="9">
        <f t="shared" si="8"/>
        <v>0</v>
      </c>
      <c r="M224" s="11">
        <f>GraphBacillus!$B$10-(I224-GraphBacillus!$B$6)/GraphBacillus!$B$5</f>
        <v>0.48645721251883067</v>
      </c>
      <c r="N224" s="1" t="s">
        <v>944</v>
      </c>
      <c r="O224">
        <v>1999</v>
      </c>
      <c r="S224" s="10">
        <f>GraphBacillus!$B$37*Bacillus!I224+GraphBacillus!$B$38</f>
        <v>0.37877217527216711</v>
      </c>
      <c r="T224" s="10">
        <f>GraphBacillus!$E$37*Bacillus!I224+GraphBacillus!$E$38</f>
        <v>0.48544252045176783</v>
      </c>
      <c r="U224" s="10">
        <f>GraphBacillus!$I$37*Bacillus!I224+GraphBacillus!$I$38</f>
        <v>0.21138055183302829</v>
      </c>
    </row>
    <row r="225" spans="1:21" x14ac:dyDescent="0.2">
      <c r="A225" s="2" t="s">
        <v>1236</v>
      </c>
      <c r="B225" s="2" t="s">
        <v>1237</v>
      </c>
      <c r="C225" s="1">
        <v>7004</v>
      </c>
      <c r="D225" s="1" t="s">
        <v>44</v>
      </c>
      <c r="E225" s="1" t="s">
        <v>933</v>
      </c>
      <c r="F225" s="19" t="s">
        <v>938</v>
      </c>
      <c r="G225" s="1">
        <v>0.96</v>
      </c>
      <c r="H225" s="5"/>
      <c r="I225" s="5">
        <v>100</v>
      </c>
      <c r="J225" s="11">
        <f>0.42</f>
        <v>0.42</v>
      </c>
      <c r="K225" s="5">
        <v>10.199999999999999</v>
      </c>
      <c r="L225" s="9">
        <f t="shared" si="8"/>
        <v>-0.37675070960209955</v>
      </c>
      <c r="M225" s="11">
        <f>GraphBacillus!$B$10-(I225-GraphBacillus!$B$6)/GraphBacillus!$B$5</f>
        <v>0.1750683851365975</v>
      </c>
      <c r="N225" s="1" t="s">
        <v>944</v>
      </c>
      <c r="O225">
        <v>1999</v>
      </c>
      <c r="S225" s="10">
        <f>GraphBacillus!$B$37*Bacillus!I225+GraphBacillus!$B$38</f>
        <v>0.11225308463062955</v>
      </c>
      <c r="T225" s="10">
        <f>GraphBacillus!$E$37*Bacillus!I225+GraphBacillus!$E$38</f>
        <v>0.23312293957895225</v>
      </c>
      <c r="U225" s="10">
        <f>GraphBacillus!$I$37*Bacillus!I225+GraphBacillus!$I$38</f>
        <v>-9.0547291552894649E-2</v>
      </c>
    </row>
    <row r="226" spans="1:21" x14ac:dyDescent="0.2">
      <c r="A226" s="2" t="s">
        <v>1236</v>
      </c>
      <c r="B226" s="2" t="s">
        <v>1237</v>
      </c>
      <c r="C226" s="1">
        <v>7004</v>
      </c>
      <c r="D226" s="1" t="s">
        <v>44</v>
      </c>
      <c r="E226" s="1" t="s">
        <v>933</v>
      </c>
      <c r="F226" s="19" t="s">
        <v>938</v>
      </c>
      <c r="G226" s="1">
        <v>0.96</v>
      </c>
      <c r="H226" s="5"/>
      <c r="I226" s="5">
        <v>106</v>
      </c>
      <c r="J226" s="11">
        <v>0.1</v>
      </c>
      <c r="K226" s="5">
        <v>10.199999999999999</v>
      </c>
      <c r="L226" s="9">
        <f t="shared" si="8"/>
        <v>-1</v>
      </c>
      <c r="M226" s="11">
        <f>GraphBacillus!$B$10-(I226-GraphBacillus!$B$6)/GraphBacillus!$B$5</f>
        <v>-0.29201485593675214</v>
      </c>
      <c r="N226" s="1" t="s">
        <v>944</v>
      </c>
      <c r="O226">
        <v>1999</v>
      </c>
      <c r="S226" s="10">
        <f>GraphBacillus!$B$37*Bacillus!I226+GraphBacillus!$B$38</f>
        <v>-0.28752555133167679</v>
      </c>
      <c r="T226" s="10">
        <f>GraphBacillus!$E$37*Bacillus!I226+GraphBacillus!$E$38</f>
        <v>-0.14535643173027069</v>
      </c>
      <c r="U226" s="10">
        <f>GraphBacillus!$I$37*Bacillus!I226+GraphBacillus!$I$38</f>
        <v>-0.54343905663178038</v>
      </c>
    </row>
    <row r="227" spans="1:21" x14ac:dyDescent="0.2">
      <c r="A227" s="2" t="s">
        <v>1236</v>
      </c>
      <c r="B227" s="2" t="s">
        <v>1237</v>
      </c>
      <c r="C227" s="1">
        <v>9818</v>
      </c>
      <c r="D227" s="1" t="s">
        <v>44</v>
      </c>
      <c r="E227" s="1" t="s">
        <v>933</v>
      </c>
      <c r="F227" s="19" t="s">
        <v>938</v>
      </c>
      <c r="G227" s="1">
        <v>0.98</v>
      </c>
      <c r="H227" s="5"/>
      <c r="I227" s="5">
        <v>100</v>
      </c>
      <c r="J227" s="9">
        <v>7.1</v>
      </c>
      <c r="K227" s="5">
        <v>10.199999999999999</v>
      </c>
      <c r="L227" s="9">
        <f t="shared" si="8"/>
        <v>0.85125834871907524</v>
      </c>
      <c r="M227" s="11">
        <f>GraphBacillus!$B$10-(I227-GraphBacillus!$B$6)/GraphBacillus!$B$5</f>
        <v>0.1750683851365975</v>
      </c>
      <c r="N227" s="1" t="s">
        <v>944</v>
      </c>
      <c r="O227">
        <v>1999</v>
      </c>
      <c r="S227" s="10">
        <f>GraphBacillus!$B$37*Bacillus!I227+GraphBacillus!$B$38</f>
        <v>0.11225308463062955</v>
      </c>
      <c r="T227" s="10">
        <f>GraphBacillus!$E$37*Bacillus!I227+GraphBacillus!$E$38</f>
        <v>0.23312293957895225</v>
      </c>
      <c r="U227" s="10">
        <f>GraphBacillus!$I$37*Bacillus!I227+GraphBacillus!$I$38</f>
        <v>-9.0547291552894649E-2</v>
      </c>
    </row>
    <row r="228" spans="1:21" x14ac:dyDescent="0.2">
      <c r="A228" s="2" t="s">
        <v>1236</v>
      </c>
      <c r="B228" s="2" t="s">
        <v>1237</v>
      </c>
      <c r="C228" s="1">
        <v>9818</v>
      </c>
      <c r="D228" s="1" t="s">
        <v>44</v>
      </c>
      <c r="E228" s="1" t="s">
        <v>933</v>
      </c>
      <c r="F228" s="19" t="s">
        <v>938</v>
      </c>
      <c r="G228" s="1">
        <v>0.98</v>
      </c>
      <c r="H228" s="5"/>
      <c r="I228" s="5">
        <v>103</v>
      </c>
      <c r="J228" s="9">
        <f>3.63</f>
        <v>3.63</v>
      </c>
      <c r="K228" s="5">
        <v>10.199999999999999</v>
      </c>
      <c r="L228" s="9">
        <f t="shared" si="8"/>
        <v>0.55990662503611255</v>
      </c>
      <c r="M228" s="11">
        <f>GraphBacillus!$B$10-(I228-GraphBacillus!$B$6)/GraphBacillus!$B$5</f>
        <v>-5.8473235400077428E-2</v>
      </c>
      <c r="N228" s="1" t="s">
        <v>944</v>
      </c>
      <c r="O228">
        <v>1999</v>
      </c>
      <c r="S228" s="10">
        <f>GraphBacillus!$B$37*Bacillus!I228+GraphBacillus!$B$38</f>
        <v>-8.7636233350523618E-2</v>
      </c>
      <c r="T228" s="10">
        <f>GraphBacillus!$E$37*Bacillus!I228+GraphBacillus!$E$38</f>
        <v>4.3883253924340337E-2</v>
      </c>
      <c r="U228" s="10">
        <f>GraphBacillus!$I$37*Bacillus!I228+GraphBacillus!$I$38</f>
        <v>-0.31699317409233707</v>
      </c>
    </row>
    <row r="229" spans="1:21" x14ac:dyDescent="0.2">
      <c r="A229" s="2" t="s">
        <v>1236</v>
      </c>
      <c r="B229" s="2" t="s">
        <v>1237</v>
      </c>
      <c r="C229" s="1">
        <v>9818</v>
      </c>
      <c r="D229" s="1" t="s">
        <v>44</v>
      </c>
      <c r="E229" s="1" t="s">
        <v>933</v>
      </c>
      <c r="F229" s="19" t="s">
        <v>938</v>
      </c>
      <c r="G229" s="1">
        <v>0.98</v>
      </c>
      <c r="H229" s="5"/>
      <c r="I229" s="5">
        <v>110</v>
      </c>
      <c r="J229" s="9">
        <v>0.73</v>
      </c>
      <c r="K229" s="5">
        <v>10.199999999999999</v>
      </c>
      <c r="L229" s="9">
        <f t="shared" si="8"/>
        <v>-0.13667713987954411</v>
      </c>
      <c r="M229" s="11">
        <f>GraphBacillus!$B$10-(I229-GraphBacillus!$B$6)/GraphBacillus!$B$5</f>
        <v>-0.6034036833189852</v>
      </c>
      <c r="N229" s="1" t="s">
        <v>944</v>
      </c>
      <c r="O229">
        <v>1999</v>
      </c>
      <c r="S229" s="10">
        <f>GraphBacillus!$B$37*Bacillus!I229+GraphBacillus!$B$38</f>
        <v>-0.55404464197321435</v>
      </c>
      <c r="T229" s="10">
        <f>GraphBacillus!$E$37*Bacillus!I229+GraphBacillus!$E$38</f>
        <v>-0.39767601260308627</v>
      </c>
      <c r="U229" s="10">
        <f>GraphBacillus!$I$37*Bacillus!I229+GraphBacillus!$I$38</f>
        <v>-0.84536690001770243</v>
      </c>
    </row>
    <row r="230" spans="1:21" x14ac:dyDescent="0.2">
      <c r="A230" s="2" t="s">
        <v>1236</v>
      </c>
      <c r="B230" s="2" t="s">
        <v>1237</v>
      </c>
      <c r="C230" s="1">
        <v>9818</v>
      </c>
      <c r="D230" s="1" t="s">
        <v>44</v>
      </c>
      <c r="E230" s="1" t="s">
        <v>933</v>
      </c>
      <c r="F230" s="19" t="s">
        <v>938</v>
      </c>
      <c r="G230" s="1">
        <v>0.98</v>
      </c>
      <c r="H230" s="5"/>
      <c r="I230" s="5">
        <v>115</v>
      </c>
      <c r="J230" s="9">
        <v>0.25</v>
      </c>
      <c r="K230" s="5">
        <v>10.199999999999999</v>
      </c>
      <c r="L230" s="9">
        <f t="shared" si="8"/>
        <v>-0.6020599913279624</v>
      </c>
      <c r="M230" s="11">
        <f>GraphBacillus!$B$10-(I230-GraphBacillus!$B$6)/GraphBacillus!$B$5</f>
        <v>-0.99263971754677649</v>
      </c>
      <c r="N230" s="1" t="s">
        <v>944</v>
      </c>
      <c r="O230">
        <v>1999</v>
      </c>
      <c r="S230" s="10">
        <f>GraphBacillus!$B$37*Bacillus!I230+GraphBacillus!$B$38</f>
        <v>-0.88719350527513718</v>
      </c>
      <c r="T230" s="10">
        <f>GraphBacillus!$E$37*Bacillus!I230+GraphBacillus!$E$38</f>
        <v>-0.71307548869410553</v>
      </c>
      <c r="U230" s="10">
        <f>GraphBacillus!$I$37*Bacillus!I230+GraphBacillus!$I$38</f>
        <v>-1.2227767042501076</v>
      </c>
    </row>
    <row r="231" spans="1:21" x14ac:dyDescent="0.2">
      <c r="A231" s="2" t="s">
        <v>1236</v>
      </c>
      <c r="B231" s="2" t="s">
        <v>1237</v>
      </c>
      <c r="C231" s="1">
        <v>4342</v>
      </c>
      <c r="D231" s="1" t="s">
        <v>44</v>
      </c>
      <c r="E231" s="1" t="s">
        <v>933</v>
      </c>
      <c r="F231" s="19" t="s">
        <v>939</v>
      </c>
      <c r="G231" s="1">
        <v>0.88</v>
      </c>
      <c r="H231" s="5">
        <v>6.55</v>
      </c>
      <c r="I231" s="5">
        <v>98</v>
      </c>
      <c r="J231" s="11">
        <v>4.5199999999999996</v>
      </c>
      <c r="K231" s="4">
        <v>8.1</v>
      </c>
      <c r="L231" s="9">
        <f t="shared" si="8"/>
        <v>0.65513843481138212</v>
      </c>
      <c r="M231" s="11">
        <f>GraphBacillus!$B$10-(I231-GraphBacillus!$B$6)/GraphBacillus!$B$5</f>
        <v>0.33076279882771398</v>
      </c>
      <c r="N231" s="1" t="s">
        <v>944</v>
      </c>
      <c r="O231">
        <v>1999</v>
      </c>
      <c r="S231" s="10">
        <f>GraphBacillus!$B$37*Bacillus!I231+GraphBacillus!$B$38</f>
        <v>0.24551262995139833</v>
      </c>
      <c r="T231" s="10">
        <f>GraphBacillus!$E$37*Bacillus!I231+GraphBacillus!$E$38</f>
        <v>0.3592827300153596</v>
      </c>
      <c r="U231" s="10">
        <f>GraphBacillus!$I$37*Bacillus!I231+GraphBacillus!$I$38</f>
        <v>6.0416630140067262E-2</v>
      </c>
    </row>
    <row r="232" spans="1:21" x14ac:dyDescent="0.2">
      <c r="A232" s="2" t="s">
        <v>1236</v>
      </c>
      <c r="B232" s="2" t="s">
        <v>1237</v>
      </c>
      <c r="C232" s="1">
        <v>4342</v>
      </c>
      <c r="D232" s="1" t="s">
        <v>44</v>
      </c>
      <c r="E232" s="1" t="s">
        <v>933</v>
      </c>
      <c r="F232" s="19" t="s">
        <v>939</v>
      </c>
      <c r="G232" s="1">
        <v>0.88</v>
      </c>
      <c r="H232" s="5">
        <v>6.55</v>
      </c>
      <c r="I232" s="5">
        <v>100</v>
      </c>
      <c r="J232" s="11">
        <f>2.79</f>
        <v>2.79</v>
      </c>
      <c r="K232" s="4">
        <v>8.1</v>
      </c>
      <c r="L232" s="9">
        <f t="shared" si="8"/>
        <v>0.44560420327359757</v>
      </c>
      <c r="M232" s="11">
        <f>GraphBacillus!$B$10-(I232-GraphBacillus!$B$6)/GraphBacillus!$B$5</f>
        <v>0.1750683851365975</v>
      </c>
      <c r="N232" s="1" t="s">
        <v>944</v>
      </c>
      <c r="O232">
        <v>1999</v>
      </c>
      <c r="S232" s="10">
        <f>GraphBacillus!$B$37*Bacillus!I232+GraphBacillus!$B$38</f>
        <v>0.11225308463062955</v>
      </c>
      <c r="T232" s="10">
        <f>GraphBacillus!$E$37*Bacillus!I232+GraphBacillus!$E$38</f>
        <v>0.23312293957895225</v>
      </c>
      <c r="U232" s="10">
        <f>GraphBacillus!$I$37*Bacillus!I232+GraphBacillus!$I$38</f>
        <v>-9.0547291552894649E-2</v>
      </c>
    </row>
    <row r="233" spans="1:21" x14ac:dyDescent="0.2">
      <c r="A233" s="2" t="s">
        <v>1236</v>
      </c>
      <c r="B233" s="2" t="s">
        <v>1237</v>
      </c>
      <c r="C233" s="1">
        <v>4342</v>
      </c>
      <c r="D233" s="1" t="s">
        <v>44</v>
      </c>
      <c r="E233" s="1" t="s">
        <v>933</v>
      </c>
      <c r="F233" s="19" t="s">
        <v>939</v>
      </c>
      <c r="G233" s="1">
        <v>0.88</v>
      </c>
      <c r="H233" s="5">
        <v>6.55</v>
      </c>
      <c r="I233" s="5">
        <v>106</v>
      </c>
      <c r="J233" s="9">
        <v>0.45</v>
      </c>
      <c r="K233" s="4">
        <v>8.1</v>
      </c>
      <c r="L233" s="9">
        <f t="shared" si="8"/>
        <v>-0.34678748622465633</v>
      </c>
      <c r="M233" s="11">
        <f>GraphBacillus!$B$10-(I233-GraphBacillus!$B$6)/GraphBacillus!$B$5</f>
        <v>-0.29201485593675214</v>
      </c>
      <c r="N233" s="1" t="s">
        <v>944</v>
      </c>
      <c r="O233">
        <v>1999</v>
      </c>
      <c r="S233" s="10">
        <f>GraphBacillus!$B$37*Bacillus!I233+GraphBacillus!$B$38</f>
        <v>-0.28752555133167679</v>
      </c>
      <c r="T233" s="10">
        <f>GraphBacillus!$E$37*Bacillus!I233+GraphBacillus!$E$38</f>
        <v>-0.14535643173027069</v>
      </c>
      <c r="U233" s="10">
        <f>GraphBacillus!$I$37*Bacillus!I233+GraphBacillus!$I$38</f>
        <v>-0.54343905663178038</v>
      </c>
    </row>
    <row r="234" spans="1:21" x14ac:dyDescent="0.2">
      <c r="A234" s="2" t="s">
        <v>1236</v>
      </c>
      <c r="B234" s="2" t="s">
        <v>1237</v>
      </c>
      <c r="C234" s="1">
        <v>4342</v>
      </c>
      <c r="D234" s="1" t="s">
        <v>44</v>
      </c>
      <c r="E234" s="1" t="s">
        <v>933</v>
      </c>
      <c r="F234" s="19" t="s">
        <v>939</v>
      </c>
      <c r="G234" s="1">
        <v>0.88</v>
      </c>
      <c r="H234" s="5">
        <v>6.55</v>
      </c>
      <c r="I234" s="5">
        <v>110</v>
      </c>
      <c r="J234" s="9">
        <v>0.16</v>
      </c>
      <c r="K234" s="4">
        <v>8.1</v>
      </c>
      <c r="L234" s="9">
        <f t="shared" si="8"/>
        <v>-0.79588001734407521</v>
      </c>
      <c r="M234" s="11">
        <f>GraphBacillus!$B$10-(I234-GraphBacillus!$B$6)/GraphBacillus!$B$5</f>
        <v>-0.6034036833189852</v>
      </c>
      <c r="N234" s="1" t="s">
        <v>944</v>
      </c>
      <c r="O234">
        <v>1999</v>
      </c>
      <c r="S234" s="10">
        <f>GraphBacillus!$B$37*Bacillus!I234+GraphBacillus!$B$38</f>
        <v>-0.55404464197321435</v>
      </c>
      <c r="T234" s="10">
        <f>GraphBacillus!$E$37*Bacillus!I234+GraphBacillus!$E$38</f>
        <v>-0.39767601260308627</v>
      </c>
      <c r="U234" s="10">
        <f>GraphBacillus!$I$37*Bacillus!I234+GraphBacillus!$I$38</f>
        <v>-0.84536690001770243</v>
      </c>
    </row>
    <row r="235" spans="1:21" x14ac:dyDescent="0.2">
      <c r="A235" s="2" t="s">
        <v>1236</v>
      </c>
      <c r="B235" s="2" t="s">
        <v>1237</v>
      </c>
      <c r="C235" s="1">
        <v>7004</v>
      </c>
      <c r="D235" s="1" t="s">
        <v>44</v>
      </c>
      <c r="E235" s="1" t="s">
        <v>933</v>
      </c>
      <c r="F235" s="19" t="s">
        <v>939</v>
      </c>
      <c r="G235" s="1">
        <v>0.88</v>
      </c>
      <c r="H235" s="5">
        <v>6.55</v>
      </c>
      <c r="I235" s="5">
        <v>92</v>
      </c>
      <c r="J235" s="11">
        <v>1.85</v>
      </c>
      <c r="K235" s="5">
        <v>11.3</v>
      </c>
      <c r="L235" s="9">
        <f t="shared" si="8"/>
        <v>0.26717172840301384</v>
      </c>
      <c r="M235" s="11">
        <f>GraphBacillus!$B$10-(I235-GraphBacillus!$B$6)/GraphBacillus!$B$5</f>
        <v>0.79784603990106362</v>
      </c>
      <c r="N235" s="1" t="s">
        <v>944</v>
      </c>
      <c r="O235">
        <v>1999</v>
      </c>
      <c r="S235" s="10">
        <f>GraphBacillus!$B$37*Bacillus!I235+GraphBacillus!$B$38</f>
        <v>0.64529126591370467</v>
      </c>
      <c r="T235" s="10">
        <f>GraphBacillus!$E$37*Bacillus!I235+GraphBacillus!$E$38</f>
        <v>0.73776210132458253</v>
      </c>
      <c r="U235" s="10">
        <f>GraphBacillus!$I$37*Bacillus!I235+GraphBacillus!$I$38</f>
        <v>0.51330839521895211</v>
      </c>
    </row>
    <row r="236" spans="1:21" x14ac:dyDescent="0.2">
      <c r="A236" s="2" t="s">
        <v>1236</v>
      </c>
      <c r="B236" s="2" t="s">
        <v>1237</v>
      </c>
      <c r="C236" s="1">
        <v>7004</v>
      </c>
      <c r="D236" s="1" t="s">
        <v>44</v>
      </c>
      <c r="E236" s="1" t="s">
        <v>933</v>
      </c>
      <c r="F236" s="19" t="s">
        <v>939</v>
      </c>
      <c r="G236" s="1">
        <v>0.88</v>
      </c>
      <c r="H236" s="5">
        <v>6.55</v>
      </c>
      <c r="I236" s="5">
        <v>96</v>
      </c>
      <c r="J236" s="11">
        <v>0.96</v>
      </c>
      <c r="K236" s="5">
        <v>11.3</v>
      </c>
      <c r="L236" s="9">
        <f t="shared" si="8"/>
        <v>-1.7728766960431602E-2</v>
      </c>
      <c r="M236" s="11">
        <f>GraphBacillus!$B$10-(I236-GraphBacillus!$B$6)/GraphBacillus!$B$5</f>
        <v>0.48645721251883067</v>
      </c>
      <c r="N236" s="1" t="s">
        <v>944</v>
      </c>
      <c r="O236">
        <v>1999</v>
      </c>
      <c r="S236" s="10">
        <f>GraphBacillus!$B$37*Bacillus!I236+GraphBacillus!$B$38</f>
        <v>0.37877217527216711</v>
      </c>
      <c r="T236" s="10">
        <f>GraphBacillus!$E$37*Bacillus!I236+GraphBacillus!$E$38</f>
        <v>0.48544252045176783</v>
      </c>
      <c r="U236" s="10">
        <f>GraphBacillus!$I$37*Bacillus!I236+GraphBacillus!$I$38</f>
        <v>0.21138055183302829</v>
      </c>
    </row>
    <row r="237" spans="1:21" x14ac:dyDescent="0.2">
      <c r="A237" s="2" t="s">
        <v>1236</v>
      </c>
      <c r="B237" s="2" t="s">
        <v>1237</v>
      </c>
      <c r="C237" s="1">
        <v>7004</v>
      </c>
      <c r="D237" s="1" t="s">
        <v>44</v>
      </c>
      <c r="E237" s="1" t="s">
        <v>933</v>
      </c>
      <c r="F237" s="19" t="s">
        <v>939</v>
      </c>
      <c r="G237" s="1">
        <v>0.88</v>
      </c>
      <c r="H237" s="5">
        <v>6.55</v>
      </c>
      <c r="I237" s="5">
        <v>100</v>
      </c>
      <c r="J237" s="11">
        <f>0.42</f>
        <v>0.42</v>
      </c>
      <c r="K237" s="5">
        <v>11.3</v>
      </c>
      <c r="L237" s="9">
        <f t="shared" si="8"/>
        <v>-0.37675070960209955</v>
      </c>
      <c r="M237" s="11">
        <f>GraphBacillus!$B$10-(I237-GraphBacillus!$B$6)/GraphBacillus!$B$5</f>
        <v>0.1750683851365975</v>
      </c>
      <c r="N237" s="1" t="s">
        <v>944</v>
      </c>
      <c r="O237">
        <v>1999</v>
      </c>
      <c r="S237" s="10">
        <f>GraphBacillus!$B$37*Bacillus!I237+GraphBacillus!$B$38</f>
        <v>0.11225308463062955</v>
      </c>
      <c r="T237" s="10">
        <f>GraphBacillus!$E$37*Bacillus!I237+GraphBacillus!$E$38</f>
        <v>0.23312293957895225</v>
      </c>
      <c r="U237" s="10">
        <f>GraphBacillus!$I$37*Bacillus!I237+GraphBacillus!$I$38</f>
        <v>-9.0547291552894649E-2</v>
      </c>
    </row>
    <row r="238" spans="1:21" x14ac:dyDescent="0.2">
      <c r="A238" s="2" t="s">
        <v>1236</v>
      </c>
      <c r="B238" s="2" t="s">
        <v>1237</v>
      </c>
      <c r="C238" s="1">
        <v>7004</v>
      </c>
      <c r="D238" s="1" t="s">
        <v>44</v>
      </c>
      <c r="E238" s="1" t="s">
        <v>933</v>
      </c>
      <c r="F238" s="19" t="s">
        <v>939</v>
      </c>
      <c r="G238" s="1">
        <v>0.88</v>
      </c>
      <c r="H238" s="5">
        <v>6.55</v>
      </c>
      <c r="I238" s="5">
        <v>106</v>
      </c>
      <c r="J238" s="11">
        <v>0.11</v>
      </c>
      <c r="K238" s="5">
        <v>11.3</v>
      </c>
      <c r="L238" s="9">
        <f t="shared" si="8"/>
        <v>-0.95860731484177497</v>
      </c>
      <c r="M238" s="11">
        <f>GraphBacillus!$B$10-(I238-GraphBacillus!$B$6)/GraphBacillus!$B$5</f>
        <v>-0.29201485593675214</v>
      </c>
      <c r="N238" s="1" t="s">
        <v>944</v>
      </c>
      <c r="O238">
        <v>1999</v>
      </c>
      <c r="S238" s="10">
        <f>GraphBacillus!$B$37*Bacillus!I238+GraphBacillus!$B$38</f>
        <v>-0.28752555133167679</v>
      </c>
      <c r="T238" s="10">
        <f>GraphBacillus!$E$37*Bacillus!I238+GraphBacillus!$E$38</f>
        <v>-0.14535643173027069</v>
      </c>
      <c r="U238" s="10">
        <f>GraphBacillus!$I$37*Bacillus!I238+GraphBacillus!$I$38</f>
        <v>-0.54343905663178038</v>
      </c>
    </row>
    <row r="239" spans="1:21" x14ac:dyDescent="0.2">
      <c r="A239" s="2" t="s">
        <v>1236</v>
      </c>
      <c r="B239" s="2" t="s">
        <v>1237</v>
      </c>
      <c r="C239" s="1">
        <v>9818</v>
      </c>
      <c r="D239" s="1" t="s">
        <v>44</v>
      </c>
      <c r="E239" s="1" t="s">
        <v>933</v>
      </c>
      <c r="F239" s="19" t="s">
        <v>939</v>
      </c>
      <c r="G239" s="1">
        <v>0.88</v>
      </c>
      <c r="H239" s="5">
        <v>6.55</v>
      </c>
      <c r="I239" s="5">
        <v>100</v>
      </c>
      <c r="J239" s="9">
        <v>6</v>
      </c>
      <c r="K239" s="5">
        <v>11.3</v>
      </c>
      <c r="L239" s="9">
        <f t="shared" si="8"/>
        <v>0.77815125038364363</v>
      </c>
      <c r="M239" s="11">
        <f>GraphBacillus!$B$10-(I239-GraphBacillus!$B$6)/GraphBacillus!$B$5</f>
        <v>0.1750683851365975</v>
      </c>
      <c r="N239" s="1" t="s">
        <v>944</v>
      </c>
      <c r="O239">
        <v>1999</v>
      </c>
      <c r="S239" s="10">
        <f>GraphBacillus!$B$37*Bacillus!I239+GraphBacillus!$B$38</f>
        <v>0.11225308463062955</v>
      </c>
      <c r="T239" s="10">
        <f>GraphBacillus!$E$37*Bacillus!I239+GraphBacillus!$E$38</f>
        <v>0.23312293957895225</v>
      </c>
      <c r="U239" s="10">
        <f>GraphBacillus!$I$37*Bacillus!I239+GraphBacillus!$I$38</f>
        <v>-9.0547291552894649E-2</v>
      </c>
    </row>
    <row r="240" spans="1:21" x14ac:dyDescent="0.2">
      <c r="A240" s="2" t="s">
        <v>1236</v>
      </c>
      <c r="B240" s="2" t="s">
        <v>1237</v>
      </c>
      <c r="C240" s="1">
        <v>9818</v>
      </c>
      <c r="D240" s="1" t="s">
        <v>44</v>
      </c>
      <c r="E240" s="1" t="s">
        <v>933</v>
      </c>
      <c r="F240" s="19" t="s">
        <v>939</v>
      </c>
      <c r="G240" s="1">
        <v>0.88</v>
      </c>
      <c r="H240" s="5">
        <v>6.55</v>
      </c>
      <c r="I240" s="5">
        <v>103</v>
      </c>
      <c r="J240" s="9">
        <f>3.03</f>
        <v>3.03</v>
      </c>
      <c r="K240" s="5">
        <v>11.3</v>
      </c>
      <c r="L240" s="9">
        <f t="shared" si="8"/>
        <v>0.48144262850230496</v>
      </c>
      <c r="M240" s="11">
        <f>GraphBacillus!$B$10-(I240-GraphBacillus!$B$6)/GraphBacillus!$B$5</f>
        <v>-5.8473235400077428E-2</v>
      </c>
      <c r="N240" s="1" t="s">
        <v>944</v>
      </c>
      <c r="O240">
        <v>1999</v>
      </c>
      <c r="S240" s="10">
        <f>GraphBacillus!$B$37*Bacillus!I240+GraphBacillus!$B$38</f>
        <v>-8.7636233350523618E-2</v>
      </c>
      <c r="T240" s="10">
        <f>GraphBacillus!$E$37*Bacillus!I240+GraphBacillus!$E$38</f>
        <v>4.3883253924340337E-2</v>
      </c>
      <c r="U240" s="10">
        <f>GraphBacillus!$I$37*Bacillus!I240+GraphBacillus!$I$38</f>
        <v>-0.31699317409233707</v>
      </c>
    </row>
    <row r="241" spans="1:21" x14ac:dyDescent="0.2">
      <c r="A241" s="2" t="s">
        <v>1236</v>
      </c>
      <c r="B241" s="2" t="s">
        <v>1237</v>
      </c>
      <c r="C241" s="1">
        <v>9818</v>
      </c>
      <c r="D241" s="1" t="s">
        <v>44</v>
      </c>
      <c r="E241" s="1" t="s">
        <v>933</v>
      </c>
      <c r="F241" s="19" t="s">
        <v>939</v>
      </c>
      <c r="G241" s="1">
        <v>0.88</v>
      </c>
      <c r="H241" s="5">
        <v>6.55</v>
      </c>
      <c r="I241" s="5">
        <v>110</v>
      </c>
      <c r="J241" s="9">
        <v>0.71</v>
      </c>
      <c r="K241" s="5">
        <v>11.3</v>
      </c>
      <c r="L241" s="9">
        <f t="shared" si="8"/>
        <v>-0.14874165128092473</v>
      </c>
      <c r="M241" s="11">
        <f>GraphBacillus!$B$10-(I241-GraphBacillus!$B$6)/GraphBacillus!$B$5</f>
        <v>-0.6034036833189852</v>
      </c>
      <c r="N241" s="1" t="s">
        <v>944</v>
      </c>
      <c r="O241">
        <v>1999</v>
      </c>
      <c r="S241" s="10">
        <f>GraphBacillus!$B$37*Bacillus!I241+GraphBacillus!$B$38</f>
        <v>-0.55404464197321435</v>
      </c>
      <c r="T241" s="10">
        <f>GraphBacillus!$E$37*Bacillus!I241+GraphBacillus!$E$38</f>
        <v>-0.39767601260308627</v>
      </c>
      <c r="U241" s="10">
        <f>GraphBacillus!$I$37*Bacillus!I241+GraphBacillus!$I$38</f>
        <v>-0.84536690001770243</v>
      </c>
    </row>
    <row r="242" spans="1:21" x14ac:dyDescent="0.2">
      <c r="A242" s="2" t="s">
        <v>1236</v>
      </c>
      <c r="B242" s="2" t="s">
        <v>1237</v>
      </c>
      <c r="C242" s="1">
        <v>9818</v>
      </c>
      <c r="D242" s="1" t="s">
        <v>44</v>
      </c>
      <c r="E242" s="1" t="s">
        <v>933</v>
      </c>
      <c r="F242" s="19" t="s">
        <v>939</v>
      </c>
      <c r="G242" s="1">
        <v>0.88</v>
      </c>
      <c r="H242" s="5">
        <v>6.55</v>
      </c>
      <c r="I242" s="5">
        <v>115</v>
      </c>
      <c r="J242" s="9">
        <v>0.28000000000000003</v>
      </c>
      <c r="K242" s="5">
        <v>11.3</v>
      </c>
      <c r="L242" s="9">
        <f t="shared" ref="L242:L285" si="9">LOG(J242)</f>
        <v>-0.55284196865778079</v>
      </c>
      <c r="M242" s="11">
        <f>GraphBacillus!$B$10-(I242-GraphBacillus!$B$6)/GraphBacillus!$B$5</f>
        <v>-0.99263971754677649</v>
      </c>
      <c r="N242" s="1" t="s">
        <v>944</v>
      </c>
      <c r="O242">
        <v>1999</v>
      </c>
      <c r="S242" s="10">
        <f>GraphBacillus!$B$37*Bacillus!I242+GraphBacillus!$B$38</f>
        <v>-0.88719350527513718</v>
      </c>
      <c r="T242" s="10">
        <f>GraphBacillus!$E$37*Bacillus!I242+GraphBacillus!$E$38</f>
        <v>-0.71307548869410553</v>
      </c>
      <c r="U242" s="10">
        <f>GraphBacillus!$I$37*Bacillus!I242+GraphBacillus!$I$38</f>
        <v>-1.2227767042501076</v>
      </c>
    </row>
    <row r="243" spans="1:21" x14ac:dyDescent="0.2">
      <c r="A243" s="2" t="s">
        <v>1236</v>
      </c>
      <c r="B243" s="2" t="s">
        <v>1237</v>
      </c>
      <c r="C243" s="1">
        <v>4342</v>
      </c>
      <c r="D243" s="1" t="s">
        <v>44</v>
      </c>
      <c r="E243" s="1" t="s">
        <v>933</v>
      </c>
      <c r="F243" s="1"/>
      <c r="G243" s="1">
        <v>1</v>
      </c>
      <c r="H243" s="5"/>
      <c r="I243" s="4">
        <v>98</v>
      </c>
      <c r="J243" s="9">
        <v>2</v>
      </c>
      <c r="K243" s="5">
        <v>7.9</v>
      </c>
      <c r="L243" s="9">
        <f t="shared" si="9"/>
        <v>0.3010299956639812</v>
      </c>
      <c r="M243" s="11">
        <f>GraphBacillus!$B$10-(I243-GraphBacillus!$B$6)/GraphBacillus!$B$5</f>
        <v>0.33076279882771398</v>
      </c>
      <c r="N243" s="1" t="s">
        <v>944</v>
      </c>
      <c r="O243">
        <v>1999</v>
      </c>
      <c r="S243" s="10">
        <f>GraphBacillus!$B$37*Bacillus!I243+GraphBacillus!$B$38</f>
        <v>0.24551262995139833</v>
      </c>
      <c r="T243" s="10">
        <f>GraphBacillus!$E$37*Bacillus!I243+GraphBacillus!$E$38</f>
        <v>0.3592827300153596</v>
      </c>
      <c r="U243" s="10">
        <f>GraphBacillus!$I$37*Bacillus!I243+GraphBacillus!$I$38</f>
        <v>6.0416630140067262E-2</v>
      </c>
    </row>
    <row r="244" spans="1:21" x14ac:dyDescent="0.2">
      <c r="A244" s="2" t="s">
        <v>1236</v>
      </c>
      <c r="B244" s="2" t="s">
        <v>1237</v>
      </c>
      <c r="C244" s="1">
        <v>4342</v>
      </c>
      <c r="D244" s="1" t="s">
        <v>44</v>
      </c>
      <c r="E244" s="1" t="s">
        <v>933</v>
      </c>
      <c r="F244" s="19"/>
      <c r="G244" s="1">
        <v>1</v>
      </c>
      <c r="H244" s="5"/>
      <c r="I244" s="5">
        <v>98</v>
      </c>
      <c r="J244" s="11">
        <v>2</v>
      </c>
      <c r="K244" s="5">
        <v>7.9</v>
      </c>
      <c r="L244" s="9">
        <f t="shared" si="9"/>
        <v>0.3010299956639812</v>
      </c>
      <c r="M244" s="11">
        <f>GraphBacillus!$B$10-(I244-GraphBacillus!$B$6)/GraphBacillus!$B$5</f>
        <v>0.33076279882771398</v>
      </c>
      <c r="N244" s="1" t="s">
        <v>944</v>
      </c>
      <c r="O244">
        <v>1999</v>
      </c>
      <c r="S244" s="10">
        <f>GraphBacillus!$B$37*Bacillus!I244+GraphBacillus!$B$38</f>
        <v>0.24551262995139833</v>
      </c>
      <c r="T244" s="10">
        <f>GraphBacillus!$E$37*Bacillus!I244+GraphBacillus!$E$38</f>
        <v>0.3592827300153596</v>
      </c>
      <c r="U244" s="10">
        <f>GraphBacillus!$I$37*Bacillus!I244+GraphBacillus!$I$38</f>
        <v>6.0416630140067262E-2</v>
      </c>
    </row>
    <row r="245" spans="1:21" x14ac:dyDescent="0.2">
      <c r="A245" s="2" t="s">
        <v>1236</v>
      </c>
      <c r="B245" s="2" t="s">
        <v>1237</v>
      </c>
      <c r="C245" s="1">
        <v>4342</v>
      </c>
      <c r="D245" s="1" t="s">
        <v>44</v>
      </c>
      <c r="E245" s="1" t="s">
        <v>933</v>
      </c>
      <c r="F245" s="19"/>
      <c r="G245" s="1">
        <v>1</v>
      </c>
      <c r="H245" s="5"/>
      <c r="I245" s="5">
        <v>98</v>
      </c>
      <c r="J245" s="11">
        <v>2</v>
      </c>
      <c r="K245" s="5">
        <v>7.9</v>
      </c>
      <c r="L245" s="9">
        <f t="shared" si="9"/>
        <v>0.3010299956639812</v>
      </c>
      <c r="M245" s="11">
        <f>GraphBacillus!$B$10-(I245-GraphBacillus!$B$6)/GraphBacillus!$B$5</f>
        <v>0.33076279882771398</v>
      </c>
      <c r="N245" s="1" t="s">
        <v>944</v>
      </c>
      <c r="O245">
        <v>1999</v>
      </c>
      <c r="S245" s="10">
        <f>GraphBacillus!$B$37*Bacillus!I245+GraphBacillus!$B$38</f>
        <v>0.24551262995139833</v>
      </c>
      <c r="T245" s="10">
        <f>GraphBacillus!$E$37*Bacillus!I245+GraphBacillus!$E$38</f>
        <v>0.3592827300153596</v>
      </c>
      <c r="U245" s="10">
        <f>GraphBacillus!$I$37*Bacillus!I245+GraphBacillus!$I$38</f>
        <v>6.0416630140067262E-2</v>
      </c>
    </row>
    <row r="246" spans="1:21" x14ac:dyDescent="0.2">
      <c r="A246" s="2" t="s">
        <v>1236</v>
      </c>
      <c r="B246" s="2" t="s">
        <v>1237</v>
      </c>
      <c r="C246" s="1">
        <v>4342</v>
      </c>
      <c r="D246" s="1" t="s">
        <v>44</v>
      </c>
      <c r="E246" s="1" t="s">
        <v>933</v>
      </c>
      <c r="F246" s="19"/>
      <c r="G246" s="1">
        <v>1</v>
      </c>
      <c r="H246" s="5"/>
      <c r="I246" s="5">
        <v>98</v>
      </c>
      <c r="J246" s="9">
        <v>2</v>
      </c>
      <c r="K246" s="5">
        <v>7.9</v>
      </c>
      <c r="L246" s="9">
        <f t="shared" si="9"/>
        <v>0.3010299956639812</v>
      </c>
      <c r="M246" s="11">
        <f>GraphBacillus!$B$10-(I246-GraphBacillus!$B$6)/GraphBacillus!$B$5</f>
        <v>0.33076279882771398</v>
      </c>
      <c r="N246" s="1" t="s">
        <v>944</v>
      </c>
      <c r="O246">
        <v>1999</v>
      </c>
      <c r="S246" s="10">
        <f>GraphBacillus!$B$37*Bacillus!I246+GraphBacillus!$B$38</f>
        <v>0.24551262995139833</v>
      </c>
      <c r="T246" s="10">
        <f>GraphBacillus!$E$37*Bacillus!I246+GraphBacillus!$E$38</f>
        <v>0.3592827300153596</v>
      </c>
      <c r="U246" s="10">
        <f>GraphBacillus!$I$37*Bacillus!I246+GraphBacillus!$I$38</f>
        <v>6.0416630140067262E-2</v>
      </c>
    </row>
    <row r="247" spans="1:21" x14ac:dyDescent="0.2">
      <c r="A247" s="2" t="s">
        <v>1236</v>
      </c>
      <c r="B247" s="2" t="s">
        <v>1237</v>
      </c>
      <c r="C247" s="1">
        <v>4342</v>
      </c>
      <c r="D247" s="1" t="s">
        <v>44</v>
      </c>
      <c r="E247" s="1" t="s">
        <v>933</v>
      </c>
      <c r="F247" s="1"/>
      <c r="G247" s="1">
        <v>1</v>
      </c>
      <c r="H247" s="5"/>
      <c r="I247" s="5">
        <v>100</v>
      </c>
      <c r="J247" s="9">
        <f>1.05</f>
        <v>1.05</v>
      </c>
      <c r="K247" s="5">
        <v>7.9</v>
      </c>
      <c r="L247" s="9">
        <f t="shared" si="9"/>
        <v>2.1189299069938092E-2</v>
      </c>
      <c r="M247" s="11">
        <f>GraphBacillus!$B$10-(I247-GraphBacillus!$B$6)/GraphBacillus!$B$5</f>
        <v>0.1750683851365975</v>
      </c>
      <c r="N247" s="1" t="s">
        <v>944</v>
      </c>
      <c r="O247">
        <v>1999</v>
      </c>
      <c r="S247" s="10">
        <f>GraphBacillus!$B$37*Bacillus!I247+GraphBacillus!$B$38</f>
        <v>0.11225308463062955</v>
      </c>
      <c r="T247" s="10">
        <f>GraphBacillus!$E$37*Bacillus!I247+GraphBacillus!$E$38</f>
        <v>0.23312293957895225</v>
      </c>
      <c r="U247" s="10">
        <f>GraphBacillus!$I$37*Bacillus!I247+GraphBacillus!$I$38</f>
        <v>-9.0547291552894649E-2</v>
      </c>
    </row>
    <row r="248" spans="1:21" x14ac:dyDescent="0.2">
      <c r="A248" s="2" t="s">
        <v>1236</v>
      </c>
      <c r="B248" s="2" t="s">
        <v>1237</v>
      </c>
      <c r="C248" s="1">
        <v>4342</v>
      </c>
      <c r="D248" s="1" t="s">
        <v>44</v>
      </c>
      <c r="E248" s="1" t="s">
        <v>933</v>
      </c>
      <c r="F248" s="1"/>
      <c r="G248" s="1">
        <v>1</v>
      </c>
      <c r="H248" s="5"/>
      <c r="I248" s="5">
        <v>106</v>
      </c>
      <c r="J248" s="9">
        <v>0.22</v>
      </c>
      <c r="K248" s="5">
        <v>7.9</v>
      </c>
      <c r="L248" s="9">
        <f t="shared" si="9"/>
        <v>-0.65757731917779372</v>
      </c>
      <c r="M248" s="11">
        <f>GraphBacillus!$B$10-(I248-GraphBacillus!$B$6)/GraphBacillus!$B$5</f>
        <v>-0.29201485593675214</v>
      </c>
      <c r="N248" s="1" t="s">
        <v>944</v>
      </c>
      <c r="O248">
        <v>1999</v>
      </c>
      <c r="S248" s="10">
        <f>GraphBacillus!$B$37*Bacillus!I248+GraphBacillus!$B$38</f>
        <v>-0.28752555133167679</v>
      </c>
      <c r="T248" s="10">
        <f>GraphBacillus!$E$37*Bacillus!I248+GraphBacillus!$E$38</f>
        <v>-0.14535643173027069</v>
      </c>
      <c r="U248" s="10">
        <f>GraphBacillus!$I$37*Bacillus!I248+GraphBacillus!$I$38</f>
        <v>-0.54343905663178038</v>
      </c>
    </row>
    <row r="249" spans="1:21" x14ac:dyDescent="0.2">
      <c r="A249" s="2" t="s">
        <v>1236</v>
      </c>
      <c r="B249" s="2" t="s">
        <v>1237</v>
      </c>
      <c r="C249" s="1">
        <v>4342</v>
      </c>
      <c r="D249" s="1" t="s">
        <v>44</v>
      </c>
      <c r="E249" s="1" t="s">
        <v>933</v>
      </c>
      <c r="F249" s="1"/>
      <c r="G249" s="1">
        <v>1</v>
      </c>
      <c r="H249" s="5"/>
      <c r="I249" s="5">
        <v>110</v>
      </c>
      <c r="J249" s="9">
        <v>0.06</v>
      </c>
      <c r="K249" s="5">
        <v>7.9</v>
      </c>
      <c r="L249" s="9">
        <f t="shared" si="9"/>
        <v>-1.2218487496163564</v>
      </c>
      <c r="M249" s="11">
        <f>GraphBacillus!$B$10-(I249-GraphBacillus!$B$6)/GraphBacillus!$B$5</f>
        <v>-0.6034036833189852</v>
      </c>
      <c r="N249" s="1" t="s">
        <v>944</v>
      </c>
      <c r="O249">
        <v>1999</v>
      </c>
      <c r="S249" s="10">
        <f>GraphBacillus!$B$37*Bacillus!I249+GraphBacillus!$B$38</f>
        <v>-0.55404464197321435</v>
      </c>
      <c r="T249" s="10">
        <f>GraphBacillus!$E$37*Bacillus!I249+GraphBacillus!$E$38</f>
        <v>-0.39767601260308627</v>
      </c>
      <c r="U249" s="10">
        <f>GraphBacillus!$I$37*Bacillus!I249+GraphBacillus!$I$38</f>
        <v>-0.84536690001770243</v>
      </c>
    </row>
    <row r="250" spans="1:21" x14ac:dyDescent="0.2">
      <c r="A250" s="2" t="s">
        <v>1236</v>
      </c>
      <c r="B250" s="2" t="s">
        <v>1237</v>
      </c>
      <c r="C250" s="1">
        <v>7004</v>
      </c>
      <c r="D250" s="1" t="s">
        <v>44</v>
      </c>
      <c r="E250" s="1" t="s">
        <v>933</v>
      </c>
      <c r="F250" s="19"/>
      <c r="G250" s="1">
        <v>1</v>
      </c>
      <c r="H250" s="5"/>
      <c r="I250" s="5">
        <v>92</v>
      </c>
      <c r="J250" s="11">
        <v>2.2000000000000002</v>
      </c>
      <c r="K250" s="5">
        <v>8.3000000000000007</v>
      </c>
      <c r="L250" s="9">
        <f t="shared" si="9"/>
        <v>0.34242268082220628</v>
      </c>
      <c r="M250" s="11">
        <f>GraphBacillus!$B$10-(I250-GraphBacillus!$B$6)/GraphBacillus!$B$5</f>
        <v>0.79784603990106362</v>
      </c>
      <c r="N250" s="1" t="s">
        <v>944</v>
      </c>
      <c r="O250">
        <v>1999</v>
      </c>
      <c r="S250" s="10">
        <f>GraphBacillus!$B$37*Bacillus!I250+GraphBacillus!$B$38</f>
        <v>0.64529126591370467</v>
      </c>
      <c r="T250" s="10">
        <f>GraphBacillus!$E$37*Bacillus!I250+GraphBacillus!$E$38</f>
        <v>0.73776210132458253</v>
      </c>
      <c r="U250" s="10">
        <f>GraphBacillus!$I$37*Bacillus!I250+GraphBacillus!$I$38</f>
        <v>0.51330839521895211</v>
      </c>
    </row>
    <row r="251" spans="1:21" x14ac:dyDescent="0.2">
      <c r="A251" s="2" t="s">
        <v>1236</v>
      </c>
      <c r="B251" s="2" t="s">
        <v>1237</v>
      </c>
      <c r="C251" s="1">
        <v>7004</v>
      </c>
      <c r="D251" s="1" t="s">
        <v>44</v>
      </c>
      <c r="E251" s="1" t="s">
        <v>933</v>
      </c>
      <c r="F251" s="1"/>
      <c r="G251" s="1">
        <v>1</v>
      </c>
      <c r="H251" s="5"/>
      <c r="I251" s="5">
        <v>92</v>
      </c>
      <c r="J251" s="9">
        <v>2.63</v>
      </c>
      <c r="K251" s="5">
        <v>8.3000000000000007</v>
      </c>
      <c r="L251" s="9">
        <f t="shared" si="9"/>
        <v>0.41995574848975786</v>
      </c>
      <c r="M251" s="11">
        <f>GraphBacillus!$B$10-(I251-GraphBacillus!$B$6)/GraphBacillus!$B$5</f>
        <v>0.79784603990106362</v>
      </c>
      <c r="N251" s="1" t="s">
        <v>944</v>
      </c>
      <c r="O251">
        <v>1999</v>
      </c>
      <c r="S251" s="10">
        <f>GraphBacillus!$B$37*Bacillus!I251+GraphBacillus!$B$38</f>
        <v>0.64529126591370467</v>
      </c>
      <c r="T251" s="10">
        <f>GraphBacillus!$E$37*Bacillus!I251+GraphBacillus!$E$38</f>
        <v>0.73776210132458253</v>
      </c>
      <c r="U251" s="10">
        <f>GraphBacillus!$I$37*Bacillus!I251+GraphBacillus!$I$38</f>
        <v>0.51330839521895211</v>
      </c>
    </row>
    <row r="252" spans="1:21" x14ac:dyDescent="0.2">
      <c r="A252" s="2" t="s">
        <v>1236</v>
      </c>
      <c r="B252" s="2" t="s">
        <v>1237</v>
      </c>
      <c r="C252" s="1">
        <v>7004</v>
      </c>
      <c r="D252" s="1" t="s">
        <v>44</v>
      </c>
      <c r="E252" s="1" t="s">
        <v>933</v>
      </c>
      <c r="F252" s="1"/>
      <c r="G252" s="1">
        <v>1</v>
      </c>
      <c r="H252" s="5"/>
      <c r="I252" s="5">
        <v>96</v>
      </c>
      <c r="J252" s="11">
        <v>0.89</v>
      </c>
      <c r="K252" s="5">
        <v>8.3000000000000007</v>
      </c>
      <c r="L252" s="9">
        <f t="shared" si="9"/>
        <v>-5.0609993355087209E-2</v>
      </c>
      <c r="M252" s="11">
        <f>GraphBacillus!$B$10-(I252-GraphBacillus!$B$6)/GraphBacillus!$B$5</f>
        <v>0.48645721251883067</v>
      </c>
      <c r="N252" s="1" t="s">
        <v>944</v>
      </c>
      <c r="O252">
        <v>1999</v>
      </c>
      <c r="S252" s="10">
        <f>GraphBacillus!$B$37*Bacillus!I252+GraphBacillus!$B$38</f>
        <v>0.37877217527216711</v>
      </c>
      <c r="T252" s="10">
        <f>GraphBacillus!$E$37*Bacillus!I252+GraphBacillus!$E$38</f>
        <v>0.48544252045176783</v>
      </c>
      <c r="U252" s="10">
        <f>GraphBacillus!$I$37*Bacillus!I252+GraphBacillus!$I$38</f>
        <v>0.21138055183302829</v>
      </c>
    </row>
    <row r="253" spans="1:21" x14ac:dyDescent="0.2">
      <c r="A253" s="2" t="s">
        <v>1236</v>
      </c>
      <c r="B253" s="2" t="s">
        <v>1237</v>
      </c>
      <c r="C253" s="1">
        <v>7004</v>
      </c>
      <c r="D253" s="1" t="s">
        <v>44</v>
      </c>
      <c r="E253" s="1" t="s">
        <v>933</v>
      </c>
      <c r="F253" s="1"/>
      <c r="G253" s="1">
        <v>1</v>
      </c>
      <c r="H253" s="5"/>
      <c r="I253" s="5">
        <v>100</v>
      </c>
      <c r="J253" s="9">
        <f>0.39-0.032</f>
        <v>0.35799999999999998</v>
      </c>
      <c r="K253" s="5">
        <v>8.3000000000000007</v>
      </c>
      <c r="L253" s="9">
        <f t="shared" si="9"/>
        <v>-0.44611697335612566</v>
      </c>
      <c r="M253" s="11">
        <f>GraphBacillus!$B$10-(I253-GraphBacillus!$B$6)/GraphBacillus!$B$5</f>
        <v>0.1750683851365975</v>
      </c>
      <c r="N253" s="1" t="s">
        <v>944</v>
      </c>
      <c r="O253">
        <v>1999</v>
      </c>
      <c r="S253" s="10">
        <f>GraphBacillus!$B$37*Bacillus!I253+GraphBacillus!$B$38</f>
        <v>0.11225308463062955</v>
      </c>
      <c r="T253" s="10">
        <f>GraphBacillus!$E$37*Bacillus!I253+GraphBacillus!$E$38</f>
        <v>0.23312293957895225</v>
      </c>
      <c r="U253" s="10">
        <f>GraphBacillus!$I$37*Bacillus!I253+GraphBacillus!$I$38</f>
        <v>-9.0547291552894649E-2</v>
      </c>
    </row>
    <row r="254" spans="1:21" x14ac:dyDescent="0.2">
      <c r="A254" s="2" t="s">
        <v>1236</v>
      </c>
      <c r="B254" s="2" t="s">
        <v>1237</v>
      </c>
      <c r="C254" s="1">
        <v>7004</v>
      </c>
      <c r="D254" s="1" t="s">
        <v>44</v>
      </c>
      <c r="E254" s="1" t="s">
        <v>933</v>
      </c>
      <c r="F254" s="1"/>
      <c r="G254" s="1">
        <v>1</v>
      </c>
      <c r="H254" s="5"/>
      <c r="I254" s="5">
        <v>100</v>
      </c>
      <c r="J254" s="9">
        <f>0.39+0.032</f>
        <v>0.42200000000000004</v>
      </c>
      <c r="K254" s="5">
        <v>8.3000000000000007</v>
      </c>
      <c r="L254" s="9">
        <f t="shared" si="9"/>
        <v>-0.37468754903832607</v>
      </c>
      <c r="M254" s="11">
        <f>GraphBacillus!$B$10-(I254-GraphBacillus!$B$6)/GraphBacillus!$B$5</f>
        <v>0.1750683851365975</v>
      </c>
      <c r="N254" s="1" t="s">
        <v>944</v>
      </c>
      <c r="O254">
        <v>1999</v>
      </c>
      <c r="S254" s="10">
        <f>GraphBacillus!$B$37*Bacillus!I254+GraphBacillus!$B$38</f>
        <v>0.11225308463062955</v>
      </c>
      <c r="T254" s="10">
        <f>GraphBacillus!$E$37*Bacillus!I254+GraphBacillus!$E$38</f>
        <v>0.23312293957895225</v>
      </c>
      <c r="U254" s="10">
        <f>GraphBacillus!$I$37*Bacillus!I254+GraphBacillus!$I$38</f>
        <v>-9.0547291552894649E-2</v>
      </c>
    </row>
    <row r="255" spans="1:21" x14ac:dyDescent="0.2">
      <c r="A255" s="2" t="s">
        <v>1236</v>
      </c>
      <c r="B255" s="2" t="s">
        <v>1237</v>
      </c>
      <c r="C255" s="1">
        <v>7004</v>
      </c>
      <c r="D255" s="1" t="s">
        <v>44</v>
      </c>
      <c r="E255" s="1" t="s">
        <v>933</v>
      </c>
      <c r="F255" s="1"/>
      <c r="G255" s="1">
        <v>1</v>
      </c>
      <c r="H255" s="5"/>
      <c r="I255" s="5">
        <v>106</v>
      </c>
      <c r="J255" s="9">
        <v>5.0999999999999997E-2</v>
      </c>
      <c r="K255" s="5">
        <v>8.3000000000000007</v>
      </c>
      <c r="L255" s="9">
        <f t="shared" si="9"/>
        <v>-1.2924298239020637</v>
      </c>
      <c r="M255" s="11">
        <f>GraphBacillus!$B$10-(I255-GraphBacillus!$B$6)/GraphBacillus!$B$5</f>
        <v>-0.29201485593675214</v>
      </c>
      <c r="N255" s="1" t="s">
        <v>944</v>
      </c>
      <c r="O255">
        <v>1999</v>
      </c>
      <c r="S255" s="10">
        <f>GraphBacillus!$B$37*Bacillus!I255+GraphBacillus!$B$38</f>
        <v>-0.28752555133167679</v>
      </c>
      <c r="T255" s="10">
        <f>GraphBacillus!$E$37*Bacillus!I255+GraphBacillus!$E$38</f>
        <v>-0.14535643173027069</v>
      </c>
      <c r="U255" s="10">
        <f>GraphBacillus!$I$37*Bacillus!I255+GraphBacillus!$I$38</f>
        <v>-0.54343905663178038</v>
      </c>
    </row>
    <row r="256" spans="1:21" x14ac:dyDescent="0.2">
      <c r="A256" s="2" t="s">
        <v>1236</v>
      </c>
      <c r="B256" s="2" t="s">
        <v>1237</v>
      </c>
      <c r="C256" s="1">
        <v>9818</v>
      </c>
      <c r="D256" s="1" t="s">
        <v>44</v>
      </c>
      <c r="E256" s="1" t="s">
        <v>933</v>
      </c>
      <c r="F256" s="19"/>
      <c r="G256" s="1">
        <v>1</v>
      </c>
      <c r="H256" s="5"/>
      <c r="I256" s="5">
        <v>100</v>
      </c>
      <c r="J256" s="9">
        <v>9.2799999999999994</v>
      </c>
      <c r="K256" s="5">
        <v>9.4</v>
      </c>
      <c r="L256" s="9">
        <f t="shared" si="9"/>
        <v>0.96754797621886202</v>
      </c>
      <c r="M256" s="11">
        <f>GraphBacillus!$B$10-(I256-GraphBacillus!$B$6)/GraphBacillus!$B$5</f>
        <v>0.1750683851365975</v>
      </c>
      <c r="N256" s="1" t="s">
        <v>944</v>
      </c>
      <c r="O256">
        <v>1999</v>
      </c>
      <c r="S256" s="10">
        <f>GraphBacillus!$B$37*Bacillus!I256+GraphBacillus!$B$38</f>
        <v>0.11225308463062955</v>
      </c>
      <c r="T256" s="10">
        <f>GraphBacillus!$E$37*Bacillus!I256+GraphBacillus!$E$38</f>
        <v>0.23312293957895225</v>
      </c>
      <c r="U256" s="10">
        <f>GraphBacillus!$I$37*Bacillus!I256+GraphBacillus!$I$38</f>
        <v>-9.0547291552894649E-2</v>
      </c>
    </row>
    <row r="257" spans="1:21" x14ac:dyDescent="0.2">
      <c r="A257" s="2" t="s">
        <v>1236</v>
      </c>
      <c r="B257" s="2" t="s">
        <v>1237</v>
      </c>
      <c r="C257" s="1">
        <v>9818</v>
      </c>
      <c r="D257" s="1" t="s">
        <v>44</v>
      </c>
      <c r="E257" s="1" t="s">
        <v>933</v>
      </c>
      <c r="F257" s="19"/>
      <c r="G257" s="1">
        <v>1</v>
      </c>
      <c r="H257" s="5"/>
      <c r="I257" s="5">
        <v>103</v>
      </c>
      <c r="J257" s="9">
        <f>4.55-0.11</f>
        <v>4.4399999999999995</v>
      </c>
      <c r="K257" s="5">
        <v>9.4</v>
      </c>
      <c r="L257" s="9">
        <f t="shared" si="9"/>
        <v>0.64738297011461976</v>
      </c>
      <c r="M257" s="11">
        <f>GraphBacillus!$B$10-(I257-GraphBacillus!$B$6)/GraphBacillus!$B$5</f>
        <v>-5.8473235400077428E-2</v>
      </c>
      <c r="N257" s="1" t="s">
        <v>944</v>
      </c>
      <c r="O257">
        <v>1999</v>
      </c>
      <c r="S257" s="10">
        <f>GraphBacillus!$B$37*Bacillus!I257+GraphBacillus!$B$38</f>
        <v>-8.7636233350523618E-2</v>
      </c>
      <c r="T257" s="10">
        <f>GraphBacillus!$E$37*Bacillus!I257+GraphBacillus!$E$38</f>
        <v>4.3883253924340337E-2</v>
      </c>
      <c r="U257" s="10">
        <f>GraphBacillus!$I$37*Bacillus!I257+GraphBacillus!$I$38</f>
        <v>-0.31699317409233707</v>
      </c>
    </row>
    <row r="258" spans="1:21" x14ac:dyDescent="0.2">
      <c r="A258" s="2" t="s">
        <v>1236</v>
      </c>
      <c r="B258" s="2" t="s">
        <v>1237</v>
      </c>
      <c r="C258" s="1">
        <v>9818</v>
      </c>
      <c r="D258" s="1" t="s">
        <v>44</v>
      </c>
      <c r="E258" s="1" t="s">
        <v>933</v>
      </c>
      <c r="F258" s="1"/>
      <c r="G258" s="1">
        <v>1</v>
      </c>
      <c r="H258" s="5"/>
      <c r="I258" s="5">
        <v>103</v>
      </c>
      <c r="J258" s="9">
        <f>4.55+0.11</f>
        <v>4.66</v>
      </c>
      <c r="K258" s="5">
        <v>9.4</v>
      </c>
      <c r="L258" s="9">
        <f t="shared" si="9"/>
        <v>0.66838591669000014</v>
      </c>
      <c r="M258" s="11">
        <f>GraphBacillus!$B$10-(I258-GraphBacillus!$B$6)/GraphBacillus!$B$5</f>
        <v>-5.8473235400077428E-2</v>
      </c>
      <c r="N258" s="1" t="s">
        <v>944</v>
      </c>
      <c r="O258">
        <v>1999</v>
      </c>
      <c r="S258" s="10">
        <f>GraphBacillus!$B$37*Bacillus!I258+GraphBacillus!$B$38</f>
        <v>-8.7636233350523618E-2</v>
      </c>
      <c r="T258" s="10">
        <f>GraphBacillus!$E$37*Bacillus!I258+GraphBacillus!$E$38</f>
        <v>4.3883253924340337E-2</v>
      </c>
      <c r="U258" s="10">
        <f>GraphBacillus!$I$37*Bacillus!I258+GraphBacillus!$I$38</f>
        <v>-0.31699317409233707</v>
      </c>
    </row>
    <row r="259" spans="1:21" x14ac:dyDescent="0.2">
      <c r="A259" s="2" t="s">
        <v>1236</v>
      </c>
      <c r="B259" s="2" t="s">
        <v>1237</v>
      </c>
      <c r="C259" s="1">
        <v>9818</v>
      </c>
      <c r="D259" s="1" t="s">
        <v>44</v>
      </c>
      <c r="E259" s="1" t="s">
        <v>933</v>
      </c>
      <c r="F259" s="1"/>
      <c r="G259" s="1">
        <v>1</v>
      </c>
      <c r="H259" s="5"/>
      <c r="I259" s="5">
        <v>110</v>
      </c>
      <c r="J259" s="9">
        <v>0.73</v>
      </c>
      <c r="K259" s="5">
        <v>9.4</v>
      </c>
      <c r="L259" s="9">
        <f t="shared" si="9"/>
        <v>-0.13667713987954411</v>
      </c>
      <c r="M259" s="11">
        <f>GraphBacillus!$B$10-(I259-GraphBacillus!$B$6)/GraphBacillus!$B$5</f>
        <v>-0.6034036833189852</v>
      </c>
      <c r="N259" s="1" t="s">
        <v>944</v>
      </c>
      <c r="O259">
        <v>1999</v>
      </c>
      <c r="S259" s="10">
        <f>GraphBacillus!$B$37*Bacillus!I259+GraphBacillus!$B$38</f>
        <v>-0.55404464197321435</v>
      </c>
      <c r="T259" s="10">
        <f>GraphBacillus!$E$37*Bacillus!I259+GraphBacillus!$E$38</f>
        <v>-0.39767601260308627</v>
      </c>
      <c r="U259" s="10">
        <f>GraphBacillus!$I$37*Bacillus!I259+GraphBacillus!$I$38</f>
        <v>-0.84536690001770243</v>
      </c>
    </row>
    <row r="260" spans="1:21" x14ac:dyDescent="0.2">
      <c r="A260" s="2" t="s">
        <v>1236</v>
      </c>
      <c r="B260" s="2" t="s">
        <v>1237</v>
      </c>
      <c r="C260" s="1">
        <v>9818</v>
      </c>
      <c r="D260" s="1" t="s">
        <v>44</v>
      </c>
      <c r="E260" s="1" t="s">
        <v>933</v>
      </c>
      <c r="F260" s="1"/>
      <c r="G260" s="1">
        <v>1</v>
      </c>
      <c r="H260" s="5"/>
      <c r="I260" s="5">
        <v>115</v>
      </c>
      <c r="J260" s="9">
        <v>0.25</v>
      </c>
      <c r="K260" s="5">
        <v>9.4</v>
      </c>
      <c r="L260" s="9">
        <f t="shared" si="9"/>
        <v>-0.6020599913279624</v>
      </c>
      <c r="M260" s="11">
        <f>GraphBacillus!$B$10-(I260-GraphBacillus!$B$6)/GraphBacillus!$B$5</f>
        <v>-0.99263971754677649</v>
      </c>
      <c r="N260" s="1" t="s">
        <v>944</v>
      </c>
      <c r="O260">
        <v>1999</v>
      </c>
      <c r="S260" s="10">
        <f>GraphBacillus!$B$37*Bacillus!I260+GraphBacillus!$B$38</f>
        <v>-0.88719350527513718</v>
      </c>
      <c r="T260" s="10">
        <f>GraphBacillus!$E$37*Bacillus!I260+GraphBacillus!$E$38</f>
        <v>-0.71307548869410553</v>
      </c>
      <c r="U260" s="10">
        <f>GraphBacillus!$I$37*Bacillus!I260+GraphBacillus!$I$38</f>
        <v>-1.2227767042501076</v>
      </c>
    </row>
    <row r="261" spans="1:21" x14ac:dyDescent="0.2">
      <c r="A261" s="2" t="s">
        <v>1236</v>
      </c>
      <c r="B261" s="2" t="s">
        <v>1237</v>
      </c>
      <c r="C261" s="1">
        <v>4342</v>
      </c>
      <c r="D261" s="1" t="s">
        <v>44</v>
      </c>
      <c r="E261" s="1" t="s">
        <v>164</v>
      </c>
      <c r="F261" s="1"/>
      <c r="G261" s="1"/>
      <c r="H261" s="5"/>
      <c r="I261" s="5">
        <v>95</v>
      </c>
      <c r="J261" s="9">
        <v>1.83</v>
      </c>
      <c r="K261" s="5"/>
      <c r="L261" s="9">
        <f t="shared" si="9"/>
        <v>0.26245108973042947</v>
      </c>
      <c r="M261" s="11">
        <f>GraphBacillus!$B$10-(I261-GraphBacillus!$B$6)/GraphBacillus!$B$5</f>
        <v>0.56430441936438891</v>
      </c>
      <c r="N261" s="1" t="s">
        <v>920</v>
      </c>
      <c r="O261">
        <v>1999</v>
      </c>
      <c r="P261" t="s">
        <v>914</v>
      </c>
      <c r="S261" s="10">
        <f>GraphBacillus!$B$37*Bacillus!I261+GraphBacillus!$B$38</f>
        <v>0.4454019479325515</v>
      </c>
      <c r="T261" s="10">
        <f>GraphBacillus!$E$37*Bacillus!I261+GraphBacillus!$E$38</f>
        <v>0.54852241566997151</v>
      </c>
      <c r="U261" s="10">
        <f>GraphBacillus!$I$37*Bacillus!I261+GraphBacillus!$I$38</f>
        <v>0.28686251267950968</v>
      </c>
    </row>
    <row r="262" spans="1:21" x14ac:dyDescent="0.2">
      <c r="A262" s="2" t="s">
        <v>1236</v>
      </c>
      <c r="B262" s="2" t="s">
        <v>1237</v>
      </c>
      <c r="C262" s="1">
        <v>4342</v>
      </c>
      <c r="D262" s="1" t="s">
        <v>44</v>
      </c>
      <c r="E262" s="1" t="s">
        <v>164</v>
      </c>
      <c r="F262" s="1"/>
      <c r="G262" s="1"/>
      <c r="H262" s="5"/>
      <c r="I262" s="5">
        <v>98</v>
      </c>
      <c r="J262" s="9">
        <v>0.7</v>
      </c>
      <c r="K262" s="5"/>
      <c r="L262" s="9">
        <f t="shared" si="9"/>
        <v>-0.15490195998574319</v>
      </c>
      <c r="M262" s="11">
        <f>GraphBacillus!$B$10-(I262-GraphBacillus!$B$6)/GraphBacillus!$B$5</f>
        <v>0.33076279882771398</v>
      </c>
      <c r="N262" s="1" t="s">
        <v>920</v>
      </c>
      <c r="O262">
        <v>1999</v>
      </c>
      <c r="P262" t="s">
        <v>914</v>
      </c>
      <c r="S262" s="10">
        <f>GraphBacillus!$B$37*Bacillus!I262+GraphBacillus!$B$38</f>
        <v>0.24551262995139833</v>
      </c>
      <c r="T262" s="10">
        <f>GraphBacillus!$E$37*Bacillus!I262+GraphBacillus!$E$38</f>
        <v>0.3592827300153596</v>
      </c>
      <c r="U262" s="10">
        <f>GraphBacillus!$I$37*Bacillus!I262+GraphBacillus!$I$38</f>
        <v>6.0416630140067262E-2</v>
      </c>
    </row>
    <row r="263" spans="1:21" x14ac:dyDescent="0.2">
      <c r="A263" s="2" t="s">
        <v>1236</v>
      </c>
      <c r="B263" s="2" t="s">
        <v>1237</v>
      </c>
      <c r="C263" s="1">
        <v>4342</v>
      </c>
      <c r="D263" s="1" t="s">
        <v>44</v>
      </c>
      <c r="E263" s="1" t="s">
        <v>164</v>
      </c>
      <c r="F263" s="1"/>
      <c r="G263" s="1"/>
      <c r="H263" s="5"/>
      <c r="I263" s="5">
        <v>100</v>
      </c>
      <c r="J263" s="9">
        <f>0.42-0.06</f>
        <v>0.36</v>
      </c>
      <c r="K263" s="5"/>
      <c r="L263" s="9">
        <f t="shared" si="9"/>
        <v>-0.44369749923271273</v>
      </c>
      <c r="M263" s="11">
        <f>GraphBacillus!$B$10-(I263-GraphBacillus!$B$6)/GraphBacillus!$B$5</f>
        <v>0.1750683851365975</v>
      </c>
      <c r="N263" s="1" t="s">
        <v>920</v>
      </c>
      <c r="O263">
        <v>1999</v>
      </c>
      <c r="P263" t="s">
        <v>914</v>
      </c>
      <c r="S263" s="10">
        <f>GraphBacillus!$B$37*Bacillus!I263+GraphBacillus!$B$38</f>
        <v>0.11225308463062955</v>
      </c>
      <c r="T263" s="10">
        <f>GraphBacillus!$E$37*Bacillus!I263+GraphBacillus!$E$38</f>
        <v>0.23312293957895225</v>
      </c>
      <c r="U263" s="10">
        <f>GraphBacillus!$I$37*Bacillus!I263+GraphBacillus!$I$38</f>
        <v>-9.0547291552894649E-2</v>
      </c>
    </row>
    <row r="264" spans="1:21" x14ac:dyDescent="0.2">
      <c r="A264" s="2" t="s">
        <v>1236</v>
      </c>
      <c r="B264" s="2" t="s">
        <v>1237</v>
      </c>
      <c r="C264" s="1">
        <v>4342</v>
      </c>
      <c r="D264" s="1" t="s">
        <v>44</v>
      </c>
      <c r="E264" s="1" t="s">
        <v>164</v>
      </c>
      <c r="F264" s="1"/>
      <c r="G264" s="1"/>
      <c r="H264" s="5"/>
      <c r="I264" s="4">
        <v>100</v>
      </c>
      <c r="J264" s="9">
        <f>0.42+0.06</f>
        <v>0.48</v>
      </c>
      <c r="K264" s="5"/>
      <c r="L264" s="9">
        <f t="shared" si="9"/>
        <v>-0.31875876262441277</v>
      </c>
      <c r="M264" s="11">
        <f>GraphBacillus!$B$10-(I264-GraphBacillus!$B$6)/GraphBacillus!$B$5</f>
        <v>0.1750683851365975</v>
      </c>
      <c r="N264" s="1" t="s">
        <v>920</v>
      </c>
      <c r="O264">
        <v>1999</v>
      </c>
      <c r="P264" t="s">
        <v>914</v>
      </c>
      <c r="S264" s="10">
        <f>GraphBacillus!$B$37*Bacillus!I264+GraphBacillus!$B$38</f>
        <v>0.11225308463062955</v>
      </c>
      <c r="T264" s="10">
        <f>GraphBacillus!$E$37*Bacillus!I264+GraphBacillus!$E$38</f>
        <v>0.23312293957895225</v>
      </c>
      <c r="U264" s="10">
        <f>GraphBacillus!$I$37*Bacillus!I264+GraphBacillus!$I$38</f>
        <v>-9.0547291552894649E-2</v>
      </c>
    </row>
    <row r="265" spans="1:21" x14ac:dyDescent="0.2">
      <c r="A265" s="2" t="s">
        <v>1236</v>
      </c>
      <c r="B265" s="2" t="s">
        <v>1237</v>
      </c>
      <c r="C265" s="1">
        <v>4342</v>
      </c>
      <c r="D265" s="1" t="s">
        <v>44</v>
      </c>
      <c r="E265" s="1" t="s">
        <v>164</v>
      </c>
      <c r="F265" s="1"/>
      <c r="G265" s="1"/>
      <c r="H265" s="5"/>
      <c r="I265" s="5">
        <v>102</v>
      </c>
      <c r="J265" s="9">
        <v>0.25</v>
      </c>
      <c r="K265" s="5"/>
      <c r="L265" s="9">
        <f t="shared" si="9"/>
        <v>-0.6020599913279624</v>
      </c>
      <c r="M265" s="11">
        <f>GraphBacillus!$B$10-(I265-GraphBacillus!$B$6)/GraphBacillus!$B$5</f>
        <v>1.9373971445481031E-2</v>
      </c>
      <c r="N265" s="1" t="s">
        <v>920</v>
      </c>
      <c r="O265">
        <v>1999</v>
      </c>
      <c r="P265" t="s">
        <v>914</v>
      </c>
      <c r="S265" s="10">
        <f>GraphBacillus!$B$37*Bacillus!I265+GraphBacillus!$B$38</f>
        <v>-2.1006460690139228E-2</v>
      </c>
      <c r="T265" s="10">
        <f>GraphBacillus!$E$37*Bacillus!I265+GraphBacillus!$E$38</f>
        <v>0.10696314914254401</v>
      </c>
      <c r="U265" s="10">
        <f>GraphBacillus!$I$37*Bacillus!I265+GraphBacillus!$I$38</f>
        <v>-0.24151121324585656</v>
      </c>
    </row>
    <row r="266" spans="1:21" x14ac:dyDescent="0.2">
      <c r="A266" s="2" t="s">
        <v>1236</v>
      </c>
      <c r="B266" s="2" t="s">
        <v>1237</v>
      </c>
      <c r="C266" s="1">
        <v>4342</v>
      </c>
      <c r="D266" s="1" t="s">
        <v>44</v>
      </c>
      <c r="E266" s="1" t="s">
        <v>164</v>
      </c>
      <c r="F266" s="1"/>
      <c r="G266" s="1"/>
      <c r="H266" s="5"/>
      <c r="I266" s="5">
        <v>106</v>
      </c>
      <c r="J266" s="9">
        <v>0.06</v>
      </c>
      <c r="K266" s="5"/>
      <c r="L266" s="9">
        <f t="shared" si="9"/>
        <v>-1.2218487496163564</v>
      </c>
      <c r="M266" s="11">
        <f>GraphBacillus!$B$10-(I266-GraphBacillus!$B$6)/GraphBacillus!$B$5</f>
        <v>-0.29201485593675214</v>
      </c>
      <c r="N266" s="1" t="s">
        <v>920</v>
      </c>
      <c r="O266">
        <v>1999</v>
      </c>
      <c r="P266" t="s">
        <v>914</v>
      </c>
      <c r="S266" s="10">
        <f>GraphBacillus!$B$37*Bacillus!I266+GraphBacillus!$B$38</f>
        <v>-0.28752555133167679</v>
      </c>
      <c r="T266" s="10">
        <f>GraphBacillus!$E$37*Bacillus!I266+GraphBacillus!$E$38</f>
        <v>-0.14535643173027069</v>
      </c>
      <c r="U266" s="10">
        <f>GraphBacillus!$I$37*Bacillus!I266+GraphBacillus!$I$38</f>
        <v>-0.54343905663178038</v>
      </c>
    </row>
    <row r="267" spans="1:21" x14ac:dyDescent="0.2">
      <c r="A267" s="2" t="s">
        <v>1236</v>
      </c>
      <c r="B267" s="2" t="s">
        <v>1237</v>
      </c>
      <c r="C267" s="1">
        <v>4342</v>
      </c>
      <c r="D267" s="1" t="s">
        <v>44</v>
      </c>
      <c r="E267" s="1" t="s">
        <v>164</v>
      </c>
      <c r="F267" s="1"/>
      <c r="G267" s="1"/>
      <c r="H267" s="5"/>
      <c r="I267" s="5">
        <v>110</v>
      </c>
      <c r="J267" s="9">
        <v>1.6E-2</v>
      </c>
      <c r="K267" s="5"/>
      <c r="L267" s="9">
        <f t="shared" si="9"/>
        <v>-1.7958800173440752</v>
      </c>
      <c r="M267" s="11">
        <f>GraphBacillus!$B$10-(I267-GraphBacillus!$B$6)/GraphBacillus!$B$5</f>
        <v>-0.6034036833189852</v>
      </c>
      <c r="N267" s="1" t="s">
        <v>920</v>
      </c>
      <c r="O267">
        <v>1999</v>
      </c>
      <c r="P267" t="s">
        <v>914</v>
      </c>
      <c r="S267" s="10">
        <f>GraphBacillus!$B$37*Bacillus!I267+GraphBacillus!$B$38</f>
        <v>-0.55404464197321435</v>
      </c>
      <c r="T267" s="10">
        <f>GraphBacillus!$E$37*Bacillus!I267+GraphBacillus!$E$38</f>
        <v>-0.39767601260308627</v>
      </c>
      <c r="U267" s="10">
        <f>GraphBacillus!$I$37*Bacillus!I267+GraphBacillus!$I$38</f>
        <v>-0.84536690001770243</v>
      </c>
    </row>
    <row r="268" spans="1:21" x14ac:dyDescent="0.2">
      <c r="A268" s="2" t="s">
        <v>1236</v>
      </c>
      <c r="B268" s="2" t="s">
        <v>1237</v>
      </c>
      <c r="C268" s="1">
        <v>4342</v>
      </c>
      <c r="D268" s="1" t="s">
        <v>44</v>
      </c>
      <c r="E268" s="1" t="s">
        <v>164</v>
      </c>
      <c r="F268" s="1"/>
      <c r="G268" s="1"/>
      <c r="H268" s="5"/>
      <c r="I268" s="5">
        <v>95</v>
      </c>
      <c r="J268" s="9">
        <v>4.41</v>
      </c>
      <c r="K268" s="5"/>
      <c r="L268" s="9">
        <f t="shared" si="9"/>
        <v>0.6444385894678385</v>
      </c>
      <c r="M268" s="11">
        <f>GraphBacillus!$B$10-(I268-GraphBacillus!$B$6)/GraphBacillus!$B$5</f>
        <v>0.56430441936438891</v>
      </c>
      <c r="N268" s="1" t="s">
        <v>920</v>
      </c>
      <c r="O268">
        <v>1999</v>
      </c>
      <c r="P268" t="s">
        <v>915</v>
      </c>
      <c r="S268" s="10">
        <f>GraphBacillus!$B$37*Bacillus!I268+GraphBacillus!$B$38</f>
        <v>0.4454019479325515</v>
      </c>
      <c r="T268" s="10">
        <f>GraphBacillus!$E$37*Bacillus!I268+GraphBacillus!$E$38</f>
        <v>0.54852241566997151</v>
      </c>
      <c r="U268" s="10">
        <f>GraphBacillus!$I$37*Bacillus!I268+GraphBacillus!$I$38</f>
        <v>0.28686251267950968</v>
      </c>
    </row>
    <row r="269" spans="1:21" x14ac:dyDescent="0.2">
      <c r="A269" s="2" t="s">
        <v>1236</v>
      </c>
      <c r="B269" s="2" t="s">
        <v>1237</v>
      </c>
      <c r="C269" s="1">
        <v>4342</v>
      </c>
      <c r="D269" s="1" t="s">
        <v>44</v>
      </c>
      <c r="E269" s="1" t="s">
        <v>164</v>
      </c>
      <c r="F269" s="1"/>
      <c r="G269" s="1"/>
      <c r="H269" s="5"/>
      <c r="I269" s="5">
        <v>98</v>
      </c>
      <c r="J269" s="9">
        <v>1.79</v>
      </c>
      <c r="K269" s="5"/>
      <c r="L269" s="9">
        <f t="shared" si="9"/>
        <v>0.2528530309798932</v>
      </c>
      <c r="M269" s="11">
        <f>GraphBacillus!$B$10-(I269-GraphBacillus!$B$6)/GraphBacillus!$B$5</f>
        <v>0.33076279882771398</v>
      </c>
      <c r="N269" s="1" t="s">
        <v>920</v>
      </c>
      <c r="O269">
        <v>1999</v>
      </c>
      <c r="P269" t="s">
        <v>915</v>
      </c>
      <c r="S269" s="10">
        <f>GraphBacillus!$B$37*Bacillus!I269+GraphBacillus!$B$38</f>
        <v>0.24551262995139833</v>
      </c>
      <c r="T269" s="10">
        <f>GraphBacillus!$E$37*Bacillus!I269+GraphBacillus!$E$38</f>
        <v>0.3592827300153596</v>
      </c>
      <c r="U269" s="10">
        <f>GraphBacillus!$I$37*Bacillus!I269+GraphBacillus!$I$38</f>
        <v>6.0416630140067262E-2</v>
      </c>
    </row>
    <row r="270" spans="1:21" x14ac:dyDescent="0.2">
      <c r="A270" s="2" t="s">
        <v>1236</v>
      </c>
      <c r="B270" s="2" t="s">
        <v>1237</v>
      </c>
      <c r="C270" s="1">
        <v>4342</v>
      </c>
      <c r="D270" s="1" t="s">
        <v>44</v>
      </c>
      <c r="E270" s="1" t="s">
        <v>164</v>
      </c>
      <c r="F270" s="1"/>
      <c r="G270" s="1"/>
      <c r="H270" s="5"/>
      <c r="I270" s="5">
        <v>100</v>
      </c>
      <c r="J270" s="9">
        <f>1.16</f>
        <v>1.1599999999999999</v>
      </c>
      <c r="K270" s="5"/>
      <c r="L270" s="9">
        <f t="shared" si="9"/>
        <v>6.445798922691845E-2</v>
      </c>
      <c r="M270" s="11">
        <f>GraphBacillus!$B$10-(I270-GraphBacillus!$B$6)/GraphBacillus!$B$5</f>
        <v>0.1750683851365975</v>
      </c>
      <c r="N270" s="1" t="s">
        <v>920</v>
      </c>
      <c r="O270">
        <v>1999</v>
      </c>
      <c r="P270" t="s">
        <v>915</v>
      </c>
      <c r="S270" s="10">
        <f>GraphBacillus!$B$37*Bacillus!I270+GraphBacillus!$B$38</f>
        <v>0.11225308463062955</v>
      </c>
      <c r="T270" s="10">
        <f>GraphBacillus!$E$37*Bacillus!I270+GraphBacillus!$E$38</f>
        <v>0.23312293957895225</v>
      </c>
      <c r="U270" s="10">
        <f>GraphBacillus!$I$37*Bacillus!I270+GraphBacillus!$I$38</f>
        <v>-9.0547291552894649E-2</v>
      </c>
    </row>
    <row r="271" spans="1:21" x14ac:dyDescent="0.2">
      <c r="A271" s="2" t="s">
        <v>1236</v>
      </c>
      <c r="B271" s="2" t="s">
        <v>1237</v>
      </c>
      <c r="C271" s="1">
        <v>4342</v>
      </c>
      <c r="D271" s="1" t="s">
        <v>44</v>
      </c>
      <c r="E271" s="1" t="s">
        <v>164</v>
      </c>
      <c r="F271" s="1"/>
      <c r="G271" s="1"/>
      <c r="H271" s="5"/>
      <c r="I271" s="5">
        <v>102</v>
      </c>
      <c r="J271" s="9">
        <v>0.69</v>
      </c>
      <c r="K271" s="5"/>
      <c r="L271" s="9">
        <f t="shared" si="9"/>
        <v>-0.16115090926274472</v>
      </c>
      <c r="M271" s="11">
        <f>GraphBacillus!$B$10-(I271-GraphBacillus!$B$6)/GraphBacillus!$B$5</f>
        <v>1.9373971445481031E-2</v>
      </c>
      <c r="N271" s="1" t="s">
        <v>920</v>
      </c>
      <c r="O271">
        <v>1999</v>
      </c>
      <c r="P271" t="s">
        <v>915</v>
      </c>
      <c r="S271" s="10">
        <f>GraphBacillus!$B$37*Bacillus!I271+GraphBacillus!$B$38</f>
        <v>-2.1006460690139228E-2</v>
      </c>
      <c r="T271" s="10">
        <f>GraphBacillus!$E$37*Bacillus!I271+GraphBacillus!$E$38</f>
        <v>0.10696314914254401</v>
      </c>
      <c r="U271" s="10">
        <f>GraphBacillus!$I$37*Bacillus!I271+GraphBacillus!$I$38</f>
        <v>-0.24151121324585656</v>
      </c>
    </row>
    <row r="272" spans="1:21" x14ac:dyDescent="0.2">
      <c r="A272" s="2" t="s">
        <v>1236</v>
      </c>
      <c r="B272" s="2" t="s">
        <v>1237</v>
      </c>
      <c r="C272" s="1">
        <v>4342</v>
      </c>
      <c r="D272" s="1" t="s">
        <v>44</v>
      </c>
      <c r="E272" s="1" t="s">
        <v>164</v>
      </c>
      <c r="F272" s="1"/>
      <c r="G272" s="1"/>
      <c r="H272" s="5"/>
      <c r="I272" s="5">
        <v>106</v>
      </c>
      <c r="J272" s="9">
        <v>0.17</v>
      </c>
      <c r="K272" s="5"/>
      <c r="L272" s="9">
        <f t="shared" si="9"/>
        <v>-0.769551078621726</v>
      </c>
      <c r="M272" s="11">
        <f>GraphBacillus!$B$10-(I272-GraphBacillus!$B$6)/GraphBacillus!$B$5</f>
        <v>-0.29201485593675214</v>
      </c>
      <c r="N272" s="1" t="s">
        <v>920</v>
      </c>
      <c r="O272">
        <v>1999</v>
      </c>
      <c r="P272" t="s">
        <v>915</v>
      </c>
      <c r="S272" s="10">
        <f>GraphBacillus!$B$37*Bacillus!I272+GraphBacillus!$B$38</f>
        <v>-0.28752555133167679</v>
      </c>
      <c r="T272" s="10">
        <f>GraphBacillus!$E$37*Bacillus!I272+GraphBacillus!$E$38</f>
        <v>-0.14535643173027069</v>
      </c>
      <c r="U272" s="10">
        <f>GraphBacillus!$I$37*Bacillus!I272+GraphBacillus!$I$38</f>
        <v>-0.54343905663178038</v>
      </c>
    </row>
    <row r="273" spans="1:21" x14ac:dyDescent="0.2">
      <c r="A273" s="2" t="s">
        <v>1236</v>
      </c>
      <c r="B273" s="2" t="s">
        <v>1237</v>
      </c>
      <c r="C273" s="1">
        <v>4342</v>
      </c>
      <c r="D273" s="1" t="s">
        <v>44</v>
      </c>
      <c r="E273" s="1" t="s">
        <v>164</v>
      </c>
      <c r="F273" s="1"/>
      <c r="G273" s="1"/>
      <c r="H273" s="5"/>
      <c r="I273" s="5">
        <v>110</v>
      </c>
      <c r="J273" s="9">
        <v>5.0999999999999997E-2</v>
      </c>
      <c r="K273" s="5"/>
      <c r="L273" s="9">
        <f t="shared" si="9"/>
        <v>-1.2924298239020637</v>
      </c>
      <c r="M273" s="11">
        <f>GraphBacillus!$B$10-(I273-GraphBacillus!$B$6)/GraphBacillus!$B$5</f>
        <v>-0.6034036833189852</v>
      </c>
      <c r="N273" s="1" t="s">
        <v>920</v>
      </c>
      <c r="O273">
        <v>1999</v>
      </c>
      <c r="P273" t="s">
        <v>915</v>
      </c>
      <c r="S273" s="10">
        <f>GraphBacillus!$B$37*Bacillus!I273+GraphBacillus!$B$38</f>
        <v>-0.55404464197321435</v>
      </c>
      <c r="T273" s="10">
        <f>GraphBacillus!$E$37*Bacillus!I273+GraphBacillus!$E$38</f>
        <v>-0.39767601260308627</v>
      </c>
      <c r="U273" s="10">
        <f>GraphBacillus!$I$37*Bacillus!I273+GraphBacillus!$I$38</f>
        <v>-0.84536690001770243</v>
      </c>
    </row>
    <row r="274" spans="1:21" x14ac:dyDescent="0.2">
      <c r="A274" s="2" t="s">
        <v>1236</v>
      </c>
      <c r="B274" s="2" t="s">
        <v>1237</v>
      </c>
      <c r="C274" s="1">
        <v>4342</v>
      </c>
      <c r="D274" s="1" t="s">
        <v>44</v>
      </c>
      <c r="E274" s="1" t="s">
        <v>164</v>
      </c>
      <c r="F274" s="1"/>
      <c r="G274" s="1"/>
      <c r="H274" s="5"/>
      <c r="I274" s="5">
        <v>114</v>
      </c>
      <c r="J274" s="9">
        <v>1.4E-2</v>
      </c>
      <c r="K274" s="5"/>
      <c r="L274" s="9">
        <f t="shared" si="9"/>
        <v>-1.853871964321762</v>
      </c>
      <c r="M274" s="11">
        <f>GraphBacillus!$B$10-(I274-GraphBacillus!$B$6)/GraphBacillus!$B$5</f>
        <v>-0.91479251070121825</v>
      </c>
      <c r="N274" s="1" t="s">
        <v>920</v>
      </c>
      <c r="O274">
        <v>1999</v>
      </c>
      <c r="P274" t="s">
        <v>915</v>
      </c>
      <c r="S274" s="10">
        <f>GraphBacillus!$B$37*Bacillus!I274+GraphBacillus!$B$38</f>
        <v>-0.82056373261475279</v>
      </c>
      <c r="T274" s="10">
        <f>GraphBacillus!$E$37*Bacillus!I274+GraphBacillus!$E$38</f>
        <v>-0.64999559347590186</v>
      </c>
      <c r="U274" s="10">
        <f>GraphBacillus!$I$37*Bacillus!I274+GraphBacillus!$I$38</f>
        <v>-1.1472947434036262</v>
      </c>
    </row>
    <row r="275" spans="1:21" x14ac:dyDescent="0.2">
      <c r="A275" s="2" t="s">
        <v>1236</v>
      </c>
      <c r="B275" s="2" t="s">
        <v>1237</v>
      </c>
      <c r="C275" s="1">
        <v>4342</v>
      </c>
      <c r="D275" s="1" t="s">
        <v>44</v>
      </c>
      <c r="E275" s="1" t="s">
        <v>164</v>
      </c>
      <c r="F275" s="1"/>
      <c r="G275" s="1"/>
      <c r="H275" s="5"/>
      <c r="I275" s="5">
        <v>95</v>
      </c>
      <c r="J275" s="9">
        <v>4.63</v>
      </c>
      <c r="K275" s="5"/>
      <c r="L275" s="9">
        <f t="shared" si="9"/>
        <v>0.66558099101795309</v>
      </c>
      <c r="M275" s="11">
        <f>GraphBacillus!$B$10-(I275-GraphBacillus!$B$6)/GraphBacillus!$B$5</f>
        <v>0.56430441936438891</v>
      </c>
      <c r="N275" s="1" t="s">
        <v>920</v>
      </c>
      <c r="O275">
        <v>1999</v>
      </c>
      <c r="P275" t="s">
        <v>916</v>
      </c>
      <c r="S275" s="10">
        <f>GraphBacillus!$B$37*Bacillus!I275+GraphBacillus!$B$38</f>
        <v>0.4454019479325515</v>
      </c>
      <c r="T275" s="10">
        <f>GraphBacillus!$E$37*Bacillus!I275+GraphBacillus!$E$38</f>
        <v>0.54852241566997151</v>
      </c>
      <c r="U275" s="10">
        <f>GraphBacillus!$I$37*Bacillus!I275+GraphBacillus!$I$38</f>
        <v>0.28686251267950968</v>
      </c>
    </row>
    <row r="276" spans="1:21" x14ac:dyDescent="0.2">
      <c r="A276" s="2" t="s">
        <v>1236</v>
      </c>
      <c r="B276" s="2" t="s">
        <v>1237</v>
      </c>
      <c r="C276" s="1">
        <v>4342</v>
      </c>
      <c r="D276" s="1" t="s">
        <v>44</v>
      </c>
      <c r="E276" s="1" t="s">
        <v>164</v>
      </c>
      <c r="F276" s="1"/>
      <c r="G276" s="1"/>
      <c r="H276" s="5"/>
      <c r="I276" s="5">
        <v>98</v>
      </c>
      <c r="J276" s="9">
        <v>1.84</v>
      </c>
      <c r="K276" s="5"/>
      <c r="L276" s="9">
        <f t="shared" si="9"/>
        <v>0.26481782300953649</v>
      </c>
      <c r="M276" s="11">
        <f>GraphBacillus!$B$10-(I276-GraphBacillus!$B$6)/GraphBacillus!$B$5</f>
        <v>0.33076279882771398</v>
      </c>
      <c r="N276" s="1" t="s">
        <v>920</v>
      </c>
      <c r="O276">
        <v>1999</v>
      </c>
      <c r="P276" t="s">
        <v>916</v>
      </c>
      <c r="S276" s="10">
        <f>GraphBacillus!$B$37*Bacillus!I276+GraphBacillus!$B$38</f>
        <v>0.24551262995139833</v>
      </c>
      <c r="T276" s="10">
        <f>GraphBacillus!$E$37*Bacillus!I276+GraphBacillus!$E$38</f>
        <v>0.3592827300153596</v>
      </c>
      <c r="U276" s="10">
        <f>GraphBacillus!$I$37*Bacillus!I276+GraphBacillus!$I$38</f>
        <v>6.0416630140067262E-2</v>
      </c>
    </row>
    <row r="277" spans="1:21" x14ac:dyDescent="0.2">
      <c r="A277" s="2" t="s">
        <v>1236</v>
      </c>
      <c r="B277" s="2" t="s">
        <v>1237</v>
      </c>
      <c r="C277" s="1">
        <v>4342</v>
      </c>
      <c r="D277" s="1" t="s">
        <v>44</v>
      </c>
      <c r="E277" s="1" t="s">
        <v>164</v>
      </c>
      <c r="F277" s="1"/>
      <c r="G277" s="1"/>
      <c r="H277" s="5"/>
      <c r="I277" s="5">
        <v>100</v>
      </c>
      <c r="J277" s="9">
        <f>1.26</f>
        <v>1.26</v>
      </c>
      <c r="K277" s="5"/>
      <c r="L277" s="9">
        <f t="shared" si="9"/>
        <v>0.10037054511756291</v>
      </c>
      <c r="M277" s="11">
        <f>GraphBacillus!$B$10-(I277-GraphBacillus!$B$6)/GraphBacillus!$B$5</f>
        <v>0.1750683851365975</v>
      </c>
      <c r="N277" s="1" t="s">
        <v>920</v>
      </c>
      <c r="O277">
        <v>1999</v>
      </c>
      <c r="P277" t="s">
        <v>916</v>
      </c>
      <c r="S277" s="10">
        <f>GraphBacillus!$B$37*Bacillus!I277+GraphBacillus!$B$38</f>
        <v>0.11225308463062955</v>
      </c>
      <c r="T277" s="10">
        <f>GraphBacillus!$E$37*Bacillus!I277+GraphBacillus!$E$38</f>
        <v>0.23312293957895225</v>
      </c>
      <c r="U277" s="10">
        <f>GraphBacillus!$I$37*Bacillus!I277+GraphBacillus!$I$38</f>
        <v>-9.0547291552894649E-2</v>
      </c>
    </row>
    <row r="278" spans="1:21" x14ac:dyDescent="0.2">
      <c r="A278" s="2" t="s">
        <v>1236</v>
      </c>
      <c r="B278" s="2" t="s">
        <v>1237</v>
      </c>
      <c r="C278" s="1">
        <v>4342</v>
      </c>
      <c r="D278" s="1" t="s">
        <v>44</v>
      </c>
      <c r="E278" s="1" t="s">
        <v>164</v>
      </c>
      <c r="F278" s="1"/>
      <c r="G278" s="1"/>
      <c r="H278" s="5"/>
      <c r="I278" s="5">
        <v>102</v>
      </c>
      <c r="J278" s="9">
        <v>0.69</v>
      </c>
      <c r="K278" s="5"/>
      <c r="L278" s="9">
        <f t="shared" si="9"/>
        <v>-0.16115090926274472</v>
      </c>
      <c r="M278" s="11">
        <f>GraphBacillus!$B$10-(I278-GraphBacillus!$B$6)/GraphBacillus!$B$5</f>
        <v>1.9373971445481031E-2</v>
      </c>
      <c r="N278" s="1" t="s">
        <v>920</v>
      </c>
      <c r="O278">
        <v>1999</v>
      </c>
      <c r="P278" t="s">
        <v>916</v>
      </c>
      <c r="S278" s="10">
        <f>GraphBacillus!$B$37*Bacillus!I278+GraphBacillus!$B$38</f>
        <v>-2.1006460690139228E-2</v>
      </c>
      <c r="T278" s="10">
        <f>GraphBacillus!$E$37*Bacillus!I278+GraphBacillus!$E$38</f>
        <v>0.10696314914254401</v>
      </c>
      <c r="U278" s="10">
        <f>GraphBacillus!$I$37*Bacillus!I278+GraphBacillus!$I$38</f>
        <v>-0.24151121324585656</v>
      </c>
    </row>
    <row r="279" spans="1:21" x14ac:dyDescent="0.2">
      <c r="A279" s="2" t="s">
        <v>1236</v>
      </c>
      <c r="B279" s="2" t="s">
        <v>1237</v>
      </c>
      <c r="C279" s="1">
        <v>4342</v>
      </c>
      <c r="D279" s="1" t="s">
        <v>44</v>
      </c>
      <c r="E279" s="1" t="s">
        <v>164</v>
      </c>
      <c r="F279" s="1"/>
      <c r="G279" s="1"/>
      <c r="H279" s="5"/>
      <c r="I279" s="5">
        <v>106</v>
      </c>
      <c r="J279" s="9">
        <v>0.19</v>
      </c>
      <c r="K279" s="5"/>
      <c r="L279" s="9">
        <f t="shared" si="9"/>
        <v>-0.72124639904717103</v>
      </c>
      <c r="M279" s="11">
        <f>GraphBacillus!$B$10-(I279-GraphBacillus!$B$6)/GraphBacillus!$B$5</f>
        <v>-0.29201485593675214</v>
      </c>
      <c r="N279" s="1" t="s">
        <v>920</v>
      </c>
      <c r="O279">
        <v>1999</v>
      </c>
      <c r="P279" t="s">
        <v>916</v>
      </c>
      <c r="S279" s="10">
        <f>GraphBacillus!$B$37*Bacillus!I279+GraphBacillus!$B$38</f>
        <v>-0.28752555133167679</v>
      </c>
      <c r="T279" s="10">
        <f>GraphBacillus!$E$37*Bacillus!I279+GraphBacillus!$E$38</f>
        <v>-0.14535643173027069</v>
      </c>
      <c r="U279" s="10">
        <f>GraphBacillus!$I$37*Bacillus!I279+GraphBacillus!$I$38</f>
        <v>-0.54343905663178038</v>
      </c>
    </row>
    <row r="280" spans="1:21" x14ac:dyDescent="0.2">
      <c r="A280" s="2" t="s">
        <v>1236</v>
      </c>
      <c r="B280" s="2" t="s">
        <v>1237</v>
      </c>
      <c r="C280" s="1">
        <v>4342</v>
      </c>
      <c r="D280" s="1" t="s">
        <v>44</v>
      </c>
      <c r="E280" s="1" t="s">
        <v>164</v>
      </c>
      <c r="F280" s="1"/>
      <c r="G280" s="1"/>
      <c r="H280" s="5"/>
      <c r="I280" s="5">
        <v>110</v>
      </c>
      <c r="J280" s="9">
        <v>5.5E-2</v>
      </c>
      <c r="K280" s="5"/>
      <c r="L280" s="9">
        <f t="shared" si="9"/>
        <v>-1.2596373105057561</v>
      </c>
      <c r="M280" s="11">
        <f>GraphBacillus!$B$10-(I280-GraphBacillus!$B$6)/GraphBacillus!$B$5</f>
        <v>-0.6034036833189852</v>
      </c>
      <c r="N280" s="1" t="s">
        <v>920</v>
      </c>
      <c r="O280">
        <v>1999</v>
      </c>
      <c r="P280" t="s">
        <v>916</v>
      </c>
      <c r="S280" s="10">
        <f>GraphBacillus!$B$37*Bacillus!I280+GraphBacillus!$B$38</f>
        <v>-0.55404464197321435</v>
      </c>
      <c r="T280" s="10">
        <f>GraphBacillus!$E$37*Bacillus!I280+GraphBacillus!$E$38</f>
        <v>-0.39767601260308627</v>
      </c>
      <c r="U280" s="10">
        <f>GraphBacillus!$I$37*Bacillus!I280+GraphBacillus!$I$38</f>
        <v>-0.84536690001770243</v>
      </c>
    </row>
    <row r="281" spans="1:21" x14ac:dyDescent="0.2">
      <c r="A281" s="2" t="s">
        <v>1236</v>
      </c>
      <c r="B281" s="2" t="s">
        <v>1237</v>
      </c>
      <c r="C281" s="1">
        <v>4342</v>
      </c>
      <c r="D281" s="1" t="s">
        <v>44</v>
      </c>
      <c r="E281" s="1" t="s">
        <v>164</v>
      </c>
      <c r="F281" s="1"/>
      <c r="G281" s="1"/>
      <c r="H281" s="5"/>
      <c r="I281" s="5">
        <v>114</v>
      </c>
      <c r="J281" s="9">
        <v>1.4999999999999999E-2</v>
      </c>
      <c r="K281" s="5"/>
      <c r="L281" s="9">
        <f t="shared" si="9"/>
        <v>-1.8239087409443189</v>
      </c>
      <c r="M281" s="11">
        <f>GraphBacillus!$B$10-(I281-GraphBacillus!$B$6)/GraphBacillus!$B$5</f>
        <v>-0.91479251070121825</v>
      </c>
      <c r="N281" s="1" t="s">
        <v>920</v>
      </c>
      <c r="O281">
        <v>1999</v>
      </c>
      <c r="P281" t="s">
        <v>916</v>
      </c>
      <c r="S281" s="10">
        <f>GraphBacillus!$B$37*Bacillus!I281+GraphBacillus!$B$38</f>
        <v>-0.82056373261475279</v>
      </c>
      <c r="T281" s="10">
        <f>GraphBacillus!$E$37*Bacillus!I281+GraphBacillus!$E$38</f>
        <v>-0.64999559347590186</v>
      </c>
      <c r="U281" s="10">
        <f>GraphBacillus!$I$37*Bacillus!I281+GraphBacillus!$I$38</f>
        <v>-1.1472947434036262</v>
      </c>
    </row>
    <row r="282" spans="1:21" x14ac:dyDescent="0.2">
      <c r="A282" s="2" t="s">
        <v>1236</v>
      </c>
      <c r="B282" s="2" t="s">
        <v>1237</v>
      </c>
      <c r="C282" s="1">
        <v>4342</v>
      </c>
      <c r="D282" s="1" t="s">
        <v>44</v>
      </c>
      <c r="E282" s="1" t="s">
        <v>164</v>
      </c>
      <c r="F282" s="1"/>
      <c r="G282" s="1"/>
      <c r="H282" s="5"/>
      <c r="I282" s="5">
        <v>98</v>
      </c>
      <c r="J282" s="9">
        <v>3.91</v>
      </c>
      <c r="K282" s="5"/>
      <c r="L282" s="9">
        <f t="shared" si="9"/>
        <v>0.59217675739586684</v>
      </c>
      <c r="M282" s="11">
        <f>GraphBacillus!$B$10-(I282-GraphBacillus!$B$6)/GraphBacillus!$B$5</f>
        <v>0.33076279882771398</v>
      </c>
      <c r="N282" s="1" t="s">
        <v>920</v>
      </c>
      <c r="O282">
        <v>1999</v>
      </c>
      <c r="P282" t="s">
        <v>917</v>
      </c>
      <c r="S282" s="10">
        <f>GraphBacillus!$B$37*Bacillus!I282+GraphBacillus!$B$38</f>
        <v>0.24551262995139833</v>
      </c>
      <c r="T282" s="10">
        <f>GraphBacillus!$E$37*Bacillus!I282+GraphBacillus!$E$38</f>
        <v>0.3592827300153596</v>
      </c>
      <c r="U282" s="10">
        <f>GraphBacillus!$I$37*Bacillus!I282+GraphBacillus!$I$38</f>
        <v>6.0416630140067262E-2</v>
      </c>
    </row>
    <row r="283" spans="1:21" x14ac:dyDescent="0.2">
      <c r="A283" s="2" t="s">
        <v>1236</v>
      </c>
      <c r="B283" s="2" t="s">
        <v>1237</v>
      </c>
      <c r="C283" s="1">
        <v>4342</v>
      </c>
      <c r="D283" s="1" t="s">
        <v>44</v>
      </c>
      <c r="E283" s="1" t="s">
        <v>164</v>
      </c>
      <c r="F283" s="1"/>
      <c r="G283" s="1"/>
      <c r="H283" s="5"/>
      <c r="I283" s="5">
        <v>100</v>
      </c>
      <c r="J283" s="9">
        <f>2.01</f>
        <v>2.0099999999999998</v>
      </c>
      <c r="K283" s="5"/>
      <c r="L283" s="9">
        <f t="shared" si="9"/>
        <v>0.30319605742048883</v>
      </c>
      <c r="M283" s="11">
        <f>GraphBacillus!$B$10-(I283-GraphBacillus!$B$6)/GraphBacillus!$B$5</f>
        <v>0.1750683851365975</v>
      </c>
      <c r="N283" s="1" t="s">
        <v>920</v>
      </c>
      <c r="O283">
        <v>1999</v>
      </c>
      <c r="P283" t="s">
        <v>917</v>
      </c>
      <c r="S283" s="10">
        <f>GraphBacillus!$B$37*Bacillus!I283+GraphBacillus!$B$38</f>
        <v>0.11225308463062955</v>
      </c>
      <c r="T283" s="10">
        <f>GraphBacillus!$E$37*Bacillus!I283+GraphBacillus!$E$38</f>
        <v>0.23312293957895225</v>
      </c>
      <c r="U283" s="10">
        <f>GraphBacillus!$I$37*Bacillus!I283+GraphBacillus!$I$38</f>
        <v>-9.0547291552894649E-2</v>
      </c>
    </row>
    <row r="284" spans="1:21" x14ac:dyDescent="0.2">
      <c r="A284" s="2" t="s">
        <v>1236</v>
      </c>
      <c r="B284" s="2" t="s">
        <v>1237</v>
      </c>
      <c r="C284" s="1">
        <v>4342</v>
      </c>
      <c r="D284" s="1" t="s">
        <v>44</v>
      </c>
      <c r="E284" s="1" t="s">
        <v>164</v>
      </c>
      <c r="F284" s="1"/>
      <c r="G284" s="1"/>
      <c r="H284" s="5"/>
      <c r="I284" s="5">
        <v>102</v>
      </c>
      <c r="J284" s="9">
        <v>1.22</v>
      </c>
      <c r="K284" s="5"/>
      <c r="L284" s="9">
        <f t="shared" si="9"/>
        <v>8.6359830674748214E-2</v>
      </c>
      <c r="M284" s="11">
        <f>GraphBacillus!$B$10-(I284-GraphBacillus!$B$6)/GraphBacillus!$B$5</f>
        <v>1.9373971445481031E-2</v>
      </c>
      <c r="N284" s="1" t="s">
        <v>920</v>
      </c>
      <c r="O284">
        <v>1999</v>
      </c>
      <c r="P284" t="s">
        <v>917</v>
      </c>
      <c r="S284" s="10">
        <f>GraphBacillus!$B$37*Bacillus!I284+GraphBacillus!$B$38</f>
        <v>-2.1006460690139228E-2</v>
      </c>
      <c r="T284" s="10">
        <f>GraphBacillus!$E$37*Bacillus!I284+GraphBacillus!$E$38</f>
        <v>0.10696314914254401</v>
      </c>
      <c r="U284" s="10">
        <f>GraphBacillus!$I$37*Bacillus!I284+GraphBacillus!$I$38</f>
        <v>-0.24151121324585656</v>
      </c>
    </row>
    <row r="285" spans="1:21" x14ac:dyDescent="0.2">
      <c r="A285" s="2" t="s">
        <v>1236</v>
      </c>
      <c r="B285" s="2" t="s">
        <v>1237</v>
      </c>
      <c r="C285" s="1">
        <v>4342</v>
      </c>
      <c r="D285" s="1" t="s">
        <v>44</v>
      </c>
      <c r="E285" s="1" t="s">
        <v>164</v>
      </c>
      <c r="F285" s="1"/>
      <c r="G285" s="1"/>
      <c r="H285" s="5"/>
      <c r="I285" s="5">
        <v>106</v>
      </c>
      <c r="J285" s="9">
        <v>0.33</v>
      </c>
      <c r="K285" s="5"/>
      <c r="L285" s="9">
        <f t="shared" si="9"/>
        <v>-0.48148606012211248</v>
      </c>
      <c r="M285" s="11">
        <f>GraphBacillus!$B$10-(I285-GraphBacillus!$B$6)/GraphBacillus!$B$5</f>
        <v>-0.29201485593675214</v>
      </c>
      <c r="N285" s="1" t="s">
        <v>920</v>
      </c>
      <c r="O285">
        <v>1999</v>
      </c>
      <c r="P285" t="s">
        <v>917</v>
      </c>
      <c r="S285" s="10">
        <f>GraphBacillus!$B$37*Bacillus!I285+GraphBacillus!$B$38</f>
        <v>-0.28752555133167679</v>
      </c>
      <c r="T285" s="10">
        <f>GraphBacillus!$E$37*Bacillus!I285+GraphBacillus!$E$38</f>
        <v>-0.14535643173027069</v>
      </c>
      <c r="U285" s="10">
        <f>GraphBacillus!$I$37*Bacillus!I285+GraphBacillus!$I$38</f>
        <v>-0.54343905663178038</v>
      </c>
    </row>
    <row r="286" spans="1:21" x14ac:dyDescent="0.2">
      <c r="A286" s="2" t="s">
        <v>1236</v>
      </c>
      <c r="B286" s="2" t="s">
        <v>1237</v>
      </c>
      <c r="C286" s="1">
        <v>4342</v>
      </c>
      <c r="D286" s="1" t="s">
        <v>44</v>
      </c>
      <c r="E286" s="1" t="s">
        <v>164</v>
      </c>
      <c r="F286" s="1"/>
      <c r="G286" s="1"/>
      <c r="H286" s="5"/>
      <c r="I286" s="5">
        <v>110</v>
      </c>
      <c r="J286" s="9">
        <v>0.08</v>
      </c>
      <c r="K286" s="5"/>
      <c r="L286" s="9">
        <f t="shared" ref="L286:L317" si="10">LOG(J286)</f>
        <v>-1.0969100130080565</v>
      </c>
      <c r="M286" s="11">
        <f>GraphBacillus!$B$10-(I286-GraphBacillus!$B$6)/GraphBacillus!$B$5</f>
        <v>-0.6034036833189852</v>
      </c>
      <c r="N286" s="1" t="s">
        <v>920</v>
      </c>
      <c r="O286">
        <v>1999</v>
      </c>
      <c r="P286" t="s">
        <v>917</v>
      </c>
      <c r="S286" s="10">
        <f>GraphBacillus!$B$37*Bacillus!I286+GraphBacillus!$B$38</f>
        <v>-0.55404464197321435</v>
      </c>
      <c r="T286" s="10">
        <f>GraphBacillus!$E$37*Bacillus!I286+GraphBacillus!$E$38</f>
        <v>-0.39767601260308627</v>
      </c>
      <c r="U286" s="10">
        <f>GraphBacillus!$I$37*Bacillus!I286+GraphBacillus!$I$38</f>
        <v>-0.84536690001770243</v>
      </c>
    </row>
    <row r="287" spans="1:21" x14ac:dyDescent="0.2">
      <c r="A287" s="2" t="s">
        <v>1236</v>
      </c>
      <c r="B287" s="2" t="s">
        <v>1237</v>
      </c>
      <c r="C287" s="1">
        <v>4342</v>
      </c>
      <c r="D287" s="1" t="s">
        <v>44</v>
      </c>
      <c r="E287" s="1" t="s">
        <v>164</v>
      </c>
      <c r="F287" s="1"/>
      <c r="G287" s="1"/>
      <c r="H287" s="5"/>
      <c r="I287" s="5">
        <v>114</v>
      </c>
      <c r="J287" s="9">
        <v>2.7E-2</v>
      </c>
      <c r="K287" s="5"/>
      <c r="L287" s="9">
        <f t="shared" si="10"/>
        <v>-1.5686362358410126</v>
      </c>
      <c r="M287" s="11">
        <f>GraphBacillus!$B$10-(I287-GraphBacillus!$B$6)/GraphBacillus!$B$5</f>
        <v>-0.91479251070121825</v>
      </c>
      <c r="N287" s="1" t="s">
        <v>920</v>
      </c>
      <c r="O287">
        <v>1999</v>
      </c>
      <c r="P287" t="s">
        <v>917</v>
      </c>
      <c r="S287" s="10">
        <f>GraphBacillus!$B$37*Bacillus!I287+GraphBacillus!$B$38</f>
        <v>-0.82056373261475279</v>
      </c>
      <c r="T287" s="10">
        <f>GraphBacillus!$E$37*Bacillus!I287+GraphBacillus!$E$38</f>
        <v>-0.64999559347590186</v>
      </c>
      <c r="U287" s="10">
        <f>GraphBacillus!$I$37*Bacillus!I287+GraphBacillus!$I$38</f>
        <v>-1.1472947434036262</v>
      </c>
    </row>
    <row r="288" spans="1:21" x14ac:dyDescent="0.2">
      <c r="A288" s="2" t="s">
        <v>1236</v>
      </c>
      <c r="B288" s="2" t="s">
        <v>1237</v>
      </c>
      <c r="C288" s="1">
        <v>4342</v>
      </c>
      <c r="D288" s="1" t="s">
        <v>44</v>
      </c>
      <c r="E288" s="1" t="s">
        <v>164</v>
      </c>
      <c r="F288" s="1"/>
      <c r="G288" s="1"/>
      <c r="H288" s="5"/>
      <c r="I288" s="5">
        <v>98</v>
      </c>
      <c r="J288" s="9">
        <v>9.61</v>
      </c>
      <c r="K288" s="5"/>
      <c r="L288" s="9">
        <f t="shared" si="10"/>
        <v>0.98272338766854528</v>
      </c>
      <c r="M288" s="11">
        <f>GraphBacillus!$B$10-(I288-GraphBacillus!$B$6)/GraphBacillus!$B$5</f>
        <v>0.33076279882771398</v>
      </c>
      <c r="N288" s="1" t="s">
        <v>920</v>
      </c>
      <c r="O288">
        <v>1999</v>
      </c>
      <c r="P288" t="s">
        <v>918</v>
      </c>
      <c r="S288" s="10">
        <f>GraphBacillus!$B$37*Bacillus!I288+GraphBacillus!$B$38</f>
        <v>0.24551262995139833</v>
      </c>
      <c r="T288" s="10">
        <f>GraphBacillus!$E$37*Bacillus!I288+GraphBacillus!$E$38</f>
        <v>0.3592827300153596</v>
      </c>
      <c r="U288" s="10">
        <f>GraphBacillus!$I$37*Bacillus!I288+GraphBacillus!$I$38</f>
        <v>6.0416630140067262E-2</v>
      </c>
    </row>
    <row r="289" spans="1:21" x14ac:dyDescent="0.2">
      <c r="A289" s="2" t="s">
        <v>1236</v>
      </c>
      <c r="B289" s="2" t="s">
        <v>1237</v>
      </c>
      <c r="C289" s="1">
        <v>4342</v>
      </c>
      <c r="D289" s="1" t="s">
        <v>44</v>
      </c>
      <c r="E289" s="1" t="s">
        <v>164</v>
      </c>
      <c r="F289" s="1"/>
      <c r="G289" s="1"/>
      <c r="H289" s="5"/>
      <c r="I289" s="5">
        <v>100</v>
      </c>
      <c r="J289" s="9">
        <f>4.57</f>
        <v>4.57</v>
      </c>
      <c r="K289" s="5"/>
      <c r="L289" s="9">
        <f t="shared" si="10"/>
        <v>0.6599162000698503</v>
      </c>
      <c r="M289" s="11">
        <f>GraphBacillus!$B$10-(I289-GraphBacillus!$B$6)/GraphBacillus!$B$5</f>
        <v>0.1750683851365975</v>
      </c>
      <c r="N289" s="1" t="s">
        <v>920</v>
      </c>
      <c r="O289">
        <v>1999</v>
      </c>
      <c r="P289" t="s">
        <v>918</v>
      </c>
      <c r="S289" s="10">
        <f>GraphBacillus!$B$37*Bacillus!I289+GraphBacillus!$B$38</f>
        <v>0.11225308463062955</v>
      </c>
      <c r="T289" s="10">
        <f>GraphBacillus!$E$37*Bacillus!I289+GraphBacillus!$E$38</f>
        <v>0.23312293957895225</v>
      </c>
      <c r="U289" s="10">
        <f>GraphBacillus!$I$37*Bacillus!I289+GraphBacillus!$I$38</f>
        <v>-9.0547291552894649E-2</v>
      </c>
    </row>
    <row r="290" spans="1:21" x14ac:dyDescent="0.2">
      <c r="A290" s="2" t="s">
        <v>1236</v>
      </c>
      <c r="B290" s="2" t="s">
        <v>1237</v>
      </c>
      <c r="C290" s="1">
        <v>4342</v>
      </c>
      <c r="D290" s="1" t="s">
        <v>44</v>
      </c>
      <c r="E290" s="1" t="s">
        <v>164</v>
      </c>
      <c r="F290" s="1"/>
      <c r="G290" s="1"/>
      <c r="H290" s="5"/>
      <c r="I290" s="5">
        <v>102</v>
      </c>
      <c r="J290" s="9">
        <v>2.11</v>
      </c>
      <c r="K290" s="5"/>
      <c r="L290" s="9">
        <f t="shared" si="10"/>
        <v>0.32428245529769262</v>
      </c>
      <c r="M290" s="11">
        <f>GraphBacillus!$B$10-(I290-GraphBacillus!$B$6)/GraphBacillus!$B$5</f>
        <v>1.9373971445481031E-2</v>
      </c>
      <c r="N290" s="1" t="s">
        <v>920</v>
      </c>
      <c r="O290">
        <v>1999</v>
      </c>
      <c r="P290" t="s">
        <v>918</v>
      </c>
      <c r="S290" s="10">
        <f>GraphBacillus!$B$37*Bacillus!I290+GraphBacillus!$B$38</f>
        <v>-2.1006460690139228E-2</v>
      </c>
      <c r="T290" s="10">
        <f>GraphBacillus!$E$37*Bacillus!I290+GraphBacillus!$E$38</f>
        <v>0.10696314914254401</v>
      </c>
      <c r="U290" s="10">
        <f>GraphBacillus!$I$37*Bacillus!I290+GraphBacillus!$I$38</f>
        <v>-0.24151121324585656</v>
      </c>
    </row>
    <row r="291" spans="1:21" x14ac:dyDescent="0.2">
      <c r="A291" s="2" t="s">
        <v>1236</v>
      </c>
      <c r="B291" s="2" t="s">
        <v>1237</v>
      </c>
      <c r="C291" s="1">
        <v>4342</v>
      </c>
      <c r="D291" s="1" t="s">
        <v>44</v>
      </c>
      <c r="E291" s="1" t="s">
        <v>164</v>
      </c>
      <c r="F291" s="1"/>
      <c r="G291" s="1"/>
      <c r="H291" s="5"/>
      <c r="I291" s="5">
        <v>106</v>
      </c>
      <c r="J291" s="9">
        <v>0.55000000000000004</v>
      </c>
      <c r="K291" s="5"/>
      <c r="L291" s="9">
        <f t="shared" si="10"/>
        <v>-0.25963731050575611</v>
      </c>
      <c r="M291" s="11">
        <f>GraphBacillus!$B$10-(I291-GraphBacillus!$B$6)/GraphBacillus!$B$5</f>
        <v>-0.29201485593675214</v>
      </c>
      <c r="N291" s="1" t="s">
        <v>920</v>
      </c>
      <c r="O291">
        <v>1999</v>
      </c>
      <c r="P291" t="s">
        <v>918</v>
      </c>
      <c r="S291" s="10">
        <f>GraphBacillus!$B$37*Bacillus!I291+GraphBacillus!$B$38</f>
        <v>-0.28752555133167679</v>
      </c>
      <c r="T291" s="10">
        <f>GraphBacillus!$E$37*Bacillus!I291+GraphBacillus!$E$38</f>
        <v>-0.14535643173027069</v>
      </c>
      <c r="U291" s="10">
        <f>GraphBacillus!$I$37*Bacillus!I291+GraphBacillus!$I$38</f>
        <v>-0.54343905663178038</v>
      </c>
    </row>
    <row r="292" spans="1:21" x14ac:dyDescent="0.2">
      <c r="A292" s="2" t="s">
        <v>1236</v>
      </c>
      <c r="B292" s="2" t="s">
        <v>1237</v>
      </c>
      <c r="C292" s="1">
        <v>4342</v>
      </c>
      <c r="D292" s="1" t="s">
        <v>44</v>
      </c>
      <c r="E292" s="1" t="s">
        <v>164</v>
      </c>
      <c r="F292" s="1"/>
      <c r="G292" s="1"/>
      <c r="H292" s="5"/>
      <c r="I292" s="5">
        <v>110</v>
      </c>
      <c r="J292" s="9">
        <v>0.18</v>
      </c>
      <c r="K292" s="5"/>
      <c r="L292" s="9">
        <f t="shared" si="10"/>
        <v>-0.74472749489669399</v>
      </c>
      <c r="M292" s="11">
        <f>GraphBacillus!$B$10-(I292-GraphBacillus!$B$6)/GraphBacillus!$B$5</f>
        <v>-0.6034036833189852</v>
      </c>
      <c r="N292" s="1" t="s">
        <v>920</v>
      </c>
      <c r="O292">
        <v>1999</v>
      </c>
      <c r="P292" t="s">
        <v>918</v>
      </c>
      <c r="S292" s="10">
        <f>GraphBacillus!$B$37*Bacillus!I292+GraphBacillus!$B$38</f>
        <v>-0.55404464197321435</v>
      </c>
      <c r="T292" s="10">
        <f>GraphBacillus!$E$37*Bacillus!I292+GraphBacillus!$E$38</f>
        <v>-0.39767601260308627</v>
      </c>
      <c r="U292" s="10">
        <f>GraphBacillus!$I$37*Bacillus!I292+GraphBacillus!$I$38</f>
        <v>-0.84536690001770243</v>
      </c>
    </row>
    <row r="293" spans="1:21" x14ac:dyDescent="0.2">
      <c r="A293" s="2" t="s">
        <v>1236</v>
      </c>
      <c r="B293" s="2" t="s">
        <v>1237</v>
      </c>
      <c r="C293" s="1">
        <v>4342</v>
      </c>
      <c r="D293" s="1" t="s">
        <v>44</v>
      </c>
      <c r="E293" s="1" t="s">
        <v>164</v>
      </c>
      <c r="F293" s="1"/>
      <c r="G293" s="1"/>
      <c r="H293" s="5"/>
      <c r="I293" s="5">
        <v>114</v>
      </c>
      <c r="J293" s="9">
        <v>0.06</v>
      </c>
      <c r="K293" s="5"/>
      <c r="L293" s="9">
        <f t="shared" si="10"/>
        <v>-1.2218487496163564</v>
      </c>
      <c r="M293" s="11">
        <f>GraphBacillus!$B$10-(I293-GraphBacillus!$B$6)/GraphBacillus!$B$5</f>
        <v>-0.91479251070121825</v>
      </c>
      <c r="N293" s="1" t="s">
        <v>920</v>
      </c>
      <c r="O293">
        <v>1999</v>
      </c>
      <c r="P293" t="s">
        <v>918</v>
      </c>
      <c r="S293" s="10">
        <f>GraphBacillus!$B$37*Bacillus!I293+GraphBacillus!$B$38</f>
        <v>-0.82056373261475279</v>
      </c>
      <c r="T293" s="10">
        <f>GraphBacillus!$E$37*Bacillus!I293+GraphBacillus!$E$38</f>
        <v>-0.64999559347590186</v>
      </c>
      <c r="U293" s="10">
        <f>GraphBacillus!$I$37*Bacillus!I293+GraphBacillus!$I$38</f>
        <v>-1.1472947434036262</v>
      </c>
    </row>
    <row r="294" spans="1:21" x14ac:dyDescent="0.2">
      <c r="A294" s="2" t="s">
        <v>1236</v>
      </c>
      <c r="B294" s="2" t="s">
        <v>1237</v>
      </c>
      <c r="C294" s="1">
        <v>4342</v>
      </c>
      <c r="D294" s="1" t="s">
        <v>44</v>
      </c>
      <c r="E294" s="1" t="s">
        <v>164</v>
      </c>
      <c r="F294" s="1"/>
      <c r="G294" s="1"/>
      <c r="H294" s="5"/>
      <c r="I294" s="5">
        <v>98</v>
      </c>
      <c r="J294" s="9">
        <v>10.7</v>
      </c>
      <c r="K294" s="5"/>
      <c r="L294" s="9">
        <f t="shared" si="10"/>
        <v>1.0293837776852097</v>
      </c>
      <c r="M294" s="11">
        <f>GraphBacillus!$B$10-(I294-GraphBacillus!$B$6)/GraphBacillus!$B$5</f>
        <v>0.33076279882771398</v>
      </c>
      <c r="N294" s="1" t="s">
        <v>920</v>
      </c>
      <c r="O294">
        <v>1999</v>
      </c>
      <c r="P294" t="s">
        <v>919</v>
      </c>
      <c r="S294" s="10">
        <f>GraphBacillus!$B$37*Bacillus!I294+GraphBacillus!$B$38</f>
        <v>0.24551262995139833</v>
      </c>
      <c r="T294" s="10">
        <f>GraphBacillus!$E$37*Bacillus!I294+GraphBacillus!$E$38</f>
        <v>0.3592827300153596</v>
      </c>
      <c r="U294" s="10">
        <f>GraphBacillus!$I$37*Bacillus!I294+GraphBacillus!$I$38</f>
        <v>6.0416630140067262E-2</v>
      </c>
    </row>
    <row r="295" spans="1:21" x14ac:dyDescent="0.2">
      <c r="A295" s="2" t="s">
        <v>1236</v>
      </c>
      <c r="B295" s="2" t="s">
        <v>1237</v>
      </c>
      <c r="C295" s="1">
        <v>4342</v>
      </c>
      <c r="D295" s="1" t="s">
        <v>44</v>
      </c>
      <c r="E295" s="1" t="s">
        <v>164</v>
      </c>
      <c r="F295" s="1"/>
      <c r="G295" s="1"/>
      <c r="H295" s="5"/>
      <c r="I295" s="5">
        <v>100</v>
      </c>
      <c r="J295" s="9">
        <f>5.03</f>
        <v>5.03</v>
      </c>
      <c r="K295" s="5"/>
      <c r="L295" s="9">
        <f t="shared" si="10"/>
        <v>0.70156798505592743</v>
      </c>
      <c r="M295" s="11">
        <f>GraphBacillus!$B$10-(I295-GraphBacillus!$B$6)/GraphBacillus!$B$5</f>
        <v>0.1750683851365975</v>
      </c>
      <c r="N295" s="1" t="s">
        <v>920</v>
      </c>
      <c r="O295">
        <v>1999</v>
      </c>
      <c r="P295" t="s">
        <v>919</v>
      </c>
      <c r="S295" s="10">
        <f>GraphBacillus!$B$37*Bacillus!I295+GraphBacillus!$B$38</f>
        <v>0.11225308463062955</v>
      </c>
      <c r="T295" s="10">
        <f>GraphBacillus!$E$37*Bacillus!I295+GraphBacillus!$E$38</f>
        <v>0.23312293957895225</v>
      </c>
      <c r="U295" s="10">
        <f>GraphBacillus!$I$37*Bacillus!I295+GraphBacillus!$I$38</f>
        <v>-9.0547291552894649E-2</v>
      </c>
    </row>
    <row r="296" spans="1:21" x14ac:dyDescent="0.2">
      <c r="A296" s="2" t="s">
        <v>1236</v>
      </c>
      <c r="B296" s="2" t="s">
        <v>1237</v>
      </c>
      <c r="C296" s="1">
        <v>4342</v>
      </c>
      <c r="D296" s="1" t="s">
        <v>44</v>
      </c>
      <c r="E296" s="1" t="s">
        <v>164</v>
      </c>
      <c r="F296" s="1"/>
      <c r="G296" s="1"/>
      <c r="H296" s="5"/>
      <c r="I296" s="5">
        <v>102</v>
      </c>
      <c r="J296" s="9">
        <v>2.33</v>
      </c>
      <c r="K296" s="5"/>
      <c r="L296" s="9">
        <f t="shared" si="10"/>
        <v>0.36735592102601899</v>
      </c>
      <c r="M296" s="11">
        <f>GraphBacillus!$B$10-(I296-GraphBacillus!$B$6)/GraphBacillus!$B$5</f>
        <v>1.9373971445481031E-2</v>
      </c>
      <c r="N296" s="1" t="s">
        <v>920</v>
      </c>
      <c r="O296">
        <v>1999</v>
      </c>
      <c r="P296" t="s">
        <v>919</v>
      </c>
      <c r="S296" s="10">
        <f>GraphBacillus!$B$37*Bacillus!I296+GraphBacillus!$B$38</f>
        <v>-2.1006460690139228E-2</v>
      </c>
      <c r="T296" s="10">
        <f>GraphBacillus!$E$37*Bacillus!I296+GraphBacillus!$E$38</f>
        <v>0.10696314914254401</v>
      </c>
      <c r="U296" s="10">
        <f>GraphBacillus!$I$37*Bacillus!I296+GraphBacillus!$I$38</f>
        <v>-0.24151121324585656</v>
      </c>
    </row>
    <row r="297" spans="1:21" x14ac:dyDescent="0.2">
      <c r="A297" s="2" t="s">
        <v>1236</v>
      </c>
      <c r="B297" s="2" t="s">
        <v>1237</v>
      </c>
      <c r="C297" s="1">
        <v>4342</v>
      </c>
      <c r="D297" s="1" t="s">
        <v>44</v>
      </c>
      <c r="E297" s="1" t="s">
        <v>164</v>
      </c>
      <c r="F297" s="1"/>
      <c r="G297" s="1"/>
      <c r="H297" s="5"/>
      <c r="I297" s="5">
        <v>106</v>
      </c>
      <c r="J297" s="9">
        <v>0.65</v>
      </c>
      <c r="K297" s="5"/>
      <c r="L297" s="9">
        <f t="shared" si="10"/>
        <v>-0.18708664335714442</v>
      </c>
      <c r="M297" s="11">
        <f>GraphBacillus!$B$10-(I297-GraphBacillus!$B$6)/GraphBacillus!$B$5</f>
        <v>-0.29201485593675214</v>
      </c>
      <c r="N297" s="1" t="s">
        <v>920</v>
      </c>
      <c r="O297">
        <v>1999</v>
      </c>
      <c r="P297" t="s">
        <v>919</v>
      </c>
      <c r="S297" s="10">
        <f>GraphBacillus!$B$37*Bacillus!I297+GraphBacillus!$B$38</f>
        <v>-0.28752555133167679</v>
      </c>
      <c r="T297" s="10">
        <f>GraphBacillus!$E$37*Bacillus!I297+GraphBacillus!$E$38</f>
        <v>-0.14535643173027069</v>
      </c>
      <c r="U297" s="10">
        <f>GraphBacillus!$I$37*Bacillus!I297+GraphBacillus!$I$38</f>
        <v>-0.54343905663178038</v>
      </c>
    </row>
    <row r="298" spans="1:21" x14ac:dyDescent="0.2">
      <c r="A298" s="2" t="s">
        <v>1236</v>
      </c>
      <c r="B298" s="2" t="s">
        <v>1237</v>
      </c>
      <c r="C298" s="1">
        <v>4342</v>
      </c>
      <c r="D298" s="1" t="s">
        <v>44</v>
      </c>
      <c r="E298" s="1" t="s">
        <v>164</v>
      </c>
      <c r="F298" s="1"/>
      <c r="G298" s="1"/>
      <c r="H298" s="5"/>
      <c r="I298" s="5">
        <v>110</v>
      </c>
      <c r="J298" s="9">
        <v>0.23</v>
      </c>
      <c r="K298" s="5"/>
      <c r="L298" s="9">
        <f t="shared" si="10"/>
        <v>-0.63827216398240705</v>
      </c>
      <c r="M298" s="11">
        <f>GraphBacillus!$B$10-(I298-GraphBacillus!$B$6)/GraphBacillus!$B$5</f>
        <v>-0.6034036833189852</v>
      </c>
      <c r="N298" s="1" t="s">
        <v>920</v>
      </c>
      <c r="O298">
        <v>1999</v>
      </c>
      <c r="P298" t="s">
        <v>919</v>
      </c>
      <c r="S298" s="10">
        <f>GraphBacillus!$B$37*Bacillus!I298+GraphBacillus!$B$38</f>
        <v>-0.55404464197321435</v>
      </c>
      <c r="T298" s="10">
        <f>GraphBacillus!$E$37*Bacillus!I298+GraphBacillus!$E$38</f>
        <v>-0.39767601260308627</v>
      </c>
      <c r="U298" s="10">
        <f>GraphBacillus!$I$37*Bacillus!I298+GraphBacillus!$I$38</f>
        <v>-0.84536690001770243</v>
      </c>
    </row>
    <row r="299" spans="1:21" x14ac:dyDescent="0.2">
      <c r="A299" s="2" t="s">
        <v>1236</v>
      </c>
      <c r="B299" s="2" t="s">
        <v>1237</v>
      </c>
      <c r="C299" s="1">
        <v>4342</v>
      </c>
      <c r="D299" s="1" t="s">
        <v>44</v>
      </c>
      <c r="E299" s="1" t="s">
        <v>164</v>
      </c>
      <c r="F299" s="1"/>
      <c r="G299" s="1"/>
      <c r="H299" s="5"/>
      <c r="I299" s="5">
        <v>114</v>
      </c>
      <c r="J299" s="9">
        <v>0.06</v>
      </c>
      <c r="K299" s="5"/>
      <c r="L299" s="9">
        <f t="shared" si="10"/>
        <v>-1.2218487496163564</v>
      </c>
      <c r="M299" s="11">
        <f>GraphBacillus!$B$10-(I299-GraphBacillus!$B$6)/GraphBacillus!$B$5</f>
        <v>-0.91479251070121825</v>
      </c>
      <c r="N299" s="1" t="s">
        <v>920</v>
      </c>
      <c r="O299">
        <v>1999</v>
      </c>
      <c r="P299" t="s">
        <v>919</v>
      </c>
      <c r="S299" s="10">
        <f>GraphBacillus!$B$37*Bacillus!I299+GraphBacillus!$B$38</f>
        <v>-0.82056373261475279</v>
      </c>
      <c r="T299" s="10">
        <f>GraphBacillus!$E$37*Bacillus!I299+GraphBacillus!$E$38</f>
        <v>-0.64999559347590186</v>
      </c>
      <c r="U299" s="10">
        <f>GraphBacillus!$I$37*Bacillus!I299+GraphBacillus!$I$38</f>
        <v>-1.1472947434036262</v>
      </c>
    </row>
    <row r="300" spans="1:21" x14ac:dyDescent="0.2">
      <c r="A300" s="2" t="s">
        <v>1236</v>
      </c>
      <c r="B300" s="2" t="s">
        <v>1237</v>
      </c>
      <c r="C300" s="1">
        <v>7004</v>
      </c>
      <c r="D300" s="1" t="s">
        <v>44</v>
      </c>
      <c r="E300" s="1" t="s">
        <v>164</v>
      </c>
      <c r="F300" s="1"/>
      <c r="G300" s="1"/>
      <c r="H300" s="5"/>
      <c r="I300" s="5">
        <v>92</v>
      </c>
      <c r="J300" s="9">
        <v>0.63</v>
      </c>
      <c r="K300" s="5"/>
      <c r="L300" s="9">
        <f t="shared" si="10"/>
        <v>-0.20065945054641829</v>
      </c>
      <c r="M300" s="11">
        <f>GraphBacillus!$B$10-(I300-GraphBacillus!$B$6)/GraphBacillus!$B$5</f>
        <v>0.79784603990106362</v>
      </c>
      <c r="N300" s="1" t="s">
        <v>920</v>
      </c>
      <c r="O300">
        <v>1999</v>
      </c>
      <c r="P300" t="s">
        <v>914</v>
      </c>
      <c r="S300" s="10">
        <f>GraphBacillus!$B$37*Bacillus!I300+GraphBacillus!$B$38</f>
        <v>0.64529126591370467</v>
      </c>
      <c r="T300" s="10">
        <f>GraphBacillus!$E$37*Bacillus!I300+GraphBacillus!$E$38</f>
        <v>0.73776210132458253</v>
      </c>
      <c r="U300" s="10">
        <f>GraphBacillus!$I$37*Bacillus!I300+GraphBacillus!$I$38</f>
        <v>0.51330839521895211</v>
      </c>
    </row>
    <row r="301" spans="1:21" x14ac:dyDescent="0.2">
      <c r="A301" s="2" t="s">
        <v>1236</v>
      </c>
      <c r="B301" s="2" t="s">
        <v>1237</v>
      </c>
      <c r="C301" s="1">
        <v>7004</v>
      </c>
      <c r="D301" s="1" t="s">
        <v>44</v>
      </c>
      <c r="E301" s="1" t="s">
        <v>164</v>
      </c>
      <c r="F301" s="1"/>
      <c r="G301" s="1"/>
      <c r="H301" s="5"/>
      <c r="I301" s="5">
        <v>96</v>
      </c>
      <c r="J301" s="9">
        <v>0.15</v>
      </c>
      <c r="K301" s="5"/>
      <c r="L301" s="9">
        <f t="shared" si="10"/>
        <v>-0.82390874094431876</v>
      </c>
      <c r="M301" s="11">
        <f>GraphBacillus!$B$10-(I301-GraphBacillus!$B$6)/GraphBacillus!$B$5</f>
        <v>0.48645721251883067</v>
      </c>
      <c r="N301" s="1" t="s">
        <v>920</v>
      </c>
      <c r="O301">
        <v>1999</v>
      </c>
      <c r="P301" t="s">
        <v>914</v>
      </c>
      <c r="S301" s="10">
        <f>GraphBacillus!$B$37*Bacillus!I301+GraphBacillus!$B$38</f>
        <v>0.37877217527216711</v>
      </c>
      <c r="T301" s="10">
        <f>GraphBacillus!$E$37*Bacillus!I301+GraphBacillus!$E$38</f>
        <v>0.48544252045176783</v>
      </c>
      <c r="U301" s="10">
        <f>GraphBacillus!$I$37*Bacillus!I301+GraphBacillus!$I$38</f>
        <v>0.21138055183302829</v>
      </c>
    </row>
    <row r="302" spans="1:21" x14ac:dyDescent="0.2">
      <c r="A302" s="2" t="s">
        <v>1236</v>
      </c>
      <c r="B302" s="2" t="s">
        <v>1237</v>
      </c>
      <c r="C302" s="1">
        <v>7004</v>
      </c>
      <c r="D302" s="1" t="s">
        <v>44</v>
      </c>
      <c r="E302" s="1" t="s">
        <v>164</v>
      </c>
      <c r="F302" s="1"/>
      <c r="G302" s="1"/>
      <c r="H302" s="5"/>
      <c r="I302" s="5">
        <v>100</v>
      </c>
      <c r="J302" s="9">
        <f>0.065</f>
        <v>6.5000000000000002E-2</v>
      </c>
      <c r="K302" s="5"/>
      <c r="L302" s="9">
        <f t="shared" si="10"/>
        <v>-1.1870866433571443</v>
      </c>
      <c r="M302" s="11">
        <f>GraphBacillus!$B$10-(I302-GraphBacillus!$B$6)/GraphBacillus!$B$5</f>
        <v>0.1750683851365975</v>
      </c>
      <c r="N302" s="1" t="s">
        <v>920</v>
      </c>
      <c r="O302">
        <v>1999</v>
      </c>
      <c r="P302" t="s">
        <v>914</v>
      </c>
      <c r="S302" s="10">
        <f>GraphBacillus!$B$37*Bacillus!I302+GraphBacillus!$B$38</f>
        <v>0.11225308463062955</v>
      </c>
      <c r="T302" s="10">
        <f>GraphBacillus!$E$37*Bacillus!I302+GraphBacillus!$E$38</f>
        <v>0.23312293957895225</v>
      </c>
      <c r="U302" s="10">
        <f>GraphBacillus!$I$37*Bacillus!I302+GraphBacillus!$I$38</f>
        <v>-9.0547291552894649E-2</v>
      </c>
    </row>
    <row r="303" spans="1:21" x14ac:dyDescent="0.2">
      <c r="A303" s="2" t="s">
        <v>1236</v>
      </c>
      <c r="B303" s="2" t="s">
        <v>1237</v>
      </c>
      <c r="C303" s="1">
        <v>7004</v>
      </c>
      <c r="D303" s="1" t="s">
        <v>44</v>
      </c>
      <c r="E303" s="1" t="s">
        <v>164</v>
      </c>
      <c r="F303" s="1"/>
      <c r="G303" s="1"/>
      <c r="H303" s="5"/>
      <c r="I303" s="5">
        <v>102</v>
      </c>
      <c r="J303" s="9">
        <v>3.3000000000000002E-2</v>
      </c>
      <c r="K303" s="5"/>
      <c r="L303" s="9">
        <f t="shared" si="10"/>
        <v>-1.4814860601221125</v>
      </c>
      <c r="M303" s="11">
        <f>GraphBacillus!$B$10-(I303-GraphBacillus!$B$6)/GraphBacillus!$B$5</f>
        <v>1.9373971445481031E-2</v>
      </c>
      <c r="N303" s="1" t="s">
        <v>920</v>
      </c>
      <c r="O303">
        <v>1999</v>
      </c>
      <c r="P303" t="s">
        <v>914</v>
      </c>
      <c r="S303" s="10">
        <f>GraphBacillus!$B$37*Bacillus!I303+GraphBacillus!$B$38</f>
        <v>-2.1006460690139228E-2</v>
      </c>
      <c r="T303" s="10">
        <f>GraphBacillus!$E$37*Bacillus!I303+GraphBacillus!$E$38</f>
        <v>0.10696314914254401</v>
      </c>
      <c r="U303" s="10">
        <f>GraphBacillus!$I$37*Bacillus!I303+GraphBacillus!$I$38</f>
        <v>-0.24151121324585656</v>
      </c>
    </row>
    <row r="304" spans="1:21" x14ac:dyDescent="0.2">
      <c r="A304" s="2" t="s">
        <v>1236</v>
      </c>
      <c r="B304" s="2" t="s">
        <v>1237</v>
      </c>
      <c r="C304" s="1">
        <v>7004</v>
      </c>
      <c r="D304" s="1" t="s">
        <v>44</v>
      </c>
      <c r="E304" s="1" t="s">
        <v>164</v>
      </c>
      <c r="F304" s="1"/>
      <c r="G304" s="1"/>
      <c r="H304" s="5"/>
      <c r="I304" s="5">
        <v>92</v>
      </c>
      <c r="J304" s="9">
        <v>0.6</v>
      </c>
      <c r="K304" s="5"/>
      <c r="L304" s="9">
        <f t="shared" si="10"/>
        <v>-0.22184874961635639</v>
      </c>
      <c r="M304" s="11">
        <f>GraphBacillus!$B$10-(I304-GraphBacillus!$B$6)/GraphBacillus!$B$5</f>
        <v>0.79784603990106362</v>
      </c>
      <c r="N304" s="1" t="s">
        <v>920</v>
      </c>
      <c r="O304">
        <v>1999</v>
      </c>
      <c r="P304" t="s">
        <v>915</v>
      </c>
      <c r="S304" s="10">
        <f>GraphBacillus!$B$37*Bacillus!I304+GraphBacillus!$B$38</f>
        <v>0.64529126591370467</v>
      </c>
      <c r="T304" s="10">
        <f>GraphBacillus!$E$37*Bacillus!I304+GraphBacillus!$E$38</f>
        <v>0.73776210132458253</v>
      </c>
      <c r="U304" s="10">
        <f>GraphBacillus!$I$37*Bacillus!I304+GraphBacillus!$I$38</f>
        <v>0.51330839521895211</v>
      </c>
    </row>
    <row r="305" spans="1:21" x14ac:dyDescent="0.2">
      <c r="A305" s="2" t="s">
        <v>1236</v>
      </c>
      <c r="B305" s="2" t="s">
        <v>1237</v>
      </c>
      <c r="C305" s="1">
        <v>7004</v>
      </c>
      <c r="D305" s="1" t="s">
        <v>44</v>
      </c>
      <c r="E305" s="1" t="s">
        <v>164</v>
      </c>
      <c r="F305" s="1"/>
      <c r="G305" s="1"/>
      <c r="H305" s="5"/>
      <c r="I305" s="5">
        <v>96</v>
      </c>
      <c r="J305" s="9">
        <v>0.16</v>
      </c>
      <c r="K305" s="5"/>
      <c r="L305" s="9">
        <f t="shared" si="10"/>
        <v>-0.79588001734407521</v>
      </c>
      <c r="M305" s="11">
        <f>GraphBacillus!$B$10-(I305-GraphBacillus!$B$6)/GraphBacillus!$B$5</f>
        <v>0.48645721251883067</v>
      </c>
      <c r="N305" s="1" t="s">
        <v>920</v>
      </c>
      <c r="O305">
        <v>1999</v>
      </c>
      <c r="P305" t="s">
        <v>915</v>
      </c>
      <c r="S305" s="10">
        <f>GraphBacillus!$B$37*Bacillus!I305+GraphBacillus!$B$38</f>
        <v>0.37877217527216711</v>
      </c>
      <c r="T305" s="10">
        <f>GraphBacillus!$E$37*Bacillus!I305+GraphBacillus!$E$38</f>
        <v>0.48544252045176783</v>
      </c>
      <c r="U305" s="10">
        <f>GraphBacillus!$I$37*Bacillus!I305+GraphBacillus!$I$38</f>
        <v>0.21138055183302829</v>
      </c>
    </row>
    <row r="306" spans="1:21" x14ac:dyDescent="0.2">
      <c r="A306" s="2" t="s">
        <v>1236</v>
      </c>
      <c r="B306" s="2" t="s">
        <v>1237</v>
      </c>
      <c r="C306" s="1">
        <v>7004</v>
      </c>
      <c r="D306" s="1" t="s">
        <v>44</v>
      </c>
      <c r="E306" s="1" t="s">
        <v>164</v>
      </c>
      <c r="F306" s="1"/>
      <c r="G306" s="1"/>
      <c r="H306" s="5"/>
      <c r="I306" s="5">
        <v>100</v>
      </c>
      <c r="J306" s="9">
        <f>0.062</f>
        <v>6.2E-2</v>
      </c>
      <c r="K306" s="5"/>
      <c r="L306" s="9">
        <f t="shared" si="10"/>
        <v>-1.2076083105017461</v>
      </c>
      <c r="M306" s="11">
        <f>GraphBacillus!$B$10-(I306-GraphBacillus!$B$6)/GraphBacillus!$B$5</f>
        <v>0.1750683851365975</v>
      </c>
      <c r="N306" s="1" t="s">
        <v>920</v>
      </c>
      <c r="O306">
        <v>1999</v>
      </c>
      <c r="P306" t="s">
        <v>915</v>
      </c>
      <c r="S306" s="10">
        <f>GraphBacillus!$B$37*Bacillus!I306+GraphBacillus!$B$38</f>
        <v>0.11225308463062955</v>
      </c>
      <c r="T306" s="10">
        <f>GraphBacillus!$E$37*Bacillus!I306+GraphBacillus!$E$38</f>
        <v>0.23312293957895225</v>
      </c>
      <c r="U306" s="10">
        <f>GraphBacillus!$I$37*Bacillus!I306+GraphBacillus!$I$38</f>
        <v>-9.0547291552894649E-2</v>
      </c>
    </row>
    <row r="307" spans="1:21" x14ac:dyDescent="0.2">
      <c r="A307" s="2" t="s">
        <v>1236</v>
      </c>
      <c r="B307" s="2" t="s">
        <v>1237</v>
      </c>
      <c r="C307" s="1">
        <v>7004</v>
      </c>
      <c r="D307" s="1" t="s">
        <v>44</v>
      </c>
      <c r="E307" s="1" t="s">
        <v>164</v>
      </c>
      <c r="F307" s="1"/>
      <c r="G307" s="1"/>
      <c r="H307" s="5"/>
      <c r="I307" s="5">
        <v>102</v>
      </c>
      <c r="J307" s="9">
        <v>3.7999999999999999E-2</v>
      </c>
      <c r="K307" s="5"/>
      <c r="L307" s="9">
        <f t="shared" si="10"/>
        <v>-1.4202164033831899</v>
      </c>
      <c r="M307" s="11">
        <f>GraphBacillus!$B$10-(I307-GraphBacillus!$B$6)/GraphBacillus!$B$5</f>
        <v>1.9373971445481031E-2</v>
      </c>
      <c r="N307" s="1" t="s">
        <v>920</v>
      </c>
      <c r="O307">
        <v>1999</v>
      </c>
      <c r="P307" t="s">
        <v>915</v>
      </c>
      <c r="S307" s="10">
        <f>GraphBacillus!$B$37*Bacillus!I307+GraphBacillus!$B$38</f>
        <v>-2.1006460690139228E-2</v>
      </c>
      <c r="T307" s="10">
        <f>GraphBacillus!$E$37*Bacillus!I307+GraphBacillus!$E$38</f>
        <v>0.10696314914254401</v>
      </c>
      <c r="U307" s="10">
        <f>GraphBacillus!$I$37*Bacillus!I307+GraphBacillus!$I$38</f>
        <v>-0.24151121324585656</v>
      </c>
    </row>
    <row r="308" spans="1:21" x14ac:dyDescent="0.2">
      <c r="A308" s="2" t="s">
        <v>1236</v>
      </c>
      <c r="B308" s="2" t="s">
        <v>1237</v>
      </c>
      <c r="C308" s="1">
        <v>7004</v>
      </c>
      <c r="D308" s="1" t="s">
        <v>44</v>
      </c>
      <c r="E308" s="1" t="s">
        <v>164</v>
      </c>
      <c r="F308" s="1"/>
      <c r="G308" s="1"/>
      <c r="H308" s="5"/>
      <c r="I308" s="5">
        <v>92</v>
      </c>
      <c r="J308" s="9">
        <v>2.82</v>
      </c>
      <c r="K308" s="5"/>
      <c r="L308" s="9">
        <f t="shared" si="10"/>
        <v>0.45024910831936105</v>
      </c>
      <c r="M308" s="11">
        <f>GraphBacillus!$B$10-(I308-GraphBacillus!$B$6)/GraphBacillus!$B$5</f>
        <v>0.79784603990106362</v>
      </c>
      <c r="N308" s="1" t="s">
        <v>920</v>
      </c>
      <c r="O308">
        <v>1999</v>
      </c>
      <c r="P308" t="s">
        <v>916</v>
      </c>
      <c r="S308" s="10">
        <f>GraphBacillus!$B$37*Bacillus!I308+GraphBacillus!$B$38</f>
        <v>0.64529126591370467</v>
      </c>
      <c r="T308" s="10">
        <f>GraphBacillus!$E$37*Bacillus!I308+GraphBacillus!$E$38</f>
        <v>0.73776210132458253</v>
      </c>
      <c r="U308" s="10">
        <f>GraphBacillus!$I$37*Bacillus!I308+GraphBacillus!$I$38</f>
        <v>0.51330839521895211</v>
      </c>
    </row>
    <row r="309" spans="1:21" x14ac:dyDescent="0.2">
      <c r="A309" s="2" t="s">
        <v>1236</v>
      </c>
      <c r="B309" s="2" t="s">
        <v>1237</v>
      </c>
      <c r="C309" s="1">
        <v>7004</v>
      </c>
      <c r="D309" s="1" t="s">
        <v>44</v>
      </c>
      <c r="E309" s="1" t="s">
        <v>164</v>
      </c>
      <c r="F309" s="1"/>
      <c r="G309" s="1"/>
      <c r="H309" s="5"/>
      <c r="I309" s="5">
        <v>96</v>
      </c>
      <c r="J309" s="9">
        <v>0.92</v>
      </c>
      <c r="K309" s="5"/>
      <c r="L309" s="9">
        <f t="shared" si="10"/>
        <v>-3.6212172654444715E-2</v>
      </c>
      <c r="M309" s="11">
        <f>GraphBacillus!$B$10-(I309-GraphBacillus!$B$6)/GraphBacillus!$B$5</f>
        <v>0.48645721251883067</v>
      </c>
      <c r="N309" s="1" t="s">
        <v>920</v>
      </c>
      <c r="O309">
        <v>1999</v>
      </c>
      <c r="P309" t="s">
        <v>916</v>
      </c>
      <c r="S309" s="10">
        <f>GraphBacillus!$B$37*Bacillus!I309+GraphBacillus!$B$38</f>
        <v>0.37877217527216711</v>
      </c>
      <c r="T309" s="10">
        <f>GraphBacillus!$E$37*Bacillus!I309+GraphBacillus!$E$38</f>
        <v>0.48544252045176783</v>
      </c>
      <c r="U309" s="10">
        <f>GraphBacillus!$I$37*Bacillus!I309+GraphBacillus!$I$38</f>
        <v>0.21138055183302829</v>
      </c>
    </row>
    <row r="310" spans="1:21" x14ac:dyDescent="0.2">
      <c r="A310" s="2" t="s">
        <v>1236</v>
      </c>
      <c r="B310" s="2" t="s">
        <v>1237</v>
      </c>
      <c r="C310" s="1">
        <v>7004</v>
      </c>
      <c r="D310" s="1" t="s">
        <v>44</v>
      </c>
      <c r="E310" s="1" t="s">
        <v>164</v>
      </c>
      <c r="F310" s="1"/>
      <c r="G310" s="1"/>
      <c r="H310" s="5"/>
      <c r="I310" s="5">
        <v>100</v>
      </c>
      <c r="J310" s="9">
        <f>0.24</f>
        <v>0.24</v>
      </c>
      <c r="K310" s="5"/>
      <c r="L310" s="9">
        <f t="shared" si="10"/>
        <v>-0.61978875828839397</v>
      </c>
      <c r="M310" s="11">
        <f>GraphBacillus!$B$10-(I310-GraphBacillus!$B$6)/GraphBacillus!$B$5</f>
        <v>0.1750683851365975</v>
      </c>
      <c r="N310" s="1" t="s">
        <v>920</v>
      </c>
      <c r="O310">
        <v>1999</v>
      </c>
      <c r="P310" t="s">
        <v>916</v>
      </c>
      <c r="S310" s="10">
        <f>GraphBacillus!$B$37*Bacillus!I310+GraphBacillus!$B$38</f>
        <v>0.11225308463062955</v>
      </c>
      <c r="T310" s="10">
        <f>GraphBacillus!$E$37*Bacillus!I310+GraphBacillus!$E$38</f>
        <v>0.23312293957895225</v>
      </c>
      <c r="U310" s="10">
        <f>GraphBacillus!$I$37*Bacillus!I310+GraphBacillus!$I$38</f>
        <v>-9.0547291552894649E-2</v>
      </c>
    </row>
    <row r="311" spans="1:21" x14ac:dyDescent="0.2">
      <c r="A311" s="2" t="s">
        <v>1236</v>
      </c>
      <c r="B311" s="2" t="s">
        <v>1237</v>
      </c>
      <c r="C311" s="1">
        <v>7004</v>
      </c>
      <c r="D311" s="1" t="s">
        <v>44</v>
      </c>
      <c r="E311" s="1" t="s">
        <v>164</v>
      </c>
      <c r="F311" s="1"/>
      <c r="G311" s="1"/>
      <c r="H311" s="5"/>
      <c r="I311" s="5">
        <v>102</v>
      </c>
      <c r="J311" s="9">
        <v>0.12</v>
      </c>
      <c r="K311" s="5"/>
      <c r="L311" s="9">
        <f t="shared" si="10"/>
        <v>-0.92081875395237522</v>
      </c>
      <c r="M311" s="11">
        <f>GraphBacillus!$B$10-(I311-GraphBacillus!$B$6)/GraphBacillus!$B$5</f>
        <v>1.9373971445481031E-2</v>
      </c>
      <c r="N311" s="1" t="s">
        <v>920</v>
      </c>
      <c r="O311">
        <v>1999</v>
      </c>
      <c r="P311" t="s">
        <v>916</v>
      </c>
      <c r="S311" s="10">
        <f>GraphBacillus!$B$37*Bacillus!I311+GraphBacillus!$B$38</f>
        <v>-2.1006460690139228E-2</v>
      </c>
      <c r="T311" s="10">
        <f>GraphBacillus!$E$37*Bacillus!I311+GraphBacillus!$E$38</f>
        <v>0.10696314914254401</v>
      </c>
      <c r="U311" s="10">
        <f>GraphBacillus!$I$37*Bacillus!I311+GraphBacillus!$I$38</f>
        <v>-0.24151121324585656</v>
      </c>
    </row>
    <row r="312" spans="1:21" x14ac:dyDescent="0.2">
      <c r="A312" s="2" t="s">
        <v>1236</v>
      </c>
      <c r="B312" s="2" t="s">
        <v>1237</v>
      </c>
      <c r="C312" s="1">
        <v>7004</v>
      </c>
      <c r="D312" s="1" t="s">
        <v>44</v>
      </c>
      <c r="E312" s="1" t="s">
        <v>164</v>
      </c>
      <c r="F312" s="1"/>
      <c r="G312" s="1"/>
      <c r="H312" s="5"/>
      <c r="I312" s="5">
        <v>106</v>
      </c>
      <c r="J312" s="9">
        <v>0.05</v>
      </c>
      <c r="K312" s="5"/>
      <c r="L312" s="9">
        <f t="shared" si="10"/>
        <v>-1.3010299956639813</v>
      </c>
      <c r="M312" s="11">
        <f>GraphBacillus!$B$10-(I312-GraphBacillus!$B$6)/GraphBacillus!$B$5</f>
        <v>-0.29201485593675214</v>
      </c>
      <c r="N312" s="1" t="s">
        <v>920</v>
      </c>
      <c r="O312">
        <v>1999</v>
      </c>
      <c r="P312" t="s">
        <v>916</v>
      </c>
      <c r="S312" s="10">
        <f>GraphBacillus!$B$37*Bacillus!I312+GraphBacillus!$B$38</f>
        <v>-0.28752555133167679</v>
      </c>
      <c r="T312" s="10">
        <f>GraphBacillus!$E$37*Bacillus!I312+GraphBacillus!$E$38</f>
        <v>-0.14535643173027069</v>
      </c>
      <c r="U312" s="10">
        <f>GraphBacillus!$I$37*Bacillus!I312+GraphBacillus!$I$38</f>
        <v>-0.54343905663178038</v>
      </c>
    </row>
    <row r="313" spans="1:21" x14ac:dyDescent="0.2">
      <c r="A313" s="2" t="s">
        <v>1236</v>
      </c>
      <c r="B313" s="2" t="s">
        <v>1237</v>
      </c>
      <c r="C313" s="1">
        <v>7004</v>
      </c>
      <c r="D313" s="1" t="s">
        <v>44</v>
      </c>
      <c r="E313" s="1" t="s">
        <v>164</v>
      </c>
      <c r="F313" s="1"/>
      <c r="G313" s="1"/>
      <c r="H313" s="5"/>
      <c r="I313" s="5">
        <v>92</v>
      </c>
      <c r="J313" s="9">
        <v>4.62</v>
      </c>
      <c r="K313" s="5"/>
      <c r="L313" s="9">
        <f t="shared" si="10"/>
        <v>0.66464197555612547</v>
      </c>
      <c r="M313" s="11">
        <f>GraphBacillus!$B$10-(I313-GraphBacillus!$B$6)/GraphBacillus!$B$5</f>
        <v>0.79784603990106362</v>
      </c>
      <c r="N313" s="1" t="s">
        <v>920</v>
      </c>
      <c r="O313">
        <v>1999</v>
      </c>
      <c r="P313" t="s">
        <v>917</v>
      </c>
      <c r="S313" s="10">
        <f>GraphBacillus!$B$37*Bacillus!I313+GraphBacillus!$B$38</f>
        <v>0.64529126591370467</v>
      </c>
      <c r="T313" s="10">
        <f>GraphBacillus!$E$37*Bacillus!I313+GraphBacillus!$E$38</f>
        <v>0.73776210132458253</v>
      </c>
      <c r="U313" s="10">
        <f>GraphBacillus!$I$37*Bacillus!I313+GraphBacillus!$I$38</f>
        <v>0.51330839521895211</v>
      </c>
    </row>
    <row r="314" spans="1:21" x14ac:dyDescent="0.2">
      <c r="A314" s="2" t="s">
        <v>1236</v>
      </c>
      <c r="B314" s="2" t="s">
        <v>1237</v>
      </c>
      <c r="C314" s="1">
        <v>7004</v>
      </c>
      <c r="D314" s="1" t="s">
        <v>44</v>
      </c>
      <c r="E314" s="1" t="s">
        <v>164</v>
      </c>
      <c r="F314" s="1"/>
      <c r="G314" s="1"/>
      <c r="H314" s="5"/>
      <c r="I314" s="5">
        <v>96</v>
      </c>
      <c r="J314" s="9">
        <v>1.21</v>
      </c>
      <c r="K314" s="5"/>
      <c r="L314" s="9">
        <f t="shared" si="10"/>
        <v>8.2785370316450071E-2</v>
      </c>
      <c r="M314" s="11">
        <f>GraphBacillus!$B$10-(I314-GraphBacillus!$B$6)/GraphBacillus!$B$5</f>
        <v>0.48645721251883067</v>
      </c>
      <c r="N314" s="1" t="s">
        <v>920</v>
      </c>
      <c r="O314">
        <v>1999</v>
      </c>
      <c r="P314" t="s">
        <v>917</v>
      </c>
      <c r="S314" s="10">
        <f>GraphBacillus!$B$37*Bacillus!I314+GraphBacillus!$B$38</f>
        <v>0.37877217527216711</v>
      </c>
      <c r="T314" s="10">
        <f>GraphBacillus!$E$37*Bacillus!I314+GraphBacillus!$E$38</f>
        <v>0.48544252045176783</v>
      </c>
      <c r="U314" s="10">
        <f>GraphBacillus!$I$37*Bacillus!I314+GraphBacillus!$I$38</f>
        <v>0.21138055183302829</v>
      </c>
    </row>
    <row r="315" spans="1:21" x14ac:dyDescent="0.2">
      <c r="A315" s="2" t="s">
        <v>1236</v>
      </c>
      <c r="B315" s="2" t="s">
        <v>1237</v>
      </c>
      <c r="C315" s="1">
        <v>7004</v>
      </c>
      <c r="D315" s="1" t="s">
        <v>44</v>
      </c>
      <c r="E315" s="1" t="s">
        <v>164</v>
      </c>
      <c r="F315" s="1"/>
      <c r="G315" s="1"/>
      <c r="H315" s="5"/>
      <c r="I315" s="5">
        <v>100</v>
      </c>
      <c r="J315" s="9">
        <f>0.35</f>
        <v>0.35</v>
      </c>
      <c r="K315" s="5"/>
      <c r="L315" s="9">
        <f t="shared" si="10"/>
        <v>-0.45593195564972439</v>
      </c>
      <c r="M315" s="11">
        <f>GraphBacillus!$B$10-(I315-GraphBacillus!$B$6)/GraphBacillus!$B$5</f>
        <v>0.1750683851365975</v>
      </c>
      <c r="N315" s="1" t="s">
        <v>920</v>
      </c>
      <c r="O315">
        <v>1999</v>
      </c>
      <c r="P315" t="s">
        <v>917</v>
      </c>
      <c r="S315" s="10">
        <f>GraphBacillus!$B$37*Bacillus!I315+GraphBacillus!$B$38</f>
        <v>0.11225308463062955</v>
      </c>
      <c r="T315" s="10">
        <f>GraphBacillus!$E$37*Bacillus!I315+GraphBacillus!$E$38</f>
        <v>0.23312293957895225</v>
      </c>
      <c r="U315" s="10">
        <f>GraphBacillus!$I$37*Bacillus!I315+GraphBacillus!$I$38</f>
        <v>-9.0547291552894649E-2</v>
      </c>
    </row>
    <row r="316" spans="1:21" x14ac:dyDescent="0.2">
      <c r="A316" s="2" t="s">
        <v>1236</v>
      </c>
      <c r="B316" s="2" t="s">
        <v>1237</v>
      </c>
      <c r="C316" s="1">
        <v>7004</v>
      </c>
      <c r="D316" s="1" t="s">
        <v>44</v>
      </c>
      <c r="E316" s="1" t="s">
        <v>164</v>
      </c>
      <c r="F316" s="1"/>
      <c r="G316" s="1"/>
      <c r="H316" s="5"/>
      <c r="I316" s="5">
        <v>102</v>
      </c>
      <c r="J316" s="9">
        <v>0.2</v>
      </c>
      <c r="K316" s="5"/>
      <c r="L316" s="9">
        <f t="shared" si="10"/>
        <v>-0.69897000433601875</v>
      </c>
      <c r="M316" s="11">
        <f>GraphBacillus!$B$10-(I316-GraphBacillus!$B$6)/GraphBacillus!$B$5</f>
        <v>1.9373971445481031E-2</v>
      </c>
      <c r="N316" s="1" t="s">
        <v>920</v>
      </c>
      <c r="O316">
        <v>1999</v>
      </c>
      <c r="P316" t="s">
        <v>917</v>
      </c>
      <c r="S316" s="10">
        <f>GraphBacillus!$B$37*Bacillus!I316+GraphBacillus!$B$38</f>
        <v>-2.1006460690139228E-2</v>
      </c>
      <c r="T316" s="10">
        <f>GraphBacillus!$E$37*Bacillus!I316+GraphBacillus!$E$38</f>
        <v>0.10696314914254401</v>
      </c>
      <c r="U316" s="10">
        <f>GraphBacillus!$I$37*Bacillus!I316+GraphBacillus!$I$38</f>
        <v>-0.24151121324585656</v>
      </c>
    </row>
    <row r="317" spans="1:21" x14ac:dyDescent="0.2">
      <c r="A317" s="2" t="s">
        <v>1236</v>
      </c>
      <c r="B317" s="2" t="s">
        <v>1237</v>
      </c>
      <c r="C317" s="1">
        <v>7004</v>
      </c>
      <c r="D317" s="1" t="s">
        <v>44</v>
      </c>
      <c r="E317" s="1" t="s">
        <v>164</v>
      </c>
      <c r="F317" s="1"/>
      <c r="G317" s="1"/>
      <c r="H317" s="5"/>
      <c r="I317" s="5">
        <v>106</v>
      </c>
      <c r="J317" s="9">
        <v>6.3E-2</v>
      </c>
      <c r="K317" s="5"/>
      <c r="L317" s="9">
        <f t="shared" si="10"/>
        <v>-1.2006594505464183</v>
      </c>
      <c r="M317" s="11">
        <f>GraphBacillus!$B$10-(I317-GraphBacillus!$B$6)/GraphBacillus!$B$5</f>
        <v>-0.29201485593675214</v>
      </c>
      <c r="N317" s="1" t="s">
        <v>920</v>
      </c>
      <c r="O317">
        <v>1999</v>
      </c>
      <c r="P317" t="s">
        <v>917</v>
      </c>
      <c r="S317" s="10">
        <f>GraphBacillus!$B$37*Bacillus!I317+GraphBacillus!$B$38</f>
        <v>-0.28752555133167679</v>
      </c>
      <c r="T317" s="10">
        <f>GraphBacillus!$E$37*Bacillus!I317+GraphBacillus!$E$38</f>
        <v>-0.14535643173027069</v>
      </c>
      <c r="U317" s="10">
        <f>GraphBacillus!$I$37*Bacillus!I317+GraphBacillus!$I$38</f>
        <v>-0.54343905663178038</v>
      </c>
    </row>
    <row r="318" spans="1:21" x14ac:dyDescent="0.2">
      <c r="A318" s="2" t="s">
        <v>1236</v>
      </c>
      <c r="B318" s="2" t="s">
        <v>1237</v>
      </c>
      <c r="C318" s="1">
        <v>7004</v>
      </c>
      <c r="D318" s="1" t="s">
        <v>44</v>
      </c>
      <c r="E318" s="1" t="s">
        <v>164</v>
      </c>
      <c r="F318" s="1"/>
      <c r="G318" s="1"/>
      <c r="H318" s="5"/>
      <c r="I318" s="5">
        <v>92</v>
      </c>
      <c r="J318" s="9">
        <v>1.86</v>
      </c>
      <c r="K318" s="5"/>
      <c r="L318" s="9">
        <f t="shared" ref="L318:L331" si="11">LOG(J318)</f>
        <v>0.26951294421791633</v>
      </c>
      <c r="M318" s="11">
        <f>GraphBacillus!$B$10-(I318-GraphBacillus!$B$6)/GraphBacillus!$B$5</f>
        <v>0.79784603990106362</v>
      </c>
      <c r="N318" s="1" t="s">
        <v>920</v>
      </c>
      <c r="O318">
        <v>1999</v>
      </c>
      <c r="P318" t="s">
        <v>918</v>
      </c>
      <c r="S318" s="10">
        <f>GraphBacillus!$B$37*Bacillus!I318+GraphBacillus!$B$38</f>
        <v>0.64529126591370467</v>
      </c>
      <c r="T318" s="10">
        <f>GraphBacillus!$E$37*Bacillus!I318+GraphBacillus!$E$38</f>
        <v>0.73776210132458253</v>
      </c>
      <c r="U318" s="10">
        <f>GraphBacillus!$I$37*Bacillus!I318+GraphBacillus!$I$38</f>
        <v>0.51330839521895211</v>
      </c>
    </row>
    <row r="319" spans="1:21" x14ac:dyDescent="0.2">
      <c r="A319" s="2" t="s">
        <v>1236</v>
      </c>
      <c r="B319" s="2" t="s">
        <v>1237</v>
      </c>
      <c r="C319" s="1">
        <v>7004</v>
      </c>
      <c r="D319" s="1" t="s">
        <v>44</v>
      </c>
      <c r="E319" s="1" t="s">
        <v>164</v>
      </c>
      <c r="F319" s="1"/>
      <c r="G319" s="1"/>
      <c r="H319" s="5"/>
      <c r="I319" s="5">
        <v>96</v>
      </c>
      <c r="J319" s="9">
        <v>0.57999999999999996</v>
      </c>
      <c r="K319" s="5"/>
      <c r="L319" s="9">
        <f t="shared" si="11"/>
        <v>-0.23657200643706275</v>
      </c>
      <c r="M319" s="11">
        <f>GraphBacillus!$B$10-(I319-GraphBacillus!$B$6)/GraphBacillus!$B$5</f>
        <v>0.48645721251883067</v>
      </c>
      <c r="N319" s="1" t="s">
        <v>920</v>
      </c>
      <c r="O319">
        <v>1999</v>
      </c>
      <c r="P319" t="s">
        <v>918</v>
      </c>
      <c r="S319" s="10">
        <f>GraphBacillus!$B$37*Bacillus!I319+GraphBacillus!$B$38</f>
        <v>0.37877217527216711</v>
      </c>
      <c r="T319" s="10">
        <f>GraphBacillus!$E$37*Bacillus!I319+GraphBacillus!$E$38</f>
        <v>0.48544252045176783</v>
      </c>
      <c r="U319" s="10">
        <f>GraphBacillus!$I$37*Bacillus!I319+GraphBacillus!$I$38</f>
        <v>0.21138055183302829</v>
      </c>
    </row>
    <row r="320" spans="1:21" x14ac:dyDescent="0.2">
      <c r="A320" s="2" t="s">
        <v>1236</v>
      </c>
      <c r="B320" s="2" t="s">
        <v>1237</v>
      </c>
      <c r="C320" s="1">
        <v>7004</v>
      </c>
      <c r="D320" s="1" t="s">
        <v>44</v>
      </c>
      <c r="E320" s="1" t="s">
        <v>164</v>
      </c>
      <c r="F320" s="1"/>
      <c r="G320" s="1"/>
      <c r="H320" s="5"/>
      <c r="I320" s="5">
        <v>100</v>
      </c>
      <c r="J320" s="9">
        <f>0.16</f>
        <v>0.16</v>
      </c>
      <c r="K320" s="5"/>
      <c r="L320" s="9">
        <f t="shared" si="11"/>
        <v>-0.79588001734407521</v>
      </c>
      <c r="M320" s="11">
        <f>GraphBacillus!$B$10-(I320-GraphBacillus!$B$6)/GraphBacillus!$B$5</f>
        <v>0.1750683851365975</v>
      </c>
      <c r="N320" s="1" t="s">
        <v>920</v>
      </c>
      <c r="O320">
        <v>1999</v>
      </c>
      <c r="P320" t="s">
        <v>918</v>
      </c>
      <c r="S320" s="10">
        <f>GraphBacillus!$B$37*Bacillus!I320+GraphBacillus!$B$38</f>
        <v>0.11225308463062955</v>
      </c>
      <c r="T320" s="10">
        <f>GraphBacillus!$E$37*Bacillus!I320+GraphBacillus!$E$38</f>
        <v>0.23312293957895225</v>
      </c>
      <c r="U320" s="10">
        <f>GraphBacillus!$I$37*Bacillus!I320+GraphBacillus!$I$38</f>
        <v>-9.0547291552894649E-2</v>
      </c>
    </row>
    <row r="321" spans="1:21" x14ac:dyDescent="0.2">
      <c r="A321" s="2" t="s">
        <v>1236</v>
      </c>
      <c r="B321" s="2" t="s">
        <v>1237</v>
      </c>
      <c r="C321" s="1">
        <v>7004</v>
      </c>
      <c r="D321" s="1" t="s">
        <v>44</v>
      </c>
      <c r="E321" s="1" t="s">
        <v>164</v>
      </c>
      <c r="F321" s="1"/>
      <c r="G321" s="1"/>
      <c r="H321" s="5"/>
      <c r="I321" s="5">
        <v>102</v>
      </c>
      <c r="J321" s="9">
        <v>0.09</v>
      </c>
      <c r="K321" s="5"/>
      <c r="L321" s="9">
        <f t="shared" si="11"/>
        <v>-1.0457574905606752</v>
      </c>
      <c r="M321" s="11">
        <f>GraphBacillus!$B$10-(I321-GraphBacillus!$B$6)/GraphBacillus!$B$5</f>
        <v>1.9373971445481031E-2</v>
      </c>
      <c r="N321" s="1" t="s">
        <v>920</v>
      </c>
      <c r="O321">
        <v>1999</v>
      </c>
      <c r="P321" t="s">
        <v>918</v>
      </c>
      <c r="S321" s="10">
        <f>GraphBacillus!$B$37*Bacillus!I321+GraphBacillus!$B$38</f>
        <v>-2.1006460690139228E-2</v>
      </c>
      <c r="T321" s="10">
        <f>GraphBacillus!$E$37*Bacillus!I321+GraphBacillus!$E$38</f>
        <v>0.10696314914254401</v>
      </c>
      <c r="U321" s="10">
        <f>GraphBacillus!$I$37*Bacillus!I321+GraphBacillus!$I$38</f>
        <v>-0.24151121324585656</v>
      </c>
    </row>
    <row r="322" spans="1:21" x14ac:dyDescent="0.2">
      <c r="A322" s="2" t="s">
        <v>1236</v>
      </c>
      <c r="B322" s="2" t="s">
        <v>1237</v>
      </c>
      <c r="C322" s="1">
        <v>7004</v>
      </c>
      <c r="D322" s="1" t="s">
        <v>44</v>
      </c>
      <c r="E322" s="1" t="s">
        <v>164</v>
      </c>
      <c r="F322" s="1"/>
      <c r="G322" s="1"/>
      <c r="H322" s="5"/>
      <c r="I322" s="5">
        <v>106</v>
      </c>
      <c r="J322" s="9">
        <v>2.3E-2</v>
      </c>
      <c r="K322" s="5"/>
      <c r="L322" s="9">
        <f t="shared" si="11"/>
        <v>-1.6382721639824072</v>
      </c>
      <c r="M322" s="11">
        <f>GraphBacillus!$B$10-(I322-GraphBacillus!$B$6)/GraphBacillus!$B$5</f>
        <v>-0.29201485593675214</v>
      </c>
      <c r="N322" s="1" t="s">
        <v>920</v>
      </c>
      <c r="O322">
        <v>1999</v>
      </c>
      <c r="P322" t="s">
        <v>918</v>
      </c>
      <c r="S322" s="10">
        <f>GraphBacillus!$B$37*Bacillus!I322+GraphBacillus!$B$38</f>
        <v>-0.28752555133167679</v>
      </c>
      <c r="T322" s="10">
        <f>GraphBacillus!$E$37*Bacillus!I322+GraphBacillus!$E$38</f>
        <v>-0.14535643173027069</v>
      </c>
      <c r="U322" s="10">
        <f>GraphBacillus!$I$37*Bacillus!I322+GraphBacillus!$I$38</f>
        <v>-0.54343905663178038</v>
      </c>
    </row>
    <row r="323" spans="1:21" x14ac:dyDescent="0.2">
      <c r="A323" s="2" t="s">
        <v>1236</v>
      </c>
      <c r="B323" s="2" t="s">
        <v>1237</v>
      </c>
      <c r="C323" s="1">
        <v>7004</v>
      </c>
      <c r="D323" s="1" t="s">
        <v>44</v>
      </c>
      <c r="E323" s="1" t="s">
        <v>164</v>
      </c>
      <c r="F323" s="1"/>
      <c r="G323" s="1"/>
      <c r="H323" s="5"/>
      <c r="I323" s="5">
        <v>92</v>
      </c>
      <c r="J323" s="9">
        <v>1.1599999999999999</v>
      </c>
      <c r="K323" s="5"/>
      <c r="L323" s="9">
        <f t="shared" si="11"/>
        <v>6.445798922691845E-2</v>
      </c>
      <c r="M323" s="11">
        <f>GraphBacillus!$B$10-(I323-GraphBacillus!$B$6)/GraphBacillus!$B$5</f>
        <v>0.79784603990106362</v>
      </c>
      <c r="N323" s="1" t="s">
        <v>920</v>
      </c>
      <c r="O323">
        <v>1999</v>
      </c>
      <c r="P323" t="s">
        <v>919</v>
      </c>
      <c r="S323" s="10">
        <f>GraphBacillus!$B$37*Bacillus!I323+GraphBacillus!$B$38</f>
        <v>0.64529126591370467</v>
      </c>
      <c r="T323" s="10">
        <f>GraphBacillus!$E$37*Bacillus!I323+GraphBacillus!$E$38</f>
        <v>0.73776210132458253</v>
      </c>
      <c r="U323" s="10">
        <f>GraphBacillus!$I$37*Bacillus!I323+GraphBacillus!$I$38</f>
        <v>0.51330839521895211</v>
      </c>
    </row>
    <row r="324" spans="1:21" x14ac:dyDescent="0.2">
      <c r="A324" s="2" t="s">
        <v>1236</v>
      </c>
      <c r="B324" s="2" t="s">
        <v>1237</v>
      </c>
      <c r="C324" s="1">
        <v>7004</v>
      </c>
      <c r="D324" s="1" t="s">
        <v>44</v>
      </c>
      <c r="E324" s="1" t="s">
        <v>164</v>
      </c>
      <c r="F324" s="1"/>
      <c r="G324" s="1"/>
      <c r="H324" s="5"/>
      <c r="I324" s="5">
        <v>96</v>
      </c>
      <c r="J324" s="9">
        <v>0.39</v>
      </c>
      <c r="K324" s="5"/>
      <c r="L324" s="9">
        <f t="shared" si="11"/>
        <v>-0.40893539297350079</v>
      </c>
      <c r="M324" s="11">
        <f>GraphBacillus!$B$10-(I324-GraphBacillus!$B$6)/GraphBacillus!$B$5</f>
        <v>0.48645721251883067</v>
      </c>
      <c r="N324" s="1" t="s">
        <v>920</v>
      </c>
      <c r="O324">
        <v>1999</v>
      </c>
      <c r="P324" t="s">
        <v>919</v>
      </c>
      <c r="S324" s="10">
        <f>GraphBacillus!$B$37*Bacillus!I324+GraphBacillus!$B$38</f>
        <v>0.37877217527216711</v>
      </c>
      <c r="T324" s="10">
        <f>GraphBacillus!$E$37*Bacillus!I324+GraphBacillus!$E$38</f>
        <v>0.48544252045176783</v>
      </c>
      <c r="U324" s="10">
        <f>GraphBacillus!$I$37*Bacillus!I324+GraphBacillus!$I$38</f>
        <v>0.21138055183302829</v>
      </c>
    </row>
    <row r="325" spans="1:21" x14ac:dyDescent="0.2">
      <c r="A325" s="2" t="s">
        <v>1236</v>
      </c>
      <c r="B325" s="2" t="s">
        <v>1237</v>
      </c>
      <c r="C325" s="1">
        <v>7004</v>
      </c>
      <c r="D325" s="1" t="s">
        <v>44</v>
      </c>
      <c r="E325" s="1" t="s">
        <v>164</v>
      </c>
      <c r="F325" s="1"/>
      <c r="G325" s="1"/>
      <c r="H325" s="5"/>
      <c r="I325" s="5">
        <v>100</v>
      </c>
      <c r="J325" s="9">
        <f>0.12</f>
        <v>0.12</v>
      </c>
      <c r="K325" s="5"/>
      <c r="L325" s="9">
        <f t="shared" si="11"/>
        <v>-0.92081875395237522</v>
      </c>
      <c r="M325" s="11">
        <f>GraphBacillus!$B$10-(I325-GraphBacillus!$B$6)/GraphBacillus!$B$5</f>
        <v>0.1750683851365975</v>
      </c>
      <c r="N325" s="1" t="s">
        <v>920</v>
      </c>
      <c r="O325">
        <v>1999</v>
      </c>
      <c r="P325" t="s">
        <v>919</v>
      </c>
      <c r="S325" s="10">
        <f>GraphBacillus!$B$37*Bacillus!I325+GraphBacillus!$B$38</f>
        <v>0.11225308463062955</v>
      </c>
      <c r="T325" s="10">
        <f>GraphBacillus!$E$37*Bacillus!I325+GraphBacillus!$E$38</f>
        <v>0.23312293957895225</v>
      </c>
      <c r="U325" s="10">
        <f>GraphBacillus!$I$37*Bacillus!I325+GraphBacillus!$I$38</f>
        <v>-9.0547291552894649E-2</v>
      </c>
    </row>
    <row r="326" spans="1:21" x14ac:dyDescent="0.2">
      <c r="A326" s="2" t="s">
        <v>1236</v>
      </c>
      <c r="B326" s="2" t="s">
        <v>1237</v>
      </c>
      <c r="C326" s="1">
        <v>7004</v>
      </c>
      <c r="D326" s="1" t="s">
        <v>44</v>
      </c>
      <c r="E326" s="1" t="s">
        <v>164</v>
      </c>
      <c r="F326" s="1"/>
      <c r="G326" s="1"/>
      <c r="H326" s="5"/>
      <c r="I326" s="5">
        <v>102</v>
      </c>
      <c r="J326" s="9">
        <v>7.0000000000000007E-2</v>
      </c>
      <c r="K326" s="5"/>
      <c r="L326" s="9">
        <f t="shared" si="11"/>
        <v>-1.1549019599857431</v>
      </c>
      <c r="M326" s="11">
        <f>GraphBacillus!$B$10-(I326-GraphBacillus!$B$6)/GraphBacillus!$B$5</f>
        <v>1.9373971445481031E-2</v>
      </c>
      <c r="N326" s="1" t="s">
        <v>920</v>
      </c>
      <c r="O326">
        <v>1999</v>
      </c>
      <c r="P326" t="s">
        <v>919</v>
      </c>
      <c r="S326" s="10">
        <f>GraphBacillus!$B$37*Bacillus!I326+GraphBacillus!$B$38</f>
        <v>-2.1006460690139228E-2</v>
      </c>
      <c r="T326" s="10">
        <f>GraphBacillus!$E$37*Bacillus!I326+GraphBacillus!$E$38</f>
        <v>0.10696314914254401</v>
      </c>
      <c r="U326" s="10">
        <f>GraphBacillus!$I$37*Bacillus!I326+GraphBacillus!$I$38</f>
        <v>-0.24151121324585656</v>
      </c>
    </row>
    <row r="327" spans="1:21" x14ac:dyDescent="0.2">
      <c r="A327" s="2" t="s">
        <v>1236</v>
      </c>
      <c r="B327" s="2" t="s">
        <v>1237</v>
      </c>
      <c r="C327" s="1">
        <v>7004</v>
      </c>
      <c r="D327" s="1" t="s">
        <v>44</v>
      </c>
      <c r="E327" s="1" t="s">
        <v>164</v>
      </c>
      <c r="F327" s="1"/>
      <c r="G327" s="1"/>
      <c r="H327" s="5"/>
      <c r="I327" s="5">
        <v>106</v>
      </c>
      <c r="J327" s="9">
        <v>1.9E-2</v>
      </c>
      <c r="K327" s="5"/>
      <c r="L327" s="9">
        <f t="shared" si="11"/>
        <v>-1.7212463990471711</v>
      </c>
      <c r="M327" s="11">
        <f>GraphBacillus!$B$10-(I327-GraphBacillus!$B$6)/GraphBacillus!$B$5</f>
        <v>-0.29201485593675214</v>
      </c>
      <c r="N327" s="1" t="s">
        <v>920</v>
      </c>
      <c r="O327">
        <v>1999</v>
      </c>
      <c r="P327" t="s">
        <v>919</v>
      </c>
      <c r="S327" s="10">
        <f>GraphBacillus!$B$37*Bacillus!I327+GraphBacillus!$B$38</f>
        <v>-0.28752555133167679</v>
      </c>
      <c r="T327" s="10">
        <f>GraphBacillus!$E$37*Bacillus!I327+GraphBacillus!$E$38</f>
        <v>-0.14535643173027069</v>
      </c>
      <c r="U327" s="10">
        <f>GraphBacillus!$I$37*Bacillus!I327+GraphBacillus!$I$38</f>
        <v>-0.54343905663178038</v>
      </c>
    </row>
    <row r="328" spans="1:21" x14ac:dyDescent="0.2">
      <c r="A328" s="2" t="s">
        <v>1236</v>
      </c>
      <c r="B328" s="2" t="s">
        <v>1237</v>
      </c>
      <c r="C328" s="1">
        <v>9818</v>
      </c>
      <c r="D328" s="1" t="s">
        <v>44</v>
      </c>
      <c r="E328" s="1" t="s">
        <v>164</v>
      </c>
      <c r="F328" s="1"/>
      <c r="G328" s="1"/>
      <c r="H328" s="5"/>
      <c r="I328" s="5">
        <v>98</v>
      </c>
      <c r="J328" s="9">
        <v>1.7</v>
      </c>
      <c r="K328" s="5"/>
      <c r="L328" s="9">
        <f t="shared" si="11"/>
        <v>0.23044892137827391</v>
      </c>
      <c r="M328" s="11">
        <f>GraphBacillus!$B$10-(I328-GraphBacillus!$B$6)/GraphBacillus!$B$5</f>
        <v>0.33076279882771398</v>
      </c>
      <c r="N328" s="1" t="s">
        <v>920</v>
      </c>
      <c r="O328">
        <v>1999</v>
      </c>
      <c r="P328" t="s">
        <v>914</v>
      </c>
      <c r="S328" s="10">
        <f>GraphBacillus!$B$37*Bacillus!I328+GraphBacillus!$B$38</f>
        <v>0.24551262995139833</v>
      </c>
      <c r="T328" s="10">
        <f>GraphBacillus!$E$37*Bacillus!I328+GraphBacillus!$E$38</f>
        <v>0.3592827300153596</v>
      </c>
      <c r="U328" s="10">
        <f>GraphBacillus!$I$37*Bacillus!I328+GraphBacillus!$I$38</f>
        <v>6.0416630140067262E-2</v>
      </c>
    </row>
    <row r="329" spans="1:21" x14ac:dyDescent="0.2">
      <c r="A329" s="2" t="s">
        <v>1236</v>
      </c>
      <c r="B329" s="2" t="s">
        <v>1237</v>
      </c>
      <c r="C329" s="1">
        <v>9818</v>
      </c>
      <c r="D329" s="1" t="s">
        <v>44</v>
      </c>
      <c r="E329" s="1" t="s">
        <v>164</v>
      </c>
      <c r="F329" s="1"/>
      <c r="G329" s="1"/>
      <c r="H329" s="5"/>
      <c r="I329" s="5">
        <v>98</v>
      </c>
      <c r="J329" s="9">
        <f>4.39</f>
        <v>4.3899999999999997</v>
      </c>
      <c r="K329" s="5"/>
      <c r="L329" s="9">
        <f t="shared" si="11"/>
        <v>0.64246452024212131</v>
      </c>
      <c r="M329" s="11">
        <f>GraphBacillus!$B$10-(I329-GraphBacillus!$B$6)/GraphBacillus!$B$5</f>
        <v>0.33076279882771398</v>
      </c>
      <c r="N329" s="1" t="s">
        <v>920</v>
      </c>
      <c r="O329">
        <v>1999</v>
      </c>
      <c r="P329" t="s">
        <v>915</v>
      </c>
      <c r="S329" s="10">
        <f>GraphBacillus!$B$37*Bacillus!I329+GraphBacillus!$B$38</f>
        <v>0.24551262995139833</v>
      </c>
      <c r="T329" s="10">
        <f>GraphBacillus!$E$37*Bacillus!I329+GraphBacillus!$E$38</f>
        <v>0.3592827300153596</v>
      </c>
      <c r="U329" s="10">
        <f>GraphBacillus!$I$37*Bacillus!I329+GraphBacillus!$I$38</f>
        <v>6.0416630140067262E-2</v>
      </c>
    </row>
    <row r="330" spans="1:21" x14ac:dyDescent="0.2">
      <c r="A330" s="2" t="s">
        <v>1236</v>
      </c>
      <c r="B330" s="2" t="s">
        <v>1237</v>
      </c>
      <c r="C330" s="1">
        <v>9818</v>
      </c>
      <c r="D330" s="1" t="s">
        <v>44</v>
      </c>
      <c r="E330" s="1" t="s">
        <v>164</v>
      </c>
      <c r="F330" s="1"/>
      <c r="G330" s="1"/>
      <c r="H330" s="5"/>
      <c r="I330" s="5">
        <v>98</v>
      </c>
      <c r="J330" s="9">
        <v>5.58</v>
      </c>
      <c r="K330" s="5"/>
      <c r="L330" s="9">
        <f t="shared" si="11"/>
        <v>0.74663419893757876</v>
      </c>
      <c r="M330" s="11">
        <f>GraphBacillus!$B$10-(I330-GraphBacillus!$B$6)/GraphBacillus!$B$5</f>
        <v>0.33076279882771398</v>
      </c>
      <c r="N330" s="1" t="s">
        <v>920</v>
      </c>
      <c r="O330">
        <v>1999</v>
      </c>
      <c r="P330" t="s">
        <v>916</v>
      </c>
      <c r="S330" s="10">
        <f>GraphBacillus!$B$37*Bacillus!I330+GraphBacillus!$B$38</f>
        <v>0.24551262995139833</v>
      </c>
      <c r="T330" s="10">
        <f>GraphBacillus!$E$37*Bacillus!I330+GraphBacillus!$E$38</f>
        <v>0.3592827300153596</v>
      </c>
      <c r="U330" s="10">
        <f>GraphBacillus!$I$37*Bacillus!I330+GraphBacillus!$I$38</f>
        <v>6.0416630140067262E-2</v>
      </c>
    </row>
    <row r="331" spans="1:21" x14ac:dyDescent="0.2">
      <c r="A331" s="2" t="s">
        <v>1236</v>
      </c>
      <c r="B331" s="2" t="s">
        <v>1237</v>
      </c>
      <c r="C331" s="1">
        <v>9818</v>
      </c>
      <c r="D331" s="1" t="s">
        <v>44</v>
      </c>
      <c r="E331" s="1" t="s">
        <v>164</v>
      </c>
      <c r="F331" s="1"/>
      <c r="G331" s="1"/>
      <c r="H331" s="5"/>
      <c r="I331" s="5">
        <v>100</v>
      </c>
      <c r="J331" s="9">
        <f>1.16</f>
        <v>1.1599999999999999</v>
      </c>
      <c r="K331" s="5"/>
      <c r="L331" s="9">
        <f t="shared" si="11"/>
        <v>6.445798922691845E-2</v>
      </c>
      <c r="M331" s="11">
        <f>GraphBacillus!$B$10-(I331-GraphBacillus!$B$6)/GraphBacillus!$B$5</f>
        <v>0.1750683851365975</v>
      </c>
      <c r="N331" s="1" t="s">
        <v>920</v>
      </c>
      <c r="O331">
        <v>1999</v>
      </c>
      <c r="P331" t="s">
        <v>914</v>
      </c>
      <c r="S331" s="10"/>
      <c r="T331" s="10"/>
      <c r="U331" s="10"/>
    </row>
    <row r="332" spans="1:21" x14ac:dyDescent="0.2">
      <c r="A332" s="2" t="s">
        <v>1236</v>
      </c>
      <c r="B332" s="2" t="s">
        <v>1237</v>
      </c>
      <c r="C332" s="1">
        <v>9818</v>
      </c>
      <c r="D332" s="1" t="s">
        <v>44</v>
      </c>
      <c r="E332" s="1" t="s">
        <v>164</v>
      </c>
      <c r="F332" s="1"/>
      <c r="G332" s="1"/>
      <c r="H332" s="5"/>
      <c r="I332" s="5">
        <v>100</v>
      </c>
      <c r="J332" s="9">
        <f>2.16</f>
        <v>2.16</v>
      </c>
      <c r="K332" s="5"/>
      <c r="L332" s="9">
        <f t="shared" ref="L332:L366" si="12">LOG(J332)</f>
        <v>0.3344537511509309</v>
      </c>
      <c r="M332" s="11">
        <f>GraphBacillus!$B$10-(I332-GraphBacillus!$B$6)/GraphBacillus!$B$5</f>
        <v>0.1750683851365975</v>
      </c>
      <c r="N332" s="1" t="s">
        <v>920</v>
      </c>
      <c r="O332">
        <v>1999</v>
      </c>
      <c r="P332" t="s">
        <v>915</v>
      </c>
      <c r="S332" s="10"/>
      <c r="T332" s="10"/>
      <c r="U332" s="10"/>
    </row>
    <row r="333" spans="1:21" x14ac:dyDescent="0.2">
      <c r="A333" s="2" t="s">
        <v>1236</v>
      </c>
      <c r="B333" s="2" t="s">
        <v>1237</v>
      </c>
      <c r="C333" s="1">
        <v>9818</v>
      </c>
      <c r="D333" s="1" t="s">
        <v>44</v>
      </c>
      <c r="E333" s="1" t="s">
        <v>164</v>
      </c>
      <c r="F333" s="1"/>
      <c r="G333" s="1"/>
      <c r="H333" s="5"/>
      <c r="I333" s="5">
        <v>100</v>
      </c>
      <c r="J333" s="9">
        <f>3.58</f>
        <v>3.58</v>
      </c>
      <c r="K333" s="5"/>
      <c r="L333" s="9">
        <f t="shared" si="12"/>
        <v>0.55388302664387434</v>
      </c>
      <c r="M333" s="11">
        <f>GraphBacillus!$B$10-(I333-GraphBacillus!$B$6)/GraphBacillus!$B$5</f>
        <v>0.1750683851365975</v>
      </c>
      <c r="N333" s="1" t="s">
        <v>920</v>
      </c>
      <c r="O333">
        <v>1999</v>
      </c>
      <c r="P333" t="s">
        <v>916</v>
      </c>
      <c r="S333" s="10"/>
      <c r="T333" s="10"/>
      <c r="U333" s="10"/>
    </row>
    <row r="334" spans="1:21" x14ac:dyDescent="0.2">
      <c r="A334" s="2" t="s">
        <v>1236</v>
      </c>
      <c r="B334" s="2" t="s">
        <v>1237</v>
      </c>
      <c r="C334" s="1">
        <v>9818</v>
      </c>
      <c r="D334" s="1" t="s">
        <v>44</v>
      </c>
      <c r="E334" s="1" t="s">
        <v>164</v>
      </c>
      <c r="F334" s="1"/>
      <c r="G334" s="1"/>
      <c r="H334" s="5"/>
      <c r="I334" s="5">
        <v>100</v>
      </c>
      <c r="J334" s="9">
        <f>6.21</f>
        <v>6.21</v>
      </c>
      <c r="K334" s="5"/>
      <c r="L334" s="9">
        <f t="shared" si="12"/>
        <v>0.7930916001765802</v>
      </c>
      <c r="M334" s="11">
        <f>GraphBacillus!$B$10-(I334-GraphBacillus!$B$6)/GraphBacillus!$B$5</f>
        <v>0.1750683851365975</v>
      </c>
      <c r="N334" s="1" t="s">
        <v>920</v>
      </c>
      <c r="O334">
        <v>1999</v>
      </c>
      <c r="P334" t="s">
        <v>917</v>
      </c>
      <c r="S334" s="10"/>
      <c r="T334" s="10"/>
      <c r="U334" s="10"/>
    </row>
    <row r="335" spans="1:21" x14ac:dyDescent="0.2">
      <c r="A335" s="2" t="s">
        <v>1236</v>
      </c>
      <c r="B335" s="2" t="s">
        <v>1237</v>
      </c>
      <c r="C335" s="1">
        <v>9818</v>
      </c>
      <c r="D335" s="1" t="s">
        <v>44</v>
      </c>
      <c r="E335" s="1" t="s">
        <v>164</v>
      </c>
      <c r="F335" s="1"/>
      <c r="G335" s="1"/>
      <c r="H335" s="5"/>
      <c r="I335" s="5">
        <v>100</v>
      </c>
      <c r="J335" s="9">
        <f>8.43</f>
        <v>8.43</v>
      </c>
      <c r="K335" s="5"/>
      <c r="L335" s="9">
        <f t="shared" si="12"/>
        <v>0.9258275746247423</v>
      </c>
      <c r="M335" s="11">
        <f>GraphBacillus!$B$10-(I335-GraphBacillus!$B$6)/GraphBacillus!$B$5</f>
        <v>0.1750683851365975</v>
      </c>
      <c r="N335" s="1" t="s">
        <v>920</v>
      </c>
      <c r="O335">
        <v>1999</v>
      </c>
      <c r="P335" t="s">
        <v>918</v>
      </c>
      <c r="S335" s="10"/>
      <c r="T335" s="10"/>
      <c r="U335" s="10"/>
    </row>
    <row r="336" spans="1:21" x14ac:dyDescent="0.2">
      <c r="A336" s="2" t="s">
        <v>1236</v>
      </c>
      <c r="B336" s="2" t="s">
        <v>1237</v>
      </c>
      <c r="C336" s="1">
        <v>9818</v>
      </c>
      <c r="D336" s="1" t="s">
        <v>44</v>
      </c>
      <c r="E336" s="1" t="s">
        <v>164</v>
      </c>
      <c r="F336" s="1"/>
      <c r="G336" s="1"/>
      <c r="H336" s="5"/>
      <c r="I336" s="5">
        <v>100</v>
      </c>
      <c r="J336" s="9">
        <f>10.09</f>
        <v>10.09</v>
      </c>
      <c r="K336" s="5"/>
      <c r="L336" s="9">
        <f t="shared" si="12"/>
        <v>1.0038911662369105</v>
      </c>
      <c r="M336" s="11">
        <f>GraphBacillus!$B$10-(I336-GraphBacillus!$B$6)/GraphBacillus!$B$5</f>
        <v>0.1750683851365975</v>
      </c>
      <c r="N336" s="1" t="s">
        <v>920</v>
      </c>
      <c r="O336">
        <v>1999</v>
      </c>
      <c r="P336" t="s">
        <v>919</v>
      </c>
      <c r="S336" s="10"/>
      <c r="T336" s="10"/>
      <c r="U336" s="10"/>
    </row>
    <row r="337" spans="1:21" x14ac:dyDescent="0.2">
      <c r="A337" s="2" t="s">
        <v>1236</v>
      </c>
      <c r="B337" s="2" t="s">
        <v>1237</v>
      </c>
      <c r="C337" s="1">
        <v>9818</v>
      </c>
      <c r="D337" s="1" t="s">
        <v>44</v>
      </c>
      <c r="E337" s="1" t="s">
        <v>164</v>
      </c>
      <c r="F337" s="1"/>
      <c r="G337" s="1"/>
      <c r="H337" s="5"/>
      <c r="I337" s="5">
        <v>103</v>
      </c>
      <c r="J337" s="9">
        <v>0.43</v>
      </c>
      <c r="K337" s="5"/>
      <c r="L337" s="9">
        <f t="shared" si="12"/>
        <v>-0.36653154442041347</v>
      </c>
      <c r="M337" s="11">
        <f>GraphBacillus!$B$10-(I337-GraphBacillus!$B$6)/GraphBacillus!$B$5</f>
        <v>-5.8473235400077428E-2</v>
      </c>
      <c r="N337" s="1" t="s">
        <v>920</v>
      </c>
      <c r="O337">
        <v>1999</v>
      </c>
      <c r="P337" t="s">
        <v>914</v>
      </c>
      <c r="S337" s="10">
        <f>GraphBacillus!$B$37*Bacillus!I337+GraphBacillus!$B$38</f>
        <v>-8.7636233350523618E-2</v>
      </c>
      <c r="T337" s="10">
        <f>GraphBacillus!$E$37*Bacillus!I337+GraphBacillus!$E$38</f>
        <v>4.3883253924340337E-2</v>
      </c>
      <c r="U337" s="10">
        <f>GraphBacillus!$I$37*Bacillus!I337+GraphBacillus!$I$38</f>
        <v>-0.31699317409233707</v>
      </c>
    </row>
    <row r="338" spans="1:21" x14ac:dyDescent="0.2">
      <c r="A338" s="2" t="s">
        <v>1236</v>
      </c>
      <c r="B338" s="2" t="s">
        <v>1237</v>
      </c>
      <c r="C338" s="1">
        <v>9818</v>
      </c>
      <c r="D338" s="1" t="s">
        <v>44</v>
      </c>
      <c r="E338" s="1" t="s">
        <v>164</v>
      </c>
      <c r="F338" s="1"/>
      <c r="G338" s="1"/>
      <c r="H338" s="5"/>
      <c r="I338" s="5">
        <v>103</v>
      </c>
      <c r="J338" s="9">
        <v>0.98</v>
      </c>
      <c r="K338" s="5"/>
      <c r="L338" s="9">
        <f t="shared" si="12"/>
        <v>-8.7739243075051505E-3</v>
      </c>
      <c r="M338" s="11">
        <f>GraphBacillus!$B$10-(I338-GraphBacillus!$B$6)/GraphBacillus!$B$5</f>
        <v>-5.8473235400077428E-2</v>
      </c>
      <c r="N338" s="1" t="s">
        <v>920</v>
      </c>
      <c r="O338">
        <v>1999</v>
      </c>
      <c r="P338" t="s">
        <v>915</v>
      </c>
      <c r="S338" s="10">
        <f>GraphBacillus!$B$37*Bacillus!I338+GraphBacillus!$B$38</f>
        <v>-8.7636233350523618E-2</v>
      </c>
      <c r="T338" s="10">
        <f>GraphBacillus!$E$37*Bacillus!I338+GraphBacillus!$E$38</f>
        <v>4.3883253924340337E-2</v>
      </c>
      <c r="U338" s="10">
        <f>GraphBacillus!$I$37*Bacillus!I338+GraphBacillus!$I$38</f>
        <v>-0.31699317409233707</v>
      </c>
    </row>
    <row r="339" spans="1:21" x14ac:dyDescent="0.2">
      <c r="A339" s="2" t="s">
        <v>1236</v>
      </c>
      <c r="B339" s="2" t="s">
        <v>1237</v>
      </c>
      <c r="C339" s="1">
        <v>9818</v>
      </c>
      <c r="D339" s="1" t="s">
        <v>44</v>
      </c>
      <c r="E339" s="1" t="s">
        <v>164</v>
      </c>
      <c r="F339" s="1"/>
      <c r="G339" s="1"/>
      <c r="H339" s="5"/>
      <c r="I339" s="5">
        <v>103</v>
      </c>
      <c r="J339" s="9">
        <v>1.45</v>
      </c>
      <c r="K339" s="5"/>
      <c r="L339" s="9">
        <f t="shared" si="12"/>
        <v>0.16136800223497488</v>
      </c>
      <c r="M339" s="11">
        <f>GraphBacillus!$B$10-(I339-GraphBacillus!$B$6)/GraphBacillus!$B$5</f>
        <v>-5.8473235400077428E-2</v>
      </c>
      <c r="N339" s="1" t="s">
        <v>920</v>
      </c>
      <c r="O339">
        <v>1999</v>
      </c>
      <c r="P339" t="s">
        <v>916</v>
      </c>
      <c r="S339" s="10">
        <f>GraphBacillus!$B$37*Bacillus!I339+GraphBacillus!$B$38</f>
        <v>-8.7636233350523618E-2</v>
      </c>
      <c r="T339" s="10">
        <f>GraphBacillus!$E$37*Bacillus!I339+GraphBacillus!$E$38</f>
        <v>4.3883253924340337E-2</v>
      </c>
      <c r="U339" s="10">
        <f>GraphBacillus!$I$37*Bacillus!I339+GraphBacillus!$I$38</f>
        <v>-0.31699317409233707</v>
      </c>
    </row>
    <row r="340" spans="1:21" x14ac:dyDescent="0.2">
      <c r="A340" s="2" t="s">
        <v>1236</v>
      </c>
      <c r="B340" s="2" t="s">
        <v>1237</v>
      </c>
      <c r="C340" s="1">
        <v>9818</v>
      </c>
      <c r="D340" s="1" t="s">
        <v>44</v>
      </c>
      <c r="E340" s="1" t="s">
        <v>164</v>
      </c>
      <c r="F340" s="1"/>
      <c r="G340" s="1"/>
      <c r="H340" s="5"/>
      <c r="I340" s="5">
        <v>103</v>
      </c>
      <c r="J340" s="9">
        <v>3.1</v>
      </c>
      <c r="K340" s="5"/>
      <c r="L340" s="9">
        <f t="shared" si="12"/>
        <v>0.49136169383427269</v>
      </c>
      <c r="M340" s="11">
        <f>GraphBacillus!$B$10-(I340-GraphBacillus!$B$6)/GraphBacillus!$B$5</f>
        <v>-5.8473235400077428E-2</v>
      </c>
      <c r="N340" s="1" t="s">
        <v>920</v>
      </c>
      <c r="O340">
        <v>1999</v>
      </c>
      <c r="P340" t="s">
        <v>917</v>
      </c>
      <c r="S340" s="10">
        <f>GraphBacillus!$B$37*Bacillus!I340+GraphBacillus!$B$38</f>
        <v>-8.7636233350523618E-2</v>
      </c>
      <c r="T340" s="10">
        <f>GraphBacillus!$E$37*Bacillus!I340+GraphBacillus!$E$38</f>
        <v>4.3883253924340337E-2</v>
      </c>
      <c r="U340" s="10">
        <f>GraphBacillus!$I$37*Bacillus!I340+GraphBacillus!$I$38</f>
        <v>-0.31699317409233707</v>
      </c>
    </row>
    <row r="341" spans="1:21" x14ac:dyDescent="0.2">
      <c r="A341" s="2" t="s">
        <v>1236</v>
      </c>
      <c r="B341" s="2" t="s">
        <v>1237</v>
      </c>
      <c r="C341" s="1">
        <v>9818</v>
      </c>
      <c r="D341" s="1" t="s">
        <v>44</v>
      </c>
      <c r="E341" s="1" t="s">
        <v>164</v>
      </c>
      <c r="F341" s="1"/>
      <c r="G341" s="1"/>
      <c r="H341" s="5"/>
      <c r="I341" s="5">
        <v>103</v>
      </c>
      <c r="J341" s="9">
        <v>3.82</v>
      </c>
      <c r="K341" s="5"/>
      <c r="L341" s="9">
        <f t="shared" si="12"/>
        <v>0.58206336291170868</v>
      </c>
      <c r="M341" s="11">
        <f>GraphBacillus!$B$10-(I341-GraphBacillus!$B$6)/GraphBacillus!$B$5</f>
        <v>-5.8473235400077428E-2</v>
      </c>
      <c r="N341" s="1" t="s">
        <v>920</v>
      </c>
      <c r="O341">
        <v>1999</v>
      </c>
      <c r="P341" t="s">
        <v>918</v>
      </c>
      <c r="S341" s="10">
        <f>GraphBacillus!$B$37*Bacillus!I341+GraphBacillus!$B$38</f>
        <v>-8.7636233350523618E-2</v>
      </c>
      <c r="T341" s="10">
        <f>GraphBacillus!$E$37*Bacillus!I341+GraphBacillus!$E$38</f>
        <v>4.3883253924340337E-2</v>
      </c>
      <c r="U341" s="10">
        <f>GraphBacillus!$I$37*Bacillus!I341+GraphBacillus!$I$38</f>
        <v>-0.31699317409233707</v>
      </c>
    </row>
    <row r="342" spans="1:21" x14ac:dyDescent="0.2">
      <c r="A342" s="2" t="s">
        <v>1236</v>
      </c>
      <c r="B342" s="2" t="s">
        <v>1237</v>
      </c>
      <c r="C342" s="1">
        <v>9818</v>
      </c>
      <c r="D342" s="1" t="s">
        <v>44</v>
      </c>
      <c r="E342" s="1" t="s">
        <v>164</v>
      </c>
      <c r="F342" s="1"/>
      <c r="G342" s="1"/>
      <c r="H342" s="5"/>
      <c r="I342" s="5">
        <v>103</v>
      </c>
      <c r="J342" s="9">
        <v>4.5199999999999996</v>
      </c>
      <c r="K342" s="5"/>
      <c r="L342" s="9">
        <f t="shared" si="12"/>
        <v>0.65513843481138212</v>
      </c>
      <c r="M342" s="11">
        <f>GraphBacillus!$B$10-(I342-GraphBacillus!$B$6)/GraphBacillus!$B$5</f>
        <v>-5.8473235400077428E-2</v>
      </c>
      <c r="N342" s="1" t="s">
        <v>920</v>
      </c>
      <c r="O342">
        <v>1999</v>
      </c>
      <c r="P342" t="s">
        <v>919</v>
      </c>
      <c r="S342" s="10">
        <f>GraphBacillus!$B$37*Bacillus!I342+GraphBacillus!$B$38</f>
        <v>-8.7636233350523618E-2</v>
      </c>
      <c r="T342" s="10">
        <f>GraphBacillus!$E$37*Bacillus!I342+GraphBacillus!$E$38</f>
        <v>4.3883253924340337E-2</v>
      </c>
      <c r="U342" s="10">
        <f>GraphBacillus!$I$37*Bacillus!I342+GraphBacillus!$I$38</f>
        <v>-0.31699317409233707</v>
      </c>
    </row>
    <row r="343" spans="1:21" x14ac:dyDescent="0.2">
      <c r="A343" s="2" t="s">
        <v>1236</v>
      </c>
      <c r="B343" s="2" t="s">
        <v>1237</v>
      </c>
      <c r="C343" s="1">
        <v>9818</v>
      </c>
      <c r="D343" s="1" t="s">
        <v>44</v>
      </c>
      <c r="E343" s="1" t="s">
        <v>164</v>
      </c>
      <c r="F343" s="1"/>
      <c r="G343" s="1"/>
      <c r="H343" s="5"/>
      <c r="I343" s="5">
        <v>106</v>
      </c>
      <c r="J343" s="9">
        <v>0.19</v>
      </c>
      <c r="K343" s="5"/>
      <c r="L343" s="9">
        <f t="shared" si="12"/>
        <v>-0.72124639904717103</v>
      </c>
      <c r="M343" s="11">
        <f>GraphBacillus!$B$10-(I343-GraphBacillus!$B$6)/GraphBacillus!$B$5</f>
        <v>-0.29201485593675214</v>
      </c>
      <c r="N343" s="1" t="s">
        <v>920</v>
      </c>
      <c r="O343">
        <v>1999</v>
      </c>
      <c r="P343" t="s">
        <v>914</v>
      </c>
      <c r="S343" s="10">
        <f>GraphBacillus!$B$37*Bacillus!I343+GraphBacillus!$B$38</f>
        <v>-0.28752555133167679</v>
      </c>
      <c r="T343" s="10">
        <f>GraphBacillus!$E$37*Bacillus!I343+GraphBacillus!$E$38</f>
        <v>-0.14535643173027069</v>
      </c>
      <c r="U343" s="10">
        <f>GraphBacillus!$I$37*Bacillus!I343+GraphBacillus!$I$38</f>
        <v>-0.54343905663178038</v>
      </c>
    </row>
    <row r="344" spans="1:21" x14ac:dyDescent="0.2">
      <c r="A344" s="2" t="s">
        <v>1236</v>
      </c>
      <c r="B344" s="2" t="s">
        <v>1237</v>
      </c>
      <c r="C344" s="1">
        <v>9818</v>
      </c>
      <c r="D344" s="1" t="s">
        <v>44</v>
      </c>
      <c r="E344" s="1" t="s">
        <v>164</v>
      </c>
      <c r="F344" s="1"/>
      <c r="G344" s="1"/>
      <c r="H344" s="5"/>
      <c r="I344" s="5">
        <v>106</v>
      </c>
      <c r="J344" s="9">
        <v>0.39</v>
      </c>
      <c r="K344" s="5"/>
      <c r="L344" s="9">
        <f t="shared" si="12"/>
        <v>-0.40893539297350079</v>
      </c>
      <c r="M344" s="11">
        <f>GraphBacillus!$B$10-(I344-GraphBacillus!$B$6)/GraphBacillus!$B$5</f>
        <v>-0.29201485593675214</v>
      </c>
      <c r="N344" s="1" t="s">
        <v>920</v>
      </c>
      <c r="O344">
        <v>1999</v>
      </c>
      <c r="P344" t="s">
        <v>915</v>
      </c>
      <c r="S344" s="10">
        <f>GraphBacillus!$B$37*Bacillus!I344+GraphBacillus!$B$38</f>
        <v>-0.28752555133167679</v>
      </c>
      <c r="T344" s="10">
        <f>GraphBacillus!$E$37*Bacillus!I344+GraphBacillus!$E$38</f>
        <v>-0.14535643173027069</v>
      </c>
      <c r="U344" s="10">
        <f>GraphBacillus!$I$37*Bacillus!I344+GraphBacillus!$I$38</f>
        <v>-0.54343905663178038</v>
      </c>
    </row>
    <row r="345" spans="1:21" x14ac:dyDescent="0.2">
      <c r="A345" s="2" t="s">
        <v>1236</v>
      </c>
      <c r="B345" s="2" t="s">
        <v>1237</v>
      </c>
      <c r="C345" s="1">
        <v>9818</v>
      </c>
      <c r="D345" s="1" t="s">
        <v>44</v>
      </c>
      <c r="E345" s="1" t="s">
        <v>164</v>
      </c>
      <c r="F345" s="1"/>
      <c r="G345" s="1"/>
      <c r="H345" s="5"/>
      <c r="I345" s="5">
        <v>106</v>
      </c>
      <c r="J345" s="9">
        <v>0.54</v>
      </c>
      <c r="K345" s="5"/>
      <c r="L345" s="9">
        <f t="shared" si="12"/>
        <v>-0.26760624017703144</v>
      </c>
      <c r="M345" s="11">
        <f>GraphBacillus!$B$10-(I345-GraphBacillus!$B$6)/GraphBacillus!$B$5</f>
        <v>-0.29201485593675214</v>
      </c>
      <c r="N345" s="1" t="s">
        <v>920</v>
      </c>
      <c r="O345">
        <v>1999</v>
      </c>
      <c r="P345" t="s">
        <v>916</v>
      </c>
      <c r="S345" s="10">
        <f>GraphBacillus!$B$37*Bacillus!I345+GraphBacillus!$B$38</f>
        <v>-0.28752555133167679</v>
      </c>
      <c r="T345" s="10">
        <f>GraphBacillus!$E$37*Bacillus!I345+GraphBacillus!$E$38</f>
        <v>-0.14535643173027069</v>
      </c>
      <c r="U345" s="10">
        <f>GraphBacillus!$I$37*Bacillus!I345+GraphBacillus!$I$38</f>
        <v>-0.54343905663178038</v>
      </c>
    </row>
    <row r="346" spans="1:21" x14ac:dyDescent="0.2">
      <c r="A346" s="2" t="s">
        <v>1236</v>
      </c>
      <c r="B346" s="2" t="s">
        <v>1237</v>
      </c>
      <c r="C346" s="1">
        <v>9818</v>
      </c>
      <c r="D346" s="1" t="s">
        <v>44</v>
      </c>
      <c r="E346" s="1" t="s">
        <v>164</v>
      </c>
      <c r="F346" s="1"/>
      <c r="G346" s="1"/>
      <c r="H346" s="5"/>
      <c r="I346" s="5">
        <v>106</v>
      </c>
      <c r="J346" s="9">
        <v>1.33</v>
      </c>
      <c r="K346" s="5"/>
      <c r="L346" s="9">
        <f t="shared" si="12"/>
        <v>0.12385164096708581</v>
      </c>
      <c r="M346" s="11">
        <f>GraphBacillus!$B$10-(I346-GraphBacillus!$B$6)/GraphBacillus!$B$5</f>
        <v>-0.29201485593675214</v>
      </c>
      <c r="N346" s="1" t="s">
        <v>920</v>
      </c>
      <c r="O346">
        <v>1999</v>
      </c>
      <c r="P346" t="s">
        <v>917</v>
      </c>
      <c r="S346" s="10">
        <f>GraphBacillus!$B$37*Bacillus!I346+GraphBacillus!$B$38</f>
        <v>-0.28752555133167679</v>
      </c>
      <c r="T346" s="10">
        <f>GraphBacillus!$E$37*Bacillus!I346+GraphBacillus!$E$38</f>
        <v>-0.14535643173027069</v>
      </c>
      <c r="U346" s="10">
        <f>GraphBacillus!$I$37*Bacillus!I346+GraphBacillus!$I$38</f>
        <v>-0.54343905663178038</v>
      </c>
    </row>
    <row r="347" spans="1:21" x14ac:dyDescent="0.2">
      <c r="A347" s="2" t="s">
        <v>1236</v>
      </c>
      <c r="B347" s="2" t="s">
        <v>1237</v>
      </c>
      <c r="C347" s="1">
        <v>9818</v>
      </c>
      <c r="D347" s="1" t="s">
        <v>44</v>
      </c>
      <c r="E347" s="1" t="s">
        <v>164</v>
      </c>
      <c r="F347" s="1"/>
      <c r="G347" s="1"/>
      <c r="H347" s="5"/>
      <c r="I347" s="5">
        <v>106</v>
      </c>
      <c r="J347" s="9">
        <v>1.52</v>
      </c>
      <c r="K347" s="5"/>
      <c r="L347" s="9">
        <f t="shared" si="12"/>
        <v>0.18184358794477254</v>
      </c>
      <c r="M347" s="11">
        <f>GraphBacillus!$B$10-(I347-GraphBacillus!$B$6)/GraphBacillus!$B$5</f>
        <v>-0.29201485593675214</v>
      </c>
      <c r="N347" s="1" t="s">
        <v>920</v>
      </c>
      <c r="O347">
        <v>1999</v>
      </c>
      <c r="P347" t="s">
        <v>918</v>
      </c>
      <c r="S347" s="10"/>
      <c r="T347" s="10"/>
      <c r="U347" s="10"/>
    </row>
    <row r="348" spans="1:21" x14ac:dyDescent="0.2">
      <c r="A348" s="2" t="s">
        <v>1236</v>
      </c>
      <c r="B348" s="2" t="s">
        <v>1237</v>
      </c>
      <c r="C348" s="1">
        <v>9818</v>
      </c>
      <c r="D348" s="1" t="s">
        <v>44</v>
      </c>
      <c r="E348" s="1" t="s">
        <v>164</v>
      </c>
      <c r="F348" s="1"/>
      <c r="G348" s="1"/>
      <c r="H348" s="5"/>
      <c r="I348" s="5">
        <v>106</v>
      </c>
      <c r="J348" s="9">
        <v>1.74</v>
      </c>
      <c r="K348" s="5"/>
      <c r="L348" s="9">
        <f t="shared" si="12"/>
        <v>0.24054924828259971</v>
      </c>
      <c r="M348" s="11">
        <f>GraphBacillus!$B$10-(I348-GraphBacillus!$B$6)/GraphBacillus!$B$5</f>
        <v>-0.29201485593675214</v>
      </c>
      <c r="N348" s="1" t="s">
        <v>920</v>
      </c>
      <c r="O348">
        <v>1999</v>
      </c>
      <c r="P348" t="s">
        <v>919</v>
      </c>
      <c r="S348" s="10"/>
      <c r="T348" s="10"/>
      <c r="U348" s="10"/>
    </row>
    <row r="349" spans="1:21" x14ac:dyDescent="0.2">
      <c r="A349" s="2" t="s">
        <v>1236</v>
      </c>
      <c r="B349" s="2" t="s">
        <v>1237</v>
      </c>
      <c r="C349" s="1">
        <v>9818</v>
      </c>
      <c r="D349" s="1" t="s">
        <v>44</v>
      </c>
      <c r="E349" s="1" t="s">
        <v>164</v>
      </c>
      <c r="F349" s="1"/>
      <c r="G349" s="1"/>
      <c r="H349" s="5"/>
      <c r="I349" s="5">
        <v>110</v>
      </c>
      <c r="J349" s="9">
        <v>0.12</v>
      </c>
      <c r="K349" s="5"/>
      <c r="L349" s="9">
        <f t="shared" si="12"/>
        <v>-0.92081875395237522</v>
      </c>
      <c r="M349" s="11">
        <f>GraphBacillus!$B$10-(I349-GraphBacillus!$B$6)/GraphBacillus!$B$5</f>
        <v>-0.6034036833189852</v>
      </c>
      <c r="N349" s="1" t="s">
        <v>920</v>
      </c>
      <c r="O349">
        <v>1999</v>
      </c>
      <c r="P349" t="s">
        <v>915</v>
      </c>
      <c r="S349" s="10"/>
      <c r="T349" s="10"/>
      <c r="U349" s="10"/>
    </row>
    <row r="350" spans="1:21" x14ac:dyDescent="0.2">
      <c r="A350" s="2" t="s">
        <v>1236</v>
      </c>
      <c r="B350" s="2" t="s">
        <v>1237</v>
      </c>
      <c r="C350" s="1">
        <v>9818</v>
      </c>
      <c r="D350" s="1" t="s">
        <v>44</v>
      </c>
      <c r="E350" s="1" t="s">
        <v>164</v>
      </c>
      <c r="F350" s="1"/>
      <c r="G350" s="1"/>
      <c r="H350" s="5"/>
      <c r="I350" s="5">
        <v>110</v>
      </c>
      <c r="J350" s="9">
        <v>0.18</v>
      </c>
      <c r="K350" s="5"/>
      <c r="L350" s="9">
        <f t="shared" si="12"/>
        <v>-0.74472749489669399</v>
      </c>
      <c r="M350" s="11">
        <f>GraphBacillus!$B$10-(I350-GraphBacillus!$B$6)/GraphBacillus!$B$5</f>
        <v>-0.6034036833189852</v>
      </c>
      <c r="N350" s="1" t="s">
        <v>920</v>
      </c>
      <c r="O350">
        <v>1999</v>
      </c>
      <c r="P350" t="s">
        <v>916</v>
      </c>
      <c r="S350" s="10"/>
      <c r="T350" s="10"/>
      <c r="U350" s="10"/>
    </row>
    <row r="351" spans="1:21" x14ac:dyDescent="0.2">
      <c r="A351" s="2" t="s">
        <v>1236</v>
      </c>
      <c r="B351" s="2" t="s">
        <v>1237</v>
      </c>
      <c r="C351" s="1">
        <v>9818</v>
      </c>
      <c r="D351" s="1" t="s">
        <v>44</v>
      </c>
      <c r="E351" s="1" t="s">
        <v>164</v>
      </c>
      <c r="F351" s="1"/>
      <c r="G351" s="1"/>
      <c r="H351" s="5"/>
      <c r="I351" s="5">
        <v>110</v>
      </c>
      <c r="J351" s="9">
        <v>0.36</v>
      </c>
      <c r="K351" s="5"/>
      <c r="L351" s="9">
        <f t="shared" si="12"/>
        <v>-0.44369749923271273</v>
      </c>
      <c r="M351" s="11">
        <f>GraphBacillus!$B$10-(I351-GraphBacillus!$B$6)/GraphBacillus!$B$5</f>
        <v>-0.6034036833189852</v>
      </c>
      <c r="N351" s="1" t="s">
        <v>920</v>
      </c>
      <c r="O351">
        <v>1999</v>
      </c>
      <c r="P351" t="s">
        <v>917</v>
      </c>
      <c r="S351" s="10"/>
      <c r="T351" s="10"/>
      <c r="U351" s="10"/>
    </row>
    <row r="352" spans="1:21" x14ac:dyDescent="0.2">
      <c r="A352" s="2" t="s">
        <v>1236</v>
      </c>
      <c r="B352" s="2" t="s">
        <v>1237</v>
      </c>
      <c r="C352" s="1">
        <v>9818</v>
      </c>
      <c r="D352" s="1" t="s">
        <v>44</v>
      </c>
      <c r="E352" s="1" t="s">
        <v>164</v>
      </c>
      <c r="F352" s="1"/>
      <c r="G352" s="1"/>
      <c r="H352" s="5"/>
      <c r="I352" s="5">
        <v>110</v>
      </c>
      <c r="J352" s="9">
        <v>0.55000000000000004</v>
      </c>
      <c r="K352" s="5"/>
      <c r="L352" s="9">
        <f t="shared" si="12"/>
        <v>-0.25963731050575611</v>
      </c>
      <c r="M352" s="11">
        <f>GraphBacillus!$B$10-(I352-GraphBacillus!$B$6)/GraphBacillus!$B$5</f>
        <v>-0.6034036833189852</v>
      </c>
      <c r="N352" s="1" t="s">
        <v>920</v>
      </c>
      <c r="O352">
        <v>1999</v>
      </c>
      <c r="P352" t="s">
        <v>918</v>
      </c>
      <c r="S352" s="10"/>
      <c r="T352" s="10"/>
      <c r="U352" s="10"/>
    </row>
    <row r="353" spans="1:21" x14ac:dyDescent="0.2">
      <c r="A353" s="2" t="s">
        <v>1236</v>
      </c>
      <c r="B353" s="2" t="s">
        <v>1237</v>
      </c>
      <c r="C353" s="1">
        <v>9818</v>
      </c>
      <c r="D353" s="1" t="s">
        <v>44</v>
      </c>
      <c r="E353" s="1" t="s">
        <v>164</v>
      </c>
      <c r="F353" s="1"/>
      <c r="G353" s="1"/>
      <c r="H353" s="5"/>
      <c r="I353" s="5">
        <v>110</v>
      </c>
      <c r="J353" s="9">
        <v>0.67</v>
      </c>
      <c r="K353" s="5"/>
      <c r="L353" s="9">
        <f t="shared" si="12"/>
        <v>-0.17392519729917355</v>
      </c>
      <c r="M353" s="11">
        <f>GraphBacillus!$B$10-(I353-GraphBacillus!$B$6)/GraphBacillus!$B$5</f>
        <v>-0.6034036833189852</v>
      </c>
      <c r="N353" s="1" t="s">
        <v>920</v>
      </c>
      <c r="O353">
        <v>1999</v>
      </c>
      <c r="P353" t="s">
        <v>919</v>
      </c>
      <c r="S353" s="10"/>
      <c r="T353" s="10"/>
      <c r="U353" s="10"/>
    </row>
    <row r="354" spans="1:21" x14ac:dyDescent="0.2">
      <c r="A354" s="2" t="s">
        <v>1236</v>
      </c>
      <c r="B354" s="2" t="s">
        <v>1237</v>
      </c>
      <c r="C354" s="1">
        <v>9818</v>
      </c>
      <c r="D354" s="1" t="s">
        <v>44</v>
      </c>
      <c r="E354" s="1" t="s">
        <v>164</v>
      </c>
      <c r="F354" s="1"/>
      <c r="G354" s="1"/>
      <c r="H354" s="5"/>
      <c r="I354" s="5">
        <v>115</v>
      </c>
      <c r="J354" s="9">
        <v>3.2000000000000001E-2</v>
      </c>
      <c r="K354" s="5"/>
      <c r="L354" s="9">
        <f t="shared" si="12"/>
        <v>-1.494850021680094</v>
      </c>
      <c r="M354" s="11">
        <f>GraphBacillus!$B$10-(I354-GraphBacillus!$B$6)/GraphBacillus!$B$5</f>
        <v>-0.99263971754677649</v>
      </c>
      <c r="N354" s="1" t="s">
        <v>920</v>
      </c>
      <c r="O354">
        <v>1999</v>
      </c>
      <c r="P354" t="s">
        <v>915</v>
      </c>
      <c r="S354" s="10"/>
      <c r="T354" s="10"/>
      <c r="U354" s="10"/>
    </row>
    <row r="355" spans="1:21" x14ac:dyDescent="0.2">
      <c r="A355" s="2" t="s">
        <v>1236</v>
      </c>
      <c r="B355" s="2" t="s">
        <v>1237</v>
      </c>
      <c r="C355" s="1">
        <v>9818</v>
      </c>
      <c r="D355" s="1" t="s">
        <v>44</v>
      </c>
      <c r="E355" s="1" t="s">
        <v>164</v>
      </c>
      <c r="F355" s="1"/>
      <c r="G355" s="1"/>
      <c r="H355" s="5"/>
      <c r="I355" s="5">
        <v>115</v>
      </c>
      <c r="J355" s="9">
        <v>3.6999999999999998E-2</v>
      </c>
      <c r="K355" s="5"/>
      <c r="L355" s="9">
        <f t="shared" si="12"/>
        <v>-1.431798275933005</v>
      </c>
      <c r="M355" s="11">
        <f>GraphBacillus!$B$10-(I355-GraphBacillus!$B$6)/GraphBacillus!$B$5</f>
        <v>-0.99263971754677649</v>
      </c>
      <c r="N355" s="1" t="s">
        <v>920</v>
      </c>
      <c r="O355">
        <v>1999</v>
      </c>
      <c r="P355" t="s">
        <v>916</v>
      </c>
      <c r="S355" s="10">
        <f>GraphBacillus!$B$37*Bacillus!I355+GraphBacillus!$B$38</f>
        <v>-0.88719350527513718</v>
      </c>
      <c r="T355" s="10">
        <f>GraphBacillus!$E$37*Bacillus!I355+GraphBacillus!$E$38</f>
        <v>-0.71307548869410553</v>
      </c>
      <c r="U355" s="10">
        <f>GraphBacillus!$I$37*Bacillus!I355+GraphBacillus!$I$38</f>
        <v>-1.2227767042501076</v>
      </c>
    </row>
    <row r="356" spans="1:21" x14ac:dyDescent="0.2">
      <c r="A356" s="2" t="s">
        <v>1236</v>
      </c>
      <c r="B356" s="2" t="s">
        <v>1237</v>
      </c>
      <c r="C356" s="1">
        <v>9818</v>
      </c>
      <c r="D356" s="1" t="s">
        <v>44</v>
      </c>
      <c r="E356" s="1" t="s">
        <v>164</v>
      </c>
      <c r="F356" s="1"/>
      <c r="G356" s="1"/>
      <c r="H356" s="5"/>
      <c r="I356" s="5">
        <v>115</v>
      </c>
      <c r="J356" s="9">
        <v>7.6999999999999999E-2</v>
      </c>
      <c r="K356" s="5"/>
      <c r="L356" s="9">
        <f t="shared" si="12"/>
        <v>-1.1135092748275182</v>
      </c>
      <c r="M356" s="11">
        <f>GraphBacillus!$B$10-(I356-GraphBacillus!$B$6)/GraphBacillus!$B$5</f>
        <v>-0.99263971754677649</v>
      </c>
      <c r="N356" s="1" t="s">
        <v>920</v>
      </c>
      <c r="O356">
        <v>1999</v>
      </c>
      <c r="P356" t="s">
        <v>917</v>
      </c>
      <c r="S356" s="10"/>
      <c r="T356" s="10"/>
      <c r="U356" s="10"/>
    </row>
    <row r="357" spans="1:21" x14ac:dyDescent="0.2">
      <c r="A357" s="2" t="s">
        <v>1236</v>
      </c>
      <c r="B357" s="2" t="s">
        <v>1237</v>
      </c>
      <c r="C357" s="1">
        <v>9818</v>
      </c>
      <c r="D357" s="1" t="s">
        <v>44</v>
      </c>
      <c r="E357" s="1" t="s">
        <v>164</v>
      </c>
      <c r="F357" s="1"/>
      <c r="G357" s="1"/>
      <c r="H357" s="5"/>
      <c r="I357" s="5">
        <v>115</v>
      </c>
      <c r="J357" s="9">
        <v>0.14000000000000001</v>
      </c>
      <c r="K357" s="5"/>
      <c r="L357" s="9">
        <f t="shared" si="12"/>
        <v>-0.85387196432176193</v>
      </c>
      <c r="M357" s="11">
        <f>GraphBacillus!$B$10-(I357-GraphBacillus!$B$6)/GraphBacillus!$B$5</f>
        <v>-0.99263971754677649</v>
      </c>
      <c r="N357" s="1" t="s">
        <v>920</v>
      </c>
      <c r="O357">
        <v>1999</v>
      </c>
      <c r="P357" t="s">
        <v>918</v>
      </c>
      <c r="S357" s="10">
        <f>GraphBacillus!$B$37*Bacillus!I357+GraphBacillus!$B$38</f>
        <v>-0.88719350527513718</v>
      </c>
      <c r="T357" s="10">
        <f>GraphBacillus!$E$37*Bacillus!I357+GraphBacillus!$E$38</f>
        <v>-0.71307548869410553</v>
      </c>
      <c r="U357" s="10">
        <f>GraphBacillus!$I$37*Bacillus!I357+GraphBacillus!$I$38</f>
        <v>-1.2227767042501076</v>
      </c>
    </row>
    <row r="358" spans="1:21" x14ac:dyDescent="0.2">
      <c r="A358" s="2" t="s">
        <v>1236</v>
      </c>
      <c r="B358" s="2" t="s">
        <v>1237</v>
      </c>
      <c r="C358" s="1">
        <v>9818</v>
      </c>
      <c r="D358" s="1" t="s">
        <v>44</v>
      </c>
      <c r="E358" s="1" t="s">
        <v>164</v>
      </c>
      <c r="F358" s="1"/>
      <c r="G358" s="1"/>
      <c r="H358" s="5"/>
      <c r="I358" s="5">
        <v>115</v>
      </c>
      <c r="J358" s="9">
        <v>0.17</v>
      </c>
      <c r="K358" s="5"/>
      <c r="L358" s="9">
        <f t="shared" si="12"/>
        <v>-0.769551078621726</v>
      </c>
      <c r="M358" s="11">
        <f>GraphBacillus!$B$10-(I358-GraphBacillus!$B$6)/GraphBacillus!$B$5</f>
        <v>-0.99263971754677649</v>
      </c>
      <c r="N358" s="1" t="s">
        <v>920</v>
      </c>
      <c r="O358">
        <v>1999</v>
      </c>
      <c r="P358" t="s">
        <v>919</v>
      </c>
      <c r="S358" s="10">
        <f>GraphBacillus!$B$37*Bacillus!I358+GraphBacillus!$B$38</f>
        <v>-0.88719350527513718</v>
      </c>
      <c r="T358" s="10">
        <f>GraphBacillus!$E$37*Bacillus!I358+GraphBacillus!$E$38</f>
        <v>-0.71307548869410553</v>
      </c>
      <c r="U358" s="10">
        <f>GraphBacillus!$I$37*Bacillus!I358+GraphBacillus!$I$38</f>
        <v>-1.2227767042501076</v>
      </c>
    </row>
    <row r="359" spans="1:21" x14ac:dyDescent="0.2">
      <c r="A359" s="2" t="s">
        <v>1236</v>
      </c>
      <c r="B359" s="2" t="s">
        <v>1237</v>
      </c>
      <c r="C359" s="2" t="s">
        <v>969</v>
      </c>
      <c r="D359" s="1" t="s">
        <v>44</v>
      </c>
      <c r="E359" s="1" t="s">
        <v>1252</v>
      </c>
      <c r="F359" s="19" t="s">
        <v>1432</v>
      </c>
      <c r="G359" s="1">
        <v>0.86</v>
      </c>
      <c r="H359" s="5">
        <v>4.5</v>
      </c>
      <c r="I359" s="5">
        <v>85</v>
      </c>
      <c r="J359" s="9">
        <v>33.909999999999997</v>
      </c>
      <c r="K359" s="5"/>
      <c r="L359" s="9">
        <f t="shared" si="12"/>
        <v>1.5303277897780863</v>
      </c>
      <c r="M359" s="11">
        <f>GraphBacillus!$B$10-(I359-GraphBacillus!$B$6)/GraphBacillus!$B$5</f>
        <v>1.3427764878199717</v>
      </c>
      <c r="N359" s="1" t="s">
        <v>1087</v>
      </c>
      <c r="O359">
        <v>1998</v>
      </c>
      <c r="S359" s="10">
        <f>GraphBacillus!$B$37*Bacillus!I359+GraphBacillus!$B$38</f>
        <v>1.1116996745363954</v>
      </c>
      <c r="T359" s="10">
        <f>GraphBacillus!$E$37*Bacillus!I359+GraphBacillus!$E$38</f>
        <v>1.1793213678520091</v>
      </c>
      <c r="U359" s="10">
        <f>GraphBacillus!$I$37*Bacillus!I359+GraphBacillus!$I$38</f>
        <v>1.0416821211443184</v>
      </c>
    </row>
    <row r="360" spans="1:21" x14ac:dyDescent="0.2">
      <c r="A360" s="2" t="s">
        <v>1236</v>
      </c>
      <c r="B360" s="2" t="s">
        <v>1237</v>
      </c>
      <c r="C360" s="2" t="s">
        <v>969</v>
      </c>
      <c r="D360" s="1" t="s">
        <v>44</v>
      </c>
      <c r="E360" s="1" t="s">
        <v>1252</v>
      </c>
      <c r="F360" s="19" t="s">
        <v>1432</v>
      </c>
      <c r="G360" s="1">
        <v>0.92</v>
      </c>
      <c r="H360" s="5">
        <v>4.5</v>
      </c>
      <c r="I360" s="5">
        <v>85</v>
      </c>
      <c r="J360" s="9">
        <v>23.323</v>
      </c>
      <c r="K360" s="5"/>
      <c r="L360" s="9">
        <f t="shared" si="12"/>
        <v>1.3677844122811538</v>
      </c>
      <c r="M360" s="11">
        <f>GraphBacillus!$B$10-(I360-GraphBacillus!$B$6)/GraphBacillus!$B$5</f>
        <v>1.3427764878199717</v>
      </c>
      <c r="N360" s="1" t="s">
        <v>1087</v>
      </c>
      <c r="O360">
        <v>1998</v>
      </c>
      <c r="S360" s="10">
        <f>GraphBacillus!$B$37*Bacillus!I360+GraphBacillus!$B$38</f>
        <v>1.1116996745363954</v>
      </c>
      <c r="T360" s="10">
        <f>GraphBacillus!$E$37*Bacillus!I360+GraphBacillus!$E$38</f>
        <v>1.1793213678520091</v>
      </c>
      <c r="U360" s="10">
        <f>GraphBacillus!$I$37*Bacillus!I360+GraphBacillus!$I$38</f>
        <v>1.0416821211443184</v>
      </c>
    </row>
    <row r="361" spans="1:21" x14ac:dyDescent="0.2">
      <c r="A361" s="2" t="s">
        <v>1236</v>
      </c>
      <c r="B361" s="2" t="s">
        <v>1237</v>
      </c>
      <c r="C361" s="2" t="s">
        <v>969</v>
      </c>
      <c r="D361" s="1" t="s">
        <v>44</v>
      </c>
      <c r="E361" s="1" t="s">
        <v>1252</v>
      </c>
      <c r="F361" s="19" t="s">
        <v>1432</v>
      </c>
      <c r="G361" s="1">
        <v>0.95</v>
      </c>
      <c r="H361" s="5">
        <v>4.5</v>
      </c>
      <c r="I361" s="5">
        <v>85</v>
      </c>
      <c r="J361" s="9">
        <v>16.286000000000001</v>
      </c>
      <c r="K361" s="5"/>
      <c r="L361" s="9">
        <f t="shared" si="12"/>
        <v>1.2118144304568184</v>
      </c>
      <c r="M361" s="11">
        <f>GraphBacillus!$B$10-(I361-GraphBacillus!$B$6)/GraphBacillus!$B$5</f>
        <v>1.3427764878199717</v>
      </c>
      <c r="N361" s="1" t="s">
        <v>1087</v>
      </c>
      <c r="O361">
        <v>1998</v>
      </c>
      <c r="S361" s="10">
        <f>GraphBacillus!$B$37*Bacillus!I361+GraphBacillus!$B$38</f>
        <v>1.1116996745363954</v>
      </c>
      <c r="T361" s="10">
        <f>GraphBacillus!$E$37*Bacillus!I361+GraphBacillus!$E$38</f>
        <v>1.1793213678520091</v>
      </c>
      <c r="U361" s="10">
        <f>GraphBacillus!$I$37*Bacillus!I361+GraphBacillus!$I$38</f>
        <v>1.0416821211443184</v>
      </c>
    </row>
    <row r="362" spans="1:21" x14ac:dyDescent="0.2">
      <c r="A362" s="2" t="s">
        <v>1236</v>
      </c>
      <c r="B362" s="2" t="s">
        <v>1237</v>
      </c>
      <c r="C362" s="2" t="s">
        <v>969</v>
      </c>
      <c r="D362" s="1" t="s">
        <v>44</v>
      </c>
      <c r="E362" s="1" t="s">
        <v>1252</v>
      </c>
      <c r="F362" s="19" t="s">
        <v>1432</v>
      </c>
      <c r="G362" s="1">
        <v>0.98</v>
      </c>
      <c r="H362" s="5">
        <v>4.5</v>
      </c>
      <c r="I362" s="5">
        <v>85</v>
      </c>
      <c r="J362" s="9">
        <v>9.6470000000000002</v>
      </c>
      <c r="K362" s="5"/>
      <c r="L362" s="9">
        <f t="shared" si="12"/>
        <v>0.98439227852426558</v>
      </c>
      <c r="M362" s="11">
        <f>GraphBacillus!$B$10-(I362-GraphBacillus!$B$6)/GraphBacillus!$B$5</f>
        <v>1.3427764878199717</v>
      </c>
      <c r="N362" s="1" t="s">
        <v>1087</v>
      </c>
      <c r="O362">
        <v>1998</v>
      </c>
      <c r="S362" s="10">
        <f>GraphBacillus!$B$37*Bacillus!I362+GraphBacillus!$B$38</f>
        <v>1.1116996745363954</v>
      </c>
      <c r="T362" s="10">
        <f>GraphBacillus!$E$37*Bacillus!I362+GraphBacillus!$E$38</f>
        <v>1.1793213678520091</v>
      </c>
      <c r="U362" s="10">
        <f>GraphBacillus!$I$37*Bacillus!I362+GraphBacillus!$I$38</f>
        <v>1.0416821211443184</v>
      </c>
    </row>
    <row r="363" spans="1:21" x14ac:dyDescent="0.2">
      <c r="A363" s="2" t="s">
        <v>1236</v>
      </c>
      <c r="B363" s="2" t="s">
        <v>1237</v>
      </c>
      <c r="C363" s="2" t="s">
        <v>969</v>
      </c>
      <c r="D363" s="1" t="s">
        <v>44</v>
      </c>
      <c r="E363" s="1" t="s">
        <v>1252</v>
      </c>
      <c r="F363" s="19" t="s">
        <v>1432</v>
      </c>
      <c r="G363" s="1">
        <v>0.86</v>
      </c>
      <c r="H363" s="5">
        <v>4.5</v>
      </c>
      <c r="I363" s="5">
        <v>95</v>
      </c>
      <c r="J363" s="9">
        <v>7.7759999999999998</v>
      </c>
      <c r="K363" s="5"/>
      <c r="L363" s="9">
        <f t="shared" si="12"/>
        <v>0.89075625191821817</v>
      </c>
      <c r="M363" s="11">
        <f>GraphBacillus!$B$10-(I363-GraphBacillus!$B$6)/GraphBacillus!$B$5</f>
        <v>0.56430441936438891</v>
      </c>
      <c r="N363" s="1" t="s">
        <v>1087</v>
      </c>
      <c r="O363">
        <v>1998</v>
      </c>
      <c r="S363" s="10">
        <f>GraphBacillus!$B$37*Bacillus!I363+GraphBacillus!$B$38</f>
        <v>0.4454019479325515</v>
      </c>
      <c r="T363" s="10">
        <f>GraphBacillus!$E$37*Bacillus!I363+GraphBacillus!$E$38</f>
        <v>0.54852241566997151</v>
      </c>
      <c r="U363" s="10">
        <f>GraphBacillus!$I$37*Bacillus!I363+GraphBacillus!$I$38</f>
        <v>0.28686251267950968</v>
      </c>
    </row>
    <row r="364" spans="1:21" x14ac:dyDescent="0.2">
      <c r="A364" s="2" t="s">
        <v>1236</v>
      </c>
      <c r="B364" s="2" t="s">
        <v>1237</v>
      </c>
      <c r="C364" s="2" t="s">
        <v>969</v>
      </c>
      <c r="D364" s="1" t="s">
        <v>44</v>
      </c>
      <c r="E364" s="1" t="s">
        <v>1252</v>
      </c>
      <c r="F364" s="19" t="s">
        <v>1432</v>
      </c>
      <c r="G364" s="1">
        <v>0.92</v>
      </c>
      <c r="H364" s="5">
        <v>4.5</v>
      </c>
      <c r="I364" s="5">
        <v>95</v>
      </c>
      <c r="J364" s="9">
        <v>2.64</v>
      </c>
      <c r="K364" s="5"/>
      <c r="L364" s="9">
        <f t="shared" si="12"/>
        <v>0.42160392686983106</v>
      </c>
      <c r="M364" s="11">
        <f>GraphBacillus!$B$10-(I364-GraphBacillus!$B$6)/GraphBacillus!$B$5</f>
        <v>0.56430441936438891</v>
      </c>
      <c r="N364" s="1" t="s">
        <v>1087</v>
      </c>
      <c r="O364">
        <v>1998</v>
      </c>
      <c r="S364" s="10">
        <f>GraphBacillus!$B$37*Bacillus!I364+GraphBacillus!$B$38</f>
        <v>0.4454019479325515</v>
      </c>
      <c r="T364" s="10">
        <f>GraphBacillus!$E$37*Bacillus!I364+GraphBacillus!$E$38</f>
        <v>0.54852241566997151</v>
      </c>
      <c r="U364" s="10">
        <f>GraphBacillus!$I$37*Bacillus!I364+GraphBacillus!$I$38</f>
        <v>0.28686251267950968</v>
      </c>
    </row>
    <row r="365" spans="1:21" x14ac:dyDescent="0.2">
      <c r="A365" s="2" t="s">
        <v>1236</v>
      </c>
      <c r="B365" s="2" t="s">
        <v>1237</v>
      </c>
      <c r="C365" s="2" t="s">
        <v>969</v>
      </c>
      <c r="D365" s="1" t="s">
        <v>44</v>
      </c>
      <c r="E365" s="1" t="s">
        <v>1252</v>
      </c>
      <c r="F365" s="19" t="s">
        <v>1432</v>
      </c>
      <c r="G365" s="1">
        <v>0.95</v>
      </c>
      <c r="H365" s="5">
        <v>4.5</v>
      </c>
      <c r="I365" s="5">
        <v>95</v>
      </c>
      <c r="J365" s="9">
        <v>1.409</v>
      </c>
      <c r="K365" s="5"/>
      <c r="L365" s="9">
        <f t="shared" si="12"/>
        <v>0.14891099310935643</v>
      </c>
      <c r="M365" s="11">
        <f>GraphBacillus!$B$10-(I365-GraphBacillus!$B$6)/GraphBacillus!$B$5</f>
        <v>0.56430441936438891</v>
      </c>
      <c r="N365" s="1" t="s">
        <v>1087</v>
      </c>
      <c r="O365">
        <v>1998</v>
      </c>
      <c r="S365" s="10">
        <f>GraphBacillus!$B$37*Bacillus!I365+GraphBacillus!$B$38</f>
        <v>0.4454019479325515</v>
      </c>
      <c r="T365" s="10">
        <f>GraphBacillus!$E$37*Bacillus!I365+GraphBacillus!$E$38</f>
        <v>0.54852241566997151</v>
      </c>
      <c r="U365" s="10">
        <f>GraphBacillus!$I$37*Bacillus!I365+GraphBacillus!$I$38</f>
        <v>0.28686251267950968</v>
      </c>
    </row>
    <row r="366" spans="1:21" x14ac:dyDescent="0.2">
      <c r="A366" s="2" t="s">
        <v>1236</v>
      </c>
      <c r="B366" s="2" t="s">
        <v>1237</v>
      </c>
      <c r="C366" s="2" t="s">
        <v>969</v>
      </c>
      <c r="D366" s="1" t="s">
        <v>44</v>
      </c>
      <c r="E366" s="1" t="s">
        <v>1252</v>
      </c>
      <c r="F366" s="19" t="s">
        <v>1432</v>
      </c>
      <c r="G366" s="1">
        <v>0.98</v>
      </c>
      <c r="H366" s="5">
        <v>4.5</v>
      </c>
      <c r="I366" s="5">
        <v>95</v>
      </c>
      <c r="J366" s="9">
        <v>0.89200000000000002</v>
      </c>
      <c r="K366" s="5"/>
      <c r="L366" s="9">
        <f t="shared" si="12"/>
        <v>-4.9635145623876928E-2</v>
      </c>
      <c r="M366" s="11">
        <f>GraphBacillus!$B$10-(I366-GraphBacillus!$B$6)/GraphBacillus!$B$5</f>
        <v>0.56430441936438891</v>
      </c>
      <c r="N366" s="1" t="s">
        <v>1087</v>
      </c>
      <c r="O366">
        <v>1998</v>
      </c>
      <c r="S366" s="10">
        <f>GraphBacillus!$B$37*Bacillus!I366+GraphBacillus!$B$38</f>
        <v>0.4454019479325515</v>
      </c>
      <c r="T366" s="10">
        <f>GraphBacillus!$E$37*Bacillus!I366+GraphBacillus!$E$38</f>
        <v>0.54852241566997151</v>
      </c>
      <c r="U366" s="10">
        <f>GraphBacillus!$I$37*Bacillus!I366+GraphBacillus!$I$38</f>
        <v>0.28686251267950968</v>
      </c>
    </row>
    <row r="367" spans="1:21" x14ac:dyDescent="0.2">
      <c r="A367" s="2" t="s">
        <v>1236</v>
      </c>
      <c r="B367" s="2" t="s">
        <v>1237</v>
      </c>
      <c r="C367" s="2" t="s">
        <v>969</v>
      </c>
      <c r="D367" s="1" t="s">
        <v>44</v>
      </c>
      <c r="E367" s="1" t="s">
        <v>1252</v>
      </c>
      <c r="F367" s="19" t="s">
        <v>1432</v>
      </c>
      <c r="G367" s="1">
        <v>0.86</v>
      </c>
      <c r="H367" s="5">
        <v>4.5</v>
      </c>
      <c r="I367" s="5">
        <v>105</v>
      </c>
      <c r="J367" s="9">
        <v>0.47499999999999998</v>
      </c>
      <c r="K367" s="5"/>
      <c r="L367" s="9">
        <f t="shared" ref="L367:L399" si="13">LOG(J367)</f>
        <v>-0.32330639037513342</v>
      </c>
      <c r="M367" s="11">
        <f>GraphBacillus!$B$10-(I367-GraphBacillus!$B$6)/GraphBacillus!$B$5</f>
        <v>-0.2141676490911939</v>
      </c>
      <c r="N367" s="1" t="s">
        <v>1087</v>
      </c>
      <c r="O367">
        <v>1998</v>
      </c>
      <c r="S367" s="10">
        <f>GraphBacillus!$B$37*Bacillus!I367+GraphBacillus!$B$38</f>
        <v>-0.2208957786712924</v>
      </c>
      <c r="T367" s="10">
        <f>GraphBacillus!$E$37*Bacillus!I367+GraphBacillus!$E$38</f>
        <v>-8.2276536512067011E-2</v>
      </c>
      <c r="U367" s="10">
        <f>GraphBacillus!$I$37*Bacillus!I367+GraphBacillus!$I$38</f>
        <v>-0.46795709578529898</v>
      </c>
    </row>
    <row r="368" spans="1:21" x14ac:dyDescent="0.2">
      <c r="A368" s="2" t="s">
        <v>1236</v>
      </c>
      <c r="B368" s="2" t="s">
        <v>1237</v>
      </c>
      <c r="C368" s="2" t="s">
        <v>969</v>
      </c>
      <c r="D368" s="1" t="s">
        <v>44</v>
      </c>
      <c r="E368" s="1" t="s">
        <v>1252</v>
      </c>
      <c r="F368" s="19" t="s">
        <v>1432</v>
      </c>
      <c r="G368" s="1">
        <v>0.92</v>
      </c>
      <c r="H368" s="5">
        <v>4.5</v>
      </c>
      <c r="I368" s="5">
        <v>105</v>
      </c>
      <c r="J368" s="9">
        <v>0.221</v>
      </c>
      <c r="K368" s="5"/>
      <c r="L368" s="9">
        <f t="shared" si="13"/>
        <v>-0.65560772631488928</v>
      </c>
      <c r="M368" s="11">
        <f>GraphBacillus!$B$10-(I368-GraphBacillus!$B$6)/GraphBacillus!$B$5</f>
        <v>-0.2141676490911939</v>
      </c>
      <c r="N368" s="1" t="s">
        <v>1087</v>
      </c>
      <c r="O368">
        <v>1998</v>
      </c>
      <c r="S368" s="10">
        <f>GraphBacillus!$B$37*Bacillus!I368+GraphBacillus!$B$38</f>
        <v>-0.2208957786712924</v>
      </c>
      <c r="T368" s="10">
        <f>GraphBacillus!$E$37*Bacillus!I368+GraphBacillus!$E$38</f>
        <v>-8.2276536512067011E-2</v>
      </c>
      <c r="U368" s="10">
        <f>GraphBacillus!$I$37*Bacillus!I368+GraphBacillus!$I$38</f>
        <v>-0.46795709578529898</v>
      </c>
    </row>
    <row r="369" spans="1:21" x14ac:dyDescent="0.2">
      <c r="A369" s="2" t="s">
        <v>1236</v>
      </c>
      <c r="B369" s="2" t="s">
        <v>1237</v>
      </c>
      <c r="C369" s="2" t="s">
        <v>969</v>
      </c>
      <c r="D369" s="1" t="s">
        <v>44</v>
      </c>
      <c r="E369" s="1" t="s">
        <v>1252</v>
      </c>
      <c r="F369" s="19" t="s">
        <v>1432</v>
      </c>
      <c r="G369" s="1">
        <v>0.95</v>
      </c>
      <c r="H369" s="5">
        <v>4.5</v>
      </c>
      <c r="I369" s="5">
        <v>105</v>
      </c>
      <c r="J369" s="9">
        <v>0.15</v>
      </c>
      <c r="K369" s="5"/>
      <c r="L369" s="9">
        <f t="shared" si="13"/>
        <v>-0.82390874094431876</v>
      </c>
      <c r="M369" s="11">
        <f>GraphBacillus!$B$10-(I369-GraphBacillus!$B$6)/GraphBacillus!$B$5</f>
        <v>-0.2141676490911939</v>
      </c>
      <c r="N369" s="1" t="s">
        <v>1087</v>
      </c>
      <c r="O369">
        <v>1998</v>
      </c>
      <c r="S369" s="10">
        <f>GraphBacillus!$B$37*Bacillus!I369+GraphBacillus!$B$38</f>
        <v>-0.2208957786712924</v>
      </c>
      <c r="T369" s="10">
        <f>GraphBacillus!$E$37*Bacillus!I369+GraphBacillus!$E$38</f>
        <v>-8.2276536512067011E-2</v>
      </c>
      <c r="U369" s="10">
        <f>GraphBacillus!$I$37*Bacillus!I369+GraphBacillus!$I$38</f>
        <v>-0.46795709578529898</v>
      </c>
    </row>
    <row r="370" spans="1:21" x14ac:dyDescent="0.2">
      <c r="A370" s="2" t="s">
        <v>1236</v>
      </c>
      <c r="B370" s="2" t="s">
        <v>1237</v>
      </c>
      <c r="C370" s="2" t="s">
        <v>969</v>
      </c>
      <c r="D370" s="1" t="s">
        <v>44</v>
      </c>
      <c r="E370" s="1" t="s">
        <v>1252</v>
      </c>
      <c r="F370" s="19" t="s">
        <v>1432</v>
      </c>
      <c r="G370" s="1">
        <v>0.98</v>
      </c>
      <c r="H370" s="5">
        <v>4.5</v>
      </c>
      <c r="I370" s="5">
        <v>105</v>
      </c>
      <c r="J370" s="9">
        <v>0.129</v>
      </c>
      <c r="K370" s="5"/>
      <c r="L370" s="9">
        <f t="shared" si="13"/>
        <v>-0.88941028970075098</v>
      </c>
      <c r="M370" s="11">
        <f>GraphBacillus!$B$10-(I370-GraphBacillus!$B$6)/GraphBacillus!$B$5</f>
        <v>-0.2141676490911939</v>
      </c>
      <c r="N370" s="1" t="s">
        <v>1087</v>
      </c>
      <c r="O370">
        <v>1998</v>
      </c>
      <c r="S370" s="10">
        <f>GraphBacillus!$B$37*Bacillus!I370+GraphBacillus!$B$38</f>
        <v>-0.2208957786712924</v>
      </c>
      <c r="T370" s="10">
        <f>GraphBacillus!$E$37*Bacillus!I370+GraphBacillus!$E$38</f>
        <v>-8.2276536512067011E-2</v>
      </c>
      <c r="U370" s="10">
        <f>GraphBacillus!$I$37*Bacillus!I370+GraphBacillus!$I$38</f>
        <v>-0.46795709578529898</v>
      </c>
    </row>
    <row r="371" spans="1:21" x14ac:dyDescent="0.2">
      <c r="A371" s="2" t="s">
        <v>1236</v>
      </c>
      <c r="B371" s="2" t="s">
        <v>1237</v>
      </c>
      <c r="C371" s="2" t="s">
        <v>969</v>
      </c>
      <c r="D371" s="1" t="s">
        <v>44</v>
      </c>
      <c r="E371" s="1" t="s">
        <v>1252</v>
      </c>
      <c r="F371" s="19" t="s">
        <v>1432</v>
      </c>
      <c r="G371" s="1">
        <v>0.86</v>
      </c>
      <c r="H371" s="5">
        <v>5.5</v>
      </c>
      <c r="I371" s="5">
        <v>85</v>
      </c>
      <c r="J371" s="9">
        <v>91.54</v>
      </c>
      <c r="K371" s="5"/>
      <c r="L371" s="9">
        <f t="shared" si="13"/>
        <v>1.9616109080912807</v>
      </c>
      <c r="M371" s="11">
        <f>GraphBacillus!$B$10-(I371-GraphBacillus!$B$6)/GraphBacillus!$B$5</f>
        <v>1.3427764878199717</v>
      </c>
      <c r="N371" s="1" t="s">
        <v>1087</v>
      </c>
      <c r="O371">
        <v>1998</v>
      </c>
      <c r="S371" s="10">
        <f>GraphBacillus!$B$37*Bacillus!I371+GraphBacillus!$B$38</f>
        <v>1.1116996745363954</v>
      </c>
      <c r="T371" s="10">
        <f>GraphBacillus!$E$37*Bacillus!I371+GraphBacillus!$E$38</f>
        <v>1.1793213678520091</v>
      </c>
      <c r="U371" s="10">
        <f>GraphBacillus!$I$37*Bacillus!I371+GraphBacillus!$I$38</f>
        <v>1.0416821211443184</v>
      </c>
    </row>
    <row r="372" spans="1:21" x14ac:dyDescent="0.2">
      <c r="A372" s="2" t="s">
        <v>1236</v>
      </c>
      <c r="B372" s="2" t="s">
        <v>1237</v>
      </c>
      <c r="C372" s="2" t="s">
        <v>969</v>
      </c>
      <c r="D372" s="1" t="s">
        <v>44</v>
      </c>
      <c r="E372" s="1" t="s">
        <v>1252</v>
      </c>
      <c r="F372" s="19" t="s">
        <v>1432</v>
      </c>
      <c r="G372" s="1">
        <v>0.92</v>
      </c>
      <c r="H372" s="5">
        <v>5.5</v>
      </c>
      <c r="I372" s="5">
        <v>85</v>
      </c>
      <c r="J372" s="9">
        <v>40.274999999999999</v>
      </c>
      <c r="K372" s="5"/>
      <c r="L372" s="9">
        <f t="shared" si="13"/>
        <v>1.6050355490912556</v>
      </c>
      <c r="M372" s="11">
        <f>GraphBacillus!$B$10-(I372-GraphBacillus!$B$6)/GraphBacillus!$B$5</f>
        <v>1.3427764878199717</v>
      </c>
      <c r="N372" s="1" t="s">
        <v>1087</v>
      </c>
      <c r="O372">
        <v>1998</v>
      </c>
      <c r="S372" s="10">
        <f>GraphBacillus!$B$37*Bacillus!I372+GraphBacillus!$B$38</f>
        <v>1.1116996745363954</v>
      </c>
      <c r="T372" s="10">
        <f>GraphBacillus!$E$37*Bacillus!I372+GraphBacillus!$E$38</f>
        <v>1.1793213678520091</v>
      </c>
      <c r="U372" s="10">
        <f>GraphBacillus!$I$37*Bacillus!I372+GraphBacillus!$I$38</f>
        <v>1.0416821211443184</v>
      </c>
    </row>
    <row r="373" spans="1:21" x14ac:dyDescent="0.2">
      <c r="A373" s="2" t="s">
        <v>1236</v>
      </c>
      <c r="B373" s="2" t="s">
        <v>1237</v>
      </c>
      <c r="C373" s="2" t="s">
        <v>969</v>
      </c>
      <c r="D373" s="1" t="s">
        <v>44</v>
      </c>
      <c r="E373" s="1" t="s">
        <v>1252</v>
      </c>
      <c r="F373" s="19" t="s">
        <v>1432</v>
      </c>
      <c r="G373" s="1">
        <v>0.95</v>
      </c>
      <c r="H373" s="5">
        <v>5.5</v>
      </c>
      <c r="I373" s="5">
        <v>85</v>
      </c>
      <c r="J373" s="9">
        <v>30.54</v>
      </c>
      <c r="K373" s="5"/>
      <c r="L373" s="9">
        <f t="shared" si="13"/>
        <v>1.4848690327204024</v>
      </c>
      <c r="M373" s="11">
        <f>GraphBacillus!$B$10-(I373-GraphBacillus!$B$6)/GraphBacillus!$B$5</f>
        <v>1.3427764878199717</v>
      </c>
      <c r="N373" s="1" t="s">
        <v>1087</v>
      </c>
      <c r="O373">
        <v>1998</v>
      </c>
      <c r="S373" s="10">
        <f>GraphBacillus!$B$37*Bacillus!I373+GraphBacillus!$B$38</f>
        <v>1.1116996745363954</v>
      </c>
      <c r="T373" s="10">
        <f>GraphBacillus!$E$37*Bacillus!I373+GraphBacillus!$E$38</f>
        <v>1.1793213678520091</v>
      </c>
      <c r="U373" s="10">
        <f>GraphBacillus!$I$37*Bacillus!I373+GraphBacillus!$I$38</f>
        <v>1.0416821211443184</v>
      </c>
    </row>
    <row r="374" spans="1:21" x14ac:dyDescent="0.2">
      <c r="A374" s="2" t="s">
        <v>1236</v>
      </c>
      <c r="B374" s="2" t="s">
        <v>1237</v>
      </c>
      <c r="C374" s="2" t="s">
        <v>969</v>
      </c>
      <c r="D374" s="1" t="s">
        <v>44</v>
      </c>
      <c r="E374" s="1" t="s">
        <v>1252</v>
      </c>
      <c r="F374" s="19" t="s">
        <v>1432</v>
      </c>
      <c r="G374" s="1">
        <v>0.98</v>
      </c>
      <c r="H374" s="5">
        <v>5.5</v>
      </c>
      <c r="I374" s="5">
        <v>85</v>
      </c>
      <c r="J374" s="9">
        <v>18.821000000000002</v>
      </c>
      <c r="K374" s="5"/>
      <c r="L374" s="9">
        <f t="shared" si="13"/>
        <v>1.2746426946993255</v>
      </c>
      <c r="M374" s="11">
        <f>GraphBacillus!$B$10-(I374-GraphBacillus!$B$6)/GraphBacillus!$B$5</f>
        <v>1.3427764878199717</v>
      </c>
      <c r="N374" s="1" t="s">
        <v>1087</v>
      </c>
      <c r="O374">
        <v>1998</v>
      </c>
      <c r="S374" s="10">
        <f>GraphBacillus!$B$37*Bacillus!I374+GraphBacillus!$B$38</f>
        <v>1.1116996745363954</v>
      </c>
      <c r="T374" s="10">
        <f>GraphBacillus!$E$37*Bacillus!I374+GraphBacillus!$E$38</f>
        <v>1.1793213678520091</v>
      </c>
      <c r="U374" s="10">
        <f>GraphBacillus!$I$37*Bacillus!I374+GraphBacillus!$I$38</f>
        <v>1.0416821211443184</v>
      </c>
    </row>
    <row r="375" spans="1:21" x14ac:dyDescent="0.2">
      <c r="A375" s="2" t="s">
        <v>1236</v>
      </c>
      <c r="B375" s="2" t="s">
        <v>1237</v>
      </c>
      <c r="C375" s="2" t="s">
        <v>969</v>
      </c>
      <c r="D375" s="1" t="s">
        <v>44</v>
      </c>
      <c r="E375" s="1" t="s">
        <v>1252</v>
      </c>
      <c r="F375" s="19" t="s">
        <v>1432</v>
      </c>
      <c r="G375" s="1">
        <v>0.8</v>
      </c>
      <c r="H375" s="5">
        <v>5.5</v>
      </c>
      <c r="I375" s="5">
        <v>95</v>
      </c>
      <c r="J375" s="9">
        <v>29.236000000000001</v>
      </c>
      <c r="K375" s="5"/>
      <c r="L375" s="9">
        <f t="shared" si="13"/>
        <v>1.4659179532119353</v>
      </c>
      <c r="M375" s="11">
        <f>GraphBacillus!$B$10-(I375-GraphBacillus!$B$6)/GraphBacillus!$B$5</f>
        <v>0.56430441936438891</v>
      </c>
      <c r="N375" s="1" t="s">
        <v>1087</v>
      </c>
      <c r="O375">
        <v>1998</v>
      </c>
      <c r="S375" s="10">
        <f>GraphBacillus!$B$37*Bacillus!I375+GraphBacillus!$B$38</f>
        <v>0.4454019479325515</v>
      </c>
      <c r="T375" s="10">
        <f>GraphBacillus!$E$37*Bacillus!I375+GraphBacillus!$E$38</f>
        <v>0.54852241566997151</v>
      </c>
      <c r="U375" s="10">
        <f>GraphBacillus!$I$37*Bacillus!I375+GraphBacillus!$I$38</f>
        <v>0.28686251267950968</v>
      </c>
    </row>
    <row r="376" spans="1:21" x14ac:dyDescent="0.2">
      <c r="A376" s="2" t="s">
        <v>1236</v>
      </c>
      <c r="B376" s="2" t="s">
        <v>1237</v>
      </c>
      <c r="C376" s="2" t="s">
        <v>969</v>
      </c>
      <c r="D376" s="1" t="s">
        <v>44</v>
      </c>
      <c r="E376" s="1" t="s">
        <v>1252</v>
      </c>
      <c r="F376" s="19" t="s">
        <v>1432</v>
      </c>
      <c r="G376" s="1">
        <v>0.8</v>
      </c>
      <c r="H376" s="5">
        <v>5.5</v>
      </c>
      <c r="I376" s="5">
        <v>95</v>
      </c>
      <c r="J376" s="9">
        <v>17.013999999999999</v>
      </c>
      <c r="K376" s="5"/>
      <c r="L376" s="9">
        <f t="shared" si="13"/>
        <v>1.2308064284688831</v>
      </c>
      <c r="M376" s="11">
        <f>GraphBacillus!$B$10-(I376-GraphBacillus!$B$6)/GraphBacillus!$B$5</f>
        <v>0.56430441936438891</v>
      </c>
      <c r="N376" s="1" t="s">
        <v>1087</v>
      </c>
      <c r="O376">
        <v>1998</v>
      </c>
      <c r="S376" s="10">
        <f>GraphBacillus!$B$37*Bacillus!I376+GraphBacillus!$B$38</f>
        <v>0.4454019479325515</v>
      </c>
      <c r="T376" s="10">
        <f>GraphBacillus!$E$37*Bacillus!I376+GraphBacillus!$E$38</f>
        <v>0.54852241566997151</v>
      </c>
      <c r="U376" s="10">
        <f>GraphBacillus!$I$37*Bacillus!I376+GraphBacillus!$I$38</f>
        <v>0.28686251267950968</v>
      </c>
    </row>
    <row r="377" spans="1:21" x14ac:dyDescent="0.2">
      <c r="A377" s="2" t="s">
        <v>1236</v>
      </c>
      <c r="B377" s="2" t="s">
        <v>1237</v>
      </c>
      <c r="C377" s="2" t="s">
        <v>969</v>
      </c>
      <c r="D377" s="1" t="s">
        <v>44</v>
      </c>
      <c r="E377" s="1" t="s">
        <v>1252</v>
      </c>
      <c r="F377" s="19" t="s">
        <v>1432</v>
      </c>
      <c r="G377" s="1">
        <v>0.83</v>
      </c>
      <c r="H377" s="5">
        <v>5.5</v>
      </c>
      <c r="I377" s="5">
        <v>95</v>
      </c>
      <c r="J377" s="9">
        <v>22.870999999999999</v>
      </c>
      <c r="K377" s="5"/>
      <c r="L377" s="9">
        <f t="shared" si="13"/>
        <v>1.3592851538934703</v>
      </c>
      <c r="M377" s="11">
        <f>GraphBacillus!$B$10-(I377-GraphBacillus!$B$6)/GraphBacillus!$B$5</f>
        <v>0.56430441936438891</v>
      </c>
      <c r="N377" s="1" t="s">
        <v>1087</v>
      </c>
      <c r="O377">
        <v>1998</v>
      </c>
      <c r="S377" s="10">
        <f>GraphBacillus!$B$37*Bacillus!I377+GraphBacillus!$B$38</f>
        <v>0.4454019479325515</v>
      </c>
      <c r="T377" s="10">
        <f>GraphBacillus!$E$37*Bacillus!I377+GraphBacillus!$E$38</f>
        <v>0.54852241566997151</v>
      </c>
      <c r="U377" s="10">
        <f>GraphBacillus!$I$37*Bacillus!I377+GraphBacillus!$I$38</f>
        <v>0.28686251267950968</v>
      </c>
    </row>
    <row r="378" spans="1:21" x14ac:dyDescent="0.2">
      <c r="A378" s="2" t="s">
        <v>1236</v>
      </c>
      <c r="B378" s="2" t="s">
        <v>1237</v>
      </c>
      <c r="C378" s="2" t="s">
        <v>969</v>
      </c>
      <c r="D378" s="1" t="s">
        <v>44</v>
      </c>
      <c r="E378" s="1" t="s">
        <v>1252</v>
      </c>
      <c r="F378" s="19" t="s">
        <v>1432</v>
      </c>
      <c r="G378" s="1">
        <v>0.83</v>
      </c>
      <c r="H378" s="5">
        <v>5.5</v>
      </c>
      <c r="I378" s="5">
        <v>95</v>
      </c>
      <c r="J378" s="9">
        <v>13.605</v>
      </c>
      <c r="K378" s="5"/>
      <c r="L378" s="9">
        <f t="shared" si="13"/>
        <v>1.1336985461157765</v>
      </c>
      <c r="M378" s="11">
        <f>GraphBacillus!$B$10-(I378-GraphBacillus!$B$6)/GraphBacillus!$B$5</f>
        <v>0.56430441936438891</v>
      </c>
      <c r="N378" s="1" t="s">
        <v>1087</v>
      </c>
      <c r="O378">
        <v>1998</v>
      </c>
      <c r="S378" s="10">
        <f>GraphBacillus!$B$37*Bacillus!I378+GraphBacillus!$B$38</f>
        <v>0.4454019479325515</v>
      </c>
      <c r="T378" s="10">
        <f>GraphBacillus!$E$37*Bacillus!I378+GraphBacillus!$E$38</f>
        <v>0.54852241566997151</v>
      </c>
      <c r="U378" s="10">
        <f>GraphBacillus!$I$37*Bacillus!I378+GraphBacillus!$I$38</f>
        <v>0.28686251267950968</v>
      </c>
    </row>
    <row r="379" spans="1:21" x14ac:dyDescent="0.2">
      <c r="A379" s="2" t="s">
        <v>1236</v>
      </c>
      <c r="B379" s="2" t="s">
        <v>1237</v>
      </c>
      <c r="C379" s="2" t="s">
        <v>969</v>
      </c>
      <c r="D379" s="1" t="s">
        <v>44</v>
      </c>
      <c r="E379" s="1" t="s">
        <v>1252</v>
      </c>
      <c r="F379" s="19" t="s">
        <v>1432</v>
      </c>
      <c r="G379" s="1">
        <v>0.86</v>
      </c>
      <c r="H379" s="5">
        <v>5.5</v>
      </c>
      <c r="I379" s="5">
        <v>95</v>
      </c>
      <c r="J379" s="9">
        <v>14.513</v>
      </c>
      <c r="K379" s="5"/>
      <c r="L379" s="9">
        <f t="shared" si="13"/>
        <v>1.1617571952617272</v>
      </c>
      <c r="M379" s="11">
        <f>GraphBacillus!$B$10-(I379-GraphBacillus!$B$6)/GraphBacillus!$B$5</f>
        <v>0.56430441936438891</v>
      </c>
      <c r="N379" s="1" t="s">
        <v>1087</v>
      </c>
      <c r="O379">
        <v>1998</v>
      </c>
      <c r="S379" s="10">
        <f>GraphBacillus!$B$37*Bacillus!I379+GraphBacillus!$B$38</f>
        <v>0.4454019479325515</v>
      </c>
      <c r="T379" s="10">
        <f>GraphBacillus!$E$37*Bacillus!I379+GraphBacillus!$E$38</f>
        <v>0.54852241566997151</v>
      </c>
      <c r="U379" s="10">
        <f>GraphBacillus!$I$37*Bacillus!I379+GraphBacillus!$I$38</f>
        <v>0.28686251267950968</v>
      </c>
    </row>
    <row r="380" spans="1:21" x14ac:dyDescent="0.2">
      <c r="A380" s="2" t="s">
        <v>1236</v>
      </c>
      <c r="B380" s="2" t="s">
        <v>1237</v>
      </c>
      <c r="C380" s="2" t="s">
        <v>969</v>
      </c>
      <c r="D380" s="1" t="s">
        <v>44</v>
      </c>
      <c r="E380" s="1" t="s">
        <v>1252</v>
      </c>
      <c r="F380" s="19" t="s">
        <v>1432</v>
      </c>
      <c r="G380" s="1">
        <v>0.86</v>
      </c>
      <c r="H380" s="5">
        <v>5.5</v>
      </c>
      <c r="I380" s="5">
        <v>95</v>
      </c>
      <c r="J380" s="9">
        <v>8.3460000000000001</v>
      </c>
      <c r="K380" s="5"/>
      <c r="L380" s="9">
        <f t="shared" si="13"/>
        <v>0.92147838037569008</v>
      </c>
      <c r="M380" s="11">
        <f>GraphBacillus!$B$10-(I380-GraphBacillus!$B$6)/GraphBacillus!$B$5</f>
        <v>0.56430441936438891</v>
      </c>
      <c r="N380" s="1" t="s">
        <v>1087</v>
      </c>
      <c r="O380">
        <v>1998</v>
      </c>
      <c r="S380" s="10">
        <f>GraphBacillus!$B$37*Bacillus!I380+GraphBacillus!$B$38</f>
        <v>0.4454019479325515</v>
      </c>
      <c r="T380" s="10">
        <f>GraphBacillus!$E$37*Bacillus!I380+GraphBacillus!$E$38</f>
        <v>0.54852241566997151</v>
      </c>
      <c r="U380" s="10">
        <f>GraphBacillus!$I$37*Bacillus!I380+GraphBacillus!$I$38</f>
        <v>0.28686251267950968</v>
      </c>
    </row>
    <row r="381" spans="1:21" x14ac:dyDescent="0.2">
      <c r="A381" s="2" t="s">
        <v>1236</v>
      </c>
      <c r="B381" s="2" t="s">
        <v>1237</v>
      </c>
      <c r="C381" s="2" t="s">
        <v>969</v>
      </c>
      <c r="D381" s="1" t="s">
        <v>44</v>
      </c>
      <c r="E381" s="1" t="s">
        <v>1252</v>
      </c>
      <c r="F381" s="19" t="s">
        <v>1432</v>
      </c>
      <c r="G381" s="1">
        <v>0.89</v>
      </c>
      <c r="H381" s="5">
        <v>5.5</v>
      </c>
      <c r="I381" s="5">
        <v>95</v>
      </c>
      <c r="J381" s="9">
        <v>7.9320000000000004</v>
      </c>
      <c r="K381" s="5"/>
      <c r="L381" s="9">
        <f t="shared" si="13"/>
        <v>0.89938270553326505</v>
      </c>
      <c r="M381" s="11">
        <f>GraphBacillus!$B$10-(I381-GraphBacillus!$B$6)/GraphBacillus!$B$5</f>
        <v>0.56430441936438891</v>
      </c>
      <c r="N381" s="1" t="s">
        <v>1087</v>
      </c>
      <c r="O381">
        <v>1998</v>
      </c>
      <c r="S381" s="10">
        <f>GraphBacillus!$B$37*Bacillus!I381+GraphBacillus!$B$38</f>
        <v>0.4454019479325515</v>
      </c>
      <c r="T381" s="10">
        <f>GraphBacillus!$E$37*Bacillus!I381+GraphBacillus!$E$38</f>
        <v>0.54852241566997151</v>
      </c>
      <c r="U381" s="10">
        <f>GraphBacillus!$I$37*Bacillus!I381+GraphBacillus!$I$38</f>
        <v>0.28686251267950968</v>
      </c>
    </row>
    <row r="382" spans="1:21" x14ac:dyDescent="0.2">
      <c r="A382" s="2" t="s">
        <v>1236</v>
      </c>
      <c r="B382" s="2" t="s">
        <v>1237</v>
      </c>
      <c r="C382" s="2" t="s">
        <v>969</v>
      </c>
      <c r="D382" s="1" t="s">
        <v>44</v>
      </c>
      <c r="E382" s="1" t="s">
        <v>1252</v>
      </c>
      <c r="F382" s="19" t="s">
        <v>1432</v>
      </c>
      <c r="G382" s="1">
        <v>0.89</v>
      </c>
      <c r="H382" s="5">
        <v>5.5</v>
      </c>
      <c r="I382" s="5">
        <v>95</v>
      </c>
      <c r="J382" s="9">
        <v>7.6470000000000002</v>
      </c>
      <c r="K382" s="5"/>
      <c r="L382" s="9">
        <f t="shared" si="13"/>
        <v>0.88349109018893002</v>
      </c>
      <c r="M382" s="11">
        <f>GraphBacillus!$B$10-(I382-GraphBacillus!$B$6)/GraphBacillus!$B$5</f>
        <v>0.56430441936438891</v>
      </c>
      <c r="N382" s="1" t="s">
        <v>1087</v>
      </c>
      <c r="O382">
        <v>1998</v>
      </c>
      <c r="S382" s="10">
        <f>GraphBacillus!$B$37*Bacillus!I382+GraphBacillus!$B$38</f>
        <v>0.4454019479325515</v>
      </c>
      <c r="T382" s="10">
        <f>GraphBacillus!$E$37*Bacillus!I382+GraphBacillus!$E$38</f>
        <v>0.54852241566997151</v>
      </c>
      <c r="U382" s="10">
        <f>GraphBacillus!$I$37*Bacillus!I382+GraphBacillus!$I$38</f>
        <v>0.28686251267950968</v>
      </c>
    </row>
    <row r="383" spans="1:21" x14ac:dyDescent="0.2">
      <c r="A383" s="2" t="s">
        <v>1236</v>
      </c>
      <c r="B383" s="2" t="s">
        <v>1237</v>
      </c>
      <c r="C383" s="2" t="s">
        <v>969</v>
      </c>
      <c r="D383" s="1" t="s">
        <v>44</v>
      </c>
      <c r="E383" s="1" t="s">
        <v>1252</v>
      </c>
      <c r="F383" s="19" t="s">
        <v>1432</v>
      </c>
      <c r="G383" s="1">
        <v>0.92</v>
      </c>
      <c r="H383" s="5">
        <v>5.5</v>
      </c>
      <c r="I383" s="5">
        <v>95</v>
      </c>
      <c r="J383" s="9">
        <v>4.3319999999999999</v>
      </c>
      <c r="K383" s="5"/>
      <c r="L383" s="9">
        <f t="shared" si="13"/>
        <v>0.63668844795328272</v>
      </c>
      <c r="M383" s="11">
        <f>GraphBacillus!$B$10-(I383-GraphBacillus!$B$6)/GraphBacillus!$B$5</f>
        <v>0.56430441936438891</v>
      </c>
      <c r="N383" s="1" t="s">
        <v>1087</v>
      </c>
      <c r="O383">
        <v>1998</v>
      </c>
      <c r="S383" s="10">
        <f>GraphBacillus!$B$37*Bacillus!I383+GraphBacillus!$B$38</f>
        <v>0.4454019479325515</v>
      </c>
      <c r="T383" s="10">
        <f>GraphBacillus!$E$37*Bacillus!I383+GraphBacillus!$E$38</f>
        <v>0.54852241566997151</v>
      </c>
      <c r="U383" s="10">
        <f>GraphBacillus!$I$37*Bacillus!I383+GraphBacillus!$I$38</f>
        <v>0.28686251267950968</v>
      </c>
    </row>
    <row r="384" spans="1:21" x14ac:dyDescent="0.2">
      <c r="A384" s="2" t="s">
        <v>1236</v>
      </c>
      <c r="B384" s="2" t="s">
        <v>1237</v>
      </c>
      <c r="C384" s="2" t="s">
        <v>969</v>
      </c>
      <c r="D384" s="1" t="s">
        <v>44</v>
      </c>
      <c r="E384" s="1" t="s">
        <v>1252</v>
      </c>
      <c r="F384" s="19" t="s">
        <v>1432</v>
      </c>
      <c r="G384" s="1">
        <v>0.92</v>
      </c>
      <c r="H384" s="5">
        <v>5.5</v>
      </c>
      <c r="I384" s="5">
        <v>95</v>
      </c>
      <c r="J384" s="9">
        <v>3.6789999999999998</v>
      </c>
      <c r="K384" s="5"/>
      <c r="L384" s="9">
        <f t="shared" si="13"/>
        <v>0.56572978783112693</v>
      </c>
      <c r="M384" s="11">
        <f>GraphBacillus!$B$10-(I384-GraphBacillus!$B$6)/GraphBacillus!$B$5</f>
        <v>0.56430441936438891</v>
      </c>
      <c r="N384" s="1" t="s">
        <v>1087</v>
      </c>
      <c r="O384">
        <v>1998</v>
      </c>
      <c r="S384" s="10">
        <f>GraphBacillus!$B$37*Bacillus!I384+GraphBacillus!$B$38</f>
        <v>0.4454019479325515</v>
      </c>
      <c r="T384" s="10">
        <f>GraphBacillus!$E$37*Bacillus!I384+GraphBacillus!$E$38</f>
        <v>0.54852241566997151</v>
      </c>
      <c r="U384" s="10">
        <f>GraphBacillus!$I$37*Bacillus!I384+GraphBacillus!$I$38</f>
        <v>0.28686251267950968</v>
      </c>
    </row>
    <row r="385" spans="1:21" x14ac:dyDescent="0.2">
      <c r="A385" s="2" t="s">
        <v>1236</v>
      </c>
      <c r="B385" s="2" t="s">
        <v>1237</v>
      </c>
      <c r="C385" s="2" t="s">
        <v>969</v>
      </c>
      <c r="D385" s="1" t="s">
        <v>44</v>
      </c>
      <c r="E385" s="1" t="s">
        <v>1252</v>
      </c>
      <c r="F385" s="19" t="s">
        <v>1432</v>
      </c>
      <c r="G385" s="1">
        <v>0.95</v>
      </c>
      <c r="H385" s="5">
        <v>5.5</v>
      </c>
      <c r="I385" s="5">
        <v>95</v>
      </c>
      <c r="J385" s="9">
        <v>2.8479999999999999</v>
      </c>
      <c r="K385" s="5"/>
      <c r="L385" s="9">
        <f t="shared" si="13"/>
        <v>0.45453998496481873</v>
      </c>
      <c r="M385" s="11">
        <f>GraphBacillus!$B$10-(I385-GraphBacillus!$B$6)/GraphBacillus!$B$5</f>
        <v>0.56430441936438891</v>
      </c>
      <c r="N385" s="1" t="s">
        <v>1087</v>
      </c>
      <c r="O385">
        <v>1998</v>
      </c>
      <c r="S385" s="10">
        <f>GraphBacillus!$B$37*Bacillus!I385+GraphBacillus!$B$38</f>
        <v>0.4454019479325515</v>
      </c>
      <c r="T385" s="10">
        <f>GraphBacillus!$E$37*Bacillus!I385+GraphBacillus!$E$38</f>
        <v>0.54852241566997151</v>
      </c>
      <c r="U385" s="10">
        <f>GraphBacillus!$I$37*Bacillus!I385+GraphBacillus!$I$38</f>
        <v>0.28686251267950968</v>
      </c>
    </row>
    <row r="386" spans="1:21" x14ac:dyDescent="0.2">
      <c r="A386" s="2" t="s">
        <v>1236</v>
      </c>
      <c r="B386" s="2" t="s">
        <v>1237</v>
      </c>
      <c r="C386" s="2" t="s">
        <v>969</v>
      </c>
      <c r="D386" s="1" t="s">
        <v>44</v>
      </c>
      <c r="E386" s="1" t="s">
        <v>1252</v>
      </c>
      <c r="F386" s="19" t="s">
        <v>1432</v>
      </c>
      <c r="G386" s="1">
        <v>0.95</v>
      </c>
      <c r="H386" s="5">
        <v>5.5</v>
      </c>
      <c r="I386" s="5">
        <v>95</v>
      </c>
      <c r="J386" s="9">
        <v>2.5230000000000001</v>
      </c>
      <c r="K386" s="5"/>
      <c r="L386" s="9">
        <f t="shared" si="13"/>
        <v>0.40191725051757465</v>
      </c>
      <c r="M386" s="11">
        <f>GraphBacillus!$B$10-(I386-GraphBacillus!$B$6)/GraphBacillus!$B$5</f>
        <v>0.56430441936438891</v>
      </c>
      <c r="N386" s="1" t="s">
        <v>1087</v>
      </c>
      <c r="O386">
        <v>1998</v>
      </c>
      <c r="S386" s="10">
        <f>GraphBacillus!$B$37*Bacillus!I386+GraphBacillus!$B$38</f>
        <v>0.4454019479325515</v>
      </c>
      <c r="T386" s="10">
        <f>GraphBacillus!$E$37*Bacillus!I386+GraphBacillus!$E$38</f>
        <v>0.54852241566997151</v>
      </c>
      <c r="U386" s="10">
        <f>GraphBacillus!$I$37*Bacillus!I386+GraphBacillus!$I$38</f>
        <v>0.28686251267950968</v>
      </c>
    </row>
    <row r="387" spans="1:21" x14ac:dyDescent="0.2">
      <c r="A387" s="2" t="s">
        <v>1236</v>
      </c>
      <c r="B387" s="2" t="s">
        <v>1237</v>
      </c>
      <c r="C387" s="2" t="s">
        <v>969</v>
      </c>
      <c r="D387" s="1" t="s">
        <v>44</v>
      </c>
      <c r="E387" s="1" t="s">
        <v>1252</v>
      </c>
      <c r="F387" s="19" t="s">
        <v>1432</v>
      </c>
      <c r="G387" s="1">
        <v>0.98</v>
      </c>
      <c r="H387" s="5">
        <v>5.5</v>
      </c>
      <c r="I387" s="5">
        <v>95</v>
      </c>
      <c r="J387" s="9">
        <v>1.6579999999999999</v>
      </c>
      <c r="K387" s="5"/>
      <c r="L387" s="9">
        <f t="shared" si="13"/>
        <v>0.21958452621425473</v>
      </c>
      <c r="M387" s="11">
        <f>GraphBacillus!$B$10-(I387-GraphBacillus!$B$6)/GraphBacillus!$B$5</f>
        <v>0.56430441936438891</v>
      </c>
      <c r="N387" s="1" t="s">
        <v>1087</v>
      </c>
      <c r="O387">
        <v>1998</v>
      </c>
      <c r="S387" s="10">
        <f>GraphBacillus!$B$37*Bacillus!I387+GraphBacillus!$B$38</f>
        <v>0.4454019479325515</v>
      </c>
      <c r="T387" s="10">
        <f>GraphBacillus!$E$37*Bacillus!I387+GraphBacillus!$E$38</f>
        <v>0.54852241566997151</v>
      </c>
      <c r="U387" s="10">
        <f>GraphBacillus!$I$37*Bacillus!I387+GraphBacillus!$I$38</f>
        <v>0.28686251267950968</v>
      </c>
    </row>
    <row r="388" spans="1:21" x14ac:dyDescent="0.2">
      <c r="A388" s="2" t="s">
        <v>1236</v>
      </c>
      <c r="B388" s="2" t="s">
        <v>1237</v>
      </c>
      <c r="C388" s="2" t="s">
        <v>969</v>
      </c>
      <c r="D388" s="1" t="s">
        <v>44</v>
      </c>
      <c r="E388" s="1" t="s">
        <v>1252</v>
      </c>
      <c r="F388" s="19" t="s">
        <v>1432</v>
      </c>
      <c r="G388" s="1">
        <v>0.98</v>
      </c>
      <c r="H388" s="5">
        <v>5.5</v>
      </c>
      <c r="I388" s="5">
        <v>95</v>
      </c>
      <c r="J388" s="9">
        <v>1.462</v>
      </c>
      <c r="K388" s="5"/>
      <c r="L388" s="9">
        <f t="shared" si="13"/>
        <v>0.16494737262184164</v>
      </c>
      <c r="M388" s="11">
        <f>GraphBacillus!$B$10-(I388-GraphBacillus!$B$6)/GraphBacillus!$B$5</f>
        <v>0.56430441936438891</v>
      </c>
      <c r="N388" s="1" t="s">
        <v>1087</v>
      </c>
      <c r="O388">
        <v>1998</v>
      </c>
      <c r="S388" s="10">
        <f>GraphBacillus!$B$37*Bacillus!I388+GraphBacillus!$B$38</f>
        <v>0.4454019479325515</v>
      </c>
      <c r="T388" s="10">
        <f>GraphBacillus!$E$37*Bacillus!I388+GraphBacillus!$E$38</f>
        <v>0.54852241566997151</v>
      </c>
      <c r="U388" s="10">
        <f>GraphBacillus!$I$37*Bacillus!I388+GraphBacillus!$I$38</f>
        <v>0.28686251267950968</v>
      </c>
    </row>
    <row r="389" spans="1:21" x14ac:dyDescent="0.2">
      <c r="A389" s="2" t="s">
        <v>1236</v>
      </c>
      <c r="B389" s="2" t="s">
        <v>1237</v>
      </c>
      <c r="C389" s="2" t="s">
        <v>969</v>
      </c>
      <c r="D389" s="1" t="s">
        <v>44</v>
      </c>
      <c r="E389" s="1" t="s">
        <v>1252</v>
      </c>
      <c r="F389" s="19" t="s">
        <v>1432</v>
      </c>
      <c r="G389" s="1">
        <v>0.86</v>
      </c>
      <c r="H389" s="5">
        <v>5.5</v>
      </c>
      <c r="I389" s="5">
        <v>105</v>
      </c>
      <c r="J389" s="9">
        <v>0.80800000000000005</v>
      </c>
      <c r="K389" s="5"/>
      <c r="L389" s="9">
        <f t="shared" si="13"/>
        <v>-9.2588639225413813E-2</v>
      </c>
      <c r="M389" s="11">
        <f>GraphBacillus!$B$10-(I389-GraphBacillus!$B$6)/GraphBacillus!$B$5</f>
        <v>-0.2141676490911939</v>
      </c>
      <c r="N389" s="1" t="s">
        <v>1087</v>
      </c>
      <c r="O389">
        <v>1998</v>
      </c>
      <c r="S389" s="10">
        <f>GraphBacillus!$B$37*Bacillus!I389+GraphBacillus!$B$38</f>
        <v>-0.2208957786712924</v>
      </c>
      <c r="T389" s="10">
        <f>GraphBacillus!$E$37*Bacillus!I389+GraphBacillus!$E$38</f>
        <v>-8.2276536512067011E-2</v>
      </c>
      <c r="U389" s="10">
        <f>GraphBacillus!$I$37*Bacillus!I389+GraphBacillus!$I$38</f>
        <v>-0.46795709578529898</v>
      </c>
    </row>
    <row r="390" spans="1:21" x14ac:dyDescent="0.2">
      <c r="A390" s="2" t="s">
        <v>1236</v>
      </c>
      <c r="B390" s="2" t="s">
        <v>1237</v>
      </c>
      <c r="C390" s="2" t="s">
        <v>969</v>
      </c>
      <c r="D390" s="1" t="s">
        <v>44</v>
      </c>
      <c r="E390" s="1" t="s">
        <v>1252</v>
      </c>
      <c r="F390" s="19" t="s">
        <v>1432</v>
      </c>
      <c r="G390" s="1">
        <v>0.92</v>
      </c>
      <c r="H390" s="5">
        <v>5.5</v>
      </c>
      <c r="I390" s="5">
        <v>105</v>
      </c>
      <c r="J390" s="9">
        <v>0.224</v>
      </c>
      <c r="K390" s="5"/>
      <c r="L390" s="9">
        <f t="shared" si="13"/>
        <v>-0.64975198166583714</v>
      </c>
      <c r="M390" s="11">
        <f>GraphBacillus!$B$10-(I390-GraphBacillus!$B$6)/GraphBacillus!$B$5</f>
        <v>-0.2141676490911939</v>
      </c>
      <c r="N390" s="1" t="s">
        <v>1087</v>
      </c>
      <c r="O390">
        <v>1998</v>
      </c>
      <c r="S390" s="10">
        <f>GraphBacillus!$B$37*Bacillus!I390+GraphBacillus!$B$38</f>
        <v>-0.2208957786712924</v>
      </c>
      <c r="T390" s="10">
        <f>GraphBacillus!$E$37*Bacillus!I390+GraphBacillus!$E$38</f>
        <v>-8.2276536512067011E-2</v>
      </c>
      <c r="U390" s="10">
        <f>GraphBacillus!$I$37*Bacillus!I390+GraphBacillus!$I$38</f>
        <v>-0.46795709578529898</v>
      </c>
    </row>
    <row r="391" spans="1:21" x14ac:dyDescent="0.2">
      <c r="A391" s="2" t="s">
        <v>1236</v>
      </c>
      <c r="B391" s="2" t="s">
        <v>1237</v>
      </c>
      <c r="C391" s="2" t="s">
        <v>969</v>
      </c>
      <c r="D391" s="1" t="s">
        <v>44</v>
      </c>
      <c r="E391" s="1" t="s">
        <v>1252</v>
      </c>
      <c r="F391" s="19" t="s">
        <v>1432</v>
      </c>
      <c r="G391" s="1">
        <v>0.95</v>
      </c>
      <c r="H391" s="5">
        <v>5.5</v>
      </c>
      <c r="I391" s="5">
        <v>105</v>
      </c>
      <c r="J391" s="9">
        <v>0.126</v>
      </c>
      <c r="K391" s="5"/>
      <c r="L391" s="9">
        <f t="shared" si="13"/>
        <v>-0.89962945488243706</v>
      </c>
      <c r="M391" s="11">
        <f>GraphBacillus!$B$10-(I391-GraphBacillus!$B$6)/GraphBacillus!$B$5</f>
        <v>-0.2141676490911939</v>
      </c>
      <c r="N391" s="1" t="s">
        <v>1087</v>
      </c>
      <c r="O391">
        <v>1998</v>
      </c>
      <c r="S391" s="10">
        <f>GraphBacillus!$B$37*Bacillus!I391+GraphBacillus!$B$38</f>
        <v>-0.2208957786712924</v>
      </c>
      <c r="T391" s="10">
        <f>GraphBacillus!$E$37*Bacillus!I391+GraphBacillus!$E$38</f>
        <v>-8.2276536512067011E-2</v>
      </c>
      <c r="U391" s="10">
        <f>GraphBacillus!$I$37*Bacillus!I391+GraphBacillus!$I$38</f>
        <v>-0.46795709578529898</v>
      </c>
    </row>
    <row r="392" spans="1:21" x14ac:dyDescent="0.2">
      <c r="A392" s="2" t="s">
        <v>1236</v>
      </c>
      <c r="B392" s="2" t="s">
        <v>1237</v>
      </c>
      <c r="C392" s="2" t="s">
        <v>969</v>
      </c>
      <c r="D392" s="1" t="s">
        <v>44</v>
      </c>
      <c r="E392" s="1" t="s">
        <v>1252</v>
      </c>
      <c r="F392" s="19" t="s">
        <v>1432</v>
      </c>
      <c r="G392" s="1">
        <v>0.98</v>
      </c>
      <c r="H392" s="5">
        <v>5.5</v>
      </c>
      <c r="I392" s="5">
        <v>105</v>
      </c>
      <c r="J392" s="9">
        <v>0.105</v>
      </c>
      <c r="K392" s="5"/>
      <c r="L392" s="9">
        <f t="shared" si="13"/>
        <v>-0.97881070093006195</v>
      </c>
      <c r="M392" s="11">
        <f>GraphBacillus!$B$10-(I392-GraphBacillus!$B$6)/GraphBacillus!$B$5</f>
        <v>-0.2141676490911939</v>
      </c>
      <c r="N392" s="1" t="s">
        <v>1087</v>
      </c>
      <c r="O392">
        <v>1998</v>
      </c>
      <c r="S392" s="10">
        <f>GraphBacillus!$B$37*Bacillus!I392+GraphBacillus!$B$38</f>
        <v>-0.2208957786712924</v>
      </c>
      <c r="T392" s="10">
        <f>GraphBacillus!$E$37*Bacillus!I392+GraphBacillus!$E$38</f>
        <v>-8.2276536512067011E-2</v>
      </c>
      <c r="U392" s="10">
        <f>GraphBacillus!$I$37*Bacillus!I392+GraphBacillus!$I$38</f>
        <v>-0.46795709578529898</v>
      </c>
    </row>
    <row r="393" spans="1:21" x14ac:dyDescent="0.2">
      <c r="A393" s="2" t="s">
        <v>1236</v>
      </c>
      <c r="B393" s="2" t="s">
        <v>1237</v>
      </c>
      <c r="C393" s="2" t="s">
        <v>969</v>
      </c>
      <c r="D393" s="1" t="s">
        <v>44</v>
      </c>
      <c r="E393" s="1" t="s">
        <v>1252</v>
      </c>
      <c r="F393" s="19" t="s">
        <v>1432</v>
      </c>
      <c r="G393" s="1">
        <v>0.86</v>
      </c>
      <c r="H393" s="5">
        <v>6.5</v>
      </c>
      <c r="I393" s="5">
        <v>85</v>
      </c>
      <c r="J393" s="9">
        <v>68.909000000000006</v>
      </c>
      <c r="K393" s="5"/>
      <c r="L393" s="9">
        <f t="shared" si="13"/>
        <v>1.8382759475255852</v>
      </c>
      <c r="M393" s="11">
        <f>GraphBacillus!$B$10-(I393-GraphBacillus!$B$6)/GraphBacillus!$B$5</f>
        <v>1.3427764878199717</v>
      </c>
      <c r="N393" s="1" t="s">
        <v>1087</v>
      </c>
      <c r="O393">
        <v>1998</v>
      </c>
      <c r="S393" s="10">
        <f>GraphBacillus!$B$37*Bacillus!I393+GraphBacillus!$B$38</f>
        <v>1.1116996745363954</v>
      </c>
      <c r="T393" s="10">
        <f>GraphBacillus!$E$37*Bacillus!I393+GraphBacillus!$E$38</f>
        <v>1.1793213678520091</v>
      </c>
      <c r="U393" s="10">
        <f>GraphBacillus!$I$37*Bacillus!I393+GraphBacillus!$I$38</f>
        <v>1.0416821211443184</v>
      </c>
    </row>
    <row r="394" spans="1:21" x14ac:dyDescent="0.2">
      <c r="A394" s="2" t="s">
        <v>1236</v>
      </c>
      <c r="B394" s="2" t="s">
        <v>1237</v>
      </c>
      <c r="C394" s="2" t="s">
        <v>969</v>
      </c>
      <c r="D394" s="1" t="s">
        <v>44</v>
      </c>
      <c r="E394" s="1" t="s">
        <v>1252</v>
      </c>
      <c r="F394" s="19" t="s">
        <v>1432</v>
      </c>
      <c r="G394" s="1">
        <v>0.92</v>
      </c>
      <c r="H394" s="5">
        <v>6.5</v>
      </c>
      <c r="I394" s="5">
        <v>85</v>
      </c>
      <c r="J394" s="9">
        <v>102.745</v>
      </c>
      <c r="K394" s="5"/>
      <c r="L394" s="9">
        <f t="shared" si="13"/>
        <v>2.0117606964824608</v>
      </c>
      <c r="M394" s="11">
        <f>GraphBacillus!$B$10-(I394-GraphBacillus!$B$6)/GraphBacillus!$B$5</f>
        <v>1.3427764878199717</v>
      </c>
      <c r="N394" s="1" t="s">
        <v>1087</v>
      </c>
      <c r="O394">
        <v>1998</v>
      </c>
      <c r="S394" s="10">
        <f>GraphBacillus!$B$37*Bacillus!I394+GraphBacillus!$B$38</f>
        <v>1.1116996745363954</v>
      </c>
      <c r="T394" s="10">
        <f>GraphBacillus!$E$37*Bacillus!I394+GraphBacillus!$E$38</f>
        <v>1.1793213678520091</v>
      </c>
      <c r="U394" s="10">
        <f>GraphBacillus!$I$37*Bacillus!I394+GraphBacillus!$I$38</f>
        <v>1.0416821211443184</v>
      </c>
    </row>
    <row r="395" spans="1:21" x14ac:dyDescent="0.2">
      <c r="A395" s="2" t="s">
        <v>1236</v>
      </c>
      <c r="B395" s="2" t="s">
        <v>1237</v>
      </c>
      <c r="C395" s="2" t="s">
        <v>969</v>
      </c>
      <c r="D395" s="1" t="s">
        <v>44</v>
      </c>
      <c r="E395" s="1" t="s">
        <v>1252</v>
      </c>
      <c r="F395" s="19" t="s">
        <v>1432</v>
      </c>
      <c r="G395" s="1">
        <v>0.95</v>
      </c>
      <c r="H395" s="5">
        <v>6.5</v>
      </c>
      <c r="I395" s="5">
        <v>85</v>
      </c>
      <c r="J395" s="9">
        <v>72.253</v>
      </c>
      <c r="K395" s="5"/>
      <c r="L395" s="9">
        <f t="shared" si="13"/>
        <v>1.8588558840430764</v>
      </c>
      <c r="M395" s="11">
        <f>GraphBacillus!$B$10-(I395-GraphBacillus!$B$6)/GraphBacillus!$B$5</f>
        <v>1.3427764878199717</v>
      </c>
      <c r="N395" s="1" t="s">
        <v>1087</v>
      </c>
      <c r="O395">
        <v>1998</v>
      </c>
      <c r="S395" s="10">
        <f>GraphBacillus!$B$37*Bacillus!I395+GraphBacillus!$B$38</f>
        <v>1.1116996745363954</v>
      </c>
      <c r="T395" s="10">
        <f>GraphBacillus!$E$37*Bacillus!I395+GraphBacillus!$E$38</f>
        <v>1.1793213678520091</v>
      </c>
      <c r="U395" s="10">
        <f>GraphBacillus!$I$37*Bacillus!I395+GraphBacillus!$I$38</f>
        <v>1.0416821211443184</v>
      </c>
    </row>
    <row r="396" spans="1:21" x14ac:dyDescent="0.2">
      <c r="A396" s="2" t="s">
        <v>1236</v>
      </c>
      <c r="B396" s="2" t="s">
        <v>1237</v>
      </c>
      <c r="C396" s="2" t="s">
        <v>969</v>
      </c>
      <c r="D396" s="1" t="s">
        <v>44</v>
      </c>
      <c r="E396" s="1" t="s">
        <v>1252</v>
      </c>
      <c r="F396" s="19" t="s">
        <v>1432</v>
      </c>
      <c r="G396" s="1">
        <v>0.98</v>
      </c>
      <c r="H396" s="5">
        <v>6.5</v>
      </c>
      <c r="I396" s="5">
        <v>85</v>
      </c>
      <c r="J396" s="9">
        <v>63.298000000000002</v>
      </c>
      <c r="K396" s="5"/>
      <c r="L396" s="9">
        <f t="shared" si="13"/>
        <v>1.8013899880159985</v>
      </c>
      <c r="M396" s="11">
        <f>GraphBacillus!$B$10-(I396-GraphBacillus!$B$6)/GraphBacillus!$B$5</f>
        <v>1.3427764878199717</v>
      </c>
      <c r="N396" s="1" t="s">
        <v>1087</v>
      </c>
      <c r="O396">
        <v>1998</v>
      </c>
      <c r="S396" s="10">
        <f>GraphBacillus!$B$37*Bacillus!I396+GraphBacillus!$B$38</f>
        <v>1.1116996745363954</v>
      </c>
      <c r="T396" s="10">
        <f>GraphBacillus!$E$37*Bacillus!I396+GraphBacillus!$E$38</f>
        <v>1.1793213678520091</v>
      </c>
      <c r="U396" s="10">
        <f>GraphBacillus!$I$37*Bacillus!I396+GraphBacillus!$I$38</f>
        <v>1.0416821211443184</v>
      </c>
    </row>
    <row r="397" spans="1:21" x14ac:dyDescent="0.2">
      <c r="A397" s="2" t="s">
        <v>1236</v>
      </c>
      <c r="B397" s="2" t="s">
        <v>1237</v>
      </c>
      <c r="C397" s="2" t="s">
        <v>969</v>
      </c>
      <c r="D397" s="1" t="s">
        <v>44</v>
      </c>
      <c r="E397" s="1" t="s">
        <v>1252</v>
      </c>
      <c r="F397" s="19" t="s">
        <v>1432</v>
      </c>
      <c r="G397" s="1">
        <v>0.86</v>
      </c>
      <c r="H397" s="5">
        <v>6.5</v>
      </c>
      <c r="I397" s="5">
        <v>95</v>
      </c>
      <c r="J397" s="9">
        <v>13.842000000000001</v>
      </c>
      <c r="K397" s="5"/>
      <c r="L397" s="9">
        <f t="shared" si="13"/>
        <v>1.1411988449047372</v>
      </c>
      <c r="M397" s="11">
        <f>GraphBacillus!$B$10-(I397-GraphBacillus!$B$6)/GraphBacillus!$B$5</f>
        <v>0.56430441936438891</v>
      </c>
      <c r="N397" s="1" t="s">
        <v>1087</v>
      </c>
      <c r="O397">
        <v>1998</v>
      </c>
      <c r="S397" s="10">
        <f>GraphBacillus!$B$37*Bacillus!I397+GraphBacillus!$B$38</f>
        <v>0.4454019479325515</v>
      </c>
      <c r="T397" s="10">
        <f>GraphBacillus!$E$37*Bacillus!I397+GraphBacillus!$E$38</f>
        <v>0.54852241566997151</v>
      </c>
      <c r="U397" s="10">
        <f>GraphBacillus!$I$37*Bacillus!I397+GraphBacillus!$I$38</f>
        <v>0.28686251267950968</v>
      </c>
    </row>
    <row r="398" spans="1:21" x14ac:dyDescent="0.2">
      <c r="A398" s="2" t="s">
        <v>1236</v>
      </c>
      <c r="B398" s="2" t="s">
        <v>1237</v>
      </c>
      <c r="C398" s="2" t="s">
        <v>969</v>
      </c>
      <c r="D398" s="1" t="s">
        <v>44</v>
      </c>
      <c r="E398" s="1" t="s">
        <v>1252</v>
      </c>
      <c r="F398" s="19" t="s">
        <v>1432</v>
      </c>
      <c r="G398" s="1">
        <v>0.92</v>
      </c>
      <c r="H398" s="5">
        <v>6.5</v>
      </c>
      <c r="I398" s="5">
        <v>95</v>
      </c>
      <c r="J398" s="9">
        <v>7.4950000000000001</v>
      </c>
      <c r="K398" s="5"/>
      <c r="L398" s="9">
        <f t="shared" si="13"/>
        <v>0.87477163718429829</v>
      </c>
      <c r="M398" s="11">
        <f>GraphBacillus!$B$10-(I398-GraphBacillus!$B$6)/GraphBacillus!$B$5</f>
        <v>0.56430441936438891</v>
      </c>
      <c r="N398" s="1" t="s">
        <v>1087</v>
      </c>
      <c r="O398">
        <v>1998</v>
      </c>
      <c r="S398" s="10">
        <f>GraphBacillus!$B$37*Bacillus!I398+GraphBacillus!$B$38</f>
        <v>0.4454019479325515</v>
      </c>
      <c r="T398" s="10">
        <f>GraphBacillus!$E$37*Bacillus!I398+GraphBacillus!$E$38</f>
        <v>0.54852241566997151</v>
      </c>
      <c r="U398" s="10">
        <f>GraphBacillus!$I$37*Bacillus!I398+GraphBacillus!$I$38</f>
        <v>0.28686251267950968</v>
      </c>
    </row>
    <row r="399" spans="1:21" x14ac:dyDescent="0.2">
      <c r="A399" s="2" t="s">
        <v>1236</v>
      </c>
      <c r="B399" s="2" t="s">
        <v>1237</v>
      </c>
      <c r="C399" s="2" t="s">
        <v>969</v>
      </c>
      <c r="D399" s="1" t="s">
        <v>44</v>
      </c>
      <c r="E399" s="1" t="s">
        <v>1252</v>
      </c>
      <c r="F399" s="19" t="s">
        <v>1432</v>
      </c>
      <c r="G399" s="1">
        <v>0.95</v>
      </c>
      <c r="H399" s="5">
        <v>6.5</v>
      </c>
      <c r="I399" s="5">
        <v>95</v>
      </c>
      <c r="J399" s="9">
        <v>5.01</v>
      </c>
      <c r="K399" s="5"/>
      <c r="L399" s="9">
        <f t="shared" si="13"/>
        <v>0.69983772586724569</v>
      </c>
      <c r="M399" s="11">
        <f>GraphBacillus!$B$10-(I399-GraphBacillus!$B$6)/GraphBacillus!$B$5</f>
        <v>0.56430441936438891</v>
      </c>
      <c r="N399" s="1" t="s">
        <v>1087</v>
      </c>
      <c r="O399">
        <v>1998</v>
      </c>
      <c r="S399" s="10">
        <f>GraphBacillus!$B$37*Bacillus!I399+GraphBacillus!$B$38</f>
        <v>0.4454019479325515</v>
      </c>
      <c r="T399" s="10">
        <f>GraphBacillus!$E$37*Bacillus!I399+GraphBacillus!$E$38</f>
        <v>0.54852241566997151</v>
      </c>
      <c r="U399" s="10">
        <f>GraphBacillus!$I$37*Bacillus!I399+GraphBacillus!$I$38</f>
        <v>0.28686251267950968</v>
      </c>
    </row>
    <row r="400" spans="1:21" x14ac:dyDescent="0.2">
      <c r="A400" s="2" t="s">
        <v>1236</v>
      </c>
      <c r="B400" s="2" t="s">
        <v>1237</v>
      </c>
      <c r="C400" s="2" t="s">
        <v>969</v>
      </c>
      <c r="D400" s="1" t="s">
        <v>44</v>
      </c>
      <c r="E400" s="1" t="s">
        <v>1252</v>
      </c>
      <c r="F400" s="19" t="s">
        <v>1432</v>
      </c>
      <c r="G400" s="1">
        <v>0.98</v>
      </c>
      <c r="H400" s="5">
        <v>6.5</v>
      </c>
      <c r="I400" s="5">
        <v>95</v>
      </c>
      <c r="J400" s="9">
        <v>2.87</v>
      </c>
      <c r="K400" s="5"/>
      <c r="L400" s="9">
        <f t="shared" ref="L400:L431" si="14">LOG(J400)</f>
        <v>0.45788189673399232</v>
      </c>
      <c r="M400" s="11">
        <f>GraphBacillus!$B$10-(I400-GraphBacillus!$B$6)/GraphBacillus!$B$5</f>
        <v>0.56430441936438891</v>
      </c>
      <c r="N400" s="1" t="s">
        <v>1087</v>
      </c>
      <c r="O400">
        <v>1998</v>
      </c>
      <c r="S400" s="10">
        <f>GraphBacillus!$B$37*Bacillus!I400+GraphBacillus!$B$38</f>
        <v>0.4454019479325515</v>
      </c>
      <c r="T400" s="10">
        <f>GraphBacillus!$E$37*Bacillus!I400+GraphBacillus!$E$38</f>
        <v>0.54852241566997151</v>
      </c>
      <c r="U400" s="10">
        <f>GraphBacillus!$I$37*Bacillus!I400+GraphBacillus!$I$38</f>
        <v>0.28686251267950968</v>
      </c>
    </row>
    <row r="401" spans="1:21" x14ac:dyDescent="0.2">
      <c r="A401" s="2" t="s">
        <v>1236</v>
      </c>
      <c r="B401" s="2" t="s">
        <v>1237</v>
      </c>
      <c r="C401" s="2" t="s">
        <v>969</v>
      </c>
      <c r="D401" s="1" t="s">
        <v>44</v>
      </c>
      <c r="E401" s="1" t="s">
        <v>1252</v>
      </c>
      <c r="F401" s="19" t="s">
        <v>1432</v>
      </c>
      <c r="G401" s="1">
        <v>0.86</v>
      </c>
      <c r="H401" s="5">
        <v>6.5</v>
      </c>
      <c r="I401" s="5">
        <v>105</v>
      </c>
      <c r="J401" s="9">
        <v>1.282</v>
      </c>
      <c r="K401" s="5"/>
      <c r="L401" s="9">
        <f t="shared" si="14"/>
        <v>0.10788802518279862</v>
      </c>
      <c r="M401" s="11">
        <f>GraphBacillus!$B$10-(I401-GraphBacillus!$B$6)/GraphBacillus!$B$5</f>
        <v>-0.2141676490911939</v>
      </c>
      <c r="N401" s="1" t="s">
        <v>1087</v>
      </c>
      <c r="O401">
        <v>1998</v>
      </c>
      <c r="S401" s="10">
        <f>GraphBacillus!$B$37*Bacillus!I401+GraphBacillus!$B$38</f>
        <v>-0.2208957786712924</v>
      </c>
      <c r="T401" s="10">
        <f>GraphBacillus!$E$37*Bacillus!I401+GraphBacillus!$E$38</f>
        <v>-8.2276536512067011E-2</v>
      </c>
      <c r="U401" s="10">
        <f>GraphBacillus!$I$37*Bacillus!I401+GraphBacillus!$I$38</f>
        <v>-0.46795709578529898</v>
      </c>
    </row>
    <row r="402" spans="1:21" x14ac:dyDescent="0.2">
      <c r="A402" s="2" t="s">
        <v>1236</v>
      </c>
      <c r="B402" s="2" t="s">
        <v>1237</v>
      </c>
      <c r="C402" s="2" t="s">
        <v>969</v>
      </c>
      <c r="D402" s="1" t="s">
        <v>44</v>
      </c>
      <c r="E402" s="1" t="s">
        <v>1252</v>
      </c>
      <c r="F402" s="19" t="s">
        <v>1432</v>
      </c>
      <c r="G402" s="1">
        <v>0.92</v>
      </c>
      <c r="H402" s="5">
        <v>6.5</v>
      </c>
      <c r="I402" s="5">
        <v>105</v>
      </c>
      <c r="J402" s="9">
        <v>0.45500000000000002</v>
      </c>
      <c r="K402" s="5"/>
      <c r="L402" s="9">
        <f t="shared" si="14"/>
        <v>-0.34198860334288755</v>
      </c>
      <c r="M402" s="11">
        <f>GraphBacillus!$B$10-(I402-GraphBacillus!$B$6)/GraphBacillus!$B$5</f>
        <v>-0.2141676490911939</v>
      </c>
      <c r="N402" s="1" t="s">
        <v>1087</v>
      </c>
      <c r="O402">
        <v>1998</v>
      </c>
      <c r="S402" s="10">
        <f>GraphBacillus!$B$37*Bacillus!I402+GraphBacillus!$B$38</f>
        <v>-0.2208957786712924</v>
      </c>
      <c r="T402" s="10">
        <f>GraphBacillus!$E$37*Bacillus!I402+GraphBacillus!$E$38</f>
        <v>-8.2276536512067011E-2</v>
      </c>
      <c r="U402" s="10">
        <f>GraphBacillus!$I$37*Bacillus!I402+GraphBacillus!$I$38</f>
        <v>-0.46795709578529898</v>
      </c>
    </row>
    <row r="403" spans="1:21" x14ac:dyDescent="0.2">
      <c r="A403" s="2" t="s">
        <v>1236</v>
      </c>
      <c r="B403" s="2" t="s">
        <v>1237</v>
      </c>
      <c r="C403" s="2" t="s">
        <v>969</v>
      </c>
      <c r="D403" s="1" t="s">
        <v>44</v>
      </c>
      <c r="E403" s="1" t="s">
        <v>1252</v>
      </c>
      <c r="F403" s="19" t="s">
        <v>1432</v>
      </c>
      <c r="G403" s="1">
        <v>0.95</v>
      </c>
      <c r="H403" s="5">
        <v>6.5</v>
      </c>
      <c r="I403" s="5">
        <v>105</v>
      </c>
      <c r="J403" s="9">
        <v>0.27800000000000002</v>
      </c>
      <c r="K403" s="5"/>
      <c r="L403" s="9">
        <f t="shared" si="14"/>
        <v>-0.55595520408192367</v>
      </c>
      <c r="M403" s="11">
        <f>GraphBacillus!$B$10-(I403-GraphBacillus!$B$6)/GraphBacillus!$B$5</f>
        <v>-0.2141676490911939</v>
      </c>
      <c r="N403" s="1" t="s">
        <v>1087</v>
      </c>
      <c r="O403">
        <v>1998</v>
      </c>
      <c r="S403" s="10">
        <f>GraphBacillus!$B$37*Bacillus!I403+GraphBacillus!$B$38</f>
        <v>-0.2208957786712924</v>
      </c>
      <c r="T403" s="10">
        <f>GraphBacillus!$E$37*Bacillus!I403+GraphBacillus!$E$38</f>
        <v>-8.2276536512067011E-2</v>
      </c>
      <c r="U403" s="10">
        <f>GraphBacillus!$I$37*Bacillus!I403+GraphBacillus!$I$38</f>
        <v>-0.46795709578529898</v>
      </c>
    </row>
    <row r="404" spans="1:21" x14ac:dyDescent="0.2">
      <c r="A404" s="2" t="s">
        <v>1236</v>
      </c>
      <c r="B404" s="2" t="s">
        <v>1237</v>
      </c>
      <c r="C404" s="2" t="s">
        <v>969</v>
      </c>
      <c r="D404" s="1" t="s">
        <v>44</v>
      </c>
      <c r="E404" s="1" t="s">
        <v>1252</v>
      </c>
      <c r="F404" s="19" t="s">
        <v>1432</v>
      </c>
      <c r="G404" s="1">
        <v>0.98</v>
      </c>
      <c r="H404" s="5">
        <v>6.5</v>
      </c>
      <c r="I404" s="5">
        <v>105</v>
      </c>
      <c r="J404" s="9">
        <v>0.192</v>
      </c>
      <c r="K404" s="5"/>
      <c r="L404" s="9">
        <f t="shared" si="14"/>
        <v>-0.71669877129645043</v>
      </c>
      <c r="M404" s="11">
        <f>GraphBacillus!$B$10-(I404-GraphBacillus!$B$6)/GraphBacillus!$B$5</f>
        <v>-0.2141676490911939</v>
      </c>
      <c r="N404" s="1" t="s">
        <v>1087</v>
      </c>
      <c r="O404">
        <v>1998</v>
      </c>
      <c r="S404" s="10">
        <f>GraphBacillus!$B$37*Bacillus!I404+GraphBacillus!$B$38</f>
        <v>-0.2208957786712924</v>
      </c>
      <c r="T404" s="10">
        <f>GraphBacillus!$E$37*Bacillus!I404+GraphBacillus!$E$38</f>
        <v>-8.2276536512067011E-2</v>
      </c>
      <c r="U404" s="10">
        <f>GraphBacillus!$I$37*Bacillus!I404+GraphBacillus!$I$38</f>
        <v>-0.46795709578529898</v>
      </c>
    </row>
    <row r="405" spans="1:21" x14ac:dyDescent="0.2">
      <c r="A405" s="2" t="s">
        <v>1236</v>
      </c>
      <c r="B405" s="2" t="s">
        <v>1237</v>
      </c>
      <c r="C405" s="2" t="s">
        <v>969</v>
      </c>
      <c r="D405" s="1" t="s">
        <v>44</v>
      </c>
      <c r="E405" s="1" t="s">
        <v>1252</v>
      </c>
      <c r="F405" s="1"/>
      <c r="G405" s="1">
        <v>1</v>
      </c>
      <c r="H405" s="5">
        <v>4.5</v>
      </c>
      <c r="I405" s="5">
        <v>85</v>
      </c>
      <c r="J405" s="9">
        <v>5.0419999999999998</v>
      </c>
      <c r="K405" s="5"/>
      <c r="L405" s="9">
        <f t="shared" si="14"/>
        <v>0.70260284134042705</v>
      </c>
      <c r="M405" s="11">
        <f>GraphBacillus!$B$10-(I405-GraphBacillus!$B$6)/GraphBacillus!$B$5</f>
        <v>1.3427764878199717</v>
      </c>
      <c r="N405" s="1" t="s">
        <v>1087</v>
      </c>
      <c r="O405">
        <v>1998</v>
      </c>
      <c r="S405" s="10">
        <f>GraphBacillus!$B$37*Bacillus!I405+GraphBacillus!$B$38</f>
        <v>1.1116996745363954</v>
      </c>
      <c r="T405" s="10">
        <f>GraphBacillus!$E$37*Bacillus!I405+GraphBacillus!$E$38</f>
        <v>1.1793213678520091</v>
      </c>
      <c r="U405" s="10">
        <f>GraphBacillus!$I$37*Bacillus!I405+GraphBacillus!$I$38</f>
        <v>1.0416821211443184</v>
      </c>
    </row>
    <row r="406" spans="1:21" x14ac:dyDescent="0.2">
      <c r="A406" s="2" t="s">
        <v>1236</v>
      </c>
      <c r="B406" s="2" t="s">
        <v>1237</v>
      </c>
      <c r="C406" s="2" t="s">
        <v>969</v>
      </c>
      <c r="D406" s="1" t="s">
        <v>44</v>
      </c>
      <c r="E406" s="1" t="s">
        <v>1252</v>
      </c>
      <c r="F406" s="1"/>
      <c r="G406" s="1">
        <v>1</v>
      </c>
      <c r="H406" s="5">
        <v>4.5</v>
      </c>
      <c r="I406" s="5">
        <v>95</v>
      </c>
      <c r="J406" s="9">
        <v>0.51100000000000001</v>
      </c>
      <c r="K406" s="5"/>
      <c r="L406" s="9">
        <f t="shared" si="14"/>
        <v>-0.29157909986528724</v>
      </c>
      <c r="M406" s="11">
        <f>GraphBacillus!$B$10-(I406-GraphBacillus!$B$6)/GraphBacillus!$B$5</f>
        <v>0.56430441936438891</v>
      </c>
      <c r="N406" s="1" t="s">
        <v>1087</v>
      </c>
      <c r="O406">
        <v>1998</v>
      </c>
      <c r="S406" s="10">
        <f>GraphBacillus!$B$37*Bacillus!I406+GraphBacillus!$B$38</f>
        <v>0.4454019479325515</v>
      </c>
      <c r="T406" s="10">
        <f>GraphBacillus!$E$37*Bacillus!I406+GraphBacillus!$E$38</f>
        <v>0.54852241566997151</v>
      </c>
      <c r="U406" s="10">
        <f>GraphBacillus!$I$37*Bacillus!I406+GraphBacillus!$I$38</f>
        <v>0.28686251267950968</v>
      </c>
    </row>
    <row r="407" spans="1:21" x14ac:dyDescent="0.2">
      <c r="A407" s="2" t="s">
        <v>1236</v>
      </c>
      <c r="B407" s="2" t="s">
        <v>1237</v>
      </c>
      <c r="C407" s="2" t="s">
        <v>969</v>
      </c>
      <c r="D407" s="1" t="s">
        <v>44</v>
      </c>
      <c r="E407" s="1" t="s">
        <v>1252</v>
      </c>
      <c r="F407" s="1"/>
      <c r="G407" s="1">
        <v>1</v>
      </c>
      <c r="H407" s="5">
        <v>4.5</v>
      </c>
      <c r="I407" s="5">
        <v>105</v>
      </c>
      <c r="J407" s="9">
        <v>8.4000000000000005E-2</v>
      </c>
      <c r="K407" s="5"/>
      <c r="L407" s="9">
        <f t="shared" si="14"/>
        <v>-1.0757207139381184</v>
      </c>
      <c r="M407" s="11">
        <f>GraphBacillus!$B$10-(I407-GraphBacillus!$B$6)/GraphBacillus!$B$5</f>
        <v>-0.2141676490911939</v>
      </c>
      <c r="N407" s="1" t="s">
        <v>1087</v>
      </c>
      <c r="O407">
        <v>1998</v>
      </c>
      <c r="S407" s="10">
        <f>GraphBacillus!$B$37*Bacillus!I407+GraphBacillus!$B$38</f>
        <v>-0.2208957786712924</v>
      </c>
      <c r="T407" s="10">
        <f>GraphBacillus!$E$37*Bacillus!I407+GraphBacillus!$E$38</f>
        <v>-8.2276536512067011E-2</v>
      </c>
      <c r="U407" s="10">
        <f>GraphBacillus!$I$37*Bacillus!I407+GraphBacillus!$I$38</f>
        <v>-0.46795709578529898</v>
      </c>
    </row>
    <row r="408" spans="1:21" x14ac:dyDescent="0.2">
      <c r="A408" s="2" t="s">
        <v>1236</v>
      </c>
      <c r="B408" s="2" t="s">
        <v>1237</v>
      </c>
      <c r="C408" s="2" t="s">
        <v>969</v>
      </c>
      <c r="D408" s="1" t="s">
        <v>44</v>
      </c>
      <c r="E408" s="1" t="s">
        <v>1252</v>
      </c>
      <c r="F408" s="1"/>
      <c r="G408" s="1">
        <v>1</v>
      </c>
      <c r="H408" s="5">
        <v>5.5</v>
      </c>
      <c r="I408" s="5">
        <v>85</v>
      </c>
      <c r="J408" s="9">
        <v>13.085000000000001</v>
      </c>
      <c r="K408" s="5"/>
      <c r="L408" s="9">
        <f t="shared" si="14"/>
        <v>1.1167737269758997</v>
      </c>
      <c r="M408" s="11">
        <f>GraphBacillus!$B$10-(I408-GraphBacillus!$B$6)/GraphBacillus!$B$5</f>
        <v>1.3427764878199717</v>
      </c>
      <c r="N408" s="1" t="s">
        <v>1087</v>
      </c>
      <c r="O408">
        <v>1998</v>
      </c>
      <c r="S408" s="10">
        <f>GraphBacillus!$B$37*Bacillus!I408+GraphBacillus!$B$38</f>
        <v>1.1116996745363954</v>
      </c>
      <c r="T408" s="10">
        <f>GraphBacillus!$E$37*Bacillus!I408+GraphBacillus!$E$38</f>
        <v>1.1793213678520091</v>
      </c>
      <c r="U408" s="10">
        <f>GraphBacillus!$I$37*Bacillus!I408+GraphBacillus!$I$38</f>
        <v>1.0416821211443184</v>
      </c>
    </row>
    <row r="409" spans="1:21" x14ac:dyDescent="0.2">
      <c r="A409" s="2" t="s">
        <v>1236</v>
      </c>
      <c r="B409" s="2" t="s">
        <v>1237</v>
      </c>
      <c r="C409" s="2" t="s">
        <v>969</v>
      </c>
      <c r="D409" s="1" t="s">
        <v>44</v>
      </c>
      <c r="E409" s="1" t="s">
        <v>1252</v>
      </c>
      <c r="F409" s="19"/>
      <c r="G409" s="1">
        <v>1</v>
      </c>
      <c r="H409" s="5">
        <v>5.5</v>
      </c>
      <c r="I409" s="5">
        <v>95</v>
      </c>
      <c r="J409" s="9">
        <v>1.04</v>
      </c>
      <c r="K409" s="5"/>
      <c r="L409" s="9">
        <f t="shared" si="14"/>
        <v>1.703333929878037E-2</v>
      </c>
      <c r="M409" s="11">
        <f>GraphBacillus!$B$10-(I409-GraphBacillus!$B$6)/GraphBacillus!$B$5</f>
        <v>0.56430441936438891</v>
      </c>
      <c r="N409" s="1" t="s">
        <v>1087</v>
      </c>
      <c r="O409">
        <v>1998</v>
      </c>
      <c r="S409" s="10">
        <f>GraphBacillus!$B$37*Bacillus!I409+GraphBacillus!$B$38</f>
        <v>0.4454019479325515</v>
      </c>
      <c r="T409" s="10">
        <f>GraphBacillus!$E$37*Bacillus!I409+GraphBacillus!$E$38</f>
        <v>0.54852241566997151</v>
      </c>
      <c r="U409" s="10">
        <f>GraphBacillus!$I$37*Bacillus!I409+GraphBacillus!$I$38</f>
        <v>0.28686251267950968</v>
      </c>
    </row>
    <row r="410" spans="1:21" x14ac:dyDescent="0.2">
      <c r="A410" s="2" t="s">
        <v>1236</v>
      </c>
      <c r="B410" s="2" t="s">
        <v>1237</v>
      </c>
      <c r="C410" s="2" t="s">
        <v>969</v>
      </c>
      <c r="D410" s="1" t="s">
        <v>44</v>
      </c>
      <c r="E410" s="1" t="s">
        <v>1252</v>
      </c>
      <c r="F410" s="19"/>
      <c r="G410" s="1">
        <v>1</v>
      </c>
      <c r="H410" s="5">
        <v>5.5</v>
      </c>
      <c r="I410" s="5">
        <v>95</v>
      </c>
      <c r="J410" s="9">
        <v>0.97799999999999998</v>
      </c>
      <c r="K410" s="5"/>
      <c r="L410" s="9">
        <f t="shared" si="14"/>
        <v>-9.6611452123985687E-3</v>
      </c>
      <c r="M410" s="11">
        <f>GraphBacillus!$B$10-(I410-GraphBacillus!$B$6)/GraphBacillus!$B$5</f>
        <v>0.56430441936438891</v>
      </c>
      <c r="N410" s="1" t="s">
        <v>1087</v>
      </c>
      <c r="O410">
        <v>1998</v>
      </c>
      <c r="S410" s="10">
        <f>GraphBacillus!$B$37*Bacillus!I410+GraphBacillus!$B$38</f>
        <v>0.4454019479325515</v>
      </c>
      <c r="T410" s="10">
        <f>GraphBacillus!$E$37*Bacillus!I410+GraphBacillus!$E$38</f>
        <v>0.54852241566997151</v>
      </c>
      <c r="U410" s="10">
        <f>GraphBacillus!$I$37*Bacillus!I410+GraphBacillus!$I$38</f>
        <v>0.28686251267950968</v>
      </c>
    </row>
    <row r="411" spans="1:21" x14ac:dyDescent="0.2">
      <c r="A411" s="2" t="s">
        <v>1236</v>
      </c>
      <c r="B411" s="2" t="s">
        <v>1237</v>
      </c>
      <c r="C411" s="2" t="s">
        <v>969</v>
      </c>
      <c r="D411" s="1" t="s">
        <v>44</v>
      </c>
      <c r="E411" s="1" t="s">
        <v>1252</v>
      </c>
      <c r="F411" s="1"/>
      <c r="G411" s="1">
        <v>1</v>
      </c>
      <c r="H411" s="5">
        <v>5.5</v>
      </c>
      <c r="I411" s="5">
        <v>105</v>
      </c>
      <c r="J411" s="9">
        <v>9.2999999999999999E-2</v>
      </c>
      <c r="K411" s="5"/>
      <c r="L411" s="9">
        <f t="shared" si="14"/>
        <v>-1.031517051446065</v>
      </c>
      <c r="M411" s="11">
        <f>GraphBacillus!$B$10-(I411-GraphBacillus!$B$6)/GraphBacillus!$B$5</f>
        <v>-0.2141676490911939</v>
      </c>
      <c r="N411" s="1" t="s">
        <v>1087</v>
      </c>
      <c r="O411">
        <v>1998</v>
      </c>
      <c r="S411" s="10">
        <f>GraphBacillus!$B$37*Bacillus!I411+GraphBacillus!$B$38</f>
        <v>-0.2208957786712924</v>
      </c>
      <c r="T411" s="10">
        <f>GraphBacillus!$E$37*Bacillus!I411+GraphBacillus!$E$38</f>
        <v>-8.2276536512067011E-2</v>
      </c>
      <c r="U411" s="10">
        <f>GraphBacillus!$I$37*Bacillus!I411+GraphBacillus!$I$38</f>
        <v>-0.46795709578529898</v>
      </c>
    </row>
    <row r="412" spans="1:21" x14ac:dyDescent="0.2">
      <c r="A412" s="2" t="s">
        <v>1236</v>
      </c>
      <c r="B412" s="2" t="s">
        <v>1237</v>
      </c>
      <c r="C412" s="2" t="s">
        <v>969</v>
      </c>
      <c r="D412" s="1" t="s">
        <v>44</v>
      </c>
      <c r="E412" s="1" t="s">
        <v>1252</v>
      </c>
      <c r="F412" s="1"/>
      <c r="G412" s="1">
        <v>1</v>
      </c>
      <c r="H412" s="5">
        <v>6.5</v>
      </c>
      <c r="I412" s="5">
        <v>85</v>
      </c>
      <c r="J412" s="9">
        <v>63.398000000000003</v>
      </c>
      <c r="K412" s="5"/>
      <c r="L412" s="9">
        <f t="shared" si="14"/>
        <v>1.8020755575242526</v>
      </c>
      <c r="M412" s="11">
        <f>GraphBacillus!$B$10-(I412-GraphBacillus!$B$6)/GraphBacillus!$B$5</f>
        <v>1.3427764878199717</v>
      </c>
      <c r="N412" s="1" t="s">
        <v>1087</v>
      </c>
      <c r="O412">
        <v>1998</v>
      </c>
      <c r="S412" s="10">
        <f>GraphBacillus!$B$37*Bacillus!I412+GraphBacillus!$B$38</f>
        <v>1.1116996745363954</v>
      </c>
      <c r="T412" s="10">
        <f>GraphBacillus!$E$37*Bacillus!I412+GraphBacillus!$E$38</f>
        <v>1.1793213678520091</v>
      </c>
      <c r="U412" s="10">
        <f>GraphBacillus!$I$37*Bacillus!I412+GraphBacillus!$I$38</f>
        <v>1.0416821211443184</v>
      </c>
    </row>
    <row r="413" spans="1:21" x14ac:dyDescent="0.2">
      <c r="A413" s="2" t="s">
        <v>1236</v>
      </c>
      <c r="B413" s="2" t="s">
        <v>1237</v>
      </c>
      <c r="C413" s="2" t="s">
        <v>969</v>
      </c>
      <c r="D413" s="1" t="s">
        <v>44</v>
      </c>
      <c r="E413" s="1" t="s">
        <v>1252</v>
      </c>
      <c r="F413" s="1"/>
      <c r="G413" s="1">
        <v>1</v>
      </c>
      <c r="H413" s="5">
        <v>6.5</v>
      </c>
      <c r="I413" s="5">
        <v>95</v>
      </c>
      <c r="J413" s="9">
        <v>2.3860000000000001</v>
      </c>
      <c r="K413" s="5"/>
      <c r="L413" s="9">
        <f t="shared" si="14"/>
        <v>0.37767043933432309</v>
      </c>
      <c r="M413" s="11">
        <f>GraphBacillus!$B$10-(I413-GraphBacillus!$B$6)/GraphBacillus!$B$5</f>
        <v>0.56430441936438891</v>
      </c>
      <c r="N413" s="1" t="s">
        <v>1087</v>
      </c>
      <c r="O413">
        <v>1998</v>
      </c>
      <c r="S413" s="10">
        <f>GraphBacillus!$B$37*Bacillus!I413+GraphBacillus!$B$38</f>
        <v>0.4454019479325515</v>
      </c>
      <c r="T413" s="10">
        <f>GraphBacillus!$E$37*Bacillus!I413+GraphBacillus!$E$38</f>
        <v>0.54852241566997151</v>
      </c>
      <c r="U413" s="10">
        <f>GraphBacillus!$I$37*Bacillus!I413+GraphBacillus!$I$38</f>
        <v>0.28686251267950968</v>
      </c>
    </row>
    <row r="414" spans="1:21" x14ac:dyDescent="0.2">
      <c r="A414" s="2" t="s">
        <v>1236</v>
      </c>
      <c r="B414" s="2" t="s">
        <v>1237</v>
      </c>
      <c r="C414" s="2" t="s">
        <v>969</v>
      </c>
      <c r="D414" s="1" t="s">
        <v>44</v>
      </c>
      <c r="E414" s="1" t="s">
        <v>1252</v>
      </c>
      <c r="F414" s="1"/>
      <c r="G414" s="1">
        <v>1</v>
      </c>
      <c r="H414" s="5">
        <v>6.5</v>
      </c>
      <c r="I414" s="5">
        <v>105</v>
      </c>
      <c r="J414" s="9">
        <v>0.151</v>
      </c>
      <c r="K414" s="5"/>
      <c r="L414" s="9">
        <f t="shared" si="14"/>
        <v>-0.82102305270683062</v>
      </c>
      <c r="M414" s="11">
        <f>GraphBacillus!$B$10-(I414-GraphBacillus!$B$6)/GraphBacillus!$B$5</f>
        <v>-0.2141676490911939</v>
      </c>
      <c r="N414" s="1" t="s">
        <v>1087</v>
      </c>
      <c r="O414">
        <v>1998</v>
      </c>
      <c r="S414" s="10">
        <f>GraphBacillus!$B$37*Bacillus!I414+GraphBacillus!$B$38</f>
        <v>-0.2208957786712924</v>
      </c>
      <c r="T414" s="10">
        <f>GraphBacillus!$E$37*Bacillus!I414+GraphBacillus!$E$38</f>
        <v>-8.2276536512067011E-2</v>
      </c>
      <c r="U414" s="10">
        <f>GraphBacillus!$I$37*Bacillus!I414+GraphBacillus!$I$38</f>
        <v>-0.46795709578529898</v>
      </c>
    </row>
    <row r="415" spans="1:21" x14ac:dyDescent="0.2">
      <c r="A415" s="2" t="s">
        <v>1236</v>
      </c>
      <c r="B415" s="2" t="s">
        <v>1237</v>
      </c>
      <c r="C415" s="2" t="s">
        <v>1066</v>
      </c>
      <c r="D415" s="1" t="s">
        <v>44</v>
      </c>
      <c r="E415" s="1" t="s">
        <v>1252</v>
      </c>
      <c r="F415" s="1"/>
      <c r="G415" s="1"/>
      <c r="H415" s="5">
        <v>7</v>
      </c>
      <c r="I415" s="5">
        <v>85</v>
      </c>
      <c r="J415" s="9">
        <v>220</v>
      </c>
      <c r="K415" s="5"/>
      <c r="L415" s="9">
        <f t="shared" si="14"/>
        <v>2.3424226808222062</v>
      </c>
      <c r="M415" s="11">
        <f>GraphBacillus!$B$10-(I415-GraphBacillus!$B$6)/GraphBacillus!$B$5</f>
        <v>1.3427764878199717</v>
      </c>
      <c r="N415" s="2" t="s">
        <v>1226</v>
      </c>
      <c r="O415">
        <v>1996</v>
      </c>
      <c r="S415" s="10">
        <f>GraphBacillus!$B$37*Bacillus!I415+GraphBacillus!$B$38</f>
        <v>1.1116996745363954</v>
      </c>
      <c r="T415" s="10">
        <f>GraphBacillus!$E$37*Bacillus!I415+GraphBacillus!$E$38</f>
        <v>1.1793213678520091</v>
      </c>
      <c r="U415" s="10">
        <f>GraphBacillus!$I$37*Bacillus!I415+GraphBacillus!$I$38</f>
        <v>1.0416821211443184</v>
      </c>
    </row>
    <row r="416" spans="1:21" x14ac:dyDescent="0.2">
      <c r="A416" s="2" t="s">
        <v>1236</v>
      </c>
      <c r="B416" s="2" t="s">
        <v>1237</v>
      </c>
      <c r="C416" s="2" t="s">
        <v>1066</v>
      </c>
      <c r="D416" s="1" t="s">
        <v>44</v>
      </c>
      <c r="E416" s="1" t="s">
        <v>1252</v>
      </c>
      <c r="F416" s="1"/>
      <c r="G416" s="1"/>
      <c r="H416" s="5">
        <v>7</v>
      </c>
      <c r="I416" s="5">
        <v>90</v>
      </c>
      <c r="J416" s="9">
        <v>71</v>
      </c>
      <c r="K416" s="5"/>
      <c r="L416" s="9">
        <f t="shared" si="14"/>
        <v>1.8512583487190752</v>
      </c>
      <c r="M416" s="11">
        <f>GraphBacillus!$B$10-(I416-GraphBacillus!$B$6)/GraphBacillus!$B$5</f>
        <v>0.95354045359218009</v>
      </c>
      <c r="N416" s="2" t="s">
        <v>1226</v>
      </c>
      <c r="O416">
        <v>1996</v>
      </c>
      <c r="S416" s="10">
        <f>GraphBacillus!$B$37*Bacillus!I416+GraphBacillus!$B$38</f>
        <v>0.77855081123447345</v>
      </c>
      <c r="T416" s="10">
        <f>GraphBacillus!$E$37*Bacillus!I416+GraphBacillus!$E$38</f>
        <v>0.86392189176099077</v>
      </c>
      <c r="U416" s="10">
        <f>GraphBacillus!$I$37*Bacillus!I416+GraphBacillus!$I$38</f>
        <v>0.66427231691191402</v>
      </c>
    </row>
    <row r="417" spans="1:21" x14ac:dyDescent="0.2">
      <c r="A417" s="2" t="s">
        <v>1236</v>
      </c>
      <c r="B417" s="2" t="s">
        <v>1237</v>
      </c>
      <c r="C417" s="2" t="s">
        <v>1066</v>
      </c>
      <c r="D417" s="1" t="s">
        <v>44</v>
      </c>
      <c r="E417" s="1" t="s">
        <v>1252</v>
      </c>
      <c r="F417" s="1"/>
      <c r="G417" s="1"/>
      <c r="H417" s="5">
        <v>7</v>
      </c>
      <c r="I417" s="5">
        <v>95</v>
      </c>
      <c r="J417" s="9">
        <v>13</v>
      </c>
      <c r="K417" s="5"/>
      <c r="L417" s="9">
        <f t="shared" si="14"/>
        <v>1.1139433523068367</v>
      </c>
      <c r="M417" s="11">
        <f>GraphBacillus!$B$10-(I417-GraphBacillus!$B$6)/GraphBacillus!$B$5</f>
        <v>0.56430441936438891</v>
      </c>
      <c r="N417" s="2" t="s">
        <v>1226</v>
      </c>
      <c r="O417">
        <v>1996</v>
      </c>
      <c r="S417" s="10">
        <f>GraphBacillus!$B$37*Bacillus!I417+GraphBacillus!$B$38</f>
        <v>0.4454019479325515</v>
      </c>
      <c r="T417" s="10">
        <f>GraphBacillus!$E$37*Bacillus!I417+GraphBacillus!$E$38</f>
        <v>0.54852241566997151</v>
      </c>
      <c r="U417" s="10">
        <f>GraphBacillus!$I$37*Bacillus!I417+GraphBacillus!$I$38</f>
        <v>0.28686251267950968</v>
      </c>
    </row>
    <row r="418" spans="1:21" x14ac:dyDescent="0.2">
      <c r="A418" s="2" t="s">
        <v>1236</v>
      </c>
      <c r="B418" s="2" t="s">
        <v>1237</v>
      </c>
      <c r="C418" s="2" t="s">
        <v>1066</v>
      </c>
      <c r="D418" s="1" t="s">
        <v>44</v>
      </c>
      <c r="E418" s="1" t="s">
        <v>1252</v>
      </c>
      <c r="F418" s="1"/>
      <c r="G418" s="1"/>
      <c r="H418" s="5">
        <v>7</v>
      </c>
      <c r="I418" s="5">
        <v>100</v>
      </c>
      <c r="J418" s="9">
        <v>8</v>
      </c>
      <c r="K418" s="5"/>
      <c r="L418" s="9">
        <f t="shared" si="14"/>
        <v>0.90308998699194354</v>
      </c>
      <c r="M418" s="11">
        <f>GraphBacillus!$B$10-(I418-GraphBacillus!$B$6)/GraphBacillus!$B$5</f>
        <v>0.1750683851365975</v>
      </c>
      <c r="N418" s="2" t="s">
        <v>1226</v>
      </c>
      <c r="O418">
        <v>1996</v>
      </c>
      <c r="S418" s="10">
        <f>GraphBacillus!$B$37*Bacillus!I418+GraphBacillus!$B$38</f>
        <v>0.11225308463062955</v>
      </c>
      <c r="T418" s="10">
        <f>GraphBacillus!$E$37*Bacillus!I418+GraphBacillus!$E$38</f>
        <v>0.23312293957895225</v>
      </c>
      <c r="U418" s="10">
        <f>GraphBacillus!$I$37*Bacillus!I418+GraphBacillus!$I$38</f>
        <v>-9.0547291552894649E-2</v>
      </c>
    </row>
    <row r="419" spans="1:21" x14ac:dyDescent="0.2">
      <c r="A419" s="2" t="s">
        <v>1236</v>
      </c>
      <c r="B419" s="2" t="s">
        <v>1237</v>
      </c>
      <c r="C419" s="1" t="s">
        <v>863</v>
      </c>
      <c r="D419" s="1" t="s">
        <v>44</v>
      </c>
      <c r="E419" s="1" t="s">
        <v>866</v>
      </c>
      <c r="F419" s="1"/>
      <c r="G419" s="1"/>
      <c r="H419" s="5">
        <v>7</v>
      </c>
      <c r="I419" s="5">
        <v>85</v>
      </c>
      <c r="J419" s="9">
        <v>75.099999999999994</v>
      </c>
      <c r="K419" s="5"/>
      <c r="L419" s="9">
        <f t="shared" si="14"/>
        <v>1.8756399370041683</v>
      </c>
      <c r="M419" s="11">
        <f>GraphBacillus!$B$10-(I419-GraphBacillus!$B$6)/GraphBacillus!$B$5</f>
        <v>1.3427764878199717</v>
      </c>
      <c r="N419" s="2" t="s">
        <v>869</v>
      </c>
      <c r="O419">
        <v>1982</v>
      </c>
      <c r="S419" s="10">
        <f>GraphBacillus!$B$37*Bacillus!I419+GraphBacillus!$B$38</f>
        <v>1.1116996745363954</v>
      </c>
      <c r="T419" s="10">
        <f>GraphBacillus!$E$37*Bacillus!I419+GraphBacillus!$E$38</f>
        <v>1.1793213678520091</v>
      </c>
      <c r="U419" s="10">
        <f>GraphBacillus!$I$37*Bacillus!I419+GraphBacillus!$I$38</f>
        <v>1.0416821211443184</v>
      </c>
    </row>
    <row r="420" spans="1:21" x14ac:dyDescent="0.2">
      <c r="A420" s="2" t="s">
        <v>1236</v>
      </c>
      <c r="B420" s="2" t="s">
        <v>1237</v>
      </c>
      <c r="C420" s="1" t="s">
        <v>875</v>
      </c>
      <c r="D420" s="1" t="s">
        <v>44</v>
      </c>
      <c r="E420" s="1" t="s">
        <v>866</v>
      </c>
      <c r="F420" s="1"/>
      <c r="G420" s="1"/>
      <c r="H420" s="5">
        <v>7</v>
      </c>
      <c r="I420" s="5">
        <v>85</v>
      </c>
      <c r="J420" s="9">
        <v>32.1</v>
      </c>
      <c r="K420" s="5"/>
      <c r="L420" s="9">
        <f t="shared" si="14"/>
        <v>1.5065050324048721</v>
      </c>
      <c r="M420" s="11">
        <f>GraphBacillus!$B$10-(I420-GraphBacillus!$B$6)/GraphBacillus!$B$5</f>
        <v>1.3427764878199717</v>
      </c>
      <c r="N420" s="2" t="s">
        <v>869</v>
      </c>
      <c r="O420">
        <v>1982</v>
      </c>
      <c r="S420" s="10">
        <f>GraphBacillus!$B$37*Bacillus!I420+GraphBacillus!$B$38</f>
        <v>1.1116996745363954</v>
      </c>
      <c r="T420" s="10">
        <f>GraphBacillus!$E$37*Bacillus!I420+GraphBacillus!$E$38</f>
        <v>1.1793213678520091</v>
      </c>
      <c r="U420" s="10">
        <f>GraphBacillus!$I$37*Bacillus!I420+GraphBacillus!$I$38</f>
        <v>1.0416821211443184</v>
      </c>
    </row>
    <row r="421" spans="1:21" x14ac:dyDescent="0.2">
      <c r="A421" s="2" t="s">
        <v>1236</v>
      </c>
      <c r="B421" s="2" t="s">
        <v>1237</v>
      </c>
      <c r="C421" s="1" t="s">
        <v>873</v>
      </c>
      <c r="D421" s="1" t="s">
        <v>44</v>
      </c>
      <c r="E421" s="1" t="s">
        <v>866</v>
      </c>
      <c r="F421" s="1"/>
      <c r="G421" s="1"/>
      <c r="H421" s="5">
        <v>7</v>
      </c>
      <c r="I421" s="5">
        <v>85</v>
      </c>
      <c r="J421" s="9">
        <v>77.099999999999994</v>
      </c>
      <c r="K421" s="5">
        <v>10.9</v>
      </c>
      <c r="L421" s="9">
        <f t="shared" si="14"/>
        <v>1.887054378050957</v>
      </c>
      <c r="M421" s="11">
        <f>GraphBacillus!$B$10-(I421-GraphBacillus!$B$6)/GraphBacillus!$B$5</f>
        <v>1.3427764878199717</v>
      </c>
      <c r="N421" s="2" t="s">
        <v>869</v>
      </c>
      <c r="O421">
        <v>1982</v>
      </c>
      <c r="S421" s="10">
        <f>GraphBacillus!$B$37*Bacillus!I421+GraphBacillus!$B$38</f>
        <v>1.1116996745363954</v>
      </c>
      <c r="T421" s="10">
        <f>GraphBacillus!$E$37*Bacillus!I421+GraphBacillus!$E$38</f>
        <v>1.1793213678520091</v>
      </c>
      <c r="U421" s="10">
        <f>GraphBacillus!$I$37*Bacillus!I421+GraphBacillus!$I$38</f>
        <v>1.0416821211443184</v>
      </c>
    </row>
    <row r="422" spans="1:21" x14ac:dyDescent="0.2">
      <c r="A422" s="2" t="s">
        <v>1236</v>
      </c>
      <c r="B422" s="2" t="s">
        <v>1237</v>
      </c>
      <c r="C422" s="2" t="s">
        <v>868</v>
      </c>
      <c r="D422" s="1" t="s">
        <v>44</v>
      </c>
      <c r="E422" s="1" t="s">
        <v>866</v>
      </c>
      <c r="F422" s="1"/>
      <c r="G422" s="1"/>
      <c r="H422" s="5">
        <v>7</v>
      </c>
      <c r="I422" s="5">
        <v>85</v>
      </c>
      <c r="J422" s="9">
        <v>34.4</v>
      </c>
      <c r="K422" s="5">
        <v>6.9</v>
      </c>
      <c r="L422" s="9">
        <f t="shared" si="14"/>
        <v>1.5365584425715302</v>
      </c>
      <c r="M422" s="11">
        <f>GraphBacillus!$B$10-(I422-GraphBacillus!$B$6)/GraphBacillus!$B$5</f>
        <v>1.3427764878199717</v>
      </c>
      <c r="N422" s="2" t="s">
        <v>869</v>
      </c>
      <c r="O422">
        <v>1982</v>
      </c>
      <c r="S422" s="10">
        <f>GraphBacillus!$B$37*Bacillus!I422+GraphBacillus!$B$38</f>
        <v>1.1116996745363954</v>
      </c>
      <c r="T422" s="10">
        <f>GraphBacillus!$E$37*Bacillus!I422+GraphBacillus!$E$38</f>
        <v>1.1793213678520091</v>
      </c>
      <c r="U422" s="10">
        <f>GraphBacillus!$I$37*Bacillus!I422+GraphBacillus!$I$38</f>
        <v>1.0416821211443184</v>
      </c>
    </row>
    <row r="423" spans="1:21" x14ac:dyDescent="0.2">
      <c r="A423" s="2" t="s">
        <v>1236</v>
      </c>
      <c r="B423" s="2" t="s">
        <v>1237</v>
      </c>
      <c r="C423" s="2" t="s">
        <v>867</v>
      </c>
      <c r="D423" s="1" t="s">
        <v>44</v>
      </c>
      <c r="E423" s="1" t="s">
        <v>866</v>
      </c>
      <c r="F423" s="1"/>
      <c r="G423" s="1"/>
      <c r="H423" s="5">
        <v>7</v>
      </c>
      <c r="I423" s="5">
        <v>85</v>
      </c>
      <c r="J423" s="9">
        <v>106</v>
      </c>
      <c r="K423" s="5">
        <v>13.9</v>
      </c>
      <c r="L423" s="9">
        <f t="shared" si="14"/>
        <v>2.0253058652647704</v>
      </c>
      <c r="M423" s="11">
        <f>GraphBacillus!$B$10-(I423-GraphBacillus!$B$6)/GraphBacillus!$B$5</f>
        <v>1.3427764878199717</v>
      </c>
      <c r="N423" s="2" t="s">
        <v>869</v>
      </c>
      <c r="O423">
        <v>1982</v>
      </c>
      <c r="S423" s="10">
        <f>GraphBacillus!$B$37*Bacillus!I423+GraphBacillus!$B$38</f>
        <v>1.1116996745363954</v>
      </c>
      <c r="T423" s="10">
        <f>GraphBacillus!$E$37*Bacillus!I423+GraphBacillus!$E$38</f>
        <v>1.1793213678520091</v>
      </c>
      <c r="U423" s="10">
        <f>GraphBacillus!$I$37*Bacillus!I423+GraphBacillus!$I$38</f>
        <v>1.0416821211443184</v>
      </c>
    </row>
    <row r="424" spans="1:21" x14ac:dyDescent="0.2">
      <c r="A424" s="2" t="s">
        <v>1236</v>
      </c>
      <c r="B424" s="2" t="s">
        <v>1237</v>
      </c>
      <c r="C424" s="1" t="s">
        <v>867</v>
      </c>
      <c r="D424" s="1" t="s">
        <v>44</v>
      </c>
      <c r="E424" s="1" t="s">
        <v>866</v>
      </c>
      <c r="F424" s="1"/>
      <c r="G424" s="1"/>
      <c r="H424" s="5">
        <v>7</v>
      </c>
      <c r="I424" s="5">
        <v>85</v>
      </c>
      <c r="J424" s="9">
        <v>50.1</v>
      </c>
      <c r="K424" s="5"/>
      <c r="L424" s="9">
        <f t="shared" si="14"/>
        <v>1.6998377258672457</v>
      </c>
      <c r="M424" s="11">
        <f>GraphBacillus!$B$10-(I424-GraphBacillus!$B$6)/GraphBacillus!$B$5</f>
        <v>1.3427764878199717</v>
      </c>
      <c r="N424" s="2" t="s">
        <v>869</v>
      </c>
      <c r="O424">
        <v>1982</v>
      </c>
      <c r="S424" s="10">
        <f>GraphBacillus!$B$37*Bacillus!I424+GraphBacillus!$B$38</f>
        <v>1.1116996745363954</v>
      </c>
      <c r="T424" s="10">
        <f>GraphBacillus!$E$37*Bacillus!I424+GraphBacillus!$E$38</f>
        <v>1.1793213678520091</v>
      </c>
      <c r="U424" s="10">
        <f>GraphBacillus!$I$37*Bacillus!I424+GraphBacillus!$I$38</f>
        <v>1.0416821211443184</v>
      </c>
    </row>
    <row r="425" spans="1:21" x14ac:dyDescent="0.2">
      <c r="A425" s="2" t="s">
        <v>1236</v>
      </c>
      <c r="B425" s="2" t="s">
        <v>1237</v>
      </c>
      <c r="C425" s="1" t="s">
        <v>874</v>
      </c>
      <c r="D425" s="1" t="s">
        <v>44</v>
      </c>
      <c r="E425" s="1" t="s">
        <v>866</v>
      </c>
      <c r="F425" s="1"/>
      <c r="G425" s="1"/>
      <c r="H425" s="5">
        <v>7</v>
      </c>
      <c r="I425" s="5">
        <v>85</v>
      </c>
      <c r="J425" s="9">
        <v>74.7</v>
      </c>
      <c r="K425" s="5"/>
      <c r="L425" s="9">
        <f t="shared" si="14"/>
        <v>1.8733206018153987</v>
      </c>
      <c r="M425" s="11">
        <f>GraphBacillus!$B$10-(I425-GraphBacillus!$B$6)/GraphBacillus!$B$5</f>
        <v>1.3427764878199717</v>
      </c>
      <c r="N425" s="2" t="s">
        <v>869</v>
      </c>
      <c r="O425">
        <v>1982</v>
      </c>
      <c r="S425" s="10">
        <f>GraphBacillus!$B$37*Bacillus!I425+GraphBacillus!$B$38</f>
        <v>1.1116996745363954</v>
      </c>
      <c r="T425" s="10">
        <f>GraphBacillus!$E$37*Bacillus!I425+GraphBacillus!$E$38</f>
        <v>1.1793213678520091</v>
      </c>
      <c r="U425" s="10">
        <f>GraphBacillus!$I$37*Bacillus!I425+GraphBacillus!$I$38</f>
        <v>1.0416821211443184</v>
      </c>
    </row>
    <row r="426" spans="1:21" x14ac:dyDescent="0.2">
      <c r="A426" s="2" t="s">
        <v>1236</v>
      </c>
      <c r="B426" s="2" t="s">
        <v>1237</v>
      </c>
      <c r="C426" s="2" t="s">
        <v>1348</v>
      </c>
      <c r="D426" s="1" t="s">
        <v>44</v>
      </c>
      <c r="E426" s="1" t="s">
        <v>866</v>
      </c>
      <c r="F426" s="1"/>
      <c r="G426" s="1"/>
      <c r="H426" s="5">
        <v>7</v>
      </c>
      <c r="I426" s="5">
        <v>85</v>
      </c>
      <c r="J426" s="9">
        <v>33.799999999999997</v>
      </c>
      <c r="K426" s="5">
        <v>9.6999999999999993</v>
      </c>
      <c r="L426" s="9">
        <f t="shared" si="14"/>
        <v>1.5289167002776547</v>
      </c>
      <c r="M426" s="11">
        <f>GraphBacillus!$B$10-(I426-GraphBacillus!$B$6)/GraphBacillus!$B$5</f>
        <v>1.3427764878199717</v>
      </c>
      <c r="N426" s="2" t="s">
        <v>869</v>
      </c>
      <c r="O426">
        <v>1982</v>
      </c>
      <c r="S426" s="10">
        <f>GraphBacillus!$B$37*Bacillus!I426+GraphBacillus!$B$38</f>
        <v>1.1116996745363954</v>
      </c>
      <c r="T426" s="10">
        <f>GraphBacillus!$E$37*Bacillus!I426+GraphBacillus!$E$38</f>
        <v>1.1793213678520091</v>
      </c>
      <c r="U426" s="10">
        <f>GraphBacillus!$I$37*Bacillus!I426+GraphBacillus!$I$38</f>
        <v>1.0416821211443184</v>
      </c>
    </row>
    <row r="427" spans="1:21" x14ac:dyDescent="0.2">
      <c r="A427" s="2" t="s">
        <v>1236</v>
      </c>
      <c r="B427" s="2" t="s">
        <v>1237</v>
      </c>
      <c r="C427" s="2" t="s">
        <v>1348</v>
      </c>
      <c r="D427" s="1" t="s">
        <v>44</v>
      </c>
      <c r="E427" s="1" t="s">
        <v>1249</v>
      </c>
      <c r="F427" s="1"/>
      <c r="G427" s="1"/>
      <c r="H427" s="5">
        <v>7</v>
      </c>
      <c r="I427" s="5">
        <v>95</v>
      </c>
      <c r="J427" s="9">
        <v>2.8</v>
      </c>
      <c r="K427" s="5"/>
      <c r="L427" s="9">
        <f t="shared" si="14"/>
        <v>0.44715803134221921</v>
      </c>
      <c r="M427" s="11">
        <f>GraphBacillus!$B$10-(I427-GraphBacillus!$B$6)/GraphBacillus!$B$5</f>
        <v>0.56430441936438891</v>
      </c>
      <c r="N427" s="2" t="s">
        <v>1226</v>
      </c>
      <c r="O427">
        <v>1996</v>
      </c>
      <c r="S427" s="10">
        <f>GraphBacillus!$B$37*Bacillus!I427+GraphBacillus!$B$38</f>
        <v>0.4454019479325515</v>
      </c>
      <c r="T427" s="10">
        <f>GraphBacillus!$E$37*Bacillus!I427+GraphBacillus!$E$38</f>
        <v>0.54852241566997151</v>
      </c>
      <c r="U427" s="10">
        <f>GraphBacillus!$I$37*Bacillus!I427+GraphBacillus!$I$38</f>
        <v>0.28686251267950968</v>
      </c>
    </row>
    <row r="428" spans="1:21" x14ac:dyDescent="0.2">
      <c r="A428" s="2" t="s">
        <v>1236</v>
      </c>
      <c r="B428" s="2" t="s">
        <v>1237</v>
      </c>
      <c r="C428" s="2" t="s">
        <v>1348</v>
      </c>
      <c r="D428" s="1" t="s">
        <v>44</v>
      </c>
      <c r="E428" s="1" t="s">
        <v>1249</v>
      </c>
      <c r="F428" s="1"/>
      <c r="G428" s="1"/>
      <c r="H428" s="5">
        <v>7</v>
      </c>
      <c r="I428" s="5">
        <v>95</v>
      </c>
      <c r="J428" s="9">
        <v>3.4</v>
      </c>
      <c r="K428" s="5"/>
      <c r="L428" s="9">
        <f t="shared" si="14"/>
        <v>0.53147891704225514</v>
      </c>
      <c r="M428" s="11">
        <f>GraphBacillus!$B$10-(I428-GraphBacillus!$B$6)/GraphBacillus!$B$5</f>
        <v>0.56430441936438891</v>
      </c>
      <c r="N428" s="2" t="s">
        <v>1226</v>
      </c>
      <c r="O428">
        <v>1996</v>
      </c>
      <c r="S428" s="10">
        <f>GraphBacillus!$B$37*Bacillus!I428+GraphBacillus!$B$38</f>
        <v>0.4454019479325515</v>
      </c>
      <c r="T428" s="10">
        <f>GraphBacillus!$E$37*Bacillus!I428+GraphBacillus!$E$38</f>
        <v>0.54852241566997151</v>
      </c>
      <c r="U428" s="10">
        <f>GraphBacillus!$I$37*Bacillus!I428+GraphBacillus!$I$38</f>
        <v>0.28686251267950968</v>
      </c>
    </row>
    <row r="429" spans="1:21" x14ac:dyDescent="0.2">
      <c r="A429" s="2" t="s">
        <v>1236</v>
      </c>
      <c r="B429" s="2" t="s">
        <v>1237</v>
      </c>
      <c r="C429" s="1" t="s">
        <v>1348</v>
      </c>
      <c r="D429" s="1" t="s">
        <v>44</v>
      </c>
      <c r="E429" s="1" t="s">
        <v>1249</v>
      </c>
      <c r="F429" s="1"/>
      <c r="G429" s="1"/>
      <c r="H429" s="5">
        <v>7</v>
      </c>
      <c r="I429" s="5">
        <v>95</v>
      </c>
      <c r="J429" s="9">
        <v>2.1</v>
      </c>
      <c r="K429" s="5"/>
      <c r="L429" s="9">
        <f t="shared" si="14"/>
        <v>0.3222192947339193</v>
      </c>
      <c r="M429" s="11">
        <f>GraphBacillus!$B$10-(I429-GraphBacillus!$B$6)/GraphBacillus!$B$5</f>
        <v>0.56430441936438891</v>
      </c>
      <c r="N429" s="2" t="s">
        <v>1226</v>
      </c>
      <c r="O429">
        <v>1996</v>
      </c>
      <c r="S429" s="10">
        <f>GraphBacillus!$B$37*Bacillus!I429+GraphBacillus!$B$38</f>
        <v>0.4454019479325515</v>
      </c>
      <c r="T429" s="10">
        <f>GraphBacillus!$E$37*Bacillus!I429+GraphBacillus!$E$38</f>
        <v>0.54852241566997151</v>
      </c>
      <c r="U429" s="10">
        <f>GraphBacillus!$I$37*Bacillus!I429+GraphBacillus!$I$38</f>
        <v>0.28686251267950968</v>
      </c>
    </row>
    <row r="430" spans="1:21" x14ac:dyDescent="0.2">
      <c r="A430" s="2" t="s">
        <v>1236</v>
      </c>
      <c r="B430" s="2" t="s">
        <v>1237</v>
      </c>
      <c r="C430" s="1" t="s">
        <v>1348</v>
      </c>
      <c r="D430" s="1" t="s">
        <v>44</v>
      </c>
      <c r="E430" s="1" t="s">
        <v>1249</v>
      </c>
      <c r="F430" s="1"/>
      <c r="G430" s="1"/>
      <c r="H430" s="5">
        <v>7</v>
      </c>
      <c r="I430" s="5">
        <v>95</v>
      </c>
      <c r="J430" s="9">
        <v>2.4</v>
      </c>
      <c r="K430" s="5"/>
      <c r="L430" s="9">
        <f t="shared" si="14"/>
        <v>0.38021124171160603</v>
      </c>
      <c r="M430" s="11">
        <f>GraphBacillus!$B$10-(I430-GraphBacillus!$B$6)/GraphBacillus!$B$5</f>
        <v>0.56430441936438891</v>
      </c>
      <c r="N430" s="2" t="s">
        <v>1226</v>
      </c>
      <c r="O430">
        <v>1996</v>
      </c>
      <c r="S430" s="10">
        <f>GraphBacillus!$B$37*Bacillus!I430+GraphBacillus!$B$38</f>
        <v>0.4454019479325515</v>
      </c>
      <c r="T430" s="10">
        <f>GraphBacillus!$E$37*Bacillus!I430+GraphBacillus!$E$38</f>
        <v>0.54852241566997151</v>
      </c>
      <c r="U430" s="10">
        <f>GraphBacillus!$I$37*Bacillus!I430+GraphBacillus!$I$38</f>
        <v>0.28686251267950968</v>
      </c>
    </row>
    <row r="431" spans="1:21" x14ac:dyDescent="0.2">
      <c r="A431" s="2" t="s">
        <v>1236</v>
      </c>
      <c r="B431" s="2" t="s">
        <v>1237</v>
      </c>
      <c r="C431" s="1" t="s">
        <v>1348</v>
      </c>
      <c r="D431" s="1" t="s">
        <v>44</v>
      </c>
      <c r="E431" s="1" t="s">
        <v>1249</v>
      </c>
      <c r="F431" s="1"/>
      <c r="G431" s="1"/>
      <c r="H431" s="5">
        <v>7</v>
      </c>
      <c r="I431" s="5">
        <v>95</v>
      </c>
      <c r="J431" s="9">
        <v>2.9</v>
      </c>
      <c r="K431" s="5"/>
      <c r="L431" s="9">
        <f t="shared" si="14"/>
        <v>0.46239799789895608</v>
      </c>
      <c r="M431" s="11">
        <f>GraphBacillus!$B$10-(I431-GraphBacillus!$B$6)/GraphBacillus!$B$5</f>
        <v>0.56430441936438891</v>
      </c>
      <c r="N431" s="2" t="s">
        <v>1226</v>
      </c>
      <c r="O431">
        <v>1996</v>
      </c>
      <c r="S431" s="10">
        <f>GraphBacillus!$B$37*Bacillus!I431+GraphBacillus!$B$38</f>
        <v>0.4454019479325515</v>
      </c>
      <c r="T431" s="10">
        <f>GraphBacillus!$E$37*Bacillus!I431+GraphBacillus!$E$38</f>
        <v>0.54852241566997151</v>
      </c>
      <c r="U431" s="10">
        <f>GraphBacillus!$I$37*Bacillus!I431+GraphBacillus!$I$38</f>
        <v>0.28686251267950968</v>
      </c>
    </row>
    <row r="432" spans="1:21" x14ac:dyDescent="0.2">
      <c r="A432" s="2" t="s">
        <v>1236</v>
      </c>
      <c r="B432" s="2" t="s">
        <v>1237</v>
      </c>
      <c r="C432" s="1" t="s">
        <v>1348</v>
      </c>
      <c r="D432" s="1" t="s">
        <v>44</v>
      </c>
      <c r="E432" s="1" t="s">
        <v>1249</v>
      </c>
      <c r="F432" s="1"/>
      <c r="G432" s="1"/>
      <c r="H432" s="5">
        <v>7</v>
      </c>
      <c r="I432" s="5">
        <v>95</v>
      </c>
      <c r="J432" s="9">
        <v>3</v>
      </c>
      <c r="K432" s="5"/>
      <c r="L432" s="9">
        <f t="shared" ref="L432:L463" si="15">LOG(J432)</f>
        <v>0.47712125471966244</v>
      </c>
      <c r="M432" s="11">
        <f>GraphBacillus!$B$10-(I432-GraphBacillus!$B$6)/GraphBacillus!$B$5</f>
        <v>0.56430441936438891</v>
      </c>
      <c r="N432" s="2" t="s">
        <v>1226</v>
      </c>
      <c r="O432">
        <v>1996</v>
      </c>
      <c r="S432" s="10">
        <f>GraphBacillus!$B$37*Bacillus!I432+GraphBacillus!$B$38</f>
        <v>0.4454019479325515</v>
      </c>
      <c r="T432" s="10">
        <f>GraphBacillus!$E$37*Bacillus!I432+GraphBacillus!$E$38</f>
        <v>0.54852241566997151</v>
      </c>
      <c r="U432" s="10">
        <f>GraphBacillus!$I$37*Bacillus!I432+GraphBacillus!$I$38</f>
        <v>0.28686251267950968</v>
      </c>
    </row>
    <row r="433" spans="1:21" x14ac:dyDescent="0.2">
      <c r="A433" s="2" t="s">
        <v>1236</v>
      </c>
      <c r="B433" s="2" t="s">
        <v>1237</v>
      </c>
      <c r="C433" s="2" t="s">
        <v>864</v>
      </c>
      <c r="D433" s="1" t="s">
        <v>44</v>
      </c>
      <c r="E433" s="1" t="s">
        <v>1250</v>
      </c>
      <c r="F433" s="1"/>
      <c r="G433" s="1"/>
      <c r="H433" s="5">
        <v>7</v>
      </c>
      <c r="I433" s="5">
        <v>97.5</v>
      </c>
      <c r="J433" s="9">
        <v>8.1999999999999993</v>
      </c>
      <c r="K433" s="5"/>
      <c r="L433" s="9">
        <f t="shared" si="15"/>
        <v>0.91381385238371671</v>
      </c>
      <c r="M433" s="11">
        <f>GraphBacillus!$B$10-(I433-GraphBacillus!$B$6)/GraphBacillus!$B$5</f>
        <v>0.3696864022504931</v>
      </c>
      <c r="N433" s="2" t="s">
        <v>858</v>
      </c>
      <c r="O433">
        <v>1987</v>
      </c>
      <c r="S433" s="10">
        <f>GraphBacillus!$B$37*Bacillus!I433+GraphBacillus!$B$38</f>
        <v>0.27882751628159053</v>
      </c>
      <c r="T433" s="10">
        <f>GraphBacillus!$E$37*Bacillus!I433+GraphBacillus!$E$38</f>
        <v>0.39082267762446143</v>
      </c>
      <c r="U433" s="10">
        <f>GraphBacillus!$I$37*Bacillus!I433+GraphBacillus!$I$38</f>
        <v>9.8157610563307074E-2</v>
      </c>
    </row>
    <row r="434" spans="1:21" x14ac:dyDescent="0.2">
      <c r="A434" s="2" t="s">
        <v>1236</v>
      </c>
      <c r="B434" s="2" t="s">
        <v>1237</v>
      </c>
      <c r="C434" s="2" t="s">
        <v>864</v>
      </c>
      <c r="D434" s="1" t="s">
        <v>44</v>
      </c>
      <c r="E434" s="1" t="s">
        <v>1250</v>
      </c>
      <c r="F434" s="1"/>
      <c r="G434" s="1"/>
      <c r="H434" s="5">
        <v>7</v>
      </c>
      <c r="I434" s="5">
        <v>100</v>
      </c>
      <c r="J434" s="9">
        <v>4.4000000000000004</v>
      </c>
      <c r="K434" s="5"/>
      <c r="L434" s="9">
        <f t="shared" si="15"/>
        <v>0.64345267648618742</v>
      </c>
      <c r="M434" s="11">
        <f>GraphBacillus!$B$10-(I434-GraphBacillus!$B$6)/GraphBacillus!$B$5</f>
        <v>0.1750683851365975</v>
      </c>
      <c r="N434" s="2" t="s">
        <v>858</v>
      </c>
      <c r="O434">
        <v>1987</v>
      </c>
      <c r="S434" s="10">
        <f>GraphBacillus!$B$37*Bacillus!I434+GraphBacillus!$B$38</f>
        <v>0.11225308463062955</v>
      </c>
      <c r="T434" s="10">
        <f>GraphBacillus!$E$37*Bacillus!I434+GraphBacillus!$E$38</f>
        <v>0.23312293957895225</v>
      </c>
      <c r="U434" s="10">
        <f>GraphBacillus!$I$37*Bacillus!I434+GraphBacillus!$I$38</f>
        <v>-9.0547291552894649E-2</v>
      </c>
    </row>
    <row r="435" spans="1:21" x14ac:dyDescent="0.2">
      <c r="A435" s="2" t="s">
        <v>1236</v>
      </c>
      <c r="B435" s="2" t="s">
        <v>1237</v>
      </c>
      <c r="C435" s="2" t="s">
        <v>864</v>
      </c>
      <c r="D435" s="1" t="s">
        <v>44</v>
      </c>
      <c r="E435" s="1" t="s">
        <v>1250</v>
      </c>
      <c r="F435" s="1"/>
      <c r="G435" s="1"/>
      <c r="H435" s="5">
        <v>7</v>
      </c>
      <c r="I435" s="5">
        <v>102.5</v>
      </c>
      <c r="J435" s="9">
        <v>3.3</v>
      </c>
      <c r="K435" s="5"/>
      <c r="L435" s="9">
        <f t="shared" si="15"/>
        <v>0.51851393987788741</v>
      </c>
      <c r="M435" s="11">
        <f>GraphBacillus!$B$10-(I435-GraphBacillus!$B$6)/GraphBacillus!$B$5</f>
        <v>-1.9549631977298088E-2</v>
      </c>
      <c r="N435" s="2" t="s">
        <v>858</v>
      </c>
      <c r="O435">
        <v>1987</v>
      </c>
      <c r="S435" s="10">
        <f>GraphBacillus!$B$37*Bacillus!I435+GraphBacillus!$B$38</f>
        <v>-5.4321347020331423E-2</v>
      </c>
      <c r="T435" s="10">
        <f>GraphBacillus!$E$37*Bacillus!I435+GraphBacillus!$E$38</f>
        <v>7.5423201533442175E-2</v>
      </c>
      <c r="U435" s="10">
        <f>GraphBacillus!$I$37*Bacillus!I435+GraphBacillus!$I$38</f>
        <v>-0.27925219366909726</v>
      </c>
    </row>
    <row r="436" spans="1:21" x14ac:dyDescent="0.2">
      <c r="A436" s="2" t="s">
        <v>1236</v>
      </c>
      <c r="B436" s="2" t="s">
        <v>1237</v>
      </c>
      <c r="C436" s="2" t="s">
        <v>864</v>
      </c>
      <c r="D436" s="1" t="s">
        <v>44</v>
      </c>
      <c r="E436" s="1" t="s">
        <v>1250</v>
      </c>
      <c r="F436" s="1"/>
      <c r="G436" s="1"/>
      <c r="H436" s="5">
        <v>7</v>
      </c>
      <c r="I436" s="5">
        <v>107.5</v>
      </c>
      <c r="J436" s="9">
        <v>0.6</v>
      </c>
      <c r="K436" s="5"/>
      <c r="L436" s="9">
        <f t="shared" si="15"/>
        <v>-0.22184874961635639</v>
      </c>
      <c r="M436" s="11">
        <f>GraphBacillus!$B$10-(I436-GraphBacillus!$B$6)/GraphBacillus!$B$5</f>
        <v>-0.40878566620508949</v>
      </c>
      <c r="N436" s="2" t="s">
        <v>858</v>
      </c>
      <c r="O436">
        <v>1987</v>
      </c>
      <c r="S436" s="10">
        <f>GraphBacillus!$B$37*Bacillus!I436+GraphBacillus!$B$38</f>
        <v>-0.38747021032225337</v>
      </c>
      <c r="T436" s="10">
        <f>GraphBacillus!$E$37*Bacillus!I436+GraphBacillus!$E$38</f>
        <v>-0.2399762745575762</v>
      </c>
      <c r="U436" s="10">
        <f>GraphBacillus!$I$37*Bacillus!I436+GraphBacillus!$I$38</f>
        <v>-0.6566619979015007</v>
      </c>
    </row>
    <row r="437" spans="1:21" x14ac:dyDescent="0.2">
      <c r="A437" s="2" t="s">
        <v>1236</v>
      </c>
      <c r="B437" s="2" t="s">
        <v>1237</v>
      </c>
      <c r="C437" s="2" t="s">
        <v>1067</v>
      </c>
      <c r="D437" s="1" t="s">
        <v>44</v>
      </c>
      <c r="E437" s="1" t="s">
        <v>1250</v>
      </c>
      <c r="F437" s="1"/>
      <c r="G437" s="1"/>
      <c r="H437" s="5">
        <v>7</v>
      </c>
      <c r="I437" s="5">
        <v>95</v>
      </c>
      <c r="J437" s="9">
        <v>2.6</v>
      </c>
      <c r="K437" s="5">
        <v>10</v>
      </c>
      <c r="L437" s="9">
        <f t="shared" si="15"/>
        <v>0.41497334797081797</v>
      </c>
      <c r="M437" s="11">
        <f>GraphBacillus!$B$10-(I437-GraphBacillus!$B$6)/GraphBacillus!$B$5</f>
        <v>0.56430441936438891</v>
      </c>
      <c r="N437" s="2" t="s">
        <v>858</v>
      </c>
      <c r="O437">
        <v>1987</v>
      </c>
      <c r="S437" s="10">
        <f>GraphBacillus!$B$37*Bacillus!I437+GraphBacillus!$B$38</f>
        <v>0.4454019479325515</v>
      </c>
      <c r="T437" s="10">
        <f>GraphBacillus!$E$37*Bacillus!I437+GraphBacillus!$E$38</f>
        <v>0.54852241566997151</v>
      </c>
      <c r="U437" s="10">
        <f>GraphBacillus!$I$37*Bacillus!I437+GraphBacillus!$I$38</f>
        <v>0.28686251267950968</v>
      </c>
    </row>
    <row r="438" spans="1:21" x14ac:dyDescent="0.2">
      <c r="A438" s="2" t="s">
        <v>1236</v>
      </c>
      <c r="B438" s="2" t="s">
        <v>1237</v>
      </c>
      <c r="C438" s="2" t="s">
        <v>1067</v>
      </c>
      <c r="D438" s="1" t="s">
        <v>44</v>
      </c>
      <c r="E438" s="1" t="s">
        <v>1250</v>
      </c>
      <c r="F438" s="1"/>
      <c r="G438" s="1"/>
      <c r="H438" s="5">
        <v>7</v>
      </c>
      <c r="I438" s="5">
        <v>90</v>
      </c>
      <c r="J438" s="9">
        <v>9</v>
      </c>
      <c r="K438" s="5"/>
      <c r="L438" s="9">
        <f t="shared" si="15"/>
        <v>0.95424250943932487</v>
      </c>
      <c r="M438" s="11">
        <f>GraphBacillus!$B$10-(I438-GraphBacillus!$B$6)/GraphBacillus!$B$5</f>
        <v>0.95354045359218009</v>
      </c>
      <c r="N438" s="2" t="s">
        <v>858</v>
      </c>
      <c r="O438">
        <v>1987</v>
      </c>
      <c r="S438" s="10">
        <f>GraphBacillus!$B$37*Bacillus!I438+GraphBacillus!$B$38</f>
        <v>0.77855081123447345</v>
      </c>
      <c r="T438" s="10">
        <f>GraphBacillus!$E$37*Bacillus!I438+GraphBacillus!$E$38</f>
        <v>0.86392189176099077</v>
      </c>
      <c r="U438" s="10">
        <f>GraphBacillus!$I$37*Bacillus!I438+GraphBacillus!$I$38</f>
        <v>0.66427231691191402</v>
      </c>
    </row>
    <row r="439" spans="1:21" x14ac:dyDescent="0.2">
      <c r="A439" s="2" t="s">
        <v>1236</v>
      </c>
      <c r="B439" s="2" t="s">
        <v>1237</v>
      </c>
      <c r="C439" s="2" t="s">
        <v>1067</v>
      </c>
      <c r="D439" s="1" t="s">
        <v>44</v>
      </c>
      <c r="E439" s="1" t="s">
        <v>1250</v>
      </c>
      <c r="F439" s="1"/>
      <c r="G439" s="1"/>
      <c r="H439" s="5">
        <v>7</v>
      </c>
      <c r="I439" s="5">
        <v>97.5</v>
      </c>
      <c r="J439" s="9">
        <v>1.5</v>
      </c>
      <c r="K439" s="5"/>
      <c r="L439" s="9">
        <f t="shared" si="15"/>
        <v>0.17609125905568124</v>
      </c>
      <c r="M439" s="11">
        <f>GraphBacillus!$B$10-(I439-GraphBacillus!$B$6)/GraphBacillus!$B$5</f>
        <v>0.3696864022504931</v>
      </c>
      <c r="N439" s="2" t="s">
        <v>858</v>
      </c>
      <c r="O439">
        <v>1987</v>
      </c>
      <c r="S439" s="10">
        <f>GraphBacillus!$B$37*Bacillus!I439+GraphBacillus!$B$38</f>
        <v>0.27882751628159053</v>
      </c>
      <c r="T439" s="10">
        <f>GraphBacillus!$E$37*Bacillus!I439+GraphBacillus!$E$38</f>
        <v>0.39082267762446143</v>
      </c>
      <c r="U439" s="10">
        <f>GraphBacillus!$I$37*Bacillus!I439+GraphBacillus!$I$38</f>
        <v>9.8157610563307074E-2</v>
      </c>
    </row>
    <row r="440" spans="1:21" x14ac:dyDescent="0.2">
      <c r="A440" s="2" t="s">
        <v>1236</v>
      </c>
      <c r="B440" s="2" t="s">
        <v>1237</v>
      </c>
      <c r="C440" s="2" t="s">
        <v>1067</v>
      </c>
      <c r="D440" s="1" t="s">
        <v>44</v>
      </c>
      <c r="E440" s="1" t="s">
        <v>1250</v>
      </c>
      <c r="F440" s="1"/>
      <c r="G440" s="1"/>
      <c r="H440" s="5">
        <v>7</v>
      </c>
      <c r="I440" s="5">
        <v>100</v>
      </c>
      <c r="J440" s="9">
        <v>0.9</v>
      </c>
      <c r="K440" s="5"/>
      <c r="L440" s="9">
        <f t="shared" si="15"/>
        <v>-4.5757490560675115E-2</v>
      </c>
      <c r="M440" s="11">
        <f>GraphBacillus!$B$10-(I440-GraphBacillus!$B$6)/GraphBacillus!$B$5</f>
        <v>0.1750683851365975</v>
      </c>
      <c r="N440" s="2" t="s">
        <v>858</v>
      </c>
      <c r="O440">
        <v>1987</v>
      </c>
      <c r="S440" s="10">
        <f>GraphBacillus!$B$37*Bacillus!I440+GraphBacillus!$B$38</f>
        <v>0.11225308463062955</v>
      </c>
      <c r="T440" s="10">
        <f>GraphBacillus!$E$37*Bacillus!I440+GraphBacillus!$E$38</f>
        <v>0.23312293957895225</v>
      </c>
      <c r="U440" s="10">
        <f>GraphBacillus!$I$37*Bacillus!I440+GraphBacillus!$I$38</f>
        <v>-9.0547291552894649E-2</v>
      </c>
    </row>
    <row r="441" spans="1:21" x14ac:dyDescent="0.2">
      <c r="A441" s="2" t="s">
        <v>1236</v>
      </c>
      <c r="B441" s="2" t="s">
        <v>1237</v>
      </c>
      <c r="C441" s="2" t="s">
        <v>862</v>
      </c>
      <c r="D441" s="1" t="s">
        <v>44</v>
      </c>
      <c r="E441" s="1" t="s">
        <v>1250</v>
      </c>
      <c r="F441" s="1"/>
      <c r="G441" s="1"/>
      <c r="H441" s="5">
        <v>7</v>
      </c>
      <c r="I441" s="5">
        <v>90</v>
      </c>
      <c r="J441" s="9">
        <v>41</v>
      </c>
      <c r="K441" s="5"/>
      <c r="L441" s="9">
        <f t="shared" si="15"/>
        <v>1.6127838567197355</v>
      </c>
      <c r="M441" s="11">
        <f>GraphBacillus!$B$10-(I441-GraphBacillus!$B$6)/GraphBacillus!$B$5</f>
        <v>0.95354045359218009</v>
      </c>
      <c r="N441" s="2" t="s">
        <v>858</v>
      </c>
      <c r="O441">
        <v>1987</v>
      </c>
      <c r="S441" s="10">
        <f>GraphBacillus!$B$37*Bacillus!I441+GraphBacillus!$B$38</f>
        <v>0.77855081123447345</v>
      </c>
      <c r="T441" s="10">
        <f>GraphBacillus!$E$37*Bacillus!I441+GraphBacillus!$E$38</f>
        <v>0.86392189176099077</v>
      </c>
      <c r="U441" s="10">
        <f>GraphBacillus!$I$37*Bacillus!I441+GraphBacillus!$I$38</f>
        <v>0.66427231691191402</v>
      </c>
    </row>
    <row r="442" spans="1:21" x14ac:dyDescent="0.2">
      <c r="A442" s="2" t="s">
        <v>1236</v>
      </c>
      <c r="B442" s="2" t="s">
        <v>1237</v>
      </c>
      <c r="C442" s="2" t="s">
        <v>862</v>
      </c>
      <c r="D442" s="1" t="s">
        <v>44</v>
      </c>
      <c r="E442" s="1" t="s">
        <v>1250</v>
      </c>
      <c r="F442" s="1"/>
      <c r="G442" s="1"/>
      <c r="H442" s="5">
        <v>7</v>
      </c>
      <c r="I442" s="5">
        <v>95</v>
      </c>
      <c r="J442" s="9">
        <v>13.6</v>
      </c>
      <c r="K442" s="5"/>
      <c r="L442" s="9">
        <f t="shared" si="15"/>
        <v>1.1335389083702174</v>
      </c>
      <c r="M442" s="11">
        <f>GraphBacillus!$B$10-(I442-GraphBacillus!$B$6)/GraphBacillus!$B$5</f>
        <v>0.56430441936438891</v>
      </c>
      <c r="N442" s="2" t="s">
        <v>858</v>
      </c>
      <c r="O442">
        <v>1987</v>
      </c>
      <c r="S442" s="10">
        <f>GraphBacillus!$B$37*Bacillus!I442+GraphBacillus!$B$38</f>
        <v>0.4454019479325515</v>
      </c>
      <c r="T442" s="10">
        <f>GraphBacillus!$E$37*Bacillus!I442+GraphBacillus!$E$38</f>
        <v>0.54852241566997151</v>
      </c>
      <c r="U442" s="10">
        <f>GraphBacillus!$I$37*Bacillus!I442+GraphBacillus!$I$38</f>
        <v>0.28686251267950968</v>
      </c>
    </row>
    <row r="443" spans="1:21" x14ac:dyDescent="0.2">
      <c r="A443" s="2" t="s">
        <v>1236</v>
      </c>
      <c r="B443" s="2" t="s">
        <v>1237</v>
      </c>
      <c r="C443" s="2" t="s">
        <v>862</v>
      </c>
      <c r="D443" s="1" t="s">
        <v>44</v>
      </c>
      <c r="E443" s="1" t="s">
        <v>1250</v>
      </c>
      <c r="F443" s="1"/>
      <c r="G443" s="1"/>
      <c r="H443" s="5">
        <v>7</v>
      </c>
      <c r="I443" s="5">
        <v>97.5</v>
      </c>
      <c r="J443" s="9">
        <v>9.5</v>
      </c>
      <c r="K443" s="5"/>
      <c r="L443" s="9">
        <f t="shared" si="15"/>
        <v>0.97772360528884772</v>
      </c>
      <c r="M443" s="11">
        <f>GraphBacillus!$B$10-(I443-GraphBacillus!$B$6)/GraphBacillus!$B$5</f>
        <v>0.3696864022504931</v>
      </c>
      <c r="N443" s="2" t="s">
        <v>858</v>
      </c>
      <c r="O443">
        <v>1987</v>
      </c>
      <c r="S443" s="10">
        <f>GraphBacillus!$B$37*Bacillus!I443+GraphBacillus!$B$38</f>
        <v>0.27882751628159053</v>
      </c>
      <c r="T443" s="10">
        <f>GraphBacillus!$E$37*Bacillus!I443+GraphBacillus!$E$38</f>
        <v>0.39082267762446143</v>
      </c>
      <c r="U443" s="10">
        <f>GraphBacillus!$I$37*Bacillus!I443+GraphBacillus!$I$38</f>
        <v>9.8157610563307074E-2</v>
      </c>
    </row>
    <row r="444" spans="1:21" x14ac:dyDescent="0.2">
      <c r="A444" s="2" t="s">
        <v>1236</v>
      </c>
      <c r="B444" s="2" t="s">
        <v>1237</v>
      </c>
      <c r="C444" s="2" t="s">
        <v>862</v>
      </c>
      <c r="D444" s="1" t="s">
        <v>44</v>
      </c>
      <c r="E444" s="1" t="s">
        <v>1250</v>
      </c>
      <c r="F444" s="1"/>
      <c r="G444" s="1"/>
      <c r="H444" s="5">
        <v>7</v>
      </c>
      <c r="I444" s="5">
        <v>102.5</v>
      </c>
      <c r="J444" s="9">
        <v>2.2999999999999998</v>
      </c>
      <c r="K444" s="5"/>
      <c r="L444" s="9">
        <f t="shared" si="15"/>
        <v>0.36172783601759284</v>
      </c>
      <c r="M444" s="11">
        <f>GraphBacillus!$B$10-(I444-GraphBacillus!$B$6)/GraphBacillus!$B$5</f>
        <v>-1.9549631977298088E-2</v>
      </c>
      <c r="N444" s="2" t="s">
        <v>858</v>
      </c>
      <c r="O444">
        <v>1987</v>
      </c>
      <c r="S444" s="10">
        <f>GraphBacillus!$B$37*Bacillus!I444+GraphBacillus!$B$38</f>
        <v>-5.4321347020331423E-2</v>
      </c>
      <c r="T444" s="10">
        <f>GraphBacillus!$E$37*Bacillus!I444+GraphBacillus!$E$38</f>
        <v>7.5423201533442175E-2</v>
      </c>
      <c r="U444" s="10">
        <f>GraphBacillus!$I$37*Bacillus!I444+GraphBacillus!$I$38</f>
        <v>-0.27925219366909726</v>
      </c>
    </row>
    <row r="445" spans="1:21" x14ac:dyDescent="0.2">
      <c r="A445" s="2" t="s">
        <v>1236</v>
      </c>
      <c r="B445" s="2" t="s">
        <v>1237</v>
      </c>
      <c r="C445" s="2" t="s">
        <v>863</v>
      </c>
      <c r="D445" s="1" t="s">
        <v>44</v>
      </c>
      <c r="E445" s="1" t="s">
        <v>1250</v>
      </c>
      <c r="F445" s="1"/>
      <c r="G445" s="1"/>
      <c r="H445" s="5">
        <v>7</v>
      </c>
      <c r="I445" s="5">
        <v>90</v>
      </c>
      <c r="J445" s="9">
        <v>19</v>
      </c>
      <c r="K445" s="5"/>
      <c r="L445" s="9">
        <f t="shared" si="15"/>
        <v>1.2787536009528289</v>
      </c>
      <c r="M445" s="11">
        <f>GraphBacillus!$B$10-(I445-GraphBacillus!$B$6)/GraphBacillus!$B$5</f>
        <v>0.95354045359218009</v>
      </c>
      <c r="N445" s="2" t="s">
        <v>858</v>
      </c>
      <c r="O445">
        <v>1987</v>
      </c>
      <c r="S445" s="10">
        <f>GraphBacillus!$B$37*Bacillus!I445+GraphBacillus!$B$38</f>
        <v>0.77855081123447345</v>
      </c>
      <c r="T445" s="10">
        <f>GraphBacillus!$E$37*Bacillus!I445+GraphBacillus!$E$38</f>
        <v>0.86392189176099077</v>
      </c>
      <c r="U445" s="10">
        <f>GraphBacillus!$I$37*Bacillus!I445+GraphBacillus!$I$38</f>
        <v>0.66427231691191402</v>
      </c>
    </row>
    <row r="446" spans="1:21" x14ac:dyDescent="0.2">
      <c r="A446" s="2" t="s">
        <v>1236</v>
      </c>
      <c r="B446" s="2" t="s">
        <v>1237</v>
      </c>
      <c r="C446" s="2" t="s">
        <v>863</v>
      </c>
      <c r="D446" s="1" t="s">
        <v>44</v>
      </c>
      <c r="E446" s="1" t="s">
        <v>1250</v>
      </c>
      <c r="F446" s="1"/>
      <c r="G446" s="1"/>
      <c r="H446" s="5">
        <v>7</v>
      </c>
      <c r="I446" s="5">
        <v>97.5</v>
      </c>
      <c r="J446" s="9">
        <v>4</v>
      </c>
      <c r="K446" s="5"/>
      <c r="L446" s="9">
        <f t="shared" si="15"/>
        <v>0.6020599913279624</v>
      </c>
      <c r="M446" s="11">
        <f>GraphBacillus!$B$10-(I446-GraphBacillus!$B$6)/GraphBacillus!$B$5</f>
        <v>0.3696864022504931</v>
      </c>
      <c r="N446" s="2" t="s">
        <v>858</v>
      </c>
      <c r="O446">
        <v>1987</v>
      </c>
      <c r="S446" s="10">
        <f>GraphBacillus!$B$37*Bacillus!I446+GraphBacillus!$B$38</f>
        <v>0.27882751628159053</v>
      </c>
      <c r="T446" s="10">
        <f>GraphBacillus!$E$37*Bacillus!I446+GraphBacillus!$E$38</f>
        <v>0.39082267762446143</v>
      </c>
      <c r="U446" s="10">
        <f>GraphBacillus!$I$37*Bacillus!I446+GraphBacillus!$I$38</f>
        <v>9.8157610563307074E-2</v>
      </c>
    </row>
    <row r="447" spans="1:21" x14ac:dyDescent="0.2">
      <c r="A447" s="2" t="s">
        <v>1236</v>
      </c>
      <c r="B447" s="2" t="s">
        <v>1237</v>
      </c>
      <c r="C447" s="2" t="s">
        <v>863</v>
      </c>
      <c r="D447" s="1" t="s">
        <v>44</v>
      </c>
      <c r="E447" s="1" t="s">
        <v>1250</v>
      </c>
      <c r="F447" s="1"/>
      <c r="G447" s="1"/>
      <c r="H447" s="5">
        <v>7</v>
      </c>
      <c r="I447" s="5">
        <v>100</v>
      </c>
      <c r="J447" s="9">
        <v>2.2000000000000002</v>
      </c>
      <c r="K447" s="5"/>
      <c r="L447" s="9">
        <f t="shared" si="15"/>
        <v>0.34242268082220628</v>
      </c>
      <c r="M447" s="11">
        <f>GraphBacillus!$B$10-(I447-GraphBacillus!$B$6)/GraphBacillus!$B$5</f>
        <v>0.1750683851365975</v>
      </c>
      <c r="N447" s="2" t="s">
        <v>858</v>
      </c>
      <c r="O447">
        <v>1987</v>
      </c>
      <c r="S447" s="10">
        <f>GraphBacillus!$B$37*Bacillus!I447+GraphBacillus!$B$38</f>
        <v>0.11225308463062955</v>
      </c>
      <c r="T447" s="10">
        <f>GraphBacillus!$E$37*Bacillus!I447+GraphBacillus!$E$38</f>
        <v>0.23312293957895225</v>
      </c>
      <c r="U447" s="10">
        <f>GraphBacillus!$I$37*Bacillus!I447+GraphBacillus!$I$38</f>
        <v>-9.0547291552894649E-2</v>
      </c>
    </row>
    <row r="448" spans="1:21" x14ac:dyDescent="0.2">
      <c r="A448" s="2" t="s">
        <v>1236</v>
      </c>
      <c r="B448" s="2" t="s">
        <v>1237</v>
      </c>
      <c r="C448" s="2" t="s">
        <v>865</v>
      </c>
      <c r="D448" s="1" t="s">
        <v>44</v>
      </c>
      <c r="E448" s="1" t="s">
        <v>1250</v>
      </c>
      <c r="F448" s="1"/>
      <c r="G448" s="1"/>
      <c r="H448" s="5">
        <v>7</v>
      </c>
      <c r="I448" s="5">
        <v>90</v>
      </c>
      <c r="J448" s="9">
        <v>26</v>
      </c>
      <c r="K448" s="5"/>
      <c r="L448" s="9">
        <f t="shared" si="15"/>
        <v>1.414973347970818</v>
      </c>
      <c r="M448" s="11">
        <f>GraphBacillus!$B$10-(I448-GraphBacillus!$B$6)/GraphBacillus!$B$5</f>
        <v>0.95354045359218009</v>
      </c>
      <c r="N448" s="2" t="s">
        <v>858</v>
      </c>
      <c r="O448">
        <v>1987</v>
      </c>
      <c r="S448" s="10">
        <f>GraphBacillus!$B$37*Bacillus!I448+GraphBacillus!$B$38</f>
        <v>0.77855081123447345</v>
      </c>
      <c r="T448" s="10">
        <f>GraphBacillus!$E$37*Bacillus!I448+GraphBacillus!$E$38</f>
        <v>0.86392189176099077</v>
      </c>
      <c r="U448" s="10">
        <f>GraphBacillus!$I$37*Bacillus!I448+GraphBacillus!$I$38</f>
        <v>0.66427231691191402</v>
      </c>
    </row>
    <row r="449" spans="1:21" x14ac:dyDescent="0.2">
      <c r="A449" s="2" t="s">
        <v>1236</v>
      </c>
      <c r="B449" s="2" t="s">
        <v>1237</v>
      </c>
      <c r="C449" s="2" t="s">
        <v>865</v>
      </c>
      <c r="D449" s="1" t="s">
        <v>44</v>
      </c>
      <c r="E449" s="1" t="s">
        <v>1250</v>
      </c>
      <c r="F449" s="1"/>
      <c r="G449" s="1"/>
      <c r="H449" s="5">
        <v>7</v>
      </c>
      <c r="I449" s="5">
        <v>95</v>
      </c>
      <c r="J449" s="9">
        <v>3.2</v>
      </c>
      <c r="K449" s="5"/>
      <c r="L449" s="9">
        <f t="shared" si="15"/>
        <v>0.50514997831990605</v>
      </c>
      <c r="M449" s="11">
        <f>GraphBacillus!$B$10-(I449-GraphBacillus!$B$6)/GraphBacillus!$B$5</f>
        <v>0.56430441936438891</v>
      </c>
      <c r="N449" s="2" t="s">
        <v>858</v>
      </c>
      <c r="O449">
        <v>1987</v>
      </c>
      <c r="S449" s="10">
        <f>GraphBacillus!$B$37*Bacillus!I449+GraphBacillus!$B$38</f>
        <v>0.4454019479325515</v>
      </c>
      <c r="T449" s="10">
        <f>GraphBacillus!$E$37*Bacillus!I449+GraphBacillus!$E$38</f>
        <v>0.54852241566997151</v>
      </c>
      <c r="U449" s="10">
        <f>GraphBacillus!$I$37*Bacillus!I449+GraphBacillus!$I$38</f>
        <v>0.28686251267950968</v>
      </c>
    </row>
    <row r="450" spans="1:21" x14ac:dyDescent="0.2">
      <c r="A450" s="2" t="s">
        <v>1236</v>
      </c>
      <c r="B450" s="2" t="s">
        <v>1237</v>
      </c>
      <c r="C450" s="2" t="s">
        <v>865</v>
      </c>
      <c r="D450" s="1" t="s">
        <v>44</v>
      </c>
      <c r="E450" s="1" t="s">
        <v>1250</v>
      </c>
      <c r="F450" s="1"/>
      <c r="G450" s="1"/>
      <c r="H450" s="5">
        <v>7</v>
      </c>
      <c r="I450" s="5">
        <v>97.5</v>
      </c>
      <c r="J450" s="9">
        <v>2.2000000000000002</v>
      </c>
      <c r="K450" s="5"/>
      <c r="L450" s="9">
        <f t="shared" si="15"/>
        <v>0.34242268082220628</v>
      </c>
      <c r="M450" s="11">
        <f>GraphBacillus!$B$10-(I450-GraphBacillus!$B$6)/GraphBacillus!$B$5</f>
        <v>0.3696864022504931</v>
      </c>
      <c r="N450" s="2" t="s">
        <v>858</v>
      </c>
      <c r="O450">
        <v>1987</v>
      </c>
      <c r="S450" s="10">
        <f>GraphBacillus!$B$37*Bacillus!I450+GraphBacillus!$B$38</f>
        <v>0.27882751628159053</v>
      </c>
      <c r="T450" s="10">
        <f>GraphBacillus!$E$37*Bacillus!I450+GraphBacillus!$E$38</f>
        <v>0.39082267762446143</v>
      </c>
      <c r="U450" s="10">
        <f>GraphBacillus!$I$37*Bacillus!I450+GraphBacillus!$I$38</f>
        <v>9.8157610563307074E-2</v>
      </c>
    </row>
    <row r="451" spans="1:21" x14ac:dyDescent="0.2">
      <c r="A451" s="2" t="s">
        <v>1236</v>
      </c>
      <c r="B451" s="2" t="s">
        <v>1237</v>
      </c>
      <c r="C451" s="2" t="s">
        <v>865</v>
      </c>
      <c r="D451" s="1" t="s">
        <v>44</v>
      </c>
      <c r="E451" s="1" t="s">
        <v>1250</v>
      </c>
      <c r="F451" s="1"/>
      <c r="G451" s="1"/>
      <c r="H451" s="5">
        <v>7</v>
      </c>
      <c r="I451" s="5">
        <v>100</v>
      </c>
      <c r="J451" s="9">
        <v>1.7</v>
      </c>
      <c r="K451" s="5"/>
      <c r="L451" s="9">
        <f t="shared" si="15"/>
        <v>0.23044892137827391</v>
      </c>
      <c r="M451" s="11">
        <f>GraphBacillus!$B$10-(I451-GraphBacillus!$B$6)/GraphBacillus!$B$5</f>
        <v>0.1750683851365975</v>
      </c>
      <c r="N451" s="2" t="s">
        <v>858</v>
      </c>
      <c r="O451">
        <v>1987</v>
      </c>
      <c r="S451" s="10">
        <f>GraphBacillus!$B$37*Bacillus!I451+GraphBacillus!$B$38</f>
        <v>0.11225308463062955</v>
      </c>
      <c r="T451" s="10">
        <f>GraphBacillus!$E$37*Bacillus!I451+GraphBacillus!$E$38</f>
        <v>0.23312293957895225</v>
      </c>
      <c r="U451" s="10">
        <f>GraphBacillus!$I$37*Bacillus!I451+GraphBacillus!$I$38</f>
        <v>-9.0547291552894649E-2</v>
      </c>
    </row>
    <row r="452" spans="1:21" x14ac:dyDescent="0.2">
      <c r="A452" s="2" t="s">
        <v>1236</v>
      </c>
      <c r="B452" s="2" t="s">
        <v>1237</v>
      </c>
      <c r="C452" s="2" t="s">
        <v>865</v>
      </c>
      <c r="D452" s="1" t="s">
        <v>44</v>
      </c>
      <c r="E452" s="1" t="s">
        <v>1250</v>
      </c>
      <c r="F452" s="1"/>
      <c r="G452" s="1"/>
      <c r="H452" s="5">
        <v>7</v>
      </c>
      <c r="I452" s="5">
        <v>102.5</v>
      </c>
      <c r="J452" s="9">
        <v>1.3</v>
      </c>
      <c r="K452" s="5"/>
      <c r="L452" s="9">
        <f t="shared" si="15"/>
        <v>0.11394335230683679</v>
      </c>
      <c r="M452" s="11">
        <f>GraphBacillus!$B$10-(I452-GraphBacillus!$B$6)/GraphBacillus!$B$5</f>
        <v>-1.9549631977298088E-2</v>
      </c>
      <c r="N452" s="2" t="s">
        <v>858</v>
      </c>
      <c r="O452">
        <v>1987</v>
      </c>
      <c r="S452" s="10">
        <f>GraphBacillus!$B$37*Bacillus!I452+GraphBacillus!$B$38</f>
        <v>-5.4321347020331423E-2</v>
      </c>
      <c r="T452" s="10">
        <f>GraphBacillus!$E$37*Bacillus!I452+GraphBacillus!$E$38</f>
        <v>7.5423201533442175E-2</v>
      </c>
      <c r="U452" s="10">
        <f>GraphBacillus!$I$37*Bacillus!I452+GraphBacillus!$I$38</f>
        <v>-0.27925219366909726</v>
      </c>
    </row>
    <row r="453" spans="1:21" x14ac:dyDescent="0.2">
      <c r="A453" s="2" t="s">
        <v>1236</v>
      </c>
      <c r="B453" s="2" t="s">
        <v>1237</v>
      </c>
      <c r="C453" s="2" t="s">
        <v>1068</v>
      </c>
      <c r="D453" s="1" t="s">
        <v>44</v>
      </c>
      <c r="E453" s="1" t="s">
        <v>1250</v>
      </c>
      <c r="F453" s="1"/>
      <c r="G453" s="1"/>
      <c r="H453" s="5">
        <v>7</v>
      </c>
      <c r="I453" s="5">
        <v>95</v>
      </c>
      <c r="J453" s="9">
        <v>21.7</v>
      </c>
      <c r="K453" s="5">
        <v>10.1</v>
      </c>
      <c r="L453" s="9">
        <f t="shared" si="15"/>
        <v>1.3364597338485296</v>
      </c>
      <c r="M453" s="11">
        <f>GraphBacillus!$B$10-(I453-GraphBacillus!$B$6)/GraphBacillus!$B$5</f>
        <v>0.56430441936438891</v>
      </c>
      <c r="N453" s="2" t="s">
        <v>858</v>
      </c>
      <c r="O453">
        <v>1987</v>
      </c>
      <c r="S453" s="10"/>
      <c r="T453" s="10"/>
      <c r="U453" s="10"/>
    </row>
    <row r="454" spans="1:21" x14ac:dyDescent="0.2">
      <c r="A454" s="2" t="s">
        <v>1236</v>
      </c>
      <c r="B454" s="2" t="s">
        <v>1237</v>
      </c>
      <c r="C454" s="2" t="s">
        <v>1068</v>
      </c>
      <c r="D454" s="1" t="s">
        <v>44</v>
      </c>
      <c r="E454" s="1" t="s">
        <v>1250</v>
      </c>
      <c r="F454" s="1"/>
      <c r="G454" s="1"/>
      <c r="H454" s="5">
        <v>7</v>
      </c>
      <c r="I454" s="5">
        <v>97.5</v>
      </c>
      <c r="J454" s="9">
        <v>17.600000000000001</v>
      </c>
      <c r="K454" s="5"/>
      <c r="L454" s="9">
        <f t="shared" si="15"/>
        <v>1.2455126678141499</v>
      </c>
      <c r="M454" s="11">
        <f>GraphBacillus!$B$10-(I454-GraphBacillus!$B$6)/GraphBacillus!$B$5</f>
        <v>0.3696864022504931</v>
      </c>
      <c r="N454" s="2" t="s">
        <v>858</v>
      </c>
      <c r="O454">
        <v>1987</v>
      </c>
      <c r="S454" s="10"/>
      <c r="T454" s="10"/>
      <c r="U454" s="10"/>
    </row>
    <row r="455" spans="1:21" x14ac:dyDescent="0.2">
      <c r="A455" s="2" t="s">
        <v>1236</v>
      </c>
      <c r="B455" s="2" t="s">
        <v>1237</v>
      </c>
      <c r="C455" s="2" t="s">
        <v>1068</v>
      </c>
      <c r="D455" s="1" t="s">
        <v>44</v>
      </c>
      <c r="E455" s="1" t="s">
        <v>1250</v>
      </c>
      <c r="F455" s="1"/>
      <c r="G455" s="1"/>
      <c r="H455" s="5">
        <v>7</v>
      </c>
      <c r="I455" s="5">
        <v>100</v>
      </c>
      <c r="J455" s="9">
        <v>6.9</v>
      </c>
      <c r="K455" s="5"/>
      <c r="L455" s="9">
        <f t="shared" si="15"/>
        <v>0.83884909073725533</v>
      </c>
      <c r="M455" s="11">
        <f>GraphBacillus!$B$10-(I455-GraphBacillus!$B$6)/GraphBacillus!$B$5</f>
        <v>0.1750683851365975</v>
      </c>
      <c r="N455" s="2" t="s">
        <v>858</v>
      </c>
      <c r="O455">
        <v>1987</v>
      </c>
      <c r="S455" s="10"/>
      <c r="T455" s="10"/>
      <c r="U455" s="10"/>
    </row>
    <row r="456" spans="1:21" x14ac:dyDescent="0.2">
      <c r="A456" s="2" t="s">
        <v>1236</v>
      </c>
      <c r="B456" s="2" t="s">
        <v>1237</v>
      </c>
      <c r="C456" s="2" t="s">
        <v>1068</v>
      </c>
      <c r="D456" s="1" t="s">
        <v>44</v>
      </c>
      <c r="E456" s="1" t="s">
        <v>1250</v>
      </c>
      <c r="F456" s="1"/>
      <c r="G456" s="1"/>
      <c r="H456" s="5">
        <v>7</v>
      </c>
      <c r="I456" s="5">
        <v>102.5</v>
      </c>
      <c r="J456" s="9">
        <v>4.4000000000000004</v>
      </c>
      <c r="K456" s="5"/>
      <c r="L456" s="9">
        <f t="shared" si="15"/>
        <v>0.64345267648618742</v>
      </c>
      <c r="M456" s="11">
        <f>GraphBacillus!$B$10-(I456-GraphBacillus!$B$6)/GraphBacillus!$B$5</f>
        <v>-1.9549631977298088E-2</v>
      </c>
      <c r="N456" s="2" t="s">
        <v>858</v>
      </c>
      <c r="O456">
        <v>1987</v>
      </c>
      <c r="S456" s="10">
        <f>GraphBacillus!$B$37*Bacillus!I456+GraphBacillus!$B$38</f>
        <v>-5.4321347020331423E-2</v>
      </c>
      <c r="T456" s="10">
        <f>GraphBacillus!$E$37*Bacillus!I456+GraphBacillus!$E$38</f>
        <v>7.5423201533442175E-2</v>
      </c>
      <c r="U456" s="10">
        <f>GraphBacillus!$I$37*Bacillus!I456+GraphBacillus!$I$38</f>
        <v>-0.27925219366909726</v>
      </c>
    </row>
    <row r="457" spans="1:21" x14ac:dyDescent="0.2">
      <c r="A457" s="2" t="s">
        <v>1236</v>
      </c>
      <c r="B457" s="2" t="s">
        <v>1237</v>
      </c>
      <c r="C457" s="1" t="s">
        <v>857</v>
      </c>
      <c r="D457" s="1" t="s">
        <v>44</v>
      </c>
      <c r="E457" s="1" t="s">
        <v>1250</v>
      </c>
      <c r="F457" s="1"/>
      <c r="G457" s="1"/>
      <c r="H457" s="5">
        <v>7</v>
      </c>
      <c r="I457" s="5">
        <v>104.4</v>
      </c>
      <c r="J457" s="9">
        <v>1.45</v>
      </c>
      <c r="K457" s="5"/>
      <c r="L457" s="9">
        <f t="shared" si="15"/>
        <v>0.16136800223497488</v>
      </c>
      <c r="M457" s="11">
        <f>GraphBacillus!$B$10-(I457-GraphBacillus!$B$6)/GraphBacillus!$B$5</f>
        <v>-0.1674593249838594</v>
      </c>
      <c r="N457" s="2" t="s">
        <v>852</v>
      </c>
      <c r="O457">
        <v>1975</v>
      </c>
      <c r="S457" s="10"/>
      <c r="T457" s="10"/>
      <c r="U457" s="10"/>
    </row>
    <row r="458" spans="1:21" x14ac:dyDescent="0.2">
      <c r="A458" s="2" t="s">
        <v>1236</v>
      </c>
      <c r="B458" s="2" t="s">
        <v>1237</v>
      </c>
      <c r="C458" s="1" t="s">
        <v>857</v>
      </c>
      <c r="D458" s="1" t="s">
        <v>44</v>
      </c>
      <c r="E458" s="1" t="s">
        <v>1250</v>
      </c>
      <c r="F458" s="1"/>
      <c r="G458" s="1"/>
      <c r="H458" s="5">
        <v>7</v>
      </c>
      <c r="I458" s="5">
        <v>104.4</v>
      </c>
      <c r="J458" s="9">
        <v>1.61</v>
      </c>
      <c r="K458" s="5"/>
      <c r="L458" s="9">
        <f t="shared" si="15"/>
        <v>0.20682587603184974</v>
      </c>
      <c r="M458" s="11">
        <f>GraphBacillus!$B$10-(I458-GraphBacillus!$B$6)/GraphBacillus!$B$5</f>
        <v>-0.1674593249838594</v>
      </c>
      <c r="N458" s="2" t="s">
        <v>852</v>
      </c>
      <c r="O458">
        <v>1975</v>
      </c>
      <c r="S458" s="10"/>
      <c r="T458" s="10"/>
      <c r="U458" s="10"/>
    </row>
    <row r="459" spans="1:21" x14ac:dyDescent="0.2">
      <c r="A459" s="2" t="s">
        <v>1236</v>
      </c>
      <c r="B459" s="2" t="s">
        <v>1237</v>
      </c>
      <c r="C459" s="1" t="s">
        <v>857</v>
      </c>
      <c r="D459" s="1" t="s">
        <v>44</v>
      </c>
      <c r="E459" s="1" t="s">
        <v>1250</v>
      </c>
      <c r="F459" s="1"/>
      <c r="G459" s="1"/>
      <c r="H459" s="5">
        <v>7</v>
      </c>
      <c r="I459" s="5">
        <v>110</v>
      </c>
      <c r="J459" s="9">
        <v>0.53</v>
      </c>
      <c r="K459" s="5"/>
      <c r="L459" s="9">
        <f t="shared" si="15"/>
        <v>-0.27572413039921095</v>
      </c>
      <c r="M459" s="11">
        <f>GraphBacillus!$B$10-(I459-GraphBacillus!$B$6)/GraphBacillus!$B$5</f>
        <v>-0.6034036833189852</v>
      </c>
      <c r="N459" s="2" t="s">
        <v>852</v>
      </c>
      <c r="O459">
        <v>1975</v>
      </c>
      <c r="S459" s="10"/>
      <c r="T459" s="10"/>
      <c r="U459" s="10"/>
    </row>
    <row r="460" spans="1:21" x14ac:dyDescent="0.2">
      <c r="A460" s="2" t="s">
        <v>1236</v>
      </c>
      <c r="B460" s="2" t="s">
        <v>1237</v>
      </c>
      <c r="C460" s="1" t="s">
        <v>857</v>
      </c>
      <c r="D460" s="1" t="s">
        <v>44</v>
      </c>
      <c r="E460" s="1" t="s">
        <v>1250</v>
      </c>
      <c r="F460" s="1"/>
      <c r="G460" s="1"/>
      <c r="H460" s="5">
        <v>7</v>
      </c>
      <c r="I460" s="5">
        <v>110</v>
      </c>
      <c r="J460" s="9">
        <v>0.52</v>
      </c>
      <c r="K460" s="5"/>
      <c r="L460" s="9">
        <f t="shared" si="15"/>
        <v>-0.28399665636520083</v>
      </c>
      <c r="M460" s="11">
        <f>GraphBacillus!$B$10-(I460-GraphBacillus!$B$6)/GraphBacillus!$B$5</f>
        <v>-0.6034036833189852</v>
      </c>
      <c r="N460" s="2" t="s">
        <v>852</v>
      </c>
      <c r="O460">
        <v>1975</v>
      </c>
      <c r="S460" s="10"/>
      <c r="T460" s="10"/>
      <c r="U460" s="10"/>
    </row>
    <row r="461" spans="1:21" x14ac:dyDescent="0.2">
      <c r="A461" s="2" t="s">
        <v>1236</v>
      </c>
      <c r="B461" s="2" t="s">
        <v>1237</v>
      </c>
      <c r="C461" s="1" t="s">
        <v>857</v>
      </c>
      <c r="D461" s="1" t="s">
        <v>44</v>
      </c>
      <c r="E461" s="1" t="s">
        <v>1250</v>
      </c>
      <c r="F461" s="1"/>
      <c r="G461" s="1"/>
      <c r="H461" s="5">
        <v>7</v>
      </c>
      <c r="I461" s="5">
        <v>115.6</v>
      </c>
      <c r="J461" s="9">
        <v>0.13</v>
      </c>
      <c r="K461" s="5"/>
      <c r="L461" s="9">
        <f t="shared" si="15"/>
        <v>-0.88605664769316317</v>
      </c>
      <c r="M461" s="11">
        <f>GraphBacillus!$B$10-(I461-GraphBacillus!$B$6)/GraphBacillus!$B$5</f>
        <v>-1.039348041654111</v>
      </c>
      <c r="N461" s="2" t="s">
        <v>852</v>
      </c>
      <c r="O461">
        <v>1975</v>
      </c>
      <c r="S461" s="10"/>
      <c r="T461" s="10"/>
      <c r="U461" s="10"/>
    </row>
    <row r="462" spans="1:21" x14ac:dyDescent="0.2">
      <c r="A462" s="2" t="s">
        <v>1236</v>
      </c>
      <c r="B462" s="2" t="s">
        <v>1237</v>
      </c>
      <c r="C462" s="1" t="s">
        <v>857</v>
      </c>
      <c r="D462" s="1" t="s">
        <v>44</v>
      </c>
      <c r="E462" s="1" t="s">
        <v>1250</v>
      </c>
      <c r="F462" s="1"/>
      <c r="G462" s="1"/>
      <c r="H462" s="5">
        <v>7</v>
      </c>
      <c r="I462" s="5">
        <v>115.6</v>
      </c>
      <c r="J462" s="9">
        <v>0.14000000000000001</v>
      </c>
      <c r="K462" s="5"/>
      <c r="L462" s="9">
        <f t="shared" si="15"/>
        <v>-0.85387196432176193</v>
      </c>
      <c r="M462" s="11">
        <f>GraphBacillus!$B$10-(I462-GraphBacillus!$B$6)/GraphBacillus!$B$5</f>
        <v>-1.039348041654111</v>
      </c>
      <c r="N462" s="2" t="s">
        <v>852</v>
      </c>
      <c r="O462">
        <v>1975</v>
      </c>
      <c r="S462" s="10"/>
      <c r="T462" s="10"/>
      <c r="U462" s="10"/>
    </row>
    <row r="463" spans="1:21" x14ac:dyDescent="0.2">
      <c r="A463" s="2" t="s">
        <v>1236</v>
      </c>
      <c r="B463" s="2" t="s">
        <v>1237</v>
      </c>
      <c r="C463" s="1" t="s">
        <v>857</v>
      </c>
      <c r="D463" s="1" t="s">
        <v>44</v>
      </c>
      <c r="E463" s="1" t="s">
        <v>1250</v>
      </c>
      <c r="F463" s="1"/>
      <c r="G463" s="1"/>
      <c r="H463" s="5">
        <v>7</v>
      </c>
      <c r="I463" s="5">
        <v>121.1</v>
      </c>
      <c r="J463" s="9">
        <v>0.03</v>
      </c>
      <c r="K463" s="5"/>
      <c r="L463" s="9">
        <f t="shared" si="15"/>
        <v>-1.5228787452803376</v>
      </c>
      <c r="M463" s="11">
        <f>GraphBacillus!$B$10-(I463-GraphBacillus!$B$6)/GraphBacillus!$B$5</f>
        <v>-1.4675076793046815</v>
      </c>
      <c r="N463" s="2" t="s">
        <v>852</v>
      </c>
      <c r="O463">
        <v>1975</v>
      </c>
      <c r="S463" s="10"/>
      <c r="T463" s="10"/>
      <c r="U463" s="10"/>
    </row>
    <row r="464" spans="1:21" x14ac:dyDescent="0.2">
      <c r="A464" s="2" t="s">
        <v>1236</v>
      </c>
      <c r="B464" s="2" t="s">
        <v>1237</v>
      </c>
      <c r="C464" s="1" t="s">
        <v>293</v>
      </c>
      <c r="D464" s="1"/>
      <c r="E464" s="1" t="s">
        <v>293</v>
      </c>
      <c r="F464" s="2"/>
      <c r="G464" s="2"/>
      <c r="H464" s="5"/>
      <c r="I464" s="5">
        <v>100</v>
      </c>
      <c r="J464" s="9">
        <v>5</v>
      </c>
      <c r="K464" s="5">
        <v>6.9</v>
      </c>
      <c r="L464" s="9">
        <f>LOG(J464)</f>
        <v>0.69897000433601886</v>
      </c>
      <c r="M464" s="11">
        <f>GraphBacillus!$B$10-(I464-GraphBacillus!$B$6)/GraphBacillus!$B$5</f>
        <v>0.1750683851365975</v>
      </c>
      <c r="N464" t="s">
        <v>294</v>
      </c>
      <c r="O464">
        <v>2000</v>
      </c>
      <c r="S464" s="10">
        <f>GraphBacillus!$B$37*Bacillus!I464+GraphBacillus!$B$38</f>
        <v>0.11225308463062955</v>
      </c>
      <c r="T464" s="10">
        <f>GraphBacillus!$E$37*Bacillus!I464+GraphBacillus!$E$38</f>
        <v>0.23312293957895225</v>
      </c>
      <c r="U464" s="10">
        <f>GraphBacillus!$I$37*Bacillus!I464+GraphBacillus!$I$38</f>
        <v>-9.0547291552894649E-2</v>
      </c>
    </row>
    <row r="465" spans="1:21" x14ac:dyDescent="0.2">
      <c r="A465" s="2" t="s">
        <v>1236</v>
      </c>
      <c r="B465" s="2" t="s">
        <v>1237</v>
      </c>
      <c r="C465" s="1" t="s">
        <v>293</v>
      </c>
      <c r="D465" s="1"/>
      <c r="E465" s="1" t="s">
        <v>293</v>
      </c>
      <c r="F465" s="2"/>
      <c r="G465" s="2"/>
      <c r="H465" s="5"/>
      <c r="I465" s="5">
        <v>100</v>
      </c>
      <c r="J465" s="9">
        <v>2.7</v>
      </c>
      <c r="K465" s="5">
        <v>6.1</v>
      </c>
      <c r="L465" s="9">
        <f>LOG(J465)</f>
        <v>0.43136376415898736</v>
      </c>
      <c r="M465" s="11">
        <f>GraphBacillus!$B$10-(I465-GraphBacillus!$B$6)/GraphBacillus!$B$5</f>
        <v>0.1750683851365975</v>
      </c>
      <c r="N465" t="s">
        <v>294</v>
      </c>
      <c r="O465">
        <v>2000</v>
      </c>
      <c r="S465" s="10">
        <f>GraphBacillus!$B$37*Bacillus!I465+GraphBacillus!$B$38</f>
        <v>0.11225308463062955</v>
      </c>
      <c r="T465" s="10">
        <f>GraphBacillus!$E$37*Bacillus!I465+GraphBacillus!$E$38</f>
        <v>0.23312293957895225</v>
      </c>
      <c r="U465" s="10">
        <f>GraphBacillus!$I$37*Bacillus!I465+GraphBacillus!$I$38</f>
        <v>-9.0547291552894649E-2</v>
      </c>
    </row>
    <row r="466" spans="1:21" x14ac:dyDescent="0.2">
      <c r="A466" s="2" t="s">
        <v>1236</v>
      </c>
      <c r="B466" s="2" t="s">
        <v>1237</v>
      </c>
      <c r="C466" s="1" t="s">
        <v>293</v>
      </c>
      <c r="D466" s="1"/>
      <c r="E466" s="1" t="s">
        <v>293</v>
      </c>
      <c r="F466" s="2"/>
      <c r="G466" s="2"/>
      <c r="H466" s="5"/>
      <c r="I466" s="5">
        <v>100</v>
      </c>
      <c r="J466" s="9">
        <v>3.1</v>
      </c>
      <c r="K466" s="5">
        <v>6.1</v>
      </c>
      <c r="L466" s="9">
        <f>LOG(J466)</f>
        <v>0.49136169383427269</v>
      </c>
      <c r="M466" s="11">
        <f>GraphBacillus!$B$10-(I466-GraphBacillus!$B$6)/GraphBacillus!$B$5</f>
        <v>0.1750683851365975</v>
      </c>
      <c r="N466" t="s">
        <v>294</v>
      </c>
      <c r="O466">
        <v>2000</v>
      </c>
      <c r="S466" s="10">
        <f>GraphBacillus!$B$37*Bacillus!I466+GraphBacillus!$B$38</f>
        <v>0.11225308463062955</v>
      </c>
      <c r="T466" s="10">
        <f>GraphBacillus!$E$37*Bacillus!I466+GraphBacillus!$E$38</f>
        <v>0.23312293957895225</v>
      </c>
      <c r="U466" s="10">
        <f>GraphBacillus!$I$37*Bacillus!I466+GraphBacillus!$I$38</f>
        <v>-9.0547291552894649E-2</v>
      </c>
    </row>
    <row r="467" spans="1:21" x14ac:dyDescent="0.2">
      <c r="A467" s="2"/>
      <c r="B467" s="2"/>
      <c r="C467" s="1"/>
      <c r="D467" s="1"/>
      <c r="E467" s="1"/>
      <c r="F467" s="2"/>
      <c r="G467" s="2"/>
      <c r="H467" s="5"/>
      <c r="I467" s="5"/>
      <c r="J467" s="9"/>
      <c r="K467" s="5"/>
      <c r="L467" s="9"/>
      <c r="M467" s="11"/>
      <c r="S467" s="10"/>
      <c r="T467" s="10"/>
      <c r="U467" s="10"/>
    </row>
    <row r="468" spans="1:21" x14ac:dyDescent="0.2">
      <c r="A468" s="2" t="s">
        <v>1236</v>
      </c>
      <c r="B468" s="2" t="s">
        <v>1237</v>
      </c>
      <c r="C468" s="2" t="s">
        <v>857</v>
      </c>
      <c r="D468" s="1" t="s">
        <v>43</v>
      </c>
      <c r="E468" s="1" t="s">
        <v>1259</v>
      </c>
      <c r="F468" s="1" t="s">
        <v>1258</v>
      </c>
      <c r="G468" s="1">
        <v>0.97</v>
      </c>
      <c r="H468" s="5"/>
      <c r="I468" s="5">
        <v>100</v>
      </c>
      <c r="J468" s="9">
        <v>40</v>
      </c>
      <c r="K468" s="5"/>
      <c r="L468" s="9">
        <f t="shared" ref="L468:L486" si="16">LOG(J468)</f>
        <v>1.6020599913279623</v>
      </c>
      <c r="M468" s="11">
        <f>GraphBacillus!$E$10-(I468-GraphBacillus!$E$6)/GraphBacillus!$E$5</f>
        <v>2.1871140528237811</v>
      </c>
      <c r="N468" s="2" t="s">
        <v>1226</v>
      </c>
      <c r="O468">
        <v>1996</v>
      </c>
      <c r="S468" s="10">
        <f>GraphBacillus!$B$37*Bacillus!I468+GraphBacillus!$B$38</f>
        <v>0.11225308463062955</v>
      </c>
      <c r="T468" s="10">
        <f>GraphBacillus!$E$37*Bacillus!I468+GraphBacillus!$E$38</f>
        <v>0.23312293957895225</v>
      </c>
      <c r="U468" s="10">
        <f>GraphBacillus!$I$37*Bacillus!I468+GraphBacillus!$I$38</f>
        <v>-9.0547291552894649E-2</v>
      </c>
    </row>
    <row r="469" spans="1:21" x14ac:dyDescent="0.2">
      <c r="A469" s="2" t="s">
        <v>1236</v>
      </c>
      <c r="B469" s="2" t="s">
        <v>1237</v>
      </c>
      <c r="C469" s="2" t="s">
        <v>857</v>
      </c>
      <c r="D469" s="1" t="s">
        <v>43</v>
      </c>
      <c r="E469" s="1" t="s">
        <v>1259</v>
      </c>
      <c r="F469" s="1" t="s">
        <v>1258</v>
      </c>
      <c r="G469" s="1">
        <v>0.97</v>
      </c>
      <c r="H469" s="5"/>
      <c r="I469" s="5">
        <v>108</v>
      </c>
      <c r="J469" s="9">
        <v>10.5</v>
      </c>
      <c r="K469" s="5"/>
      <c r="L469" s="9">
        <f t="shared" si="16"/>
        <v>1.0211892990699381</v>
      </c>
      <c r="M469" s="11">
        <f>GraphBacillus!$E$10-(I469-GraphBacillus!$E$6)/GraphBacillus!$E$5</f>
        <v>1.5235539862441514</v>
      </c>
      <c r="N469" s="2" t="s">
        <v>1226</v>
      </c>
      <c r="O469">
        <v>1996</v>
      </c>
      <c r="S469" s="10">
        <f>GraphBacillus!$B$37*Bacillus!I469+GraphBacillus!$B$38</f>
        <v>-0.42078509665244557</v>
      </c>
      <c r="T469" s="10">
        <f>GraphBacillus!$E$37*Bacillus!I469+GraphBacillus!$E$38</f>
        <v>-0.27151622216667892</v>
      </c>
      <c r="U469" s="10">
        <f>GraphBacillus!$I$37*Bacillus!I469+GraphBacillus!$I$38</f>
        <v>-0.6944029783247414</v>
      </c>
    </row>
    <row r="470" spans="1:21" x14ac:dyDescent="0.2">
      <c r="A470" s="2" t="s">
        <v>1236</v>
      </c>
      <c r="B470" s="2" t="s">
        <v>1237</v>
      </c>
      <c r="C470" s="2" t="s">
        <v>857</v>
      </c>
      <c r="D470" s="1" t="s">
        <v>43</v>
      </c>
      <c r="E470" s="1" t="s">
        <v>1259</v>
      </c>
      <c r="F470" s="1" t="s">
        <v>1258</v>
      </c>
      <c r="G470" s="1">
        <v>0.97</v>
      </c>
      <c r="H470" s="5"/>
      <c r="I470" s="5">
        <v>124</v>
      </c>
      <c r="J470" s="9">
        <v>7</v>
      </c>
      <c r="K470" s="5"/>
      <c r="L470" s="9">
        <f t="shared" si="16"/>
        <v>0.84509804001425681</v>
      </c>
      <c r="M470" s="11">
        <f>GraphBacillus!$E$10-(I470-GraphBacillus!$E$6)/GraphBacillus!$E$5</f>
        <v>0.19643385308489109</v>
      </c>
      <c r="N470" s="2" t="s">
        <v>1226</v>
      </c>
      <c r="O470">
        <v>1996</v>
      </c>
      <c r="S470" s="10">
        <f>GraphBacillus!$B$37*Bacillus!I470+GraphBacillus!$B$38</f>
        <v>-1.4868614592185967</v>
      </c>
      <c r="T470" s="10">
        <f>GraphBacillus!$E$37*Bacillus!I470+GraphBacillus!$E$38</f>
        <v>-1.2807945456579395</v>
      </c>
      <c r="U470" s="10">
        <f>GraphBacillus!$I$37*Bacillus!I470+GraphBacillus!$I$38</f>
        <v>-1.9021143518684349</v>
      </c>
    </row>
    <row r="471" spans="1:21" x14ac:dyDescent="0.2">
      <c r="A471" s="2" t="s">
        <v>1236</v>
      </c>
      <c r="B471" s="2" t="s">
        <v>1237</v>
      </c>
      <c r="C471" s="1">
        <v>9818</v>
      </c>
      <c r="D471" s="1" t="s">
        <v>44</v>
      </c>
      <c r="E471" s="1" t="s">
        <v>933</v>
      </c>
      <c r="F471" s="19" t="s">
        <v>943</v>
      </c>
      <c r="G471" s="1">
        <v>0.71</v>
      </c>
      <c r="H471" s="5">
        <v>7.02</v>
      </c>
      <c r="I471" s="5">
        <v>103</v>
      </c>
      <c r="J471" s="9">
        <f>101</f>
        <v>101</v>
      </c>
      <c r="K471" s="5">
        <v>10.199999999999999</v>
      </c>
      <c r="L471" s="9">
        <f t="shared" si="16"/>
        <v>2.0043213737826426</v>
      </c>
      <c r="M471" s="11">
        <f>GraphBacillus!$E$10-(I471-GraphBacillus!$E$6)/GraphBacillus!$E$5</f>
        <v>1.9382790278564201</v>
      </c>
      <c r="N471" s="1" t="s">
        <v>944</v>
      </c>
      <c r="O471">
        <v>1999</v>
      </c>
      <c r="S471" s="10">
        <f>GraphBacillus!$B$37*Bacillus!I471+GraphBacillus!$B$38</f>
        <v>-8.7636233350523618E-2</v>
      </c>
      <c r="T471" s="10">
        <f>GraphBacillus!$E$37*Bacillus!I471+GraphBacillus!$E$38</f>
        <v>4.3883253924340337E-2</v>
      </c>
      <c r="U471" s="10">
        <f>GraphBacillus!$I$37*Bacillus!I471+GraphBacillus!$I$38</f>
        <v>-0.31699317409233707</v>
      </c>
    </row>
    <row r="472" spans="1:21" x14ac:dyDescent="0.2">
      <c r="A472" s="2" t="s">
        <v>1236</v>
      </c>
      <c r="B472" s="2" t="s">
        <v>1237</v>
      </c>
      <c r="C472" s="1">
        <v>9818</v>
      </c>
      <c r="D472" s="1" t="s">
        <v>44</v>
      </c>
      <c r="E472" s="1" t="s">
        <v>933</v>
      </c>
      <c r="F472" s="19" t="s">
        <v>943</v>
      </c>
      <c r="G472" s="1">
        <v>0.71</v>
      </c>
      <c r="H472" s="5">
        <v>7.02</v>
      </c>
      <c r="I472" s="5">
        <v>110</v>
      </c>
      <c r="J472" s="9">
        <v>23.4</v>
      </c>
      <c r="K472" s="5">
        <v>10.199999999999999</v>
      </c>
      <c r="L472" s="9">
        <f t="shared" si="16"/>
        <v>1.3692158574101427</v>
      </c>
      <c r="M472" s="11">
        <f>GraphBacillus!$E$10-(I472-GraphBacillus!$E$6)/GraphBacillus!$E$5</f>
        <v>1.3576639695992436</v>
      </c>
      <c r="N472" s="1" t="s">
        <v>944</v>
      </c>
      <c r="O472">
        <v>1999</v>
      </c>
      <c r="S472" s="10">
        <f>GraphBacillus!$B$37*Bacillus!I472+GraphBacillus!$B$38</f>
        <v>-0.55404464197321435</v>
      </c>
      <c r="T472" s="10">
        <f>GraphBacillus!$E$37*Bacillus!I472+GraphBacillus!$E$38</f>
        <v>-0.39767601260308627</v>
      </c>
      <c r="U472" s="10">
        <f>GraphBacillus!$I$37*Bacillus!I472+GraphBacillus!$I$38</f>
        <v>-0.84536690001770243</v>
      </c>
    </row>
    <row r="473" spans="1:21" x14ac:dyDescent="0.2">
      <c r="A473" s="2" t="s">
        <v>1236</v>
      </c>
      <c r="B473" s="2" t="s">
        <v>1237</v>
      </c>
      <c r="C473" s="1">
        <v>9818</v>
      </c>
      <c r="D473" s="1" t="s">
        <v>44</v>
      </c>
      <c r="E473" s="1" t="s">
        <v>933</v>
      </c>
      <c r="F473" s="19" t="s">
        <v>943</v>
      </c>
      <c r="G473" s="1">
        <v>0.71</v>
      </c>
      <c r="H473" s="5">
        <v>7.02</v>
      </c>
      <c r="I473" s="5">
        <v>115</v>
      </c>
      <c r="J473" s="9">
        <v>9.07</v>
      </c>
      <c r="K473" s="5">
        <v>10.199999999999999</v>
      </c>
      <c r="L473" s="9">
        <f t="shared" si="16"/>
        <v>0.95760728706009524</v>
      </c>
      <c r="M473" s="11">
        <f>GraphBacillus!$E$10-(I473-GraphBacillus!$E$6)/GraphBacillus!$E$5</f>
        <v>0.94293892798697487</v>
      </c>
      <c r="N473" s="1" t="s">
        <v>944</v>
      </c>
      <c r="O473">
        <v>1999</v>
      </c>
      <c r="S473" s="10">
        <f>GraphBacillus!$B$37*Bacillus!I473+GraphBacillus!$B$38</f>
        <v>-0.88719350527513718</v>
      </c>
      <c r="T473" s="10">
        <f>GraphBacillus!$E$37*Bacillus!I473+GraphBacillus!$E$38</f>
        <v>-0.71307548869410553</v>
      </c>
      <c r="U473" s="10">
        <f>GraphBacillus!$I$37*Bacillus!I473+GraphBacillus!$I$38</f>
        <v>-1.2227767042501076</v>
      </c>
    </row>
    <row r="474" spans="1:21" x14ac:dyDescent="0.2">
      <c r="A474" s="2" t="s">
        <v>1236</v>
      </c>
      <c r="B474" s="2" t="s">
        <v>1237</v>
      </c>
      <c r="C474" s="1">
        <v>9818</v>
      </c>
      <c r="D474" s="1" t="s">
        <v>44</v>
      </c>
      <c r="E474" s="1" t="s">
        <v>933</v>
      </c>
      <c r="F474" s="19" t="s">
        <v>943</v>
      </c>
      <c r="G474" s="1">
        <v>0.71</v>
      </c>
      <c r="H474" s="5">
        <v>7.02</v>
      </c>
      <c r="I474" s="5">
        <v>120</v>
      </c>
      <c r="J474" s="9">
        <v>2.85</v>
      </c>
      <c r="K474" s="5">
        <v>10.199999999999999</v>
      </c>
      <c r="L474" s="9">
        <f t="shared" si="16"/>
        <v>0.45484486000851021</v>
      </c>
      <c r="M474" s="11">
        <f>GraphBacillus!$E$10-(I474-GraphBacillus!$E$6)/GraphBacillus!$E$5</f>
        <v>0.52821388637470612</v>
      </c>
      <c r="N474" s="1" t="s">
        <v>944</v>
      </c>
      <c r="O474">
        <v>1999</v>
      </c>
      <c r="S474" s="10">
        <f>GraphBacillus!$B$37*Bacillus!I474+GraphBacillus!$B$38</f>
        <v>-1.2203423685770591</v>
      </c>
      <c r="T474" s="10">
        <f>GraphBacillus!$E$37*Bacillus!I474+GraphBacillus!$E$38</f>
        <v>-1.0284749647851248</v>
      </c>
      <c r="U474" s="10">
        <f>GraphBacillus!$I$37*Bacillus!I474+GraphBacillus!$I$38</f>
        <v>-1.6001865084825111</v>
      </c>
    </row>
    <row r="475" spans="1:21" x14ac:dyDescent="0.2">
      <c r="A475" s="2" t="s">
        <v>1236</v>
      </c>
      <c r="B475" s="2" t="s">
        <v>1237</v>
      </c>
      <c r="C475" s="1">
        <v>9818</v>
      </c>
      <c r="D475" s="1" t="s">
        <v>44</v>
      </c>
      <c r="E475" s="1" t="s">
        <v>933</v>
      </c>
      <c r="F475" s="19" t="s">
        <v>943</v>
      </c>
      <c r="G475" s="1">
        <v>0.71</v>
      </c>
      <c r="H475" s="5">
        <v>7.02</v>
      </c>
      <c r="I475" s="5">
        <v>125</v>
      </c>
      <c r="J475" s="9">
        <v>0.63</v>
      </c>
      <c r="K475" s="5">
        <v>10.199999999999999</v>
      </c>
      <c r="L475" s="9">
        <f t="shared" si="16"/>
        <v>-0.20065945054641829</v>
      </c>
      <c r="M475" s="11">
        <f>GraphBacillus!$E$10-(I475-GraphBacillus!$E$6)/GraphBacillus!$E$5</f>
        <v>0.11348884476243731</v>
      </c>
      <c r="N475" s="1" t="s">
        <v>944</v>
      </c>
      <c r="O475">
        <v>1999</v>
      </c>
      <c r="S475" s="10">
        <f>GraphBacillus!$B$37*Bacillus!I475+GraphBacillus!$B$38</f>
        <v>-1.5534912318789811</v>
      </c>
      <c r="T475" s="10">
        <f>GraphBacillus!$E$37*Bacillus!I475+GraphBacillus!$E$38</f>
        <v>-1.3438744408761432</v>
      </c>
      <c r="U475" s="10">
        <f>GraphBacillus!$I$37*Bacillus!I475+GraphBacillus!$I$38</f>
        <v>-1.9775963127149163</v>
      </c>
    </row>
    <row r="476" spans="1:21" x14ac:dyDescent="0.2">
      <c r="A476" s="2" t="s">
        <v>1236</v>
      </c>
      <c r="B476" s="2" t="s">
        <v>1237</v>
      </c>
      <c r="C476" s="2" t="s">
        <v>97</v>
      </c>
      <c r="D476" s="1" t="s">
        <v>44</v>
      </c>
      <c r="E476" s="1" t="s">
        <v>1250</v>
      </c>
      <c r="F476" s="1"/>
      <c r="G476" s="1"/>
      <c r="H476" s="5">
        <v>7</v>
      </c>
      <c r="I476" s="5">
        <v>115.6</v>
      </c>
      <c r="J476" s="9">
        <v>11.29</v>
      </c>
      <c r="K476" s="5"/>
      <c r="L476" s="9">
        <f t="shared" si="16"/>
        <v>1.0526939419249679</v>
      </c>
      <c r="M476" s="11">
        <f>GraphBacillus!$E$10-(I476-GraphBacillus!$E$6)/GraphBacillus!$E$5</f>
        <v>0.89317192299350312</v>
      </c>
      <c r="N476" s="2" t="s">
        <v>852</v>
      </c>
      <c r="O476">
        <v>1975</v>
      </c>
      <c r="S476" s="10"/>
      <c r="T476" s="10"/>
      <c r="U476" s="10"/>
    </row>
    <row r="477" spans="1:21" x14ac:dyDescent="0.2">
      <c r="A477" s="2" t="s">
        <v>1236</v>
      </c>
      <c r="B477" s="2" t="s">
        <v>1237</v>
      </c>
      <c r="C477" s="2" t="s">
        <v>97</v>
      </c>
      <c r="D477" s="1" t="s">
        <v>44</v>
      </c>
      <c r="E477" s="1" t="s">
        <v>1250</v>
      </c>
      <c r="F477" s="1"/>
      <c r="G477" s="1"/>
      <c r="H477" s="5">
        <v>7</v>
      </c>
      <c r="I477" s="5">
        <v>115.6</v>
      </c>
      <c r="J477" s="9">
        <v>11.44</v>
      </c>
      <c r="K477" s="5"/>
      <c r="L477" s="9">
        <f t="shared" si="16"/>
        <v>1.0584260244570054</v>
      </c>
      <c r="M477" s="11">
        <f>GraphBacillus!$E$10-(I477-GraphBacillus!$E$6)/GraphBacillus!$E$5</f>
        <v>0.89317192299350312</v>
      </c>
      <c r="N477" s="2" t="s">
        <v>852</v>
      </c>
      <c r="O477">
        <v>1975</v>
      </c>
      <c r="S477" s="10"/>
      <c r="T477" s="10"/>
      <c r="U477" s="10"/>
    </row>
    <row r="478" spans="1:21" x14ac:dyDescent="0.2">
      <c r="A478" s="2" t="s">
        <v>1236</v>
      </c>
      <c r="B478" s="2" t="s">
        <v>1237</v>
      </c>
      <c r="C478" s="2" t="s">
        <v>97</v>
      </c>
      <c r="D478" s="1" t="s">
        <v>44</v>
      </c>
      <c r="E478" s="1" t="s">
        <v>1250</v>
      </c>
      <c r="F478" s="1"/>
      <c r="G478" s="1"/>
      <c r="H478" s="5">
        <v>7</v>
      </c>
      <c r="I478" s="5">
        <v>121.1</v>
      </c>
      <c r="J478" s="9">
        <v>2.3199999999999998</v>
      </c>
      <c r="K478" s="5"/>
      <c r="L478" s="9">
        <f t="shared" si="16"/>
        <v>0.36548798489089962</v>
      </c>
      <c r="M478" s="11">
        <f>GraphBacillus!$E$10-(I478-GraphBacillus!$E$6)/GraphBacillus!$E$5</f>
        <v>0.43697437722000743</v>
      </c>
      <c r="N478" s="2" t="s">
        <v>852</v>
      </c>
      <c r="O478">
        <v>1975</v>
      </c>
      <c r="S478" s="10"/>
      <c r="T478" s="10"/>
      <c r="U478" s="10"/>
    </row>
    <row r="479" spans="1:21" x14ac:dyDescent="0.2">
      <c r="A479" s="2" t="s">
        <v>1236</v>
      </c>
      <c r="B479" s="2" t="s">
        <v>1237</v>
      </c>
      <c r="C479" s="2" t="s">
        <v>97</v>
      </c>
      <c r="D479" s="1" t="s">
        <v>44</v>
      </c>
      <c r="E479" s="1" t="s">
        <v>1250</v>
      </c>
      <c r="F479" s="1"/>
      <c r="G479" s="1"/>
      <c r="H479" s="5">
        <v>7</v>
      </c>
      <c r="I479" s="5">
        <v>121.1</v>
      </c>
      <c r="J479" s="9">
        <v>2.37</v>
      </c>
      <c r="K479" s="5"/>
      <c r="L479" s="9">
        <f t="shared" si="16"/>
        <v>0.37474834601010387</v>
      </c>
      <c r="M479" s="11">
        <f>GraphBacillus!$E$10-(I479-GraphBacillus!$E$6)/GraphBacillus!$E$5</f>
        <v>0.43697437722000743</v>
      </c>
      <c r="N479" s="2" t="s">
        <v>852</v>
      </c>
      <c r="O479">
        <v>1975</v>
      </c>
      <c r="S479" s="10"/>
      <c r="T479" s="10"/>
      <c r="U479" s="10"/>
    </row>
    <row r="480" spans="1:21" x14ac:dyDescent="0.2">
      <c r="A480" s="2" t="s">
        <v>1236</v>
      </c>
      <c r="B480" s="2" t="s">
        <v>1237</v>
      </c>
      <c r="C480" s="2" t="s">
        <v>97</v>
      </c>
      <c r="D480" s="1" t="s">
        <v>44</v>
      </c>
      <c r="E480" s="1" t="s">
        <v>1250</v>
      </c>
      <c r="F480" s="1"/>
      <c r="G480" s="1"/>
      <c r="H480" s="5">
        <v>7</v>
      </c>
      <c r="I480" s="5">
        <v>126.7</v>
      </c>
      <c r="J480" s="9">
        <v>0.28999999999999998</v>
      </c>
      <c r="K480" s="5">
        <v>7.9</v>
      </c>
      <c r="L480" s="9">
        <f t="shared" si="16"/>
        <v>-0.53760200210104392</v>
      </c>
      <c r="M480" s="11">
        <f>GraphBacillus!$E$10-(I480-GraphBacillus!$E$6)/GraphBacillus!$E$5</f>
        <v>-2.75176693857343E-2</v>
      </c>
      <c r="N480" s="2" t="s">
        <v>852</v>
      </c>
      <c r="O480">
        <v>1975</v>
      </c>
      <c r="S480" s="10"/>
      <c r="T480" s="10"/>
      <c r="U480" s="10"/>
    </row>
    <row r="481" spans="1:21" x14ac:dyDescent="0.2">
      <c r="A481" s="2" t="s">
        <v>1236</v>
      </c>
      <c r="B481" s="2" t="s">
        <v>1237</v>
      </c>
      <c r="C481" s="2" t="s">
        <v>97</v>
      </c>
      <c r="D481" s="1" t="s">
        <v>44</v>
      </c>
      <c r="E481" s="1" t="s">
        <v>1250</v>
      </c>
      <c r="F481" s="1"/>
      <c r="G481" s="1"/>
      <c r="H481" s="5">
        <v>7</v>
      </c>
      <c r="I481" s="5">
        <v>126.7</v>
      </c>
      <c r="J481" s="9">
        <v>0.31</v>
      </c>
      <c r="K481" s="5">
        <v>7.9</v>
      </c>
      <c r="L481" s="9">
        <f t="shared" si="16"/>
        <v>-0.50863830616572736</v>
      </c>
      <c r="M481" s="11">
        <f>GraphBacillus!$E$10-(I481-GraphBacillus!$E$6)/GraphBacillus!$E$5</f>
        <v>-2.75176693857343E-2</v>
      </c>
      <c r="N481" s="2" t="s">
        <v>852</v>
      </c>
      <c r="O481">
        <v>1975</v>
      </c>
      <c r="S481" s="10"/>
      <c r="T481" s="10"/>
      <c r="U481" s="10"/>
    </row>
    <row r="482" spans="1:21" x14ac:dyDescent="0.2">
      <c r="A482" s="2" t="s">
        <v>1236</v>
      </c>
      <c r="B482" s="2" t="s">
        <v>1237</v>
      </c>
      <c r="C482" s="2" t="s">
        <v>97</v>
      </c>
      <c r="D482" s="1" t="s">
        <v>44</v>
      </c>
      <c r="E482" s="1" t="s">
        <v>1250</v>
      </c>
      <c r="F482" s="1"/>
      <c r="G482" s="1"/>
      <c r="H482" s="5">
        <v>7</v>
      </c>
      <c r="I482" s="5">
        <v>129.4</v>
      </c>
      <c r="J482" s="9">
        <v>0.19</v>
      </c>
      <c r="K482" s="5">
        <v>7.9</v>
      </c>
      <c r="L482" s="9">
        <f t="shared" si="16"/>
        <v>-0.72124639904717103</v>
      </c>
      <c r="M482" s="11">
        <f>GraphBacillus!$E$10-(I482-GraphBacillus!$E$6)/GraphBacillus!$E$5</f>
        <v>-0.25146919185635974</v>
      </c>
      <c r="N482" s="2" t="s">
        <v>852</v>
      </c>
      <c r="O482">
        <v>1975</v>
      </c>
      <c r="S482" s="10">
        <f>GraphBacillus!$B$37*Bacillus!I482+GraphBacillus!$B$38</f>
        <v>-1.8466622315846735</v>
      </c>
      <c r="T482" s="10">
        <f>GraphBacillus!$E$37*Bacillus!I482+GraphBacillus!$E$38</f>
        <v>-1.6214259798362409</v>
      </c>
      <c r="U482" s="10">
        <f>GraphBacillus!$I$37*Bacillus!I482+GraphBacillus!$I$38</f>
        <v>-2.309716940439432</v>
      </c>
    </row>
    <row r="483" spans="1:21" x14ac:dyDescent="0.2">
      <c r="A483" s="2" t="s">
        <v>1236</v>
      </c>
      <c r="B483" s="2" t="s">
        <v>1237</v>
      </c>
      <c r="C483" s="2" t="s">
        <v>97</v>
      </c>
      <c r="D483" s="1" t="s">
        <v>44</v>
      </c>
      <c r="E483" s="1" t="s">
        <v>1250</v>
      </c>
      <c r="F483" s="1"/>
      <c r="G483" s="1"/>
      <c r="H483" s="5">
        <v>7</v>
      </c>
      <c r="I483" s="5">
        <v>129.4</v>
      </c>
      <c r="J483" s="9">
        <v>0.28000000000000003</v>
      </c>
      <c r="K483" s="5">
        <v>7.9</v>
      </c>
      <c r="L483" s="9">
        <f t="shared" si="16"/>
        <v>-0.55284196865778079</v>
      </c>
      <c r="M483" s="11">
        <f>GraphBacillus!$E$10-(I483-GraphBacillus!$E$6)/GraphBacillus!$E$5</f>
        <v>-0.25146919185635974</v>
      </c>
      <c r="N483" s="2" t="s">
        <v>852</v>
      </c>
      <c r="O483">
        <v>1975</v>
      </c>
      <c r="S483" s="10">
        <f>GraphBacillus!$B$37*Bacillus!I483+GraphBacillus!$B$38</f>
        <v>-1.8466622315846735</v>
      </c>
      <c r="T483" s="10">
        <f>GraphBacillus!$E$37*Bacillus!I483+GraphBacillus!$E$38</f>
        <v>-1.6214259798362409</v>
      </c>
      <c r="U483" s="10">
        <f>GraphBacillus!$I$37*Bacillus!I483+GraphBacillus!$I$38</f>
        <v>-2.309716940439432</v>
      </c>
    </row>
    <row r="484" spans="1:21" x14ac:dyDescent="0.2">
      <c r="A484" s="2" t="s">
        <v>1236</v>
      </c>
      <c r="B484" s="2" t="s">
        <v>1237</v>
      </c>
      <c r="C484" s="2" t="s">
        <v>1066</v>
      </c>
      <c r="D484" s="2" t="s">
        <v>45</v>
      </c>
      <c r="E484" s="1" t="s">
        <v>945</v>
      </c>
      <c r="F484" s="2" t="s">
        <v>1416</v>
      </c>
      <c r="G484" s="2"/>
      <c r="H484" s="5"/>
      <c r="I484" s="5">
        <v>121</v>
      </c>
      <c r="J484" s="9">
        <v>17.5</v>
      </c>
      <c r="K484" s="5"/>
      <c r="L484" s="9">
        <f t="shared" si="16"/>
        <v>1.2430380486862944</v>
      </c>
      <c r="M484" s="11">
        <f>GraphBacillus!$E$10-(I484-GraphBacillus!$E$6)/GraphBacillus!$E$5</f>
        <v>0.44526887805225235</v>
      </c>
      <c r="N484" s="2" t="s">
        <v>1226</v>
      </c>
      <c r="O484">
        <v>1996</v>
      </c>
      <c r="S484" s="10">
        <f>GraphBacillus!$B$37*Bacillus!I484+GraphBacillus!$B$38</f>
        <v>-1.2869721412374435</v>
      </c>
      <c r="T484" s="10">
        <f>GraphBacillus!$E$37*Bacillus!I484+GraphBacillus!$E$38</f>
        <v>-1.0915548600033285</v>
      </c>
      <c r="U484" s="10">
        <f>GraphBacillus!$I$37*Bacillus!I484+GraphBacillus!$I$38</f>
        <v>-1.6756684693289925</v>
      </c>
    </row>
    <row r="485" spans="1:21" x14ac:dyDescent="0.2">
      <c r="A485" s="2" t="s">
        <v>1236</v>
      </c>
      <c r="B485" s="2" t="s">
        <v>1237</v>
      </c>
      <c r="C485" s="2" t="s">
        <v>1066</v>
      </c>
      <c r="D485" s="1" t="s">
        <v>45</v>
      </c>
      <c r="E485" s="1" t="s">
        <v>946</v>
      </c>
      <c r="F485" s="1" t="s">
        <v>1416</v>
      </c>
      <c r="G485" s="1"/>
      <c r="H485" s="5"/>
      <c r="I485" s="5">
        <v>112</v>
      </c>
      <c r="J485" s="9">
        <v>46.5</v>
      </c>
      <c r="K485" s="5"/>
      <c r="L485" s="9">
        <f t="shared" si="16"/>
        <v>1.667452952889954</v>
      </c>
      <c r="M485" s="11">
        <f>GraphBacillus!$E$10-(I485-GraphBacillus!$E$6)/GraphBacillus!$E$5</f>
        <v>1.1917739529543363</v>
      </c>
      <c r="N485" s="2" t="s">
        <v>1226</v>
      </c>
      <c r="O485">
        <v>1996</v>
      </c>
      <c r="S485" s="10">
        <f>GraphBacillus!$B$37*Bacillus!I485+GraphBacillus!$B$38</f>
        <v>-0.68730418729398401</v>
      </c>
      <c r="T485" s="10">
        <f>GraphBacillus!$E$37*Bacillus!I485+GraphBacillus!$E$38</f>
        <v>-0.52383580303949362</v>
      </c>
      <c r="U485" s="10">
        <f>GraphBacillus!$I$37*Bacillus!I485+GraphBacillus!$I$38</f>
        <v>-0.99633082171066523</v>
      </c>
    </row>
    <row r="486" spans="1:21" x14ac:dyDescent="0.2">
      <c r="A486" s="2" t="s">
        <v>1236</v>
      </c>
      <c r="B486" s="2" t="s">
        <v>1237</v>
      </c>
      <c r="C486" s="2" t="s">
        <v>1066</v>
      </c>
      <c r="D486" s="1" t="s">
        <v>45</v>
      </c>
      <c r="E486" s="1" t="s">
        <v>946</v>
      </c>
      <c r="F486" s="1" t="s">
        <v>1416</v>
      </c>
      <c r="G486" s="1"/>
      <c r="H486" s="5"/>
      <c r="I486" s="5">
        <v>121</v>
      </c>
      <c r="J486" s="9">
        <v>30</v>
      </c>
      <c r="K486" s="5"/>
      <c r="L486" s="9">
        <f t="shared" si="16"/>
        <v>1.4771212547196624</v>
      </c>
      <c r="M486" s="11">
        <f>GraphBacillus!$E$10-(I486-GraphBacillus!$E$6)/GraphBacillus!$E$5</f>
        <v>0.44526887805225235</v>
      </c>
      <c r="N486" s="2" t="s">
        <v>1226</v>
      </c>
      <c r="O486">
        <v>1996</v>
      </c>
      <c r="S486" s="10">
        <f>GraphBacillus!$B$37*Bacillus!I486+GraphBacillus!$B$38</f>
        <v>-1.2869721412374435</v>
      </c>
      <c r="T486" s="10">
        <f>GraphBacillus!$E$37*Bacillus!I486+GraphBacillus!$E$38</f>
        <v>-1.0915548600033285</v>
      </c>
      <c r="U486" s="10">
        <f>GraphBacillus!$I$37*Bacillus!I486+GraphBacillus!$I$38</f>
        <v>-1.6756684693289925</v>
      </c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K50"/>
  <sheetViews>
    <sheetView topLeftCell="A19" workbookViewId="0">
      <selection activeCell="B44" sqref="B44"/>
    </sheetView>
  </sheetViews>
  <sheetFormatPr defaultRowHeight="12.75" x14ac:dyDescent="0.2"/>
  <cols>
    <col min="5" max="5" width="10.5703125" bestFit="1" customWidth="1"/>
  </cols>
  <sheetData>
    <row r="1" spans="1:6" ht="18" x14ac:dyDescent="0.25">
      <c r="A1" s="3" t="s">
        <v>1345</v>
      </c>
    </row>
    <row r="4" spans="1:6" x14ac:dyDescent="0.2">
      <c r="A4" t="s">
        <v>1346</v>
      </c>
      <c r="B4" t="s">
        <v>1349</v>
      </c>
      <c r="E4" t="s">
        <v>37</v>
      </c>
    </row>
    <row r="5" spans="1:6" x14ac:dyDescent="0.2">
      <c r="A5" t="s">
        <v>1347</v>
      </c>
      <c r="B5" s="10">
        <f>-1/SLOPE(Bacillus!L2:L466,Bacillus!I2:I466)</f>
        <v>12.845676043122632</v>
      </c>
      <c r="C5" s="10">
        <f>SLOPE(Bacillus!L2:L51,Bacillus!I2:I51)</f>
        <v>-6.4356724255299633E-2</v>
      </c>
      <c r="D5" t="s">
        <v>201</v>
      </c>
      <c r="E5" s="10">
        <f>-1/SLOPE(Bacillus!L468:L486,Bacillus!I468:I486)</f>
        <v>12.056180597540472</v>
      </c>
      <c r="F5" s="10">
        <f>SLOPE(Bacillus!L220:L345,Bacillus!I220:I345)</f>
        <v>-7.5481960846480858E-2</v>
      </c>
    </row>
    <row r="6" spans="1:6" x14ac:dyDescent="0.2">
      <c r="A6" t="s">
        <v>1350</v>
      </c>
      <c r="B6">
        <v>120</v>
      </c>
      <c r="E6">
        <v>120</v>
      </c>
    </row>
    <row r="7" spans="1:6" x14ac:dyDescent="0.2">
      <c r="A7" t="s">
        <v>1353</v>
      </c>
      <c r="B7" s="10">
        <f>TINV(0.05,COUNT(Bacillus!L2:L466)-2)</f>
        <v>1.965100872830142</v>
      </c>
      <c r="E7" s="10">
        <f>TINV(0.05,COUNT(Bacillus!L468:L486)-2)</f>
        <v>2.109815577833317</v>
      </c>
    </row>
    <row r="8" spans="1:6" x14ac:dyDescent="0.2">
      <c r="A8" t="s">
        <v>1355</v>
      </c>
      <c r="B8" s="10">
        <f>SUMXMY2(Bacillus!L2:L466,Bacillus!M2:M466)</f>
        <v>145.56162305594742</v>
      </c>
      <c r="E8" s="10">
        <f>SUMXMY2(Bacillus!L468:L486,Bacillus!M468:M486)</f>
        <v>3.9165494572589621</v>
      </c>
    </row>
    <row r="9" spans="1:6" x14ac:dyDescent="0.2">
      <c r="A9" t="s">
        <v>1354</v>
      </c>
      <c r="B9" s="10">
        <f>SQRT(B8/(COUNT(Bacillus!L2:L466)-2))</f>
        <v>0.56070308966909155</v>
      </c>
      <c r="E9" s="10">
        <f>SQRT(E8/(COUNT(Bacillus!L468:L486)-2))</f>
        <v>0.47998464787084977</v>
      </c>
    </row>
    <row r="10" spans="1:6" x14ac:dyDescent="0.2">
      <c r="A10" t="s">
        <v>1351</v>
      </c>
      <c r="B10" s="10">
        <f>INTERCEPT(Bacillus!L2:L466,Bacillus!I2:I466)-B6/B5</f>
        <v>-1.3818757517745679</v>
      </c>
      <c r="C10" s="10">
        <f>INTERCEPT(Bacillus!L2:L219,Bacillus!I2:I219)</f>
        <v>6.5411124613993348</v>
      </c>
      <c r="D10" t="s">
        <v>202</v>
      </c>
      <c r="E10" s="10">
        <f>INTERCEPT(Bacillus!L468:L486,Bacillus!I468:I486)-E6/E5</f>
        <v>0.52821388637470612</v>
      </c>
      <c r="F10" s="10">
        <f>INTERCEPT(Bacillus!L220:L345,Bacillus!I220:I345)</f>
        <v>7.4576487930951911</v>
      </c>
    </row>
    <row r="11" spans="1:6" x14ac:dyDescent="0.2">
      <c r="A11" t="s">
        <v>135</v>
      </c>
      <c r="B11" s="10">
        <f>B10+B7*B9</f>
        <v>-0.28003762086727879</v>
      </c>
      <c r="E11" s="10">
        <f>E10+E7*E9</f>
        <v>1.5408929735734642</v>
      </c>
    </row>
    <row r="13" spans="1:6" x14ac:dyDescent="0.2">
      <c r="A13" t="s">
        <v>1348</v>
      </c>
      <c r="B13" t="s">
        <v>1344</v>
      </c>
      <c r="C13" t="s">
        <v>1352</v>
      </c>
      <c r="E13" t="s">
        <v>1344</v>
      </c>
      <c r="F13" t="s">
        <v>1352</v>
      </c>
    </row>
    <row r="14" spans="1:6" x14ac:dyDescent="0.2">
      <c r="A14">
        <v>70</v>
      </c>
      <c r="B14" s="10">
        <f t="shared" ref="B14:B29" si="0">$B$10-(A14-$B$6)/$B$5</f>
        <v>2.5104845905033457</v>
      </c>
      <c r="C14" s="10">
        <f t="shared" ref="C14:C29" si="1">B14+$B$7*$B$9</f>
        <v>3.612322721410635</v>
      </c>
      <c r="E14" s="10">
        <f>$E$10-(A14-$E$6)/$E$5</f>
        <v>4.6754643024973941</v>
      </c>
      <c r="F14" s="10">
        <f>E14+$E$7*$E$9</f>
        <v>5.688143389696152</v>
      </c>
    </row>
    <row r="15" spans="1:6" x14ac:dyDescent="0.2">
      <c r="A15">
        <f>A14+5</f>
        <v>75</v>
      </c>
      <c r="B15" s="10">
        <f t="shared" si="0"/>
        <v>2.1212485562755541</v>
      </c>
      <c r="C15" s="10">
        <f t="shared" si="1"/>
        <v>3.2230866871828434</v>
      </c>
      <c r="E15" s="10">
        <f t="shared" ref="E15:E29" si="2">$E$10-(A15-$E$6)/$E$5</f>
        <v>4.260739260885126</v>
      </c>
      <c r="F15" s="10">
        <f t="shared" ref="F15:F29" si="3">E15+$E$7*$E$9</f>
        <v>5.2734183480838839</v>
      </c>
    </row>
    <row r="16" spans="1:6" x14ac:dyDescent="0.2">
      <c r="A16">
        <f t="shared" ref="A16:A29" si="4">A15+5</f>
        <v>80</v>
      </c>
      <c r="B16" s="10">
        <f t="shared" si="0"/>
        <v>1.7320125220477629</v>
      </c>
      <c r="C16" s="10">
        <f t="shared" si="1"/>
        <v>2.8338506529550518</v>
      </c>
      <c r="E16" s="10">
        <f t="shared" si="2"/>
        <v>3.8460142192728566</v>
      </c>
      <c r="F16" s="10">
        <f t="shared" si="3"/>
        <v>4.8586933064716149</v>
      </c>
    </row>
    <row r="17" spans="1:6" x14ac:dyDescent="0.2">
      <c r="A17">
        <f t="shared" si="4"/>
        <v>85</v>
      </c>
      <c r="B17" s="10">
        <f t="shared" si="0"/>
        <v>1.3427764878199717</v>
      </c>
      <c r="C17" s="10">
        <f t="shared" si="1"/>
        <v>2.444614618727261</v>
      </c>
      <c r="E17" s="10">
        <f t="shared" si="2"/>
        <v>3.4312891776605876</v>
      </c>
      <c r="F17" s="10">
        <f t="shared" si="3"/>
        <v>4.4439682648593459</v>
      </c>
    </row>
    <row r="18" spans="1:6" x14ac:dyDescent="0.2">
      <c r="A18">
        <f t="shared" si="4"/>
        <v>90</v>
      </c>
      <c r="B18" s="10">
        <f t="shared" si="0"/>
        <v>0.95354045359218009</v>
      </c>
      <c r="C18" s="10">
        <f t="shared" si="1"/>
        <v>2.0553785844994694</v>
      </c>
      <c r="E18" s="10">
        <f t="shared" si="2"/>
        <v>3.0165641360483191</v>
      </c>
      <c r="F18" s="10">
        <f t="shared" si="3"/>
        <v>4.029243223247077</v>
      </c>
    </row>
    <row r="19" spans="1:6" x14ac:dyDescent="0.2">
      <c r="A19">
        <f t="shared" si="4"/>
        <v>95</v>
      </c>
      <c r="B19" s="10">
        <f t="shared" si="0"/>
        <v>0.56430441936438891</v>
      </c>
      <c r="C19" s="10">
        <f t="shared" si="1"/>
        <v>1.666142550271678</v>
      </c>
      <c r="E19" s="10">
        <f t="shared" si="2"/>
        <v>2.6018390944360501</v>
      </c>
      <c r="F19" s="10">
        <f t="shared" si="3"/>
        <v>3.614518181634808</v>
      </c>
    </row>
    <row r="20" spans="1:6" x14ac:dyDescent="0.2">
      <c r="A20">
        <f t="shared" si="4"/>
        <v>100</v>
      </c>
      <c r="B20" s="10">
        <f t="shared" si="0"/>
        <v>0.1750683851365975</v>
      </c>
      <c r="C20" s="10">
        <f t="shared" si="1"/>
        <v>1.2769065160438866</v>
      </c>
      <c r="E20" s="10">
        <f t="shared" si="2"/>
        <v>2.1871140528237811</v>
      </c>
      <c r="F20" s="10">
        <f t="shared" si="3"/>
        <v>3.199793140022539</v>
      </c>
    </row>
    <row r="21" spans="1:6" x14ac:dyDescent="0.2">
      <c r="A21">
        <f t="shared" si="4"/>
        <v>105</v>
      </c>
      <c r="B21" s="10">
        <f t="shared" si="0"/>
        <v>-0.2141676490911939</v>
      </c>
      <c r="C21" s="10">
        <f t="shared" si="1"/>
        <v>0.8876704818160952</v>
      </c>
      <c r="E21" s="10">
        <f t="shared" si="2"/>
        <v>1.7723890112115126</v>
      </c>
      <c r="F21" s="10">
        <f t="shared" si="3"/>
        <v>2.7850680984102709</v>
      </c>
    </row>
    <row r="22" spans="1:6" x14ac:dyDescent="0.2">
      <c r="A22">
        <f t="shared" si="4"/>
        <v>110</v>
      </c>
      <c r="B22" s="10">
        <f t="shared" si="0"/>
        <v>-0.6034036833189852</v>
      </c>
      <c r="C22" s="10">
        <f t="shared" si="1"/>
        <v>0.49843444758830391</v>
      </c>
      <c r="E22" s="10">
        <f t="shared" si="2"/>
        <v>1.3576639695992436</v>
      </c>
      <c r="F22" s="10">
        <f t="shared" si="3"/>
        <v>2.3703430567980019</v>
      </c>
    </row>
    <row r="23" spans="1:6" x14ac:dyDescent="0.2">
      <c r="A23">
        <f t="shared" si="4"/>
        <v>115</v>
      </c>
      <c r="B23" s="10">
        <f t="shared" si="0"/>
        <v>-0.99263971754677649</v>
      </c>
      <c r="C23" s="10">
        <f t="shared" si="1"/>
        <v>0.10919841336051261</v>
      </c>
      <c r="E23" s="10">
        <f t="shared" si="2"/>
        <v>0.94293892798697487</v>
      </c>
      <c r="F23" s="10">
        <f t="shared" si="3"/>
        <v>1.955618015185733</v>
      </c>
    </row>
    <row r="24" spans="1:6" x14ac:dyDescent="0.2">
      <c r="A24">
        <f t="shared" si="4"/>
        <v>120</v>
      </c>
      <c r="B24" s="10">
        <f t="shared" si="0"/>
        <v>-1.3818757517745679</v>
      </c>
      <c r="C24" s="10">
        <f t="shared" si="1"/>
        <v>-0.28003762086727879</v>
      </c>
      <c r="E24" s="10">
        <f t="shared" si="2"/>
        <v>0.52821388637470612</v>
      </c>
      <c r="F24" s="10">
        <f t="shared" si="3"/>
        <v>1.5408929735734642</v>
      </c>
    </row>
    <row r="25" spans="1:6" x14ac:dyDescent="0.2">
      <c r="A25">
        <f t="shared" si="4"/>
        <v>125</v>
      </c>
      <c r="B25" s="10">
        <f t="shared" si="0"/>
        <v>-1.7711117860023593</v>
      </c>
      <c r="C25" s="10">
        <f t="shared" si="1"/>
        <v>-0.6692736550950702</v>
      </c>
      <c r="E25" s="10">
        <f t="shared" si="2"/>
        <v>0.11348884476243731</v>
      </c>
      <c r="F25" s="10">
        <f t="shared" si="3"/>
        <v>1.1261679319611955</v>
      </c>
    </row>
    <row r="26" spans="1:6" x14ac:dyDescent="0.2">
      <c r="A26">
        <f t="shared" si="4"/>
        <v>130</v>
      </c>
      <c r="B26" s="10">
        <f t="shared" si="0"/>
        <v>-2.1603478202301507</v>
      </c>
      <c r="C26" s="10">
        <f t="shared" si="1"/>
        <v>-1.0585096893228616</v>
      </c>
      <c r="E26" s="10">
        <f t="shared" si="2"/>
        <v>-0.30123619684983149</v>
      </c>
      <c r="F26" s="10">
        <f t="shared" si="3"/>
        <v>0.7114428903489266</v>
      </c>
    </row>
    <row r="27" spans="1:6" x14ac:dyDescent="0.2">
      <c r="A27">
        <f t="shared" si="4"/>
        <v>135</v>
      </c>
      <c r="B27" s="10">
        <f t="shared" si="0"/>
        <v>-2.5495838544579419</v>
      </c>
      <c r="C27" s="10">
        <f t="shared" si="1"/>
        <v>-1.4477457235506528</v>
      </c>
      <c r="E27" s="10">
        <f t="shared" si="2"/>
        <v>-0.71596123846210036</v>
      </c>
      <c r="F27" s="10">
        <f t="shared" si="3"/>
        <v>0.29671784873665774</v>
      </c>
    </row>
    <row r="28" spans="1:6" x14ac:dyDescent="0.2">
      <c r="A28">
        <f t="shared" si="4"/>
        <v>140</v>
      </c>
      <c r="B28" s="10">
        <f t="shared" si="0"/>
        <v>-2.9388198886857335</v>
      </c>
      <c r="C28" s="10">
        <f t="shared" si="1"/>
        <v>-1.8369817577784444</v>
      </c>
      <c r="E28" s="10">
        <f t="shared" si="2"/>
        <v>-1.1306862800743691</v>
      </c>
      <c r="F28" s="10">
        <f t="shared" si="3"/>
        <v>-0.11800719287561101</v>
      </c>
    </row>
    <row r="29" spans="1:6" x14ac:dyDescent="0.2">
      <c r="A29">
        <f t="shared" si="4"/>
        <v>145</v>
      </c>
      <c r="B29" s="10">
        <f t="shared" si="0"/>
        <v>-3.3280559229135247</v>
      </c>
      <c r="C29" s="10">
        <f t="shared" si="1"/>
        <v>-2.2262177920062358</v>
      </c>
      <c r="E29" s="10">
        <f t="shared" si="2"/>
        <v>-1.5454113216866379</v>
      </c>
      <c r="F29" s="10">
        <f t="shared" si="3"/>
        <v>-0.53273223448787976</v>
      </c>
    </row>
    <row r="30" spans="1:6" x14ac:dyDescent="0.2">
      <c r="E30" s="10"/>
      <c r="F30" s="10"/>
    </row>
    <row r="31" spans="1:6" x14ac:dyDescent="0.2">
      <c r="E31" s="10"/>
      <c r="F31" s="10"/>
    </row>
    <row r="32" spans="1:6" x14ac:dyDescent="0.2">
      <c r="E32" s="10"/>
      <c r="F32" s="10"/>
    </row>
    <row r="33" spans="1:11" x14ac:dyDescent="0.2">
      <c r="E33" s="10"/>
      <c r="F33" s="10"/>
    </row>
    <row r="34" spans="1:11" x14ac:dyDescent="0.2">
      <c r="A34" s="24" t="s">
        <v>843</v>
      </c>
    </row>
    <row r="36" spans="1:11" x14ac:dyDescent="0.2">
      <c r="A36" t="s">
        <v>250</v>
      </c>
      <c r="D36" t="s">
        <v>990</v>
      </c>
      <c r="H36" t="s">
        <v>1073</v>
      </c>
    </row>
    <row r="37" spans="1:11" x14ac:dyDescent="0.2">
      <c r="A37" t="s">
        <v>251</v>
      </c>
      <c r="B37" s="31">
        <f>SLOPE(Bacillus!L2:L345,Bacillus!I2:I345)</f>
        <v>-6.6629772660384418E-2</v>
      </c>
      <c r="D37" t="s">
        <v>251</v>
      </c>
      <c r="E37" s="31">
        <f>SLOPE(Bacillus!L2:L219,Bacillus!I2:I219)</f>
        <v>-6.3079895218203827E-2</v>
      </c>
      <c r="F37" t="s">
        <v>1347</v>
      </c>
      <c r="G37" s="10">
        <f>-1/SLOPE(Bacillus!L2:L219,Bacillus!I2:I219)</f>
        <v>15.852911558283887</v>
      </c>
      <c r="H37" s="10" t="s">
        <v>251</v>
      </c>
      <c r="I37" s="10">
        <f>SLOPE(Bacillus!L220:L345,Bacillus!I220:I345)</f>
        <v>-7.5481960846480858E-2</v>
      </c>
      <c r="J37" s="10" t="s">
        <v>1347</v>
      </c>
      <c r="K37" s="10">
        <f>-1/SLOPE(Bacillus!L220:L345,Bacillus!I220:I345)</f>
        <v>13.2481984938607</v>
      </c>
    </row>
    <row r="38" spans="1:11" x14ac:dyDescent="0.2">
      <c r="A38" t="s">
        <v>202</v>
      </c>
      <c r="B38" s="31">
        <f>INTERCEPT(Bacillus!L2:L345,Bacillus!I2:I345)</f>
        <v>6.7752303506690712</v>
      </c>
      <c r="D38" t="s">
        <v>252</v>
      </c>
      <c r="E38" s="31">
        <f>INTERCEPT(Bacillus!L2:L219,Bacillus!I2:I219)</f>
        <v>6.5411124613993348</v>
      </c>
      <c r="F38" t="s">
        <v>1350</v>
      </c>
      <c r="G38">
        <v>80</v>
      </c>
      <c r="H38" t="s">
        <v>252</v>
      </c>
      <c r="I38" s="31">
        <f>INTERCEPT(Bacillus!L220:L345,Bacillus!I220:I345)</f>
        <v>7.4576487930951911</v>
      </c>
      <c r="J38" t="s">
        <v>1350</v>
      </c>
      <c r="K38">
        <v>80</v>
      </c>
    </row>
    <row r="39" spans="1:11" x14ac:dyDescent="0.2">
      <c r="A39" t="s">
        <v>259</v>
      </c>
      <c r="B39" s="10">
        <f>SUMXMY2(Bacillus!L2:L345,Bacillus!S2:S345)</f>
        <v>113.67495013620578</v>
      </c>
      <c r="D39" t="s">
        <v>259</v>
      </c>
      <c r="E39" s="10">
        <f>SUMXMY2(Bacillus!L2:L219,Bacillus!T2:T219)</f>
        <v>62.407301547183515</v>
      </c>
      <c r="F39" t="s">
        <v>1353</v>
      </c>
      <c r="G39" s="10">
        <f>TINV(0.05,COUNT(Bacillus!L2:L219)-2)</f>
        <v>1.9710074720044739</v>
      </c>
      <c r="H39" t="s">
        <v>259</v>
      </c>
      <c r="I39" s="10">
        <f>SUMXMY2(Bacillus!L220:L345,Bacillus!U220:U345)</f>
        <v>40.537162539614663</v>
      </c>
      <c r="J39" t="s">
        <v>1353</v>
      </c>
      <c r="K39" s="10">
        <f>TINV(0.05,COUNT(Bacillus!L220:L345)-2)</f>
        <v>1.9792801166048588</v>
      </c>
    </row>
    <row r="40" spans="1:11" x14ac:dyDescent="0.2">
      <c r="D40" t="s">
        <v>260</v>
      </c>
      <c r="E40" s="10">
        <f>E39+I39</f>
        <v>102.94446408679818</v>
      </c>
      <c r="F40" t="s">
        <v>1355</v>
      </c>
      <c r="G40" s="10">
        <f>SUMXMY2(Bacillus!L2:L219,Bacillus!T2:T219)</f>
        <v>62.407301547183515</v>
      </c>
      <c r="J40" t="s">
        <v>1355</v>
      </c>
      <c r="K40" s="10">
        <f>SUMXMY2(Bacillus!L220:L345,Bacillus!U220:U345)</f>
        <v>40.537162539614663</v>
      </c>
    </row>
    <row r="41" spans="1:11" x14ac:dyDescent="0.2">
      <c r="F41" t="s">
        <v>1354</v>
      </c>
      <c r="G41" s="10">
        <f>G40/(COUNT(Bacillus!L2:L219)-2)</f>
        <v>0.28892269234807183</v>
      </c>
      <c r="J41" t="s">
        <v>1354</v>
      </c>
      <c r="K41" s="10">
        <f>K40/(COUNT(Bacillus!L220:L345)-2)</f>
        <v>0.32691260112592468</v>
      </c>
    </row>
    <row r="42" spans="1:11" x14ac:dyDescent="0.2">
      <c r="A42" t="s">
        <v>262</v>
      </c>
      <c r="B42">
        <f>COUNT(Bacillus!I2:I345)</f>
        <v>344</v>
      </c>
      <c r="F42" t="s">
        <v>1351</v>
      </c>
      <c r="G42" s="10">
        <f>INTERCEPT(Bacillus!L2:L219,Bacillus!I2:I219)-G38/G37</f>
        <v>1.4947208439430284</v>
      </c>
      <c r="J42" t="s">
        <v>1351</v>
      </c>
      <c r="K42" s="10">
        <f>INTERCEPT(Bacillus!L220:L345,Bacillus!I220:I345)-K38/K37</f>
        <v>1.4190919253767227</v>
      </c>
    </row>
    <row r="43" spans="1:11" x14ac:dyDescent="0.2">
      <c r="A43" t="s">
        <v>261</v>
      </c>
      <c r="B43" s="10">
        <f>((B39-E40)/2)/(E40/(B42-4))</f>
        <v>17.720065324359968</v>
      </c>
      <c r="F43" t="s">
        <v>135</v>
      </c>
      <c r="G43" s="10">
        <f>G42+G39*G41</f>
        <v>2.064189629392728</v>
      </c>
      <c r="J43" t="s">
        <v>135</v>
      </c>
      <c r="K43" s="10">
        <f>K42+K39*K41</f>
        <v>2.0661435366528407</v>
      </c>
    </row>
    <row r="44" spans="1:11" x14ac:dyDescent="0.2">
      <c r="A44" t="s">
        <v>283</v>
      </c>
      <c r="B44" s="10">
        <f>FINV(0.05,2,B42-4)</f>
        <v>3.0222833337680801</v>
      </c>
    </row>
    <row r="45" spans="1:11" x14ac:dyDescent="0.2">
      <c r="A45" t="s">
        <v>255</v>
      </c>
      <c r="B45" s="10">
        <f>(B39/(B42-2))/(E40/(B42-4))</f>
        <v>1.0977781597915788</v>
      </c>
    </row>
    <row r="46" spans="1:11" x14ac:dyDescent="0.2">
      <c r="A46" t="s">
        <v>282</v>
      </c>
      <c r="B46" s="10">
        <f>FINV(0.05,B42-2,B42-4)</f>
        <v>1.195332141490244</v>
      </c>
    </row>
    <row r="48" spans="1:11" x14ac:dyDescent="0.2">
      <c r="A48" s="24" t="s">
        <v>978</v>
      </c>
    </row>
    <row r="50" spans="1:1" x14ac:dyDescent="0.2">
      <c r="A50" s="24"/>
    </row>
  </sheetData>
  <phoneticPr fontId="0" type="noConversion"/>
  <pageMargins left="0.75" right="0.75" top="1" bottom="1" header="0.5" footer="0.5"/>
  <pageSetup paperSize="9" scale="71" orientation="landscape" horizontalDpi="1200" verticalDpi="1200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47"/>
  <sheetViews>
    <sheetView topLeftCell="B1" workbookViewId="0">
      <pane ySplit="1" topLeftCell="A34" activePane="bottomLeft" state="frozen"/>
      <selection activeCell="E1" sqref="E1"/>
      <selection pane="bottomLeft" activeCell="L45" sqref="L45"/>
    </sheetView>
  </sheetViews>
  <sheetFormatPr defaultRowHeight="12.75" x14ac:dyDescent="0.2"/>
  <cols>
    <col min="1" max="1" width="17" customWidth="1"/>
    <col min="4" max="4" width="16" customWidth="1"/>
    <col min="5" max="5" width="12.140625" customWidth="1"/>
    <col min="6" max="6" width="11.5703125" customWidth="1"/>
    <col min="7" max="7" width="8.5703125" style="4" customWidth="1"/>
    <col min="8" max="8" width="10.28515625" style="4" customWidth="1"/>
    <col min="9" max="11" width="9.140625" style="4" customWidth="1"/>
    <col min="12" max="12" width="15" style="4" customWidth="1"/>
    <col min="15" max="15" width="16.85546875" customWidth="1"/>
  </cols>
  <sheetData>
    <row r="1" spans="1:15" s="18" customFormat="1" ht="15" x14ac:dyDescent="0.25">
      <c r="A1" s="14" t="s">
        <v>1221</v>
      </c>
      <c r="B1" s="14" t="s">
        <v>64</v>
      </c>
      <c r="C1" s="14" t="s">
        <v>65</v>
      </c>
      <c r="D1" s="14" t="s">
        <v>39</v>
      </c>
      <c r="E1" s="14" t="s">
        <v>1222</v>
      </c>
      <c r="F1" s="14" t="s">
        <v>1255</v>
      </c>
      <c r="G1" s="15" t="s">
        <v>1230</v>
      </c>
      <c r="H1" s="15" t="s">
        <v>1229</v>
      </c>
      <c r="I1" s="16" t="s">
        <v>1232</v>
      </c>
      <c r="J1" s="15" t="s">
        <v>1231</v>
      </c>
      <c r="K1" s="15" t="s">
        <v>1343</v>
      </c>
      <c r="L1" s="17" t="s">
        <v>1344</v>
      </c>
      <c r="M1" s="14" t="s">
        <v>1223</v>
      </c>
      <c r="N1" s="14" t="s">
        <v>1224</v>
      </c>
      <c r="O1" s="14" t="s">
        <v>1225</v>
      </c>
    </row>
    <row r="2" spans="1:15" x14ac:dyDescent="0.2">
      <c r="A2" s="1" t="s">
        <v>1227</v>
      </c>
      <c r="B2" s="1" t="s">
        <v>1251</v>
      </c>
      <c r="C2" s="1"/>
      <c r="D2" s="1" t="s">
        <v>11</v>
      </c>
      <c r="E2" s="1" t="s">
        <v>1262</v>
      </c>
      <c r="F2" s="1" t="s">
        <v>1263</v>
      </c>
      <c r="G2" s="5"/>
      <c r="H2" s="5">
        <v>50</v>
      </c>
      <c r="I2" s="9">
        <v>5.9</v>
      </c>
      <c r="J2" s="5"/>
      <c r="K2" s="12">
        <f t="shared" ref="K2:K42" si="0">LOG(I2)</f>
        <v>0.77085201164214423</v>
      </c>
      <c r="L2" s="11">
        <f>GraphCampy!$B$10-(H2-GraphCampy!$B$6)/GraphCampy!$B$5</f>
        <v>0.65862465405684123</v>
      </c>
      <c r="M2" s="2" t="s">
        <v>1226</v>
      </c>
      <c r="N2">
        <v>1996</v>
      </c>
    </row>
    <row r="3" spans="1:15" x14ac:dyDescent="0.2">
      <c r="A3" s="1" t="s">
        <v>1227</v>
      </c>
      <c r="B3" s="1" t="s">
        <v>1251</v>
      </c>
      <c r="C3" s="1"/>
      <c r="D3" s="1" t="s">
        <v>11</v>
      </c>
      <c r="E3" s="1" t="s">
        <v>1262</v>
      </c>
      <c r="F3" s="1" t="s">
        <v>1263</v>
      </c>
      <c r="G3" s="5"/>
      <c r="H3" s="5">
        <v>50</v>
      </c>
      <c r="I3" s="9">
        <v>6.3</v>
      </c>
      <c r="J3" s="5"/>
      <c r="K3" s="12">
        <f t="shared" si="0"/>
        <v>0.79934054945358168</v>
      </c>
      <c r="L3" s="11">
        <f>GraphCampy!$B$10-(H3-GraphCampy!$B$6)/GraphCampy!$B$5</f>
        <v>0.65862465405684123</v>
      </c>
      <c r="M3" s="2" t="s">
        <v>1226</v>
      </c>
      <c r="N3">
        <v>1996</v>
      </c>
    </row>
    <row r="4" spans="1:15" x14ac:dyDescent="0.2">
      <c r="A4" s="1" t="s">
        <v>1227</v>
      </c>
      <c r="B4" s="1" t="s">
        <v>1251</v>
      </c>
      <c r="C4" s="1"/>
      <c r="D4" s="1" t="s">
        <v>11</v>
      </c>
      <c r="E4" s="1" t="s">
        <v>1262</v>
      </c>
      <c r="F4" s="1" t="s">
        <v>1263</v>
      </c>
      <c r="G4" s="5"/>
      <c r="H4" s="5">
        <v>56</v>
      </c>
      <c r="I4" s="9">
        <v>0.62</v>
      </c>
      <c r="J4" s="5"/>
      <c r="K4" s="12">
        <f t="shared" si="0"/>
        <v>-0.20760831050174613</v>
      </c>
      <c r="L4" s="11">
        <f>GraphCampy!$B$10-(H4-GraphCampy!$B$6)/GraphCampy!$B$5</f>
        <v>0.17247921233566643</v>
      </c>
      <c r="M4" s="2" t="s">
        <v>1226</v>
      </c>
      <c r="N4">
        <v>1996</v>
      </c>
    </row>
    <row r="5" spans="1:15" x14ac:dyDescent="0.2">
      <c r="A5" s="1" t="s">
        <v>1227</v>
      </c>
      <c r="B5" s="1" t="s">
        <v>1251</v>
      </c>
      <c r="C5" s="1"/>
      <c r="D5" s="1" t="s">
        <v>11</v>
      </c>
      <c r="E5" s="1" t="s">
        <v>1262</v>
      </c>
      <c r="F5" s="1" t="s">
        <v>1263</v>
      </c>
      <c r="G5" s="5"/>
      <c r="H5" s="5">
        <v>56</v>
      </c>
      <c r="I5" s="9">
        <v>0.96</v>
      </c>
      <c r="J5" s="5"/>
      <c r="K5" s="12">
        <f t="shared" si="0"/>
        <v>-1.7728766960431602E-2</v>
      </c>
      <c r="L5" s="11">
        <f>GraphCampy!$B$10-(H5-GraphCampy!$B$6)/GraphCampy!$B$5</f>
        <v>0.17247921233566643</v>
      </c>
      <c r="M5" s="2" t="s">
        <v>1226</v>
      </c>
      <c r="N5">
        <v>1996</v>
      </c>
    </row>
    <row r="6" spans="1:15" x14ac:dyDescent="0.2">
      <c r="A6" s="1" t="s">
        <v>299</v>
      </c>
      <c r="B6" s="1" t="s">
        <v>300</v>
      </c>
      <c r="D6" s="1" t="s">
        <v>11</v>
      </c>
      <c r="E6" s="1" t="s">
        <v>1262</v>
      </c>
      <c r="H6" s="4">
        <v>50</v>
      </c>
      <c r="I6" s="11">
        <v>5.9</v>
      </c>
      <c r="K6" s="11">
        <f t="shared" si="0"/>
        <v>0.77085201164214423</v>
      </c>
      <c r="L6" s="11">
        <f>GraphCampy!$B$10-(H6-GraphCampy!$B$6)/GraphCampy!$B$5</f>
        <v>0.65862465405684123</v>
      </c>
      <c r="M6" s="1" t="s">
        <v>294</v>
      </c>
      <c r="N6">
        <v>2000</v>
      </c>
    </row>
    <row r="7" spans="1:15" x14ac:dyDescent="0.2">
      <c r="A7" s="1" t="s">
        <v>299</v>
      </c>
      <c r="B7" s="1" t="s">
        <v>300</v>
      </c>
      <c r="D7" s="1" t="s">
        <v>11</v>
      </c>
      <c r="E7" s="1" t="s">
        <v>1262</v>
      </c>
      <c r="H7" s="4">
        <v>50</v>
      </c>
      <c r="I7" s="11">
        <v>6.3</v>
      </c>
      <c r="K7" s="11">
        <f t="shared" si="0"/>
        <v>0.79934054945358168</v>
      </c>
      <c r="L7" s="11">
        <f>GraphCampy!$B$10-(H7-GraphCampy!$B$6)/GraphCampy!$B$5</f>
        <v>0.65862465405684123</v>
      </c>
      <c r="M7" s="1" t="s">
        <v>294</v>
      </c>
      <c r="N7">
        <v>2000</v>
      </c>
    </row>
    <row r="8" spans="1:15" x14ac:dyDescent="0.2">
      <c r="A8" s="1" t="s">
        <v>299</v>
      </c>
      <c r="B8" s="1" t="s">
        <v>300</v>
      </c>
      <c r="D8" s="1" t="s">
        <v>44</v>
      </c>
      <c r="E8" s="1" t="s">
        <v>164</v>
      </c>
      <c r="G8" s="4">
        <v>7</v>
      </c>
      <c r="H8" s="4">
        <v>50</v>
      </c>
      <c r="I8" s="11">
        <v>0.88</v>
      </c>
      <c r="K8" s="11">
        <f t="shared" si="0"/>
        <v>-5.551732784983137E-2</v>
      </c>
      <c r="L8" s="11">
        <f>GraphCampy!$B$10-(H8-GraphCampy!$B$6)/GraphCampy!$B$5</f>
        <v>0.65862465405684123</v>
      </c>
      <c r="M8" s="1" t="s">
        <v>294</v>
      </c>
      <c r="N8">
        <v>2000</v>
      </c>
    </row>
    <row r="9" spans="1:15" x14ac:dyDescent="0.2">
      <c r="A9" s="1" t="s">
        <v>299</v>
      </c>
      <c r="B9" s="1" t="s">
        <v>300</v>
      </c>
      <c r="D9" s="1" t="s">
        <v>44</v>
      </c>
      <c r="E9" s="1" t="s">
        <v>164</v>
      </c>
      <c r="G9" s="4">
        <v>7</v>
      </c>
      <c r="H9" s="4">
        <v>50</v>
      </c>
      <c r="I9" s="11">
        <v>1.63</v>
      </c>
      <c r="K9" s="11">
        <f t="shared" si="0"/>
        <v>0.21218760440395779</v>
      </c>
      <c r="L9" s="11">
        <f>GraphCampy!$B$10-(H9-GraphCampy!$B$6)/GraphCampy!$B$5</f>
        <v>0.65862465405684123</v>
      </c>
      <c r="M9" s="1" t="s">
        <v>294</v>
      </c>
      <c r="N9">
        <v>2000</v>
      </c>
    </row>
    <row r="10" spans="1:15" x14ac:dyDescent="0.2">
      <c r="A10" s="1" t="s">
        <v>1227</v>
      </c>
      <c r="B10" s="1" t="s">
        <v>1251</v>
      </c>
      <c r="C10" s="1"/>
      <c r="D10" s="1" t="s">
        <v>11</v>
      </c>
      <c r="E10" s="2" t="s">
        <v>1267</v>
      </c>
      <c r="F10" s="1" t="s">
        <v>1266</v>
      </c>
      <c r="G10" s="5"/>
      <c r="H10" s="5">
        <v>55</v>
      </c>
      <c r="I10" s="9">
        <v>2.12</v>
      </c>
      <c r="J10" s="7"/>
      <c r="K10" s="12">
        <f t="shared" si="0"/>
        <v>0.32633586092875144</v>
      </c>
      <c r="L10" s="11">
        <f>GraphCampy!$B$10-(H10-GraphCampy!$B$6)/GraphCampy!$B$5</f>
        <v>0.25350345262252882</v>
      </c>
      <c r="M10" s="2" t="s">
        <v>1226</v>
      </c>
      <c r="N10">
        <v>1996</v>
      </c>
    </row>
    <row r="11" spans="1:15" x14ac:dyDescent="0.2">
      <c r="A11" s="1" t="s">
        <v>1227</v>
      </c>
      <c r="B11" s="1" t="s">
        <v>1251</v>
      </c>
      <c r="C11" s="1"/>
      <c r="D11" s="1" t="s">
        <v>11</v>
      </c>
      <c r="E11" s="2" t="s">
        <v>1267</v>
      </c>
      <c r="F11" s="1" t="s">
        <v>1266</v>
      </c>
      <c r="G11" s="5"/>
      <c r="H11" s="5">
        <v>55</v>
      </c>
      <c r="I11" s="9">
        <v>2.25</v>
      </c>
      <c r="J11" s="7"/>
      <c r="K11" s="12">
        <f t="shared" si="0"/>
        <v>0.35218251811136247</v>
      </c>
      <c r="L11" s="11">
        <f>GraphCampy!$B$10-(H11-GraphCampy!$B$6)/GraphCampy!$B$5</f>
        <v>0.25350345262252882</v>
      </c>
      <c r="M11" s="2" t="s">
        <v>1226</v>
      </c>
      <c r="N11">
        <v>1996</v>
      </c>
    </row>
    <row r="12" spans="1:15" x14ac:dyDescent="0.2">
      <c r="A12" s="1" t="s">
        <v>1227</v>
      </c>
      <c r="B12" s="1" t="s">
        <v>1251</v>
      </c>
      <c r="C12" s="1"/>
      <c r="D12" s="1" t="s">
        <v>11</v>
      </c>
      <c r="E12" s="2" t="s">
        <v>1267</v>
      </c>
      <c r="F12" s="1" t="s">
        <v>1266</v>
      </c>
      <c r="G12" s="5"/>
      <c r="H12" s="5">
        <v>57</v>
      </c>
      <c r="I12" s="9">
        <v>0.79</v>
      </c>
      <c r="J12" s="7"/>
      <c r="K12" s="12">
        <f t="shared" si="0"/>
        <v>-0.10237290870955855</v>
      </c>
      <c r="L12" s="11">
        <f>GraphCampy!$B$10-(H12-GraphCampy!$B$6)/GraphCampy!$B$5</f>
        <v>9.1454972048803818E-2</v>
      </c>
      <c r="M12" s="2" t="s">
        <v>1226</v>
      </c>
      <c r="N12">
        <v>1996</v>
      </c>
    </row>
    <row r="13" spans="1:15" x14ac:dyDescent="0.2">
      <c r="A13" s="1" t="s">
        <v>1227</v>
      </c>
      <c r="B13" s="1" t="s">
        <v>1251</v>
      </c>
      <c r="C13" s="1"/>
      <c r="D13" s="1" t="s">
        <v>11</v>
      </c>
      <c r="E13" s="2" t="s">
        <v>1267</v>
      </c>
      <c r="F13" s="1" t="s">
        <v>1266</v>
      </c>
      <c r="G13" s="5"/>
      <c r="H13" s="5">
        <v>57</v>
      </c>
      <c r="I13" s="9">
        <v>0.98</v>
      </c>
      <c r="J13" s="7"/>
      <c r="K13" s="12">
        <f t="shared" si="0"/>
        <v>-8.7739243075051505E-3</v>
      </c>
      <c r="L13" s="11">
        <f>GraphCampy!$B$10-(H13-GraphCampy!$B$6)/GraphCampy!$B$5</f>
        <v>9.1454972048803818E-2</v>
      </c>
      <c r="M13" s="2" t="s">
        <v>1226</v>
      </c>
      <c r="N13">
        <v>1996</v>
      </c>
    </row>
    <row r="14" spans="1:15" x14ac:dyDescent="0.2">
      <c r="A14" s="1" t="s">
        <v>1227</v>
      </c>
      <c r="B14" s="1" t="s">
        <v>300</v>
      </c>
      <c r="C14" s="1"/>
      <c r="D14" s="1" t="s">
        <v>11</v>
      </c>
      <c r="E14" s="1" t="s">
        <v>1267</v>
      </c>
      <c r="F14" s="1" t="s">
        <v>571</v>
      </c>
      <c r="G14" s="5"/>
      <c r="H14" s="5">
        <v>50</v>
      </c>
      <c r="I14" s="9">
        <v>2.1</v>
      </c>
      <c r="J14" s="7"/>
      <c r="K14" s="12">
        <f t="shared" si="0"/>
        <v>0.3222192947339193</v>
      </c>
      <c r="L14" s="11">
        <f>GraphCampy!$B$10-(H14-GraphCampy!$B$6)/GraphCampy!$B$5</f>
        <v>0.65862465405684123</v>
      </c>
      <c r="M14" s="1" t="s">
        <v>629</v>
      </c>
      <c r="N14">
        <v>2001</v>
      </c>
      <c r="O14" t="s">
        <v>636</v>
      </c>
    </row>
    <row r="15" spans="1:15" x14ac:dyDescent="0.2">
      <c r="A15" s="1" t="s">
        <v>1227</v>
      </c>
      <c r="B15" s="1" t="s">
        <v>300</v>
      </c>
      <c r="C15" s="1"/>
      <c r="D15" s="1" t="s">
        <v>11</v>
      </c>
      <c r="E15" s="1" t="s">
        <v>1267</v>
      </c>
      <c r="F15" s="1" t="s">
        <v>571</v>
      </c>
      <c r="G15" s="5"/>
      <c r="H15" s="5">
        <v>55</v>
      </c>
      <c r="I15" s="9">
        <v>2.2000000000000002</v>
      </c>
      <c r="J15" s="7"/>
      <c r="K15" s="12">
        <f t="shared" si="0"/>
        <v>0.34242268082220628</v>
      </c>
      <c r="L15" s="11">
        <f>GraphCampy!$B$10-(H15-GraphCampy!$B$6)/GraphCampy!$B$5</f>
        <v>0.25350345262252882</v>
      </c>
      <c r="M15" s="1" t="s">
        <v>629</v>
      </c>
      <c r="N15">
        <v>2001</v>
      </c>
      <c r="O15" t="s">
        <v>636</v>
      </c>
    </row>
    <row r="16" spans="1:15" x14ac:dyDescent="0.2">
      <c r="A16" s="1" t="s">
        <v>1227</v>
      </c>
      <c r="B16" s="1" t="s">
        <v>300</v>
      </c>
      <c r="C16" s="1"/>
      <c r="D16" s="1" t="s">
        <v>11</v>
      </c>
      <c r="E16" s="1" t="s">
        <v>1267</v>
      </c>
      <c r="F16" s="1" t="s">
        <v>571</v>
      </c>
      <c r="G16" s="5"/>
      <c r="H16" s="5">
        <v>55</v>
      </c>
      <c r="I16" s="9">
        <v>19.399999999999999</v>
      </c>
      <c r="J16" s="7"/>
      <c r="K16" s="12">
        <f t="shared" si="0"/>
        <v>1.287801729930226</v>
      </c>
      <c r="L16" s="11">
        <f>GraphCampy!$B$10-(H16-GraphCampy!$B$6)/GraphCampy!$B$5</f>
        <v>0.25350345262252882</v>
      </c>
      <c r="M16" s="1" t="s">
        <v>629</v>
      </c>
      <c r="N16">
        <v>2001</v>
      </c>
      <c r="O16" t="s">
        <v>637</v>
      </c>
    </row>
    <row r="17" spans="1:15" x14ac:dyDescent="0.2">
      <c r="A17" s="1" t="s">
        <v>1227</v>
      </c>
      <c r="B17" s="1" t="s">
        <v>300</v>
      </c>
      <c r="C17" s="1"/>
      <c r="D17" s="1" t="s">
        <v>11</v>
      </c>
      <c r="E17" s="1" t="s">
        <v>1267</v>
      </c>
      <c r="F17" s="1" t="s">
        <v>571</v>
      </c>
      <c r="G17" s="5"/>
      <c r="H17" s="5">
        <v>60</v>
      </c>
      <c r="I17" s="9">
        <v>0.5</v>
      </c>
      <c r="J17" s="7"/>
      <c r="K17" s="12">
        <f t="shared" si="0"/>
        <v>-0.3010299956639812</v>
      </c>
      <c r="L17" s="11">
        <f>GraphCampy!$B$10-(H17-GraphCampy!$B$6)/GraphCampy!$B$5</f>
        <v>-0.15161774881178358</v>
      </c>
      <c r="M17" s="1" t="s">
        <v>629</v>
      </c>
      <c r="N17">
        <v>2001</v>
      </c>
      <c r="O17" t="s">
        <v>636</v>
      </c>
    </row>
    <row r="18" spans="1:15" x14ac:dyDescent="0.2">
      <c r="A18" s="1" t="s">
        <v>1227</v>
      </c>
      <c r="B18" s="1" t="s">
        <v>300</v>
      </c>
      <c r="C18" s="1"/>
      <c r="D18" s="1" t="s">
        <v>11</v>
      </c>
      <c r="E18" s="1" t="s">
        <v>1267</v>
      </c>
      <c r="F18" s="1" t="s">
        <v>571</v>
      </c>
      <c r="G18" s="5"/>
      <c r="H18" s="5">
        <v>60</v>
      </c>
      <c r="I18" s="9">
        <v>18.3</v>
      </c>
      <c r="J18" s="7"/>
      <c r="K18" s="12">
        <f t="shared" si="0"/>
        <v>1.2624510897304295</v>
      </c>
      <c r="L18" s="11">
        <f>GraphCampy!$B$10-(H18-GraphCampy!$B$6)/GraphCampy!$B$5</f>
        <v>-0.15161774881178358</v>
      </c>
      <c r="M18" s="1" t="s">
        <v>629</v>
      </c>
      <c r="N18">
        <v>2001</v>
      </c>
      <c r="O18" t="s">
        <v>637</v>
      </c>
    </row>
    <row r="19" spans="1:15" x14ac:dyDescent="0.2">
      <c r="A19" s="1" t="s">
        <v>1227</v>
      </c>
      <c r="B19" s="1" t="s">
        <v>300</v>
      </c>
      <c r="C19" s="1"/>
      <c r="D19" s="1" t="s">
        <v>11</v>
      </c>
      <c r="E19" s="1" t="s">
        <v>1267</v>
      </c>
      <c r="F19" s="1" t="s">
        <v>571</v>
      </c>
      <c r="G19" s="5"/>
      <c r="H19" s="5">
        <v>50</v>
      </c>
      <c r="I19" s="9">
        <v>1.4</v>
      </c>
      <c r="J19" s="7"/>
      <c r="K19" s="12">
        <f t="shared" si="0"/>
        <v>0.14612803567823801</v>
      </c>
      <c r="L19" s="11">
        <f>GraphCampy!$B$10-(H19-GraphCampy!$B$6)/GraphCampy!$B$5</f>
        <v>0.65862465405684123</v>
      </c>
      <c r="M19" s="1" t="s">
        <v>629</v>
      </c>
      <c r="N19">
        <v>2001</v>
      </c>
      <c r="O19" t="s">
        <v>636</v>
      </c>
    </row>
    <row r="20" spans="1:15" x14ac:dyDescent="0.2">
      <c r="A20" s="1" t="s">
        <v>1227</v>
      </c>
      <c r="B20" s="1" t="s">
        <v>300</v>
      </c>
      <c r="C20" s="1"/>
      <c r="D20" s="1" t="s">
        <v>11</v>
      </c>
      <c r="E20" s="1" t="s">
        <v>1267</v>
      </c>
      <c r="F20" s="1" t="s">
        <v>571</v>
      </c>
      <c r="G20" s="5"/>
      <c r="H20" s="5">
        <v>50</v>
      </c>
      <c r="I20" s="9">
        <v>38</v>
      </c>
      <c r="J20" s="7"/>
      <c r="K20" s="12">
        <f t="shared" si="0"/>
        <v>1.5797835966168101</v>
      </c>
      <c r="L20" s="11">
        <f>GraphCampy!$B$10-(H20-GraphCampy!$B$6)/GraphCampy!$B$5</f>
        <v>0.65862465405684123</v>
      </c>
      <c r="M20" s="1" t="s">
        <v>629</v>
      </c>
      <c r="N20">
        <v>2001</v>
      </c>
      <c r="O20" t="s">
        <v>637</v>
      </c>
    </row>
    <row r="21" spans="1:15" x14ac:dyDescent="0.2">
      <c r="A21" s="1" t="s">
        <v>1227</v>
      </c>
      <c r="B21" s="1" t="s">
        <v>300</v>
      </c>
      <c r="C21" s="1"/>
      <c r="D21" s="1" t="s">
        <v>11</v>
      </c>
      <c r="E21" s="1" t="s">
        <v>1267</v>
      </c>
      <c r="F21" s="1" t="s">
        <v>571</v>
      </c>
      <c r="G21" s="5"/>
      <c r="H21" s="5">
        <v>55</v>
      </c>
      <c r="I21" s="9">
        <v>1.5</v>
      </c>
      <c r="J21" s="7"/>
      <c r="K21" s="12">
        <f t="shared" si="0"/>
        <v>0.17609125905568124</v>
      </c>
      <c r="L21" s="11">
        <f>GraphCampy!$B$10-(H21-GraphCampy!$B$6)/GraphCampy!$B$5</f>
        <v>0.25350345262252882</v>
      </c>
      <c r="M21" s="1" t="s">
        <v>629</v>
      </c>
      <c r="N21">
        <v>2001</v>
      </c>
      <c r="O21" t="s">
        <v>636</v>
      </c>
    </row>
    <row r="22" spans="1:15" x14ac:dyDescent="0.2">
      <c r="A22" s="1" t="s">
        <v>1227</v>
      </c>
      <c r="B22" s="1" t="s">
        <v>300</v>
      </c>
      <c r="C22" s="1"/>
      <c r="D22" s="1" t="s">
        <v>11</v>
      </c>
      <c r="E22" s="1" t="s">
        <v>1267</v>
      </c>
      <c r="F22" s="1" t="s">
        <v>571</v>
      </c>
      <c r="G22" s="5"/>
      <c r="H22" s="5">
        <v>55</v>
      </c>
      <c r="I22" s="9">
        <v>10.199999999999999</v>
      </c>
      <c r="J22" s="7"/>
      <c r="K22" s="12">
        <f t="shared" si="0"/>
        <v>1.0086001717619175</v>
      </c>
      <c r="L22" s="11">
        <f>GraphCampy!$B$10-(H22-GraphCampy!$B$6)/GraphCampy!$B$5</f>
        <v>0.25350345262252882</v>
      </c>
      <c r="M22" s="1" t="s">
        <v>629</v>
      </c>
      <c r="N22">
        <v>2001</v>
      </c>
      <c r="O22" t="s">
        <v>637</v>
      </c>
    </row>
    <row r="23" spans="1:15" x14ac:dyDescent="0.2">
      <c r="A23" s="1" t="s">
        <v>1227</v>
      </c>
      <c r="B23" s="1" t="s">
        <v>300</v>
      </c>
      <c r="C23" s="1"/>
      <c r="D23" s="1" t="s">
        <v>11</v>
      </c>
      <c r="E23" s="1" t="s">
        <v>1267</v>
      </c>
      <c r="F23" s="1" t="s">
        <v>571</v>
      </c>
      <c r="G23" s="5"/>
      <c r="H23" s="5">
        <v>60</v>
      </c>
      <c r="I23" s="9">
        <v>0.5</v>
      </c>
      <c r="J23" s="7"/>
      <c r="K23" s="12">
        <f t="shared" si="0"/>
        <v>-0.3010299956639812</v>
      </c>
      <c r="L23" s="11">
        <f>GraphCampy!$B$10-(H23-GraphCampy!$B$6)/GraphCampy!$B$5</f>
        <v>-0.15161774881178358</v>
      </c>
      <c r="M23" s="1" t="s">
        <v>629</v>
      </c>
      <c r="N23">
        <v>2001</v>
      </c>
      <c r="O23" t="s">
        <v>636</v>
      </c>
    </row>
    <row r="24" spans="1:15" x14ac:dyDescent="0.2">
      <c r="A24" s="1" t="s">
        <v>1227</v>
      </c>
      <c r="B24" s="2" t="s">
        <v>1233</v>
      </c>
      <c r="C24" s="2"/>
      <c r="D24" s="1" t="s">
        <v>11</v>
      </c>
      <c r="E24" s="2" t="s">
        <v>1264</v>
      </c>
      <c r="F24" s="1" t="s">
        <v>1265</v>
      </c>
      <c r="G24" s="5"/>
      <c r="H24" s="5">
        <v>50</v>
      </c>
      <c r="I24" s="9">
        <v>5.9</v>
      </c>
      <c r="J24" s="7"/>
      <c r="K24" s="12">
        <f t="shared" si="0"/>
        <v>0.77085201164214423</v>
      </c>
      <c r="L24" s="11">
        <f>GraphCampy!$B$10-(H24-GraphCampy!$B$6)/GraphCampy!$B$5</f>
        <v>0.65862465405684123</v>
      </c>
      <c r="M24" s="2" t="s">
        <v>1226</v>
      </c>
      <c r="N24">
        <v>1996</v>
      </c>
    </row>
    <row r="25" spans="1:15" x14ac:dyDescent="0.2">
      <c r="A25" s="1" t="s">
        <v>1227</v>
      </c>
      <c r="B25" s="2" t="s">
        <v>1233</v>
      </c>
      <c r="C25" s="2"/>
      <c r="D25" s="1" t="s">
        <v>11</v>
      </c>
      <c r="E25" s="2" t="s">
        <v>1264</v>
      </c>
      <c r="F25" s="1" t="s">
        <v>1265</v>
      </c>
      <c r="G25" s="5"/>
      <c r="H25" s="5">
        <v>50</v>
      </c>
      <c r="I25" s="9">
        <v>13.3</v>
      </c>
      <c r="J25" s="7"/>
      <c r="K25" s="12">
        <f t="shared" si="0"/>
        <v>1.1238516409670858</v>
      </c>
      <c r="L25" s="11">
        <f>GraphCampy!$B$10-(H25-GraphCampy!$B$6)/GraphCampy!$B$5</f>
        <v>0.65862465405684123</v>
      </c>
      <c r="M25" s="2" t="s">
        <v>1226</v>
      </c>
      <c r="N25">
        <v>1996</v>
      </c>
    </row>
    <row r="26" spans="1:15" x14ac:dyDescent="0.2">
      <c r="A26" s="1" t="s">
        <v>1227</v>
      </c>
      <c r="B26" s="1" t="s">
        <v>1251</v>
      </c>
      <c r="C26" s="1"/>
      <c r="D26" s="1" t="s">
        <v>11</v>
      </c>
      <c r="E26" s="2" t="s">
        <v>1264</v>
      </c>
      <c r="F26" s="1" t="s">
        <v>1265</v>
      </c>
      <c r="G26" s="5"/>
      <c r="H26" s="5">
        <v>55</v>
      </c>
      <c r="I26" s="9">
        <v>0.96</v>
      </c>
      <c r="J26" s="7"/>
      <c r="K26" s="12">
        <f t="shared" si="0"/>
        <v>-1.7728766960431602E-2</v>
      </c>
      <c r="L26" s="11">
        <f>GraphCampy!$B$10-(H26-GraphCampy!$B$6)/GraphCampy!$B$5</f>
        <v>0.25350345262252882</v>
      </c>
      <c r="M26" s="2" t="s">
        <v>1226</v>
      </c>
      <c r="N26">
        <v>1996</v>
      </c>
    </row>
    <row r="27" spans="1:15" x14ac:dyDescent="0.2">
      <c r="A27" s="1" t="s">
        <v>1227</v>
      </c>
      <c r="B27" s="1" t="s">
        <v>1251</v>
      </c>
      <c r="C27" s="1"/>
      <c r="D27" s="1" t="s">
        <v>11</v>
      </c>
      <c r="E27" s="2" t="s">
        <v>1264</v>
      </c>
      <c r="F27" s="1" t="s">
        <v>1265</v>
      </c>
      <c r="G27" s="5"/>
      <c r="H27" s="5">
        <v>55</v>
      </c>
      <c r="I27" s="9">
        <v>1.26</v>
      </c>
      <c r="J27" s="7"/>
      <c r="K27" s="12">
        <f t="shared" si="0"/>
        <v>0.10037054511756291</v>
      </c>
      <c r="L27" s="11">
        <f>GraphCampy!$B$10-(H27-GraphCampy!$B$6)/GraphCampy!$B$5</f>
        <v>0.25350345262252882</v>
      </c>
      <c r="M27" s="2" t="s">
        <v>1226</v>
      </c>
      <c r="N27">
        <v>1996</v>
      </c>
    </row>
    <row r="28" spans="1:15" x14ac:dyDescent="0.2">
      <c r="A28" s="1" t="s">
        <v>1227</v>
      </c>
      <c r="B28" s="1" t="s">
        <v>1251</v>
      </c>
      <c r="C28" s="1"/>
      <c r="D28" s="1" t="s">
        <v>11</v>
      </c>
      <c r="E28" s="2" t="s">
        <v>1264</v>
      </c>
      <c r="F28" s="1" t="s">
        <v>1265</v>
      </c>
      <c r="G28" s="5"/>
      <c r="H28" s="5">
        <v>60</v>
      </c>
      <c r="I28" s="9">
        <v>0.21</v>
      </c>
      <c r="J28" s="7"/>
      <c r="K28" s="12">
        <f t="shared" si="0"/>
        <v>-0.6777807052660807</v>
      </c>
      <c r="L28" s="11">
        <f>GraphCampy!$B$10-(H28-GraphCampy!$B$6)/GraphCampy!$B$5</f>
        <v>-0.15161774881178358</v>
      </c>
      <c r="M28" s="2" t="s">
        <v>1226</v>
      </c>
      <c r="N28">
        <v>1996</v>
      </c>
    </row>
    <row r="29" spans="1:15" x14ac:dyDescent="0.2">
      <c r="A29" s="1" t="s">
        <v>1227</v>
      </c>
      <c r="B29" s="1" t="s">
        <v>1251</v>
      </c>
      <c r="C29" s="1"/>
      <c r="D29" s="1" t="s">
        <v>11</v>
      </c>
      <c r="E29" s="2" t="s">
        <v>1264</v>
      </c>
      <c r="F29" s="1" t="s">
        <v>1265</v>
      </c>
      <c r="G29" s="5"/>
      <c r="H29" s="5">
        <v>60</v>
      </c>
      <c r="I29" s="9">
        <v>0.26</v>
      </c>
      <c r="J29" s="7"/>
      <c r="K29" s="12">
        <f t="shared" si="0"/>
        <v>-0.58502665202918203</v>
      </c>
      <c r="L29" s="11">
        <f>GraphCampy!$B$10-(H29-GraphCampy!$B$6)/GraphCampy!$B$5</f>
        <v>-0.15161774881178358</v>
      </c>
      <c r="M29" s="2" t="s">
        <v>1226</v>
      </c>
      <c r="N29">
        <v>1996</v>
      </c>
    </row>
    <row r="30" spans="1:15" x14ac:dyDescent="0.2">
      <c r="A30" s="1" t="s">
        <v>1227</v>
      </c>
      <c r="B30" s="1" t="s">
        <v>1251</v>
      </c>
      <c r="C30" s="1"/>
      <c r="D30" s="1" t="s">
        <v>42</v>
      </c>
      <c r="E30" s="1" t="s">
        <v>1240</v>
      </c>
      <c r="F30" s="1" t="s">
        <v>1261</v>
      </c>
      <c r="G30" s="5">
        <v>6.8</v>
      </c>
      <c r="H30" s="5">
        <v>50</v>
      </c>
      <c r="I30" s="9">
        <v>3.5</v>
      </c>
      <c r="J30" s="5"/>
      <c r="K30" s="12">
        <f t="shared" si="0"/>
        <v>0.54406804435027567</v>
      </c>
      <c r="L30" s="11">
        <f>GraphCampy!$B$10-(H30-GraphCampy!$B$6)/GraphCampy!$B$5</f>
        <v>0.65862465405684123</v>
      </c>
      <c r="M30" s="2" t="s">
        <v>1226</v>
      </c>
      <c r="N30">
        <v>1996</v>
      </c>
    </row>
    <row r="31" spans="1:15" x14ac:dyDescent="0.2">
      <c r="A31" s="1" t="s">
        <v>1227</v>
      </c>
      <c r="B31" s="1" t="s">
        <v>1251</v>
      </c>
      <c r="C31" s="1"/>
      <c r="D31" s="1" t="s">
        <v>42</v>
      </c>
      <c r="E31" s="1" t="s">
        <v>1240</v>
      </c>
      <c r="F31" s="1" t="s">
        <v>1261</v>
      </c>
      <c r="G31" s="5">
        <v>6.8</v>
      </c>
      <c r="H31" s="5">
        <v>50</v>
      </c>
      <c r="I31" s="9">
        <v>5.4</v>
      </c>
      <c r="J31" s="5"/>
      <c r="K31" s="12">
        <f t="shared" si="0"/>
        <v>0.7323937598229685</v>
      </c>
      <c r="L31" s="11">
        <f>GraphCampy!$B$10-(H31-GraphCampy!$B$6)/GraphCampy!$B$5</f>
        <v>0.65862465405684123</v>
      </c>
      <c r="M31" s="2" t="s">
        <v>1226</v>
      </c>
      <c r="N31">
        <v>1996</v>
      </c>
    </row>
    <row r="32" spans="1:15" x14ac:dyDescent="0.2">
      <c r="A32" s="1" t="s">
        <v>1227</v>
      </c>
      <c r="B32" s="1" t="s">
        <v>1251</v>
      </c>
      <c r="C32" s="1"/>
      <c r="D32" s="1" t="s">
        <v>42</v>
      </c>
      <c r="E32" s="1" t="s">
        <v>1240</v>
      </c>
      <c r="F32" s="1" t="s">
        <v>1261</v>
      </c>
      <c r="G32" s="5"/>
      <c r="H32" s="5">
        <v>50</v>
      </c>
      <c r="I32" s="9">
        <v>1.3</v>
      </c>
      <c r="J32" s="5"/>
      <c r="K32" s="12">
        <f t="shared" si="0"/>
        <v>0.11394335230683679</v>
      </c>
      <c r="L32" s="11">
        <f>GraphCampy!$B$10-(H32-GraphCampy!$B$6)/GraphCampy!$B$5</f>
        <v>0.65862465405684123</v>
      </c>
      <c r="M32" s="2" t="s">
        <v>1226</v>
      </c>
      <c r="N32">
        <v>1996</v>
      </c>
    </row>
    <row r="33" spans="1:15" x14ac:dyDescent="0.2">
      <c r="A33" s="1" t="s">
        <v>1227</v>
      </c>
      <c r="B33" s="1" t="s">
        <v>1251</v>
      </c>
      <c r="C33" s="1"/>
      <c r="D33" s="1" t="s">
        <v>42</v>
      </c>
      <c r="E33" s="1" t="s">
        <v>1240</v>
      </c>
      <c r="F33" s="1" t="s">
        <v>1261</v>
      </c>
      <c r="G33" s="5"/>
      <c r="H33" s="5">
        <v>50</v>
      </c>
      <c r="I33" s="9">
        <v>4.5</v>
      </c>
      <c r="J33" s="5"/>
      <c r="K33" s="12">
        <f t="shared" si="0"/>
        <v>0.65321251377534373</v>
      </c>
      <c r="L33" s="11">
        <f>GraphCampy!$B$10-(H33-GraphCampy!$B$6)/GraphCampy!$B$5</f>
        <v>0.65862465405684123</v>
      </c>
      <c r="M33" s="2" t="s">
        <v>1226</v>
      </c>
      <c r="N33">
        <v>1996</v>
      </c>
    </row>
    <row r="34" spans="1:15" x14ac:dyDescent="0.2">
      <c r="A34" s="1" t="s">
        <v>1227</v>
      </c>
      <c r="B34" s="1" t="s">
        <v>1251</v>
      </c>
      <c r="C34" s="1"/>
      <c r="D34" s="1" t="s">
        <v>42</v>
      </c>
      <c r="E34" s="1" t="s">
        <v>1240</v>
      </c>
      <c r="F34" s="1" t="s">
        <v>1261</v>
      </c>
      <c r="G34" s="5">
        <v>6.8</v>
      </c>
      <c r="H34" s="5">
        <v>55</v>
      </c>
      <c r="I34" s="9">
        <v>0.74</v>
      </c>
      <c r="J34" s="5"/>
      <c r="K34" s="12">
        <f t="shared" si="0"/>
        <v>-0.13076828026902382</v>
      </c>
      <c r="L34" s="11">
        <f>GraphCampy!$B$10-(H34-GraphCampy!$B$6)/GraphCampy!$B$5</f>
        <v>0.25350345262252882</v>
      </c>
      <c r="M34" s="2" t="s">
        <v>1226</v>
      </c>
      <c r="N34">
        <v>1996</v>
      </c>
    </row>
    <row r="35" spans="1:15" x14ac:dyDescent="0.2">
      <c r="A35" s="1" t="s">
        <v>1227</v>
      </c>
      <c r="B35" s="1" t="s">
        <v>1251</v>
      </c>
      <c r="C35" s="1"/>
      <c r="D35" s="1" t="s">
        <v>42</v>
      </c>
      <c r="E35" s="1" t="s">
        <v>1240</v>
      </c>
      <c r="F35" s="1" t="s">
        <v>1261</v>
      </c>
      <c r="G35" s="5">
        <v>6.8</v>
      </c>
      <c r="H35" s="5">
        <v>55</v>
      </c>
      <c r="I35" s="9">
        <v>1</v>
      </c>
      <c r="J35" s="5"/>
      <c r="K35" s="12">
        <f t="shared" si="0"/>
        <v>0</v>
      </c>
      <c r="L35" s="11">
        <f>GraphCampy!$B$10-(H35-GraphCampy!$B$6)/GraphCampy!$B$5</f>
        <v>0.25350345262252882</v>
      </c>
      <c r="M35" s="2" t="s">
        <v>1226</v>
      </c>
      <c r="N35">
        <v>1996</v>
      </c>
    </row>
    <row r="36" spans="1:15" x14ac:dyDescent="0.2">
      <c r="A36" s="1" t="s">
        <v>1227</v>
      </c>
      <c r="B36" s="1" t="s">
        <v>300</v>
      </c>
      <c r="C36" s="1"/>
      <c r="D36" s="1"/>
      <c r="E36" s="1" t="s">
        <v>293</v>
      </c>
      <c r="F36" s="1"/>
      <c r="G36" s="5"/>
      <c r="H36" s="5">
        <v>60</v>
      </c>
      <c r="I36" s="9">
        <v>1.1000000000000001</v>
      </c>
      <c r="J36" s="5"/>
      <c r="K36" s="12">
        <f t="shared" si="0"/>
        <v>4.1392685158225077E-2</v>
      </c>
      <c r="L36" s="11">
        <f>GraphCampy!$B$10-(H36-GraphCampy!$B$6)/GraphCampy!$B$5</f>
        <v>-0.15161774881178358</v>
      </c>
      <c r="M36" s="1" t="s">
        <v>308</v>
      </c>
      <c r="N36">
        <v>2000</v>
      </c>
    </row>
    <row r="37" spans="1:15" x14ac:dyDescent="0.2">
      <c r="A37" s="1" t="s">
        <v>1227</v>
      </c>
      <c r="B37" s="1" t="s">
        <v>1251</v>
      </c>
      <c r="C37" s="1"/>
      <c r="D37" s="1" t="s">
        <v>45</v>
      </c>
      <c r="E37" s="1" t="s">
        <v>1239</v>
      </c>
      <c r="F37" s="1" t="s">
        <v>1260</v>
      </c>
      <c r="G37" s="5">
        <v>4</v>
      </c>
      <c r="H37" s="5">
        <v>52</v>
      </c>
      <c r="I37" s="9">
        <v>0.4</v>
      </c>
      <c r="J37" s="5"/>
      <c r="K37" s="12">
        <f>LOG(I37)</f>
        <v>-0.3979400086720376</v>
      </c>
      <c r="L37" s="11">
        <f>GraphCampy!$B$10-(H37-GraphCampy!$B$6)/GraphCampy!$B$5</f>
        <v>0.49657617348311645</v>
      </c>
      <c r="M37" s="2" t="s">
        <v>1226</v>
      </c>
      <c r="N37">
        <v>1996</v>
      </c>
      <c r="O37" t="s">
        <v>1342</v>
      </c>
    </row>
    <row r="38" spans="1:15" x14ac:dyDescent="0.2">
      <c r="A38" s="1" t="s">
        <v>1227</v>
      </c>
      <c r="B38" s="1" t="s">
        <v>1251</v>
      </c>
      <c r="C38" s="1"/>
      <c r="D38" s="1" t="s">
        <v>45</v>
      </c>
      <c r="E38" s="1" t="s">
        <v>1239</v>
      </c>
      <c r="F38" s="1" t="s">
        <v>1260</v>
      </c>
      <c r="G38" s="5">
        <v>6</v>
      </c>
      <c r="H38" s="5">
        <v>52</v>
      </c>
      <c r="I38" s="9">
        <v>8.7200000000000006</v>
      </c>
      <c r="J38" s="5"/>
      <c r="K38" s="12">
        <f t="shared" si="0"/>
        <v>0.94051648493256723</v>
      </c>
      <c r="L38" s="11">
        <f>GraphCampy!$B$10-(H38-GraphCampy!$B$6)/GraphCampy!$B$5</f>
        <v>0.49657617348311645</v>
      </c>
      <c r="M38" s="2" t="s">
        <v>1226</v>
      </c>
      <c r="N38">
        <v>1996</v>
      </c>
      <c r="O38" t="s">
        <v>1342</v>
      </c>
    </row>
    <row r="39" spans="1:15" x14ac:dyDescent="0.2">
      <c r="A39" s="1" t="s">
        <v>1227</v>
      </c>
      <c r="B39" s="1" t="s">
        <v>1251</v>
      </c>
      <c r="C39" s="1"/>
      <c r="D39" s="1" t="s">
        <v>45</v>
      </c>
      <c r="E39" s="1" t="s">
        <v>1239</v>
      </c>
      <c r="F39" s="1" t="s">
        <v>1260</v>
      </c>
      <c r="G39" s="5">
        <v>7</v>
      </c>
      <c r="H39" s="5">
        <v>52</v>
      </c>
      <c r="I39" s="9">
        <v>11.5</v>
      </c>
      <c r="J39" s="5"/>
      <c r="K39" s="12">
        <f t="shared" si="0"/>
        <v>1.0606978403536116</v>
      </c>
      <c r="L39" s="11">
        <f>GraphCampy!$B$10-(H39-GraphCampy!$B$6)/GraphCampy!$B$5</f>
        <v>0.49657617348311645</v>
      </c>
      <c r="M39" s="2" t="s">
        <v>1226</v>
      </c>
      <c r="N39">
        <v>1996</v>
      </c>
      <c r="O39" t="s">
        <v>1342</v>
      </c>
    </row>
    <row r="40" spans="1:15" x14ac:dyDescent="0.2">
      <c r="A40" s="1" t="s">
        <v>1227</v>
      </c>
      <c r="B40" s="1" t="s">
        <v>1251</v>
      </c>
      <c r="C40" s="1"/>
      <c r="D40" s="1" t="s">
        <v>45</v>
      </c>
      <c r="E40" s="1" t="s">
        <v>1239</v>
      </c>
      <c r="F40" s="1" t="s">
        <v>1260</v>
      </c>
      <c r="G40" s="5">
        <v>8</v>
      </c>
      <c r="H40" s="5">
        <v>52</v>
      </c>
      <c r="I40" s="9">
        <v>6.4</v>
      </c>
      <c r="J40" s="5"/>
      <c r="K40" s="12">
        <f t="shared" si="0"/>
        <v>0.80617997398388719</v>
      </c>
      <c r="L40" s="11">
        <f>GraphCampy!$B$10-(H40-GraphCampy!$B$6)/GraphCampy!$B$5</f>
        <v>0.49657617348311645</v>
      </c>
      <c r="M40" s="2" t="s">
        <v>1226</v>
      </c>
      <c r="N40">
        <v>1996</v>
      </c>
      <c r="O40" t="s">
        <v>1342</v>
      </c>
    </row>
    <row r="41" spans="1:15" x14ac:dyDescent="0.2">
      <c r="A41" s="1" t="s">
        <v>1227</v>
      </c>
      <c r="B41" s="1" t="s">
        <v>1251</v>
      </c>
      <c r="C41" s="1"/>
      <c r="D41" s="1" t="s">
        <v>45</v>
      </c>
      <c r="E41" s="1" t="s">
        <v>1239</v>
      </c>
      <c r="F41" s="1" t="s">
        <v>1260</v>
      </c>
      <c r="G41" s="5">
        <v>9</v>
      </c>
      <c r="H41" s="5">
        <v>52</v>
      </c>
      <c r="I41" s="9">
        <v>2</v>
      </c>
      <c r="J41" s="5"/>
      <c r="K41" s="12">
        <f t="shared" si="0"/>
        <v>0.3010299956639812</v>
      </c>
      <c r="L41" s="11">
        <f>GraphCampy!$B$10-(H41-GraphCampy!$B$6)/GraphCampy!$B$5</f>
        <v>0.49657617348311645</v>
      </c>
      <c r="M41" s="2" t="s">
        <v>1226</v>
      </c>
      <c r="N41">
        <v>1996</v>
      </c>
      <c r="O41" t="s">
        <v>1342</v>
      </c>
    </row>
    <row r="42" spans="1:15" x14ac:dyDescent="0.2">
      <c r="A42" s="1" t="s">
        <v>1227</v>
      </c>
      <c r="B42" s="1" t="s">
        <v>1251</v>
      </c>
      <c r="C42" s="1"/>
      <c r="D42" s="1" t="s">
        <v>45</v>
      </c>
      <c r="E42" s="1" t="s">
        <v>1239</v>
      </c>
      <c r="F42" s="1" t="s">
        <v>1260</v>
      </c>
      <c r="G42" s="5">
        <v>7</v>
      </c>
      <c r="H42" s="5">
        <v>52</v>
      </c>
      <c r="I42" s="9">
        <v>5.97</v>
      </c>
      <c r="J42" s="5"/>
      <c r="K42" s="12">
        <f t="shared" si="0"/>
        <v>0.77597433112936909</v>
      </c>
      <c r="L42" s="11">
        <f>GraphCampy!$B$10-(H42-GraphCampy!$B$6)/GraphCampy!$B$5</f>
        <v>0.49657617348311645</v>
      </c>
      <c r="M42" s="2" t="s">
        <v>1226</v>
      </c>
      <c r="N42">
        <v>1996</v>
      </c>
      <c r="O42" t="s">
        <v>1342</v>
      </c>
    </row>
    <row r="43" spans="1:15" x14ac:dyDescent="0.2">
      <c r="A43" s="1" t="s">
        <v>1227</v>
      </c>
      <c r="B43" s="1" t="s">
        <v>300</v>
      </c>
      <c r="C43" s="1"/>
      <c r="D43" s="1" t="s">
        <v>45</v>
      </c>
      <c r="E43" s="1" t="s">
        <v>1239</v>
      </c>
      <c r="F43" s="1" t="s">
        <v>1260</v>
      </c>
      <c r="H43" s="4">
        <v>50</v>
      </c>
      <c r="I43" s="4">
        <v>4</v>
      </c>
      <c r="K43" s="12">
        <f>LOG(I43)</f>
        <v>0.6020599913279624</v>
      </c>
      <c r="L43" s="11">
        <f>GraphCampy!$B$10-(H43-GraphCampy!$B$6)/GraphCampy!$B$5</f>
        <v>0.65862465405684123</v>
      </c>
      <c r="M43" s="1" t="s">
        <v>629</v>
      </c>
      <c r="N43">
        <v>2001</v>
      </c>
      <c r="O43" t="s">
        <v>626</v>
      </c>
    </row>
    <row r="44" spans="1:15" x14ac:dyDescent="0.2">
      <c r="A44" s="1" t="s">
        <v>1227</v>
      </c>
      <c r="B44" s="1" t="s">
        <v>300</v>
      </c>
      <c r="C44" s="1"/>
      <c r="D44" s="1" t="s">
        <v>45</v>
      </c>
      <c r="E44" s="1" t="s">
        <v>1239</v>
      </c>
      <c r="F44" s="1" t="s">
        <v>1260</v>
      </c>
      <c r="H44" s="4">
        <v>55</v>
      </c>
      <c r="I44" s="4">
        <v>0.2</v>
      </c>
      <c r="K44" s="12">
        <f>LOG(I44)</f>
        <v>-0.69897000433601875</v>
      </c>
      <c r="L44" s="11">
        <f>GraphCampy!$B$10-(H44-GraphCampy!$B$6)/GraphCampy!$B$5</f>
        <v>0.25350345262252882</v>
      </c>
      <c r="M44" s="1" t="s">
        <v>629</v>
      </c>
      <c r="N44">
        <v>2001</v>
      </c>
      <c r="O44" t="s">
        <v>626</v>
      </c>
    </row>
    <row r="45" spans="1:15" x14ac:dyDescent="0.2">
      <c r="A45" s="1" t="s">
        <v>1227</v>
      </c>
      <c r="B45" s="1" t="s">
        <v>300</v>
      </c>
      <c r="C45" s="1"/>
      <c r="D45" s="1" t="s">
        <v>45</v>
      </c>
      <c r="E45" s="1" t="s">
        <v>1239</v>
      </c>
      <c r="F45" s="1" t="s">
        <v>1260</v>
      </c>
      <c r="H45" s="4">
        <v>55</v>
      </c>
      <c r="I45" s="4">
        <v>13.9</v>
      </c>
      <c r="K45" s="12">
        <f>LOG(I45)</f>
        <v>1.1430148002540952</v>
      </c>
      <c r="L45" s="11">
        <f>GraphCampy!$B$10-(H45-GraphCampy!$B$6)/GraphCampy!$B$5</f>
        <v>0.25350345262252882</v>
      </c>
      <c r="M45" s="1" t="s">
        <v>629</v>
      </c>
      <c r="N45">
        <v>2001</v>
      </c>
      <c r="O45" t="s">
        <v>627</v>
      </c>
    </row>
    <row r="46" spans="1:15" x14ac:dyDescent="0.2">
      <c r="A46" s="1" t="s">
        <v>1227</v>
      </c>
      <c r="B46" s="1" t="s">
        <v>300</v>
      </c>
      <c r="C46" s="1"/>
      <c r="D46" s="1" t="s">
        <v>45</v>
      </c>
      <c r="E46" s="1" t="s">
        <v>1239</v>
      </c>
      <c r="F46" s="1" t="s">
        <v>1260</v>
      </c>
      <c r="H46" s="4">
        <v>50</v>
      </c>
      <c r="I46" s="4">
        <v>13.3</v>
      </c>
      <c r="K46" s="12">
        <f>LOG(I46)</f>
        <v>1.1238516409670858</v>
      </c>
      <c r="L46" s="11">
        <f>GraphCampy!$B$10-(H46-GraphCampy!$B$6)/GraphCampy!$B$5</f>
        <v>0.65862465405684123</v>
      </c>
      <c r="M46" s="1" t="s">
        <v>629</v>
      </c>
      <c r="N46">
        <v>2001</v>
      </c>
      <c r="O46" t="s">
        <v>628</v>
      </c>
    </row>
    <row r="47" spans="1:15" x14ac:dyDescent="0.2">
      <c r="A47" s="1" t="s">
        <v>1227</v>
      </c>
      <c r="B47" s="1" t="s">
        <v>300</v>
      </c>
      <c r="C47" s="1"/>
      <c r="D47" s="1" t="s">
        <v>45</v>
      </c>
      <c r="E47" s="1" t="s">
        <v>1239</v>
      </c>
      <c r="F47" s="1" t="s">
        <v>1260</v>
      </c>
      <c r="H47" s="4">
        <v>55</v>
      </c>
      <c r="I47" s="4">
        <v>0.4</v>
      </c>
      <c r="K47" s="12">
        <f>LOG(I47)</f>
        <v>-0.3979400086720376</v>
      </c>
      <c r="L47" s="11">
        <f>GraphCampy!$B$10-(H47-GraphCampy!$B$6)/GraphCampy!$B$5</f>
        <v>0.25350345262252882</v>
      </c>
      <c r="M47" s="1" t="s">
        <v>629</v>
      </c>
      <c r="N47">
        <v>2001</v>
      </c>
      <c r="O47" t="s">
        <v>628</v>
      </c>
    </row>
  </sheetData>
  <phoneticPr fontId="0" type="noConversion"/>
  <pageMargins left="0.75" right="0.75" top="1" bottom="1" header="0.5" footer="0.5"/>
  <pageSetup paperSize="9" orientation="portrait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35"/>
  <sheetViews>
    <sheetView topLeftCell="A19" workbookViewId="0">
      <selection activeCell="B7" sqref="B7"/>
    </sheetView>
  </sheetViews>
  <sheetFormatPr defaultRowHeight="12.75" x14ac:dyDescent="0.2"/>
  <sheetData>
    <row r="1" spans="1:4" ht="18" x14ac:dyDescent="0.25">
      <c r="A1" s="3" t="s">
        <v>1356</v>
      </c>
    </row>
    <row r="4" spans="1:4" x14ac:dyDescent="0.2">
      <c r="A4" t="s">
        <v>1346</v>
      </c>
      <c r="B4" t="s">
        <v>1349</v>
      </c>
    </row>
    <row r="5" spans="1:4" x14ac:dyDescent="0.2">
      <c r="A5" t="s">
        <v>1347</v>
      </c>
      <c r="B5" s="10">
        <f>-1/SLOPE(Campylobacter!K2:K47,Campylobacter!H2:H47)</f>
        <v>12.341985515193322</v>
      </c>
      <c r="C5" s="10">
        <f>SLOPE(Campylobacter!K2:K760,Campylobacter!H2:H760)</f>
        <v>-8.1024240286862489E-2</v>
      </c>
      <c r="D5" t="s">
        <v>201</v>
      </c>
    </row>
    <row r="6" spans="1:4" x14ac:dyDescent="0.2">
      <c r="A6" t="s">
        <v>1350</v>
      </c>
      <c r="B6">
        <v>70</v>
      </c>
    </row>
    <row r="7" spans="1:4" x14ac:dyDescent="0.2">
      <c r="A7" t="s">
        <v>1353</v>
      </c>
      <c r="B7" s="10">
        <f>TINV(0.05,COUNT(Campylobacter!K2:K47)-2)</f>
        <v>2.0153675744437649</v>
      </c>
    </row>
    <row r="8" spans="1:4" x14ac:dyDescent="0.2">
      <c r="A8" t="s">
        <v>1355</v>
      </c>
      <c r="B8" s="10">
        <f>SUMXMY2(Campylobacter!K2:K47,Campylobacter!L2:L47)</f>
        <v>11.165111011647802</v>
      </c>
    </row>
    <row r="9" spans="1:4" x14ac:dyDescent="0.2">
      <c r="A9" t="s">
        <v>1354</v>
      </c>
      <c r="B9" s="10">
        <f>SQRT(B8/(COUNT(Campylobacter!K2:K47)-2))</f>
        <v>0.50373854626382875</v>
      </c>
    </row>
    <row r="10" spans="1:4" x14ac:dyDescent="0.2">
      <c r="A10" t="s">
        <v>1351</v>
      </c>
      <c r="B10" s="10">
        <f>INTERCEPT(Campylobacter!K2:K47,Campylobacter!H2:H47)-B6/B5</f>
        <v>-0.96186015168040839</v>
      </c>
      <c r="C10" s="10">
        <f>INTERCEPT(Campylobacter!K2:K760,Campylobacter!H2:H760)</f>
        <v>4.7098366683999657</v>
      </c>
      <c r="D10" t="s">
        <v>202</v>
      </c>
    </row>
    <row r="11" spans="1:4" x14ac:dyDescent="0.2">
      <c r="A11" t="s">
        <v>135</v>
      </c>
      <c r="B11" s="10">
        <f>B10+B7*B9</f>
        <v>5.3358180457152349E-2</v>
      </c>
    </row>
    <row r="12" spans="1:4" x14ac:dyDescent="0.2">
      <c r="B12" s="10"/>
    </row>
    <row r="14" spans="1:4" x14ac:dyDescent="0.2">
      <c r="A14" t="s">
        <v>1348</v>
      </c>
      <c r="B14" t="s">
        <v>1344</v>
      </c>
      <c r="C14" t="s">
        <v>1352</v>
      </c>
    </row>
    <row r="15" spans="1:4" x14ac:dyDescent="0.2">
      <c r="A15">
        <v>45</v>
      </c>
      <c r="B15" s="10">
        <f t="shared" ref="B15:B35" si="0">$B$10-(A15-$B$6)/$B$5</f>
        <v>1.0637458554911539</v>
      </c>
      <c r="C15" s="10">
        <f t="shared" ref="C15:C20" si="1">B15+$B$7*$B$9</f>
        <v>2.0789641876287144</v>
      </c>
    </row>
    <row r="16" spans="1:4" x14ac:dyDescent="0.2">
      <c r="A16">
        <f>A15+5</f>
        <v>50</v>
      </c>
      <c r="B16" s="10">
        <f t="shared" si="0"/>
        <v>0.65862465405684123</v>
      </c>
      <c r="C16" s="10">
        <f t="shared" si="1"/>
        <v>1.673842986194402</v>
      </c>
    </row>
    <row r="17" spans="1:3" x14ac:dyDescent="0.2">
      <c r="A17">
        <f>A16+5</f>
        <v>55</v>
      </c>
      <c r="B17" s="10">
        <f t="shared" si="0"/>
        <v>0.25350345262252882</v>
      </c>
      <c r="C17" s="10">
        <f t="shared" si="1"/>
        <v>1.2687217847600896</v>
      </c>
    </row>
    <row r="18" spans="1:3" x14ac:dyDescent="0.2">
      <c r="A18">
        <f>A17+5</f>
        <v>60</v>
      </c>
      <c r="B18" s="10">
        <f t="shared" si="0"/>
        <v>-0.15161774881178358</v>
      </c>
      <c r="C18" s="10">
        <f t="shared" si="1"/>
        <v>0.86360058332577716</v>
      </c>
    </row>
    <row r="19" spans="1:3" x14ac:dyDescent="0.2">
      <c r="A19">
        <f>A18+5</f>
        <v>65</v>
      </c>
      <c r="B19" s="10">
        <f t="shared" si="0"/>
        <v>-0.55673895024609599</v>
      </c>
      <c r="C19" s="10">
        <f t="shared" si="1"/>
        <v>0.45847938189146475</v>
      </c>
    </row>
    <row r="20" spans="1:3" x14ac:dyDescent="0.2">
      <c r="A20">
        <v>70</v>
      </c>
      <c r="B20" s="10">
        <f t="shared" si="0"/>
        <v>-0.96186015168040839</v>
      </c>
      <c r="C20" s="10">
        <f t="shared" si="1"/>
        <v>5.3358180457152349E-2</v>
      </c>
    </row>
    <row r="21" spans="1:3" x14ac:dyDescent="0.2">
      <c r="A21">
        <f>A20+5</f>
        <v>75</v>
      </c>
      <c r="B21" s="10">
        <f t="shared" si="0"/>
        <v>-1.3669813531147208</v>
      </c>
      <c r="C21" s="10">
        <f t="shared" ref="C21:C35" si="2">B21+$B$7*$B$9</f>
        <v>-0.35176302097716006</v>
      </c>
    </row>
    <row r="22" spans="1:3" x14ac:dyDescent="0.2">
      <c r="A22">
        <f t="shared" ref="A22:A35" si="3">A21+5</f>
        <v>80</v>
      </c>
      <c r="B22" s="10">
        <f t="shared" si="0"/>
        <v>-1.7721025545490332</v>
      </c>
      <c r="C22" s="10">
        <f t="shared" si="2"/>
        <v>-0.75688422241147246</v>
      </c>
    </row>
    <row r="23" spans="1:3" x14ac:dyDescent="0.2">
      <c r="A23">
        <f t="shared" si="3"/>
        <v>85</v>
      </c>
      <c r="B23" s="10">
        <f t="shared" si="0"/>
        <v>-2.1772237559833458</v>
      </c>
      <c r="C23" s="10">
        <f t="shared" si="2"/>
        <v>-1.1620054238457851</v>
      </c>
    </row>
    <row r="24" spans="1:3" x14ac:dyDescent="0.2">
      <c r="A24">
        <f t="shared" si="3"/>
        <v>90</v>
      </c>
      <c r="B24" s="10">
        <f t="shared" si="0"/>
        <v>-2.582344957417658</v>
      </c>
      <c r="C24" s="10">
        <f t="shared" si="2"/>
        <v>-1.5671266252800973</v>
      </c>
    </row>
    <row r="25" spans="1:3" x14ac:dyDescent="0.2">
      <c r="A25">
        <f t="shared" si="3"/>
        <v>95</v>
      </c>
      <c r="B25" s="10">
        <f t="shared" si="0"/>
        <v>-2.9874661588519706</v>
      </c>
      <c r="C25" s="10">
        <f t="shared" si="2"/>
        <v>-1.9722478267144099</v>
      </c>
    </row>
    <row r="26" spans="1:3" x14ac:dyDescent="0.2">
      <c r="A26">
        <f t="shared" si="3"/>
        <v>100</v>
      </c>
      <c r="B26" s="10">
        <f t="shared" si="0"/>
        <v>-3.3925873602862828</v>
      </c>
      <c r="C26" s="10">
        <f t="shared" si="2"/>
        <v>-2.3773690281487223</v>
      </c>
    </row>
    <row r="27" spans="1:3" x14ac:dyDescent="0.2">
      <c r="A27">
        <f t="shared" si="3"/>
        <v>105</v>
      </c>
      <c r="B27" s="10">
        <f t="shared" si="0"/>
        <v>-3.7977085617205955</v>
      </c>
      <c r="C27" s="10">
        <f t="shared" si="2"/>
        <v>-2.7824902295830345</v>
      </c>
    </row>
    <row r="28" spans="1:3" x14ac:dyDescent="0.2">
      <c r="A28">
        <f t="shared" si="3"/>
        <v>110</v>
      </c>
      <c r="B28" s="10">
        <f t="shared" si="0"/>
        <v>-4.2028297631549076</v>
      </c>
      <c r="C28" s="10">
        <f t="shared" si="2"/>
        <v>-3.1876114310173467</v>
      </c>
    </row>
    <row r="29" spans="1:3" x14ac:dyDescent="0.2">
      <c r="A29">
        <f t="shared" si="3"/>
        <v>115</v>
      </c>
      <c r="B29" s="10">
        <f t="shared" si="0"/>
        <v>-4.6079509645892198</v>
      </c>
      <c r="C29" s="10">
        <f t="shared" si="2"/>
        <v>-3.5927326324516589</v>
      </c>
    </row>
    <row r="30" spans="1:3" x14ac:dyDescent="0.2">
      <c r="A30">
        <f t="shared" si="3"/>
        <v>120</v>
      </c>
      <c r="B30" s="10">
        <f t="shared" si="0"/>
        <v>-5.0130721660235329</v>
      </c>
      <c r="C30" s="10">
        <f t="shared" si="2"/>
        <v>-3.9978538338859719</v>
      </c>
    </row>
    <row r="31" spans="1:3" x14ac:dyDescent="0.2">
      <c r="A31">
        <f t="shared" si="3"/>
        <v>125</v>
      </c>
      <c r="B31" s="10">
        <f t="shared" si="0"/>
        <v>-5.4181933674578451</v>
      </c>
      <c r="C31" s="10">
        <f t="shared" si="2"/>
        <v>-4.4029750353202841</v>
      </c>
    </row>
    <row r="32" spans="1:3" x14ac:dyDescent="0.2">
      <c r="A32">
        <f t="shared" si="3"/>
        <v>130</v>
      </c>
      <c r="B32" s="10">
        <f t="shared" si="0"/>
        <v>-5.8233145688921573</v>
      </c>
      <c r="C32" s="10">
        <f t="shared" si="2"/>
        <v>-4.8080962367545963</v>
      </c>
    </row>
    <row r="33" spans="1:3" x14ac:dyDescent="0.2">
      <c r="A33">
        <f t="shared" si="3"/>
        <v>135</v>
      </c>
      <c r="B33" s="10">
        <f t="shared" si="0"/>
        <v>-6.2284357703264703</v>
      </c>
      <c r="C33" s="10">
        <f t="shared" si="2"/>
        <v>-5.2132174381889094</v>
      </c>
    </row>
    <row r="34" spans="1:3" x14ac:dyDescent="0.2">
      <c r="A34">
        <f t="shared" si="3"/>
        <v>140</v>
      </c>
      <c r="B34" s="10">
        <f t="shared" si="0"/>
        <v>-6.6335569717607825</v>
      </c>
      <c r="C34" s="10">
        <f t="shared" si="2"/>
        <v>-5.6183386396232216</v>
      </c>
    </row>
    <row r="35" spans="1:3" x14ac:dyDescent="0.2">
      <c r="A35">
        <f t="shared" si="3"/>
        <v>145</v>
      </c>
      <c r="B35" s="10">
        <f t="shared" si="0"/>
        <v>-7.0386781731950947</v>
      </c>
      <c r="C35" s="10">
        <f t="shared" si="2"/>
        <v>-6.0234598410575337</v>
      </c>
    </row>
  </sheetData>
  <phoneticPr fontId="0" type="noConversion"/>
  <pageMargins left="0.75" right="0.75" top="1" bottom="1" header="0.5" footer="0.5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397"/>
  <sheetViews>
    <sheetView topLeftCell="C1" workbookViewId="0">
      <pane ySplit="1" topLeftCell="A2" activePane="bottomLeft" state="frozen"/>
      <selection pane="bottomLeft" activeCell="N24" sqref="N24"/>
    </sheetView>
  </sheetViews>
  <sheetFormatPr defaultRowHeight="12.75" x14ac:dyDescent="0.2"/>
  <cols>
    <col min="1" max="1" width="15.85546875" customWidth="1"/>
    <col min="2" max="3" width="10.28515625" customWidth="1"/>
    <col min="4" max="4" width="8.5703125" customWidth="1"/>
    <col min="5" max="5" width="6.140625" customWidth="1"/>
    <col min="6" max="6" width="15.5703125" customWidth="1"/>
    <col min="7" max="7" width="19.42578125" customWidth="1"/>
    <col min="8" max="8" width="11.5703125" customWidth="1"/>
    <col min="9" max="9" width="8.5703125" style="4" customWidth="1"/>
    <col min="10" max="10" width="10.28515625" style="4" customWidth="1"/>
    <col min="11" max="14" width="9.140625" style="4" customWidth="1"/>
    <col min="17" max="17" width="17.5703125" customWidth="1"/>
    <col min="20" max="20" width="12.42578125" customWidth="1"/>
    <col min="21" max="21" width="11.5703125" customWidth="1"/>
  </cols>
  <sheetData>
    <row r="1" spans="1:23" s="18" customFormat="1" ht="15" x14ac:dyDescent="0.25">
      <c r="A1" s="14" t="s">
        <v>1221</v>
      </c>
      <c r="B1" s="14" t="s">
        <v>64</v>
      </c>
      <c r="C1" s="14" t="s">
        <v>65</v>
      </c>
      <c r="D1" s="14" t="s">
        <v>1235</v>
      </c>
      <c r="E1" s="14" t="s">
        <v>1362</v>
      </c>
      <c r="F1" s="14" t="s">
        <v>39</v>
      </c>
      <c r="G1" s="14" t="s">
        <v>1222</v>
      </c>
      <c r="H1" s="14" t="s">
        <v>1255</v>
      </c>
      <c r="I1" s="15" t="s">
        <v>1230</v>
      </c>
      <c r="J1" s="15" t="s">
        <v>1229</v>
      </c>
      <c r="K1" s="16" t="s">
        <v>1232</v>
      </c>
      <c r="L1" s="15" t="s">
        <v>1231</v>
      </c>
      <c r="M1" s="15" t="s">
        <v>1343</v>
      </c>
      <c r="N1" s="17" t="s">
        <v>1344</v>
      </c>
      <c r="O1" s="14" t="s">
        <v>1223</v>
      </c>
      <c r="P1" s="14" t="s">
        <v>1224</v>
      </c>
      <c r="Q1" s="14" t="s">
        <v>1225</v>
      </c>
      <c r="S1" s="18" t="s">
        <v>255</v>
      </c>
      <c r="T1" s="18" t="s">
        <v>266</v>
      </c>
      <c r="U1" s="18" t="s">
        <v>267</v>
      </c>
      <c r="V1" s="18" t="s">
        <v>791</v>
      </c>
      <c r="W1" s="18" t="s">
        <v>268</v>
      </c>
    </row>
    <row r="2" spans="1:23" x14ac:dyDescent="0.2">
      <c r="A2" s="1" t="s">
        <v>1228</v>
      </c>
      <c r="B2" s="1" t="s">
        <v>1234</v>
      </c>
      <c r="C2" s="1" t="s">
        <v>1390</v>
      </c>
      <c r="D2" s="1" t="s">
        <v>1360</v>
      </c>
      <c r="E2" s="1" t="s">
        <v>1363</v>
      </c>
      <c r="F2" s="1" t="s">
        <v>44</v>
      </c>
      <c r="G2" s="1" t="s">
        <v>1247</v>
      </c>
      <c r="I2" s="4">
        <v>7</v>
      </c>
      <c r="J2" s="4">
        <v>82.2</v>
      </c>
      <c r="K2" s="4">
        <v>16.7</v>
      </c>
      <c r="L2" s="4">
        <v>6.5</v>
      </c>
      <c r="M2" s="11">
        <f t="shared" ref="M2:M27" si="0">LOG(K2)</f>
        <v>1.2227164711475833</v>
      </c>
      <c r="N2" s="11">
        <f>GraphBotulinum!$D$9-('C botulinum'!J2-GraphBotulinum!$D$5)/GraphBotulinum!$D$4</f>
        <v>0.5657374393862229</v>
      </c>
      <c r="O2" s="2" t="s">
        <v>1380</v>
      </c>
      <c r="P2" s="2">
        <v>1985</v>
      </c>
      <c r="Q2" t="s">
        <v>1382</v>
      </c>
      <c r="T2" s="10">
        <f>GraphBotulinum!$B$41*'C botulinum'!J2+GraphBotulinum!$B$42</f>
        <v>0.72557436512925166</v>
      </c>
      <c r="U2" s="10"/>
      <c r="V2" s="10">
        <f>GraphBotulinum!$G$41*'C botulinum'!J2+GraphBotulinum!$G$42</f>
        <v>0.5657374393862229</v>
      </c>
    </row>
    <row r="3" spans="1:23" x14ac:dyDescent="0.2">
      <c r="A3" s="1" t="s">
        <v>1228</v>
      </c>
      <c r="B3" s="1" t="s">
        <v>1234</v>
      </c>
      <c r="C3" s="1" t="s">
        <v>1391</v>
      </c>
      <c r="D3" s="1" t="s">
        <v>1360</v>
      </c>
      <c r="E3" s="1" t="s">
        <v>1363</v>
      </c>
      <c r="F3" s="1" t="s">
        <v>44</v>
      </c>
      <c r="G3" s="1" t="s">
        <v>1247</v>
      </c>
      <c r="I3" s="4">
        <v>7</v>
      </c>
      <c r="J3" s="4">
        <v>82.2</v>
      </c>
      <c r="K3" s="4">
        <v>0.83</v>
      </c>
      <c r="M3" s="11">
        <f t="shared" si="0"/>
        <v>-8.092190762392612E-2</v>
      </c>
      <c r="N3" s="11">
        <f>GraphBotulinum!$D$9-('C botulinum'!J3-GraphBotulinum!$D$5)/GraphBotulinum!$D$4</f>
        <v>0.5657374393862229</v>
      </c>
      <c r="O3" s="2" t="s">
        <v>1380</v>
      </c>
      <c r="P3" s="2">
        <v>1985</v>
      </c>
      <c r="Q3" t="s">
        <v>1382</v>
      </c>
      <c r="T3" s="10">
        <f>GraphBotulinum!$B$41*'C botulinum'!J3+GraphBotulinum!$B$42</f>
        <v>0.72557436512925166</v>
      </c>
      <c r="U3" s="10"/>
      <c r="V3" s="10">
        <f>GraphBotulinum!$G$41*'C botulinum'!J3+GraphBotulinum!$G$42</f>
        <v>0.5657374393862229</v>
      </c>
    </row>
    <row r="4" spans="1:23" x14ac:dyDescent="0.2">
      <c r="A4" s="1" t="s">
        <v>1228</v>
      </c>
      <c r="B4" s="1" t="s">
        <v>1234</v>
      </c>
      <c r="C4" s="1" t="s">
        <v>1387</v>
      </c>
      <c r="D4" s="1" t="s">
        <v>1360</v>
      </c>
      <c r="E4" s="1" t="s">
        <v>1363</v>
      </c>
      <c r="F4" s="1" t="s">
        <v>44</v>
      </c>
      <c r="G4" s="1" t="s">
        <v>1247</v>
      </c>
      <c r="I4" s="4">
        <v>7</v>
      </c>
      <c r="J4" s="4">
        <v>82.2</v>
      </c>
      <c r="K4" s="4">
        <v>32.299999999999997</v>
      </c>
      <c r="L4" s="4">
        <v>9.6999999999999993</v>
      </c>
      <c r="M4" s="11">
        <f t="shared" si="0"/>
        <v>1.5092025223311027</v>
      </c>
      <c r="N4" s="11">
        <f>GraphBotulinum!$D$9-('C botulinum'!J4-GraphBotulinum!$D$5)/GraphBotulinum!$D$4</f>
        <v>0.5657374393862229</v>
      </c>
      <c r="O4" s="2" t="s">
        <v>1380</v>
      </c>
      <c r="P4" s="2">
        <v>1985</v>
      </c>
      <c r="Q4" t="s">
        <v>1382</v>
      </c>
      <c r="T4" s="10">
        <f>GraphBotulinum!$B$41*'C botulinum'!J4+GraphBotulinum!$B$42</f>
        <v>0.72557436512925166</v>
      </c>
      <c r="U4" s="10"/>
      <c r="V4" s="10">
        <f>GraphBotulinum!$G$41*'C botulinum'!J4+GraphBotulinum!$G$42</f>
        <v>0.5657374393862229</v>
      </c>
    </row>
    <row r="5" spans="1:23" x14ac:dyDescent="0.2">
      <c r="A5" s="1" t="s">
        <v>1228</v>
      </c>
      <c r="B5" s="1" t="s">
        <v>1234</v>
      </c>
      <c r="C5" s="1" t="s">
        <v>1388</v>
      </c>
      <c r="D5" s="1" t="s">
        <v>1360</v>
      </c>
      <c r="E5" s="1" t="s">
        <v>1363</v>
      </c>
      <c r="F5" s="1" t="s">
        <v>44</v>
      </c>
      <c r="G5" s="1" t="s">
        <v>1247</v>
      </c>
      <c r="I5" s="4">
        <v>7</v>
      </c>
      <c r="J5" s="4">
        <v>82.2</v>
      </c>
      <c r="K5" s="4">
        <v>4.17</v>
      </c>
      <c r="L5" s="4">
        <v>16.5</v>
      </c>
      <c r="M5" s="11">
        <f t="shared" si="0"/>
        <v>0.62013605497375746</v>
      </c>
      <c r="N5" s="11">
        <f>GraphBotulinum!$D$9-('C botulinum'!J5-GraphBotulinum!$D$5)/GraphBotulinum!$D$4</f>
        <v>0.5657374393862229</v>
      </c>
      <c r="O5" s="2" t="s">
        <v>1380</v>
      </c>
      <c r="P5" s="2">
        <v>1985</v>
      </c>
      <c r="Q5" t="s">
        <v>1382</v>
      </c>
      <c r="T5" s="10">
        <f>GraphBotulinum!$B$41*'C botulinum'!J5+GraphBotulinum!$B$42</f>
        <v>0.72557436512925166</v>
      </c>
      <c r="U5" s="10"/>
      <c r="V5" s="10">
        <f>GraphBotulinum!$G$41*'C botulinum'!J5+GraphBotulinum!$G$42</f>
        <v>0.5657374393862229</v>
      </c>
    </row>
    <row r="6" spans="1:23" x14ac:dyDescent="0.2">
      <c r="A6" s="1" t="s">
        <v>1228</v>
      </c>
      <c r="B6" s="1" t="s">
        <v>1234</v>
      </c>
      <c r="C6" s="1" t="s">
        <v>1389</v>
      </c>
      <c r="D6" s="1" t="s">
        <v>1360</v>
      </c>
      <c r="E6" s="1" t="s">
        <v>1363</v>
      </c>
      <c r="F6" s="1" t="s">
        <v>44</v>
      </c>
      <c r="G6" s="1" t="s">
        <v>1247</v>
      </c>
      <c r="I6" s="4">
        <v>7</v>
      </c>
      <c r="J6" s="4">
        <v>82.2</v>
      </c>
      <c r="K6" s="4">
        <v>1.49</v>
      </c>
      <c r="L6" s="4">
        <v>8.3000000000000007</v>
      </c>
      <c r="M6" s="11">
        <f t="shared" si="0"/>
        <v>0.17318626841227402</v>
      </c>
      <c r="N6" s="11">
        <f>GraphBotulinum!$D$9-('C botulinum'!J6-GraphBotulinum!$D$5)/GraphBotulinum!$D$4</f>
        <v>0.5657374393862229</v>
      </c>
      <c r="O6" s="2" t="s">
        <v>1380</v>
      </c>
      <c r="P6" s="2">
        <v>1985</v>
      </c>
      <c r="Q6" t="s">
        <v>1382</v>
      </c>
      <c r="T6" s="10">
        <f>GraphBotulinum!$B$41*'C botulinum'!J6+GraphBotulinum!$B$42</f>
        <v>0.72557436512925166</v>
      </c>
      <c r="U6" s="10"/>
      <c r="V6" s="10">
        <f>GraphBotulinum!$G$41*'C botulinum'!J6+GraphBotulinum!$G$42</f>
        <v>0.5657374393862229</v>
      </c>
    </row>
    <row r="7" spans="1:23" x14ac:dyDescent="0.2">
      <c r="A7" s="1" t="s">
        <v>1228</v>
      </c>
      <c r="B7" s="1" t="s">
        <v>1234</v>
      </c>
      <c r="C7" s="1" t="s">
        <v>979</v>
      </c>
      <c r="D7" s="1" t="s">
        <v>1360</v>
      </c>
      <c r="E7" s="1" t="s">
        <v>1363</v>
      </c>
      <c r="F7" s="1" t="s">
        <v>11</v>
      </c>
      <c r="G7" s="1" t="s">
        <v>576</v>
      </c>
      <c r="H7" s="1" t="s">
        <v>980</v>
      </c>
      <c r="J7" s="4">
        <v>75</v>
      </c>
      <c r="K7" s="11">
        <f>32.53</f>
        <v>32.53</v>
      </c>
      <c r="L7" s="4">
        <v>9.43</v>
      </c>
      <c r="M7" s="11">
        <f t="shared" si="0"/>
        <v>1.5122840632818535</v>
      </c>
      <c r="N7" s="11">
        <f>GraphBotulinum!$D$9-('C botulinum'!J7-GraphBotulinum!$D$5)/GraphBotulinum!$D$4</f>
        <v>0.95280097977515332</v>
      </c>
      <c r="O7" s="1" t="s">
        <v>988</v>
      </c>
      <c r="P7" s="2">
        <v>1995</v>
      </c>
      <c r="T7" s="10">
        <f>GraphBotulinum!$B$41*'C botulinum'!J7+GraphBotulinum!$B$42</f>
        <v>0.97259686898872477</v>
      </c>
      <c r="U7" s="10"/>
      <c r="V7" s="10">
        <f>GraphBotulinum!$G$41*'C botulinum'!J7+GraphBotulinum!$G$42</f>
        <v>0.95280097977515421</v>
      </c>
    </row>
    <row r="8" spans="1:23" x14ac:dyDescent="0.2">
      <c r="A8" s="1" t="s">
        <v>1228</v>
      </c>
      <c r="B8" s="1" t="s">
        <v>1234</v>
      </c>
      <c r="C8" s="1" t="s">
        <v>979</v>
      </c>
      <c r="D8" s="1" t="s">
        <v>1360</v>
      </c>
      <c r="E8" s="1" t="s">
        <v>1363</v>
      </c>
      <c r="F8" s="1" t="s">
        <v>11</v>
      </c>
      <c r="G8" s="1" t="s">
        <v>576</v>
      </c>
      <c r="H8" s="1" t="s">
        <v>980</v>
      </c>
      <c r="J8" s="4">
        <v>80</v>
      </c>
      <c r="K8" s="11">
        <f>15.21</f>
        <v>15.21</v>
      </c>
      <c r="L8" s="4">
        <v>9.43</v>
      </c>
      <c r="M8" s="11">
        <f t="shared" si="0"/>
        <v>1.1821292140529984</v>
      </c>
      <c r="N8" s="11">
        <f>GraphBotulinum!$D$9-('C botulinum'!J8-GraphBotulinum!$D$5)/GraphBotulinum!$D$4</f>
        <v>0.68400685450506282</v>
      </c>
      <c r="O8" s="1" t="s">
        <v>988</v>
      </c>
      <c r="P8" s="2">
        <v>1995</v>
      </c>
      <c r="T8" s="10">
        <f>GraphBotulinum!$B$41*'C botulinum'!J8+GraphBotulinum!$B$42</f>
        <v>0.80105346353075735</v>
      </c>
      <c r="U8" s="10"/>
      <c r="V8" s="10">
        <f>GraphBotulinum!$G$41*'C botulinum'!J8+GraphBotulinum!$G$42</f>
        <v>0.68400685450506327</v>
      </c>
    </row>
    <row r="9" spans="1:23" x14ac:dyDescent="0.2">
      <c r="A9" s="1" t="s">
        <v>1228</v>
      </c>
      <c r="B9" s="1" t="s">
        <v>1234</v>
      </c>
      <c r="C9" s="1" t="s">
        <v>979</v>
      </c>
      <c r="D9" s="1" t="s">
        <v>1360</v>
      </c>
      <c r="E9" s="1" t="s">
        <v>1363</v>
      </c>
      <c r="F9" s="1" t="s">
        <v>11</v>
      </c>
      <c r="G9" s="1" t="s">
        <v>576</v>
      </c>
      <c r="H9" s="1" t="s">
        <v>980</v>
      </c>
      <c r="J9" s="4">
        <v>85</v>
      </c>
      <c r="K9" s="11">
        <f>4.85</f>
        <v>4.8499999999999996</v>
      </c>
      <c r="L9" s="4">
        <v>9.43</v>
      </c>
      <c r="M9" s="11">
        <f t="shared" si="0"/>
        <v>0.68574173860226362</v>
      </c>
      <c r="N9" s="11">
        <f>GraphBotulinum!$D$9-('C botulinum'!J9-GraphBotulinum!$D$5)/GraphBotulinum!$D$4</f>
        <v>0.4152127292349721</v>
      </c>
      <c r="O9" s="1" t="s">
        <v>988</v>
      </c>
      <c r="P9" s="2">
        <v>1995</v>
      </c>
      <c r="T9" s="10">
        <f>GraphBotulinum!$B$41*'C botulinum'!J9+GraphBotulinum!$B$42</f>
        <v>0.62951005807278992</v>
      </c>
      <c r="U9" s="10"/>
      <c r="V9" s="10">
        <f>GraphBotulinum!$G$41*'C botulinum'!J9+GraphBotulinum!$G$42</f>
        <v>0.41521272923497232</v>
      </c>
    </row>
    <row r="10" spans="1:23" x14ac:dyDescent="0.2">
      <c r="A10" s="1" t="s">
        <v>1228</v>
      </c>
      <c r="B10" s="1" t="s">
        <v>1234</v>
      </c>
      <c r="C10" s="1" t="s">
        <v>979</v>
      </c>
      <c r="D10" s="1" t="s">
        <v>1360</v>
      </c>
      <c r="E10" s="1" t="s">
        <v>1363</v>
      </c>
      <c r="F10" s="1" t="s">
        <v>11</v>
      </c>
      <c r="G10" s="1" t="s">
        <v>576</v>
      </c>
      <c r="H10" s="1" t="s">
        <v>980</v>
      </c>
      <c r="J10" s="4">
        <v>90</v>
      </c>
      <c r="K10" s="11">
        <f>0.8</f>
        <v>0.8</v>
      </c>
      <c r="L10" s="4">
        <v>9.43</v>
      </c>
      <c r="M10" s="11">
        <f t="shared" si="0"/>
        <v>-9.6910013008056392E-2</v>
      </c>
      <c r="N10" s="11">
        <f>GraphBotulinum!$D$9-('C botulinum'!J10-GraphBotulinum!$D$5)/GraphBotulinum!$D$4</f>
        <v>0.1464186039648816</v>
      </c>
      <c r="O10" s="1" t="s">
        <v>988</v>
      </c>
      <c r="P10" s="2">
        <v>1995</v>
      </c>
      <c r="T10" s="10">
        <f>GraphBotulinum!$B$41*'C botulinum'!J10+GraphBotulinum!$B$42</f>
        <v>0.45796665261482206</v>
      </c>
      <c r="U10" s="10"/>
      <c r="V10" s="10">
        <f>GraphBotulinum!$G$41*'C botulinum'!J10+GraphBotulinum!$G$42</f>
        <v>0.14641860396488227</v>
      </c>
    </row>
    <row r="11" spans="1:23" x14ac:dyDescent="0.2">
      <c r="A11" s="1" t="s">
        <v>1228</v>
      </c>
      <c r="B11" s="1" t="s">
        <v>1234</v>
      </c>
      <c r="C11" s="1" t="s">
        <v>987</v>
      </c>
      <c r="D11" s="1" t="s">
        <v>1360</v>
      </c>
      <c r="E11" s="1" t="s">
        <v>1363</v>
      </c>
      <c r="F11" s="1" t="s">
        <v>44</v>
      </c>
      <c r="G11" s="1" t="s">
        <v>140</v>
      </c>
      <c r="I11" s="4">
        <v>7</v>
      </c>
      <c r="J11" s="4">
        <v>80</v>
      </c>
      <c r="K11" s="4">
        <f>0.6</f>
        <v>0.6</v>
      </c>
      <c r="M11" s="11">
        <f t="shared" si="0"/>
        <v>-0.22184874961635639</v>
      </c>
      <c r="N11" s="11">
        <f>GraphBotulinum!$D$9-('C botulinum'!J11-GraphBotulinum!$D$5)/GraphBotulinum!$D$4</f>
        <v>0.68400685450506282</v>
      </c>
      <c r="O11" s="1" t="s">
        <v>988</v>
      </c>
      <c r="P11" s="2">
        <v>1995</v>
      </c>
      <c r="Q11" t="s">
        <v>1000</v>
      </c>
      <c r="T11" s="10">
        <f>GraphBotulinum!$B$41*'C botulinum'!J11+GraphBotulinum!$B$42</f>
        <v>0.80105346353075735</v>
      </c>
      <c r="U11" s="10"/>
      <c r="V11" s="10">
        <f>GraphBotulinum!$G$41*'C botulinum'!J11+GraphBotulinum!$G$42</f>
        <v>0.68400685450506327</v>
      </c>
    </row>
    <row r="12" spans="1:23" x14ac:dyDescent="0.2">
      <c r="A12" s="1" t="s">
        <v>1228</v>
      </c>
      <c r="B12" s="1" t="s">
        <v>1234</v>
      </c>
      <c r="C12" s="1" t="s">
        <v>987</v>
      </c>
      <c r="D12" s="1" t="s">
        <v>1360</v>
      </c>
      <c r="E12" s="1" t="s">
        <v>1363</v>
      </c>
      <c r="F12" s="1" t="s">
        <v>44</v>
      </c>
      <c r="G12" s="1" t="s">
        <v>140</v>
      </c>
      <c r="I12" s="4">
        <v>7</v>
      </c>
      <c r="J12" s="4">
        <v>80</v>
      </c>
      <c r="K12" s="4">
        <f>0.67</f>
        <v>0.67</v>
      </c>
      <c r="M12" s="11">
        <f t="shared" si="0"/>
        <v>-0.17392519729917355</v>
      </c>
      <c r="N12" s="11">
        <f>GraphBotulinum!$D$9-('C botulinum'!J12-GraphBotulinum!$D$5)/GraphBotulinum!$D$4</f>
        <v>0.68400685450506282</v>
      </c>
      <c r="O12" s="1" t="s">
        <v>988</v>
      </c>
      <c r="P12" s="2">
        <v>1995</v>
      </c>
      <c r="Q12" t="s">
        <v>1003</v>
      </c>
      <c r="T12" s="10">
        <f>GraphBotulinum!$B$41*'C botulinum'!J12+GraphBotulinum!$B$42</f>
        <v>0.80105346353075735</v>
      </c>
      <c r="U12" s="10"/>
      <c r="V12" s="10">
        <f>GraphBotulinum!$G$41*'C botulinum'!J12+GraphBotulinum!$G$42</f>
        <v>0.68400685450506327</v>
      </c>
    </row>
    <row r="13" spans="1:23" x14ac:dyDescent="0.2">
      <c r="A13" s="1" t="s">
        <v>1228</v>
      </c>
      <c r="B13" s="1" t="s">
        <v>1234</v>
      </c>
      <c r="C13" s="1" t="s">
        <v>999</v>
      </c>
      <c r="D13" s="1" t="s">
        <v>1360</v>
      </c>
      <c r="E13" s="1" t="s">
        <v>1363</v>
      </c>
      <c r="F13" s="1" t="s">
        <v>44</v>
      </c>
      <c r="G13" s="1" t="s">
        <v>140</v>
      </c>
      <c r="I13" s="4">
        <v>7</v>
      </c>
      <c r="J13" s="4">
        <v>80</v>
      </c>
      <c r="K13" s="4">
        <f>1.9</f>
        <v>1.9</v>
      </c>
      <c r="M13" s="11">
        <f t="shared" si="0"/>
        <v>0.27875360095282892</v>
      </c>
      <c r="N13" s="11">
        <f>GraphBotulinum!$D$9-('C botulinum'!J13-GraphBotulinum!$D$5)/GraphBotulinum!$D$4</f>
        <v>0.68400685450506282</v>
      </c>
      <c r="O13" s="1" t="s">
        <v>988</v>
      </c>
      <c r="P13" s="2">
        <v>1995</v>
      </c>
      <c r="Q13" t="s">
        <v>1000</v>
      </c>
      <c r="T13" s="10">
        <f>GraphBotulinum!$B$41*'C botulinum'!J13+GraphBotulinum!$B$42</f>
        <v>0.80105346353075735</v>
      </c>
      <c r="U13" s="10"/>
      <c r="V13" s="10">
        <f>GraphBotulinum!$G$41*'C botulinum'!J13+GraphBotulinum!$G$42</f>
        <v>0.68400685450506327</v>
      </c>
    </row>
    <row r="14" spans="1:23" x14ac:dyDescent="0.2">
      <c r="A14" s="1" t="s">
        <v>1228</v>
      </c>
      <c r="B14" s="1" t="s">
        <v>1234</v>
      </c>
      <c r="C14" s="1" t="s">
        <v>999</v>
      </c>
      <c r="D14" s="1" t="s">
        <v>1360</v>
      </c>
      <c r="E14" s="1" t="s">
        <v>1363</v>
      </c>
      <c r="F14" s="1" t="s">
        <v>44</v>
      </c>
      <c r="G14" s="1" t="s">
        <v>140</v>
      </c>
      <c r="I14" s="4">
        <v>7</v>
      </c>
      <c r="J14" s="4">
        <v>80</v>
      </c>
      <c r="K14" s="4">
        <f>0.96</f>
        <v>0.96</v>
      </c>
      <c r="M14" s="11">
        <f t="shared" si="0"/>
        <v>-1.7728766960431602E-2</v>
      </c>
      <c r="N14" s="11">
        <f>GraphBotulinum!$D$9-('C botulinum'!J14-GraphBotulinum!$D$5)/GraphBotulinum!$D$4</f>
        <v>0.68400685450506282</v>
      </c>
      <c r="O14" s="1" t="s">
        <v>988</v>
      </c>
      <c r="P14" s="2">
        <v>1995</v>
      </c>
      <c r="Q14" t="s">
        <v>1003</v>
      </c>
      <c r="T14" s="10">
        <f>GraphBotulinum!$B$41*'C botulinum'!J14+GraphBotulinum!$B$42</f>
        <v>0.80105346353075735</v>
      </c>
      <c r="U14" s="10"/>
      <c r="V14" s="10">
        <f>GraphBotulinum!$G$41*'C botulinum'!J14+GraphBotulinum!$G$42</f>
        <v>0.68400685450506327</v>
      </c>
    </row>
    <row r="15" spans="1:23" x14ac:dyDescent="0.2">
      <c r="A15" s="1" t="s">
        <v>1228</v>
      </c>
      <c r="B15" s="1" t="s">
        <v>1234</v>
      </c>
      <c r="C15" s="1" t="s">
        <v>979</v>
      </c>
      <c r="D15" s="1" t="s">
        <v>1360</v>
      </c>
      <c r="E15" s="1" t="s">
        <v>1363</v>
      </c>
      <c r="F15" s="1" t="s">
        <v>44</v>
      </c>
      <c r="G15" s="1" t="s">
        <v>140</v>
      </c>
      <c r="I15" s="4">
        <v>7</v>
      </c>
      <c r="J15" s="4">
        <v>80</v>
      </c>
      <c r="K15" s="4">
        <f>1.53</f>
        <v>1.53</v>
      </c>
      <c r="M15" s="11">
        <f t="shared" si="0"/>
        <v>0.18469143081759881</v>
      </c>
      <c r="N15" s="11">
        <f>GraphBotulinum!$D$9-('C botulinum'!J15-GraphBotulinum!$D$5)/GraphBotulinum!$D$4</f>
        <v>0.68400685450506282</v>
      </c>
      <c r="O15" s="1" t="s">
        <v>988</v>
      </c>
      <c r="P15" s="2">
        <v>1995</v>
      </c>
      <c r="Q15" t="s">
        <v>1000</v>
      </c>
      <c r="T15" s="10">
        <f>GraphBotulinum!$B$41*'C botulinum'!J15+GraphBotulinum!$B$42</f>
        <v>0.80105346353075735</v>
      </c>
      <c r="U15" s="10"/>
      <c r="V15" s="10">
        <f>GraphBotulinum!$G$41*'C botulinum'!J15+GraphBotulinum!$G$42</f>
        <v>0.68400685450506327</v>
      </c>
    </row>
    <row r="16" spans="1:23" x14ac:dyDescent="0.2">
      <c r="A16" s="1" t="s">
        <v>1228</v>
      </c>
      <c r="B16" s="1" t="s">
        <v>1234</v>
      </c>
      <c r="C16" s="1" t="s">
        <v>979</v>
      </c>
      <c r="D16" s="1" t="s">
        <v>1360</v>
      </c>
      <c r="E16" s="1" t="s">
        <v>1363</v>
      </c>
      <c r="F16" s="1" t="s">
        <v>44</v>
      </c>
      <c r="G16" s="1" t="s">
        <v>140</v>
      </c>
      <c r="I16" s="4">
        <v>7</v>
      </c>
      <c r="J16" s="4">
        <v>80</v>
      </c>
      <c r="K16" s="4">
        <f>2.25</f>
        <v>2.25</v>
      </c>
      <c r="M16" s="11">
        <f t="shared" si="0"/>
        <v>0.35218251811136247</v>
      </c>
      <c r="N16" s="11">
        <f>GraphBotulinum!$D$9-('C botulinum'!J16-GraphBotulinum!$D$5)/GraphBotulinum!$D$4</f>
        <v>0.68400685450506282</v>
      </c>
      <c r="O16" s="1" t="s">
        <v>988</v>
      </c>
      <c r="P16" s="2">
        <v>1995</v>
      </c>
      <c r="Q16" t="s">
        <v>1003</v>
      </c>
      <c r="T16" s="10">
        <f>GraphBotulinum!$B$41*'C botulinum'!J16+GraphBotulinum!$B$42</f>
        <v>0.80105346353075735</v>
      </c>
      <c r="U16" s="10"/>
      <c r="V16" s="10">
        <f>GraphBotulinum!$G$41*'C botulinum'!J16+GraphBotulinum!$G$42</f>
        <v>0.68400685450506327</v>
      </c>
    </row>
    <row r="17" spans="1:22" x14ac:dyDescent="0.2">
      <c r="A17" s="1" t="s">
        <v>1228</v>
      </c>
      <c r="B17" s="1" t="s">
        <v>1234</v>
      </c>
      <c r="C17" s="1"/>
      <c r="D17" s="1" t="s">
        <v>1360</v>
      </c>
      <c r="E17" s="1" t="s">
        <v>1363</v>
      </c>
      <c r="F17" s="1" t="s">
        <v>46</v>
      </c>
      <c r="G17" s="1" t="s">
        <v>226</v>
      </c>
      <c r="J17" s="4">
        <v>88.9</v>
      </c>
      <c r="K17" s="4">
        <v>12.9</v>
      </c>
      <c r="M17" s="11">
        <f t="shared" si="0"/>
        <v>1.110589710299249</v>
      </c>
      <c r="N17" s="11">
        <f>GraphBotulinum!$D$9-('C botulinum'!J17-GraphBotulinum!$D$5)/GraphBotulinum!$D$4</f>
        <v>0.20555331152430112</v>
      </c>
      <c r="O17" s="1" t="s">
        <v>786</v>
      </c>
      <c r="P17" s="1">
        <v>1997</v>
      </c>
      <c r="T17" s="10">
        <f>GraphBotulinum!$B$41*'C botulinum'!J17+GraphBotulinum!$B$42</f>
        <v>0.49570620181557512</v>
      </c>
      <c r="U17" s="10"/>
      <c r="V17" s="10">
        <f>GraphBotulinum!$G$41*'C botulinum'!J17+GraphBotulinum!$G$42</f>
        <v>0.20555331152430156</v>
      </c>
    </row>
    <row r="18" spans="1:22" x14ac:dyDescent="0.2">
      <c r="A18" s="1" t="s">
        <v>1228</v>
      </c>
      <c r="B18" s="1" t="s">
        <v>1234</v>
      </c>
      <c r="C18" s="1"/>
      <c r="D18" s="1" t="s">
        <v>1360</v>
      </c>
      <c r="E18" s="1" t="s">
        <v>1363</v>
      </c>
      <c r="F18" s="1" t="s">
        <v>46</v>
      </c>
      <c r="G18" s="1" t="s">
        <v>226</v>
      </c>
      <c r="J18" s="4">
        <v>89.4</v>
      </c>
      <c r="K18" s="4">
        <v>11.1</v>
      </c>
      <c r="M18" s="11">
        <f t="shared" si="0"/>
        <v>1.0453229787866574</v>
      </c>
      <c r="N18" s="11">
        <f>GraphBotulinum!$D$9-('C botulinum'!J18-GraphBotulinum!$D$5)/GraphBotulinum!$D$4</f>
        <v>0.17867389899729202</v>
      </c>
      <c r="O18" s="1" t="s">
        <v>786</v>
      </c>
      <c r="P18" s="1">
        <v>1997</v>
      </c>
      <c r="T18" s="10">
        <f>GraphBotulinum!$B$41*'C botulinum'!J18+GraphBotulinum!$B$42</f>
        <v>0.47855186126977811</v>
      </c>
      <c r="U18" s="10"/>
      <c r="V18" s="10">
        <f>GraphBotulinum!$G$41*'C botulinum'!J18+GraphBotulinum!$G$42</f>
        <v>0.17867389899729247</v>
      </c>
    </row>
    <row r="19" spans="1:22" x14ac:dyDescent="0.2">
      <c r="A19" s="1" t="s">
        <v>1228</v>
      </c>
      <c r="B19" s="1" t="s">
        <v>1234</v>
      </c>
      <c r="C19" s="1"/>
      <c r="D19" s="1" t="s">
        <v>1360</v>
      </c>
      <c r="E19" s="1" t="s">
        <v>1363</v>
      </c>
      <c r="F19" s="1" t="s">
        <v>46</v>
      </c>
      <c r="G19" s="1" t="s">
        <v>226</v>
      </c>
      <c r="J19" s="4">
        <v>90</v>
      </c>
      <c r="K19" s="4">
        <v>9.5</v>
      </c>
      <c r="M19" s="11">
        <f t="shared" si="0"/>
        <v>0.97772360528884772</v>
      </c>
      <c r="N19" s="11">
        <f>GraphBotulinum!$D$9-('C botulinum'!J19-GraphBotulinum!$D$5)/GraphBotulinum!$D$4</f>
        <v>0.1464186039648816</v>
      </c>
      <c r="O19" s="1" t="s">
        <v>786</v>
      </c>
      <c r="P19" s="1">
        <v>1997</v>
      </c>
      <c r="T19" s="10">
        <f>GraphBotulinum!$B$41*'C botulinum'!J19+GraphBotulinum!$B$42</f>
        <v>0.45796665261482206</v>
      </c>
      <c r="U19" s="10"/>
      <c r="V19" s="10">
        <f>GraphBotulinum!$G$41*'C botulinum'!J19+GraphBotulinum!$G$42</f>
        <v>0.14641860396488227</v>
      </c>
    </row>
    <row r="20" spans="1:22" x14ac:dyDescent="0.2">
      <c r="A20" s="1" t="s">
        <v>1228</v>
      </c>
      <c r="B20" s="1" t="s">
        <v>1234</v>
      </c>
      <c r="C20" s="1"/>
      <c r="D20" s="1" t="s">
        <v>1360</v>
      </c>
      <c r="E20" s="1" t="s">
        <v>1363</v>
      </c>
      <c r="F20" s="1" t="s">
        <v>46</v>
      </c>
      <c r="G20" s="1" t="s">
        <v>226</v>
      </c>
      <c r="J20" s="4">
        <v>90.6</v>
      </c>
      <c r="K20" s="4">
        <v>8.1999999999999993</v>
      </c>
      <c r="M20" s="11">
        <f t="shared" si="0"/>
        <v>0.91381385238371671</v>
      </c>
      <c r="N20" s="11">
        <f>GraphBotulinum!$D$9-('C botulinum'!J20-GraphBotulinum!$D$5)/GraphBotulinum!$D$4</f>
        <v>0.11416330893247095</v>
      </c>
      <c r="O20" s="1" t="s">
        <v>786</v>
      </c>
      <c r="P20" s="1">
        <v>1997</v>
      </c>
      <c r="T20" s="10">
        <f>GraphBotulinum!$B$41*'C botulinum'!J20+GraphBotulinum!$B$42</f>
        <v>0.43738144395986644</v>
      </c>
      <c r="U20" s="10"/>
      <c r="V20" s="10">
        <f>GraphBotulinum!$G$41*'C botulinum'!J20+GraphBotulinum!$G$42</f>
        <v>0.11416330893247117</v>
      </c>
    </row>
    <row r="21" spans="1:22" x14ac:dyDescent="0.2">
      <c r="A21" s="1" t="s">
        <v>1228</v>
      </c>
      <c r="B21" s="1" t="s">
        <v>1234</v>
      </c>
      <c r="C21" s="1"/>
      <c r="D21" s="1" t="s">
        <v>1360</v>
      </c>
      <c r="E21" s="1" t="s">
        <v>1363</v>
      </c>
      <c r="F21" s="1" t="s">
        <v>46</v>
      </c>
      <c r="G21" s="1" t="s">
        <v>226</v>
      </c>
      <c r="J21" s="4">
        <v>91.1</v>
      </c>
      <c r="K21" s="4">
        <v>7.1</v>
      </c>
      <c r="M21" s="11">
        <f t="shared" si="0"/>
        <v>0.85125834871907524</v>
      </c>
      <c r="N21" s="11">
        <f>GraphBotulinum!$D$9-('C botulinum'!J21-GraphBotulinum!$D$5)/GraphBotulinum!$D$4</f>
        <v>8.7283896405461858E-2</v>
      </c>
      <c r="O21" s="1" t="s">
        <v>786</v>
      </c>
      <c r="P21" s="1">
        <v>1997</v>
      </c>
      <c r="T21" s="10">
        <f>GraphBotulinum!$B$41*'C botulinum'!J21+GraphBotulinum!$B$42</f>
        <v>0.42022710341406944</v>
      </c>
      <c r="U21" s="10"/>
      <c r="V21" s="10">
        <f>GraphBotulinum!$G$41*'C botulinum'!J21+GraphBotulinum!$G$42</f>
        <v>8.728389640546208E-2</v>
      </c>
    </row>
    <row r="22" spans="1:22" x14ac:dyDescent="0.2">
      <c r="A22" s="1" t="s">
        <v>1228</v>
      </c>
      <c r="B22" s="1" t="s">
        <v>1234</v>
      </c>
      <c r="C22" s="1"/>
      <c r="D22" s="1" t="s">
        <v>1360</v>
      </c>
      <c r="E22" s="1" t="s">
        <v>1363</v>
      </c>
      <c r="F22" s="1" t="s">
        <v>46</v>
      </c>
      <c r="G22" s="1" t="s">
        <v>226</v>
      </c>
      <c r="J22" s="4">
        <v>91.7</v>
      </c>
      <c r="K22" s="4">
        <v>6.1</v>
      </c>
      <c r="M22" s="11">
        <f t="shared" si="0"/>
        <v>0.78532983501076703</v>
      </c>
      <c r="N22" s="11">
        <f>GraphBotulinum!$D$9-('C botulinum'!J22-GraphBotulinum!$D$5)/GraphBotulinum!$D$4</f>
        <v>5.5028601373050545E-2</v>
      </c>
      <c r="O22" s="1" t="s">
        <v>786</v>
      </c>
      <c r="P22" s="1">
        <v>1997</v>
      </c>
      <c r="T22" s="10">
        <f>GraphBotulinum!$B$41*'C botulinum'!J22+GraphBotulinum!$B$42</f>
        <v>0.39964189475911338</v>
      </c>
      <c r="U22" s="10"/>
      <c r="V22" s="10">
        <f>GraphBotulinum!$G$41*'C botulinum'!J22+GraphBotulinum!$G$42</f>
        <v>5.5028601373050989E-2</v>
      </c>
    </row>
    <row r="23" spans="1:22" x14ac:dyDescent="0.2">
      <c r="A23" s="1" t="s">
        <v>1228</v>
      </c>
      <c r="B23" s="1" t="s">
        <v>1234</v>
      </c>
      <c r="C23" s="1"/>
      <c r="D23" s="1" t="s">
        <v>1360</v>
      </c>
      <c r="E23" s="1" t="s">
        <v>1363</v>
      </c>
      <c r="F23" s="1" t="s">
        <v>46</v>
      </c>
      <c r="G23" s="1" t="s">
        <v>226</v>
      </c>
      <c r="J23" s="4">
        <v>92.2</v>
      </c>
      <c r="K23" s="4">
        <v>5.3</v>
      </c>
      <c r="M23" s="11">
        <f t="shared" si="0"/>
        <v>0.72427586960078905</v>
      </c>
      <c r="N23" s="11">
        <f>GraphBotulinum!$D$9-('C botulinum'!J23-GraphBotulinum!$D$5)/GraphBotulinum!$D$4</f>
        <v>2.8149188846041451E-2</v>
      </c>
      <c r="O23" s="1" t="s">
        <v>786</v>
      </c>
      <c r="P23" s="1">
        <v>1997</v>
      </c>
      <c r="T23" s="10">
        <f>GraphBotulinum!$B$41*'C botulinum'!J23+GraphBotulinum!$B$42</f>
        <v>0.38248755421331637</v>
      </c>
      <c r="U23" s="10"/>
      <c r="V23" s="10">
        <f>GraphBotulinum!$G$41*'C botulinum'!J23+GraphBotulinum!$G$42</f>
        <v>2.8149188846041895E-2</v>
      </c>
    </row>
    <row r="24" spans="1:22" x14ac:dyDescent="0.2">
      <c r="A24" s="1" t="s">
        <v>1228</v>
      </c>
      <c r="B24" s="1" t="s">
        <v>1234</v>
      </c>
      <c r="C24" s="1"/>
      <c r="D24" s="1" t="s">
        <v>1360</v>
      </c>
      <c r="E24" s="1" t="s">
        <v>1363</v>
      </c>
      <c r="F24" s="1" t="s">
        <v>46</v>
      </c>
      <c r="G24" s="1" t="s">
        <v>226</v>
      </c>
      <c r="J24" s="4">
        <v>92.8</v>
      </c>
      <c r="K24" s="4">
        <v>4.5</v>
      </c>
      <c r="M24" s="11">
        <f t="shared" si="0"/>
        <v>0.65321251377534373</v>
      </c>
      <c r="N24" s="11">
        <f>GraphBotulinum!$D$9-('C botulinum'!J24-GraphBotulinum!$D$5)/GraphBotulinum!$D$4</f>
        <v>-4.1061061863691961E-3</v>
      </c>
      <c r="O24" s="1" t="s">
        <v>786</v>
      </c>
      <c r="P24" s="1">
        <v>1997</v>
      </c>
      <c r="T24" s="10">
        <f>GraphBotulinum!$B$41*'C botulinum'!J24+GraphBotulinum!$B$42</f>
        <v>0.36190234555836076</v>
      </c>
      <c r="U24" s="10"/>
      <c r="V24" s="10">
        <f>GraphBotulinum!$G$41*'C botulinum'!J24+GraphBotulinum!$G$42</f>
        <v>-4.1061061863683079E-3</v>
      </c>
    </row>
    <row r="25" spans="1:22" x14ac:dyDescent="0.2">
      <c r="A25" s="1" t="s">
        <v>1228</v>
      </c>
      <c r="B25" s="1" t="s">
        <v>1234</v>
      </c>
      <c r="C25" s="1"/>
      <c r="D25" s="1" t="s">
        <v>1360</v>
      </c>
      <c r="E25" s="1" t="s">
        <v>1363</v>
      </c>
      <c r="F25" s="1" t="s">
        <v>46</v>
      </c>
      <c r="G25" s="1" t="s">
        <v>226</v>
      </c>
      <c r="J25" s="4">
        <v>93.3</v>
      </c>
      <c r="K25" s="4">
        <v>3.9</v>
      </c>
      <c r="M25" s="11">
        <f t="shared" si="0"/>
        <v>0.59106460702649921</v>
      </c>
      <c r="N25" s="11">
        <f>GraphBotulinum!$D$9-('C botulinum'!J25-GraphBotulinum!$D$5)/GraphBotulinum!$D$4</f>
        <v>-3.0985518713378291E-2</v>
      </c>
      <c r="O25" s="1" t="s">
        <v>786</v>
      </c>
      <c r="P25" s="1">
        <v>1997</v>
      </c>
      <c r="T25" s="10">
        <f>GraphBotulinum!$B$41*'C botulinum'!J25+GraphBotulinum!$B$42</f>
        <v>0.34474800501256375</v>
      </c>
      <c r="U25" s="10"/>
      <c r="V25" s="10">
        <f>GraphBotulinum!$G$41*'C botulinum'!J25+GraphBotulinum!$G$42</f>
        <v>-3.0985518713377402E-2</v>
      </c>
    </row>
    <row r="26" spans="1:22" x14ac:dyDescent="0.2">
      <c r="A26" s="1" t="s">
        <v>1228</v>
      </c>
      <c r="B26" s="1" t="s">
        <v>1234</v>
      </c>
      <c r="C26" s="1"/>
      <c r="D26" s="1" t="s">
        <v>1360</v>
      </c>
      <c r="E26" s="1" t="s">
        <v>1363</v>
      </c>
      <c r="F26" s="1" t="s">
        <v>46</v>
      </c>
      <c r="G26" s="1" t="s">
        <v>226</v>
      </c>
      <c r="J26" s="4">
        <v>93.9</v>
      </c>
      <c r="K26" s="4">
        <v>3.4</v>
      </c>
      <c r="M26" s="11">
        <f t="shared" si="0"/>
        <v>0.53147891704225514</v>
      </c>
      <c r="N26" s="11">
        <f>GraphBotulinum!$D$9-('C botulinum'!J26-GraphBotulinum!$D$5)/GraphBotulinum!$D$4</f>
        <v>-6.3240813745789604E-2</v>
      </c>
      <c r="O26" s="1" t="s">
        <v>786</v>
      </c>
      <c r="P26" s="1">
        <v>1997</v>
      </c>
      <c r="T26" s="10">
        <f>GraphBotulinum!$B$41*'C botulinum'!J26+GraphBotulinum!$B$42</f>
        <v>0.32416279635760725</v>
      </c>
      <c r="U26" s="10"/>
      <c r="V26" s="10">
        <f>GraphBotulinum!$G$41*'C botulinum'!J26+GraphBotulinum!$G$42</f>
        <v>-6.3240813745789382E-2</v>
      </c>
    </row>
    <row r="27" spans="1:22" x14ac:dyDescent="0.2">
      <c r="A27" s="1" t="s">
        <v>1228</v>
      </c>
      <c r="B27" s="1" t="s">
        <v>1234</v>
      </c>
      <c r="C27" s="1"/>
      <c r="D27" s="1" t="s">
        <v>1360</v>
      </c>
      <c r="E27" s="1" t="s">
        <v>1363</v>
      </c>
      <c r="F27" s="1" t="s">
        <v>46</v>
      </c>
      <c r="G27" s="1" t="s">
        <v>226</v>
      </c>
      <c r="J27" s="4">
        <v>94.4</v>
      </c>
      <c r="K27" s="4">
        <v>2.9</v>
      </c>
      <c r="M27" s="11">
        <f t="shared" si="0"/>
        <v>0.46239799789895608</v>
      </c>
      <c r="N27" s="11">
        <f>GraphBotulinum!$D$9-('C botulinum'!J27-GraphBotulinum!$D$5)/GraphBotulinum!$D$4</f>
        <v>-9.0120226272798698E-2</v>
      </c>
      <c r="O27" s="1" t="s">
        <v>786</v>
      </c>
      <c r="P27" s="1">
        <v>1997</v>
      </c>
      <c r="T27" s="10">
        <f>GraphBotulinum!$B$41*'C botulinum'!J27+GraphBotulinum!$B$42</f>
        <v>0.30700845581181069</v>
      </c>
      <c r="U27" s="10"/>
      <c r="V27" s="10">
        <f>GraphBotulinum!$G$41*'C botulinum'!J27+GraphBotulinum!$G$42</f>
        <v>-9.0120226272798476E-2</v>
      </c>
    </row>
    <row r="28" spans="1:22" x14ac:dyDescent="0.2">
      <c r="A28" s="1" t="s">
        <v>1228</v>
      </c>
      <c r="B28" s="1" t="s">
        <v>1234</v>
      </c>
      <c r="C28" s="1"/>
      <c r="D28" s="1" t="s">
        <v>303</v>
      </c>
      <c r="E28" s="1" t="s">
        <v>1363</v>
      </c>
      <c r="F28" s="1"/>
      <c r="G28" s="1" t="s">
        <v>293</v>
      </c>
      <c r="J28" s="4">
        <v>82.2</v>
      </c>
      <c r="K28" s="4">
        <v>0.49</v>
      </c>
      <c r="M28" s="11">
        <f t="shared" ref="M28:M101" si="1">LOG(K28)</f>
        <v>-0.30980391997148632</v>
      </c>
      <c r="N28" s="11">
        <f>GraphBotulinum!$D$9-('C botulinum'!J28-GraphBotulinum!$D$5)/GraphBotulinum!$D$4</f>
        <v>0.5657374393862229</v>
      </c>
      <c r="O28" s="1" t="s">
        <v>294</v>
      </c>
      <c r="P28" s="1">
        <v>2000</v>
      </c>
      <c r="T28" s="10">
        <f>GraphBotulinum!$B$41*'C botulinum'!J28+GraphBotulinum!$B$42</f>
        <v>0.72557436512925166</v>
      </c>
      <c r="U28" s="10"/>
      <c r="V28" s="10">
        <f>GraphBotulinum!$G$41*'C botulinum'!J28+GraphBotulinum!$G$42</f>
        <v>0.5657374393862229</v>
      </c>
    </row>
    <row r="29" spans="1:22" x14ac:dyDescent="0.2">
      <c r="A29" s="1" t="s">
        <v>1228</v>
      </c>
      <c r="B29" s="1" t="s">
        <v>1234</v>
      </c>
      <c r="C29" s="1"/>
      <c r="D29" s="1" t="s">
        <v>303</v>
      </c>
      <c r="E29" s="1" t="s">
        <v>1363</v>
      </c>
      <c r="F29" s="1"/>
      <c r="G29" s="1" t="s">
        <v>293</v>
      </c>
      <c r="J29" s="4">
        <v>82.2</v>
      </c>
      <c r="K29" s="4">
        <v>0.74</v>
      </c>
      <c r="M29" s="11">
        <f t="shared" si="1"/>
        <v>-0.13076828026902382</v>
      </c>
      <c r="N29" s="11">
        <f>GraphBotulinum!$D$9-('C botulinum'!J29-GraphBotulinum!$D$5)/GraphBotulinum!$D$4</f>
        <v>0.5657374393862229</v>
      </c>
      <c r="O29" s="1" t="s">
        <v>294</v>
      </c>
      <c r="P29" s="1">
        <v>2000</v>
      </c>
      <c r="T29" s="10">
        <f>GraphBotulinum!$B$41*'C botulinum'!J29+GraphBotulinum!$B$42</f>
        <v>0.72557436512925166</v>
      </c>
      <c r="U29" s="10"/>
      <c r="V29" s="10">
        <f>GraphBotulinum!$G$41*'C botulinum'!J29+GraphBotulinum!$G$42</f>
        <v>0.5657374393862229</v>
      </c>
    </row>
    <row r="30" spans="1:22" x14ac:dyDescent="0.2">
      <c r="A30" s="1" t="s">
        <v>1228</v>
      </c>
      <c r="B30" s="1" t="s">
        <v>1234</v>
      </c>
      <c r="C30" s="1">
        <v>3</v>
      </c>
      <c r="D30" s="1" t="s">
        <v>1365</v>
      </c>
      <c r="E30" s="1" t="s">
        <v>1363</v>
      </c>
      <c r="F30" s="1" t="s">
        <v>46</v>
      </c>
      <c r="G30" s="1" t="s">
        <v>1302</v>
      </c>
      <c r="J30" s="4">
        <v>73.8</v>
      </c>
      <c r="K30" s="4">
        <v>6.2</v>
      </c>
      <c r="M30" s="11">
        <f t="shared" si="1"/>
        <v>0.79239168949825389</v>
      </c>
      <c r="N30" s="11">
        <f>GraphBotulinum!$D$9-('C botulinum'!J30-GraphBotulinum!$D$5)/GraphBotulinum!$D$4</f>
        <v>1.0173115698399755</v>
      </c>
      <c r="O30" s="2" t="s">
        <v>1226</v>
      </c>
      <c r="P30" s="2">
        <v>1996</v>
      </c>
      <c r="Q30" t="s">
        <v>1303</v>
      </c>
      <c r="T30" s="10">
        <f>GraphBotulinum!$B$41*'C botulinum'!J30+GraphBotulinum!$B$42</f>
        <v>1.0137672862986369</v>
      </c>
      <c r="U30" s="10"/>
      <c r="V30" s="10">
        <f>GraphBotulinum!$G$41*'C botulinum'!J30+GraphBotulinum!$G$42</f>
        <v>1.0173115698399759</v>
      </c>
    </row>
    <row r="31" spans="1:22" x14ac:dyDescent="0.2">
      <c r="A31" s="1" t="s">
        <v>1228</v>
      </c>
      <c r="B31" s="1" t="s">
        <v>1234</v>
      </c>
      <c r="C31" s="1">
        <v>3</v>
      </c>
      <c r="D31" s="1" t="s">
        <v>1365</v>
      </c>
      <c r="E31" s="1" t="s">
        <v>1363</v>
      </c>
      <c r="F31" s="1" t="s">
        <v>46</v>
      </c>
      <c r="G31" s="1" t="s">
        <v>1302</v>
      </c>
      <c r="J31" s="4">
        <v>73.8</v>
      </c>
      <c r="K31" s="4">
        <v>10.8</v>
      </c>
      <c r="M31" s="11">
        <f t="shared" si="1"/>
        <v>1.0334237554869496</v>
      </c>
      <c r="N31" s="11">
        <f>GraphBotulinum!$D$9-('C botulinum'!J31-GraphBotulinum!$D$5)/GraphBotulinum!$D$4</f>
        <v>1.0173115698399755</v>
      </c>
      <c r="O31" s="2" t="s">
        <v>1226</v>
      </c>
      <c r="P31" s="2">
        <v>1996</v>
      </c>
      <c r="Q31" t="s">
        <v>1303</v>
      </c>
      <c r="T31" s="10">
        <f>GraphBotulinum!$B$41*'C botulinum'!J31+GraphBotulinum!$B$42</f>
        <v>1.0137672862986369</v>
      </c>
      <c r="U31" s="10"/>
      <c r="V31" s="10">
        <f>GraphBotulinum!$G$41*'C botulinum'!J31+GraphBotulinum!$G$42</f>
        <v>1.0173115698399759</v>
      </c>
    </row>
    <row r="32" spans="1:22" x14ac:dyDescent="0.2">
      <c r="A32" s="1" t="s">
        <v>1228</v>
      </c>
      <c r="B32" s="1" t="s">
        <v>1234</v>
      </c>
      <c r="C32" s="1">
        <v>3</v>
      </c>
      <c r="D32" s="1" t="s">
        <v>1365</v>
      </c>
      <c r="E32" s="1" t="s">
        <v>1363</v>
      </c>
      <c r="F32" s="1" t="s">
        <v>46</v>
      </c>
      <c r="G32" s="1" t="s">
        <v>1302</v>
      </c>
      <c r="J32" s="4">
        <v>76.599999999999994</v>
      </c>
      <c r="K32" s="4">
        <v>1.5</v>
      </c>
      <c r="M32" s="11">
        <f t="shared" si="1"/>
        <v>0.17609125905568124</v>
      </c>
      <c r="N32" s="11">
        <f>GraphBotulinum!$D$9-('C botulinum'!J32-GraphBotulinum!$D$5)/GraphBotulinum!$D$4</f>
        <v>0.86678685968872493</v>
      </c>
      <c r="O32" s="2" t="s">
        <v>1226</v>
      </c>
      <c r="P32" s="2">
        <v>1996</v>
      </c>
      <c r="Q32" t="s">
        <v>1303</v>
      </c>
      <c r="T32" s="10">
        <f>GraphBotulinum!$B$41*'C botulinum'!J32+GraphBotulinum!$B$42</f>
        <v>0.91770297924217514</v>
      </c>
      <c r="U32" s="10"/>
      <c r="V32" s="10">
        <f>GraphBotulinum!$G$41*'C botulinum'!J32+GraphBotulinum!$G$42</f>
        <v>0.86678685968872493</v>
      </c>
    </row>
    <row r="33" spans="1:22" x14ac:dyDescent="0.2">
      <c r="A33" s="1" t="s">
        <v>1228</v>
      </c>
      <c r="B33" s="1" t="s">
        <v>1234</v>
      </c>
      <c r="C33" s="1">
        <v>3</v>
      </c>
      <c r="D33" s="1" t="s">
        <v>1365</v>
      </c>
      <c r="E33" s="1" t="s">
        <v>1363</v>
      </c>
      <c r="F33" s="1" t="s">
        <v>46</v>
      </c>
      <c r="G33" s="1" t="s">
        <v>1302</v>
      </c>
      <c r="J33" s="4">
        <v>76.599999999999994</v>
      </c>
      <c r="K33" s="4">
        <v>2.8</v>
      </c>
      <c r="M33" s="11">
        <f t="shared" si="1"/>
        <v>0.44715803134221921</v>
      </c>
      <c r="N33" s="11">
        <f>GraphBotulinum!$D$9-('C botulinum'!J33-GraphBotulinum!$D$5)/GraphBotulinum!$D$4</f>
        <v>0.86678685968872493</v>
      </c>
      <c r="O33" s="2" t="s">
        <v>1226</v>
      </c>
      <c r="P33" s="2">
        <v>1996</v>
      </c>
      <c r="Q33" t="s">
        <v>1303</v>
      </c>
      <c r="T33" s="10">
        <f>GraphBotulinum!$B$41*'C botulinum'!J33+GraphBotulinum!$B$42</f>
        <v>0.91770297924217514</v>
      </c>
      <c r="U33" s="10"/>
      <c r="V33" s="10">
        <f>GraphBotulinum!$G$41*'C botulinum'!J33+GraphBotulinum!$G$42</f>
        <v>0.86678685968872493</v>
      </c>
    </row>
    <row r="34" spans="1:22" x14ac:dyDescent="0.2">
      <c r="A34" s="1" t="s">
        <v>1228</v>
      </c>
      <c r="B34" s="1" t="s">
        <v>1234</v>
      </c>
      <c r="C34" s="1">
        <v>3</v>
      </c>
      <c r="D34" s="1" t="s">
        <v>1365</v>
      </c>
      <c r="E34" s="1" t="s">
        <v>1363</v>
      </c>
      <c r="F34" s="1" t="s">
        <v>46</v>
      </c>
      <c r="G34" s="1" t="s">
        <v>1302</v>
      </c>
      <c r="J34" s="4">
        <v>79.400000000000006</v>
      </c>
      <c r="K34" s="4">
        <v>0.7</v>
      </c>
      <c r="M34" s="11">
        <f t="shared" si="1"/>
        <v>-0.15490195998574319</v>
      </c>
      <c r="N34" s="11">
        <f>GraphBotulinum!$D$9-('C botulinum'!J34-GraphBotulinum!$D$5)/GraphBotulinum!$D$4</f>
        <v>0.71626214953747347</v>
      </c>
      <c r="O34" s="2" t="s">
        <v>1226</v>
      </c>
      <c r="P34" s="2">
        <v>1996</v>
      </c>
      <c r="Q34" t="s">
        <v>1303</v>
      </c>
      <c r="T34" s="10">
        <f>GraphBotulinum!$B$41*'C botulinum'!J34+GraphBotulinum!$B$42</f>
        <v>0.82163867218571296</v>
      </c>
      <c r="U34" s="10"/>
      <c r="V34" s="10">
        <f>GraphBotulinum!$G$41*'C botulinum'!J34+GraphBotulinum!$G$42</f>
        <v>0.71626214953747347</v>
      </c>
    </row>
    <row r="35" spans="1:22" x14ac:dyDescent="0.2">
      <c r="A35" s="1" t="s">
        <v>1228</v>
      </c>
      <c r="B35" s="1" t="s">
        <v>1234</v>
      </c>
      <c r="C35" s="1">
        <v>3</v>
      </c>
      <c r="D35" s="1" t="s">
        <v>1365</v>
      </c>
      <c r="E35" s="1" t="s">
        <v>1363</v>
      </c>
      <c r="F35" s="1" t="s">
        <v>46</v>
      </c>
      <c r="G35" s="1" t="s">
        <v>1302</v>
      </c>
      <c r="J35" s="4">
        <v>79.400000000000006</v>
      </c>
      <c r="K35" s="4">
        <v>1.3</v>
      </c>
      <c r="M35" s="11">
        <f t="shared" si="1"/>
        <v>0.11394335230683679</v>
      </c>
      <c r="N35" s="11">
        <f>GraphBotulinum!$D$9-('C botulinum'!J35-GraphBotulinum!$D$5)/GraphBotulinum!$D$4</f>
        <v>0.71626214953747347</v>
      </c>
      <c r="O35" s="2" t="s">
        <v>1226</v>
      </c>
      <c r="P35" s="2">
        <v>1996</v>
      </c>
      <c r="Q35" t="s">
        <v>1303</v>
      </c>
      <c r="T35" s="10">
        <f>GraphBotulinum!$B$41*'C botulinum'!J35+GraphBotulinum!$B$42</f>
        <v>0.82163867218571296</v>
      </c>
      <c r="U35" s="10"/>
      <c r="V35" s="10">
        <f>GraphBotulinum!$G$41*'C botulinum'!J35+GraphBotulinum!$G$42</f>
        <v>0.71626214953747347</v>
      </c>
    </row>
    <row r="36" spans="1:22" x14ac:dyDescent="0.2">
      <c r="A36" s="1" t="s">
        <v>1228</v>
      </c>
      <c r="B36" s="1" t="s">
        <v>1234</v>
      </c>
      <c r="C36" s="1">
        <v>3</v>
      </c>
      <c r="D36" s="1" t="s">
        <v>1365</v>
      </c>
      <c r="E36" s="1" t="s">
        <v>1363</v>
      </c>
      <c r="F36" s="1" t="s">
        <v>46</v>
      </c>
      <c r="G36" s="1" t="s">
        <v>1302</v>
      </c>
      <c r="J36" s="4">
        <v>82.2</v>
      </c>
      <c r="K36" s="4">
        <v>0.4</v>
      </c>
      <c r="M36" s="11">
        <f t="shared" si="1"/>
        <v>-0.3979400086720376</v>
      </c>
      <c r="N36" s="11">
        <f>GraphBotulinum!$D$9-('C botulinum'!J36-GraphBotulinum!$D$5)/GraphBotulinum!$D$4</f>
        <v>0.5657374393862229</v>
      </c>
      <c r="O36" s="2" t="s">
        <v>1226</v>
      </c>
      <c r="P36" s="2">
        <v>1996</v>
      </c>
      <c r="Q36" t="s">
        <v>1303</v>
      </c>
      <c r="T36" s="10">
        <f>GraphBotulinum!$B$41*'C botulinum'!J36+GraphBotulinum!$B$42</f>
        <v>0.72557436512925166</v>
      </c>
      <c r="U36" s="10"/>
      <c r="V36" s="10">
        <f>GraphBotulinum!$G$41*'C botulinum'!J36+GraphBotulinum!$G$42</f>
        <v>0.5657374393862229</v>
      </c>
    </row>
    <row r="37" spans="1:22" x14ac:dyDescent="0.2">
      <c r="A37" s="1" t="s">
        <v>1228</v>
      </c>
      <c r="B37" s="1" t="s">
        <v>1234</v>
      </c>
      <c r="C37" s="1">
        <v>3</v>
      </c>
      <c r="D37" s="1" t="s">
        <v>1365</v>
      </c>
      <c r="E37" s="1" t="s">
        <v>1363</v>
      </c>
      <c r="F37" s="1" t="s">
        <v>46</v>
      </c>
      <c r="G37" s="1" t="s">
        <v>1302</v>
      </c>
      <c r="J37" s="4">
        <v>82.2</v>
      </c>
      <c r="K37" s="4">
        <v>0.6</v>
      </c>
      <c r="M37" s="11">
        <f t="shared" si="1"/>
        <v>-0.22184874961635639</v>
      </c>
      <c r="N37" s="11">
        <f>GraphBotulinum!$D$9-('C botulinum'!J37-GraphBotulinum!$D$5)/GraphBotulinum!$D$4</f>
        <v>0.5657374393862229</v>
      </c>
      <c r="O37" s="2" t="s">
        <v>1226</v>
      </c>
      <c r="P37" s="2">
        <v>1996</v>
      </c>
      <c r="Q37" t="s">
        <v>1303</v>
      </c>
      <c r="T37" s="10">
        <f>GraphBotulinum!$B$41*'C botulinum'!J37+GraphBotulinum!$B$42</f>
        <v>0.72557436512925166</v>
      </c>
      <c r="U37" s="10"/>
      <c r="V37" s="10">
        <f>GraphBotulinum!$G$41*'C botulinum'!J37+GraphBotulinum!$G$42</f>
        <v>0.5657374393862229</v>
      </c>
    </row>
    <row r="38" spans="1:22" x14ac:dyDescent="0.2">
      <c r="A38" s="1" t="s">
        <v>1228</v>
      </c>
      <c r="B38" s="1" t="s">
        <v>1234</v>
      </c>
      <c r="C38" s="1">
        <v>3</v>
      </c>
      <c r="D38" s="1" t="s">
        <v>1365</v>
      </c>
      <c r="E38" s="1" t="s">
        <v>1363</v>
      </c>
      <c r="F38" s="1" t="s">
        <v>46</v>
      </c>
      <c r="G38" s="1" t="s">
        <v>1302</v>
      </c>
      <c r="J38" s="4">
        <v>85</v>
      </c>
      <c r="K38" s="4">
        <v>0.15</v>
      </c>
      <c r="M38" s="11">
        <f t="shared" si="1"/>
        <v>-0.82390874094431876</v>
      </c>
      <c r="N38" s="11">
        <f>GraphBotulinum!$D$9-('C botulinum'!J38-GraphBotulinum!$D$5)/GraphBotulinum!$D$4</f>
        <v>0.4152127292349721</v>
      </c>
      <c r="O38" s="2" t="s">
        <v>1226</v>
      </c>
      <c r="P38" s="2">
        <v>1996</v>
      </c>
      <c r="Q38" t="s">
        <v>1303</v>
      </c>
      <c r="T38" s="10">
        <f>GraphBotulinum!$B$41*'C botulinum'!J38+GraphBotulinum!$B$42</f>
        <v>0.62951005807278992</v>
      </c>
      <c r="U38" s="10"/>
      <c r="V38" s="10">
        <f>GraphBotulinum!$G$41*'C botulinum'!J38+GraphBotulinum!$G$42</f>
        <v>0.41521272923497232</v>
      </c>
    </row>
    <row r="39" spans="1:22" x14ac:dyDescent="0.2">
      <c r="A39" s="1" t="s">
        <v>1228</v>
      </c>
      <c r="B39" s="1" t="s">
        <v>1234</v>
      </c>
      <c r="C39" s="1">
        <v>3</v>
      </c>
      <c r="D39" s="1" t="s">
        <v>1365</v>
      </c>
      <c r="E39" s="1" t="s">
        <v>1363</v>
      </c>
      <c r="F39" s="1" t="s">
        <v>46</v>
      </c>
      <c r="G39" s="1" t="s">
        <v>1302</v>
      </c>
      <c r="J39" s="4">
        <v>73.8</v>
      </c>
      <c r="K39" s="4">
        <v>6.2</v>
      </c>
      <c r="M39" s="11">
        <f t="shared" si="1"/>
        <v>0.79239168949825389</v>
      </c>
      <c r="N39" s="11">
        <f>GraphBotulinum!$D$9-('C botulinum'!J39-GraphBotulinum!$D$5)/GraphBotulinum!$D$4</f>
        <v>1.0173115698399755</v>
      </c>
      <c r="O39" s="2" t="s">
        <v>1226</v>
      </c>
      <c r="P39" s="2">
        <v>1996</v>
      </c>
      <c r="Q39" t="s">
        <v>1304</v>
      </c>
      <c r="T39" s="10">
        <f>GraphBotulinum!$B$41*'C botulinum'!J39+GraphBotulinum!$B$42</f>
        <v>1.0137672862986369</v>
      </c>
      <c r="U39" s="10"/>
      <c r="V39" s="10">
        <f>GraphBotulinum!$G$41*'C botulinum'!J39+GraphBotulinum!$G$42</f>
        <v>1.0173115698399759</v>
      </c>
    </row>
    <row r="40" spans="1:22" x14ac:dyDescent="0.2">
      <c r="A40" s="1" t="s">
        <v>1228</v>
      </c>
      <c r="B40" s="1" t="s">
        <v>1234</v>
      </c>
      <c r="C40" s="1">
        <v>3</v>
      </c>
      <c r="D40" s="1" t="s">
        <v>1365</v>
      </c>
      <c r="E40" s="1" t="s">
        <v>1363</v>
      </c>
      <c r="F40" s="1" t="s">
        <v>46</v>
      </c>
      <c r="G40" s="1" t="s">
        <v>1302</v>
      </c>
      <c r="J40" s="4">
        <v>73.8</v>
      </c>
      <c r="K40" s="4">
        <v>11.2</v>
      </c>
      <c r="M40" s="11">
        <f t="shared" si="1"/>
        <v>1.0492180226701815</v>
      </c>
      <c r="N40" s="11">
        <f>GraphBotulinum!$D$9-('C botulinum'!J40-GraphBotulinum!$D$5)/GraphBotulinum!$D$4</f>
        <v>1.0173115698399755</v>
      </c>
      <c r="O40" s="2" t="s">
        <v>1226</v>
      </c>
      <c r="P40" s="2">
        <v>1996</v>
      </c>
      <c r="Q40" t="s">
        <v>1304</v>
      </c>
      <c r="T40" s="10">
        <f>GraphBotulinum!$B$41*'C botulinum'!J40+GraphBotulinum!$B$42</f>
        <v>1.0137672862986369</v>
      </c>
      <c r="U40" s="10"/>
      <c r="V40" s="10">
        <f>GraphBotulinum!$G$41*'C botulinum'!J40+GraphBotulinum!$G$42</f>
        <v>1.0173115698399759</v>
      </c>
    </row>
    <row r="41" spans="1:22" x14ac:dyDescent="0.2">
      <c r="A41" s="1" t="s">
        <v>1228</v>
      </c>
      <c r="B41" s="1" t="s">
        <v>1234</v>
      </c>
      <c r="C41" s="1">
        <v>3</v>
      </c>
      <c r="D41" s="1" t="s">
        <v>1365</v>
      </c>
      <c r="E41" s="1" t="s">
        <v>1363</v>
      </c>
      <c r="F41" s="1" t="s">
        <v>46</v>
      </c>
      <c r="G41" s="1" t="s">
        <v>1302</v>
      </c>
      <c r="J41" s="4">
        <v>76.599999999999994</v>
      </c>
      <c r="K41" s="4">
        <v>1.7</v>
      </c>
      <c r="M41" s="11">
        <f t="shared" si="1"/>
        <v>0.23044892137827391</v>
      </c>
      <c r="N41" s="11">
        <f>GraphBotulinum!$D$9-('C botulinum'!J41-GraphBotulinum!$D$5)/GraphBotulinum!$D$4</f>
        <v>0.86678685968872493</v>
      </c>
      <c r="O41" s="2" t="s">
        <v>1226</v>
      </c>
      <c r="P41" s="2">
        <v>1996</v>
      </c>
      <c r="Q41" t="s">
        <v>1304</v>
      </c>
      <c r="T41" s="10">
        <f>GraphBotulinum!$B$41*'C botulinum'!J41+GraphBotulinum!$B$42</f>
        <v>0.91770297924217514</v>
      </c>
      <c r="U41" s="10"/>
      <c r="V41" s="10">
        <f>GraphBotulinum!$G$41*'C botulinum'!J41+GraphBotulinum!$G$42</f>
        <v>0.86678685968872493</v>
      </c>
    </row>
    <row r="42" spans="1:22" x14ac:dyDescent="0.2">
      <c r="A42" s="1" t="s">
        <v>1228</v>
      </c>
      <c r="B42" s="1" t="s">
        <v>1234</v>
      </c>
      <c r="C42" s="1">
        <v>3</v>
      </c>
      <c r="D42" s="1" t="s">
        <v>1365</v>
      </c>
      <c r="E42" s="1" t="s">
        <v>1363</v>
      </c>
      <c r="F42" s="1" t="s">
        <v>46</v>
      </c>
      <c r="G42" s="1" t="s">
        <v>1302</v>
      </c>
      <c r="J42" s="4">
        <v>76.599999999999994</v>
      </c>
      <c r="K42" s="4">
        <v>2.8</v>
      </c>
      <c r="M42" s="11">
        <f t="shared" si="1"/>
        <v>0.44715803134221921</v>
      </c>
      <c r="N42" s="11">
        <f>GraphBotulinum!$D$9-('C botulinum'!J42-GraphBotulinum!$D$5)/GraphBotulinum!$D$4</f>
        <v>0.86678685968872493</v>
      </c>
      <c r="O42" s="2" t="s">
        <v>1226</v>
      </c>
      <c r="P42" s="2">
        <v>1996</v>
      </c>
      <c r="Q42" t="s">
        <v>1304</v>
      </c>
      <c r="T42" s="10">
        <f>GraphBotulinum!$B$41*'C botulinum'!J42+GraphBotulinum!$B$42</f>
        <v>0.91770297924217514</v>
      </c>
      <c r="U42" s="10"/>
      <c r="V42" s="10">
        <f>GraphBotulinum!$G$41*'C botulinum'!J42+GraphBotulinum!$G$42</f>
        <v>0.86678685968872493</v>
      </c>
    </row>
    <row r="43" spans="1:22" x14ac:dyDescent="0.2">
      <c r="A43" s="1" t="s">
        <v>1228</v>
      </c>
      <c r="B43" s="1" t="s">
        <v>1234</v>
      </c>
      <c r="C43" s="1">
        <v>3</v>
      </c>
      <c r="D43" s="1" t="s">
        <v>1365</v>
      </c>
      <c r="E43" s="1" t="s">
        <v>1363</v>
      </c>
      <c r="F43" s="1" t="s">
        <v>46</v>
      </c>
      <c r="G43" s="1" t="s">
        <v>1302</v>
      </c>
      <c r="J43" s="4">
        <v>79.400000000000006</v>
      </c>
      <c r="K43" s="4">
        <v>1.1000000000000001</v>
      </c>
      <c r="M43" s="11">
        <f t="shared" si="1"/>
        <v>4.1392685158225077E-2</v>
      </c>
      <c r="N43" s="11">
        <f>GraphBotulinum!$D$9-('C botulinum'!J43-GraphBotulinum!$D$5)/GraphBotulinum!$D$4</f>
        <v>0.71626214953747347</v>
      </c>
      <c r="O43" s="2" t="s">
        <v>1226</v>
      </c>
      <c r="P43" s="2">
        <v>1996</v>
      </c>
      <c r="Q43" t="s">
        <v>1304</v>
      </c>
      <c r="T43" s="10">
        <f>GraphBotulinum!$B$41*'C botulinum'!J43+GraphBotulinum!$B$42</f>
        <v>0.82163867218571296</v>
      </c>
      <c r="U43" s="10"/>
      <c r="V43" s="10">
        <f>GraphBotulinum!$G$41*'C botulinum'!J43+GraphBotulinum!$G$42</f>
        <v>0.71626214953747347</v>
      </c>
    </row>
    <row r="44" spans="1:22" x14ac:dyDescent="0.2">
      <c r="A44" s="1" t="s">
        <v>1228</v>
      </c>
      <c r="B44" s="1" t="s">
        <v>1234</v>
      </c>
      <c r="C44" s="1">
        <v>3</v>
      </c>
      <c r="D44" s="1" t="s">
        <v>1365</v>
      </c>
      <c r="E44" s="1" t="s">
        <v>1363</v>
      </c>
      <c r="F44" s="1" t="s">
        <v>46</v>
      </c>
      <c r="G44" s="1" t="s">
        <v>1302</v>
      </c>
      <c r="J44" s="4">
        <v>79.400000000000006</v>
      </c>
      <c r="K44" s="4">
        <v>1.5</v>
      </c>
      <c r="M44" s="11">
        <f t="shared" si="1"/>
        <v>0.17609125905568124</v>
      </c>
      <c r="N44" s="11">
        <f>GraphBotulinum!$D$9-('C botulinum'!J44-GraphBotulinum!$D$5)/GraphBotulinum!$D$4</f>
        <v>0.71626214953747347</v>
      </c>
      <c r="O44" s="2" t="s">
        <v>1226</v>
      </c>
      <c r="P44" s="2">
        <v>1996</v>
      </c>
      <c r="Q44" t="s">
        <v>1304</v>
      </c>
      <c r="T44" s="10">
        <f>GraphBotulinum!$B$41*'C botulinum'!J44+GraphBotulinum!$B$42</f>
        <v>0.82163867218571296</v>
      </c>
      <c r="U44" s="10"/>
      <c r="V44" s="10">
        <f>GraphBotulinum!$G$41*'C botulinum'!J44+GraphBotulinum!$G$42</f>
        <v>0.71626214953747347</v>
      </c>
    </row>
    <row r="45" spans="1:22" x14ac:dyDescent="0.2">
      <c r="A45" s="1" t="s">
        <v>1228</v>
      </c>
      <c r="B45" s="1" t="s">
        <v>1234</v>
      </c>
      <c r="C45" s="1">
        <v>3</v>
      </c>
      <c r="D45" s="1" t="s">
        <v>1365</v>
      </c>
      <c r="E45" s="1" t="s">
        <v>1363</v>
      </c>
      <c r="F45" s="1" t="s">
        <v>46</v>
      </c>
      <c r="G45" s="1" t="s">
        <v>1302</v>
      </c>
      <c r="J45" s="4">
        <v>82.2</v>
      </c>
      <c r="K45" s="4">
        <v>0.5</v>
      </c>
      <c r="M45" s="11">
        <f t="shared" si="1"/>
        <v>-0.3010299956639812</v>
      </c>
      <c r="N45" s="11">
        <f>GraphBotulinum!$D$9-('C botulinum'!J45-GraphBotulinum!$D$5)/GraphBotulinum!$D$4</f>
        <v>0.5657374393862229</v>
      </c>
      <c r="O45" s="2" t="s">
        <v>1226</v>
      </c>
      <c r="P45" s="2">
        <v>1996</v>
      </c>
      <c r="Q45" t="s">
        <v>1304</v>
      </c>
      <c r="T45" s="10">
        <f>GraphBotulinum!$B$41*'C botulinum'!J45+GraphBotulinum!$B$42</f>
        <v>0.72557436512925166</v>
      </c>
      <c r="U45" s="10"/>
      <c r="V45" s="10">
        <f>GraphBotulinum!$G$41*'C botulinum'!J45+GraphBotulinum!$G$42</f>
        <v>0.5657374393862229</v>
      </c>
    </row>
    <row r="46" spans="1:22" x14ac:dyDescent="0.2">
      <c r="A46" s="1" t="s">
        <v>1228</v>
      </c>
      <c r="B46" s="1" t="s">
        <v>1234</v>
      </c>
      <c r="C46" s="1">
        <v>3</v>
      </c>
      <c r="D46" s="1" t="s">
        <v>1365</v>
      </c>
      <c r="E46" s="1" t="s">
        <v>1363</v>
      </c>
      <c r="F46" s="1" t="s">
        <v>46</v>
      </c>
      <c r="G46" s="1" t="s">
        <v>1302</v>
      </c>
      <c r="J46" s="4">
        <v>82.2</v>
      </c>
      <c r="K46" s="4">
        <v>0.8</v>
      </c>
      <c r="M46" s="11">
        <f t="shared" si="1"/>
        <v>-9.6910013008056392E-2</v>
      </c>
      <c r="N46" s="11">
        <f>GraphBotulinum!$D$9-('C botulinum'!J46-GraphBotulinum!$D$5)/GraphBotulinum!$D$4</f>
        <v>0.5657374393862229</v>
      </c>
      <c r="O46" s="2" t="s">
        <v>1226</v>
      </c>
      <c r="P46" s="2">
        <v>1996</v>
      </c>
      <c r="Q46" t="s">
        <v>1304</v>
      </c>
      <c r="T46" s="10">
        <f>GraphBotulinum!$B$41*'C botulinum'!J46+GraphBotulinum!$B$42</f>
        <v>0.72557436512925166</v>
      </c>
      <c r="U46" s="10"/>
      <c r="V46" s="10">
        <f>GraphBotulinum!$G$41*'C botulinum'!J46+GraphBotulinum!$G$42</f>
        <v>0.5657374393862229</v>
      </c>
    </row>
    <row r="47" spans="1:22" x14ac:dyDescent="0.2">
      <c r="A47" s="1" t="s">
        <v>1228</v>
      </c>
      <c r="B47" s="1" t="s">
        <v>1234</v>
      </c>
      <c r="C47" s="1">
        <v>3</v>
      </c>
      <c r="D47" s="1" t="s">
        <v>1365</v>
      </c>
      <c r="E47" s="1" t="s">
        <v>1363</v>
      </c>
      <c r="F47" s="1" t="s">
        <v>46</v>
      </c>
      <c r="G47" s="1" t="s">
        <v>1302</v>
      </c>
      <c r="J47" s="4">
        <v>85</v>
      </c>
      <c r="K47" s="4">
        <v>0.3</v>
      </c>
      <c r="M47" s="11">
        <f t="shared" si="1"/>
        <v>-0.52287874528033762</v>
      </c>
      <c r="N47" s="11">
        <f>GraphBotulinum!$D$9-('C botulinum'!J47-GraphBotulinum!$D$5)/GraphBotulinum!$D$4</f>
        <v>0.4152127292349721</v>
      </c>
      <c r="O47" s="2" t="s">
        <v>1226</v>
      </c>
      <c r="P47" s="2">
        <v>1996</v>
      </c>
      <c r="Q47" t="s">
        <v>1304</v>
      </c>
      <c r="T47" s="10">
        <f>GraphBotulinum!$B$41*'C botulinum'!J47+GraphBotulinum!$B$42</f>
        <v>0.62951005807278992</v>
      </c>
      <c r="U47" s="10"/>
      <c r="V47" s="10">
        <f>GraphBotulinum!$G$41*'C botulinum'!J47+GraphBotulinum!$G$42</f>
        <v>0.41521272923497232</v>
      </c>
    </row>
    <row r="48" spans="1:22" x14ac:dyDescent="0.2">
      <c r="A48" s="1" t="s">
        <v>1228</v>
      </c>
      <c r="B48" s="1" t="s">
        <v>1234</v>
      </c>
      <c r="C48" s="1">
        <v>5</v>
      </c>
      <c r="D48" s="1" t="s">
        <v>1365</v>
      </c>
      <c r="E48" s="1" t="s">
        <v>1363</v>
      </c>
      <c r="F48" s="1" t="s">
        <v>46</v>
      </c>
      <c r="G48" s="1" t="s">
        <v>1299</v>
      </c>
      <c r="J48" s="4">
        <v>74</v>
      </c>
      <c r="K48" s="4">
        <v>6.8</v>
      </c>
      <c r="M48" s="11">
        <f t="shared" si="1"/>
        <v>0.83250891270623628</v>
      </c>
      <c r="N48" s="11">
        <f>GraphBotulinum!$D$9-('C botulinum'!J48-GraphBotulinum!$D$5)/GraphBotulinum!$D$4</f>
        <v>1.0065598048291715</v>
      </c>
      <c r="O48" s="2" t="s">
        <v>1226</v>
      </c>
      <c r="P48" s="2">
        <v>1996</v>
      </c>
      <c r="T48" s="10">
        <f>GraphBotulinum!$B$41*'C botulinum'!J48+GraphBotulinum!$B$42</f>
        <v>1.0069055500803183</v>
      </c>
      <c r="U48" s="10"/>
      <c r="V48" s="10">
        <f>GraphBotulinum!$G$41*'C botulinum'!J48+GraphBotulinum!$G$42</f>
        <v>1.006559804829172</v>
      </c>
    </row>
    <row r="49" spans="1:22" x14ac:dyDescent="0.2">
      <c r="A49" s="1" t="s">
        <v>1228</v>
      </c>
      <c r="B49" s="1" t="s">
        <v>1234</v>
      </c>
      <c r="C49" s="1">
        <v>5</v>
      </c>
      <c r="D49" s="1" t="s">
        <v>1365</v>
      </c>
      <c r="E49" s="1" t="s">
        <v>1363</v>
      </c>
      <c r="F49" s="1" t="s">
        <v>46</v>
      </c>
      <c r="G49" s="1" t="s">
        <v>1299</v>
      </c>
      <c r="J49" s="4">
        <v>74</v>
      </c>
      <c r="K49" s="4">
        <v>13</v>
      </c>
      <c r="M49" s="11">
        <f t="shared" si="1"/>
        <v>1.1139433523068367</v>
      </c>
      <c r="N49" s="11">
        <f>GraphBotulinum!$D$9-('C botulinum'!J49-GraphBotulinum!$D$5)/GraphBotulinum!$D$4</f>
        <v>1.0065598048291715</v>
      </c>
      <c r="O49" s="2" t="s">
        <v>1226</v>
      </c>
      <c r="P49" s="2">
        <v>1996</v>
      </c>
      <c r="T49" s="10">
        <f>GraphBotulinum!$B$41*'C botulinum'!J49+GraphBotulinum!$B$42</f>
        <v>1.0069055500803183</v>
      </c>
      <c r="U49" s="10"/>
      <c r="V49" s="10">
        <f>GraphBotulinum!$G$41*'C botulinum'!J49+GraphBotulinum!$G$42</f>
        <v>1.006559804829172</v>
      </c>
    </row>
    <row r="50" spans="1:22" x14ac:dyDescent="0.2">
      <c r="A50" s="1" t="s">
        <v>1228</v>
      </c>
      <c r="B50" s="1" t="s">
        <v>1234</v>
      </c>
      <c r="C50" s="1">
        <v>5</v>
      </c>
      <c r="D50" s="1" t="s">
        <v>1365</v>
      </c>
      <c r="E50" s="1" t="s">
        <v>1363</v>
      </c>
      <c r="F50" s="1" t="s">
        <v>46</v>
      </c>
      <c r="G50" s="1" t="s">
        <v>1299</v>
      </c>
      <c r="J50" s="4">
        <v>76.7</v>
      </c>
      <c r="K50" s="4">
        <v>2.4</v>
      </c>
      <c r="M50" s="11">
        <f t="shared" si="1"/>
        <v>0.38021124171160603</v>
      </c>
      <c r="N50" s="11">
        <f>GraphBotulinum!$D$9-('C botulinum'!J50-GraphBotulinum!$D$5)/GraphBotulinum!$D$4</f>
        <v>0.86141097718332249</v>
      </c>
      <c r="O50" s="2" t="s">
        <v>1226</v>
      </c>
      <c r="P50" s="2">
        <v>1996</v>
      </c>
      <c r="T50" s="10">
        <f>GraphBotulinum!$B$41*'C botulinum'!J50+GraphBotulinum!$B$42</f>
        <v>0.91427211113301565</v>
      </c>
      <c r="U50" s="10"/>
      <c r="V50" s="10">
        <f>GraphBotulinum!$G$41*'C botulinum'!J50+GraphBotulinum!$G$42</f>
        <v>0.86141097718332293</v>
      </c>
    </row>
    <row r="51" spans="1:22" x14ac:dyDescent="0.2">
      <c r="A51" s="1" t="s">
        <v>1228</v>
      </c>
      <c r="B51" s="1" t="s">
        <v>1234</v>
      </c>
      <c r="C51" s="1">
        <v>5</v>
      </c>
      <c r="D51" s="1" t="s">
        <v>1365</v>
      </c>
      <c r="E51" s="1" t="s">
        <v>1363</v>
      </c>
      <c r="F51" s="1" t="s">
        <v>46</v>
      </c>
      <c r="G51" s="1" t="s">
        <v>1299</v>
      </c>
      <c r="J51" s="4">
        <v>76.7</v>
      </c>
      <c r="K51" s="4">
        <v>4.0999999999999996</v>
      </c>
      <c r="M51" s="11">
        <f t="shared" si="1"/>
        <v>0.61278385671973545</v>
      </c>
      <c r="N51" s="11">
        <f>GraphBotulinum!$D$9-('C botulinum'!J51-GraphBotulinum!$D$5)/GraphBotulinum!$D$4</f>
        <v>0.86141097718332249</v>
      </c>
      <c r="O51" s="2" t="s">
        <v>1226</v>
      </c>
      <c r="P51" s="2">
        <v>1996</v>
      </c>
      <c r="T51" s="10">
        <f>GraphBotulinum!$B$41*'C botulinum'!J51+GraphBotulinum!$B$42</f>
        <v>0.91427211113301565</v>
      </c>
      <c r="U51" s="10"/>
      <c r="V51" s="10">
        <f>GraphBotulinum!$G$41*'C botulinum'!J51+GraphBotulinum!$G$42</f>
        <v>0.86141097718332293</v>
      </c>
    </row>
    <row r="52" spans="1:22" x14ac:dyDescent="0.2">
      <c r="A52" s="1" t="s">
        <v>1228</v>
      </c>
      <c r="B52" s="1" t="s">
        <v>1234</v>
      </c>
      <c r="C52" s="1">
        <v>5</v>
      </c>
      <c r="D52" s="1" t="s">
        <v>1365</v>
      </c>
      <c r="E52" s="1" t="s">
        <v>1363</v>
      </c>
      <c r="F52" s="1" t="s">
        <v>46</v>
      </c>
      <c r="G52" s="1" t="s">
        <v>1299</v>
      </c>
      <c r="J52" s="4">
        <v>79.400000000000006</v>
      </c>
      <c r="K52" s="4">
        <v>1.1000000000000001</v>
      </c>
      <c r="M52" s="11">
        <f t="shared" si="1"/>
        <v>4.1392685158225077E-2</v>
      </c>
      <c r="N52" s="11">
        <f>GraphBotulinum!$D$9-('C botulinum'!J52-GraphBotulinum!$D$5)/GraphBotulinum!$D$4</f>
        <v>0.71626214953747347</v>
      </c>
      <c r="O52" s="2" t="s">
        <v>1226</v>
      </c>
      <c r="P52" s="2">
        <v>1996</v>
      </c>
      <c r="T52" s="10">
        <f>GraphBotulinum!$B$41*'C botulinum'!J52+GraphBotulinum!$B$42</f>
        <v>0.82163867218571296</v>
      </c>
      <c r="U52" s="10"/>
      <c r="V52" s="10">
        <f>GraphBotulinum!$G$41*'C botulinum'!J52+GraphBotulinum!$G$42</f>
        <v>0.71626214953747347</v>
      </c>
    </row>
    <row r="53" spans="1:22" x14ac:dyDescent="0.2">
      <c r="A53" s="1" t="s">
        <v>1228</v>
      </c>
      <c r="B53" s="1" t="s">
        <v>1234</v>
      </c>
      <c r="C53" s="1">
        <v>5</v>
      </c>
      <c r="D53" s="1" t="s">
        <v>1365</v>
      </c>
      <c r="E53" s="1" t="s">
        <v>1363</v>
      </c>
      <c r="F53" s="1" t="s">
        <v>46</v>
      </c>
      <c r="G53" s="1" t="s">
        <v>1299</v>
      </c>
      <c r="J53" s="4">
        <v>79.400000000000006</v>
      </c>
      <c r="K53" s="4">
        <v>1.6</v>
      </c>
      <c r="M53" s="11">
        <f t="shared" si="1"/>
        <v>0.20411998265592479</v>
      </c>
      <c r="N53" s="11">
        <f>GraphBotulinum!$D$9-('C botulinum'!J53-GraphBotulinum!$D$5)/GraphBotulinum!$D$4</f>
        <v>0.71626214953747347</v>
      </c>
      <c r="O53" s="2" t="s">
        <v>1226</v>
      </c>
      <c r="P53" s="2">
        <v>1996</v>
      </c>
      <c r="T53" s="10">
        <f>GraphBotulinum!$B$41*'C botulinum'!J53+GraphBotulinum!$B$42</f>
        <v>0.82163867218571296</v>
      </c>
      <c r="U53" s="10"/>
      <c r="V53" s="10">
        <f>GraphBotulinum!$G$41*'C botulinum'!J53+GraphBotulinum!$G$42</f>
        <v>0.71626214953747347</v>
      </c>
    </row>
    <row r="54" spans="1:22" x14ac:dyDescent="0.2">
      <c r="A54" s="1" t="s">
        <v>1228</v>
      </c>
      <c r="B54" s="1" t="s">
        <v>1234</v>
      </c>
      <c r="C54" s="1">
        <v>5</v>
      </c>
      <c r="D54" s="1" t="s">
        <v>1365</v>
      </c>
      <c r="E54" s="1" t="s">
        <v>1363</v>
      </c>
      <c r="F54" s="1" t="s">
        <v>46</v>
      </c>
      <c r="G54" s="1" t="s">
        <v>1299</v>
      </c>
      <c r="J54" s="4">
        <v>82.2</v>
      </c>
      <c r="K54" s="4">
        <v>0.49</v>
      </c>
      <c r="M54" s="11">
        <f t="shared" si="1"/>
        <v>-0.30980391997148632</v>
      </c>
      <c r="N54" s="11">
        <f>GraphBotulinum!$D$9-('C botulinum'!J54-GraphBotulinum!$D$5)/GraphBotulinum!$D$4</f>
        <v>0.5657374393862229</v>
      </c>
      <c r="O54" s="2" t="s">
        <v>1226</v>
      </c>
      <c r="P54" s="2">
        <v>1996</v>
      </c>
      <c r="T54" s="10">
        <f>GraphBotulinum!$B$41*'C botulinum'!J54+GraphBotulinum!$B$42</f>
        <v>0.72557436512925166</v>
      </c>
      <c r="U54" s="10"/>
      <c r="V54" s="10">
        <f>GraphBotulinum!$G$41*'C botulinum'!J54+GraphBotulinum!$G$42</f>
        <v>0.5657374393862229</v>
      </c>
    </row>
    <row r="55" spans="1:22" x14ac:dyDescent="0.2">
      <c r="A55" s="1" t="s">
        <v>1228</v>
      </c>
      <c r="B55" s="1" t="s">
        <v>1234</v>
      </c>
      <c r="C55" s="1">
        <v>5</v>
      </c>
      <c r="D55" s="1" t="s">
        <v>1365</v>
      </c>
      <c r="E55" s="1" t="s">
        <v>1363</v>
      </c>
      <c r="F55" s="1" t="s">
        <v>46</v>
      </c>
      <c r="G55" s="1" t="s">
        <v>1299</v>
      </c>
      <c r="J55" s="4">
        <v>82.2</v>
      </c>
      <c r="K55" s="4">
        <v>0.74</v>
      </c>
      <c r="M55" s="11">
        <f t="shared" si="1"/>
        <v>-0.13076828026902382</v>
      </c>
      <c r="N55" s="11">
        <f>GraphBotulinum!$D$9-('C botulinum'!J55-GraphBotulinum!$D$5)/GraphBotulinum!$D$4</f>
        <v>0.5657374393862229</v>
      </c>
      <c r="O55" s="2" t="s">
        <v>1226</v>
      </c>
      <c r="P55" s="2">
        <v>1996</v>
      </c>
      <c r="T55" s="10">
        <f>GraphBotulinum!$B$41*'C botulinum'!J55+GraphBotulinum!$B$42</f>
        <v>0.72557436512925166</v>
      </c>
      <c r="U55" s="10"/>
      <c r="V55" s="10">
        <f>GraphBotulinum!$G$41*'C botulinum'!J55+GraphBotulinum!$G$42</f>
        <v>0.5657374393862229</v>
      </c>
    </row>
    <row r="56" spans="1:22" x14ac:dyDescent="0.2">
      <c r="A56" s="1" t="s">
        <v>1228</v>
      </c>
      <c r="B56" s="1" t="s">
        <v>1234</v>
      </c>
      <c r="C56" s="1">
        <v>5</v>
      </c>
      <c r="D56" s="1" t="s">
        <v>1365</v>
      </c>
      <c r="E56" s="1" t="s">
        <v>1363</v>
      </c>
      <c r="F56" s="1" t="s">
        <v>46</v>
      </c>
      <c r="G56" s="1" t="s">
        <v>1299</v>
      </c>
      <c r="J56" s="4">
        <v>85</v>
      </c>
      <c r="K56" s="4">
        <v>0.28999999999999998</v>
      </c>
      <c r="M56" s="11">
        <f t="shared" si="1"/>
        <v>-0.53760200210104392</v>
      </c>
      <c r="N56" s="11">
        <f>GraphBotulinum!$D$9-('C botulinum'!J56-GraphBotulinum!$D$5)/GraphBotulinum!$D$4</f>
        <v>0.4152127292349721</v>
      </c>
      <c r="O56" s="2" t="s">
        <v>1226</v>
      </c>
      <c r="P56" s="2">
        <v>1996</v>
      </c>
      <c r="T56" s="10">
        <f>GraphBotulinum!$B$41*'C botulinum'!J56+GraphBotulinum!$B$42</f>
        <v>0.62951005807278992</v>
      </c>
      <c r="U56" s="10"/>
      <c r="V56" s="10">
        <f>GraphBotulinum!$G$41*'C botulinum'!J56+GraphBotulinum!$G$42</f>
        <v>0.41521272923497232</v>
      </c>
    </row>
    <row r="57" spans="1:22" x14ac:dyDescent="0.2">
      <c r="A57" s="1" t="s">
        <v>1228</v>
      </c>
      <c r="B57" s="1" t="s">
        <v>1234</v>
      </c>
      <c r="C57" s="1">
        <v>1</v>
      </c>
      <c r="D57" s="1" t="s">
        <v>1365</v>
      </c>
      <c r="E57" s="1" t="s">
        <v>1363</v>
      </c>
      <c r="F57" s="1" t="s">
        <v>46</v>
      </c>
      <c r="G57" s="1" t="s">
        <v>1280</v>
      </c>
      <c r="H57" t="s">
        <v>1300</v>
      </c>
      <c r="J57" s="4">
        <v>50</v>
      </c>
      <c r="K57" s="4">
        <v>7943</v>
      </c>
      <c r="L57" s="4">
        <v>7.5</v>
      </c>
      <c r="M57" s="11">
        <f t="shared" si="1"/>
        <v>3.899984562549391</v>
      </c>
      <c r="N57" s="11">
        <f>GraphBotulinum!$D$9-('C botulinum'!J57-GraphBotulinum!$D$5)/GraphBotulinum!$D$4</f>
        <v>2.2967716061256067</v>
      </c>
      <c r="O57" s="2" t="s">
        <v>1226</v>
      </c>
      <c r="P57" s="2">
        <v>1996</v>
      </c>
      <c r="T57" s="10">
        <f>GraphBotulinum!$B$41*'C botulinum'!J57+GraphBotulinum!$B$42</f>
        <v>1.8303138962785621</v>
      </c>
      <c r="U57" s="10"/>
      <c r="V57" s="10">
        <f>GraphBotulinum!$G$41*'C botulinum'!J57+GraphBotulinum!$G$42</f>
        <v>2.2967716061256072</v>
      </c>
    </row>
    <row r="58" spans="1:22" x14ac:dyDescent="0.2">
      <c r="A58" s="1" t="s">
        <v>1228</v>
      </c>
      <c r="B58" s="1" t="s">
        <v>1234</v>
      </c>
      <c r="C58" s="1">
        <v>1</v>
      </c>
      <c r="D58" s="1" t="s">
        <v>1365</v>
      </c>
      <c r="E58" s="1" t="s">
        <v>1363</v>
      </c>
      <c r="F58" s="1" t="s">
        <v>46</v>
      </c>
      <c r="G58" s="1" t="s">
        <v>1280</v>
      </c>
      <c r="H58" t="s">
        <v>1300</v>
      </c>
      <c r="J58" s="4">
        <v>55</v>
      </c>
      <c r="K58" s="4">
        <v>1259</v>
      </c>
      <c r="L58" s="4">
        <v>7.5</v>
      </c>
      <c r="M58" s="11">
        <f t="shared" si="1"/>
        <v>3.1000257301078626</v>
      </c>
      <c r="N58" s="11">
        <f>GraphBotulinum!$D$9-('C botulinum'!J58-GraphBotulinum!$D$5)/GraphBotulinum!$D$4</f>
        <v>2.0279774808555162</v>
      </c>
      <c r="O58" s="2" t="s">
        <v>1226</v>
      </c>
      <c r="P58" s="2">
        <v>1996</v>
      </c>
      <c r="T58" s="10">
        <f>GraphBotulinum!$B$41*'C botulinum'!J58+GraphBotulinum!$B$42</f>
        <v>1.6587704908205947</v>
      </c>
      <c r="U58" s="10"/>
      <c r="V58" s="10">
        <f>GraphBotulinum!$G$41*'C botulinum'!J58+GraphBotulinum!$G$42</f>
        <v>2.0279774808555167</v>
      </c>
    </row>
    <row r="59" spans="1:22" x14ac:dyDescent="0.2">
      <c r="A59" s="1" t="s">
        <v>1228</v>
      </c>
      <c r="B59" s="1" t="s">
        <v>1234</v>
      </c>
      <c r="C59" s="1">
        <v>1</v>
      </c>
      <c r="D59" s="1" t="s">
        <v>1365</v>
      </c>
      <c r="E59" s="1" t="s">
        <v>1363</v>
      </c>
      <c r="F59" s="1" t="s">
        <v>46</v>
      </c>
      <c r="G59" s="1" t="s">
        <v>1280</v>
      </c>
      <c r="H59" t="s">
        <v>1300</v>
      </c>
      <c r="J59" s="4">
        <v>60</v>
      </c>
      <c r="K59" s="4">
        <v>776</v>
      </c>
      <c r="L59" s="4">
        <v>7.5</v>
      </c>
      <c r="M59" s="11">
        <f t="shared" si="1"/>
        <v>2.8898617212581885</v>
      </c>
      <c r="N59" s="11">
        <f>GraphBotulinum!$D$9-('C botulinum'!J59-GraphBotulinum!$D$5)/GraphBotulinum!$D$4</f>
        <v>1.7591833555854257</v>
      </c>
      <c r="O59" s="2" t="s">
        <v>1226</v>
      </c>
      <c r="P59" s="2">
        <v>1996</v>
      </c>
      <c r="T59" s="10">
        <f>GraphBotulinum!$B$41*'C botulinum'!J59+GraphBotulinum!$B$42</f>
        <v>1.487227085362627</v>
      </c>
      <c r="U59" s="10"/>
      <c r="V59" s="10">
        <f>GraphBotulinum!$G$41*'C botulinum'!J59+GraphBotulinum!$G$42</f>
        <v>1.7591833555854262</v>
      </c>
    </row>
    <row r="60" spans="1:22" x14ac:dyDescent="0.2">
      <c r="A60" s="1" t="s">
        <v>1228</v>
      </c>
      <c r="B60" s="1" t="s">
        <v>1234</v>
      </c>
      <c r="C60" s="1">
        <v>1</v>
      </c>
      <c r="D60" s="1" t="s">
        <v>1365</v>
      </c>
      <c r="E60" s="1" t="s">
        <v>1363</v>
      </c>
      <c r="F60" s="1" t="s">
        <v>46</v>
      </c>
      <c r="G60" s="1" t="s">
        <v>1280</v>
      </c>
      <c r="H60" t="s">
        <v>1300</v>
      </c>
      <c r="J60" s="4">
        <v>70</v>
      </c>
      <c r="K60" s="4">
        <v>72</v>
      </c>
      <c r="L60" s="4">
        <v>7.5</v>
      </c>
      <c r="M60" s="11">
        <f t="shared" si="1"/>
        <v>1.8573324964312685</v>
      </c>
      <c r="N60" s="11">
        <f>GraphBotulinum!$D$9-('C botulinum'!J60-GraphBotulinum!$D$5)/GraphBotulinum!$D$4</f>
        <v>1.2215951050452443</v>
      </c>
      <c r="O60" s="2" t="s">
        <v>1226</v>
      </c>
      <c r="P60" s="2">
        <v>1996</v>
      </c>
      <c r="T60" s="10">
        <f>GraphBotulinum!$B$41*'C botulinum'!J60+GraphBotulinum!$B$42</f>
        <v>1.1441402744466922</v>
      </c>
      <c r="U60" s="10"/>
      <c r="V60" s="10">
        <f>GraphBotulinum!$G$41*'C botulinum'!J60+GraphBotulinum!$G$42</f>
        <v>1.2215951050452447</v>
      </c>
    </row>
    <row r="61" spans="1:22" x14ac:dyDescent="0.2">
      <c r="A61" s="1" t="s">
        <v>1228</v>
      </c>
      <c r="B61" s="1" t="s">
        <v>1234</v>
      </c>
      <c r="C61" s="1">
        <v>1</v>
      </c>
      <c r="D61" s="1" t="s">
        <v>1365</v>
      </c>
      <c r="E61" s="1" t="s">
        <v>1363</v>
      </c>
      <c r="F61" s="1" t="s">
        <v>46</v>
      </c>
      <c r="G61" s="1" t="s">
        <v>1280</v>
      </c>
      <c r="H61" t="s">
        <v>1300</v>
      </c>
      <c r="J61" s="4">
        <v>80</v>
      </c>
      <c r="K61" s="4">
        <v>0.78</v>
      </c>
      <c r="L61" s="4">
        <v>7.5</v>
      </c>
      <c r="M61" s="11">
        <f t="shared" si="1"/>
        <v>-0.10790539730951958</v>
      </c>
      <c r="N61" s="11">
        <f>GraphBotulinum!$D$9-('C botulinum'!J61-GraphBotulinum!$D$5)/GraphBotulinum!$D$4</f>
        <v>0.68400685450506282</v>
      </c>
      <c r="O61" s="2" t="s">
        <v>1226</v>
      </c>
      <c r="P61" s="2">
        <v>1996</v>
      </c>
      <c r="T61" s="10">
        <f>GraphBotulinum!$B$41*'C botulinum'!J61+GraphBotulinum!$B$42</f>
        <v>0.80105346353075735</v>
      </c>
      <c r="U61" s="10"/>
      <c r="V61" s="10">
        <f>GraphBotulinum!$G$41*'C botulinum'!J61+GraphBotulinum!$G$42</f>
        <v>0.68400685450506327</v>
      </c>
    </row>
    <row r="62" spans="1:22" x14ac:dyDescent="0.2">
      <c r="A62" s="1" t="s">
        <v>1228</v>
      </c>
      <c r="B62" s="1" t="s">
        <v>1234</v>
      </c>
      <c r="C62" s="1">
        <v>1</v>
      </c>
      <c r="D62" s="1" t="s">
        <v>1365</v>
      </c>
      <c r="E62" s="1" t="s">
        <v>1363</v>
      </c>
      <c r="F62" s="1" t="s">
        <v>44</v>
      </c>
      <c r="G62" s="1" t="s">
        <v>1247</v>
      </c>
      <c r="I62" s="4">
        <v>7.1</v>
      </c>
      <c r="J62" s="4">
        <v>79.400000000000006</v>
      </c>
      <c r="K62" s="11">
        <v>1.3</v>
      </c>
      <c r="M62" s="11">
        <f t="shared" si="1"/>
        <v>0.11394335230683679</v>
      </c>
      <c r="N62" s="11">
        <f>GraphBotulinum!$D$9-('C botulinum'!J62-GraphBotulinum!$D$5)/GraphBotulinum!$D$4</f>
        <v>0.71626214953747347</v>
      </c>
      <c r="O62" s="2" t="s">
        <v>1226</v>
      </c>
      <c r="P62" s="2">
        <v>1996</v>
      </c>
      <c r="T62" s="10">
        <f>GraphBotulinum!$B$41*'C botulinum'!J62+GraphBotulinum!$B$42</f>
        <v>0.82163867218571296</v>
      </c>
      <c r="U62" s="10"/>
      <c r="V62" s="10">
        <f>GraphBotulinum!$G$41*'C botulinum'!J62+GraphBotulinum!$G$42</f>
        <v>0.71626214953747347</v>
      </c>
    </row>
    <row r="63" spans="1:22" x14ac:dyDescent="0.2">
      <c r="A63" s="1" t="s">
        <v>1228</v>
      </c>
      <c r="B63" s="1" t="s">
        <v>1234</v>
      </c>
      <c r="C63" s="1" t="s">
        <v>1410</v>
      </c>
      <c r="D63" s="1" t="s">
        <v>1365</v>
      </c>
      <c r="E63" s="1" t="s">
        <v>1363</v>
      </c>
      <c r="F63" s="1" t="s">
        <v>44</v>
      </c>
      <c r="G63" s="1" t="s">
        <v>1247</v>
      </c>
      <c r="I63" s="4">
        <v>7</v>
      </c>
      <c r="J63" s="4">
        <v>82.2</v>
      </c>
      <c r="K63" s="11">
        <v>0.33</v>
      </c>
      <c r="M63" s="11">
        <f t="shared" si="1"/>
        <v>-0.48148606012211248</v>
      </c>
      <c r="N63" s="11">
        <f>GraphBotulinum!$D$9-('C botulinum'!J63-GraphBotulinum!$D$5)/GraphBotulinum!$D$4</f>
        <v>0.5657374393862229</v>
      </c>
      <c r="O63" s="2" t="s">
        <v>1380</v>
      </c>
      <c r="P63" s="2">
        <v>1985</v>
      </c>
      <c r="T63" s="10">
        <f>GraphBotulinum!$B$41*'C botulinum'!J63+GraphBotulinum!$B$42</f>
        <v>0.72557436512925166</v>
      </c>
      <c r="U63" s="10"/>
      <c r="V63" s="10">
        <f>GraphBotulinum!$G$41*'C botulinum'!J63+GraphBotulinum!$G$42</f>
        <v>0.5657374393862229</v>
      </c>
    </row>
    <row r="64" spans="1:22" x14ac:dyDescent="0.2">
      <c r="A64" s="1" t="s">
        <v>1228</v>
      </c>
      <c r="B64" s="1" t="s">
        <v>1234</v>
      </c>
      <c r="C64" s="1">
        <v>5</v>
      </c>
      <c r="D64" s="1" t="s">
        <v>1365</v>
      </c>
      <c r="E64" s="1" t="s">
        <v>1363</v>
      </c>
      <c r="F64" s="1" t="s">
        <v>46</v>
      </c>
      <c r="G64" s="1" t="s">
        <v>1301</v>
      </c>
      <c r="J64" s="4">
        <v>73.900000000000006</v>
      </c>
      <c r="K64" s="11">
        <v>8.66</v>
      </c>
      <c r="L64" s="4">
        <v>9.7799999999999994</v>
      </c>
      <c r="M64" s="11">
        <f t="shared" si="1"/>
        <v>0.9375178920173467</v>
      </c>
      <c r="N64" s="11">
        <f>GraphBotulinum!$D$9-('C botulinum'!J64-GraphBotulinum!$D$5)/GraphBotulinum!$D$4</f>
        <v>1.0119356873345731</v>
      </c>
      <c r="O64" s="2" t="s">
        <v>1226</v>
      </c>
      <c r="P64" s="2">
        <v>1996</v>
      </c>
      <c r="T64" s="10">
        <f>GraphBotulinum!$B$41*'C botulinum'!J64+GraphBotulinum!$B$42</f>
        <v>1.0103364181894774</v>
      </c>
      <c r="U64" s="10"/>
      <c r="V64" s="10">
        <f>GraphBotulinum!$G$41*'C botulinum'!J64+GraphBotulinum!$G$42</f>
        <v>1.0119356873345735</v>
      </c>
    </row>
    <row r="65" spans="1:22" x14ac:dyDescent="0.2">
      <c r="A65" s="1" t="s">
        <v>1228</v>
      </c>
      <c r="B65" s="1" t="s">
        <v>1234</v>
      </c>
      <c r="C65" s="1">
        <v>5</v>
      </c>
      <c r="D65" s="1" t="s">
        <v>1365</v>
      </c>
      <c r="E65" s="1" t="s">
        <v>1363</v>
      </c>
      <c r="F65" s="1" t="s">
        <v>46</v>
      </c>
      <c r="G65" s="1" t="s">
        <v>1301</v>
      </c>
      <c r="J65" s="4">
        <v>76.7</v>
      </c>
      <c r="K65" s="11">
        <v>3.49</v>
      </c>
      <c r="L65" s="4">
        <v>9.7799999999999994</v>
      </c>
      <c r="M65" s="11">
        <f t="shared" si="1"/>
        <v>0.5428254269591799</v>
      </c>
      <c r="N65" s="11">
        <f>GraphBotulinum!$D$9-('C botulinum'!J65-GraphBotulinum!$D$5)/GraphBotulinum!$D$4</f>
        <v>0.86141097718332249</v>
      </c>
      <c r="O65" s="2" t="s">
        <v>1226</v>
      </c>
      <c r="P65" s="2">
        <v>1996</v>
      </c>
      <c r="T65" s="10">
        <f>GraphBotulinum!$B$41*'C botulinum'!J65+GraphBotulinum!$B$42</f>
        <v>0.91427211113301565</v>
      </c>
      <c r="U65" s="10"/>
      <c r="V65" s="10">
        <f>GraphBotulinum!$G$41*'C botulinum'!J65+GraphBotulinum!$G$42</f>
        <v>0.86141097718332293</v>
      </c>
    </row>
    <row r="66" spans="1:22" x14ac:dyDescent="0.2">
      <c r="A66" s="1" t="s">
        <v>1228</v>
      </c>
      <c r="B66" s="1" t="s">
        <v>1234</v>
      </c>
      <c r="C66" s="1">
        <v>5</v>
      </c>
      <c r="D66" s="1" t="s">
        <v>1365</v>
      </c>
      <c r="E66" s="1" t="s">
        <v>1363</v>
      </c>
      <c r="F66" s="1" t="s">
        <v>46</v>
      </c>
      <c r="G66" s="1" t="s">
        <v>1301</v>
      </c>
      <c r="J66" s="4">
        <v>79.400000000000006</v>
      </c>
      <c r="K66" s="11">
        <v>2.15</v>
      </c>
      <c r="L66" s="4">
        <v>9.7799999999999994</v>
      </c>
      <c r="M66" s="11">
        <f t="shared" si="1"/>
        <v>0.33243845991560533</v>
      </c>
      <c r="N66" s="11">
        <f>GraphBotulinum!$D$9-('C botulinum'!J66-GraphBotulinum!$D$5)/GraphBotulinum!$D$4</f>
        <v>0.71626214953747347</v>
      </c>
      <c r="O66" s="2" t="s">
        <v>1226</v>
      </c>
      <c r="P66" s="2">
        <v>1996</v>
      </c>
      <c r="T66" s="10">
        <f>GraphBotulinum!$B$41*'C botulinum'!J66+GraphBotulinum!$B$42</f>
        <v>0.82163867218571296</v>
      </c>
      <c r="U66" s="10"/>
      <c r="V66" s="10">
        <f>GraphBotulinum!$G$41*'C botulinum'!J66+GraphBotulinum!$G$42</f>
        <v>0.71626214953747347</v>
      </c>
    </row>
    <row r="67" spans="1:22" x14ac:dyDescent="0.2">
      <c r="A67" s="1" t="s">
        <v>1228</v>
      </c>
      <c r="B67" s="1" t="s">
        <v>1234</v>
      </c>
      <c r="C67" s="1">
        <v>5</v>
      </c>
      <c r="D67" s="1" t="s">
        <v>1365</v>
      </c>
      <c r="E67" s="1" t="s">
        <v>1363</v>
      </c>
      <c r="F67" s="1" t="s">
        <v>46</v>
      </c>
      <c r="G67" s="1" t="s">
        <v>1301</v>
      </c>
      <c r="J67" s="4">
        <v>82.2</v>
      </c>
      <c r="K67" s="11">
        <v>1.22</v>
      </c>
      <c r="L67" s="4">
        <v>9.7799999999999994</v>
      </c>
      <c r="M67" s="11">
        <f t="shared" si="1"/>
        <v>8.6359830674748214E-2</v>
      </c>
      <c r="N67" s="11">
        <f>GraphBotulinum!$D$9-('C botulinum'!J67-GraphBotulinum!$D$5)/GraphBotulinum!$D$4</f>
        <v>0.5657374393862229</v>
      </c>
      <c r="O67" s="2" t="s">
        <v>1226</v>
      </c>
      <c r="P67" s="2">
        <v>1996</v>
      </c>
      <c r="T67" s="10">
        <f>GraphBotulinum!$B$41*'C botulinum'!J67+GraphBotulinum!$B$42</f>
        <v>0.72557436512925166</v>
      </c>
      <c r="U67" s="10"/>
      <c r="V67" s="10">
        <f>GraphBotulinum!$G$41*'C botulinum'!J67+GraphBotulinum!$G$42</f>
        <v>0.5657374393862229</v>
      </c>
    </row>
    <row r="68" spans="1:22" x14ac:dyDescent="0.2">
      <c r="A68" s="1" t="s">
        <v>1228</v>
      </c>
      <c r="B68" s="1" t="s">
        <v>1234</v>
      </c>
      <c r="C68" s="1"/>
      <c r="D68" s="1" t="s">
        <v>1365</v>
      </c>
      <c r="E68" s="1" t="s">
        <v>1363</v>
      </c>
      <c r="F68" s="1"/>
      <c r="G68" s="1" t="s">
        <v>293</v>
      </c>
      <c r="J68" s="4">
        <v>80</v>
      </c>
      <c r="K68" s="11">
        <v>0.1</v>
      </c>
      <c r="M68" s="11">
        <f t="shared" si="1"/>
        <v>-1</v>
      </c>
      <c r="N68" s="11">
        <f>GraphBotulinum!$D$9-('C botulinum'!J68-GraphBotulinum!$D$5)/GraphBotulinum!$D$4</f>
        <v>0.68400685450506282</v>
      </c>
      <c r="O68" s="1" t="s">
        <v>308</v>
      </c>
      <c r="P68" s="1">
        <v>2000</v>
      </c>
      <c r="T68" s="10">
        <f>GraphBotulinum!$B$41*'C botulinum'!J68+GraphBotulinum!$B$42</f>
        <v>0.80105346353075735</v>
      </c>
      <c r="U68" s="10"/>
      <c r="V68" s="10">
        <f>GraphBotulinum!$G$41*'C botulinum'!J68+GraphBotulinum!$G$42</f>
        <v>0.68400685450506327</v>
      </c>
    </row>
    <row r="69" spans="1:22" x14ac:dyDescent="0.2">
      <c r="A69" s="1" t="s">
        <v>1228</v>
      </c>
      <c r="B69" s="1" t="s">
        <v>1234</v>
      </c>
      <c r="C69" s="1"/>
      <c r="D69" s="1" t="s">
        <v>1365</v>
      </c>
      <c r="E69" s="1" t="s">
        <v>1363</v>
      </c>
      <c r="F69" s="1"/>
      <c r="G69" s="1" t="s">
        <v>293</v>
      </c>
      <c r="J69" s="4">
        <v>80</v>
      </c>
      <c r="K69" s="11">
        <v>3</v>
      </c>
      <c r="M69" s="11">
        <f t="shared" si="1"/>
        <v>0.47712125471966244</v>
      </c>
      <c r="N69" s="11">
        <f>GraphBotulinum!$D$9-('C botulinum'!J69-GraphBotulinum!$D$5)/GraphBotulinum!$D$4</f>
        <v>0.68400685450506282</v>
      </c>
      <c r="O69" s="1" t="s">
        <v>308</v>
      </c>
      <c r="P69" s="1">
        <v>2000</v>
      </c>
      <c r="T69" s="10">
        <f>GraphBotulinum!$B$41*'C botulinum'!J69+GraphBotulinum!$B$42</f>
        <v>0.80105346353075735</v>
      </c>
      <c r="U69" s="10"/>
      <c r="V69" s="10">
        <f>GraphBotulinum!$G$41*'C botulinum'!J69+GraphBotulinum!$G$42</f>
        <v>0.68400685450506327</v>
      </c>
    </row>
    <row r="70" spans="1:22" x14ac:dyDescent="0.2">
      <c r="A70" s="1" t="s">
        <v>1228</v>
      </c>
      <c r="B70" s="1" t="s">
        <v>1234</v>
      </c>
      <c r="C70" s="1">
        <v>1</v>
      </c>
      <c r="D70" s="1" t="s">
        <v>1365</v>
      </c>
      <c r="E70" s="1" t="s">
        <v>1363</v>
      </c>
      <c r="F70" s="1" t="s">
        <v>45</v>
      </c>
      <c r="G70" s="1" t="s">
        <v>1239</v>
      </c>
      <c r="J70" s="4">
        <v>79.400000000000006</v>
      </c>
      <c r="K70" s="11">
        <v>0.6</v>
      </c>
      <c r="M70" s="11">
        <f t="shared" si="1"/>
        <v>-0.22184874961635639</v>
      </c>
      <c r="N70" s="11">
        <f>GraphBotulinum!$D$9-('C botulinum'!J70-GraphBotulinum!$D$5)/GraphBotulinum!$D$4</f>
        <v>0.71626214953747347</v>
      </c>
      <c r="O70" s="2" t="s">
        <v>1226</v>
      </c>
      <c r="P70" s="2">
        <v>1996</v>
      </c>
      <c r="T70" s="10">
        <f>GraphBotulinum!$B$41*'C botulinum'!J70+GraphBotulinum!$B$42</f>
        <v>0.82163867218571296</v>
      </c>
      <c r="U70" s="10"/>
      <c r="V70" s="10">
        <f>GraphBotulinum!$G$41*'C botulinum'!J70+GraphBotulinum!$G$42</f>
        <v>0.71626214953747347</v>
      </c>
    </row>
    <row r="71" spans="1:22" x14ac:dyDescent="0.2">
      <c r="A71" s="1" t="s">
        <v>1228</v>
      </c>
      <c r="B71" s="1" t="s">
        <v>1234</v>
      </c>
      <c r="C71" s="1" t="s">
        <v>1001</v>
      </c>
      <c r="D71" s="1" t="s">
        <v>1365</v>
      </c>
      <c r="E71" s="1" t="s">
        <v>1363</v>
      </c>
      <c r="F71" s="1" t="s">
        <v>44</v>
      </c>
      <c r="G71" s="1" t="s">
        <v>140</v>
      </c>
      <c r="I71" s="4">
        <v>7</v>
      </c>
      <c r="J71" s="4">
        <v>80</v>
      </c>
      <c r="K71" s="11">
        <f>3.91</f>
        <v>3.91</v>
      </c>
      <c r="M71" s="11">
        <f t="shared" ref="M71:M84" si="2">LOG(K71)</f>
        <v>0.59217675739586684</v>
      </c>
      <c r="N71" s="11">
        <f>GraphBotulinum!$D$9-('C botulinum'!J71-GraphBotulinum!$D$5)/GraphBotulinum!$D$4</f>
        <v>0.68400685450506282</v>
      </c>
      <c r="O71" s="1" t="s">
        <v>988</v>
      </c>
      <c r="P71" s="1">
        <v>1995</v>
      </c>
      <c r="Q71" t="s">
        <v>1000</v>
      </c>
      <c r="T71" s="10">
        <f>GraphBotulinum!$B$41*'C botulinum'!J71+GraphBotulinum!$B$42</f>
        <v>0.80105346353075735</v>
      </c>
      <c r="U71" s="10"/>
      <c r="V71" s="10">
        <f>GraphBotulinum!$G$41*'C botulinum'!J71+GraphBotulinum!$G$42</f>
        <v>0.68400685450506327</v>
      </c>
    </row>
    <row r="72" spans="1:22" x14ac:dyDescent="0.2">
      <c r="A72" s="1" t="s">
        <v>1228</v>
      </c>
      <c r="B72" s="1" t="s">
        <v>1234</v>
      </c>
      <c r="C72" s="1" t="s">
        <v>1001</v>
      </c>
      <c r="D72" s="1" t="s">
        <v>1365</v>
      </c>
      <c r="E72" s="1" t="s">
        <v>1363</v>
      </c>
      <c r="F72" s="1" t="s">
        <v>44</v>
      </c>
      <c r="G72" s="1" t="s">
        <v>140</v>
      </c>
      <c r="I72" s="4">
        <v>7</v>
      </c>
      <c r="J72" s="4">
        <v>80</v>
      </c>
      <c r="K72" s="11">
        <f>2.6</f>
        <v>2.6</v>
      </c>
      <c r="M72" s="11">
        <f t="shared" si="2"/>
        <v>0.41497334797081797</v>
      </c>
      <c r="N72" s="11">
        <f>GraphBotulinum!$D$9-('C botulinum'!J72-GraphBotulinum!$D$5)/GraphBotulinum!$D$4</f>
        <v>0.68400685450506282</v>
      </c>
      <c r="O72" s="1" t="s">
        <v>988</v>
      </c>
      <c r="P72" s="1">
        <v>1995</v>
      </c>
      <c r="Q72" t="s">
        <v>1003</v>
      </c>
      <c r="T72" s="10">
        <f>GraphBotulinum!$B$41*'C botulinum'!J72+GraphBotulinum!$B$42</f>
        <v>0.80105346353075735</v>
      </c>
      <c r="U72" s="10"/>
      <c r="V72" s="10">
        <f>GraphBotulinum!$G$41*'C botulinum'!J72+GraphBotulinum!$G$42</f>
        <v>0.68400685450506327</v>
      </c>
    </row>
    <row r="73" spans="1:22" x14ac:dyDescent="0.2">
      <c r="A73" s="1" t="s">
        <v>1228</v>
      </c>
      <c r="B73" s="1" t="s">
        <v>1234</v>
      </c>
      <c r="C73" s="1" t="s">
        <v>1410</v>
      </c>
      <c r="D73" s="1" t="s">
        <v>1365</v>
      </c>
      <c r="E73" s="1" t="s">
        <v>1363</v>
      </c>
      <c r="F73" s="1" t="s">
        <v>44</v>
      </c>
      <c r="G73" s="1" t="s">
        <v>140</v>
      </c>
      <c r="I73" s="4">
        <v>7</v>
      </c>
      <c r="J73" s="4">
        <v>80</v>
      </c>
      <c r="K73" s="11">
        <f>3.61</f>
        <v>3.61</v>
      </c>
      <c r="M73" s="11">
        <f t="shared" si="2"/>
        <v>0.55750720190565795</v>
      </c>
      <c r="N73" s="11">
        <f>GraphBotulinum!$D$9-('C botulinum'!J73-GraphBotulinum!$D$5)/GraphBotulinum!$D$4</f>
        <v>0.68400685450506282</v>
      </c>
      <c r="O73" s="1" t="s">
        <v>988</v>
      </c>
      <c r="P73" s="1">
        <v>1995</v>
      </c>
      <c r="Q73" t="s">
        <v>1000</v>
      </c>
      <c r="T73" s="10">
        <f>GraphBotulinum!$B$41*'C botulinum'!J73+GraphBotulinum!$B$42</f>
        <v>0.80105346353075735</v>
      </c>
      <c r="U73" s="10"/>
      <c r="V73" s="10">
        <f>GraphBotulinum!$G$41*'C botulinum'!J73+GraphBotulinum!$G$42</f>
        <v>0.68400685450506327</v>
      </c>
    </row>
    <row r="74" spans="1:22" x14ac:dyDescent="0.2">
      <c r="A74" s="1" t="s">
        <v>1228</v>
      </c>
      <c r="B74" s="1" t="s">
        <v>1234</v>
      </c>
      <c r="C74" s="1" t="s">
        <v>1410</v>
      </c>
      <c r="D74" s="1" t="s">
        <v>1365</v>
      </c>
      <c r="E74" s="1" t="s">
        <v>1363</v>
      </c>
      <c r="F74" s="1" t="s">
        <v>44</v>
      </c>
      <c r="G74" s="1" t="s">
        <v>140</v>
      </c>
      <c r="I74" s="4">
        <v>7</v>
      </c>
      <c r="J74" s="4">
        <v>80</v>
      </c>
      <c r="K74" s="11">
        <f>3.77</f>
        <v>3.77</v>
      </c>
      <c r="M74" s="11">
        <f t="shared" si="2"/>
        <v>0.57634135020579291</v>
      </c>
      <c r="N74" s="11">
        <f>GraphBotulinum!$D$9-('C botulinum'!J74-GraphBotulinum!$D$5)/GraphBotulinum!$D$4</f>
        <v>0.68400685450506282</v>
      </c>
      <c r="O74" s="1" t="s">
        <v>988</v>
      </c>
      <c r="P74" s="1">
        <v>1995</v>
      </c>
      <c r="Q74" t="s">
        <v>1003</v>
      </c>
      <c r="T74" s="10">
        <f>GraphBotulinum!$B$41*'C botulinum'!J74+GraphBotulinum!$B$42</f>
        <v>0.80105346353075735</v>
      </c>
      <c r="U74" s="10"/>
      <c r="V74" s="10">
        <f>GraphBotulinum!$G$41*'C botulinum'!J74+GraphBotulinum!$G$42</f>
        <v>0.68400685450506327</v>
      </c>
    </row>
    <row r="75" spans="1:22" x14ac:dyDescent="0.2">
      <c r="A75" s="1" t="s">
        <v>1228</v>
      </c>
      <c r="B75" s="1" t="s">
        <v>1234</v>
      </c>
      <c r="C75" s="1" t="s">
        <v>1002</v>
      </c>
      <c r="D75" s="1" t="s">
        <v>1365</v>
      </c>
      <c r="E75" s="1" t="s">
        <v>1363</v>
      </c>
      <c r="F75" s="1" t="s">
        <v>44</v>
      </c>
      <c r="G75" s="1" t="s">
        <v>140</v>
      </c>
      <c r="I75" s="4">
        <v>7</v>
      </c>
      <c r="J75" s="4">
        <v>80</v>
      </c>
      <c r="K75" s="11">
        <f>0.39</f>
        <v>0.39</v>
      </c>
      <c r="M75" s="11">
        <f t="shared" si="2"/>
        <v>-0.40893539297350079</v>
      </c>
      <c r="N75" s="11">
        <f>GraphBotulinum!$D$9-('C botulinum'!J75-GraphBotulinum!$D$5)/GraphBotulinum!$D$4</f>
        <v>0.68400685450506282</v>
      </c>
      <c r="O75" s="1" t="s">
        <v>988</v>
      </c>
      <c r="P75" s="1">
        <v>1995</v>
      </c>
      <c r="Q75" t="s">
        <v>1000</v>
      </c>
      <c r="T75" s="10">
        <f>GraphBotulinum!$B$41*'C botulinum'!J75+GraphBotulinum!$B$42</f>
        <v>0.80105346353075735</v>
      </c>
      <c r="U75" s="10"/>
      <c r="V75" s="10">
        <f>GraphBotulinum!$G$41*'C botulinum'!J75+GraphBotulinum!$G$42</f>
        <v>0.68400685450506327</v>
      </c>
    </row>
    <row r="76" spans="1:22" x14ac:dyDescent="0.2">
      <c r="A76" s="1" t="s">
        <v>1228</v>
      </c>
      <c r="B76" s="1" t="s">
        <v>1234</v>
      </c>
      <c r="C76" s="1" t="s">
        <v>1002</v>
      </c>
      <c r="D76" s="1" t="s">
        <v>1365</v>
      </c>
      <c r="E76" s="1" t="s">
        <v>1363</v>
      </c>
      <c r="F76" s="1" t="s">
        <v>44</v>
      </c>
      <c r="G76" s="1" t="s">
        <v>140</v>
      </c>
      <c r="I76" s="4">
        <v>7</v>
      </c>
      <c r="J76" s="4">
        <v>80</v>
      </c>
      <c r="K76" s="11">
        <f>0.39</f>
        <v>0.39</v>
      </c>
      <c r="M76" s="11">
        <f t="shared" si="2"/>
        <v>-0.40893539297350079</v>
      </c>
      <c r="N76" s="11">
        <f>GraphBotulinum!$D$9-('C botulinum'!J76-GraphBotulinum!$D$5)/GraphBotulinum!$D$4</f>
        <v>0.68400685450506282</v>
      </c>
      <c r="O76" s="1" t="s">
        <v>988</v>
      </c>
      <c r="P76" s="1">
        <v>1995</v>
      </c>
      <c r="Q76" t="s">
        <v>1003</v>
      </c>
      <c r="T76" s="10">
        <f>GraphBotulinum!$B$41*'C botulinum'!J76+GraphBotulinum!$B$42</f>
        <v>0.80105346353075735</v>
      </c>
      <c r="U76" s="10"/>
      <c r="V76" s="10">
        <f>GraphBotulinum!$G$41*'C botulinum'!J76+GraphBotulinum!$G$42</f>
        <v>0.68400685450506327</v>
      </c>
    </row>
    <row r="77" spans="1:22" x14ac:dyDescent="0.2">
      <c r="A77" s="1" t="s">
        <v>1228</v>
      </c>
      <c r="B77" s="1" t="s">
        <v>1234</v>
      </c>
      <c r="C77" s="1" t="s">
        <v>1001</v>
      </c>
      <c r="D77" s="1" t="s">
        <v>1365</v>
      </c>
      <c r="E77" s="1" t="s">
        <v>1363</v>
      </c>
      <c r="F77" s="1" t="s">
        <v>11</v>
      </c>
      <c r="G77" s="1" t="s">
        <v>576</v>
      </c>
      <c r="H77" s="1" t="s">
        <v>980</v>
      </c>
      <c r="J77" s="4">
        <v>70</v>
      </c>
      <c r="K77" s="11">
        <f>51.89</f>
        <v>51.89</v>
      </c>
      <c r="L77" s="4">
        <v>9.9</v>
      </c>
      <c r="M77" s="11">
        <f t="shared" si="2"/>
        <v>1.7150836706949273</v>
      </c>
      <c r="N77" s="11">
        <f>GraphBotulinum!$D$9-('C botulinum'!J77-GraphBotulinum!$D$5)/GraphBotulinum!$D$4</f>
        <v>1.2215951050452443</v>
      </c>
      <c r="O77" s="1" t="s">
        <v>988</v>
      </c>
      <c r="P77" s="1">
        <v>1995</v>
      </c>
      <c r="T77" s="10">
        <f>GraphBotulinum!$B$41*'C botulinum'!J77+GraphBotulinum!$B$42</f>
        <v>1.1441402744466922</v>
      </c>
      <c r="U77" s="10"/>
      <c r="V77" s="10">
        <f>GraphBotulinum!$G$41*'C botulinum'!J77+GraphBotulinum!$G$42</f>
        <v>1.2215951050452447</v>
      </c>
    </row>
    <row r="78" spans="1:22" x14ac:dyDescent="0.2">
      <c r="A78" s="1" t="s">
        <v>1228</v>
      </c>
      <c r="B78" s="1" t="s">
        <v>1234</v>
      </c>
      <c r="C78" s="1" t="s">
        <v>1001</v>
      </c>
      <c r="D78" s="1" t="s">
        <v>1365</v>
      </c>
      <c r="E78" s="1" t="s">
        <v>1363</v>
      </c>
      <c r="F78" s="1" t="s">
        <v>11</v>
      </c>
      <c r="G78" s="1" t="s">
        <v>576</v>
      </c>
      <c r="H78" s="1" t="s">
        <v>980</v>
      </c>
      <c r="J78" s="4">
        <v>75</v>
      </c>
      <c r="K78" s="11">
        <f>18.06</f>
        <v>18.059999999999999</v>
      </c>
      <c r="L78" s="4">
        <v>9.9</v>
      </c>
      <c r="M78" s="11">
        <f t="shared" si="2"/>
        <v>1.256717745977487</v>
      </c>
      <c r="N78" s="11">
        <f>GraphBotulinum!$D$9-('C botulinum'!J78-GraphBotulinum!$D$5)/GraphBotulinum!$D$4</f>
        <v>0.95280097977515332</v>
      </c>
      <c r="O78" s="1" t="s">
        <v>988</v>
      </c>
      <c r="P78" s="1">
        <v>1995</v>
      </c>
      <c r="T78" s="10">
        <f>GraphBotulinum!$B$41*'C botulinum'!J78+GraphBotulinum!$B$42</f>
        <v>0.97259686898872477</v>
      </c>
      <c r="U78" s="10"/>
      <c r="V78" s="10">
        <f>GraphBotulinum!$G$41*'C botulinum'!J78+GraphBotulinum!$G$42</f>
        <v>0.95280097977515421</v>
      </c>
    </row>
    <row r="79" spans="1:22" x14ac:dyDescent="0.2">
      <c r="A79" s="1" t="s">
        <v>1228</v>
      </c>
      <c r="B79" s="1" t="s">
        <v>1234</v>
      </c>
      <c r="C79" s="1" t="s">
        <v>1001</v>
      </c>
      <c r="D79" s="1" t="s">
        <v>1365</v>
      </c>
      <c r="E79" s="1" t="s">
        <v>1363</v>
      </c>
      <c r="F79" s="1" t="s">
        <v>11</v>
      </c>
      <c r="G79" s="1" t="s">
        <v>576</v>
      </c>
      <c r="H79" s="1" t="s">
        <v>980</v>
      </c>
      <c r="J79" s="4">
        <v>80</v>
      </c>
      <c r="K79" s="11">
        <f>13.37</f>
        <v>13.37</v>
      </c>
      <c r="L79" s="4">
        <v>9.9</v>
      </c>
      <c r="M79" s="11">
        <f t="shared" si="2"/>
        <v>1.1261314072619844</v>
      </c>
      <c r="N79" s="11">
        <f>GraphBotulinum!$D$9-('C botulinum'!J79-GraphBotulinum!$D$5)/GraphBotulinum!$D$4</f>
        <v>0.68400685450506282</v>
      </c>
      <c r="O79" s="1" t="s">
        <v>988</v>
      </c>
      <c r="P79" s="1">
        <v>1995</v>
      </c>
      <c r="T79" s="10">
        <f>GraphBotulinum!$B$41*'C botulinum'!J79+GraphBotulinum!$B$42</f>
        <v>0.80105346353075735</v>
      </c>
      <c r="U79" s="10"/>
      <c r="V79" s="10">
        <f>GraphBotulinum!$G$41*'C botulinum'!J79+GraphBotulinum!$G$42</f>
        <v>0.68400685450506327</v>
      </c>
    </row>
    <row r="80" spans="1:22" x14ac:dyDescent="0.2">
      <c r="A80" s="1" t="s">
        <v>1228</v>
      </c>
      <c r="B80" s="1" t="s">
        <v>1234</v>
      </c>
      <c r="C80" s="1" t="s">
        <v>1001</v>
      </c>
      <c r="D80" s="1" t="s">
        <v>1365</v>
      </c>
      <c r="E80" s="1" t="s">
        <v>1363</v>
      </c>
      <c r="F80" s="1" t="s">
        <v>11</v>
      </c>
      <c r="G80" s="1" t="s">
        <v>576</v>
      </c>
      <c r="H80" s="1" t="s">
        <v>980</v>
      </c>
      <c r="J80" s="4">
        <v>85</v>
      </c>
      <c r="K80" s="11">
        <f>1.18</f>
        <v>1.18</v>
      </c>
      <c r="L80" s="4">
        <v>9.9</v>
      </c>
      <c r="M80" s="11">
        <f t="shared" si="2"/>
        <v>7.1882007306125359E-2</v>
      </c>
      <c r="N80" s="11">
        <f>GraphBotulinum!$D$9-('C botulinum'!J80-GraphBotulinum!$D$5)/GraphBotulinum!$D$4</f>
        <v>0.4152127292349721</v>
      </c>
      <c r="O80" s="1" t="s">
        <v>988</v>
      </c>
      <c r="P80" s="1">
        <v>1995</v>
      </c>
      <c r="T80" s="10">
        <f>GraphBotulinum!$B$41*'C botulinum'!J80+GraphBotulinum!$B$42</f>
        <v>0.62951005807278992</v>
      </c>
      <c r="U80" s="10"/>
      <c r="V80" s="10">
        <f>GraphBotulinum!$G$41*'C botulinum'!J80+GraphBotulinum!$G$42</f>
        <v>0.41521272923497232</v>
      </c>
    </row>
    <row r="81" spans="1:22" x14ac:dyDescent="0.2">
      <c r="A81" s="1" t="s">
        <v>1228</v>
      </c>
      <c r="B81" s="1" t="s">
        <v>1234</v>
      </c>
      <c r="C81" s="1"/>
      <c r="D81" s="1" t="s">
        <v>1365</v>
      </c>
      <c r="E81" s="1" t="s">
        <v>1363</v>
      </c>
      <c r="F81" s="1" t="s">
        <v>46</v>
      </c>
      <c r="G81" s="1" t="s">
        <v>1004</v>
      </c>
      <c r="H81" s="1"/>
      <c r="J81" s="4">
        <v>80</v>
      </c>
      <c r="K81" s="11">
        <v>10.5</v>
      </c>
      <c r="M81" s="11">
        <f t="shared" si="2"/>
        <v>1.0211892990699381</v>
      </c>
      <c r="N81" s="11">
        <f>GraphBotulinum!$D$9-('C botulinum'!J81-GraphBotulinum!$D$5)/GraphBotulinum!$D$4</f>
        <v>0.68400685450506282</v>
      </c>
      <c r="O81" s="1" t="s">
        <v>988</v>
      </c>
      <c r="P81" s="1">
        <v>1995</v>
      </c>
      <c r="T81" s="10">
        <f>GraphBotulinum!$B$41*'C botulinum'!J81+GraphBotulinum!$B$42</f>
        <v>0.80105346353075735</v>
      </c>
      <c r="U81" s="10"/>
      <c r="V81" s="10">
        <f>GraphBotulinum!$G$41*'C botulinum'!J81+GraphBotulinum!$G$42</f>
        <v>0.68400685450506327</v>
      </c>
    </row>
    <row r="82" spans="1:22" x14ac:dyDescent="0.2">
      <c r="A82" s="1" t="s">
        <v>1228</v>
      </c>
      <c r="B82" s="1" t="s">
        <v>1234</v>
      </c>
      <c r="C82" s="1"/>
      <c r="D82" s="1" t="s">
        <v>1365</v>
      </c>
      <c r="E82" s="1" t="s">
        <v>1363</v>
      </c>
      <c r="F82" s="1" t="s">
        <v>46</v>
      </c>
      <c r="G82" s="1" t="s">
        <v>1005</v>
      </c>
      <c r="H82" s="1"/>
      <c r="J82" s="4">
        <v>80</v>
      </c>
      <c r="K82" s="11">
        <v>4.5</v>
      </c>
      <c r="M82" s="11">
        <f t="shared" si="2"/>
        <v>0.65321251377534373</v>
      </c>
      <c r="N82" s="11">
        <f>GraphBotulinum!$D$9-('C botulinum'!J82-GraphBotulinum!$D$5)/GraphBotulinum!$D$4</f>
        <v>0.68400685450506282</v>
      </c>
      <c r="O82" s="1" t="s">
        <v>988</v>
      </c>
      <c r="P82" s="1">
        <v>1995</v>
      </c>
      <c r="T82" s="10">
        <f>GraphBotulinum!$B$41*'C botulinum'!J82+GraphBotulinum!$B$42</f>
        <v>0.80105346353075735</v>
      </c>
      <c r="U82" s="10"/>
      <c r="V82" s="10">
        <f>GraphBotulinum!$G$41*'C botulinum'!J82+GraphBotulinum!$G$42</f>
        <v>0.68400685450506327</v>
      </c>
    </row>
    <row r="83" spans="1:22" x14ac:dyDescent="0.2">
      <c r="A83" s="1" t="s">
        <v>1228</v>
      </c>
      <c r="B83" s="1" t="s">
        <v>1234</v>
      </c>
      <c r="C83" s="1"/>
      <c r="D83" s="1" t="s">
        <v>1365</v>
      </c>
      <c r="E83" s="1" t="s">
        <v>1363</v>
      </c>
      <c r="F83" s="1" t="s">
        <v>44</v>
      </c>
      <c r="G83" s="1" t="s">
        <v>1006</v>
      </c>
      <c r="H83" s="1"/>
      <c r="J83" s="4">
        <v>80</v>
      </c>
      <c r="K83" s="11">
        <v>1.1000000000000001</v>
      </c>
      <c r="M83" s="11">
        <f t="shared" si="2"/>
        <v>4.1392685158225077E-2</v>
      </c>
      <c r="N83" s="11">
        <f>GraphBotulinum!$D$9-('C botulinum'!J83-GraphBotulinum!$D$5)/GraphBotulinum!$D$4</f>
        <v>0.68400685450506282</v>
      </c>
      <c r="O83" s="1" t="s">
        <v>988</v>
      </c>
      <c r="P83" s="1">
        <v>1995</v>
      </c>
      <c r="T83" s="10">
        <f>GraphBotulinum!$B$41*'C botulinum'!J83+GraphBotulinum!$B$42</f>
        <v>0.80105346353075735</v>
      </c>
      <c r="U83" s="10"/>
      <c r="V83" s="10">
        <f>GraphBotulinum!$G$41*'C botulinum'!J83+GraphBotulinum!$G$42</f>
        <v>0.68400685450506327</v>
      </c>
    </row>
    <row r="84" spans="1:22" x14ac:dyDescent="0.2">
      <c r="A84" s="1" t="s">
        <v>1228</v>
      </c>
      <c r="B84" s="1" t="s">
        <v>1234</v>
      </c>
      <c r="C84" s="1"/>
      <c r="D84" s="1" t="s">
        <v>1365</v>
      </c>
      <c r="E84" s="1" t="s">
        <v>1363</v>
      </c>
      <c r="F84" s="1" t="s">
        <v>44</v>
      </c>
      <c r="G84" s="1" t="s">
        <v>1007</v>
      </c>
      <c r="H84" s="1"/>
      <c r="J84" s="4">
        <v>80</v>
      </c>
      <c r="K84" s="11">
        <v>1.4</v>
      </c>
      <c r="M84" s="11">
        <f t="shared" si="2"/>
        <v>0.14612803567823801</v>
      </c>
      <c r="N84" s="11">
        <f>GraphBotulinum!$D$9-('C botulinum'!J84-GraphBotulinum!$D$5)/GraphBotulinum!$D$4</f>
        <v>0.68400685450506282</v>
      </c>
      <c r="O84" s="1" t="s">
        <v>988</v>
      </c>
      <c r="P84" s="1">
        <v>1995</v>
      </c>
      <c r="T84" s="10">
        <f>GraphBotulinum!$B$41*'C botulinum'!J84+GraphBotulinum!$B$42</f>
        <v>0.80105346353075735</v>
      </c>
      <c r="U84" s="10"/>
      <c r="V84" s="10">
        <f>GraphBotulinum!$G$41*'C botulinum'!J84+GraphBotulinum!$G$42</f>
        <v>0.68400685450506327</v>
      </c>
    </row>
    <row r="85" spans="1:22" x14ac:dyDescent="0.2">
      <c r="A85" s="1" t="s">
        <v>1228</v>
      </c>
      <c r="B85" s="1" t="s">
        <v>1234</v>
      </c>
      <c r="C85" s="1">
        <v>202</v>
      </c>
      <c r="D85" s="1" t="s">
        <v>1366</v>
      </c>
      <c r="E85" s="1" t="s">
        <v>1363</v>
      </c>
      <c r="F85" s="1" t="s">
        <v>46</v>
      </c>
      <c r="G85" s="1" t="s">
        <v>1302</v>
      </c>
      <c r="J85" s="4">
        <v>76.599999999999994</v>
      </c>
      <c r="K85" s="11">
        <v>9.5</v>
      </c>
      <c r="L85" s="4">
        <v>10.27</v>
      </c>
      <c r="M85" s="11">
        <f t="shared" si="1"/>
        <v>0.97772360528884772</v>
      </c>
      <c r="N85" s="11">
        <f>GraphBotulinum!$D$9-('C botulinum'!J85-GraphBotulinum!$D$5)/GraphBotulinum!$D$4</f>
        <v>0.86678685968872493</v>
      </c>
      <c r="O85" s="2" t="s">
        <v>1226</v>
      </c>
      <c r="P85" s="2">
        <v>1996</v>
      </c>
      <c r="T85" s="10">
        <f>GraphBotulinum!$B$41*'C botulinum'!J85+GraphBotulinum!$B$42</f>
        <v>0.91770297924217514</v>
      </c>
      <c r="U85" s="10"/>
      <c r="V85" s="10">
        <f>GraphBotulinum!$G$41*'C botulinum'!J85+GraphBotulinum!$G$42</f>
        <v>0.86678685968872493</v>
      </c>
    </row>
    <row r="86" spans="1:22" x14ac:dyDescent="0.2">
      <c r="A86" s="1" t="s">
        <v>1228</v>
      </c>
      <c r="B86" s="1" t="s">
        <v>1234</v>
      </c>
      <c r="C86" s="1">
        <v>202</v>
      </c>
      <c r="D86" s="1" t="s">
        <v>1366</v>
      </c>
      <c r="E86" s="1" t="s">
        <v>1363</v>
      </c>
      <c r="F86" s="1" t="s">
        <v>46</v>
      </c>
      <c r="G86" s="1" t="s">
        <v>1302</v>
      </c>
      <c r="J86" s="4">
        <v>79.400000000000006</v>
      </c>
      <c r="K86" s="11">
        <v>3.55</v>
      </c>
      <c r="L86" s="4">
        <v>10.27</v>
      </c>
      <c r="M86" s="11">
        <f t="shared" si="1"/>
        <v>0.5502283530550941</v>
      </c>
      <c r="N86" s="11">
        <f>GraphBotulinum!$D$9-('C botulinum'!J86-GraphBotulinum!$D$5)/GraphBotulinum!$D$4</f>
        <v>0.71626214953747347</v>
      </c>
      <c r="O86" s="2" t="s">
        <v>1226</v>
      </c>
      <c r="P86" s="2">
        <v>1996</v>
      </c>
      <c r="T86" s="10">
        <f>GraphBotulinum!$B$41*'C botulinum'!J86+GraphBotulinum!$B$42</f>
        <v>0.82163867218571296</v>
      </c>
      <c r="U86" s="10"/>
      <c r="V86" s="10">
        <f>GraphBotulinum!$G$41*'C botulinum'!J86+GraphBotulinum!$G$42</f>
        <v>0.71626214953747347</v>
      </c>
    </row>
    <row r="87" spans="1:22" x14ac:dyDescent="0.2">
      <c r="A87" s="1" t="s">
        <v>1228</v>
      </c>
      <c r="B87" s="1" t="s">
        <v>1234</v>
      </c>
      <c r="C87" s="1">
        <v>202</v>
      </c>
      <c r="D87" s="1" t="s">
        <v>1366</v>
      </c>
      <c r="E87" s="1" t="s">
        <v>1363</v>
      </c>
      <c r="F87" s="1" t="s">
        <v>46</v>
      </c>
      <c r="G87" s="1" t="s">
        <v>1302</v>
      </c>
      <c r="J87" s="4">
        <v>82.2</v>
      </c>
      <c r="K87" s="11">
        <v>1.1599999999999999</v>
      </c>
      <c r="L87" s="4">
        <v>10.27</v>
      </c>
      <c r="M87" s="11">
        <f t="shared" si="1"/>
        <v>6.445798922691845E-2</v>
      </c>
      <c r="N87" s="11">
        <f>GraphBotulinum!$D$9-('C botulinum'!J87-GraphBotulinum!$D$5)/GraphBotulinum!$D$4</f>
        <v>0.5657374393862229</v>
      </c>
      <c r="O87" s="2" t="s">
        <v>1226</v>
      </c>
      <c r="P87" s="2">
        <v>1996</v>
      </c>
      <c r="T87" s="10">
        <f>GraphBotulinum!$B$41*'C botulinum'!J87+GraphBotulinum!$B$42</f>
        <v>0.72557436512925166</v>
      </c>
      <c r="U87" s="10"/>
      <c r="V87" s="10">
        <f>GraphBotulinum!$G$41*'C botulinum'!J87+GraphBotulinum!$G$42</f>
        <v>0.5657374393862229</v>
      </c>
    </row>
    <row r="88" spans="1:22" x14ac:dyDescent="0.2">
      <c r="A88" s="1" t="s">
        <v>1228</v>
      </c>
      <c r="B88" s="1" t="s">
        <v>1234</v>
      </c>
      <c r="C88" s="1">
        <v>202</v>
      </c>
      <c r="D88" s="1" t="s">
        <v>1366</v>
      </c>
      <c r="E88" s="1" t="s">
        <v>1363</v>
      </c>
      <c r="F88" s="1" t="s">
        <v>46</v>
      </c>
      <c r="G88" s="1" t="s">
        <v>1302</v>
      </c>
      <c r="J88" s="4">
        <v>85</v>
      </c>
      <c r="K88" s="11">
        <v>0.53</v>
      </c>
      <c r="L88" s="4">
        <v>10.27</v>
      </c>
      <c r="M88" s="11">
        <f t="shared" si="1"/>
        <v>-0.27572413039921095</v>
      </c>
      <c r="N88" s="11">
        <f>GraphBotulinum!$D$9-('C botulinum'!J88-GraphBotulinum!$D$5)/GraphBotulinum!$D$4</f>
        <v>0.4152127292349721</v>
      </c>
      <c r="O88" s="2" t="s">
        <v>1226</v>
      </c>
      <c r="P88" s="2">
        <v>1996</v>
      </c>
      <c r="T88" s="10">
        <f>GraphBotulinum!$B$41*'C botulinum'!J88+GraphBotulinum!$B$42</f>
        <v>0.62951005807278992</v>
      </c>
      <c r="U88" s="10"/>
      <c r="V88" s="10">
        <f>GraphBotulinum!$G$41*'C botulinum'!J88+GraphBotulinum!$G$42</f>
        <v>0.41521272923497232</v>
      </c>
    </row>
    <row r="89" spans="1:22" x14ac:dyDescent="0.2">
      <c r="A89" s="1" t="s">
        <v>1228</v>
      </c>
      <c r="B89" s="1" t="s">
        <v>1234</v>
      </c>
      <c r="C89" s="1">
        <v>190</v>
      </c>
      <c r="D89" s="1" t="s">
        <v>1366</v>
      </c>
      <c r="E89" s="1" t="s">
        <v>1363</v>
      </c>
      <c r="F89" s="1" t="s">
        <v>44</v>
      </c>
      <c r="G89" s="1" t="s">
        <v>1247</v>
      </c>
      <c r="I89" s="4">
        <v>7</v>
      </c>
      <c r="J89" s="4">
        <v>71.099999999999994</v>
      </c>
      <c r="K89" s="11">
        <v>31.08</v>
      </c>
      <c r="L89" s="4">
        <v>12</v>
      </c>
      <c r="M89" s="11">
        <f t="shared" si="1"/>
        <v>1.4924810101288766</v>
      </c>
      <c r="N89" s="11">
        <f>GraphBotulinum!$D$9-('C botulinum'!J89-GraphBotulinum!$D$5)/GraphBotulinum!$D$4</f>
        <v>1.1624603974858245</v>
      </c>
      <c r="O89" s="2" t="s">
        <v>1369</v>
      </c>
      <c r="P89" s="2">
        <v>1979</v>
      </c>
      <c r="T89" s="10">
        <f>GraphBotulinum!$B$41*'C botulinum'!J89+GraphBotulinum!$B$42</f>
        <v>1.1064007252459396</v>
      </c>
      <c r="U89" s="10"/>
      <c r="V89" s="10">
        <f>GraphBotulinum!$G$41*'C botulinum'!J89+GraphBotulinum!$G$42</f>
        <v>1.162460397485825</v>
      </c>
    </row>
    <row r="90" spans="1:22" x14ac:dyDescent="0.2">
      <c r="A90" s="1" t="s">
        <v>1228</v>
      </c>
      <c r="B90" s="1" t="s">
        <v>1234</v>
      </c>
      <c r="C90" s="1">
        <v>202</v>
      </c>
      <c r="D90" s="1" t="s">
        <v>1366</v>
      </c>
      <c r="E90" s="1" t="s">
        <v>1363</v>
      </c>
      <c r="F90" s="1" t="s">
        <v>44</v>
      </c>
      <c r="G90" s="1" t="s">
        <v>1247</v>
      </c>
      <c r="I90" s="4">
        <v>7</v>
      </c>
      <c r="J90" s="4">
        <v>71.099999999999994</v>
      </c>
      <c r="K90" s="11">
        <v>42.41</v>
      </c>
      <c r="L90" s="4">
        <v>12</v>
      </c>
      <c r="M90" s="11">
        <f t="shared" si="1"/>
        <v>1.6274682724597096</v>
      </c>
      <c r="N90" s="11">
        <f>GraphBotulinum!$D$9-('C botulinum'!J90-GraphBotulinum!$D$5)/GraphBotulinum!$D$4</f>
        <v>1.1624603974858245</v>
      </c>
      <c r="O90" s="2" t="s">
        <v>1369</v>
      </c>
      <c r="P90" s="2">
        <v>1979</v>
      </c>
      <c r="T90" s="10">
        <f>GraphBotulinum!$B$41*'C botulinum'!J90+GraphBotulinum!$B$42</f>
        <v>1.1064007252459396</v>
      </c>
      <c r="U90" s="10"/>
      <c r="V90" s="10">
        <f>GraphBotulinum!$G$41*'C botulinum'!J90+GraphBotulinum!$G$42</f>
        <v>1.162460397485825</v>
      </c>
    </row>
    <row r="91" spans="1:22" x14ac:dyDescent="0.2">
      <c r="A91" s="1" t="s">
        <v>1228</v>
      </c>
      <c r="B91" s="1" t="s">
        <v>1234</v>
      </c>
      <c r="C91" s="1">
        <v>190</v>
      </c>
      <c r="D91" s="1" t="s">
        <v>1366</v>
      </c>
      <c r="E91" s="1" t="s">
        <v>1363</v>
      </c>
      <c r="F91" s="1" t="s">
        <v>44</v>
      </c>
      <c r="G91" s="1" t="s">
        <v>1247</v>
      </c>
      <c r="I91" s="4">
        <v>7</v>
      </c>
      <c r="J91" s="4">
        <v>73.8</v>
      </c>
      <c r="K91" s="11">
        <v>9.07</v>
      </c>
      <c r="L91" s="4">
        <v>12</v>
      </c>
      <c r="M91" s="11">
        <f t="shared" si="1"/>
        <v>0.95760728706009524</v>
      </c>
      <c r="N91" s="11">
        <f>GraphBotulinum!$D$9-('C botulinum'!J91-GraphBotulinum!$D$5)/GraphBotulinum!$D$4</f>
        <v>1.0173115698399755</v>
      </c>
      <c r="O91" s="2" t="s">
        <v>1369</v>
      </c>
      <c r="P91" s="2">
        <v>1979</v>
      </c>
      <c r="T91" s="10">
        <f>GraphBotulinum!$B$41*'C botulinum'!J91+GraphBotulinum!$B$42</f>
        <v>1.0137672862986369</v>
      </c>
      <c r="U91" s="10"/>
      <c r="V91" s="10">
        <f>GraphBotulinum!$G$41*'C botulinum'!J91+GraphBotulinum!$G$42</f>
        <v>1.0173115698399759</v>
      </c>
    </row>
    <row r="92" spans="1:22" x14ac:dyDescent="0.2">
      <c r="A92" s="1" t="s">
        <v>1228</v>
      </c>
      <c r="B92" s="1" t="s">
        <v>1234</v>
      </c>
      <c r="C92" s="1">
        <v>202</v>
      </c>
      <c r="D92" s="1" t="s">
        <v>1366</v>
      </c>
      <c r="E92" s="1" t="s">
        <v>1363</v>
      </c>
      <c r="F92" s="1" t="s">
        <v>44</v>
      </c>
      <c r="G92" s="1" t="s">
        <v>1247</v>
      </c>
      <c r="I92" s="4">
        <v>7</v>
      </c>
      <c r="J92" s="4">
        <v>73.8</v>
      </c>
      <c r="K92" s="11">
        <v>12.68</v>
      </c>
      <c r="L92" s="4">
        <v>12</v>
      </c>
      <c r="M92" s="11">
        <f t="shared" si="1"/>
        <v>1.1031192535457139</v>
      </c>
      <c r="N92" s="11">
        <f>GraphBotulinum!$D$9-('C botulinum'!J92-GraphBotulinum!$D$5)/GraphBotulinum!$D$4</f>
        <v>1.0173115698399755</v>
      </c>
      <c r="O92" s="2" t="s">
        <v>1369</v>
      </c>
      <c r="P92" s="2">
        <v>1979</v>
      </c>
      <c r="T92" s="10">
        <f>GraphBotulinum!$B$41*'C botulinum'!J92+GraphBotulinum!$B$42</f>
        <v>1.0137672862986369</v>
      </c>
      <c r="U92" s="10"/>
      <c r="V92" s="10">
        <f>GraphBotulinum!$G$41*'C botulinum'!J92+GraphBotulinum!$G$42</f>
        <v>1.0173115698399759</v>
      </c>
    </row>
    <row r="93" spans="1:22" x14ac:dyDescent="0.2">
      <c r="A93" s="1" t="s">
        <v>1228</v>
      </c>
      <c r="B93" s="1" t="s">
        <v>1234</v>
      </c>
      <c r="C93" s="1">
        <v>190</v>
      </c>
      <c r="D93" s="1" t="s">
        <v>1366</v>
      </c>
      <c r="E93" s="1" t="s">
        <v>1363</v>
      </c>
      <c r="F93" s="1" t="s">
        <v>44</v>
      </c>
      <c r="G93" s="1" t="s">
        <v>1247</v>
      </c>
      <c r="I93" s="4">
        <v>7</v>
      </c>
      <c r="J93" s="4">
        <v>76.599999999999994</v>
      </c>
      <c r="K93" s="11">
        <v>1.66</v>
      </c>
      <c r="L93" s="4">
        <v>12</v>
      </c>
      <c r="M93" s="11">
        <f t="shared" si="1"/>
        <v>0.22010808804005508</v>
      </c>
      <c r="N93" s="11">
        <f>GraphBotulinum!$D$9-('C botulinum'!J93-GraphBotulinum!$D$5)/GraphBotulinum!$D$4</f>
        <v>0.86678685968872493</v>
      </c>
      <c r="O93" s="2" t="s">
        <v>1369</v>
      </c>
      <c r="P93" s="2">
        <v>1979</v>
      </c>
      <c r="T93" s="10">
        <f>GraphBotulinum!$B$41*'C botulinum'!J93+GraphBotulinum!$B$42</f>
        <v>0.91770297924217514</v>
      </c>
      <c r="U93" s="10"/>
      <c r="V93" s="10">
        <f>GraphBotulinum!$G$41*'C botulinum'!J93+GraphBotulinum!$G$42</f>
        <v>0.86678685968872493</v>
      </c>
    </row>
    <row r="94" spans="1:22" x14ac:dyDescent="0.2">
      <c r="A94" s="1" t="s">
        <v>1228</v>
      </c>
      <c r="B94" s="1" t="s">
        <v>1234</v>
      </c>
      <c r="C94" s="1">
        <v>202</v>
      </c>
      <c r="D94" s="1" t="s">
        <v>1366</v>
      </c>
      <c r="E94" s="1" t="s">
        <v>1363</v>
      </c>
      <c r="F94" s="1" t="s">
        <v>44</v>
      </c>
      <c r="G94" s="1" t="s">
        <v>1247</v>
      </c>
      <c r="I94" s="4">
        <v>7</v>
      </c>
      <c r="J94" s="4">
        <v>76.599999999999994</v>
      </c>
      <c r="K94" s="11">
        <v>4.29</v>
      </c>
      <c r="L94" s="4">
        <v>12</v>
      </c>
      <c r="M94" s="11">
        <f t="shared" si="1"/>
        <v>0.63245729218472424</v>
      </c>
      <c r="N94" s="11">
        <f>GraphBotulinum!$D$9-('C botulinum'!J94-GraphBotulinum!$D$5)/GraphBotulinum!$D$4</f>
        <v>0.86678685968872493</v>
      </c>
      <c r="O94" s="2" t="s">
        <v>1369</v>
      </c>
      <c r="P94" s="2">
        <v>1979</v>
      </c>
      <c r="T94" s="10">
        <f>GraphBotulinum!$B$41*'C botulinum'!J94+GraphBotulinum!$B$42</f>
        <v>0.91770297924217514</v>
      </c>
      <c r="U94" s="10"/>
      <c r="V94" s="10">
        <f>GraphBotulinum!$G$41*'C botulinum'!J94+GraphBotulinum!$G$42</f>
        <v>0.86678685968872493</v>
      </c>
    </row>
    <row r="95" spans="1:22" x14ac:dyDescent="0.2">
      <c r="A95" s="1" t="s">
        <v>1228</v>
      </c>
      <c r="B95" s="1" t="s">
        <v>1234</v>
      </c>
      <c r="C95" s="1">
        <v>610</v>
      </c>
      <c r="D95" s="1" t="s">
        <v>1366</v>
      </c>
      <c r="E95" s="1" t="s">
        <v>1363</v>
      </c>
      <c r="F95" s="1" t="s">
        <v>44</v>
      </c>
      <c r="G95" s="1" t="s">
        <v>1247</v>
      </c>
      <c r="I95" s="4">
        <v>7</v>
      </c>
      <c r="J95" s="4">
        <v>76.599999999999994</v>
      </c>
      <c r="K95" s="11">
        <v>6.64</v>
      </c>
      <c r="L95" s="4">
        <v>9.58</v>
      </c>
      <c r="M95" s="11">
        <f t="shared" si="1"/>
        <v>0.8221680793680175</v>
      </c>
      <c r="N95" s="11">
        <f>GraphBotulinum!$D$9-('C botulinum'!J95-GraphBotulinum!$D$5)/GraphBotulinum!$D$4</f>
        <v>0.86678685968872493</v>
      </c>
      <c r="O95" s="2" t="s">
        <v>1369</v>
      </c>
      <c r="P95" s="2">
        <v>1979</v>
      </c>
      <c r="T95" s="10">
        <f>GraphBotulinum!$B$41*'C botulinum'!J95+GraphBotulinum!$B$42</f>
        <v>0.91770297924217514</v>
      </c>
      <c r="U95" s="10"/>
      <c r="V95" s="10">
        <f>GraphBotulinum!$G$41*'C botulinum'!J95+GraphBotulinum!$G$42</f>
        <v>0.86678685968872493</v>
      </c>
    </row>
    <row r="96" spans="1:22" x14ac:dyDescent="0.2">
      <c r="A96" s="1" t="s">
        <v>1228</v>
      </c>
      <c r="B96" s="1" t="s">
        <v>1234</v>
      </c>
      <c r="C96" s="1">
        <v>190</v>
      </c>
      <c r="D96" s="1" t="s">
        <v>1366</v>
      </c>
      <c r="E96" s="1" t="s">
        <v>1363</v>
      </c>
      <c r="F96" s="1" t="s">
        <v>44</v>
      </c>
      <c r="G96" s="1" t="s">
        <v>1247</v>
      </c>
      <c r="I96" s="4">
        <v>7</v>
      </c>
      <c r="J96" s="4">
        <v>79.400000000000006</v>
      </c>
      <c r="K96" s="11">
        <v>1.03</v>
      </c>
      <c r="L96" s="4">
        <v>12</v>
      </c>
      <c r="M96" s="11">
        <f t="shared" si="1"/>
        <v>1.2837224705172217E-2</v>
      </c>
      <c r="N96" s="11">
        <f>GraphBotulinum!$D$9-('C botulinum'!J96-GraphBotulinum!$D$5)/GraphBotulinum!$D$4</f>
        <v>0.71626214953747347</v>
      </c>
      <c r="O96" s="2" t="s">
        <v>1369</v>
      </c>
      <c r="P96" s="2">
        <v>1979</v>
      </c>
      <c r="T96" s="10">
        <f>GraphBotulinum!$B$41*'C botulinum'!J96+GraphBotulinum!$B$42</f>
        <v>0.82163867218571296</v>
      </c>
      <c r="U96" s="10"/>
      <c r="V96" s="10">
        <f>GraphBotulinum!$G$41*'C botulinum'!J96+GraphBotulinum!$G$42</f>
        <v>0.71626214953747347</v>
      </c>
    </row>
    <row r="97" spans="1:22" x14ac:dyDescent="0.2">
      <c r="A97" s="1" t="s">
        <v>1228</v>
      </c>
      <c r="B97" s="1" t="s">
        <v>1234</v>
      </c>
      <c r="C97" s="1">
        <v>202</v>
      </c>
      <c r="D97" s="1" t="s">
        <v>1366</v>
      </c>
      <c r="E97" s="1" t="s">
        <v>1363</v>
      </c>
      <c r="F97" s="1" t="s">
        <v>44</v>
      </c>
      <c r="G97" s="1" t="s">
        <v>1247</v>
      </c>
      <c r="I97" s="4">
        <v>7</v>
      </c>
      <c r="J97" s="4">
        <v>79.400000000000006</v>
      </c>
      <c r="K97" s="11">
        <v>0.93</v>
      </c>
      <c r="L97" s="4">
        <v>12</v>
      </c>
      <c r="M97" s="11">
        <f t="shared" si="1"/>
        <v>-3.1517051446064863E-2</v>
      </c>
      <c r="N97" s="11">
        <f>GraphBotulinum!$D$9-('C botulinum'!J97-GraphBotulinum!$D$5)/GraphBotulinum!$D$4</f>
        <v>0.71626214953747347</v>
      </c>
      <c r="O97" s="2" t="s">
        <v>1369</v>
      </c>
      <c r="P97" s="2">
        <v>1979</v>
      </c>
      <c r="T97" s="10">
        <f>GraphBotulinum!$B$41*'C botulinum'!J97+GraphBotulinum!$B$42</f>
        <v>0.82163867218571296</v>
      </c>
      <c r="U97" s="10"/>
      <c r="V97" s="10">
        <f>GraphBotulinum!$G$41*'C botulinum'!J97+GraphBotulinum!$G$42</f>
        <v>0.71626214953747347</v>
      </c>
    </row>
    <row r="98" spans="1:22" x14ac:dyDescent="0.2">
      <c r="A98" s="1" t="s">
        <v>1228</v>
      </c>
      <c r="B98" s="1" t="s">
        <v>1234</v>
      </c>
      <c r="C98" s="1">
        <v>610</v>
      </c>
      <c r="D98" s="1" t="s">
        <v>1366</v>
      </c>
      <c r="E98" s="1" t="s">
        <v>1363</v>
      </c>
      <c r="F98" s="1" t="s">
        <v>44</v>
      </c>
      <c r="G98" s="1" t="s">
        <v>1247</v>
      </c>
      <c r="I98" s="4">
        <v>7</v>
      </c>
      <c r="J98" s="4">
        <v>79.400000000000006</v>
      </c>
      <c r="K98" s="11">
        <v>2.12</v>
      </c>
      <c r="L98" s="4">
        <v>9.58</v>
      </c>
      <c r="M98" s="11">
        <f t="shared" si="1"/>
        <v>0.32633586092875144</v>
      </c>
      <c r="N98" s="11">
        <f>GraphBotulinum!$D$9-('C botulinum'!J98-GraphBotulinum!$D$5)/GraphBotulinum!$D$4</f>
        <v>0.71626214953747347</v>
      </c>
      <c r="O98" s="2" t="s">
        <v>1369</v>
      </c>
      <c r="P98" s="2">
        <v>1979</v>
      </c>
      <c r="T98" s="10">
        <f>GraphBotulinum!$B$41*'C botulinum'!J98+GraphBotulinum!$B$42</f>
        <v>0.82163867218571296</v>
      </c>
      <c r="U98" s="10"/>
      <c r="V98" s="10">
        <f>GraphBotulinum!$G$41*'C botulinum'!J98+GraphBotulinum!$G$42</f>
        <v>0.71626214953747347</v>
      </c>
    </row>
    <row r="99" spans="1:22" x14ac:dyDescent="0.2">
      <c r="A99" s="1" t="s">
        <v>1228</v>
      </c>
      <c r="B99" s="1" t="s">
        <v>1234</v>
      </c>
      <c r="C99" s="1">
        <v>190</v>
      </c>
      <c r="D99" s="1" t="s">
        <v>1366</v>
      </c>
      <c r="E99" s="1" t="s">
        <v>1363</v>
      </c>
      <c r="F99" s="1" t="s">
        <v>44</v>
      </c>
      <c r="G99" s="1" t="s">
        <v>1247</v>
      </c>
      <c r="I99" s="4">
        <v>7</v>
      </c>
      <c r="J99" s="4">
        <v>82.2</v>
      </c>
      <c r="K99" s="11">
        <v>0.25</v>
      </c>
      <c r="L99" s="4">
        <v>12</v>
      </c>
      <c r="M99" s="11">
        <f t="shared" si="1"/>
        <v>-0.6020599913279624</v>
      </c>
      <c r="N99" s="11">
        <f>GraphBotulinum!$D$9-('C botulinum'!J99-GraphBotulinum!$D$5)/GraphBotulinum!$D$4</f>
        <v>0.5657374393862229</v>
      </c>
      <c r="O99" s="2" t="s">
        <v>1369</v>
      </c>
      <c r="P99" s="2">
        <v>1979</v>
      </c>
      <c r="T99" s="10">
        <f>GraphBotulinum!$B$41*'C botulinum'!J99+GraphBotulinum!$B$42</f>
        <v>0.72557436512925166</v>
      </c>
      <c r="U99" s="10"/>
      <c r="V99" s="10">
        <f>GraphBotulinum!$G$41*'C botulinum'!J99+GraphBotulinum!$G$42</f>
        <v>0.5657374393862229</v>
      </c>
    </row>
    <row r="100" spans="1:22" x14ac:dyDescent="0.2">
      <c r="A100" s="1" t="s">
        <v>1228</v>
      </c>
      <c r="B100" s="1" t="s">
        <v>1234</v>
      </c>
      <c r="C100" s="1">
        <v>202</v>
      </c>
      <c r="D100" s="1" t="s">
        <v>1366</v>
      </c>
      <c r="E100" s="1" t="s">
        <v>1363</v>
      </c>
      <c r="F100" s="1" t="s">
        <v>44</v>
      </c>
      <c r="G100" s="1" t="s">
        <v>1247</v>
      </c>
      <c r="I100" s="4">
        <v>7</v>
      </c>
      <c r="J100" s="4">
        <v>82.2</v>
      </c>
      <c r="K100" s="11">
        <v>0.33</v>
      </c>
      <c r="L100" s="4">
        <v>12</v>
      </c>
      <c r="M100" s="11">
        <f t="shared" si="1"/>
        <v>-0.48148606012211248</v>
      </c>
      <c r="N100" s="11">
        <f>GraphBotulinum!$D$9-('C botulinum'!J100-GraphBotulinum!$D$5)/GraphBotulinum!$D$4</f>
        <v>0.5657374393862229</v>
      </c>
      <c r="O100" s="2" t="s">
        <v>1369</v>
      </c>
      <c r="P100" s="2">
        <v>1979</v>
      </c>
      <c r="T100" s="10">
        <f>GraphBotulinum!$B$41*'C botulinum'!J100+GraphBotulinum!$B$42</f>
        <v>0.72557436512925166</v>
      </c>
      <c r="U100" s="10"/>
      <c r="V100" s="10">
        <f>GraphBotulinum!$G$41*'C botulinum'!J100+GraphBotulinum!$G$42</f>
        <v>0.5657374393862229</v>
      </c>
    </row>
    <row r="101" spans="1:22" x14ac:dyDescent="0.2">
      <c r="A101" s="1" t="s">
        <v>1228</v>
      </c>
      <c r="B101" s="1" t="s">
        <v>1234</v>
      </c>
      <c r="C101" s="1">
        <v>610</v>
      </c>
      <c r="D101" s="1" t="s">
        <v>1366</v>
      </c>
      <c r="E101" s="1" t="s">
        <v>1363</v>
      </c>
      <c r="F101" s="1" t="s">
        <v>44</v>
      </c>
      <c r="G101" s="1" t="s">
        <v>1247</v>
      </c>
      <c r="I101" s="4">
        <v>7</v>
      </c>
      <c r="J101" s="4">
        <v>82.2</v>
      </c>
      <c r="K101" s="11">
        <v>0.84</v>
      </c>
      <c r="L101" s="4">
        <v>9.58</v>
      </c>
      <c r="M101" s="11">
        <f t="shared" si="1"/>
        <v>-7.5720713938118356E-2</v>
      </c>
      <c r="N101" s="11">
        <f>GraphBotulinum!$D$9-('C botulinum'!J101-GraphBotulinum!$D$5)/GraphBotulinum!$D$4</f>
        <v>0.5657374393862229</v>
      </c>
      <c r="O101" s="2" t="s">
        <v>1369</v>
      </c>
      <c r="P101" s="2">
        <v>1979</v>
      </c>
      <c r="T101" s="10">
        <f>GraphBotulinum!$B$41*'C botulinum'!J101+GraphBotulinum!$B$42</f>
        <v>0.72557436512925166</v>
      </c>
      <c r="U101" s="10"/>
      <c r="V101" s="10">
        <f>GraphBotulinum!$G$41*'C botulinum'!J101+GraphBotulinum!$G$42</f>
        <v>0.5657374393862229</v>
      </c>
    </row>
    <row r="102" spans="1:22" x14ac:dyDescent="0.2">
      <c r="A102" s="1" t="s">
        <v>1228</v>
      </c>
      <c r="B102" s="1" t="s">
        <v>1234</v>
      </c>
      <c r="C102" s="1">
        <v>610</v>
      </c>
      <c r="D102" s="1" t="s">
        <v>1366</v>
      </c>
      <c r="E102" s="1" t="s">
        <v>1363</v>
      </c>
      <c r="F102" s="1" t="s">
        <v>44</v>
      </c>
      <c r="G102" s="1" t="s">
        <v>1247</v>
      </c>
      <c r="I102" s="4">
        <v>7</v>
      </c>
      <c r="J102" s="4">
        <v>85</v>
      </c>
      <c r="K102" s="11">
        <v>0.37</v>
      </c>
      <c r="L102" s="4">
        <v>9.58</v>
      </c>
      <c r="M102" s="11">
        <f t="shared" ref="M102:M201" si="3">LOG(K102)</f>
        <v>-0.43179827593300502</v>
      </c>
      <c r="N102" s="11">
        <f>GraphBotulinum!$D$9-('C botulinum'!J102-GraphBotulinum!$D$5)/GraphBotulinum!$D$4</f>
        <v>0.4152127292349721</v>
      </c>
      <c r="O102" s="2" t="s">
        <v>1369</v>
      </c>
      <c r="P102" s="2">
        <v>1979</v>
      </c>
      <c r="T102" s="10">
        <f>GraphBotulinum!$B$41*'C botulinum'!J102+GraphBotulinum!$B$42</f>
        <v>0.62951005807278992</v>
      </c>
      <c r="U102" s="10"/>
      <c r="V102" s="10">
        <f>GraphBotulinum!$G$41*'C botulinum'!J102+GraphBotulinum!$G$42</f>
        <v>0.41521272923497232</v>
      </c>
    </row>
    <row r="103" spans="1:22" x14ac:dyDescent="0.2">
      <c r="A103" s="1" t="s">
        <v>1228</v>
      </c>
      <c r="B103" s="1" t="s">
        <v>1234</v>
      </c>
      <c r="C103" s="1" t="s">
        <v>1390</v>
      </c>
      <c r="D103" s="1" t="s">
        <v>1360</v>
      </c>
      <c r="E103" s="1" t="s">
        <v>132</v>
      </c>
      <c r="F103" s="1" t="s">
        <v>44</v>
      </c>
      <c r="G103" s="1" t="s">
        <v>1247</v>
      </c>
      <c r="I103" s="4">
        <v>7</v>
      </c>
      <c r="J103" s="4">
        <v>85</v>
      </c>
      <c r="K103" s="11">
        <v>100</v>
      </c>
      <c r="L103" s="4">
        <v>7.6</v>
      </c>
      <c r="M103" s="11">
        <f t="shared" si="3"/>
        <v>2</v>
      </c>
      <c r="N103" s="11">
        <f>GraphBotulinum!$D$9-('C botulinum'!J103-GraphBotulinum!$D$5)/GraphBotulinum!$D$4</f>
        <v>0.4152127292349721</v>
      </c>
      <c r="O103" s="2" t="s">
        <v>1392</v>
      </c>
      <c r="P103" s="2">
        <v>1993</v>
      </c>
      <c r="Q103" t="s">
        <v>1374</v>
      </c>
      <c r="T103" s="10">
        <f>GraphBotulinum!$B$41*'C botulinum'!J103+GraphBotulinum!$B$42</f>
        <v>0.62951005807278992</v>
      </c>
      <c r="U103" s="10"/>
      <c r="V103" s="10">
        <f>GraphBotulinum!$G$41*'C botulinum'!J103+GraphBotulinum!$G$42</f>
        <v>0.41521272923497232</v>
      </c>
    </row>
    <row r="104" spans="1:22" x14ac:dyDescent="0.2">
      <c r="A104" s="1" t="s">
        <v>1228</v>
      </c>
      <c r="B104" s="1" t="s">
        <v>1234</v>
      </c>
      <c r="C104" s="1" t="s">
        <v>1390</v>
      </c>
      <c r="D104" s="1" t="s">
        <v>1360</v>
      </c>
      <c r="E104" s="1" t="s">
        <v>132</v>
      </c>
      <c r="F104" s="1" t="s">
        <v>44</v>
      </c>
      <c r="G104" s="1" t="s">
        <v>1247</v>
      </c>
      <c r="I104" s="4">
        <v>7</v>
      </c>
      <c r="J104" s="4">
        <v>90</v>
      </c>
      <c r="K104" s="11">
        <v>18.7</v>
      </c>
      <c r="L104" s="4">
        <v>7.6</v>
      </c>
      <c r="M104" s="11">
        <f t="shared" si="3"/>
        <v>1.271841606536499</v>
      </c>
      <c r="N104" s="11">
        <f>GraphBotulinum!$D$9-('C botulinum'!J104-GraphBotulinum!$D$5)/GraphBotulinum!$D$4</f>
        <v>0.1464186039648816</v>
      </c>
      <c r="O104" s="2" t="s">
        <v>1392</v>
      </c>
      <c r="P104" s="2">
        <v>1993</v>
      </c>
      <c r="Q104" t="s">
        <v>1374</v>
      </c>
      <c r="T104" s="10">
        <f>GraphBotulinum!$B$41*'C botulinum'!J104+GraphBotulinum!$B$42</f>
        <v>0.45796665261482206</v>
      </c>
      <c r="U104" s="10"/>
      <c r="V104" s="10">
        <f>GraphBotulinum!$G$41*'C botulinum'!J104+GraphBotulinum!$G$42</f>
        <v>0.14641860396488227</v>
      </c>
    </row>
    <row r="105" spans="1:22" x14ac:dyDescent="0.2">
      <c r="A105" s="1" t="s">
        <v>1228</v>
      </c>
      <c r="B105" s="1" t="s">
        <v>1234</v>
      </c>
      <c r="C105" s="1" t="s">
        <v>1390</v>
      </c>
      <c r="D105" s="1" t="s">
        <v>1360</v>
      </c>
      <c r="E105" s="1" t="s">
        <v>132</v>
      </c>
      <c r="F105" s="1" t="s">
        <v>44</v>
      </c>
      <c r="G105" s="1" t="s">
        <v>1247</v>
      </c>
      <c r="I105" s="4">
        <v>7</v>
      </c>
      <c r="J105" s="4">
        <v>95</v>
      </c>
      <c r="K105" s="11">
        <v>4.4000000000000004</v>
      </c>
      <c r="L105" s="4">
        <v>7.6</v>
      </c>
      <c r="M105" s="11">
        <f t="shared" si="3"/>
        <v>0.64345267648618742</v>
      </c>
      <c r="N105" s="11">
        <f>GraphBotulinum!$D$9-('C botulinum'!J105-GraphBotulinum!$D$5)/GraphBotulinum!$D$4</f>
        <v>-0.12237552130520912</v>
      </c>
      <c r="O105" s="2" t="s">
        <v>1392</v>
      </c>
      <c r="P105" s="2">
        <v>1993</v>
      </c>
      <c r="Q105" t="s">
        <v>1374</v>
      </c>
      <c r="T105" s="10">
        <f>GraphBotulinum!$B$41*'C botulinum'!J105+GraphBotulinum!$B$42</f>
        <v>0.28642324715685463</v>
      </c>
      <c r="U105" s="10"/>
      <c r="V105" s="10">
        <f>GraphBotulinum!$G$41*'C botulinum'!J105+GraphBotulinum!$G$42</f>
        <v>-0.12237552130520868</v>
      </c>
    </row>
    <row r="106" spans="1:22" x14ac:dyDescent="0.2">
      <c r="A106" s="1" t="s">
        <v>1228</v>
      </c>
      <c r="B106" s="1" t="s">
        <v>1234</v>
      </c>
      <c r="C106" s="1" t="s">
        <v>1390</v>
      </c>
      <c r="D106" s="1" t="s">
        <v>1360</v>
      </c>
      <c r="E106" s="1" t="s">
        <v>132</v>
      </c>
      <c r="F106" s="1" t="s">
        <v>44</v>
      </c>
      <c r="G106" s="1" t="s">
        <v>1247</v>
      </c>
      <c r="I106" s="4">
        <v>7</v>
      </c>
      <c r="J106" s="4">
        <v>82.2</v>
      </c>
      <c r="K106" s="11">
        <v>28.2</v>
      </c>
      <c r="L106" s="4">
        <v>6.5</v>
      </c>
      <c r="M106" s="11">
        <f t="shared" si="3"/>
        <v>1.4502491083193612</v>
      </c>
      <c r="N106" s="11">
        <f>GraphBotulinum!$D$9-('C botulinum'!J106-GraphBotulinum!$D$5)/GraphBotulinum!$D$4</f>
        <v>0.5657374393862229</v>
      </c>
      <c r="O106" s="2" t="s">
        <v>1380</v>
      </c>
      <c r="P106" s="2">
        <v>1985</v>
      </c>
      <c r="Q106" t="s">
        <v>1393</v>
      </c>
      <c r="T106" s="10">
        <f>GraphBotulinum!$B$41*'C botulinum'!J106+GraphBotulinum!$B$42</f>
        <v>0.72557436512925166</v>
      </c>
      <c r="U106" s="10"/>
      <c r="V106" s="10">
        <f>GraphBotulinum!$G$41*'C botulinum'!J106+GraphBotulinum!$G$42</f>
        <v>0.5657374393862229</v>
      </c>
    </row>
    <row r="107" spans="1:22" x14ac:dyDescent="0.2">
      <c r="A107" s="1" t="s">
        <v>1228</v>
      </c>
      <c r="B107" s="1" t="s">
        <v>1234</v>
      </c>
      <c r="C107" s="1" t="s">
        <v>1391</v>
      </c>
      <c r="D107" s="1" t="s">
        <v>1360</v>
      </c>
      <c r="E107" s="1" t="s">
        <v>132</v>
      </c>
      <c r="F107" s="1" t="s">
        <v>44</v>
      </c>
      <c r="G107" s="1" t="s">
        <v>1247</v>
      </c>
      <c r="I107" s="4">
        <v>7</v>
      </c>
      <c r="J107" s="4">
        <v>75</v>
      </c>
      <c r="K107" s="11">
        <v>283</v>
      </c>
      <c r="M107" s="11">
        <f t="shared" si="3"/>
        <v>2.4517864355242902</v>
      </c>
      <c r="N107" s="11">
        <f>GraphBotulinum!$D$9-('C botulinum'!J107-GraphBotulinum!$D$5)/GraphBotulinum!$D$4</f>
        <v>0.95280097977515332</v>
      </c>
      <c r="O107" s="2" t="s">
        <v>1392</v>
      </c>
      <c r="P107" s="2">
        <v>1993</v>
      </c>
      <c r="Q107" t="s">
        <v>1374</v>
      </c>
      <c r="T107" s="10">
        <f>GraphBotulinum!$B$41*'C botulinum'!J107+GraphBotulinum!$B$42</f>
        <v>0.97259686898872477</v>
      </c>
      <c r="U107" s="10"/>
      <c r="V107" s="10">
        <f>GraphBotulinum!$G$41*'C botulinum'!J107+GraphBotulinum!$G$42</f>
        <v>0.95280097977515421</v>
      </c>
    </row>
    <row r="108" spans="1:22" x14ac:dyDescent="0.2">
      <c r="A108" s="1" t="s">
        <v>1228</v>
      </c>
      <c r="B108" s="1" t="s">
        <v>1234</v>
      </c>
      <c r="C108" s="1" t="s">
        <v>1391</v>
      </c>
      <c r="D108" s="1" t="s">
        <v>1360</v>
      </c>
      <c r="E108" s="1" t="s">
        <v>132</v>
      </c>
      <c r="F108" s="1" t="s">
        <v>44</v>
      </c>
      <c r="G108" s="1" t="s">
        <v>1247</v>
      </c>
      <c r="I108" s="4">
        <v>7</v>
      </c>
      <c r="J108" s="4">
        <v>85</v>
      </c>
      <c r="K108" s="11">
        <v>76.3</v>
      </c>
      <c r="M108" s="11">
        <f t="shared" si="3"/>
        <v>1.8825245379548805</v>
      </c>
      <c r="N108" s="11">
        <f>GraphBotulinum!$D$9-('C botulinum'!J108-GraphBotulinum!$D$5)/GraphBotulinum!$D$4</f>
        <v>0.4152127292349721</v>
      </c>
      <c r="O108" s="2" t="s">
        <v>1392</v>
      </c>
      <c r="P108" s="2">
        <v>1993</v>
      </c>
      <c r="Q108" t="s">
        <v>1374</v>
      </c>
      <c r="T108" s="10">
        <f>GraphBotulinum!$B$41*'C botulinum'!J108+GraphBotulinum!$B$42</f>
        <v>0.62951005807278992</v>
      </c>
      <c r="U108" s="10"/>
      <c r="V108" s="10">
        <f>GraphBotulinum!$G$41*'C botulinum'!J108+GraphBotulinum!$G$42</f>
        <v>0.41521272923497232</v>
      </c>
    </row>
    <row r="109" spans="1:22" x14ac:dyDescent="0.2">
      <c r="A109" s="1" t="s">
        <v>1228</v>
      </c>
      <c r="B109" s="1" t="s">
        <v>1234</v>
      </c>
      <c r="C109" s="1" t="s">
        <v>1391</v>
      </c>
      <c r="D109" s="1" t="s">
        <v>1360</v>
      </c>
      <c r="E109" s="1" t="s">
        <v>132</v>
      </c>
      <c r="F109" s="1" t="s">
        <v>44</v>
      </c>
      <c r="G109" s="1" t="s">
        <v>1247</v>
      </c>
      <c r="I109" s="4">
        <v>7</v>
      </c>
      <c r="J109" s="4">
        <v>82.2</v>
      </c>
      <c r="K109" s="11">
        <v>134</v>
      </c>
      <c r="M109" s="11">
        <f t="shared" si="3"/>
        <v>2.1271047983648077</v>
      </c>
      <c r="N109" s="11">
        <f>GraphBotulinum!$D$9-('C botulinum'!J109-GraphBotulinum!$D$5)/GraphBotulinum!$D$4</f>
        <v>0.5657374393862229</v>
      </c>
      <c r="O109" s="2" t="s">
        <v>1380</v>
      </c>
      <c r="P109" s="2">
        <v>1985</v>
      </c>
      <c r="Q109" t="s">
        <v>1393</v>
      </c>
      <c r="T109" s="10">
        <f>GraphBotulinum!$B$41*'C botulinum'!J109+GraphBotulinum!$B$42</f>
        <v>0.72557436512925166</v>
      </c>
      <c r="U109" s="10"/>
      <c r="V109" s="10">
        <f>GraphBotulinum!$G$41*'C botulinum'!J109+GraphBotulinum!$G$42</f>
        <v>0.5657374393862229</v>
      </c>
    </row>
    <row r="110" spans="1:22" x14ac:dyDescent="0.2">
      <c r="A110" s="1" t="s">
        <v>1228</v>
      </c>
      <c r="B110" s="1" t="s">
        <v>1234</v>
      </c>
      <c r="C110" s="1" t="s">
        <v>1387</v>
      </c>
      <c r="D110" s="1" t="s">
        <v>1360</v>
      </c>
      <c r="E110" s="1" t="s">
        <v>132</v>
      </c>
      <c r="F110" s="1" t="s">
        <v>44</v>
      </c>
      <c r="G110" s="1" t="s">
        <v>1247</v>
      </c>
      <c r="I110" s="4">
        <v>7</v>
      </c>
      <c r="J110" s="4">
        <v>82.2</v>
      </c>
      <c r="K110" s="11">
        <v>2224</v>
      </c>
      <c r="L110" s="4">
        <v>9.6999999999999993</v>
      </c>
      <c r="M110" s="11">
        <f t="shared" si="3"/>
        <v>3.34713478291002</v>
      </c>
      <c r="N110" s="11">
        <f>GraphBotulinum!$D$9-('C botulinum'!J110-GraphBotulinum!$D$5)/GraphBotulinum!$D$4</f>
        <v>0.5657374393862229</v>
      </c>
      <c r="O110" s="2" t="s">
        <v>1380</v>
      </c>
      <c r="P110" s="2">
        <v>1985</v>
      </c>
      <c r="Q110" t="s">
        <v>1393</v>
      </c>
      <c r="T110" s="10">
        <f>GraphBotulinum!$B$41*'C botulinum'!J110+GraphBotulinum!$B$42</f>
        <v>0.72557436512925166</v>
      </c>
      <c r="U110" s="10"/>
      <c r="V110" s="10">
        <f>GraphBotulinum!$G$41*'C botulinum'!J110+GraphBotulinum!$G$42</f>
        <v>0.5657374393862229</v>
      </c>
    </row>
    <row r="111" spans="1:22" x14ac:dyDescent="0.2">
      <c r="A111" s="1" t="s">
        <v>1228</v>
      </c>
      <c r="B111" s="1" t="s">
        <v>1234</v>
      </c>
      <c r="C111" s="1" t="s">
        <v>1388</v>
      </c>
      <c r="D111" s="1" t="s">
        <v>1360</v>
      </c>
      <c r="E111" s="1" t="s">
        <v>132</v>
      </c>
      <c r="F111" s="1" t="s">
        <v>44</v>
      </c>
      <c r="G111" s="1" t="s">
        <v>1247</v>
      </c>
      <c r="I111" s="4">
        <v>7</v>
      </c>
      <c r="J111" s="4">
        <v>82.2</v>
      </c>
      <c r="K111" s="11">
        <v>245</v>
      </c>
      <c r="L111" s="4">
        <v>16.5</v>
      </c>
      <c r="M111" s="11">
        <f t="shared" si="3"/>
        <v>2.3891660843645326</v>
      </c>
      <c r="N111" s="11">
        <f>GraphBotulinum!$D$9-('C botulinum'!J111-GraphBotulinum!$D$5)/GraphBotulinum!$D$4</f>
        <v>0.5657374393862229</v>
      </c>
      <c r="O111" s="2" t="s">
        <v>1380</v>
      </c>
      <c r="P111" s="2">
        <v>1985</v>
      </c>
      <c r="Q111" t="s">
        <v>1393</v>
      </c>
      <c r="T111" s="10">
        <f>GraphBotulinum!$B$41*'C botulinum'!J111+GraphBotulinum!$B$42</f>
        <v>0.72557436512925166</v>
      </c>
      <c r="U111" s="10"/>
      <c r="V111" s="10">
        <f>GraphBotulinum!$G$41*'C botulinum'!J111+GraphBotulinum!$G$42</f>
        <v>0.5657374393862229</v>
      </c>
    </row>
    <row r="112" spans="1:22" x14ac:dyDescent="0.2">
      <c r="A112" s="1" t="s">
        <v>1228</v>
      </c>
      <c r="B112" s="1" t="s">
        <v>1234</v>
      </c>
      <c r="C112" s="1" t="s">
        <v>1389</v>
      </c>
      <c r="D112" s="1" t="s">
        <v>1360</v>
      </c>
      <c r="E112" s="1" t="s">
        <v>132</v>
      </c>
      <c r="F112" s="1" t="s">
        <v>44</v>
      </c>
      <c r="G112" s="1" t="s">
        <v>1247</v>
      </c>
      <c r="I112" s="4">
        <v>7</v>
      </c>
      <c r="J112" s="4">
        <v>82.2</v>
      </c>
      <c r="K112" s="11">
        <v>73.599999999999994</v>
      </c>
      <c r="L112" s="4">
        <v>8.3000000000000007</v>
      </c>
      <c r="M112" s="11">
        <f t="shared" si="3"/>
        <v>1.8668778143374989</v>
      </c>
      <c r="N112" s="11">
        <f>GraphBotulinum!$D$9-('C botulinum'!J112-GraphBotulinum!$D$5)/GraphBotulinum!$D$4</f>
        <v>0.5657374393862229</v>
      </c>
      <c r="O112" s="2" t="s">
        <v>1380</v>
      </c>
      <c r="P112" s="2">
        <v>1985</v>
      </c>
      <c r="Q112" t="s">
        <v>1393</v>
      </c>
      <c r="T112" s="10">
        <f>GraphBotulinum!$B$41*'C botulinum'!J112+GraphBotulinum!$B$42</f>
        <v>0.72557436512925166</v>
      </c>
      <c r="U112" s="10"/>
      <c r="V112" s="10">
        <f>GraphBotulinum!$G$41*'C botulinum'!J112+GraphBotulinum!$G$42</f>
        <v>0.5657374393862229</v>
      </c>
    </row>
    <row r="113" spans="1:22" x14ac:dyDescent="0.2">
      <c r="A113" s="1" t="s">
        <v>1228</v>
      </c>
      <c r="B113" s="1" t="s">
        <v>1234</v>
      </c>
      <c r="C113" s="1" t="s">
        <v>987</v>
      </c>
      <c r="D113" s="1" t="s">
        <v>1360</v>
      </c>
      <c r="E113" s="1" t="s">
        <v>132</v>
      </c>
      <c r="F113" s="1" t="s">
        <v>44</v>
      </c>
      <c r="G113" s="1" t="s">
        <v>140</v>
      </c>
      <c r="I113" s="4">
        <v>7</v>
      </c>
      <c r="J113" s="4">
        <v>80</v>
      </c>
      <c r="K113" s="11">
        <f>3.22</f>
        <v>3.22</v>
      </c>
      <c r="M113" s="11">
        <f t="shared" ref="M113:M118" si="4">LOG(K113)</f>
        <v>0.50785587169583091</v>
      </c>
      <c r="N113" s="11">
        <f>GraphBotulinum!$D$9-('C botulinum'!J113-GraphBotulinum!$D$5)/GraphBotulinum!$D$4</f>
        <v>0.68400685450506282</v>
      </c>
      <c r="O113" s="1" t="s">
        <v>988</v>
      </c>
      <c r="P113" s="1">
        <v>1995</v>
      </c>
      <c r="Q113" t="s">
        <v>1000</v>
      </c>
      <c r="T113" s="10">
        <f>GraphBotulinum!$B$41*'C botulinum'!J113+GraphBotulinum!$B$42</f>
        <v>0.80105346353075735</v>
      </c>
      <c r="U113" s="10"/>
      <c r="V113" s="10">
        <f>GraphBotulinum!$G$41*'C botulinum'!J113+GraphBotulinum!$G$42</f>
        <v>0.68400685450506327</v>
      </c>
    </row>
    <row r="114" spans="1:22" x14ac:dyDescent="0.2">
      <c r="A114" s="1" t="s">
        <v>1228</v>
      </c>
      <c r="B114" s="1" t="s">
        <v>1234</v>
      </c>
      <c r="C114" s="1" t="s">
        <v>987</v>
      </c>
      <c r="D114" s="1" t="s">
        <v>1360</v>
      </c>
      <c r="E114" s="1" t="s">
        <v>132</v>
      </c>
      <c r="F114" s="1" t="s">
        <v>44</v>
      </c>
      <c r="G114" s="1" t="s">
        <v>140</v>
      </c>
      <c r="I114" s="4">
        <v>7</v>
      </c>
      <c r="J114" s="4">
        <v>80</v>
      </c>
      <c r="K114" s="11">
        <f>3.22</f>
        <v>3.22</v>
      </c>
      <c r="M114" s="11">
        <f t="shared" si="4"/>
        <v>0.50785587169583091</v>
      </c>
      <c r="N114" s="11">
        <f>GraphBotulinum!$D$9-('C botulinum'!J114-GraphBotulinum!$D$5)/GraphBotulinum!$D$4</f>
        <v>0.68400685450506282</v>
      </c>
      <c r="O114" s="1" t="s">
        <v>988</v>
      </c>
      <c r="P114" s="1">
        <v>1995</v>
      </c>
      <c r="Q114" t="s">
        <v>1003</v>
      </c>
      <c r="T114" s="10">
        <f>GraphBotulinum!$B$41*'C botulinum'!J114+GraphBotulinum!$B$42</f>
        <v>0.80105346353075735</v>
      </c>
      <c r="U114" s="10"/>
      <c r="V114" s="10">
        <f>GraphBotulinum!$G$41*'C botulinum'!J114+GraphBotulinum!$G$42</f>
        <v>0.68400685450506327</v>
      </c>
    </row>
    <row r="115" spans="1:22" x14ac:dyDescent="0.2">
      <c r="A115" s="1" t="s">
        <v>1228</v>
      </c>
      <c r="B115" s="1" t="s">
        <v>1234</v>
      </c>
      <c r="C115" s="1" t="s">
        <v>1389</v>
      </c>
      <c r="D115" s="1" t="s">
        <v>1360</v>
      </c>
      <c r="E115" s="1" t="s">
        <v>132</v>
      </c>
      <c r="F115" s="1" t="s">
        <v>44</v>
      </c>
      <c r="G115" s="1" t="s">
        <v>140</v>
      </c>
      <c r="I115" s="4">
        <v>7</v>
      </c>
      <c r="J115" s="4">
        <v>80</v>
      </c>
      <c r="K115" s="11">
        <f>4.09</f>
        <v>4.09</v>
      </c>
      <c r="M115" s="11">
        <f t="shared" si="4"/>
        <v>0.61172330800734176</v>
      </c>
      <c r="N115" s="11">
        <f>GraphBotulinum!$D$9-('C botulinum'!J115-GraphBotulinum!$D$5)/GraphBotulinum!$D$4</f>
        <v>0.68400685450506282</v>
      </c>
      <c r="O115" s="1" t="s">
        <v>988</v>
      </c>
      <c r="P115" s="1">
        <v>1995</v>
      </c>
      <c r="Q115" t="s">
        <v>1000</v>
      </c>
      <c r="T115" s="10">
        <f>GraphBotulinum!$B$41*'C botulinum'!J115+GraphBotulinum!$B$42</f>
        <v>0.80105346353075735</v>
      </c>
      <c r="U115" s="10"/>
      <c r="V115" s="10">
        <f>GraphBotulinum!$G$41*'C botulinum'!J115+GraphBotulinum!$G$42</f>
        <v>0.68400685450506327</v>
      </c>
    </row>
    <row r="116" spans="1:22" x14ac:dyDescent="0.2">
      <c r="A116" s="1" t="s">
        <v>1228</v>
      </c>
      <c r="B116" s="1" t="s">
        <v>1234</v>
      </c>
      <c r="C116" s="1" t="s">
        <v>1389</v>
      </c>
      <c r="D116" s="1" t="s">
        <v>1360</v>
      </c>
      <c r="E116" s="1" t="s">
        <v>132</v>
      </c>
      <c r="F116" s="1" t="s">
        <v>44</v>
      </c>
      <c r="G116" s="1" t="s">
        <v>140</v>
      </c>
      <c r="I116" s="4">
        <v>7</v>
      </c>
      <c r="J116" s="4">
        <v>80</v>
      </c>
      <c r="K116" s="11">
        <f>3.73</f>
        <v>3.73</v>
      </c>
      <c r="M116" s="11">
        <f t="shared" si="4"/>
        <v>0.57170883180868759</v>
      </c>
      <c r="N116" s="11">
        <f>GraphBotulinum!$D$9-('C botulinum'!J116-GraphBotulinum!$D$5)/GraphBotulinum!$D$4</f>
        <v>0.68400685450506282</v>
      </c>
      <c r="O116" s="1" t="s">
        <v>988</v>
      </c>
      <c r="P116" s="1">
        <v>1995</v>
      </c>
      <c r="Q116" t="s">
        <v>1003</v>
      </c>
      <c r="T116" s="10">
        <f>GraphBotulinum!$B$41*'C botulinum'!J116+GraphBotulinum!$B$42</f>
        <v>0.80105346353075735</v>
      </c>
      <c r="U116" s="10"/>
      <c r="V116" s="10">
        <f>GraphBotulinum!$G$41*'C botulinum'!J116+GraphBotulinum!$G$42</f>
        <v>0.68400685450506327</v>
      </c>
    </row>
    <row r="117" spans="1:22" x14ac:dyDescent="0.2">
      <c r="A117" s="1" t="s">
        <v>1228</v>
      </c>
      <c r="B117" s="1" t="s">
        <v>1234</v>
      </c>
      <c r="C117" s="1" t="s">
        <v>979</v>
      </c>
      <c r="D117" s="1" t="s">
        <v>1360</v>
      </c>
      <c r="E117" s="1" t="s">
        <v>132</v>
      </c>
      <c r="F117" s="1" t="s">
        <v>44</v>
      </c>
      <c r="G117" s="1" t="s">
        <v>140</v>
      </c>
      <c r="I117" s="4">
        <v>7</v>
      </c>
      <c r="J117" s="4">
        <v>80</v>
      </c>
      <c r="K117" s="11">
        <f>4.31</f>
        <v>4.3099999999999996</v>
      </c>
      <c r="M117" s="11">
        <f t="shared" si="4"/>
        <v>0.63447727016073152</v>
      </c>
      <c r="N117" s="11">
        <f>GraphBotulinum!$D$9-('C botulinum'!J117-GraphBotulinum!$D$5)/GraphBotulinum!$D$4</f>
        <v>0.68400685450506282</v>
      </c>
      <c r="O117" s="1" t="s">
        <v>988</v>
      </c>
      <c r="P117" s="1">
        <v>1995</v>
      </c>
      <c r="Q117" t="s">
        <v>1000</v>
      </c>
      <c r="T117" s="10">
        <f>GraphBotulinum!$B$41*'C botulinum'!J117+GraphBotulinum!$B$42</f>
        <v>0.80105346353075735</v>
      </c>
      <c r="U117" s="10"/>
      <c r="V117" s="10">
        <f>GraphBotulinum!$G$41*'C botulinum'!J117+GraphBotulinum!$G$42</f>
        <v>0.68400685450506327</v>
      </c>
    </row>
    <row r="118" spans="1:22" x14ac:dyDescent="0.2">
      <c r="A118" s="1" t="s">
        <v>1228</v>
      </c>
      <c r="B118" s="1" t="s">
        <v>1234</v>
      </c>
      <c r="C118" s="1" t="s">
        <v>979</v>
      </c>
      <c r="D118" s="1" t="s">
        <v>1360</v>
      </c>
      <c r="E118" s="1" t="s">
        <v>132</v>
      </c>
      <c r="F118" s="1" t="s">
        <v>44</v>
      </c>
      <c r="G118" s="1" t="s">
        <v>140</v>
      </c>
      <c r="I118" s="4">
        <v>7</v>
      </c>
      <c r="J118" s="4">
        <v>80</v>
      </c>
      <c r="K118" s="11">
        <f>2.53</f>
        <v>2.5299999999999998</v>
      </c>
      <c r="M118" s="11">
        <f t="shared" si="4"/>
        <v>0.40312052117581787</v>
      </c>
      <c r="N118" s="11">
        <f>GraphBotulinum!$D$9-('C botulinum'!J118-GraphBotulinum!$D$5)/GraphBotulinum!$D$4</f>
        <v>0.68400685450506282</v>
      </c>
      <c r="O118" s="1" t="s">
        <v>988</v>
      </c>
      <c r="P118" s="1">
        <v>1995</v>
      </c>
      <c r="Q118" t="s">
        <v>1003</v>
      </c>
      <c r="T118" s="10">
        <f>GraphBotulinum!$B$41*'C botulinum'!J118+GraphBotulinum!$B$42</f>
        <v>0.80105346353075735</v>
      </c>
      <c r="U118" s="10"/>
      <c r="V118" s="10">
        <f>GraphBotulinum!$G$41*'C botulinum'!J118+GraphBotulinum!$G$42</f>
        <v>0.68400685450506327</v>
      </c>
    </row>
    <row r="119" spans="1:22" x14ac:dyDescent="0.2">
      <c r="A119" s="1" t="s">
        <v>1228</v>
      </c>
      <c r="B119" s="1" t="s">
        <v>1234</v>
      </c>
      <c r="C119" s="1" t="s">
        <v>979</v>
      </c>
      <c r="D119" s="1" t="s">
        <v>1360</v>
      </c>
      <c r="E119" s="1" t="s">
        <v>132</v>
      </c>
      <c r="F119" s="1" t="s">
        <v>11</v>
      </c>
      <c r="G119" s="1" t="s">
        <v>576</v>
      </c>
      <c r="H119" s="1" t="s">
        <v>981</v>
      </c>
      <c r="J119" s="4">
        <v>75</v>
      </c>
      <c r="K119" s="11">
        <v>42.1</v>
      </c>
      <c r="L119" s="4">
        <v>10.08</v>
      </c>
      <c r="M119" s="11">
        <f t="shared" si="3"/>
        <v>1.6242820958356683</v>
      </c>
      <c r="N119" s="11">
        <f>GraphBotulinum!$D$9-('C botulinum'!J119-GraphBotulinum!$D$5)/GraphBotulinum!$D$4</f>
        <v>0.95280097977515332</v>
      </c>
      <c r="O119" s="1" t="s">
        <v>562</v>
      </c>
      <c r="P119" s="1">
        <v>1995</v>
      </c>
      <c r="T119" s="10">
        <f>GraphBotulinum!$B$41*'C botulinum'!J119+GraphBotulinum!$B$42</f>
        <v>0.97259686898872477</v>
      </c>
      <c r="U119" s="10"/>
      <c r="V119" s="10">
        <f>GraphBotulinum!$G$41*'C botulinum'!J119+GraphBotulinum!$G$42</f>
        <v>0.95280097977515421</v>
      </c>
    </row>
    <row r="120" spans="1:22" x14ac:dyDescent="0.2">
      <c r="A120" s="1" t="s">
        <v>1228</v>
      </c>
      <c r="B120" s="1" t="s">
        <v>1234</v>
      </c>
      <c r="C120" s="1" t="s">
        <v>979</v>
      </c>
      <c r="D120" s="1" t="s">
        <v>1360</v>
      </c>
      <c r="E120" s="1" t="s">
        <v>132</v>
      </c>
      <c r="F120" s="1" t="s">
        <v>11</v>
      </c>
      <c r="G120" s="1" t="s">
        <v>576</v>
      </c>
      <c r="H120" s="1" t="s">
        <v>981</v>
      </c>
      <c r="J120" s="4">
        <v>80</v>
      </c>
      <c r="K120" s="11">
        <v>17.100000000000001</v>
      </c>
      <c r="L120" s="4">
        <v>10.08</v>
      </c>
      <c r="M120" s="11">
        <f t="shared" ref="M120:M142" si="5">LOG(K120)</f>
        <v>1.2329961103921538</v>
      </c>
      <c r="N120" s="11">
        <f>GraphBotulinum!$D$9-('C botulinum'!J120-GraphBotulinum!$D$5)/GraphBotulinum!$D$4</f>
        <v>0.68400685450506282</v>
      </c>
      <c r="O120" s="1" t="s">
        <v>562</v>
      </c>
      <c r="P120" s="1">
        <v>1995</v>
      </c>
      <c r="T120" s="10">
        <f>GraphBotulinum!$B$41*'C botulinum'!J120+GraphBotulinum!$B$42</f>
        <v>0.80105346353075735</v>
      </c>
      <c r="U120" s="10"/>
      <c r="V120" s="10">
        <f>GraphBotulinum!$G$41*'C botulinum'!J120+GraphBotulinum!$G$42</f>
        <v>0.68400685450506327</v>
      </c>
    </row>
    <row r="121" spans="1:22" x14ac:dyDescent="0.2">
      <c r="A121" s="1" t="s">
        <v>1228</v>
      </c>
      <c r="B121" s="1" t="s">
        <v>1234</v>
      </c>
      <c r="C121" s="1" t="s">
        <v>979</v>
      </c>
      <c r="D121" s="1" t="s">
        <v>1360</v>
      </c>
      <c r="E121" s="1" t="s">
        <v>132</v>
      </c>
      <c r="F121" s="1" t="s">
        <v>11</v>
      </c>
      <c r="G121" s="1" t="s">
        <v>576</v>
      </c>
      <c r="H121" s="1" t="s">
        <v>981</v>
      </c>
      <c r="J121" s="4">
        <v>85</v>
      </c>
      <c r="K121" s="11">
        <v>7.8</v>
      </c>
      <c r="L121" s="4">
        <v>10.08</v>
      </c>
      <c r="M121" s="11">
        <f t="shared" si="5"/>
        <v>0.89209460269048035</v>
      </c>
      <c r="N121" s="11">
        <f>GraphBotulinum!$D$9-('C botulinum'!J121-GraphBotulinum!$D$5)/GraphBotulinum!$D$4</f>
        <v>0.4152127292349721</v>
      </c>
      <c r="O121" s="1" t="s">
        <v>562</v>
      </c>
      <c r="P121" s="1">
        <v>1995</v>
      </c>
      <c r="T121" s="10">
        <f>GraphBotulinum!$B$41*'C botulinum'!J121+GraphBotulinum!$B$42</f>
        <v>0.62951005807278992</v>
      </c>
      <c r="U121" s="10"/>
      <c r="V121" s="10">
        <f>GraphBotulinum!$G$41*'C botulinum'!J121+GraphBotulinum!$G$42</f>
        <v>0.41521272923497232</v>
      </c>
    </row>
    <row r="122" spans="1:22" x14ac:dyDescent="0.2">
      <c r="A122" s="1" t="s">
        <v>1228</v>
      </c>
      <c r="B122" s="1" t="s">
        <v>1234</v>
      </c>
      <c r="C122" s="1" t="s">
        <v>979</v>
      </c>
      <c r="D122" s="1" t="s">
        <v>1360</v>
      </c>
      <c r="E122" s="1" t="s">
        <v>132</v>
      </c>
      <c r="F122" s="1" t="s">
        <v>11</v>
      </c>
      <c r="G122" s="1" t="s">
        <v>576</v>
      </c>
      <c r="H122" s="1" t="s">
        <v>981</v>
      </c>
      <c r="J122" s="4">
        <v>90</v>
      </c>
      <c r="K122" s="11">
        <v>1.1000000000000001</v>
      </c>
      <c r="L122" s="4">
        <v>10.08</v>
      </c>
      <c r="M122" s="11">
        <f t="shared" si="5"/>
        <v>4.1392685158225077E-2</v>
      </c>
      <c r="N122" s="11">
        <f>GraphBotulinum!$D$9-('C botulinum'!J122-GraphBotulinum!$D$5)/GraphBotulinum!$D$4</f>
        <v>0.1464186039648816</v>
      </c>
      <c r="O122" s="1" t="s">
        <v>562</v>
      </c>
      <c r="P122" s="1">
        <v>1995</v>
      </c>
      <c r="T122" s="10">
        <f>GraphBotulinum!$B$41*'C botulinum'!J122+GraphBotulinum!$B$42</f>
        <v>0.45796665261482206</v>
      </c>
      <c r="U122" s="10"/>
      <c r="V122" s="10">
        <f>GraphBotulinum!$G$41*'C botulinum'!J122+GraphBotulinum!$G$42</f>
        <v>0.14641860396488227</v>
      </c>
    </row>
    <row r="123" spans="1:22" x14ac:dyDescent="0.2">
      <c r="A123" s="1" t="s">
        <v>1228</v>
      </c>
      <c r="B123" s="1" t="s">
        <v>1234</v>
      </c>
      <c r="C123" s="1" t="s">
        <v>979</v>
      </c>
      <c r="D123" s="1" t="s">
        <v>1360</v>
      </c>
      <c r="E123" s="1" t="s">
        <v>132</v>
      </c>
      <c r="F123" s="1" t="s">
        <v>11</v>
      </c>
      <c r="G123" s="1" t="s">
        <v>576</v>
      </c>
      <c r="H123" s="1" t="s">
        <v>982</v>
      </c>
      <c r="J123" s="4">
        <v>75</v>
      </c>
      <c r="K123" s="11">
        <v>25.7</v>
      </c>
      <c r="L123" s="4">
        <v>8.82</v>
      </c>
      <c r="M123" s="11">
        <f t="shared" si="5"/>
        <v>1.4099331233312946</v>
      </c>
      <c r="N123" s="11">
        <f>GraphBotulinum!$D$9-('C botulinum'!J123-GraphBotulinum!$D$5)/GraphBotulinum!$D$4</f>
        <v>0.95280097977515332</v>
      </c>
      <c r="O123" s="1" t="s">
        <v>562</v>
      </c>
      <c r="P123" s="1">
        <v>1995</v>
      </c>
      <c r="T123" s="10">
        <f>GraphBotulinum!$B$41*'C botulinum'!J123+GraphBotulinum!$B$42</f>
        <v>0.97259686898872477</v>
      </c>
      <c r="U123" s="10"/>
      <c r="V123" s="10">
        <f>GraphBotulinum!$G$41*'C botulinum'!J123+GraphBotulinum!$G$42</f>
        <v>0.95280097977515421</v>
      </c>
    </row>
    <row r="124" spans="1:22" x14ac:dyDescent="0.2">
      <c r="A124" s="1" t="s">
        <v>1228</v>
      </c>
      <c r="B124" s="1" t="s">
        <v>1234</v>
      </c>
      <c r="C124" s="1" t="s">
        <v>979</v>
      </c>
      <c r="D124" s="1" t="s">
        <v>1360</v>
      </c>
      <c r="E124" s="1" t="s">
        <v>132</v>
      </c>
      <c r="F124" s="1" t="s">
        <v>11</v>
      </c>
      <c r="G124" s="1" t="s">
        <v>576</v>
      </c>
      <c r="H124" s="1" t="s">
        <v>982</v>
      </c>
      <c r="J124" s="4">
        <v>80</v>
      </c>
      <c r="K124" s="11">
        <v>15.1</v>
      </c>
      <c r="L124" s="4">
        <v>8.82</v>
      </c>
      <c r="M124" s="11">
        <f t="shared" si="5"/>
        <v>1.1789769472931695</v>
      </c>
      <c r="N124" s="11">
        <f>GraphBotulinum!$D$9-('C botulinum'!J124-GraphBotulinum!$D$5)/GraphBotulinum!$D$4</f>
        <v>0.68400685450506282</v>
      </c>
      <c r="O124" s="1" t="s">
        <v>562</v>
      </c>
      <c r="P124" s="1">
        <v>1995</v>
      </c>
      <c r="T124" s="10">
        <f>GraphBotulinum!$B$41*'C botulinum'!J124+GraphBotulinum!$B$42</f>
        <v>0.80105346353075735</v>
      </c>
      <c r="U124" s="10"/>
      <c r="V124" s="10">
        <f>GraphBotulinum!$G$41*'C botulinum'!J124+GraphBotulinum!$G$42</f>
        <v>0.68400685450506327</v>
      </c>
    </row>
    <row r="125" spans="1:22" x14ac:dyDescent="0.2">
      <c r="A125" s="1" t="s">
        <v>1228</v>
      </c>
      <c r="B125" s="1" t="s">
        <v>1234</v>
      </c>
      <c r="C125" s="1" t="s">
        <v>979</v>
      </c>
      <c r="D125" s="1" t="s">
        <v>1360</v>
      </c>
      <c r="E125" s="1" t="s">
        <v>132</v>
      </c>
      <c r="F125" s="1" t="s">
        <v>11</v>
      </c>
      <c r="G125" s="1" t="s">
        <v>576</v>
      </c>
      <c r="H125" s="1" t="s">
        <v>982</v>
      </c>
      <c r="J125" s="4">
        <v>85</v>
      </c>
      <c r="K125" s="11">
        <v>5.5</v>
      </c>
      <c r="L125" s="4">
        <v>8.82</v>
      </c>
      <c r="M125" s="11">
        <f t="shared" si="5"/>
        <v>0.74036268949424389</v>
      </c>
      <c r="N125" s="11">
        <f>GraphBotulinum!$D$9-('C botulinum'!J125-GraphBotulinum!$D$5)/GraphBotulinum!$D$4</f>
        <v>0.4152127292349721</v>
      </c>
      <c r="O125" s="1" t="s">
        <v>562</v>
      </c>
      <c r="P125" s="1">
        <v>1995</v>
      </c>
      <c r="T125" s="10">
        <f>GraphBotulinum!$B$41*'C botulinum'!J125+GraphBotulinum!$B$42</f>
        <v>0.62951005807278992</v>
      </c>
      <c r="U125" s="10"/>
      <c r="V125" s="10">
        <f>GraphBotulinum!$G$41*'C botulinum'!J125+GraphBotulinum!$G$42</f>
        <v>0.41521272923497232</v>
      </c>
    </row>
    <row r="126" spans="1:22" x14ac:dyDescent="0.2">
      <c r="A126" s="1" t="s">
        <v>1228</v>
      </c>
      <c r="B126" s="1" t="s">
        <v>1234</v>
      </c>
      <c r="C126" s="1" t="s">
        <v>979</v>
      </c>
      <c r="D126" s="1" t="s">
        <v>1360</v>
      </c>
      <c r="E126" s="1" t="s">
        <v>132</v>
      </c>
      <c r="F126" s="1" t="s">
        <v>11</v>
      </c>
      <c r="G126" s="1" t="s">
        <v>576</v>
      </c>
      <c r="H126" s="1" t="s">
        <v>982</v>
      </c>
      <c r="J126" s="4">
        <v>90</v>
      </c>
      <c r="K126" s="11">
        <v>0.6</v>
      </c>
      <c r="L126" s="4">
        <v>8.82</v>
      </c>
      <c r="M126" s="11">
        <f t="shared" si="5"/>
        <v>-0.22184874961635639</v>
      </c>
      <c r="N126" s="11">
        <f>GraphBotulinum!$D$9-('C botulinum'!J126-GraphBotulinum!$D$5)/GraphBotulinum!$D$4</f>
        <v>0.1464186039648816</v>
      </c>
      <c r="O126" s="1" t="s">
        <v>562</v>
      </c>
      <c r="P126" s="1">
        <v>1995</v>
      </c>
      <c r="T126" s="10">
        <f>GraphBotulinum!$B$41*'C botulinum'!J126+GraphBotulinum!$B$42</f>
        <v>0.45796665261482206</v>
      </c>
      <c r="U126" s="10"/>
      <c r="V126" s="10">
        <f>GraphBotulinum!$G$41*'C botulinum'!J126+GraphBotulinum!$G$42</f>
        <v>0.14641860396488227</v>
      </c>
    </row>
    <row r="127" spans="1:22" x14ac:dyDescent="0.2">
      <c r="A127" s="1" t="s">
        <v>1228</v>
      </c>
      <c r="B127" s="1" t="s">
        <v>1234</v>
      </c>
      <c r="C127" s="1" t="s">
        <v>979</v>
      </c>
      <c r="D127" s="1" t="s">
        <v>1360</v>
      </c>
      <c r="E127" s="1" t="s">
        <v>132</v>
      </c>
      <c r="F127" s="1" t="s">
        <v>11</v>
      </c>
      <c r="G127" s="1" t="s">
        <v>576</v>
      </c>
      <c r="H127" s="1" t="s">
        <v>983</v>
      </c>
      <c r="J127" s="4">
        <v>75</v>
      </c>
      <c r="K127" s="11">
        <v>17.7</v>
      </c>
      <c r="L127" s="4">
        <v>8.4700000000000006</v>
      </c>
      <c r="M127" s="11">
        <f t="shared" si="5"/>
        <v>1.2479732663618066</v>
      </c>
      <c r="N127" s="11">
        <f>GraphBotulinum!$D$9-('C botulinum'!J127-GraphBotulinum!$D$5)/GraphBotulinum!$D$4</f>
        <v>0.95280097977515332</v>
      </c>
      <c r="O127" s="1" t="s">
        <v>562</v>
      </c>
      <c r="P127" s="1">
        <v>1995</v>
      </c>
      <c r="T127" s="10">
        <f>GraphBotulinum!$B$41*'C botulinum'!J127+GraphBotulinum!$B$42</f>
        <v>0.97259686898872477</v>
      </c>
      <c r="U127" s="10"/>
      <c r="V127" s="10">
        <f>GraphBotulinum!$G$41*'C botulinum'!J127+GraphBotulinum!$G$42</f>
        <v>0.95280097977515421</v>
      </c>
    </row>
    <row r="128" spans="1:22" x14ac:dyDescent="0.2">
      <c r="A128" s="1" t="s">
        <v>1228</v>
      </c>
      <c r="B128" s="1" t="s">
        <v>1234</v>
      </c>
      <c r="C128" s="1" t="s">
        <v>979</v>
      </c>
      <c r="D128" s="1" t="s">
        <v>1360</v>
      </c>
      <c r="E128" s="1" t="s">
        <v>132</v>
      </c>
      <c r="F128" s="1" t="s">
        <v>11</v>
      </c>
      <c r="G128" s="1" t="s">
        <v>576</v>
      </c>
      <c r="H128" s="1" t="s">
        <v>983</v>
      </c>
      <c r="J128" s="4">
        <v>80</v>
      </c>
      <c r="K128" s="11">
        <v>13.1</v>
      </c>
      <c r="L128" s="4">
        <v>8.4700000000000006</v>
      </c>
      <c r="M128" s="11">
        <f t="shared" si="5"/>
        <v>1.1172712956557642</v>
      </c>
      <c r="N128" s="11">
        <f>GraphBotulinum!$D$9-('C botulinum'!J128-GraphBotulinum!$D$5)/GraphBotulinum!$D$4</f>
        <v>0.68400685450506282</v>
      </c>
      <c r="O128" s="1" t="s">
        <v>562</v>
      </c>
      <c r="P128" s="1">
        <v>1995</v>
      </c>
      <c r="T128" s="10">
        <f>GraphBotulinum!$B$41*'C botulinum'!J128+GraphBotulinum!$B$42</f>
        <v>0.80105346353075735</v>
      </c>
      <c r="U128" s="10"/>
      <c r="V128" s="10">
        <f>GraphBotulinum!$G$41*'C botulinum'!J128+GraphBotulinum!$G$42</f>
        <v>0.68400685450506327</v>
      </c>
    </row>
    <row r="129" spans="1:22" x14ac:dyDescent="0.2">
      <c r="A129" s="1" t="s">
        <v>1228</v>
      </c>
      <c r="B129" s="1" t="s">
        <v>1234</v>
      </c>
      <c r="C129" s="1" t="s">
        <v>979</v>
      </c>
      <c r="D129" s="1" t="s">
        <v>1360</v>
      </c>
      <c r="E129" s="1" t="s">
        <v>132</v>
      </c>
      <c r="F129" s="1" t="s">
        <v>11</v>
      </c>
      <c r="G129" s="1" t="s">
        <v>576</v>
      </c>
      <c r="H129" s="1" t="s">
        <v>983</v>
      </c>
      <c r="J129" s="4">
        <v>85</v>
      </c>
      <c r="K129" s="11">
        <v>3.2</v>
      </c>
      <c r="L129" s="4">
        <v>8.4700000000000006</v>
      </c>
      <c r="M129" s="11">
        <f t="shared" si="5"/>
        <v>0.50514997831990605</v>
      </c>
      <c r="N129" s="11">
        <f>GraphBotulinum!$D$9-('C botulinum'!J129-GraphBotulinum!$D$5)/GraphBotulinum!$D$4</f>
        <v>0.4152127292349721</v>
      </c>
      <c r="O129" s="1" t="s">
        <v>562</v>
      </c>
      <c r="P129" s="1">
        <v>1995</v>
      </c>
      <c r="T129" s="10">
        <f>GraphBotulinum!$B$41*'C botulinum'!J129+GraphBotulinum!$B$42</f>
        <v>0.62951005807278992</v>
      </c>
      <c r="U129" s="10"/>
      <c r="V129" s="10">
        <f>GraphBotulinum!$G$41*'C botulinum'!J129+GraphBotulinum!$G$42</f>
        <v>0.41521272923497232</v>
      </c>
    </row>
    <row r="130" spans="1:22" x14ac:dyDescent="0.2">
      <c r="A130" s="1" t="s">
        <v>1228</v>
      </c>
      <c r="B130" s="1" t="s">
        <v>1234</v>
      </c>
      <c r="C130" s="1" t="s">
        <v>979</v>
      </c>
      <c r="D130" s="1" t="s">
        <v>1360</v>
      </c>
      <c r="E130" s="1" t="s">
        <v>132</v>
      </c>
      <c r="F130" s="1" t="s">
        <v>11</v>
      </c>
      <c r="G130" s="1" t="s">
        <v>576</v>
      </c>
      <c r="H130" s="1" t="s">
        <v>983</v>
      </c>
      <c r="J130" s="4">
        <v>90</v>
      </c>
      <c r="K130" s="11">
        <v>0.5</v>
      </c>
      <c r="L130" s="4">
        <v>8.4700000000000006</v>
      </c>
      <c r="M130" s="11">
        <f t="shared" si="5"/>
        <v>-0.3010299956639812</v>
      </c>
      <c r="N130" s="11">
        <f>GraphBotulinum!$D$9-('C botulinum'!J130-GraphBotulinum!$D$5)/GraphBotulinum!$D$4</f>
        <v>0.1464186039648816</v>
      </c>
      <c r="O130" s="1" t="s">
        <v>562</v>
      </c>
      <c r="P130" s="1">
        <v>1995</v>
      </c>
      <c r="T130" s="10">
        <f>GraphBotulinum!$B$41*'C botulinum'!J130+GraphBotulinum!$B$42</f>
        <v>0.45796665261482206</v>
      </c>
      <c r="U130" s="10"/>
      <c r="V130" s="10">
        <f>GraphBotulinum!$G$41*'C botulinum'!J130+GraphBotulinum!$G$42</f>
        <v>0.14641860396488227</v>
      </c>
    </row>
    <row r="131" spans="1:22" x14ac:dyDescent="0.2">
      <c r="A131" s="1" t="s">
        <v>1228</v>
      </c>
      <c r="B131" s="1" t="s">
        <v>1234</v>
      </c>
      <c r="C131" s="1" t="s">
        <v>979</v>
      </c>
      <c r="D131" s="1" t="s">
        <v>1360</v>
      </c>
      <c r="E131" s="1" t="s">
        <v>132</v>
      </c>
      <c r="F131" s="1" t="s">
        <v>11</v>
      </c>
      <c r="G131" s="1" t="s">
        <v>576</v>
      </c>
      <c r="H131" s="1" t="s">
        <v>981</v>
      </c>
      <c r="J131" s="4">
        <v>75</v>
      </c>
      <c r="K131" s="11">
        <v>27.4</v>
      </c>
      <c r="L131" s="4">
        <v>9.86</v>
      </c>
      <c r="M131" s="11">
        <f t="shared" si="5"/>
        <v>1.4377505628203879</v>
      </c>
      <c r="N131" s="11">
        <f>GraphBotulinum!$D$9-('C botulinum'!J131-GraphBotulinum!$D$5)/GraphBotulinum!$D$4</f>
        <v>0.95280097977515332</v>
      </c>
      <c r="O131" s="1" t="s">
        <v>562</v>
      </c>
      <c r="P131" s="1">
        <v>1995</v>
      </c>
      <c r="Q131" t="s">
        <v>984</v>
      </c>
      <c r="T131" s="10">
        <f>GraphBotulinum!$B$41*'C botulinum'!J131+GraphBotulinum!$B$42</f>
        <v>0.97259686898872477</v>
      </c>
      <c r="U131" s="10"/>
      <c r="V131" s="10">
        <f>GraphBotulinum!$G$41*'C botulinum'!J131+GraphBotulinum!$G$42</f>
        <v>0.95280097977515421</v>
      </c>
    </row>
    <row r="132" spans="1:22" x14ac:dyDescent="0.2">
      <c r="A132" s="1" t="s">
        <v>1228</v>
      </c>
      <c r="B132" s="1" t="s">
        <v>1234</v>
      </c>
      <c r="C132" s="1" t="s">
        <v>979</v>
      </c>
      <c r="D132" s="1" t="s">
        <v>1360</v>
      </c>
      <c r="E132" s="1" t="s">
        <v>132</v>
      </c>
      <c r="F132" s="1" t="s">
        <v>11</v>
      </c>
      <c r="G132" s="1" t="s">
        <v>576</v>
      </c>
      <c r="H132" s="1" t="s">
        <v>981</v>
      </c>
      <c r="J132" s="4">
        <v>80</v>
      </c>
      <c r="K132" s="11">
        <v>13.2</v>
      </c>
      <c r="L132" s="4">
        <v>9.86</v>
      </c>
      <c r="M132" s="11">
        <f t="shared" si="5"/>
        <v>1.1205739312058498</v>
      </c>
      <c r="N132" s="11">
        <f>GraphBotulinum!$D$9-('C botulinum'!J132-GraphBotulinum!$D$5)/GraphBotulinum!$D$4</f>
        <v>0.68400685450506282</v>
      </c>
      <c r="O132" s="1" t="s">
        <v>562</v>
      </c>
      <c r="P132" s="1">
        <v>1995</v>
      </c>
      <c r="Q132" t="s">
        <v>984</v>
      </c>
      <c r="T132" s="10">
        <f>GraphBotulinum!$B$41*'C botulinum'!J132+GraphBotulinum!$B$42</f>
        <v>0.80105346353075735</v>
      </c>
      <c r="U132" s="10"/>
      <c r="V132" s="10">
        <f>GraphBotulinum!$G$41*'C botulinum'!J132+GraphBotulinum!$G$42</f>
        <v>0.68400685450506327</v>
      </c>
    </row>
    <row r="133" spans="1:22" x14ac:dyDescent="0.2">
      <c r="A133" s="1" t="s">
        <v>1228</v>
      </c>
      <c r="B133" s="1" t="s">
        <v>1234</v>
      </c>
      <c r="C133" s="1" t="s">
        <v>979</v>
      </c>
      <c r="D133" s="1" t="s">
        <v>1360</v>
      </c>
      <c r="E133" s="1" t="s">
        <v>132</v>
      </c>
      <c r="F133" s="1" t="s">
        <v>11</v>
      </c>
      <c r="G133" s="1" t="s">
        <v>576</v>
      </c>
      <c r="H133" s="1" t="s">
        <v>981</v>
      </c>
      <c r="J133" s="4">
        <v>85</v>
      </c>
      <c r="K133" s="11">
        <v>5</v>
      </c>
      <c r="L133" s="4">
        <v>9.86</v>
      </c>
      <c r="M133" s="11">
        <f t="shared" si="5"/>
        <v>0.69897000433601886</v>
      </c>
      <c r="N133" s="11">
        <f>GraphBotulinum!$D$9-('C botulinum'!J133-GraphBotulinum!$D$5)/GraphBotulinum!$D$4</f>
        <v>0.4152127292349721</v>
      </c>
      <c r="O133" s="1" t="s">
        <v>562</v>
      </c>
      <c r="P133" s="1">
        <v>1995</v>
      </c>
      <c r="Q133" t="s">
        <v>984</v>
      </c>
      <c r="T133" s="10">
        <f>GraphBotulinum!$B$41*'C botulinum'!J133+GraphBotulinum!$B$42</f>
        <v>0.62951005807278992</v>
      </c>
      <c r="U133" s="10"/>
      <c r="V133" s="10">
        <f>GraphBotulinum!$G$41*'C botulinum'!J133+GraphBotulinum!$G$42</f>
        <v>0.41521272923497232</v>
      </c>
    </row>
    <row r="134" spans="1:22" x14ac:dyDescent="0.2">
      <c r="A134" s="1" t="s">
        <v>1228</v>
      </c>
      <c r="B134" s="1" t="s">
        <v>1234</v>
      </c>
      <c r="C134" s="1" t="s">
        <v>979</v>
      </c>
      <c r="D134" s="1" t="s">
        <v>1360</v>
      </c>
      <c r="E134" s="1" t="s">
        <v>132</v>
      </c>
      <c r="F134" s="1" t="s">
        <v>11</v>
      </c>
      <c r="G134" s="1" t="s">
        <v>576</v>
      </c>
      <c r="H134" s="1" t="s">
        <v>981</v>
      </c>
      <c r="J134" s="4">
        <v>90</v>
      </c>
      <c r="K134" s="11">
        <v>0.8</v>
      </c>
      <c r="L134" s="4">
        <v>9.86</v>
      </c>
      <c r="M134" s="11">
        <f t="shared" si="5"/>
        <v>-9.6910013008056392E-2</v>
      </c>
      <c r="N134" s="11">
        <f>GraphBotulinum!$D$9-('C botulinum'!J134-GraphBotulinum!$D$5)/GraphBotulinum!$D$4</f>
        <v>0.1464186039648816</v>
      </c>
      <c r="O134" s="1" t="s">
        <v>562</v>
      </c>
      <c r="P134" s="1">
        <v>1995</v>
      </c>
      <c r="Q134" t="s">
        <v>984</v>
      </c>
      <c r="T134" s="10">
        <f>GraphBotulinum!$B$41*'C botulinum'!J134+GraphBotulinum!$B$42</f>
        <v>0.45796665261482206</v>
      </c>
      <c r="U134" s="10"/>
      <c r="V134" s="10">
        <f>GraphBotulinum!$G$41*'C botulinum'!J134+GraphBotulinum!$G$42</f>
        <v>0.14641860396488227</v>
      </c>
    </row>
    <row r="135" spans="1:22" x14ac:dyDescent="0.2">
      <c r="A135" s="1" t="s">
        <v>1228</v>
      </c>
      <c r="B135" s="1" t="s">
        <v>1234</v>
      </c>
      <c r="C135" s="1" t="s">
        <v>979</v>
      </c>
      <c r="D135" s="1" t="s">
        <v>1360</v>
      </c>
      <c r="E135" s="1" t="s">
        <v>132</v>
      </c>
      <c r="F135" s="1" t="s">
        <v>11</v>
      </c>
      <c r="G135" s="1" t="s">
        <v>576</v>
      </c>
      <c r="H135" s="1" t="s">
        <v>982</v>
      </c>
      <c r="J135" s="4">
        <v>75</v>
      </c>
      <c r="K135" s="11">
        <v>19.899999999999999</v>
      </c>
      <c r="L135" s="4">
        <v>9.2100000000000009</v>
      </c>
      <c r="M135" s="11">
        <f t="shared" si="5"/>
        <v>1.2988530764097066</v>
      </c>
      <c r="N135" s="11">
        <f>GraphBotulinum!$D$9-('C botulinum'!J135-GraphBotulinum!$D$5)/GraphBotulinum!$D$4</f>
        <v>0.95280097977515332</v>
      </c>
      <c r="O135" s="1" t="s">
        <v>562</v>
      </c>
      <c r="P135" s="1">
        <v>1995</v>
      </c>
      <c r="Q135" t="s">
        <v>985</v>
      </c>
      <c r="T135" s="10">
        <f>GraphBotulinum!$B$41*'C botulinum'!J135+GraphBotulinum!$B$42</f>
        <v>0.97259686898872477</v>
      </c>
      <c r="U135" s="10"/>
      <c r="V135" s="10">
        <f>GraphBotulinum!$G$41*'C botulinum'!J135+GraphBotulinum!$G$42</f>
        <v>0.95280097977515421</v>
      </c>
    </row>
    <row r="136" spans="1:22" x14ac:dyDescent="0.2">
      <c r="A136" s="1" t="s">
        <v>1228</v>
      </c>
      <c r="B136" s="1" t="s">
        <v>1234</v>
      </c>
      <c r="C136" s="1" t="s">
        <v>979</v>
      </c>
      <c r="D136" s="1" t="s">
        <v>1360</v>
      </c>
      <c r="E136" s="1" t="s">
        <v>132</v>
      </c>
      <c r="F136" s="1" t="s">
        <v>11</v>
      </c>
      <c r="G136" s="1" t="s">
        <v>576</v>
      </c>
      <c r="H136" s="1" t="s">
        <v>982</v>
      </c>
      <c r="J136" s="4">
        <v>80</v>
      </c>
      <c r="K136" s="11">
        <v>12.6</v>
      </c>
      <c r="L136" s="4">
        <v>9.2100000000000009</v>
      </c>
      <c r="M136" s="11">
        <f t="shared" si="5"/>
        <v>1.1003705451175629</v>
      </c>
      <c r="N136" s="11">
        <f>GraphBotulinum!$D$9-('C botulinum'!J136-GraphBotulinum!$D$5)/GraphBotulinum!$D$4</f>
        <v>0.68400685450506282</v>
      </c>
      <c r="O136" s="1" t="s">
        <v>562</v>
      </c>
      <c r="P136" s="1">
        <v>1995</v>
      </c>
      <c r="Q136" t="s">
        <v>985</v>
      </c>
      <c r="T136" s="10">
        <f>GraphBotulinum!$B$41*'C botulinum'!J136+GraphBotulinum!$B$42</f>
        <v>0.80105346353075735</v>
      </c>
      <c r="U136" s="10"/>
      <c r="V136" s="10">
        <f>GraphBotulinum!$G$41*'C botulinum'!J136+GraphBotulinum!$G$42</f>
        <v>0.68400685450506327</v>
      </c>
    </row>
    <row r="137" spans="1:22" x14ac:dyDescent="0.2">
      <c r="A137" s="1" t="s">
        <v>1228</v>
      </c>
      <c r="B137" s="1" t="s">
        <v>1234</v>
      </c>
      <c r="C137" s="1" t="s">
        <v>979</v>
      </c>
      <c r="D137" s="1" t="s">
        <v>1360</v>
      </c>
      <c r="E137" s="1" t="s">
        <v>132</v>
      </c>
      <c r="F137" s="1" t="s">
        <v>11</v>
      </c>
      <c r="G137" s="1" t="s">
        <v>576</v>
      </c>
      <c r="H137" s="1" t="s">
        <v>982</v>
      </c>
      <c r="J137" s="4">
        <v>85</v>
      </c>
      <c r="K137" s="11">
        <v>4.3</v>
      </c>
      <c r="L137" s="4">
        <v>9.2100000000000009</v>
      </c>
      <c r="M137" s="11">
        <f t="shared" si="5"/>
        <v>0.63346845557958653</v>
      </c>
      <c r="N137" s="11">
        <f>GraphBotulinum!$D$9-('C botulinum'!J137-GraphBotulinum!$D$5)/GraphBotulinum!$D$4</f>
        <v>0.4152127292349721</v>
      </c>
      <c r="O137" s="1" t="s">
        <v>562</v>
      </c>
      <c r="P137" s="1">
        <v>1995</v>
      </c>
      <c r="Q137" t="s">
        <v>985</v>
      </c>
      <c r="T137" s="10">
        <f>GraphBotulinum!$B$41*'C botulinum'!J137+GraphBotulinum!$B$42</f>
        <v>0.62951005807278992</v>
      </c>
      <c r="U137" s="10"/>
      <c r="V137" s="10">
        <f>GraphBotulinum!$G$41*'C botulinum'!J137+GraphBotulinum!$G$42</f>
        <v>0.41521272923497232</v>
      </c>
    </row>
    <row r="138" spans="1:22" x14ac:dyDescent="0.2">
      <c r="A138" s="1" t="s">
        <v>1228</v>
      </c>
      <c r="B138" s="1" t="s">
        <v>1234</v>
      </c>
      <c r="C138" s="1" t="s">
        <v>979</v>
      </c>
      <c r="D138" s="1" t="s">
        <v>1360</v>
      </c>
      <c r="E138" s="1" t="s">
        <v>132</v>
      </c>
      <c r="F138" s="1" t="s">
        <v>11</v>
      </c>
      <c r="G138" s="1" t="s">
        <v>576</v>
      </c>
      <c r="H138" s="1" t="s">
        <v>982</v>
      </c>
      <c r="J138" s="4">
        <v>90</v>
      </c>
      <c r="K138" s="11">
        <v>0.4</v>
      </c>
      <c r="L138" s="4">
        <v>9.2100000000000009</v>
      </c>
      <c r="M138" s="11">
        <f t="shared" si="5"/>
        <v>-0.3979400086720376</v>
      </c>
      <c r="N138" s="11">
        <f>GraphBotulinum!$D$9-('C botulinum'!J138-GraphBotulinum!$D$5)/GraphBotulinum!$D$4</f>
        <v>0.1464186039648816</v>
      </c>
      <c r="O138" s="1" t="s">
        <v>562</v>
      </c>
      <c r="P138" s="1">
        <v>1995</v>
      </c>
      <c r="Q138" t="s">
        <v>985</v>
      </c>
      <c r="T138" s="10">
        <f>GraphBotulinum!$B$41*'C botulinum'!J138+GraphBotulinum!$B$42</f>
        <v>0.45796665261482206</v>
      </c>
      <c r="U138" s="10"/>
      <c r="V138" s="10">
        <f>GraphBotulinum!$G$41*'C botulinum'!J138+GraphBotulinum!$G$42</f>
        <v>0.14641860396488227</v>
      </c>
    </row>
    <row r="139" spans="1:22" x14ac:dyDescent="0.2">
      <c r="A139" s="1" t="s">
        <v>1228</v>
      </c>
      <c r="B139" s="1" t="s">
        <v>1234</v>
      </c>
      <c r="C139" s="1" t="s">
        <v>979</v>
      </c>
      <c r="D139" s="1" t="s">
        <v>1360</v>
      </c>
      <c r="E139" s="1" t="s">
        <v>132</v>
      </c>
      <c r="F139" s="1" t="s">
        <v>11</v>
      </c>
      <c r="G139" s="1" t="s">
        <v>576</v>
      </c>
      <c r="H139" s="1" t="s">
        <v>983</v>
      </c>
      <c r="J139" s="4">
        <v>75</v>
      </c>
      <c r="K139" s="11">
        <v>16.899999999999999</v>
      </c>
      <c r="L139" s="4">
        <v>9.51</v>
      </c>
      <c r="M139" s="11">
        <f t="shared" si="5"/>
        <v>1.2278867046136734</v>
      </c>
      <c r="N139" s="11">
        <f>GraphBotulinum!$D$9-('C botulinum'!J139-GraphBotulinum!$D$5)/GraphBotulinum!$D$4</f>
        <v>0.95280097977515332</v>
      </c>
      <c r="O139" s="1" t="s">
        <v>562</v>
      </c>
      <c r="P139" s="1">
        <v>1995</v>
      </c>
      <c r="Q139" t="s">
        <v>986</v>
      </c>
      <c r="T139" s="10">
        <f>GraphBotulinum!$B$41*'C botulinum'!J139+GraphBotulinum!$B$42</f>
        <v>0.97259686898872477</v>
      </c>
      <c r="U139" s="10"/>
      <c r="V139" s="10">
        <f>GraphBotulinum!$G$41*'C botulinum'!J139+GraphBotulinum!$G$42</f>
        <v>0.95280097977515421</v>
      </c>
    </row>
    <row r="140" spans="1:22" x14ac:dyDescent="0.2">
      <c r="A140" s="1" t="s">
        <v>1228</v>
      </c>
      <c r="B140" s="1" t="s">
        <v>1234</v>
      </c>
      <c r="C140" s="1" t="s">
        <v>979</v>
      </c>
      <c r="D140" s="1" t="s">
        <v>1360</v>
      </c>
      <c r="E140" s="1" t="s">
        <v>132</v>
      </c>
      <c r="F140" s="1" t="s">
        <v>11</v>
      </c>
      <c r="G140" s="1" t="s">
        <v>576</v>
      </c>
      <c r="H140" s="1" t="s">
        <v>983</v>
      </c>
      <c r="J140" s="4">
        <v>80</v>
      </c>
      <c r="K140" s="11">
        <v>8.1999999999999993</v>
      </c>
      <c r="L140" s="4">
        <v>9.51</v>
      </c>
      <c r="M140" s="11">
        <f t="shared" si="5"/>
        <v>0.91381385238371671</v>
      </c>
      <c r="N140" s="11">
        <f>GraphBotulinum!$D$9-('C botulinum'!J140-GraphBotulinum!$D$5)/GraphBotulinum!$D$4</f>
        <v>0.68400685450506282</v>
      </c>
      <c r="O140" s="1" t="s">
        <v>562</v>
      </c>
      <c r="P140" s="1">
        <v>1995</v>
      </c>
      <c r="Q140" t="s">
        <v>986</v>
      </c>
      <c r="T140" s="10">
        <f>GraphBotulinum!$B$41*'C botulinum'!J140+GraphBotulinum!$B$42</f>
        <v>0.80105346353075735</v>
      </c>
      <c r="U140" s="10"/>
      <c r="V140" s="10">
        <f>GraphBotulinum!$G$41*'C botulinum'!J140+GraphBotulinum!$G$42</f>
        <v>0.68400685450506327</v>
      </c>
    </row>
    <row r="141" spans="1:22" x14ac:dyDescent="0.2">
      <c r="A141" s="1" t="s">
        <v>1228</v>
      </c>
      <c r="B141" s="1" t="s">
        <v>1234</v>
      </c>
      <c r="C141" s="1" t="s">
        <v>979</v>
      </c>
      <c r="D141" s="1" t="s">
        <v>1360</v>
      </c>
      <c r="E141" s="1" t="s">
        <v>132</v>
      </c>
      <c r="F141" s="1" t="s">
        <v>11</v>
      </c>
      <c r="G141" s="1" t="s">
        <v>576</v>
      </c>
      <c r="H141" s="1" t="s">
        <v>983</v>
      </c>
      <c r="J141" s="4">
        <v>85</v>
      </c>
      <c r="K141" s="11">
        <v>2.6</v>
      </c>
      <c r="L141" s="4">
        <v>9.51</v>
      </c>
      <c r="M141" s="11">
        <f t="shared" si="5"/>
        <v>0.41497334797081797</v>
      </c>
      <c r="N141" s="11">
        <f>GraphBotulinum!$D$9-('C botulinum'!J141-GraphBotulinum!$D$5)/GraphBotulinum!$D$4</f>
        <v>0.4152127292349721</v>
      </c>
      <c r="O141" s="1" t="s">
        <v>562</v>
      </c>
      <c r="P141" s="1">
        <v>1995</v>
      </c>
      <c r="Q141" t="s">
        <v>986</v>
      </c>
      <c r="T141" s="10">
        <f>GraphBotulinum!$B$41*'C botulinum'!J141+GraphBotulinum!$B$42</f>
        <v>0.62951005807278992</v>
      </c>
      <c r="U141" s="10"/>
      <c r="V141" s="10">
        <f>GraphBotulinum!$G$41*'C botulinum'!J141+GraphBotulinum!$G$42</f>
        <v>0.41521272923497232</v>
      </c>
    </row>
    <row r="142" spans="1:22" x14ac:dyDescent="0.2">
      <c r="A142" s="1" t="s">
        <v>1228</v>
      </c>
      <c r="B142" s="1" t="s">
        <v>1234</v>
      </c>
      <c r="C142" s="1" t="s">
        <v>979</v>
      </c>
      <c r="D142" s="1" t="s">
        <v>1360</v>
      </c>
      <c r="E142" s="1" t="s">
        <v>132</v>
      </c>
      <c r="F142" s="1" t="s">
        <v>11</v>
      </c>
      <c r="G142" s="1" t="s">
        <v>576</v>
      </c>
      <c r="H142" s="1" t="s">
        <v>983</v>
      </c>
      <c r="J142" s="4">
        <v>90</v>
      </c>
      <c r="K142" s="11">
        <v>0.3</v>
      </c>
      <c r="L142" s="4">
        <v>9.51</v>
      </c>
      <c r="M142" s="11">
        <f t="shared" si="5"/>
        <v>-0.52287874528033762</v>
      </c>
      <c r="N142" s="11">
        <f>GraphBotulinum!$D$9-('C botulinum'!J142-GraphBotulinum!$D$5)/GraphBotulinum!$D$4</f>
        <v>0.1464186039648816</v>
      </c>
      <c r="O142" s="1" t="s">
        <v>562</v>
      </c>
      <c r="P142" s="1">
        <v>1995</v>
      </c>
      <c r="Q142" t="s">
        <v>986</v>
      </c>
      <c r="T142" s="10">
        <f>GraphBotulinum!$B$41*'C botulinum'!J142+GraphBotulinum!$B$42</f>
        <v>0.45796665261482206</v>
      </c>
      <c r="U142" s="10"/>
      <c r="V142" s="10">
        <f>GraphBotulinum!$G$41*'C botulinum'!J142+GraphBotulinum!$G$42</f>
        <v>0.14641860396488227</v>
      </c>
    </row>
    <row r="143" spans="1:22" x14ac:dyDescent="0.2">
      <c r="A143" s="1" t="s">
        <v>1228</v>
      </c>
      <c r="B143" s="1" t="s">
        <v>1234</v>
      </c>
      <c r="C143" s="1" t="s">
        <v>1410</v>
      </c>
      <c r="D143" s="1" t="s">
        <v>1365</v>
      </c>
      <c r="E143" s="1" t="s">
        <v>132</v>
      </c>
      <c r="F143" s="1" t="s">
        <v>44</v>
      </c>
      <c r="G143" s="1" t="s">
        <v>1247</v>
      </c>
      <c r="I143" s="4">
        <v>7</v>
      </c>
      <c r="J143" s="4">
        <v>82.2</v>
      </c>
      <c r="K143" s="11">
        <v>24.2</v>
      </c>
      <c r="M143" s="11">
        <f t="shared" si="3"/>
        <v>1.3838153659804313</v>
      </c>
      <c r="N143" s="11">
        <f>GraphBotulinum!$D$9-('C botulinum'!J143-GraphBotulinum!$D$5)/GraphBotulinum!$D$4</f>
        <v>0.5657374393862229</v>
      </c>
      <c r="O143" s="2" t="s">
        <v>1380</v>
      </c>
      <c r="P143" s="2">
        <v>1985</v>
      </c>
      <c r="Q143" t="s">
        <v>1393</v>
      </c>
      <c r="T143" s="10">
        <f>GraphBotulinum!$B$41*'C botulinum'!J143+GraphBotulinum!$B$42</f>
        <v>0.72557436512925166</v>
      </c>
      <c r="U143" s="10"/>
      <c r="V143" s="10">
        <f>GraphBotulinum!$G$41*'C botulinum'!J143+GraphBotulinum!$G$42</f>
        <v>0.5657374393862229</v>
      </c>
    </row>
    <row r="144" spans="1:22" x14ac:dyDescent="0.2">
      <c r="A144" s="1" t="s">
        <v>1228</v>
      </c>
      <c r="B144" s="1" t="s">
        <v>1234</v>
      </c>
      <c r="C144" s="1">
        <v>1</v>
      </c>
      <c r="D144" s="1" t="s">
        <v>1365</v>
      </c>
      <c r="E144" s="1" t="s">
        <v>132</v>
      </c>
      <c r="F144" s="1" t="s">
        <v>44</v>
      </c>
      <c r="G144" s="1" t="s">
        <v>1247</v>
      </c>
      <c r="I144" s="4">
        <v>7.1</v>
      </c>
      <c r="J144" s="4">
        <v>91</v>
      </c>
      <c r="K144" s="11">
        <v>13.5</v>
      </c>
      <c r="M144" s="11">
        <f t="shared" si="3"/>
        <v>1.1303337684950061</v>
      </c>
      <c r="N144" s="11">
        <f>GraphBotulinum!$D$9-('C botulinum'!J144-GraphBotulinum!$D$5)/GraphBotulinum!$D$4</f>
        <v>9.2659778910863411E-2</v>
      </c>
      <c r="O144" s="2" t="s">
        <v>1226</v>
      </c>
      <c r="P144" s="2">
        <v>1996</v>
      </c>
      <c r="Q144" t="s">
        <v>1368</v>
      </c>
      <c r="T144" s="10">
        <f>GraphBotulinum!$B$41*'C botulinum'!J144+GraphBotulinum!$B$42</f>
        <v>0.42365797152322893</v>
      </c>
      <c r="U144" s="10"/>
      <c r="V144" s="10">
        <f>GraphBotulinum!$G$41*'C botulinum'!J144+GraphBotulinum!$G$42</f>
        <v>9.2659778910864077E-2</v>
      </c>
    </row>
    <row r="145" spans="1:22" x14ac:dyDescent="0.2">
      <c r="A145" s="1" t="s">
        <v>1228</v>
      </c>
      <c r="B145" s="1" t="s">
        <v>1234</v>
      </c>
      <c r="C145" s="1">
        <v>1</v>
      </c>
      <c r="D145" s="1" t="s">
        <v>1365</v>
      </c>
      <c r="E145" s="1" t="s">
        <v>132</v>
      </c>
      <c r="F145" s="1" t="s">
        <v>44</v>
      </c>
      <c r="G145" s="1" t="s">
        <v>1247</v>
      </c>
      <c r="I145" s="4">
        <v>7.1</v>
      </c>
      <c r="J145" s="4">
        <v>93</v>
      </c>
      <c r="K145" s="11">
        <v>3.8</v>
      </c>
      <c r="M145" s="11">
        <f t="shared" si="3"/>
        <v>0.57978359661681012</v>
      </c>
      <c r="N145" s="11">
        <f>GraphBotulinum!$D$9-('C botulinum'!J145-GraphBotulinum!$D$5)/GraphBotulinum!$D$4</f>
        <v>-1.4857871197172967E-2</v>
      </c>
      <c r="O145" s="2" t="s">
        <v>1226</v>
      </c>
      <c r="P145" s="2">
        <v>1996</v>
      </c>
      <c r="Q145" t="s">
        <v>1368</v>
      </c>
      <c r="T145" s="10">
        <f>GraphBotulinum!$B$41*'C botulinum'!J145+GraphBotulinum!$B$42</f>
        <v>0.35504060934004178</v>
      </c>
      <c r="U145" s="10"/>
      <c r="V145" s="10">
        <f>GraphBotulinum!$G$41*'C botulinum'!J145+GraphBotulinum!$G$42</f>
        <v>-1.4857871197172301E-2</v>
      </c>
    </row>
    <row r="146" spans="1:22" x14ac:dyDescent="0.2">
      <c r="A146" s="1" t="s">
        <v>1228</v>
      </c>
      <c r="B146" s="1" t="s">
        <v>1234</v>
      </c>
      <c r="C146" s="1" t="s">
        <v>1411</v>
      </c>
      <c r="D146" s="1" t="s">
        <v>1365</v>
      </c>
      <c r="E146" s="1" t="s">
        <v>132</v>
      </c>
      <c r="F146" s="1" t="s">
        <v>44</v>
      </c>
      <c r="G146" s="1" t="s">
        <v>1247</v>
      </c>
      <c r="I146" s="4">
        <v>7</v>
      </c>
      <c r="J146" s="4">
        <v>85</v>
      </c>
      <c r="K146" s="11">
        <v>45.6</v>
      </c>
      <c r="M146" s="11">
        <f t="shared" si="3"/>
        <v>1.658964842664435</v>
      </c>
      <c r="N146" s="11">
        <f>GraphBotulinum!$D$9-('C botulinum'!J146-GraphBotulinum!$D$5)/GraphBotulinum!$D$4</f>
        <v>0.4152127292349721</v>
      </c>
      <c r="O146" s="2" t="s">
        <v>1375</v>
      </c>
      <c r="P146" s="2">
        <v>1993</v>
      </c>
      <c r="Q146" t="s">
        <v>1368</v>
      </c>
      <c r="T146" s="10">
        <f>GraphBotulinum!$B$41*'C botulinum'!J146+GraphBotulinum!$B$42</f>
        <v>0.62951005807278992</v>
      </c>
      <c r="U146" s="10"/>
      <c r="V146" s="10">
        <f>GraphBotulinum!$G$41*'C botulinum'!J146+GraphBotulinum!$G$42</f>
        <v>0.41521272923497232</v>
      </c>
    </row>
    <row r="147" spans="1:22" x14ac:dyDescent="0.2">
      <c r="A147" s="1" t="s">
        <v>1228</v>
      </c>
      <c r="B147" s="1" t="s">
        <v>1234</v>
      </c>
      <c r="C147" s="1" t="s">
        <v>1411</v>
      </c>
      <c r="D147" s="1" t="s">
        <v>1365</v>
      </c>
      <c r="E147" s="1" t="s">
        <v>132</v>
      </c>
      <c r="F147" s="1" t="s">
        <v>44</v>
      </c>
      <c r="G147" s="1" t="s">
        <v>1247</v>
      </c>
      <c r="I147" s="4">
        <v>7</v>
      </c>
      <c r="J147" s="4">
        <v>90</v>
      </c>
      <c r="K147" s="11">
        <v>11.8</v>
      </c>
      <c r="M147" s="11">
        <f t="shared" si="3"/>
        <v>1.0718820073061255</v>
      </c>
      <c r="N147" s="11">
        <f>GraphBotulinum!$D$9-('C botulinum'!J147-GraphBotulinum!$D$5)/GraphBotulinum!$D$4</f>
        <v>0.1464186039648816</v>
      </c>
      <c r="O147" s="2" t="s">
        <v>1375</v>
      </c>
      <c r="P147" s="2">
        <v>1993</v>
      </c>
      <c r="Q147" t="s">
        <v>1368</v>
      </c>
      <c r="T147" s="10">
        <f>GraphBotulinum!$B$41*'C botulinum'!J147+GraphBotulinum!$B$42</f>
        <v>0.45796665261482206</v>
      </c>
      <c r="U147" s="10"/>
      <c r="V147" s="10">
        <f>GraphBotulinum!$G$41*'C botulinum'!J147+GraphBotulinum!$G$42</f>
        <v>0.14641860396488227</v>
      </c>
    </row>
    <row r="148" spans="1:22" x14ac:dyDescent="0.2">
      <c r="A148" s="1" t="s">
        <v>1228</v>
      </c>
      <c r="B148" s="1" t="s">
        <v>1234</v>
      </c>
      <c r="C148" s="1" t="s">
        <v>1411</v>
      </c>
      <c r="D148" s="1" t="s">
        <v>1365</v>
      </c>
      <c r="E148" s="1" t="s">
        <v>132</v>
      </c>
      <c r="F148" s="1" t="s">
        <v>44</v>
      </c>
      <c r="G148" s="1" t="s">
        <v>1247</v>
      </c>
      <c r="I148" s="4">
        <v>7</v>
      </c>
      <c r="J148" s="4">
        <v>95</v>
      </c>
      <c r="K148" s="11">
        <v>2.8</v>
      </c>
      <c r="M148" s="11">
        <f t="shared" si="3"/>
        <v>0.44715803134221921</v>
      </c>
      <c r="N148" s="11">
        <f>GraphBotulinum!$D$9-('C botulinum'!J148-GraphBotulinum!$D$5)/GraphBotulinum!$D$4</f>
        <v>-0.12237552130520912</v>
      </c>
      <c r="O148" s="2" t="s">
        <v>1375</v>
      </c>
      <c r="P148" s="2">
        <v>1993</v>
      </c>
      <c r="Q148" t="s">
        <v>1368</v>
      </c>
      <c r="T148" s="10">
        <f>GraphBotulinum!$B$41*'C botulinum'!J148+GraphBotulinum!$B$42</f>
        <v>0.28642324715685463</v>
      </c>
      <c r="U148" s="10"/>
      <c r="V148" s="10">
        <f>GraphBotulinum!$G$41*'C botulinum'!J148+GraphBotulinum!$G$42</f>
        <v>-0.12237552130520868</v>
      </c>
    </row>
    <row r="149" spans="1:22" x14ac:dyDescent="0.2">
      <c r="A149" s="1" t="s">
        <v>1228</v>
      </c>
      <c r="B149" s="1" t="s">
        <v>1234</v>
      </c>
      <c r="C149" s="1">
        <v>1</v>
      </c>
      <c r="D149" s="1" t="s">
        <v>1365</v>
      </c>
      <c r="E149" s="1" t="s">
        <v>132</v>
      </c>
      <c r="F149" s="1" t="s">
        <v>45</v>
      </c>
      <c r="G149" s="1" t="s">
        <v>1239</v>
      </c>
      <c r="J149" s="4">
        <v>91</v>
      </c>
      <c r="K149" s="11">
        <v>5</v>
      </c>
      <c r="M149" s="11">
        <f t="shared" si="3"/>
        <v>0.69897000433601886</v>
      </c>
      <c r="N149" s="11">
        <f>GraphBotulinum!$D$9-('C botulinum'!J149-GraphBotulinum!$D$5)/GraphBotulinum!$D$4</f>
        <v>9.2659778910863411E-2</v>
      </c>
      <c r="O149" s="2" t="s">
        <v>1226</v>
      </c>
      <c r="P149" s="2">
        <v>1996</v>
      </c>
      <c r="Q149" t="s">
        <v>1368</v>
      </c>
      <c r="T149" s="10">
        <f>GraphBotulinum!$B$41*'C botulinum'!J149+GraphBotulinum!$B$42</f>
        <v>0.42365797152322893</v>
      </c>
      <c r="U149" s="10"/>
      <c r="V149" s="10">
        <f>GraphBotulinum!$G$41*'C botulinum'!J149+GraphBotulinum!$G$42</f>
        <v>9.2659778910864077E-2</v>
      </c>
    </row>
    <row r="150" spans="1:22" x14ac:dyDescent="0.2">
      <c r="A150" s="1" t="s">
        <v>1228</v>
      </c>
      <c r="B150" s="1" t="s">
        <v>1234</v>
      </c>
      <c r="C150" s="1" t="s">
        <v>1001</v>
      </c>
      <c r="D150" s="1" t="s">
        <v>1365</v>
      </c>
      <c r="E150" s="1" t="s">
        <v>132</v>
      </c>
      <c r="F150" s="1" t="s">
        <v>44</v>
      </c>
      <c r="G150" s="1" t="s">
        <v>526</v>
      </c>
      <c r="I150" s="4">
        <v>7</v>
      </c>
      <c r="J150" s="4">
        <v>80</v>
      </c>
      <c r="K150" s="11">
        <f>4.35</f>
        <v>4.3499999999999996</v>
      </c>
      <c r="M150" s="11">
        <f t="shared" ref="M150:M155" si="6">LOG(K150)</f>
        <v>0.63848925695463732</v>
      </c>
      <c r="N150" s="11">
        <f>GraphBotulinum!$D$9-('C botulinum'!J150-GraphBotulinum!$D$5)/GraphBotulinum!$D$4</f>
        <v>0.68400685450506282</v>
      </c>
      <c r="O150" s="1" t="s">
        <v>988</v>
      </c>
      <c r="P150" s="1">
        <v>1995</v>
      </c>
      <c r="T150" s="10">
        <f>GraphBotulinum!$B$41*'C botulinum'!J150+GraphBotulinum!$B$42</f>
        <v>0.80105346353075735</v>
      </c>
      <c r="U150" s="10"/>
      <c r="V150" s="10">
        <f>GraphBotulinum!$G$41*'C botulinum'!J150+GraphBotulinum!$G$42</f>
        <v>0.68400685450506327</v>
      </c>
    </row>
    <row r="151" spans="1:22" x14ac:dyDescent="0.2">
      <c r="A151" s="1" t="s">
        <v>1228</v>
      </c>
      <c r="B151" s="1" t="s">
        <v>1234</v>
      </c>
      <c r="C151" s="1" t="s">
        <v>1001</v>
      </c>
      <c r="D151" s="1" t="s">
        <v>1365</v>
      </c>
      <c r="E151" s="1" t="s">
        <v>132</v>
      </c>
      <c r="F151" s="1" t="s">
        <v>44</v>
      </c>
      <c r="G151" s="1" t="s">
        <v>526</v>
      </c>
      <c r="I151" s="4">
        <v>7</v>
      </c>
      <c r="J151" s="4">
        <v>80</v>
      </c>
      <c r="K151" s="11">
        <f>4.31</f>
        <v>4.3099999999999996</v>
      </c>
      <c r="M151" s="11">
        <f t="shared" si="6"/>
        <v>0.63447727016073152</v>
      </c>
      <c r="N151" s="11">
        <f>GraphBotulinum!$D$9-('C botulinum'!J151-GraphBotulinum!$D$5)/GraphBotulinum!$D$4</f>
        <v>0.68400685450506282</v>
      </c>
      <c r="O151" s="1" t="s">
        <v>988</v>
      </c>
      <c r="P151" s="1">
        <v>1995</v>
      </c>
      <c r="T151" s="10">
        <f>GraphBotulinum!$B$41*'C botulinum'!J151+GraphBotulinum!$B$42</f>
        <v>0.80105346353075735</v>
      </c>
      <c r="U151" s="10"/>
      <c r="V151" s="10">
        <f>GraphBotulinum!$G$41*'C botulinum'!J151+GraphBotulinum!$G$42</f>
        <v>0.68400685450506327</v>
      </c>
    </row>
    <row r="152" spans="1:22" x14ac:dyDescent="0.2">
      <c r="A152" s="1" t="s">
        <v>1228</v>
      </c>
      <c r="B152" s="1" t="s">
        <v>1234</v>
      </c>
      <c r="C152" s="1" t="s">
        <v>1410</v>
      </c>
      <c r="D152" s="1" t="s">
        <v>1365</v>
      </c>
      <c r="E152" s="1" t="s">
        <v>132</v>
      </c>
      <c r="F152" s="1" t="s">
        <v>44</v>
      </c>
      <c r="G152" s="1" t="s">
        <v>526</v>
      </c>
      <c r="I152" s="4">
        <v>7</v>
      </c>
      <c r="J152" s="4">
        <v>80</v>
      </c>
      <c r="K152" s="11">
        <f>4.51</f>
        <v>4.51</v>
      </c>
      <c r="M152" s="11">
        <f t="shared" si="6"/>
        <v>0.65417654187796048</v>
      </c>
      <c r="N152" s="11">
        <f>GraphBotulinum!$D$9-('C botulinum'!J152-GraphBotulinum!$D$5)/GraphBotulinum!$D$4</f>
        <v>0.68400685450506282</v>
      </c>
      <c r="O152" s="1" t="s">
        <v>988</v>
      </c>
      <c r="P152" s="1">
        <v>1995</v>
      </c>
      <c r="T152" s="10">
        <f>GraphBotulinum!$B$41*'C botulinum'!J152+GraphBotulinum!$B$42</f>
        <v>0.80105346353075735</v>
      </c>
      <c r="U152" s="10"/>
      <c r="V152" s="10">
        <f>GraphBotulinum!$G$41*'C botulinum'!J152+GraphBotulinum!$G$42</f>
        <v>0.68400685450506327</v>
      </c>
    </row>
    <row r="153" spans="1:22" x14ac:dyDescent="0.2">
      <c r="A153" s="1" t="s">
        <v>1228</v>
      </c>
      <c r="B153" s="1" t="s">
        <v>1234</v>
      </c>
      <c r="C153" s="1" t="s">
        <v>1410</v>
      </c>
      <c r="D153" s="1" t="s">
        <v>1365</v>
      </c>
      <c r="E153" s="1" t="s">
        <v>132</v>
      </c>
      <c r="F153" s="1" t="s">
        <v>44</v>
      </c>
      <c r="G153" s="1" t="s">
        <v>526</v>
      </c>
      <c r="I153" s="4">
        <v>7</v>
      </c>
      <c r="J153" s="4">
        <v>80</v>
      </c>
      <c r="K153" s="11">
        <f>3.8</f>
        <v>3.8</v>
      </c>
      <c r="M153" s="11">
        <f t="shared" si="6"/>
        <v>0.57978359661681012</v>
      </c>
      <c r="N153" s="11">
        <f>GraphBotulinum!$D$9-('C botulinum'!J153-GraphBotulinum!$D$5)/GraphBotulinum!$D$4</f>
        <v>0.68400685450506282</v>
      </c>
      <c r="O153" s="1" t="s">
        <v>988</v>
      </c>
      <c r="P153" s="1">
        <v>1995</v>
      </c>
      <c r="T153" s="10">
        <f>GraphBotulinum!$B$41*'C botulinum'!J153+GraphBotulinum!$B$42</f>
        <v>0.80105346353075735</v>
      </c>
      <c r="U153" s="10"/>
      <c r="V153" s="10">
        <f>GraphBotulinum!$G$41*'C botulinum'!J153+GraphBotulinum!$G$42</f>
        <v>0.68400685450506327</v>
      </c>
    </row>
    <row r="154" spans="1:22" x14ac:dyDescent="0.2">
      <c r="A154" s="1" t="s">
        <v>1228</v>
      </c>
      <c r="B154" s="1" t="s">
        <v>1234</v>
      </c>
      <c r="C154" s="1" t="s">
        <v>1002</v>
      </c>
      <c r="D154" s="1" t="s">
        <v>1365</v>
      </c>
      <c r="E154" s="1" t="s">
        <v>132</v>
      </c>
      <c r="F154" s="1" t="s">
        <v>44</v>
      </c>
      <c r="G154" s="1" t="s">
        <v>526</v>
      </c>
      <c r="I154" s="4">
        <v>7</v>
      </c>
      <c r="J154" s="4">
        <v>80</v>
      </c>
      <c r="K154" s="11">
        <f>1.03</f>
        <v>1.03</v>
      </c>
      <c r="M154" s="11">
        <f t="shared" si="6"/>
        <v>1.2837224705172217E-2</v>
      </c>
      <c r="N154" s="11">
        <f>GraphBotulinum!$D$9-('C botulinum'!J154-GraphBotulinum!$D$5)/GraphBotulinum!$D$4</f>
        <v>0.68400685450506282</v>
      </c>
      <c r="O154" s="1" t="s">
        <v>988</v>
      </c>
      <c r="P154" s="1">
        <v>1995</v>
      </c>
      <c r="T154" s="10">
        <f>GraphBotulinum!$B$41*'C botulinum'!J154+GraphBotulinum!$B$42</f>
        <v>0.80105346353075735</v>
      </c>
      <c r="U154" s="10"/>
      <c r="V154" s="10">
        <f>GraphBotulinum!$G$41*'C botulinum'!J154+GraphBotulinum!$G$42</f>
        <v>0.68400685450506327</v>
      </c>
    </row>
    <row r="155" spans="1:22" x14ac:dyDescent="0.2">
      <c r="A155" s="1" t="s">
        <v>1228</v>
      </c>
      <c r="B155" s="1" t="s">
        <v>1234</v>
      </c>
      <c r="C155" s="1" t="s">
        <v>1002</v>
      </c>
      <c r="D155" s="1" t="s">
        <v>1365</v>
      </c>
      <c r="E155" s="1" t="s">
        <v>132</v>
      </c>
      <c r="F155" s="1" t="s">
        <v>44</v>
      </c>
      <c r="G155" s="1" t="s">
        <v>526</v>
      </c>
      <c r="I155" s="4">
        <v>7</v>
      </c>
      <c r="J155" s="4">
        <v>80</v>
      </c>
      <c r="K155" s="11">
        <f>0.98</f>
        <v>0.98</v>
      </c>
      <c r="M155" s="11">
        <f t="shared" si="6"/>
        <v>-8.7739243075051505E-3</v>
      </c>
      <c r="N155" s="11">
        <f>GraphBotulinum!$D$9-('C botulinum'!J155-GraphBotulinum!$D$5)/GraphBotulinum!$D$4</f>
        <v>0.68400685450506282</v>
      </c>
      <c r="O155" s="1" t="s">
        <v>988</v>
      </c>
      <c r="P155" s="1">
        <v>1995</v>
      </c>
      <c r="T155" s="10">
        <f>GraphBotulinum!$B$41*'C botulinum'!J155+GraphBotulinum!$B$42</f>
        <v>0.80105346353075735</v>
      </c>
      <c r="U155" s="10"/>
      <c r="V155" s="10">
        <f>GraphBotulinum!$G$41*'C botulinum'!J155+GraphBotulinum!$G$42</f>
        <v>0.68400685450506327</v>
      </c>
    </row>
    <row r="156" spans="1:22" x14ac:dyDescent="0.2">
      <c r="A156" s="1" t="s">
        <v>1228</v>
      </c>
      <c r="B156" s="1" t="s">
        <v>1234</v>
      </c>
      <c r="C156" s="1">
        <v>6813</v>
      </c>
      <c r="D156" s="1" t="s">
        <v>1364</v>
      </c>
      <c r="E156" s="1" t="s">
        <v>1363</v>
      </c>
      <c r="F156" s="1" t="s">
        <v>44</v>
      </c>
      <c r="G156" s="1" t="s">
        <v>1247</v>
      </c>
      <c r="I156" s="4">
        <v>7</v>
      </c>
      <c r="J156" s="4">
        <v>93</v>
      </c>
      <c r="K156" s="11">
        <v>2.3199999999999998</v>
      </c>
      <c r="L156" s="4">
        <v>10.7</v>
      </c>
      <c r="M156" s="11">
        <f t="shared" si="3"/>
        <v>0.36548798489089962</v>
      </c>
      <c r="N156" s="11">
        <f>GraphBotulinum!$D$9-('C botulinum'!J156-GraphBotulinum!$D$5)/GraphBotulinum!$D$4</f>
        <v>-1.4857871197172967E-2</v>
      </c>
      <c r="O156" s="2" t="s">
        <v>1226</v>
      </c>
      <c r="P156" s="2">
        <v>1996</v>
      </c>
      <c r="T156" s="10">
        <f>GraphBotulinum!$B$41*'C botulinum'!J156+GraphBotulinum!$B$42</f>
        <v>0.35504060934004178</v>
      </c>
      <c r="U156" s="10"/>
      <c r="V156" s="10">
        <f>GraphBotulinum!$G$41*'C botulinum'!J156+GraphBotulinum!$G$42</f>
        <v>-1.4857871197172301E-2</v>
      </c>
    </row>
    <row r="157" spans="1:22" x14ac:dyDescent="0.2">
      <c r="A157" s="1" t="s">
        <v>1228</v>
      </c>
      <c r="B157" s="1" t="s">
        <v>1234</v>
      </c>
      <c r="C157" s="1">
        <v>6814</v>
      </c>
      <c r="D157" s="1" t="s">
        <v>1364</v>
      </c>
      <c r="E157" s="1" t="s">
        <v>1363</v>
      </c>
      <c r="F157" s="1" t="s">
        <v>44</v>
      </c>
      <c r="G157" s="1" t="s">
        <v>1247</v>
      </c>
      <c r="I157" s="4">
        <v>7</v>
      </c>
      <c r="J157" s="4">
        <v>93</v>
      </c>
      <c r="K157" s="11">
        <v>3.02</v>
      </c>
      <c r="L157" s="4">
        <v>9.5</v>
      </c>
      <c r="M157" s="11">
        <f t="shared" si="3"/>
        <v>0.48000694295715063</v>
      </c>
      <c r="N157" s="11">
        <f>GraphBotulinum!$D$9-('C botulinum'!J157-GraphBotulinum!$D$5)/GraphBotulinum!$D$4</f>
        <v>-1.4857871197172967E-2</v>
      </c>
      <c r="O157" s="2" t="s">
        <v>1226</v>
      </c>
      <c r="P157" s="2">
        <v>1996</v>
      </c>
      <c r="T157" s="10">
        <f>GraphBotulinum!$B$41*'C botulinum'!J157+GraphBotulinum!$B$42</f>
        <v>0.35504060934004178</v>
      </c>
      <c r="U157" s="10"/>
      <c r="V157" s="10">
        <f>GraphBotulinum!$G$41*'C botulinum'!J157+GraphBotulinum!$G$42</f>
        <v>-1.4857871197172301E-2</v>
      </c>
    </row>
    <row r="158" spans="1:22" x14ac:dyDescent="0.2">
      <c r="A158" s="1" t="s">
        <v>1228</v>
      </c>
      <c r="B158" s="1" t="s">
        <v>1234</v>
      </c>
      <c r="C158" s="1">
        <v>6821</v>
      </c>
      <c r="D158" s="1" t="s">
        <v>1364</v>
      </c>
      <c r="E158" s="1" t="s">
        <v>1363</v>
      </c>
      <c r="F158" s="1" t="s">
        <v>44</v>
      </c>
      <c r="G158" s="1" t="s">
        <v>1247</v>
      </c>
      <c r="I158" s="4">
        <v>7</v>
      </c>
      <c r="J158" s="4">
        <v>96</v>
      </c>
      <c r="K158" s="11">
        <v>2.62</v>
      </c>
      <c r="L158" s="4">
        <v>10.8</v>
      </c>
      <c r="M158" s="11">
        <f t="shared" si="3"/>
        <v>0.41830129131974547</v>
      </c>
      <c r="N158" s="11">
        <f>GraphBotulinum!$D$9-('C botulinum'!J158-GraphBotulinum!$D$5)/GraphBotulinum!$D$4</f>
        <v>-0.17613434635922731</v>
      </c>
      <c r="O158" s="2" t="s">
        <v>1226</v>
      </c>
      <c r="P158" s="2">
        <v>1996</v>
      </c>
      <c r="T158" s="10">
        <f>GraphBotulinum!$B$41*'C botulinum'!J158+GraphBotulinum!$B$42</f>
        <v>0.25211456606526106</v>
      </c>
      <c r="U158" s="10"/>
      <c r="V158" s="10">
        <f>GraphBotulinum!$G$41*'C botulinum'!J158+GraphBotulinum!$G$42</f>
        <v>-0.17613434635922687</v>
      </c>
    </row>
    <row r="159" spans="1:22" x14ac:dyDescent="0.2">
      <c r="A159" s="1" t="s">
        <v>1228</v>
      </c>
      <c r="B159" s="1" t="s">
        <v>1234</v>
      </c>
      <c r="C159" s="1">
        <v>6816</v>
      </c>
      <c r="D159" s="1" t="s">
        <v>1364</v>
      </c>
      <c r="E159" s="1" t="s">
        <v>1363</v>
      </c>
      <c r="F159" s="1" t="s">
        <v>44</v>
      </c>
      <c r="G159" s="1" t="s">
        <v>1247</v>
      </c>
      <c r="I159" s="4">
        <v>7</v>
      </c>
      <c r="J159" s="4">
        <v>96</v>
      </c>
      <c r="K159" s="11">
        <v>2.5499999999999998</v>
      </c>
      <c r="L159" s="4">
        <v>10</v>
      </c>
      <c r="M159" s="11">
        <f t="shared" si="3"/>
        <v>0.40654018043395512</v>
      </c>
      <c r="N159" s="11">
        <f>GraphBotulinum!$D$9-('C botulinum'!J159-GraphBotulinum!$D$5)/GraphBotulinum!$D$4</f>
        <v>-0.17613434635922731</v>
      </c>
      <c r="O159" s="2" t="s">
        <v>1226</v>
      </c>
      <c r="P159" s="2">
        <v>1996</v>
      </c>
      <c r="T159" s="10">
        <f>GraphBotulinum!$B$41*'C botulinum'!J159+GraphBotulinum!$B$42</f>
        <v>0.25211456606526106</v>
      </c>
      <c r="U159" s="10"/>
      <c r="V159" s="10">
        <f>GraphBotulinum!$G$41*'C botulinum'!J159+GraphBotulinum!$G$42</f>
        <v>-0.17613434635922687</v>
      </c>
    </row>
    <row r="160" spans="1:22" x14ac:dyDescent="0.2">
      <c r="A160" s="1" t="s">
        <v>1228</v>
      </c>
      <c r="B160" s="1" t="s">
        <v>1234</v>
      </c>
      <c r="C160" s="1">
        <v>6813</v>
      </c>
      <c r="D160" s="1" t="s">
        <v>1364</v>
      </c>
      <c r="E160" s="1" t="s">
        <v>1363</v>
      </c>
      <c r="F160" s="1" t="s">
        <v>44</v>
      </c>
      <c r="G160" s="1" t="s">
        <v>1247</v>
      </c>
      <c r="I160" s="4">
        <v>7</v>
      </c>
      <c r="J160" s="4">
        <v>96</v>
      </c>
      <c r="K160" s="11">
        <v>1.1100000000000001</v>
      </c>
      <c r="L160" s="4">
        <v>10.7</v>
      </c>
      <c r="M160" s="11">
        <f t="shared" si="3"/>
        <v>4.5322978786657475E-2</v>
      </c>
      <c r="N160" s="11">
        <f>GraphBotulinum!$D$9-('C botulinum'!J160-GraphBotulinum!$D$5)/GraphBotulinum!$D$4</f>
        <v>-0.17613434635922731</v>
      </c>
      <c r="O160" s="2" t="s">
        <v>1226</v>
      </c>
      <c r="P160" s="2">
        <v>1996</v>
      </c>
      <c r="T160" s="10">
        <f>GraphBotulinum!$B$41*'C botulinum'!J160+GraphBotulinum!$B$42</f>
        <v>0.25211456606526106</v>
      </c>
      <c r="U160" s="10"/>
      <c r="V160" s="10">
        <f>GraphBotulinum!$G$41*'C botulinum'!J160+GraphBotulinum!$G$42</f>
        <v>-0.17613434635922687</v>
      </c>
    </row>
    <row r="161" spans="1:22" x14ac:dyDescent="0.2">
      <c r="A161" s="1" t="s">
        <v>1228</v>
      </c>
      <c r="B161" s="1" t="s">
        <v>1234</v>
      </c>
      <c r="C161" s="1">
        <v>6814</v>
      </c>
      <c r="D161" s="1" t="s">
        <v>1364</v>
      </c>
      <c r="E161" s="1" t="s">
        <v>1363</v>
      </c>
      <c r="F161" s="1" t="s">
        <v>44</v>
      </c>
      <c r="G161" s="1" t="s">
        <v>1247</v>
      </c>
      <c r="I161" s="4">
        <v>7</v>
      </c>
      <c r="J161" s="4">
        <v>96</v>
      </c>
      <c r="K161" s="11">
        <v>0.91</v>
      </c>
      <c r="L161" s="4">
        <v>9.5</v>
      </c>
      <c r="M161" s="11">
        <f t="shared" si="3"/>
        <v>-4.0958607678906384E-2</v>
      </c>
      <c r="N161" s="11">
        <f>GraphBotulinum!$D$9-('C botulinum'!J161-GraphBotulinum!$D$5)/GraphBotulinum!$D$4</f>
        <v>-0.17613434635922731</v>
      </c>
      <c r="O161" s="2" t="s">
        <v>1226</v>
      </c>
      <c r="P161" s="2">
        <v>1996</v>
      </c>
      <c r="T161" s="10">
        <f>GraphBotulinum!$B$41*'C botulinum'!J161+GraphBotulinum!$B$42</f>
        <v>0.25211456606526106</v>
      </c>
      <c r="U161" s="10"/>
      <c r="V161" s="10">
        <f>GraphBotulinum!$G$41*'C botulinum'!J161+GraphBotulinum!$G$42</f>
        <v>-0.17613434635922687</v>
      </c>
    </row>
    <row r="162" spans="1:22" x14ac:dyDescent="0.2">
      <c r="A162" s="1" t="s">
        <v>1228</v>
      </c>
      <c r="B162" s="1" t="s">
        <v>1234</v>
      </c>
      <c r="C162" s="1">
        <v>468</v>
      </c>
      <c r="D162" s="1" t="s">
        <v>1364</v>
      </c>
      <c r="E162" s="1" t="s">
        <v>1363</v>
      </c>
      <c r="F162" s="1" t="s">
        <v>44</v>
      </c>
      <c r="G162" s="1" t="s">
        <v>1247</v>
      </c>
      <c r="I162" s="4">
        <v>7</v>
      </c>
      <c r="J162" s="4">
        <v>101</v>
      </c>
      <c r="K162" s="11">
        <v>2.44</v>
      </c>
      <c r="L162" s="4">
        <v>11.5</v>
      </c>
      <c r="M162" s="11">
        <f t="shared" si="3"/>
        <v>0.38738982633872943</v>
      </c>
      <c r="N162" s="11">
        <f>GraphBotulinum!$D$9-('C botulinum'!J162-GraphBotulinum!$D$5)/GraphBotulinum!$D$4</f>
        <v>-0.44492847162931803</v>
      </c>
      <c r="O162" s="2" t="s">
        <v>1226</v>
      </c>
      <c r="P162" s="2">
        <v>1996</v>
      </c>
      <c r="T162" s="10">
        <f>GraphBotulinum!$B$41*'C botulinum'!J162+GraphBotulinum!$B$42</f>
        <v>8.0571160607293635E-2</v>
      </c>
      <c r="U162" s="10"/>
      <c r="V162" s="10">
        <f>GraphBotulinum!$G$41*'C botulinum'!J162+GraphBotulinum!$G$42</f>
        <v>-0.44492847162931781</v>
      </c>
    </row>
    <row r="163" spans="1:22" x14ac:dyDescent="0.2">
      <c r="A163" s="1" t="s">
        <v>1228</v>
      </c>
      <c r="B163" s="1" t="s">
        <v>1234</v>
      </c>
      <c r="C163" s="1">
        <v>571</v>
      </c>
      <c r="D163" s="1" t="s">
        <v>1364</v>
      </c>
      <c r="E163" s="1" t="s">
        <v>1363</v>
      </c>
      <c r="F163" s="1" t="s">
        <v>44</v>
      </c>
      <c r="G163" s="1" t="s">
        <v>1247</v>
      </c>
      <c r="I163" s="4">
        <v>7</v>
      </c>
      <c r="J163" s="4">
        <v>101</v>
      </c>
      <c r="K163" s="11">
        <v>1.1399999999999999</v>
      </c>
      <c r="L163" s="4">
        <v>10</v>
      </c>
      <c r="M163" s="11">
        <f t="shared" si="3"/>
        <v>5.6904851336472557E-2</v>
      </c>
      <c r="N163" s="11">
        <f>GraphBotulinum!$D$9-('C botulinum'!J163-GraphBotulinum!$D$5)/GraphBotulinum!$D$4</f>
        <v>-0.44492847162931803</v>
      </c>
      <c r="O163" s="2" t="s">
        <v>1226</v>
      </c>
      <c r="P163" s="2">
        <v>1996</v>
      </c>
      <c r="T163" s="10">
        <f>GraphBotulinum!$B$41*'C botulinum'!J163+GraphBotulinum!$B$42</f>
        <v>8.0571160607293635E-2</v>
      </c>
      <c r="U163" s="10"/>
      <c r="V163" s="10">
        <f>GraphBotulinum!$G$41*'C botulinum'!J163+GraphBotulinum!$G$42</f>
        <v>-0.44492847162931781</v>
      </c>
    </row>
    <row r="164" spans="1:22" x14ac:dyDescent="0.2">
      <c r="A164" s="1" t="s">
        <v>1228</v>
      </c>
      <c r="B164" s="1" t="s">
        <v>1234</v>
      </c>
      <c r="C164" s="1">
        <v>6821</v>
      </c>
      <c r="D164" s="1" t="s">
        <v>1364</v>
      </c>
      <c r="E164" s="1" t="s">
        <v>1363</v>
      </c>
      <c r="F164" s="1" t="s">
        <v>44</v>
      </c>
      <c r="G164" s="1" t="s">
        <v>1247</v>
      </c>
      <c r="I164" s="4">
        <v>7</v>
      </c>
      <c r="J164" s="4">
        <v>101</v>
      </c>
      <c r="K164" s="11">
        <v>0.24</v>
      </c>
      <c r="L164" s="4">
        <v>10.8</v>
      </c>
      <c r="M164" s="11">
        <f t="shared" si="3"/>
        <v>-0.61978875828839397</v>
      </c>
      <c r="N164" s="11">
        <f>GraphBotulinum!$D$9-('C botulinum'!J164-GraphBotulinum!$D$5)/GraphBotulinum!$D$4</f>
        <v>-0.44492847162931803</v>
      </c>
      <c r="O164" s="2" t="s">
        <v>1226</v>
      </c>
      <c r="P164" s="2">
        <v>1996</v>
      </c>
      <c r="T164" s="10">
        <f>GraphBotulinum!$B$41*'C botulinum'!J164+GraphBotulinum!$B$42</f>
        <v>8.0571160607293635E-2</v>
      </c>
      <c r="U164" s="10"/>
      <c r="V164" s="10">
        <f>GraphBotulinum!$G$41*'C botulinum'!J164+GraphBotulinum!$G$42</f>
        <v>-0.44492847162931781</v>
      </c>
    </row>
    <row r="165" spans="1:22" x14ac:dyDescent="0.2">
      <c r="A165" s="1" t="s">
        <v>1228</v>
      </c>
      <c r="B165" s="1" t="s">
        <v>1234</v>
      </c>
      <c r="C165" s="1">
        <v>6816</v>
      </c>
      <c r="D165" s="1" t="s">
        <v>1364</v>
      </c>
      <c r="E165" s="1" t="s">
        <v>1363</v>
      </c>
      <c r="F165" s="1" t="s">
        <v>44</v>
      </c>
      <c r="G165" s="1" t="s">
        <v>1247</v>
      </c>
      <c r="I165" s="4">
        <v>7</v>
      </c>
      <c r="J165" s="4">
        <v>101</v>
      </c>
      <c r="K165" s="11">
        <v>0.27</v>
      </c>
      <c r="L165" s="4">
        <v>10</v>
      </c>
      <c r="M165" s="11">
        <f t="shared" si="3"/>
        <v>-0.56863623584101264</v>
      </c>
      <c r="N165" s="11">
        <f>GraphBotulinum!$D$9-('C botulinum'!J165-GraphBotulinum!$D$5)/GraphBotulinum!$D$4</f>
        <v>-0.44492847162931803</v>
      </c>
      <c r="O165" s="2" t="s">
        <v>1226</v>
      </c>
      <c r="P165" s="2">
        <v>1996</v>
      </c>
      <c r="T165" s="10">
        <f>GraphBotulinum!$B$41*'C botulinum'!J165+GraphBotulinum!$B$42</f>
        <v>8.0571160607293635E-2</v>
      </c>
      <c r="U165" s="10"/>
      <c r="V165" s="10">
        <f>GraphBotulinum!$G$41*'C botulinum'!J165+GraphBotulinum!$G$42</f>
        <v>-0.44492847162931781</v>
      </c>
    </row>
    <row r="166" spans="1:22" x14ac:dyDescent="0.2">
      <c r="A166" s="1" t="s">
        <v>1228</v>
      </c>
      <c r="B166" s="1" t="s">
        <v>1234</v>
      </c>
      <c r="C166" s="1">
        <v>6813</v>
      </c>
      <c r="D166" s="1" t="s">
        <v>1364</v>
      </c>
      <c r="E166" s="1" t="s">
        <v>1363</v>
      </c>
      <c r="F166" s="1" t="s">
        <v>44</v>
      </c>
      <c r="G166" s="1" t="s">
        <v>1247</v>
      </c>
      <c r="I166" s="4">
        <v>7</v>
      </c>
      <c r="J166" s="4">
        <v>101</v>
      </c>
      <c r="K166" s="11">
        <v>0.09</v>
      </c>
      <c r="L166" s="4">
        <v>10.7</v>
      </c>
      <c r="M166" s="11">
        <f t="shared" si="3"/>
        <v>-1.0457574905606752</v>
      </c>
      <c r="N166" s="11">
        <f>GraphBotulinum!$D$9-('C botulinum'!J166-GraphBotulinum!$D$5)/GraphBotulinum!$D$4</f>
        <v>-0.44492847162931803</v>
      </c>
      <c r="O166" s="2" t="s">
        <v>1226</v>
      </c>
      <c r="P166" s="2">
        <v>1996</v>
      </c>
      <c r="T166" s="10">
        <f>GraphBotulinum!$B$41*'C botulinum'!J166+GraphBotulinum!$B$42</f>
        <v>8.0571160607293635E-2</v>
      </c>
      <c r="U166" s="10"/>
      <c r="V166" s="10">
        <f>GraphBotulinum!$G$41*'C botulinum'!J166+GraphBotulinum!$G$42</f>
        <v>-0.44492847162931781</v>
      </c>
    </row>
    <row r="167" spans="1:22" x14ac:dyDescent="0.2">
      <c r="A167" s="1" t="s">
        <v>1228</v>
      </c>
      <c r="B167" s="1" t="s">
        <v>1234</v>
      </c>
      <c r="C167" s="1">
        <v>6814</v>
      </c>
      <c r="D167" s="1" t="s">
        <v>1364</v>
      </c>
      <c r="E167" s="1" t="s">
        <v>1363</v>
      </c>
      <c r="F167" s="1" t="s">
        <v>44</v>
      </c>
      <c r="G167" s="1" t="s">
        <v>1247</v>
      </c>
      <c r="I167" s="4">
        <v>7</v>
      </c>
      <c r="J167" s="4">
        <v>101</v>
      </c>
      <c r="K167" s="11">
        <v>7.0000000000000007E-2</v>
      </c>
      <c r="L167" s="4">
        <v>9.5</v>
      </c>
      <c r="M167" s="11">
        <f t="shared" si="3"/>
        <v>-1.1549019599857431</v>
      </c>
      <c r="N167" s="11">
        <f>GraphBotulinum!$D$9-('C botulinum'!J167-GraphBotulinum!$D$5)/GraphBotulinum!$D$4</f>
        <v>-0.44492847162931803</v>
      </c>
      <c r="O167" s="2" t="s">
        <v>1226</v>
      </c>
      <c r="P167" s="2">
        <v>1996</v>
      </c>
      <c r="T167" s="10">
        <f>GraphBotulinum!$B$41*'C botulinum'!J167+GraphBotulinum!$B$42</f>
        <v>8.0571160607293635E-2</v>
      </c>
      <c r="U167" s="10"/>
      <c r="V167" s="10">
        <f>GraphBotulinum!$G$41*'C botulinum'!J167+GraphBotulinum!$G$42</f>
        <v>-0.44492847162931781</v>
      </c>
    </row>
    <row r="168" spans="1:22" x14ac:dyDescent="0.2">
      <c r="A168" s="1" t="s">
        <v>1228</v>
      </c>
      <c r="B168" s="1" t="s">
        <v>1234</v>
      </c>
      <c r="C168" s="1">
        <v>468</v>
      </c>
      <c r="D168" s="1" t="s">
        <v>1364</v>
      </c>
      <c r="E168" s="1" t="s">
        <v>1363</v>
      </c>
      <c r="F168" s="1" t="s">
        <v>44</v>
      </c>
      <c r="G168" s="1" t="s">
        <v>1247</v>
      </c>
      <c r="I168" s="4">
        <v>7</v>
      </c>
      <c r="J168" s="4">
        <v>104</v>
      </c>
      <c r="K168" s="11">
        <v>0.9</v>
      </c>
      <c r="L168" s="4">
        <v>11.5</v>
      </c>
      <c r="M168" s="11">
        <f t="shared" si="3"/>
        <v>-4.5757490560675115E-2</v>
      </c>
      <c r="N168" s="11">
        <f>GraphBotulinum!$D$9-('C botulinum'!J168-GraphBotulinum!$D$5)/GraphBotulinum!$D$4</f>
        <v>-0.60620494679137238</v>
      </c>
      <c r="O168" s="2" t="s">
        <v>1226</v>
      </c>
      <c r="P168" s="2">
        <v>1996</v>
      </c>
      <c r="T168" s="10">
        <f>GraphBotulinum!$B$41*'C botulinum'!J168+GraphBotulinum!$B$42</f>
        <v>-2.2354882667486642E-2</v>
      </c>
      <c r="U168" s="10"/>
      <c r="V168" s="10">
        <f>GraphBotulinum!$G$41*'C botulinum'!J168+GraphBotulinum!$G$42</f>
        <v>-0.60620494679137238</v>
      </c>
    </row>
    <row r="169" spans="1:22" x14ac:dyDescent="0.2">
      <c r="A169" s="1" t="s">
        <v>1228</v>
      </c>
      <c r="B169" s="1" t="s">
        <v>1234</v>
      </c>
      <c r="C169" s="1">
        <v>571</v>
      </c>
      <c r="D169" s="1" t="s">
        <v>1364</v>
      </c>
      <c r="E169" s="1" t="s">
        <v>1363</v>
      </c>
      <c r="F169" s="1" t="s">
        <v>44</v>
      </c>
      <c r="G169" s="1" t="s">
        <v>1247</v>
      </c>
      <c r="I169" s="4">
        <v>7</v>
      </c>
      <c r="J169" s="4">
        <v>104</v>
      </c>
      <c r="K169" s="11">
        <v>0.4</v>
      </c>
      <c r="L169" s="4">
        <v>10</v>
      </c>
      <c r="M169" s="11">
        <f t="shared" si="3"/>
        <v>-0.3979400086720376</v>
      </c>
      <c r="N169" s="11">
        <f>GraphBotulinum!$D$9-('C botulinum'!J169-GraphBotulinum!$D$5)/GraphBotulinum!$D$4</f>
        <v>-0.60620494679137238</v>
      </c>
      <c r="O169" s="2" t="s">
        <v>1226</v>
      </c>
      <c r="P169" s="2">
        <v>1996</v>
      </c>
      <c r="T169" s="10">
        <f>GraphBotulinum!$B$41*'C botulinum'!J169+GraphBotulinum!$B$42</f>
        <v>-2.2354882667486642E-2</v>
      </c>
      <c r="U169" s="10"/>
      <c r="V169" s="10">
        <f>GraphBotulinum!$G$41*'C botulinum'!J169+GraphBotulinum!$G$42</f>
        <v>-0.60620494679137238</v>
      </c>
    </row>
    <row r="170" spans="1:22" x14ac:dyDescent="0.2">
      <c r="A170" s="1" t="s">
        <v>1228</v>
      </c>
      <c r="B170" s="1" t="s">
        <v>1234</v>
      </c>
      <c r="C170" s="1">
        <v>6821</v>
      </c>
      <c r="D170" s="1" t="s">
        <v>1364</v>
      </c>
      <c r="E170" s="1" t="s">
        <v>1363</v>
      </c>
      <c r="F170" s="1" t="s">
        <v>44</v>
      </c>
      <c r="G170" s="1" t="s">
        <v>1247</v>
      </c>
      <c r="I170" s="4">
        <v>7</v>
      </c>
      <c r="J170" s="4">
        <v>104</v>
      </c>
      <c r="K170" s="11">
        <v>0.12</v>
      </c>
      <c r="L170" s="4">
        <v>10.8</v>
      </c>
      <c r="M170" s="11">
        <f t="shared" si="3"/>
        <v>-0.92081875395237522</v>
      </c>
      <c r="N170" s="11">
        <f>GraphBotulinum!$D$9-('C botulinum'!J170-GraphBotulinum!$D$5)/GraphBotulinum!$D$4</f>
        <v>-0.60620494679137238</v>
      </c>
      <c r="O170" s="2" t="s">
        <v>1226</v>
      </c>
      <c r="P170" s="2">
        <v>1996</v>
      </c>
      <c r="T170" s="10">
        <f>GraphBotulinum!$B$41*'C botulinum'!J170+GraphBotulinum!$B$42</f>
        <v>-2.2354882667486642E-2</v>
      </c>
      <c r="U170" s="10"/>
      <c r="V170" s="10">
        <f>GraphBotulinum!$G$41*'C botulinum'!J170+GraphBotulinum!$G$42</f>
        <v>-0.60620494679137238</v>
      </c>
    </row>
    <row r="171" spans="1:22" x14ac:dyDescent="0.2">
      <c r="A171" s="1" t="s">
        <v>1228</v>
      </c>
      <c r="B171" s="1" t="s">
        <v>1234</v>
      </c>
      <c r="C171" s="1">
        <v>6816</v>
      </c>
      <c r="D171" s="1" t="s">
        <v>1364</v>
      </c>
      <c r="E171" s="1" t="s">
        <v>1363</v>
      </c>
      <c r="F171" s="1" t="s">
        <v>44</v>
      </c>
      <c r="G171" s="1" t="s">
        <v>1247</v>
      </c>
      <c r="I171" s="4">
        <v>7</v>
      </c>
      <c r="J171" s="4">
        <v>104</v>
      </c>
      <c r="K171" s="11">
        <v>0.08</v>
      </c>
      <c r="L171" s="4">
        <v>10</v>
      </c>
      <c r="M171" s="11">
        <f t="shared" si="3"/>
        <v>-1.0969100130080565</v>
      </c>
      <c r="N171" s="11">
        <f>GraphBotulinum!$D$9-('C botulinum'!J171-GraphBotulinum!$D$5)/GraphBotulinum!$D$4</f>
        <v>-0.60620494679137238</v>
      </c>
      <c r="O171" s="2" t="s">
        <v>1226</v>
      </c>
      <c r="P171" s="2">
        <v>1996</v>
      </c>
      <c r="T171" s="10">
        <f>GraphBotulinum!$B$41*'C botulinum'!J171+GraphBotulinum!$B$42</f>
        <v>-2.2354882667486642E-2</v>
      </c>
      <c r="U171" s="10"/>
      <c r="V171" s="10">
        <f>GraphBotulinum!$G$41*'C botulinum'!J171+GraphBotulinum!$G$42</f>
        <v>-0.60620494679137238</v>
      </c>
    </row>
    <row r="172" spans="1:22" x14ac:dyDescent="0.2">
      <c r="A172" s="1" t="s">
        <v>1228</v>
      </c>
      <c r="B172" s="1" t="s">
        <v>1234</v>
      </c>
      <c r="C172" s="1">
        <v>6813</v>
      </c>
      <c r="D172" s="1" t="s">
        <v>1364</v>
      </c>
      <c r="E172" s="1" t="s">
        <v>1363</v>
      </c>
      <c r="F172" s="1" t="s">
        <v>44</v>
      </c>
      <c r="G172" s="1" t="s">
        <v>1247</v>
      </c>
      <c r="I172" s="4">
        <v>7</v>
      </c>
      <c r="J172" s="4">
        <v>104</v>
      </c>
      <c r="K172" s="11">
        <v>0.04</v>
      </c>
      <c r="L172" s="4">
        <v>10.7</v>
      </c>
      <c r="M172" s="11">
        <f t="shared" si="3"/>
        <v>-1.3979400086720375</v>
      </c>
      <c r="N172" s="11">
        <f>GraphBotulinum!$D$9-('C botulinum'!J172-GraphBotulinum!$D$5)/GraphBotulinum!$D$4</f>
        <v>-0.60620494679137238</v>
      </c>
      <c r="O172" s="2" t="s">
        <v>1226</v>
      </c>
      <c r="P172" s="2">
        <v>1996</v>
      </c>
      <c r="T172" s="10">
        <f>GraphBotulinum!$B$41*'C botulinum'!J172+GraphBotulinum!$B$42</f>
        <v>-2.2354882667486642E-2</v>
      </c>
      <c r="U172" s="10"/>
      <c r="V172" s="10">
        <f>GraphBotulinum!$G$41*'C botulinum'!J172+GraphBotulinum!$G$42</f>
        <v>-0.60620494679137238</v>
      </c>
    </row>
    <row r="173" spans="1:22" x14ac:dyDescent="0.2">
      <c r="A173" s="1" t="s">
        <v>1228</v>
      </c>
      <c r="B173" s="1" t="s">
        <v>1234</v>
      </c>
      <c r="C173" s="1">
        <v>6814</v>
      </c>
      <c r="D173" s="1" t="s">
        <v>1364</v>
      </c>
      <c r="E173" s="1" t="s">
        <v>1363</v>
      </c>
      <c r="F173" s="1" t="s">
        <v>44</v>
      </c>
      <c r="G173" s="1" t="s">
        <v>1247</v>
      </c>
      <c r="I173" s="4">
        <v>7</v>
      </c>
      <c r="J173" s="4">
        <v>104</v>
      </c>
      <c r="K173" s="11">
        <v>0.02</v>
      </c>
      <c r="L173" s="4">
        <v>9.5</v>
      </c>
      <c r="M173" s="11">
        <f t="shared" si="3"/>
        <v>-1.6989700043360187</v>
      </c>
      <c r="N173" s="11">
        <f>GraphBotulinum!$D$9-('C botulinum'!J173-GraphBotulinum!$D$5)/GraphBotulinum!$D$4</f>
        <v>-0.60620494679137238</v>
      </c>
      <c r="O173" s="2" t="s">
        <v>1226</v>
      </c>
      <c r="P173" s="2">
        <v>1996</v>
      </c>
      <c r="T173" s="10">
        <f>GraphBotulinum!$B$41*'C botulinum'!J173+GraphBotulinum!$B$42</f>
        <v>-2.2354882667486642E-2</v>
      </c>
      <c r="U173" s="10"/>
      <c r="V173" s="10">
        <f>GraphBotulinum!$G$41*'C botulinum'!J173+GraphBotulinum!$G$42</f>
        <v>-0.60620494679137238</v>
      </c>
    </row>
    <row r="174" spans="1:22" x14ac:dyDescent="0.2">
      <c r="A174" s="1" t="s">
        <v>1228</v>
      </c>
      <c r="B174" s="1" t="s">
        <v>1234</v>
      </c>
      <c r="C174" s="1">
        <v>468</v>
      </c>
      <c r="D174" s="1" t="s">
        <v>1364</v>
      </c>
      <c r="E174" s="1" t="s">
        <v>1363</v>
      </c>
      <c r="F174" s="1" t="s">
        <v>44</v>
      </c>
      <c r="G174" s="1" t="s">
        <v>1247</v>
      </c>
      <c r="I174" s="4">
        <v>7</v>
      </c>
      <c r="J174" s="4">
        <v>107</v>
      </c>
      <c r="K174" s="11">
        <v>0.28000000000000003</v>
      </c>
      <c r="L174" s="4">
        <v>11.5</v>
      </c>
      <c r="M174" s="11">
        <f t="shared" si="3"/>
        <v>-0.55284196865778079</v>
      </c>
      <c r="N174" s="11">
        <f>GraphBotulinum!$D$9-('C botulinum'!J174-GraphBotulinum!$D$5)/GraphBotulinum!$D$4</f>
        <v>-0.76748142195342672</v>
      </c>
      <c r="O174" s="2" t="s">
        <v>1226</v>
      </c>
      <c r="P174" s="2">
        <v>1996</v>
      </c>
      <c r="T174" s="10">
        <f>GraphBotulinum!$B$41*'C botulinum'!J174+GraphBotulinum!$B$42</f>
        <v>-0.12528092594226736</v>
      </c>
      <c r="U174" s="10"/>
      <c r="V174" s="10">
        <f>GraphBotulinum!$G$41*'C botulinum'!J174+GraphBotulinum!$G$42</f>
        <v>-0.76748142195342606</v>
      </c>
    </row>
    <row r="175" spans="1:22" x14ac:dyDescent="0.2">
      <c r="A175" s="1" t="s">
        <v>1228</v>
      </c>
      <c r="B175" s="1" t="s">
        <v>1234</v>
      </c>
      <c r="C175" s="1">
        <v>571</v>
      </c>
      <c r="D175" s="1" t="s">
        <v>1364</v>
      </c>
      <c r="E175" s="1" t="s">
        <v>1363</v>
      </c>
      <c r="F175" s="1" t="s">
        <v>44</v>
      </c>
      <c r="G175" s="1" t="s">
        <v>1247</v>
      </c>
      <c r="I175" s="4">
        <v>7</v>
      </c>
      <c r="J175" s="4">
        <v>107</v>
      </c>
      <c r="K175" s="11">
        <v>0.12</v>
      </c>
      <c r="L175" s="4">
        <v>10</v>
      </c>
      <c r="M175" s="11">
        <f t="shared" si="3"/>
        <v>-0.92081875395237522</v>
      </c>
      <c r="N175" s="11">
        <f>GraphBotulinum!$D$9-('C botulinum'!J175-GraphBotulinum!$D$5)/GraphBotulinum!$D$4</f>
        <v>-0.76748142195342672</v>
      </c>
      <c r="O175" s="2" t="s">
        <v>1226</v>
      </c>
      <c r="P175" s="2">
        <v>1996</v>
      </c>
      <c r="T175" s="10">
        <f>GraphBotulinum!$B$41*'C botulinum'!J175+GraphBotulinum!$B$42</f>
        <v>-0.12528092594226736</v>
      </c>
      <c r="U175" s="10"/>
      <c r="V175" s="10">
        <f>GraphBotulinum!$G$41*'C botulinum'!J175+GraphBotulinum!$G$42</f>
        <v>-0.76748142195342606</v>
      </c>
    </row>
    <row r="176" spans="1:22" x14ac:dyDescent="0.2">
      <c r="A176" s="1" t="s">
        <v>1228</v>
      </c>
      <c r="B176" s="1" t="s">
        <v>1234</v>
      </c>
      <c r="C176" s="1">
        <v>468</v>
      </c>
      <c r="D176" s="1" t="s">
        <v>1364</v>
      </c>
      <c r="E176" s="1" t="s">
        <v>1363</v>
      </c>
      <c r="F176" s="1" t="s">
        <v>44</v>
      </c>
      <c r="G176" s="1" t="s">
        <v>1247</v>
      </c>
      <c r="I176" s="4">
        <v>7</v>
      </c>
      <c r="J176" s="4">
        <v>110</v>
      </c>
      <c r="K176" s="11">
        <v>0.12</v>
      </c>
      <c r="L176" s="4">
        <v>11.5</v>
      </c>
      <c r="M176" s="11">
        <f t="shared" si="3"/>
        <v>-0.92081875395237522</v>
      </c>
      <c r="N176" s="11">
        <f>GraphBotulinum!$D$9-('C botulinum'!J176-GraphBotulinum!$D$5)/GraphBotulinum!$D$4</f>
        <v>-0.92875789711548118</v>
      </c>
      <c r="O176" s="2" t="s">
        <v>1226</v>
      </c>
      <c r="P176" s="2">
        <v>1996</v>
      </c>
      <c r="T176" s="10">
        <f>GraphBotulinum!$B$41*'C botulinum'!J176+GraphBotulinum!$B$42</f>
        <v>-0.22820696921704764</v>
      </c>
      <c r="U176" s="10"/>
      <c r="V176" s="10">
        <f>GraphBotulinum!$G$41*'C botulinum'!J176+GraphBotulinum!$G$42</f>
        <v>-0.92875789711548062</v>
      </c>
    </row>
    <row r="177" spans="1:21" x14ac:dyDescent="0.2">
      <c r="A177" s="1" t="s">
        <v>1228</v>
      </c>
      <c r="B177" s="1" t="s">
        <v>1234</v>
      </c>
      <c r="C177" s="1" t="s">
        <v>1397</v>
      </c>
      <c r="D177" s="1" t="s">
        <v>1359</v>
      </c>
      <c r="E177" s="1" t="s">
        <v>1361</v>
      </c>
      <c r="F177" s="1" t="s">
        <v>43</v>
      </c>
      <c r="G177" s="1" t="s">
        <v>1244</v>
      </c>
      <c r="H177" s="1" t="s">
        <v>1270</v>
      </c>
      <c r="I177" s="5">
        <v>5.42</v>
      </c>
      <c r="J177" s="5">
        <v>100</v>
      </c>
      <c r="K177" s="9">
        <v>11.97</v>
      </c>
      <c r="L177" s="5">
        <v>7.9</v>
      </c>
      <c r="M177" s="11">
        <f t="shared" si="3"/>
        <v>1.0780941504064108</v>
      </c>
      <c r="N177" s="12">
        <f>GraphBotulinum!$B$9-('C botulinum'!J177-GraphBotulinum!$B$5)/GraphBotulinum!$B$4</f>
        <v>1.1737792117623664</v>
      </c>
      <c r="O177" s="2" t="s">
        <v>1226</v>
      </c>
      <c r="P177" s="2">
        <v>1996</v>
      </c>
      <c r="Q177" s="2"/>
      <c r="T177" s="10">
        <f>GraphBotulinum!$B$41*'C botulinum'!J177+GraphBotulinum!$B$42</f>
        <v>0.11487984169888721</v>
      </c>
      <c r="U177" s="10">
        <f>GraphBotulinum!$E$41*'C botulinum'!J177+GraphBotulinum!$E$42</f>
        <v>1.1737792117623673</v>
      </c>
    </row>
    <row r="178" spans="1:21" x14ac:dyDescent="0.2">
      <c r="A178" s="1" t="s">
        <v>1228</v>
      </c>
      <c r="B178" s="1" t="s">
        <v>1234</v>
      </c>
      <c r="C178" s="1" t="s">
        <v>1397</v>
      </c>
      <c r="D178" s="1" t="s">
        <v>1359</v>
      </c>
      <c r="E178" s="1" t="s">
        <v>1361</v>
      </c>
      <c r="F178" s="1" t="s">
        <v>43</v>
      </c>
      <c r="G178" s="1" t="s">
        <v>1244</v>
      </c>
      <c r="H178" s="1" t="s">
        <v>1270</v>
      </c>
      <c r="I178" s="5">
        <v>5.42</v>
      </c>
      <c r="J178" s="5">
        <v>110</v>
      </c>
      <c r="K178" s="9">
        <v>0.61</v>
      </c>
      <c r="L178" s="5">
        <v>7.9</v>
      </c>
      <c r="M178" s="11">
        <f t="shared" si="3"/>
        <v>-0.21467016498923297</v>
      </c>
      <c r="N178" s="12">
        <f>GraphBotulinum!$B$9-('C botulinum'!J178-GraphBotulinum!$B$5)/GraphBotulinum!$B$4</f>
        <v>0.19474027387554704</v>
      </c>
      <c r="O178" s="2" t="s">
        <v>1226</v>
      </c>
      <c r="P178" s="2">
        <v>1996</v>
      </c>
      <c r="Q178" s="2"/>
      <c r="T178" s="10">
        <f>GraphBotulinum!$B$41*'C botulinum'!J178+GraphBotulinum!$B$42</f>
        <v>-0.22820696921704764</v>
      </c>
      <c r="U178" s="10">
        <f>GraphBotulinum!$E$41*'C botulinum'!J178+GraphBotulinum!$E$42</f>
        <v>0.19474027387554749</v>
      </c>
    </row>
    <row r="179" spans="1:21" x14ac:dyDescent="0.2">
      <c r="A179" s="1" t="s">
        <v>1228</v>
      </c>
      <c r="B179" s="1" t="s">
        <v>1234</v>
      </c>
      <c r="C179" s="1" t="s">
        <v>1397</v>
      </c>
      <c r="D179" s="1" t="s">
        <v>1359</v>
      </c>
      <c r="E179" s="1" t="s">
        <v>1361</v>
      </c>
      <c r="F179" s="1" t="s">
        <v>43</v>
      </c>
      <c r="G179" s="1" t="s">
        <v>1244</v>
      </c>
      <c r="H179" s="1" t="s">
        <v>1270</v>
      </c>
      <c r="I179" s="5">
        <v>5.42</v>
      </c>
      <c r="J179" s="5">
        <v>115</v>
      </c>
      <c r="K179" s="9">
        <v>0.14000000000000001</v>
      </c>
      <c r="L179" s="5">
        <v>7.9</v>
      </c>
      <c r="M179" s="11">
        <f t="shared" si="3"/>
        <v>-0.85387196432176193</v>
      </c>
      <c r="N179" s="12">
        <f>GraphBotulinum!$B$9-('C botulinum'!J179-GraphBotulinum!$B$5)/GraphBotulinum!$B$4</f>
        <v>-0.29477919506786265</v>
      </c>
      <c r="O179" s="2" t="s">
        <v>1226</v>
      </c>
      <c r="P179" s="2">
        <v>1996</v>
      </c>
      <c r="Q179" s="2"/>
      <c r="T179" s="10">
        <f>GraphBotulinum!$B$41*'C botulinum'!J179+GraphBotulinum!$B$42</f>
        <v>-0.39975037467501506</v>
      </c>
      <c r="U179" s="10">
        <f>GraphBotulinum!$E$41*'C botulinum'!J179+GraphBotulinum!$E$42</f>
        <v>-0.29477919506786243</v>
      </c>
    </row>
    <row r="180" spans="1:21" x14ac:dyDescent="0.2">
      <c r="A180" s="1" t="s">
        <v>1228</v>
      </c>
      <c r="B180" s="1" t="s">
        <v>1234</v>
      </c>
      <c r="C180" s="1" t="s">
        <v>1397</v>
      </c>
      <c r="D180" s="1" t="s">
        <v>1359</v>
      </c>
      <c r="E180" s="1" t="s">
        <v>1361</v>
      </c>
      <c r="F180" s="1" t="s">
        <v>43</v>
      </c>
      <c r="G180" s="1" t="s">
        <v>1244</v>
      </c>
      <c r="H180" s="1" t="s">
        <v>1270</v>
      </c>
      <c r="I180" s="5">
        <v>5.04</v>
      </c>
      <c r="J180" s="5">
        <v>100</v>
      </c>
      <c r="K180" s="9">
        <v>17.260000000000002</v>
      </c>
      <c r="L180" s="5">
        <v>8.8000000000000007</v>
      </c>
      <c r="M180" s="11">
        <f t="shared" si="3"/>
        <v>1.2370407913791908</v>
      </c>
      <c r="N180" s="12">
        <f>GraphBotulinum!$B$9-('C botulinum'!J180-GraphBotulinum!$B$5)/GraphBotulinum!$B$4</f>
        <v>1.1737792117623664</v>
      </c>
      <c r="O180" s="2" t="s">
        <v>1226</v>
      </c>
      <c r="P180" s="2">
        <v>1996</v>
      </c>
      <c r="Q180" s="2"/>
      <c r="T180" s="10">
        <f>GraphBotulinum!$B$41*'C botulinum'!J180+GraphBotulinum!$B$42</f>
        <v>0.11487984169888721</v>
      </c>
      <c r="U180" s="10">
        <f>GraphBotulinum!$E$41*'C botulinum'!J180+GraphBotulinum!$E$42</f>
        <v>1.1737792117623673</v>
      </c>
    </row>
    <row r="181" spans="1:21" x14ac:dyDescent="0.2">
      <c r="A181" s="1" t="s">
        <v>1228</v>
      </c>
      <c r="B181" s="1" t="s">
        <v>1234</v>
      </c>
      <c r="C181" s="1" t="s">
        <v>1397</v>
      </c>
      <c r="D181" s="1" t="s">
        <v>1359</v>
      </c>
      <c r="E181" s="1" t="s">
        <v>1361</v>
      </c>
      <c r="F181" s="1" t="s">
        <v>43</v>
      </c>
      <c r="G181" s="1" t="s">
        <v>1244</v>
      </c>
      <c r="H181" s="1" t="s">
        <v>1270</v>
      </c>
      <c r="I181" s="5">
        <v>5.04</v>
      </c>
      <c r="J181" s="5">
        <v>110</v>
      </c>
      <c r="K181" s="9">
        <v>1.22</v>
      </c>
      <c r="L181" s="5">
        <v>8.8000000000000007</v>
      </c>
      <c r="M181" s="11">
        <f t="shared" si="3"/>
        <v>8.6359830674748214E-2</v>
      </c>
      <c r="N181" s="12">
        <f>GraphBotulinum!$B$9-('C botulinum'!J181-GraphBotulinum!$B$5)/GraphBotulinum!$B$4</f>
        <v>0.19474027387554704</v>
      </c>
      <c r="O181" s="2" t="s">
        <v>1226</v>
      </c>
      <c r="P181" s="2">
        <v>1996</v>
      </c>
      <c r="Q181" s="2"/>
      <c r="T181" s="10">
        <f>GraphBotulinum!$B$41*'C botulinum'!J181+GraphBotulinum!$B$42</f>
        <v>-0.22820696921704764</v>
      </c>
      <c r="U181" s="10">
        <f>GraphBotulinum!$E$41*'C botulinum'!J181+GraphBotulinum!$E$42</f>
        <v>0.19474027387554749</v>
      </c>
    </row>
    <row r="182" spans="1:21" x14ac:dyDescent="0.2">
      <c r="A182" s="1" t="s">
        <v>1228</v>
      </c>
      <c r="B182" s="1" t="s">
        <v>1234</v>
      </c>
      <c r="C182" s="1" t="s">
        <v>1397</v>
      </c>
      <c r="D182" s="1" t="s">
        <v>1359</v>
      </c>
      <c r="E182" s="1" t="s">
        <v>1361</v>
      </c>
      <c r="F182" s="1" t="s">
        <v>43</v>
      </c>
      <c r="G182" s="1" t="s">
        <v>1244</v>
      </c>
      <c r="H182" s="1"/>
      <c r="I182" s="5"/>
      <c r="J182" s="5">
        <v>121</v>
      </c>
      <c r="K182" s="9">
        <v>0.14000000000000001</v>
      </c>
      <c r="L182" s="5">
        <v>13.7</v>
      </c>
      <c r="M182" s="11">
        <f t="shared" si="3"/>
        <v>-0.85387196432176193</v>
      </c>
      <c r="N182" s="12">
        <f>GraphBotulinum!$B$9-('C botulinum'!J182-GraphBotulinum!$B$5)/GraphBotulinum!$B$4</f>
        <v>-0.88220255779995427</v>
      </c>
      <c r="O182" s="2" t="s">
        <v>1226</v>
      </c>
      <c r="P182" s="2">
        <v>1996</v>
      </c>
      <c r="Q182" s="2"/>
      <c r="T182" s="10">
        <f>GraphBotulinum!$B$41*'C botulinum'!J182+GraphBotulinum!$B$42</f>
        <v>-0.60560246122457606</v>
      </c>
      <c r="U182" s="10">
        <f>GraphBotulinum!$E$41*'C botulinum'!J182+GraphBotulinum!$E$42</f>
        <v>-0.88220255779995327</v>
      </c>
    </row>
    <row r="183" spans="1:21" x14ac:dyDescent="0.2">
      <c r="A183" s="1" t="s">
        <v>1228</v>
      </c>
      <c r="B183" s="1" t="s">
        <v>1234</v>
      </c>
      <c r="C183" s="1" t="s">
        <v>1397</v>
      </c>
      <c r="D183" s="1" t="s">
        <v>1359</v>
      </c>
      <c r="E183" s="1" t="s">
        <v>1361</v>
      </c>
      <c r="F183" s="1" t="s">
        <v>43</v>
      </c>
      <c r="G183" s="1" t="s">
        <v>1275</v>
      </c>
      <c r="H183" s="1" t="s">
        <v>1270</v>
      </c>
      <c r="I183" s="5">
        <v>7</v>
      </c>
      <c r="J183" s="4">
        <v>115.6</v>
      </c>
      <c r="K183" s="12">
        <v>0.24</v>
      </c>
      <c r="L183" s="5"/>
      <c r="M183" s="11">
        <f t="shared" si="3"/>
        <v>-0.61978875828839397</v>
      </c>
      <c r="N183" s="12">
        <f>GraphBotulinum!$B$9-('C botulinum'!J183-GraphBotulinum!$B$5)/GraphBotulinum!$B$4</f>
        <v>-0.35352153134107128</v>
      </c>
      <c r="O183" s="2" t="s">
        <v>1226</v>
      </c>
      <c r="P183" s="2">
        <v>1996</v>
      </c>
      <c r="Q183" s="2"/>
      <c r="T183" s="10">
        <f>GraphBotulinum!$B$41*'C botulinum'!J183+GraphBotulinum!$B$42</f>
        <v>-0.42033558332997112</v>
      </c>
      <c r="U183" s="10">
        <f>GraphBotulinum!$E$41*'C botulinum'!J183+GraphBotulinum!$E$42</f>
        <v>-0.35352153134106956</v>
      </c>
    </row>
    <row r="184" spans="1:21" x14ac:dyDescent="0.2">
      <c r="A184" s="1" t="s">
        <v>1228</v>
      </c>
      <c r="B184" s="1" t="s">
        <v>1234</v>
      </c>
      <c r="C184" s="1" t="s">
        <v>1397</v>
      </c>
      <c r="D184" s="1" t="s">
        <v>1359</v>
      </c>
      <c r="E184" s="1" t="s">
        <v>1361</v>
      </c>
      <c r="F184" s="1" t="s">
        <v>43</v>
      </c>
      <c r="G184" s="1" t="s">
        <v>1275</v>
      </c>
      <c r="H184" s="1" t="s">
        <v>1254</v>
      </c>
      <c r="I184" s="5">
        <v>7</v>
      </c>
      <c r="J184" s="5">
        <v>115.6</v>
      </c>
      <c r="K184" s="9">
        <v>0.27</v>
      </c>
      <c r="L184" s="5"/>
      <c r="M184" s="11">
        <f t="shared" si="3"/>
        <v>-0.56863623584101264</v>
      </c>
      <c r="N184" s="12">
        <f>GraphBotulinum!$B$9-('C botulinum'!J184-GraphBotulinum!$B$5)/GraphBotulinum!$B$4</f>
        <v>-0.35352153134107128</v>
      </c>
      <c r="O184" s="2" t="s">
        <v>1226</v>
      </c>
      <c r="P184" s="2">
        <v>1996</v>
      </c>
      <c r="Q184" s="2"/>
      <c r="T184" s="10">
        <f>GraphBotulinum!$B$41*'C botulinum'!J184+GraphBotulinum!$B$42</f>
        <v>-0.42033558332997112</v>
      </c>
      <c r="U184" s="10">
        <f>GraphBotulinum!$E$41*'C botulinum'!J184+GraphBotulinum!$E$42</f>
        <v>-0.35352153134106956</v>
      </c>
    </row>
    <row r="185" spans="1:21" x14ac:dyDescent="0.2">
      <c r="A185" s="1" t="s">
        <v>1228</v>
      </c>
      <c r="B185" s="1" t="s">
        <v>1234</v>
      </c>
      <c r="C185" s="1" t="s">
        <v>1397</v>
      </c>
      <c r="D185" s="1" t="s">
        <v>1359</v>
      </c>
      <c r="E185" s="1" t="s">
        <v>1361</v>
      </c>
      <c r="F185" s="1" t="s">
        <v>43</v>
      </c>
      <c r="G185" s="1" t="s">
        <v>1275</v>
      </c>
      <c r="H185" s="1" t="s">
        <v>1274</v>
      </c>
      <c r="I185" s="5">
        <v>7</v>
      </c>
      <c r="J185" s="5">
        <v>115.6</v>
      </c>
      <c r="K185" s="9">
        <v>0.3</v>
      </c>
      <c r="L185" s="5"/>
      <c r="M185" s="11">
        <f t="shared" si="3"/>
        <v>-0.52287874528033762</v>
      </c>
      <c r="N185" s="12">
        <f>GraphBotulinum!$B$9-('C botulinum'!J185-GraphBotulinum!$B$5)/GraphBotulinum!$B$4</f>
        <v>-0.35352153134107128</v>
      </c>
      <c r="O185" s="2" t="s">
        <v>1226</v>
      </c>
      <c r="P185" s="2">
        <v>1996</v>
      </c>
      <c r="Q185" s="2"/>
      <c r="T185" s="10">
        <f>GraphBotulinum!$B$41*'C botulinum'!J185+GraphBotulinum!$B$42</f>
        <v>-0.42033558332997112</v>
      </c>
      <c r="U185" s="10">
        <f>GraphBotulinum!$E$41*'C botulinum'!J185+GraphBotulinum!$E$42</f>
        <v>-0.35352153134106956</v>
      </c>
    </row>
    <row r="186" spans="1:21" x14ac:dyDescent="0.2">
      <c r="A186" s="1" t="s">
        <v>1228</v>
      </c>
      <c r="B186" s="1" t="s">
        <v>1234</v>
      </c>
      <c r="C186" s="1" t="s">
        <v>1397</v>
      </c>
      <c r="D186" s="1" t="s">
        <v>1359</v>
      </c>
      <c r="E186" s="1" t="s">
        <v>1361</v>
      </c>
      <c r="F186" s="1" t="s">
        <v>43</v>
      </c>
      <c r="G186" s="1" t="s">
        <v>1275</v>
      </c>
      <c r="H186" s="1" t="s">
        <v>1274</v>
      </c>
      <c r="I186" s="5">
        <v>7</v>
      </c>
      <c r="J186" s="5">
        <v>115.6</v>
      </c>
      <c r="K186" s="9">
        <v>0.32</v>
      </c>
      <c r="L186" s="5"/>
      <c r="M186" s="11">
        <f t="shared" si="3"/>
        <v>-0.49485002168009401</v>
      </c>
      <c r="N186" s="12">
        <f>GraphBotulinum!$B$9-('C botulinum'!J186-GraphBotulinum!$B$5)/GraphBotulinum!$B$4</f>
        <v>-0.35352153134107128</v>
      </c>
      <c r="O186" s="2" t="s">
        <v>1226</v>
      </c>
      <c r="P186" s="2">
        <v>1996</v>
      </c>
      <c r="Q186" s="2"/>
      <c r="T186" s="10">
        <f>GraphBotulinum!$B$41*'C botulinum'!J186+GraphBotulinum!$B$42</f>
        <v>-0.42033558332997112</v>
      </c>
      <c r="U186" s="10">
        <f>GraphBotulinum!$E$41*'C botulinum'!J186+GraphBotulinum!$E$42</f>
        <v>-0.35352153134106956</v>
      </c>
    </row>
    <row r="187" spans="1:21" x14ac:dyDescent="0.2">
      <c r="A187" s="1" t="s">
        <v>1228</v>
      </c>
      <c r="B187" s="1" t="s">
        <v>1234</v>
      </c>
      <c r="C187" s="1" t="s">
        <v>1397</v>
      </c>
      <c r="D187" s="1" t="s">
        <v>1359</v>
      </c>
      <c r="E187" s="1" t="s">
        <v>1361</v>
      </c>
      <c r="F187" s="1" t="s">
        <v>43</v>
      </c>
      <c r="G187" s="1" t="s">
        <v>1275</v>
      </c>
      <c r="H187" s="1"/>
      <c r="I187" s="5">
        <v>7</v>
      </c>
      <c r="J187" s="5">
        <v>115.6</v>
      </c>
      <c r="K187" s="12">
        <v>0.56999999999999995</v>
      </c>
      <c r="L187" s="5"/>
      <c r="M187" s="11">
        <f t="shared" si="3"/>
        <v>-0.24412514432750865</v>
      </c>
      <c r="N187" s="12">
        <f>GraphBotulinum!$B$9-('C botulinum'!J187-GraphBotulinum!$B$5)/GraphBotulinum!$B$4</f>
        <v>-0.35352153134107128</v>
      </c>
      <c r="O187" s="2" t="s">
        <v>1226</v>
      </c>
      <c r="P187" s="2">
        <v>1996</v>
      </c>
      <c r="Q187" s="2"/>
      <c r="T187" s="10">
        <f>GraphBotulinum!$B$41*'C botulinum'!J187+GraphBotulinum!$B$42</f>
        <v>-0.42033558332997112</v>
      </c>
      <c r="U187" s="10">
        <f>GraphBotulinum!$E$41*'C botulinum'!J187+GraphBotulinum!$E$42</f>
        <v>-0.35352153134106956</v>
      </c>
    </row>
    <row r="188" spans="1:21" x14ac:dyDescent="0.2">
      <c r="A188" s="1" t="s">
        <v>1228</v>
      </c>
      <c r="B188" s="1" t="s">
        <v>1234</v>
      </c>
      <c r="C188" s="1" t="s">
        <v>1397</v>
      </c>
      <c r="D188" s="1" t="s">
        <v>1359</v>
      </c>
      <c r="E188" s="1" t="s">
        <v>1361</v>
      </c>
      <c r="F188" s="1" t="s">
        <v>43</v>
      </c>
      <c r="G188" s="1" t="s">
        <v>1246</v>
      </c>
      <c r="H188" s="1" t="s">
        <v>1270</v>
      </c>
      <c r="I188" s="5"/>
      <c r="J188" s="5">
        <v>110</v>
      </c>
      <c r="K188" s="9">
        <v>1.89</v>
      </c>
      <c r="L188" s="5">
        <v>11.6</v>
      </c>
      <c r="M188" s="11">
        <f t="shared" si="3"/>
        <v>0.27646180417324412</v>
      </c>
      <c r="N188" s="12">
        <f>GraphBotulinum!$B$9-('C botulinum'!J188-GraphBotulinum!$B$5)/GraphBotulinum!$B$4</f>
        <v>0.19474027387554704</v>
      </c>
      <c r="O188" s="2" t="s">
        <v>1226</v>
      </c>
      <c r="P188" s="2">
        <v>1996</v>
      </c>
      <c r="Q188" s="2"/>
      <c r="T188" s="10">
        <f>GraphBotulinum!$B$41*'C botulinum'!J188+GraphBotulinum!$B$42</f>
        <v>-0.22820696921704764</v>
      </c>
      <c r="U188" s="10">
        <f>GraphBotulinum!$E$41*'C botulinum'!J188+GraphBotulinum!$E$42</f>
        <v>0.19474027387554749</v>
      </c>
    </row>
    <row r="189" spans="1:21" x14ac:dyDescent="0.2">
      <c r="A189" s="1" t="s">
        <v>1228</v>
      </c>
      <c r="B189" s="1" t="s">
        <v>1234</v>
      </c>
      <c r="C189" s="1" t="s">
        <v>1397</v>
      </c>
      <c r="D189" s="1" t="s">
        <v>1359</v>
      </c>
      <c r="E189" s="1" t="s">
        <v>1361</v>
      </c>
      <c r="F189" s="1" t="s">
        <v>43</v>
      </c>
      <c r="G189" s="1" t="s">
        <v>1246</v>
      </c>
      <c r="H189" s="1" t="s">
        <v>1270</v>
      </c>
      <c r="I189" s="5"/>
      <c r="J189" s="5">
        <v>115</v>
      </c>
      <c r="K189" s="9">
        <v>0.83</v>
      </c>
      <c r="L189" s="5">
        <v>11.6</v>
      </c>
      <c r="M189" s="11">
        <f t="shared" si="3"/>
        <v>-8.092190762392612E-2</v>
      </c>
      <c r="N189" s="12">
        <f>GraphBotulinum!$B$9-('C botulinum'!J189-GraphBotulinum!$B$5)/GraphBotulinum!$B$4</f>
        <v>-0.29477919506786265</v>
      </c>
      <c r="O189" s="2" t="s">
        <v>1226</v>
      </c>
      <c r="P189" s="2">
        <v>1996</v>
      </c>
      <c r="Q189" s="2"/>
      <c r="T189" s="10">
        <f>GraphBotulinum!$B$41*'C botulinum'!J189+GraphBotulinum!$B$42</f>
        <v>-0.39975037467501506</v>
      </c>
      <c r="U189" s="10">
        <f>GraphBotulinum!$E$41*'C botulinum'!J189+GraphBotulinum!$E$42</f>
        <v>-0.29477919506786243</v>
      </c>
    </row>
    <row r="190" spans="1:21" x14ac:dyDescent="0.2">
      <c r="A190" s="1" t="s">
        <v>1228</v>
      </c>
      <c r="B190" s="1" t="s">
        <v>1234</v>
      </c>
      <c r="C190" s="1" t="s">
        <v>1397</v>
      </c>
      <c r="D190" s="1" t="s">
        <v>1359</v>
      </c>
      <c r="E190" s="1" t="s">
        <v>1361</v>
      </c>
      <c r="F190" s="1" t="s">
        <v>43</v>
      </c>
      <c r="G190" s="1" t="s">
        <v>1246</v>
      </c>
      <c r="H190" s="1" t="s">
        <v>1254</v>
      </c>
      <c r="I190" s="5">
        <v>7</v>
      </c>
      <c r="J190" s="5">
        <v>115.6</v>
      </c>
      <c r="K190" s="12">
        <v>0.32</v>
      </c>
      <c r="L190" s="5"/>
      <c r="M190" s="11">
        <f t="shared" si="3"/>
        <v>-0.49485002168009401</v>
      </c>
      <c r="N190" s="12">
        <f>GraphBotulinum!$B$9-('C botulinum'!J190-GraphBotulinum!$B$5)/GraphBotulinum!$B$4</f>
        <v>-0.35352153134107128</v>
      </c>
      <c r="O190" s="2" t="s">
        <v>1226</v>
      </c>
      <c r="P190" s="2">
        <v>1996</v>
      </c>
      <c r="Q190" s="2"/>
      <c r="T190" s="10">
        <f>GraphBotulinum!$B$41*'C botulinum'!J190+GraphBotulinum!$B$42</f>
        <v>-0.42033558332997112</v>
      </c>
      <c r="U190" s="10">
        <f>GraphBotulinum!$E$41*'C botulinum'!J190+GraphBotulinum!$E$42</f>
        <v>-0.35352153134106956</v>
      </c>
    </row>
    <row r="191" spans="1:21" x14ac:dyDescent="0.2">
      <c r="A191" s="1" t="s">
        <v>1228</v>
      </c>
      <c r="B191" s="1" t="s">
        <v>1234</v>
      </c>
      <c r="C191" s="1" t="s">
        <v>1397</v>
      </c>
      <c r="D191" s="1" t="s">
        <v>1359</v>
      </c>
      <c r="E191" s="1" t="s">
        <v>1361</v>
      </c>
      <c r="F191" s="1" t="s">
        <v>43</v>
      </c>
      <c r="G191" s="1" t="s">
        <v>1273</v>
      </c>
      <c r="H191" s="1" t="s">
        <v>1274</v>
      </c>
      <c r="I191" s="5"/>
      <c r="J191" s="5">
        <v>115</v>
      </c>
      <c r="K191" s="9">
        <v>0.56999999999999995</v>
      </c>
      <c r="L191" s="5">
        <v>10.3</v>
      </c>
      <c r="M191" s="11">
        <f t="shared" si="3"/>
        <v>-0.24412514432750865</v>
      </c>
      <c r="N191" s="12">
        <f>GraphBotulinum!$B$9-('C botulinum'!J191-GraphBotulinum!$B$5)/GraphBotulinum!$B$4</f>
        <v>-0.29477919506786265</v>
      </c>
      <c r="O191" s="2" t="s">
        <v>1226</v>
      </c>
      <c r="P191" s="2">
        <v>1996</v>
      </c>
      <c r="Q191" s="2"/>
      <c r="T191" s="10">
        <f>GraphBotulinum!$B$41*'C botulinum'!J191+GraphBotulinum!$B$42</f>
        <v>-0.39975037467501506</v>
      </c>
      <c r="U191" s="10">
        <f>GraphBotulinum!$E$41*'C botulinum'!J191+GraphBotulinum!$E$42</f>
        <v>-0.29477919506786243</v>
      </c>
    </row>
    <row r="192" spans="1:21" x14ac:dyDescent="0.2">
      <c r="A192" s="1" t="s">
        <v>1228</v>
      </c>
      <c r="B192" s="1" t="s">
        <v>1234</v>
      </c>
      <c r="C192" s="1" t="s">
        <v>1397</v>
      </c>
      <c r="D192" s="1" t="s">
        <v>1359</v>
      </c>
      <c r="E192" s="1" t="s">
        <v>1361</v>
      </c>
      <c r="F192" s="1" t="s">
        <v>46</v>
      </c>
      <c r="G192" s="1" t="s">
        <v>1281</v>
      </c>
      <c r="H192" s="1"/>
      <c r="I192" s="5"/>
      <c r="J192" s="5">
        <v>121</v>
      </c>
      <c r="K192" s="9">
        <v>0.23</v>
      </c>
      <c r="L192" s="5">
        <v>11.6</v>
      </c>
      <c r="M192" s="11">
        <f t="shared" si="3"/>
        <v>-0.63827216398240705</v>
      </c>
      <c r="N192" s="12">
        <f>GraphBotulinum!$B$9-('C botulinum'!J192-GraphBotulinum!$B$5)/GraphBotulinum!$B$4</f>
        <v>-0.88220255779995427</v>
      </c>
      <c r="O192" s="2" t="s">
        <v>1226</v>
      </c>
      <c r="P192" s="2">
        <v>1996</v>
      </c>
      <c r="Q192" s="2"/>
      <c r="T192" s="10">
        <f>GraphBotulinum!$B$41*'C botulinum'!J192+GraphBotulinum!$B$42</f>
        <v>-0.60560246122457606</v>
      </c>
      <c r="U192" s="10">
        <f>GraphBotulinum!$E$41*'C botulinum'!J192+GraphBotulinum!$E$42</f>
        <v>-0.88220255779995327</v>
      </c>
    </row>
    <row r="193" spans="1:21" x14ac:dyDescent="0.2">
      <c r="A193" s="1" t="s">
        <v>1228</v>
      </c>
      <c r="B193" s="1" t="s">
        <v>1234</v>
      </c>
      <c r="C193" s="1" t="s">
        <v>1397</v>
      </c>
      <c r="D193" s="1" t="s">
        <v>1359</v>
      </c>
      <c r="E193" s="1" t="s">
        <v>1361</v>
      </c>
      <c r="F193" s="1" t="s">
        <v>47</v>
      </c>
      <c r="G193" s="1" t="s">
        <v>1243</v>
      </c>
      <c r="H193" s="1"/>
      <c r="I193" s="5">
        <v>7</v>
      </c>
      <c r="J193" s="5">
        <v>110</v>
      </c>
      <c r="K193" s="9">
        <v>2.48</v>
      </c>
      <c r="L193" s="5">
        <v>8.8000000000000007</v>
      </c>
      <c r="M193" s="11">
        <f t="shared" si="3"/>
        <v>0.39445168082621629</v>
      </c>
      <c r="N193" s="12">
        <f>GraphBotulinum!$B$9-('C botulinum'!J193-GraphBotulinum!$B$5)/GraphBotulinum!$B$4</f>
        <v>0.19474027387554704</v>
      </c>
      <c r="O193" s="2" t="s">
        <v>1226</v>
      </c>
      <c r="P193" s="2">
        <v>1996</v>
      </c>
      <c r="Q193" s="2" t="s">
        <v>1402</v>
      </c>
      <c r="T193" s="10">
        <f>GraphBotulinum!$B$41*'C botulinum'!J193+GraphBotulinum!$B$42</f>
        <v>-0.22820696921704764</v>
      </c>
      <c r="U193" s="10">
        <f>GraphBotulinum!$E$41*'C botulinum'!J193+GraphBotulinum!$E$42</f>
        <v>0.19474027387554749</v>
      </c>
    </row>
    <row r="194" spans="1:21" x14ac:dyDescent="0.2">
      <c r="A194" s="1" t="s">
        <v>1228</v>
      </c>
      <c r="B194" s="1" t="s">
        <v>1234</v>
      </c>
      <c r="C194" s="1" t="s">
        <v>1397</v>
      </c>
      <c r="D194" s="1" t="s">
        <v>1359</v>
      </c>
      <c r="E194" s="1" t="s">
        <v>1361</v>
      </c>
      <c r="F194" s="1" t="s">
        <v>47</v>
      </c>
      <c r="G194" s="1" t="s">
        <v>1243</v>
      </c>
      <c r="H194" s="1"/>
      <c r="I194" s="5">
        <v>7</v>
      </c>
      <c r="J194" s="5">
        <v>115.6</v>
      </c>
      <c r="K194" s="9">
        <v>0.56999999999999995</v>
      </c>
      <c r="L194" s="5">
        <v>8.8000000000000007</v>
      </c>
      <c r="M194" s="11">
        <f t="shared" si="3"/>
        <v>-0.24412514432750865</v>
      </c>
      <c r="N194" s="12">
        <f>GraphBotulinum!$B$9-('C botulinum'!J194-GraphBotulinum!$B$5)/GraphBotulinum!$B$4</f>
        <v>-0.35352153134107128</v>
      </c>
      <c r="O194" s="2" t="s">
        <v>1226</v>
      </c>
      <c r="P194" s="2">
        <v>1996</v>
      </c>
      <c r="Q194" s="2" t="s">
        <v>1402</v>
      </c>
      <c r="T194" s="10">
        <f>GraphBotulinum!$B$41*'C botulinum'!J194+GraphBotulinum!$B$42</f>
        <v>-0.42033558332997112</v>
      </c>
      <c r="U194" s="10">
        <f>GraphBotulinum!$E$41*'C botulinum'!J194+GraphBotulinum!$E$42</f>
        <v>-0.35352153134106956</v>
      </c>
    </row>
    <row r="195" spans="1:21" x14ac:dyDescent="0.2">
      <c r="A195" s="1" t="s">
        <v>1228</v>
      </c>
      <c r="B195" s="1" t="s">
        <v>1234</v>
      </c>
      <c r="C195" s="1" t="s">
        <v>1397</v>
      </c>
      <c r="D195" s="1" t="s">
        <v>1359</v>
      </c>
      <c r="E195" s="1" t="s">
        <v>1361</v>
      </c>
      <c r="F195" s="1" t="s">
        <v>46</v>
      </c>
      <c r="G195" s="1" t="s">
        <v>1285</v>
      </c>
      <c r="H195" s="1" t="s">
        <v>1284</v>
      </c>
      <c r="I195" s="5"/>
      <c r="J195" s="5">
        <v>121</v>
      </c>
      <c r="K195" s="9">
        <v>0.41</v>
      </c>
      <c r="L195" s="5">
        <v>12.7</v>
      </c>
      <c r="M195" s="11">
        <f t="shared" si="3"/>
        <v>-0.38721614328026455</v>
      </c>
      <c r="N195" s="12">
        <f>GraphBotulinum!$B$9-('C botulinum'!J195-GraphBotulinum!$B$5)/GraphBotulinum!$B$4</f>
        <v>-0.88220255779995427</v>
      </c>
      <c r="O195" s="2" t="s">
        <v>1226</v>
      </c>
      <c r="P195" s="2">
        <v>1996</v>
      </c>
      <c r="Q195" s="2"/>
      <c r="T195" s="10">
        <f>GraphBotulinum!$B$41*'C botulinum'!J195+GraphBotulinum!$B$42</f>
        <v>-0.60560246122457606</v>
      </c>
      <c r="U195" s="10">
        <f>GraphBotulinum!$E$41*'C botulinum'!J195+GraphBotulinum!$E$42</f>
        <v>-0.88220255779995327</v>
      </c>
    </row>
    <row r="196" spans="1:21" x14ac:dyDescent="0.2">
      <c r="A196" s="1" t="s">
        <v>1228</v>
      </c>
      <c r="B196" s="1" t="s">
        <v>1234</v>
      </c>
      <c r="C196" s="1" t="s">
        <v>1397</v>
      </c>
      <c r="D196" s="1" t="s">
        <v>1359</v>
      </c>
      <c r="E196" s="1" t="s">
        <v>1361</v>
      </c>
      <c r="F196" s="1" t="s">
        <v>46</v>
      </c>
      <c r="G196" s="1" t="s">
        <v>1285</v>
      </c>
      <c r="H196" s="1" t="s">
        <v>1279</v>
      </c>
      <c r="I196" s="5"/>
      <c r="J196" s="5">
        <v>121</v>
      </c>
      <c r="K196" s="9">
        <v>0.15</v>
      </c>
      <c r="L196" s="5">
        <v>10.6</v>
      </c>
      <c r="M196" s="11">
        <f t="shared" si="3"/>
        <v>-0.82390874094431876</v>
      </c>
      <c r="N196" s="12">
        <f>GraphBotulinum!$B$9-('C botulinum'!J196-GraphBotulinum!$B$5)/GraphBotulinum!$B$4</f>
        <v>-0.88220255779995427</v>
      </c>
      <c r="O196" s="2" t="s">
        <v>1226</v>
      </c>
      <c r="P196" s="2">
        <v>1996</v>
      </c>
      <c r="Q196" s="2"/>
      <c r="T196" s="10">
        <f>GraphBotulinum!$B$41*'C botulinum'!J196+GraphBotulinum!$B$42</f>
        <v>-0.60560246122457606</v>
      </c>
      <c r="U196" s="10">
        <f>GraphBotulinum!$E$41*'C botulinum'!J196+GraphBotulinum!$E$42</f>
        <v>-0.88220255779995327</v>
      </c>
    </row>
    <row r="197" spans="1:21" x14ac:dyDescent="0.2">
      <c r="A197" s="1" t="s">
        <v>1228</v>
      </c>
      <c r="B197" s="1" t="s">
        <v>1234</v>
      </c>
      <c r="C197" s="1" t="s">
        <v>1397</v>
      </c>
      <c r="D197" s="1" t="s">
        <v>1359</v>
      </c>
      <c r="E197" s="1" t="s">
        <v>1361</v>
      </c>
      <c r="F197" s="1" t="s">
        <v>43</v>
      </c>
      <c r="G197" s="1" t="s">
        <v>1298</v>
      </c>
      <c r="H197" s="1"/>
      <c r="I197" s="5"/>
      <c r="J197" s="5">
        <v>121</v>
      </c>
      <c r="K197" s="9">
        <v>0.06</v>
      </c>
      <c r="L197" s="5">
        <v>8.9</v>
      </c>
      <c r="M197" s="11">
        <f t="shared" si="3"/>
        <v>-1.2218487496163564</v>
      </c>
      <c r="N197" s="12">
        <f>GraphBotulinum!$B$9-('C botulinum'!J197-GraphBotulinum!$B$5)/GraphBotulinum!$B$4</f>
        <v>-0.88220255779995427</v>
      </c>
      <c r="O197" s="2" t="s">
        <v>1226</v>
      </c>
      <c r="P197" s="2">
        <v>1996</v>
      </c>
      <c r="Q197" s="2"/>
      <c r="T197" s="10">
        <f>GraphBotulinum!$B$41*'C botulinum'!J197+GraphBotulinum!$B$42</f>
        <v>-0.60560246122457606</v>
      </c>
      <c r="U197" s="10">
        <f>GraphBotulinum!$E$41*'C botulinum'!J197+GraphBotulinum!$E$42</f>
        <v>-0.88220255779995327</v>
      </c>
    </row>
    <row r="198" spans="1:21" x14ac:dyDescent="0.2">
      <c r="A198" s="1" t="s">
        <v>1228</v>
      </c>
      <c r="B198" s="1" t="s">
        <v>1234</v>
      </c>
      <c r="C198" s="1" t="s">
        <v>1397</v>
      </c>
      <c r="D198" s="1" t="s">
        <v>1359</v>
      </c>
      <c r="E198" s="1" t="s">
        <v>1361</v>
      </c>
      <c r="F198" s="1" t="s">
        <v>46</v>
      </c>
      <c r="G198" s="1" t="s">
        <v>1280</v>
      </c>
      <c r="H198" s="1" t="s">
        <v>1279</v>
      </c>
      <c r="J198" s="5">
        <v>121</v>
      </c>
      <c r="K198" s="12">
        <v>0.17</v>
      </c>
      <c r="L198" s="6">
        <v>9.9</v>
      </c>
      <c r="M198" s="11">
        <f t="shared" si="3"/>
        <v>-0.769551078621726</v>
      </c>
      <c r="N198" s="12">
        <f>GraphBotulinum!$B$9-('C botulinum'!J198-GraphBotulinum!$B$5)/GraphBotulinum!$B$4</f>
        <v>-0.88220255779995427</v>
      </c>
      <c r="O198" s="2" t="s">
        <v>1226</v>
      </c>
      <c r="P198" s="2">
        <v>1996</v>
      </c>
      <c r="Q198" s="2"/>
      <c r="T198" s="10">
        <f>GraphBotulinum!$B$41*'C botulinum'!J198+GraphBotulinum!$B$42</f>
        <v>-0.60560246122457606</v>
      </c>
      <c r="U198" s="10">
        <f>GraphBotulinum!$E$41*'C botulinum'!J198+GraphBotulinum!$E$42</f>
        <v>-0.88220255779995327</v>
      </c>
    </row>
    <row r="199" spans="1:21" x14ac:dyDescent="0.2">
      <c r="A199" s="1" t="s">
        <v>1228</v>
      </c>
      <c r="B199" s="1" t="s">
        <v>1234</v>
      </c>
      <c r="C199" s="1" t="s">
        <v>1397</v>
      </c>
      <c r="D199" s="1" t="s">
        <v>1359</v>
      </c>
      <c r="E199" s="1" t="s">
        <v>1361</v>
      </c>
      <c r="F199" s="1" t="s">
        <v>43</v>
      </c>
      <c r="G199" s="1" t="s">
        <v>1271</v>
      </c>
      <c r="H199" s="1" t="s">
        <v>1268</v>
      </c>
      <c r="I199" s="5"/>
      <c r="J199" s="5">
        <v>110</v>
      </c>
      <c r="K199" s="9">
        <v>1.98</v>
      </c>
      <c r="L199" s="5">
        <v>8.3000000000000007</v>
      </c>
      <c r="M199" s="11">
        <f t="shared" si="3"/>
        <v>0.2966651902615311</v>
      </c>
      <c r="N199" s="12">
        <f>GraphBotulinum!$B$9-('C botulinum'!J199-GraphBotulinum!$B$5)/GraphBotulinum!$B$4</f>
        <v>0.19474027387554704</v>
      </c>
      <c r="O199" s="2" t="s">
        <v>1226</v>
      </c>
      <c r="P199" s="2">
        <v>1996</v>
      </c>
      <c r="T199" s="10">
        <f>GraphBotulinum!$B$41*'C botulinum'!J199+GraphBotulinum!$B$42</f>
        <v>-0.22820696921704764</v>
      </c>
      <c r="U199" s="10">
        <f>GraphBotulinum!$E$41*'C botulinum'!J199+GraphBotulinum!$E$42</f>
        <v>0.19474027387554749</v>
      </c>
    </row>
    <row r="200" spans="1:21" x14ac:dyDescent="0.2">
      <c r="A200" s="1" t="s">
        <v>1228</v>
      </c>
      <c r="B200" s="1" t="s">
        <v>1234</v>
      </c>
      <c r="C200" s="1" t="s">
        <v>1397</v>
      </c>
      <c r="D200" s="1" t="s">
        <v>1359</v>
      </c>
      <c r="E200" s="1" t="s">
        <v>1361</v>
      </c>
      <c r="F200" s="1" t="s">
        <v>43</v>
      </c>
      <c r="G200" s="1" t="s">
        <v>1271</v>
      </c>
      <c r="H200" s="1" t="s">
        <v>1268</v>
      </c>
      <c r="I200" s="5"/>
      <c r="J200" s="5">
        <v>115.6</v>
      </c>
      <c r="K200" s="9">
        <v>0.44</v>
      </c>
      <c r="L200" s="5">
        <v>8.3000000000000007</v>
      </c>
      <c r="M200" s="11">
        <f t="shared" si="3"/>
        <v>-0.35654732351381258</v>
      </c>
      <c r="N200" s="12">
        <f>GraphBotulinum!$B$9-('C botulinum'!J200-GraphBotulinum!$B$5)/GraphBotulinum!$B$4</f>
        <v>-0.35352153134107128</v>
      </c>
      <c r="O200" s="2" t="s">
        <v>1226</v>
      </c>
      <c r="P200" s="2">
        <v>1996</v>
      </c>
      <c r="T200" s="10">
        <f>GraphBotulinum!$B$41*'C botulinum'!J200+GraphBotulinum!$B$42</f>
        <v>-0.42033558332997112</v>
      </c>
      <c r="U200" s="10">
        <f>GraphBotulinum!$E$41*'C botulinum'!J200+GraphBotulinum!$E$42</f>
        <v>-0.35352153134106956</v>
      </c>
    </row>
    <row r="201" spans="1:21" x14ac:dyDescent="0.2">
      <c r="A201" s="1" t="s">
        <v>1228</v>
      </c>
      <c r="B201" s="1" t="s">
        <v>1234</v>
      </c>
      <c r="C201" s="1" t="s">
        <v>1397</v>
      </c>
      <c r="D201" s="1" t="s">
        <v>1359</v>
      </c>
      <c r="E201" s="1" t="s">
        <v>1361</v>
      </c>
      <c r="F201" s="1" t="s">
        <v>43</v>
      </c>
      <c r="G201" s="1" t="s">
        <v>1271</v>
      </c>
      <c r="H201" s="1" t="s">
        <v>1268</v>
      </c>
      <c r="I201" s="5"/>
      <c r="J201" s="5">
        <v>121.1</v>
      </c>
      <c r="K201" s="9">
        <v>8.8999999999999996E-2</v>
      </c>
      <c r="L201" s="5">
        <v>8.3000000000000007</v>
      </c>
      <c r="M201" s="11">
        <f t="shared" si="3"/>
        <v>-1.0506099933550872</v>
      </c>
      <c r="N201" s="12">
        <f>GraphBotulinum!$B$9-('C botulinum'!J201-GraphBotulinum!$B$5)/GraphBotulinum!$B$4</f>
        <v>-0.89199294717882194</v>
      </c>
      <c r="O201" s="2" t="s">
        <v>1226</v>
      </c>
      <c r="P201" s="2">
        <v>1996</v>
      </c>
      <c r="T201" s="10">
        <f>GraphBotulinum!$B$41*'C botulinum'!J201+GraphBotulinum!$B$42</f>
        <v>-0.60903332933373555</v>
      </c>
      <c r="U201" s="10">
        <f>GraphBotulinum!$E$41*'C botulinum'!J201+GraphBotulinum!$E$42</f>
        <v>-0.89199294717882083</v>
      </c>
    </row>
    <row r="202" spans="1:21" x14ac:dyDescent="0.2">
      <c r="A202" s="1" t="s">
        <v>1228</v>
      </c>
      <c r="B202" s="1" t="s">
        <v>1234</v>
      </c>
      <c r="C202" s="1" t="s">
        <v>1397</v>
      </c>
      <c r="D202" s="1" t="s">
        <v>1359</v>
      </c>
      <c r="E202" s="1" t="s">
        <v>1361</v>
      </c>
      <c r="F202" s="1" t="s">
        <v>43</v>
      </c>
      <c r="G202" s="1" t="s">
        <v>1271</v>
      </c>
      <c r="H202" s="1" t="s">
        <v>1268</v>
      </c>
      <c r="I202" s="5"/>
      <c r="J202" s="5">
        <v>126.7</v>
      </c>
      <c r="K202" s="9">
        <v>0.03</v>
      </c>
      <c r="L202" s="5">
        <v>8.9</v>
      </c>
      <c r="M202" s="11">
        <f t="shared" ref="M202:M265" si="7">LOG(K202)</f>
        <v>-1.5228787452803376</v>
      </c>
      <c r="N202" s="12">
        <f>GraphBotulinum!$B$9-('C botulinum'!J202-GraphBotulinum!$B$5)/GraphBotulinum!$B$4</f>
        <v>-1.4402547523954417</v>
      </c>
      <c r="O202" s="2" t="s">
        <v>1226</v>
      </c>
      <c r="P202" s="2">
        <v>1996</v>
      </c>
      <c r="T202" s="10">
        <f>GraphBotulinum!$B$41*'C botulinum'!J202+GraphBotulinum!$B$42</f>
        <v>-0.80116194344665903</v>
      </c>
      <c r="U202" s="10">
        <f>GraphBotulinum!$E$41*'C botulinum'!J202+GraphBotulinum!$E$42</f>
        <v>-1.4402547523954414</v>
      </c>
    </row>
    <row r="203" spans="1:21" x14ac:dyDescent="0.2">
      <c r="A203" s="1" t="s">
        <v>1228</v>
      </c>
      <c r="B203" s="1" t="s">
        <v>1234</v>
      </c>
      <c r="C203" s="1" t="s">
        <v>1397</v>
      </c>
      <c r="D203" s="1" t="s">
        <v>1359</v>
      </c>
      <c r="E203" s="1" t="s">
        <v>1361</v>
      </c>
      <c r="F203" s="1" t="s">
        <v>43</v>
      </c>
      <c r="G203" s="1" t="s">
        <v>1271</v>
      </c>
      <c r="H203" s="1" t="s">
        <v>1270</v>
      </c>
      <c r="I203" s="5">
        <v>5.24</v>
      </c>
      <c r="J203" s="5">
        <v>100</v>
      </c>
      <c r="K203" s="9">
        <v>22.68</v>
      </c>
      <c r="L203" s="5">
        <v>7.6</v>
      </c>
      <c r="M203" s="11">
        <f t="shared" si="7"/>
        <v>1.355643050220869</v>
      </c>
      <c r="N203" s="12">
        <f>GraphBotulinum!$B$9-('C botulinum'!J203-GraphBotulinum!$B$5)/GraphBotulinum!$B$4</f>
        <v>1.1737792117623664</v>
      </c>
      <c r="O203" s="2" t="s">
        <v>1226</v>
      </c>
      <c r="P203" s="2">
        <v>1996</v>
      </c>
      <c r="Q203" s="2"/>
      <c r="T203" s="10">
        <f>GraphBotulinum!$B$41*'C botulinum'!J203+GraphBotulinum!$B$42</f>
        <v>0.11487984169888721</v>
      </c>
      <c r="U203" s="10">
        <f>GraphBotulinum!$E$41*'C botulinum'!J203+GraphBotulinum!$E$42</f>
        <v>1.1737792117623673</v>
      </c>
    </row>
    <row r="204" spans="1:21" x14ac:dyDescent="0.2">
      <c r="A204" s="1" t="s">
        <v>1228</v>
      </c>
      <c r="B204" s="1" t="s">
        <v>1234</v>
      </c>
      <c r="C204" s="1" t="s">
        <v>1397</v>
      </c>
      <c r="D204" s="1" t="s">
        <v>1359</v>
      </c>
      <c r="E204" s="1" t="s">
        <v>1361</v>
      </c>
      <c r="F204" s="1" t="s">
        <v>43</v>
      </c>
      <c r="G204" s="1" t="s">
        <v>1271</v>
      </c>
      <c r="H204" s="1" t="s">
        <v>1270</v>
      </c>
      <c r="I204" s="5">
        <v>5.24</v>
      </c>
      <c r="J204" s="5">
        <v>110</v>
      </c>
      <c r="K204" s="9">
        <v>0.61</v>
      </c>
      <c r="L204" s="5">
        <v>7.6</v>
      </c>
      <c r="M204" s="11">
        <f t="shared" si="7"/>
        <v>-0.21467016498923297</v>
      </c>
      <c r="N204" s="12">
        <f>GraphBotulinum!$B$9-('C botulinum'!J204-GraphBotulinum!$B$5)/GraphBotulinum!$B$4</f>
        <v>0.19474027387554704</v>
      </c>
      <c r="O204" s="2" t="s">
        <v>1226</v>
      </c>
      <c r="P204" s="2">
        <v>1996</v>
      </c>
      <c r="Q204" s="2"/>
      <c r="T204" s="10">
        <f>GraphBotulinum!$B$41*'C botulinum'!J204+GraphBotulinum!$B$42</f>
        <v>-0.22820696921704764</v>
      </c>
      <c r="U204" s="10">
        <f>GraphBotulinum!$E$41*'C botulinum'!J204+GraphBotulinum!$E$42</f>
        <v>0.19474027387554749</v>
      </c>
    </row>
    <row r="205" spans="1:21" x14ac:dyDescent="0.2">
      <c r="A205" s="1" t="s">
        <v>1228</v>
      </c>
      <c r="B205" s="1" t="s">
        <v>1234</v>
      </c>
      <c r="C205" s="1" t="s">
        <v>1397</v>
      </c>
      <c r="D205" s="1" t="s">
        <v>1359</v>
      </c>
      <c r="E205" s="1" t="s">
        <v>1361</v>
      </c>
      <c r="F205" s="1" t="s">
        <v>43</v>
      </c>
      <c r="G205" s="1" t="s">
        <v>1271</v>
      </c>
      <c r="H205" s="1" t="s">
        <v>1270</v>
      </c>
      <c r="I205" s="5">
        <v>5.24</v>
      </c>
      <c r="J205" s="5">
        <v>115</v>
      </c>
      <c r="K205" s="9">
        <v>0.28000000000000003</v>
      </c>
      <c r="L205" s="5">
        <v>7.6</v>
      </c>
      <c r="M205" s="11">
        <f t="shared" si="7"/>
        <v>-0.55284196865778079</v>
      </c>
      <c r="N205" s="12">
        <f>GraphBotulinum!$B$9-('C botulinum'!J205-GraphBotulinum!$B$5)/GraphBotulinum!$B$4</f>
        <v>-0.29477919506786265</v>
      </c>
      <c r="O205" s="2" t="s">
        <v>1226</v>
      </c>
      <c r="P205" s="2">
        <v>1996</v>
      </c>
      <c r="Q205" s="2"/>
      <c r="T205" s="10">
        <f>GraphBotulinum!$B$41*'C botulinum'!J205+GraphBotulinum!$B$42</f>
        <v>-0.39975037467501506</v>
      </c>
      <c r="U205" s="10">
        <f>GraphBotulinum!$E$41*'C botulinum'!J205+GraphBotulinum!$E$42</f>
        <v>-0.29477919506786243</v>
      </c>
    </row>
    <row r="206" spans="1:21" x14ac:dyDescent="0.2">
      <c r="A206" s="1" t="s">
        <v>1228</v>
      </c>
      <c r="B206" s="1" t="s">
        <v>1234</v>
      </c>
      <c r="C206" s="1" t="s">
        <v>1397</v>
      </c>
      <c r="D206" s="1" t="s">
        <v>1359</v>
      </c>
      <c r="E206" s="1" t="s">
        <v>1361</v>
      </c>
      <c r="F206" s="1" t="s">
        <v>43</v>
      </c>
      <c r="G206" s="1" t="s">
        <v>1271</v>
      </c>
      <c r="H206" s="1" t="s">
        <v>1270</v>
      </c>
      <c r="I206" s="5">
        <v>6</v>
      </c>
      <c r="J206" s="5">
        <v>100</v>
      </c>
      <c r="K206" s="9">
        <v>24.98</v>
      </c>
      <c r="L206" s="5">
        <v>7.5</v>
      </c>
      <c r="M206" s="11">
        <f t="shared" si="7"/>
        <v>1.3975924340381167</v>
      </c>
      <c r="N206" s="12">
        <f>GraphBotulinum!$B$9-('C botulinum'!J206-GraphBotulinum!$B$5)/GraphBotulinum!$B$4</f>
        <v>1.1737792117623664</v>
      </c>
      <c r="O206" s="2" t="s">
        <v>1226</v>
      </c>
      <c r="P206" s="2">
        <v>1996</v>
      </c>
      <c r="Q206" s="2"/>
      <c r="T206" s="10">
        <f>GraphBotulinum!$B$41*'C botulinum'!J206+GraphBotulinum!$B$42</f>
        <v>0.11487984169888721</v>
      </c>
      <c r="U206" s="10">
        <f>GraphBotulinum!$E$41*'C botulinum'!J206+GraphBotulinum!$E$42</f>
        <v>1.1737792117623673</v>
      </c>
    </row>
    <row r="207" spans="1:21" x14ac:dyDescent="0.2">
      <c r="A207" s="1" t="s">
        <v>1228</v>
      </c>
      <c r="B207" s="1" t="s">
        <v>1234</v>
      </c>
      <c r="C207" s="1" t="s">
        <v>1397</v>
      </c>
      <c r="D207" s="1" t="s">
        <v>1359</v>
      </c>
      <c r="E207" s="1" t="s">
        <v>1361</v>
      </c>
      <c r="F207" s="1" t="s">
        <v>43</v>
      </c>
      <c r="G207" s="1" t="s">
        <v>1271</v>
      </c>
      <c r="H207" s="1" t="s">
        <v>1270</v>
      </c>
      <c r="I207" s="5">
        <v>6</v>
      </c>
      <c r="J207" s="5">
        <v>110</v>
      </c>
      <c r="K207" s="9">
        <v>1.22</v>
      </c>
      <c r="L207" s="5">
        <v>7.5</v>
      </c>
      <c r="M207" s="11">
        <f t="shared" si="7"/>
        <v>8.6359830674748214E-2</v>
      </c>
      <c r="N207" s="12">
        <f>GraphBotulinum!$B$9-('C botulinum'!J207-GraphBotulinum!$B$5)/GraphBotulinum!$B$4</f>
        <v>0.19474027387554704</v>
      </c>
      <c r="O207" s="2" t="s">
        <v>1226</v>
      </c>
      <c r="P207" s="2">
        <v>1996</v>
      </c>
      <c r="Q207" s="2"/>
      <c r="T207" s="10">
        <f>GraphBotulinum!$B$41*'C botulinum'!J207+GraphBotulinum!$B$42</f>
        <v>-0.22820696921704764</v>
      </c>
      <c r="U207" s="10">
        <f>GraphBotulinum!$E$41*'C botulinum'!J207+GraphBotulinum!$E$42</f>
        <v>0.19474027387554749</v>
      </c>
    </row>
    <row r="208" spans="1:21" x14ac:dyDescent="0.2">
      <c r="A208" s="1" t="s">
        <v>1228</v>
      </c>
      <c r="B208" s="1" t="s">
        <v>1234</v>
      </c>
      <c r="C208" s="1" t="s">
        <v>1397</v>
      </c>
      <c r="D208" s="1" t="s">
        <v>1359</v>
      </c>
      <c r="E208" s="1" t="s">
        <v>1361</v>
      </c>
      <c r="F208" s="1" t="s">
        <v>43</v>
      </c>
      <c r="G208" s="1" t="s">
        <v>1271</v>
      </c>
      <c r="H208" s="1" t="s">
        <v>1254</v>
      </c>
      <c r="I208" s="5">
        <v>7</v>
      </c>
      <c r="J208" s="5">
        <v>115.6</v>
      </c>
      <c r="K208" s="9">
        <v>0.32</v>
      </c>
      <c r="L208" s="5"/>
      <c r="M208" s="11">
        <f t="shared" si="7"/>
        <v>-0.49485002168009401</v>
      </c>
      <c r="N208" s="12">
        <f>GraphBotulinum!$B$9-('C botulinum'!J208-GraphBotulinum!$B$5)/GraphBotulinum!$B$4</f>
        <v>-0.35352153134107128</v>
      </c>
      <c r="O208" s="2" t="s">
        <v>1226</v>
      </c>
      <c r="P208" s="2">
        <v>1996</v>
      </c>
      <c r="Q208" s="2"/>
      <c r="T208" s="10">
        <f>GraphBotulinum!$B$41*'C botulinum'!J208+GraphBotulinum!$B$42</f>
        <v>-0.42033558332997112</v>
      </c>
      <c r="U208" s="10">
        <f>GraphBotulinum!$E$41*'C botulinum'!J208+GraphBotulinum!$E$42</f>
        <v>-0.35352153134106956</v>
      </c>
    </row>
    <row r="209" spans="1:21" x14ac:dyDescent="0.2">
      <c r="A209" s="1" t="s">
        <v>1228</v>
      </c>
      <c r="B209" s="1" t="s">
        <v>1234</v>
      </c>
      <c r="C209" s="1" t="s">
        <v>1397</v>
      </c>
      <c r="D209" s="1" t="s">
        <v>1359</v>
      </c>
      <c r="E209" s="1" t="s">
        <v>1361</v>
      </c>
      <c r="F209" s="1" t="s">
        <v>44</v>
      </c>
      <c r="G209" s="1" t="s">
        <v>1247</v>
      </c>
      <c r="H209" s="1"/>
      <c r="I209" s="5">
        <v>7</v>
      </c>
      <c r="J209" s="5">
        <v>100</v>
      </c>
      <c r="K209" s="9">
        <v>22.68</v>
      </c>
      <c r="L209" s="5">
        <v>7.6</v>
      </c>
      <c r="M209" s="11">
        <f t="shared" si="7"/>
        <v>1.355643050220869</v>
      </c>
      <c r="N209" s="12">
        <f>GraphBotulinum!$B$9-('C botulinum'!J209-GraphBotulinum!$B$5)/GraphBotulinum!$B$4</f>
        <v>1.1737792117623664</v>
      </c>
      <c r="O209" s="2" t="s">
        <v>1226</v>
      </c>
      <c r="P209" s="2">
        <v>1996</v>
      </c>
      <c r="Q209" s="2" t="s">
        <v>1253</v>
      </c>
      <c r="T209" s="10">
        <f>GraphBotulinum!$B$41*'C botulinum'!J209+GraphBotulinum!$B$42</f>
        <v>0.11487984169888721</v>
      </c>
      <c r="U209" s="10">
        <f>GraphBotulinum!$E$41*'C botulinum'!J209+GraphBotulinum!$E$42</f>
        <v>1.1737792117623673</v>
      </c>
    </row>
    <row r="210" spans="1:21" x14ac:dyDescent="0.2">
      <c r="A210" s="1" t="s">
        <v>1228</v>
      </c>
      <c r="B210" s="1" t="s">
        <v>1234</v>
      </c>
      <c r="C210" s="1" t="s">
        <v>1397</v>
      </c>
      <c r="D210" s="1" t="s">
        <v>1359</v>
      </c>
      <c r="E210" s="1" t="s">
        <v>1361</v>
      </c>
      <c r="F210" s="1" t="s">
        <v>44</v>
      </c>
      <c r="G210" s="1" t="s">
        <v>1247</v>
      </c>
      <c r="H210" s="1"/>
      <c r="I210" s="5">
        <v>7</v>
      </c>
      <c r="J210" s="5">
        <v>100</v>
      </c>
      <c r="K210" s="9">
        <v>21.12</v>
      </c>
      <c r="L210" s="5">
        <v>10</v>
      </c>
      <c r="M210" s="11">
        <f t="shared" si="7"/>
        <v>1.3246939138617746</v>
      </c>
      <c r="N210" s="12">
        <f>GraphBotulinum!$B$9-('C botulinum'!J210-GraphBotulinum!$B$5)/GraphBotulinum!$B$4</f>
        <v>1.1737792117623664</v>
      </c>
      <c r="O210" s="2" t="s">
        <v>1226</v>
      </c>
      <c r="P210" s="2">
        <v>1996</v>
      </c>
      <c r="Q210" s="2"/>
      <c r="T210" s="10">
        <f>GraphBotulinum!$B$41*'C botulinum'!J210+GraphBotulinum!$B$42</f>
        <v>0.11487984169888721</v>
      </c>
      <c r="U210" s="10">
        <f>GraphBotulinum!$E$41*'C botulinum'!J210+GraphBotulinum!$E$42</f>
        <v>1.1737792117623673</v>
      </c>
    </row>
    <row r="211" spans="1:21" x14ac:dyDescent="0.2">
      <c r="A211" s="1" t="s">
        <v>1228</v>
      </c>
      <c r="B211" s="1" t="s">
        <v>1234</v>
      </c>
      <c r="C211" s="1" t="s">
        <v>1397</v>
      </c>
      <c r="D211" s="1" t="s">
        <v>1359</v>
      </c>
      <c r="E211" s="1" t="s">
        <v>1361</v>
      </c>
      <c r="F211" s="1" t="s">
        <v>44</v>
      </c>
      <c r="G211" s="1" t="s">
        <v>1247</v>
      </c>
      <c r="H211" s="1"/>
      <c r="I211" s="5">
        <v>7</v>
      </c>
      <c r="J211" s="5">
        <v>110</v>
      </c>
      <c r="K211" s="9">
        <v>1.01</v>
      </c>
      <c r="L211" s="5">
        <v>9.1</v>
      </c>
      <c r="M211" s="11">
        <f t="shared" si="7"/>
        <v>4.3213737826425782E-3</v>
      </c>
      <c r="N211" s="12">
        <f>GraphBotulinum!$B$9-('C botulinum'!J211-GraphBotulinum!$B$5)/GraphBotulinum!$B$4</f>
        <v>0.19474027387554704</v>
      </c>
      <c r="O211" s="2" t="s">
        <v>1226</v>
      </c>
      <c r="P211" s="2">
        <v>1996</v>
      </c>
      <c r="Q211" s="2"/>
      <c r="T211" s="10">
        <f>GraphBotulinum!$B$41*'C botulinum'!J211+GraphBotulinum!$B$42</f>
        <v>-0.22820696921704764</v>
      </c>
      <c r="U211" s="10">
        <f>GraphBotulinum!$E$41*'C botulinum'!J211+GraphBotulinum!$E$42</f>
        <v>0.19474027387554749</v>
      </c>
    </row>
    <row r="212" spans="1:21" x14ac:dyDescent="0.2">
      <c r="A212" s="1" t="s">
        <v>1228</v>
      </c>
      <c r="B212" s="1" t="s">
        <v>1234</v>
      </c>
      <c r="C212" s="1" t="s">
        <v>1397</v>
      </c>
      <c r="D212" s="1" t="s">
        <v>1359</v>
      </c>
      <c r="E212" s="1" t="s">
        <v>1361</v>
      </c>
      <c r="F212" s="1" t="s">
        <v>44</v>
      </c>
      <c r="G212" s="1" t="s">
        <v>1247</v>
      </c>
      <c r="H212" s="1"/>
      <c r="I212" s="5">
        <v>7</v>
      </c>
      <c r="J212" s="5">
        <v>110</v>
      </c>
      <c r="K212" s="9">
        <v>0.88</v>
      </c>
      <c r="L212" s="5">
        <v>7.6</v>
      </c>
      <c r="M212" s="11">
        <f t="shared" si="7"/>
        <v>-5.551732784983137E-2</v>
      </c>
      <c r="N212" s="12">
        <f>GraphBotulinum!$B$9-('C botulinum'!J212-GraphBotulinum!$B$5)/GraphBotulinum!$B$4</f>
        <v>0.19474027387554704</v>
      </c>
      <c r="O212" s="2" t="s">
        <v>1226</v>
      </c>
      <c r="P212" s="2">
        <v>1996</v>
      </c>
      <c r="Q212" s="2"/>
      <c r="T212" s="10">
        <f>GraphBotulinum!$B$41*'C botulinum'!J212+GraphBotulinum!$B$42</f>
        <v>-0.22820696921704764</v>
      </c>
      <c r="U212" s="10">
        <f>GraphBotulinum!$E$41*'C botulinum'!J212+GraphBotulinum!$E$42</f>
        <v>0.19474027387554749</v>
      </c>
    </row>
    <row r="213" spans="1:21" x14ac:dyDescent="0.2">
      <c r="A213" s="1" t="s">
        <v>1228</v>
      </c>
      <c r="B213" s="1" t="s">
        <v>1234</v>
      </c>
      <c r="C213" s="1" t="s">
        <v>1397</v>
      </c>
      <c r="D213" s="1" t="s">
        <v>1359</v>
      </c>
      <c r="E213" s="1" t="s">
        <v>1361</v>
      </c>
      <c r="F213" s="1" t="s">
        <v>44</v>
      </c>
      <c r="G213" s="1" t="s">
        <v>1247</v>
      </c>
      <c r="H213" s="1"/>
      <c r="I213" s="5">
        <v>7</v>
      </c>
      <c r="J213" s="5">
        <v>110</v>
      </c>
      <c r="K213" s="9">
        <v>1.74</v>
      </c>
      <c r="L213" s="5">
        <v>10</v>
      </c>
      <c r="M213" s="11">
        <f t="shared" si="7"/>
        <v>0.24054924828259971</v>
      </c>
      <c r="N213" s="12">
        <f>GraphBotulinum!$B$9-('C botulinum'!J213-GraphBotulinum!$B$5)/GraphBotulinum!$B$4</f>
        <v>0.19474027387554704</v>
      </c>
      <c r="O213" s="2" t="s">
        <v>1226</v>
      </c>
      <c r="P213" s="2">
        <v>1996</v>
      </c>
      <c r="Q213" s="2"/>
      <c r="T213" s="10">
        <f>GraphBotulinum!$B$41*'C botulinum'!J213+GraphBotulinum!$B$42</f>
        <v>-0.22820696921704764</v>
      </c>
      <c r="U213" s="10">
        <f>GraphBotulinum!$E$41*'C botulinum'!J213+GraphBotulinum!$E$42</f>
        <v>0.19474027387554749</v>
      </c>
    </row>
    <row r="214" spans="1:21" x14ac:dyDescent="0.2">
      <c r="A214" s="1" t="s">
        <v>1228</v>
      </c>
      <c r="B214" s="1" t="s">
        <v>1234</v>
      </c>
      <c r="C214" s="1" t="s">
        <v>1397</v>
      </c>
      <c r="D214" s="1" t="s">
        <v>1359</v>
      </c>
      <c r="E214" s="1" t="s">
        <v>1361</v>
      </c>
      <c r="F214" s="1" t="s">
        <v>44</v>
      </c>
      <c r="G214" s="1" t="s">
        <v>1247</v>
      </c>
      <c r="H214" s="1"/>
      <c r="I214" s="5">
        <v>7</v>
      </c>
      <c r="J214" s="5">
        <v>110</v>
      </c>
      <c r="K214" s="9">
        <v>1.9</v>
      </c>
      <c r="L214" s="5">
        <v>8.1</v>
      </c>
      <c r="M214" s="11">
        <f t="shared" si="7"/>
        <v>0.27875360095282892</v>
      </c>
      <c r="N214" s="12">
        <f>GraphBotulinum!$B$9-('C botulinum'!J214-GraphBotulinum!$B$5)/GraphBotulinum!$B$4</f>
        <v>0.19474027387554704</v>
      </c>
      <c r="O214" s="2" t="s">
        <v>1226</v>
      </c>
      <c r="P214" s="2">
        <v>1996</v>
      </c>
      <c r="Q214" s="2"/>
      <c r="T214" s="10">
        <f>GraphBotulinum!$B$41*'C botulinum'!J214+GraphBotulinum!$B$42</f>
        <v>-0.22820696921704764</v>
      </c>
      <c r="U214" s="10">
        <f>GraphBotulinum!$E$41*'C botulinum'!J214+GraphBotulinum!$E$42</f>
        <v>0.19474027387554749</v>
      </c>
    </row>
    <row r="215" spans="1:21" x14ac:dyDescent="0.2">
      <c r="A215" s="1" t="s">
        <v>1228</v>
      </c>
      <c r="B215" s="1" t="s">
        <v>1234</v>
      </c>
      <c r="C215" s="1" t="s">
        <v>1397</v>
      </c>
      <c r="D215" s="1" t="s">
        <v>1359</v>
      </c>
      <c r="E215" s="1" t="s">
        <v>1361</v>
      </c>
      <c r="F215" s="1" t="s">
        <v>44</v>
      </c>
      <c r="G215" s="1" t="s">
        <v>1247</v>
      </c>
      <c r="H215" s="1"/>
      <c r="I215" s="5">
        <v>7</v>
      </c>
      <c r="J215" s="5">
        <v>110</v>
      </c>
      <c r="K215" s="9">
        <v>1.34</v>
      </c>
      <c r="L215" s="5">
        <v>9.8000000000000007</v>
      </c>
      <c r="M215" s="11">
        <f t="shared" si="7"/>
        <v>0.12710479836480765</v>
      </c>
      <c r="N215" s="12">
        <f>GraphBotulinum!$B$9-('C botulinum'!J215-GraphBotulinum!$B$5)/GraphBotulinum!$B$4</f>
        <v>0.19474027387554704</v>
      </c>
      <c r="O215" s="2" t="s">
        <v>1226</v>
      </c>
      <c r="P215" s="2">
        <v>1996</v>
      </c>
      <c r="Q215" s="2"/>
      <c r="T215" s="10">
        <f>GraphBotulinum!$B$41*'C botulinum'!J215+GraphBotulinum!$B$42</f>
        <v>-0.22820696921704764</v>
      </c>
      <c r="U215" s="10">
        <f>GraphBotulinum!$E$41*'C botulinum'!J215+GraphBotulinum!$E$42</f>
        <v>0.19474027387554749</v>
      </c>
    </row>
    <row r="216" spans="1:21" x14ac:dyDescent="0.2">
      <c r="A216" s="1" t="s">
        <v>1228</v>
      </c>
      <c r="B216" s="1" t="s">
        <v>1234</v>
      </c>
      <c r="C216" s="1" t="s">
        <v>1397</v>
      </c>
      <c r="D216" s="1" t="s">
        <v>1359</v>
      </c>
      <c r="E216" s="1" t="s">
        <v>1361</v>
      </c>
      <c r="F216" s="1" t="s">
        <v>44</v>
      </c>
      <c r="G216" s="1" t="s">
        <v>1247</v>
      </c>
      <c r="H216" s="1"/>
      <c r="I216" s="5">
        <v>7</v>
      </c>
      <c r="J216" s="5">
        <v>115</v>
      </c>
      <c r="K216" s="9">
        <v>0.28000000000000003</v>
      </c>
      <c r="L216" s="5">
        <v>7.6</v>
      </c>
      <c r="M216" s="11">
        <f t="shared" si="7"/>
        <v>-0.55284196865778079</v>
      </c>
      <c r="N216" s="12">
        <f>GraphBotulinum!$B$9-('C botulinum'!J216-GraphBotulinum!$B$5)/GraphBotulinum!$B$4</f>
        <v>-0.29477919506786265</v>
      </c>
      <c r="O216" s="2" t="s">
        <v>1226</v>
      </c>
      <c r="P216" s="2">
        <v>1996</v>
      </c>
      <c r="Q216" s="2"/>
      <c r="T216" s="10">
        <f>GraphBotulinum!$B$41*'C botulinum'!J216+GraphBotulinum!$B$42</f>
        <v>-0.39975037467501506</v>
      </c>
      <c r="U216" s="10">
        <f>GraphBotulinum!$E$41*'C botulinum'!J216+GraphBotulinum!$E$42</f>
        <v>-0.29477919506786243</v>
      </c>
    </row>
    <row r="217" spans="1:21" x14ac:dyDescent="0.2">
      <c r="A217" s="1" t="s">
        <v>1228</v>
      </c>
      <c r="B217" s="1" t="s">
        <v>1234</v>
      </c>
      <c r="C217" s="1" t="s">
        <v>1397</v>
      </c>
      <c r="D217" s="1" t="s">
        <v>1359</v>
      </c>
      <c r="E217" s="1" t="s">
        <v>1361</v>
      </c>
      <c r="F217" s="1" t="s">
        <v>44</v>
      </c>
      <c r="G217" s="1" t="s">
        <v>1247</v>
      </c>
      <c r="H217" s="1"/>
      <c r="I217" s="5">
        <v>7</v>
      </c>
      <c r="J217" s="5">
        <v>115</v>
      </c>
      <c r="K217" s="9">
        <v>0.49</v>
      </c>
      <c r="L217" s="5">
        <v>9.8000000000000007</v>
      </c>
      <c r="M217" s="11">
        <f t="shared" si="7"/>
        <v>-0.30980391997148632</v>
      </c>
      <c r="N217" s="12">
        <f>GraphBotulinum!$B$9-('C botulinum'!J217-GraphBotulinum!$B$5)/GraphBotulinum!$B$4</f>
        <v>-0.29477919506786265</v>
      </c>
      <c r="O217" s="2" t="s">
        <v>1226</v>
      </c>
      <c r="P217" s="2">
        <v>1996</v>
      </c>
      <c r="Q217" s="2"/>
      <c r="T217" s="10">
        <f>GraphBotulinum!$B$41*'C botulinum'!J217+GraphBotulinum!$B$42</f>
        <v>-0.39975037467501506</v>
      </c>
      <c r="U217" s="10">
        <f>GraphBotulinum!$E$41*'C botulinum'!J217+GraphBotulinum!$E$42</f>
        <v>-0.29477919506786243</v>
      </c>
    </row>
    <row r="218" spans="1:21" x14ac:dyDescent="0.2">
      <c r="A218" s="1" t="s">
        <v>1228</v>
      </c>
      <c r="B218" s="1" t="s">
        <v>1234</v>
      </c>
      <c r="C218" s="1" t="s">
        <v>1397</v>
      </c>
      <c r="D218" s="1" t="s">
        <v>1359</v>
      </c>
      <c r="E218" s="1" t="s">
        <v>1361</v>
      </c>
      <c r="F218" s="1" t="s">
        <v>44</v>
      </c>
      <c r="G218" s="1" t="s">
        <v>1247</v>
      </c>
      <c r="H218" s="1"/>
      <c r="I218" s="5">
        <v>7</v>
      </c>
      <c r="J218" s="5">
        <v>115</v>
      </c>
      <c r="K218" s="9">
        <v>0.31</v>
      </c>
      <c r="L218" s="5">
        <v>9.8000000000000007</v>
      </c>
      <c r="M218" s="11">
        <f t="shared" si="7"/>
        <v>-0.50863830616572736</v>
      </c>
      <c r="N218" s="12">
        <f>GraphBotulinum!$B$9-('C botulinum'!J218-GraphBotulinum!$B$5)/GraphBotulinum!$B$4</f>
        <v>-0.29477919506786265</v>
      </c>
      <c r="O218" s="2" t="s">
        <v>1226</v>
      </c>
      <c r="P218" s="2">
        <v>1996</v>
      </c>
      <c r="Q218" s="2"/>
      <c r="T218" s="10">
        <f>GraphBotulinum!$B$41*'C botulinum'!J218+GraphBotulinum!$B$42</f>
        <v>-0.39975037467501506</v>
      </c>
      <c r="U218" s="10">
        <f>GraphBotulinum!$E$41*'C botulinum'!J218+GraphBotulinum!$E$42</f>
        <v>-0.29477919506786243</v>
      </c>
    </row>
    <row r="219" spans="1:21" x14ac:dyDescent="0.2">
      <c r="A219" s="1" t="s">
        <v>1228</v>
      </c>
      <c r="B219" s="1" t="s">
        <v>1234</v>
      </c>
      <c r="C219" s="1" t="s">
        <v>1397</v>
      </c>
      <c r="D219" s="1" t="s">
        <v>1359</v>
      </c>
      <c r="E219" s="1" t="s">
        <v>1361</v>
      </c>
      <c r="F219" s="1" t="s">
        <v>44</v>
      </c>
      <c r="G219" s="1" t="s">
        <v>1247</v>
      </c>
      <c r="H219" s="1"/>
      <c r="I219" s="5">
        <v>7</v>
      </c>
      <c r="J219" s="5">
        <v>115</v>
      </c>
      <c r="K219" s="9">
        <v>1.0900000000000001</v>
      </c>
      <c r="L219" s="5">
        <v>9.8000000000000007</v>
      </c>
      <c r="M219" s="11">
        <f t="shared" si="7"/>
        <v>3.7426497940623665E-2</v>
      </c>
      <c r="N219" s="12">
        <f>GraphBotulinum!$B$9-('C botulinum'!J219-GraphBotulinum!$B$5)/GraphBotulinum!$B$4</f>
        <v>-0.29477919506786265</v>
      </c>
      <c r="O219" s="2" t="s">
        <v>1226</v>
      </c>
      <c r="P219" s="2">
        <v>1996</v>
      </c>
      <c r="Q219" s="2"/>
      <c r="T219" s="10">
        <f>GraphBotulinum!$B$41*'C botulinum'!J219+GraphBotulinum!$B$42</f>
        <v>-0.39975037467501506</v>
      </c>
      <c r="U219" s="10">
        <f>GraphBotulinum!$E$41*'C botulinum'!J219+GraphBotulinum!$E$42</f>
        <v>-0.29477919506786243</v>
      </c>
    </row>
    <row r="220" spans="1:21" x14ac:dyDescent="0.2">
      <c r="A220" s="1" t="s">
        <v>1228</v>
      </c>
      <c r="B220" s="1" t="s">
        <v>1234</v>
      </c>
      <c r="C220" s="1" t="s">
        <v>1397</v>
      </c>
      <c r="D220" s="1" t="s">
        <v>1359</v>
      </c>
      <c r="E220" s="1" t="s">
        <v>1361</v>
      </c>
      <c r="F220" s="1" t="s">
        <v>44</v>
      </c>
      <c r="G220" s="1" t="s">
        <v>1247</v>
      </c>
      <c r="H220" s="1"/>
      <c r="I220" s="5">
        <v>7</v>
      </c>
      <c r="J220" s="5">
        <v>115.6</v>
      </c>
      <c r="K220" s="9">
        <v>0.23</v>
      </c>
      <c r="L220" s="5">
        <v>9.1</v>
      </c>
      <c r="M220" s="11">
        <f t="shared" si="7"/>
        <v>-0.63827216398240705</v>
      </c>
      <c r="N220" s="12">
        <f>GraphBotulinum!$B$9-('C botulinum'!J220-GraphBotulinum!$B$5)/GraphBotulinum!$B$4</f>
        <v>-0.35352153134107128</v>
      </c>
      <c r="O220" s="2" t="s">
        <v>1226</v>
      </c>
      <c r="P220" s="2">
        <v>1996</v>
      </c>
      <c r="Q220" s="2"/>
      <c r="T220" s="10">
        <f>GraphBotulinum!$B$41*'C botulinum'!J220+GraphBotulinum!$B$42</f>
        <v>-0.42033558332997112</v>
      </c>
      <c r="U220" s="10">
        <f>GraphBotulinum!$E$41*'C botulinum'!J220+GraphBotulinum!$E$42</f>
        <v>-0.35352153134106956</v>
      </c>
    </row>
    <row r="221" spans="1:21" x14ac:dyDescent="0.2">
      <c r="A221" s="1" t="s">
        <v>1228</v>
      </c>
      <c r="B221" s="1" t="s">
        <v>1234</v>
      </c>
      <c r="C221" s="1" t="s">
        <v>1397</v>
      </c>
      <c r="D221" s="1" t="s">
        <v>1359</v>
      </c>
      <c r="E221" s="1" t="s">
        <v>1361</v>
      </c>
      <c r="F221" s="1" t="s">
        <v>44</v>
      </c>
      <c r="G221" s="1" t="s">
        <v>1247</v>
      </c>
      <c r="H221" s="1"/>
      <c r="I221" s="5">
        <v>7</v>
      </c>
      <c r="J221" s="5">
        <v>115.6</v>
      </c>
      <c r="K221" s="9">
        <v>0.34</v>
      </c>
      <c r="L221" s="5"/>
      <c r="M221" s="11">
        <f t="shared" si="7"/>
        <v>-0.46852108295774486</v>
      </c>
      <c r="N221" s="12">
        <f>GraphBotulinum!$B$9-('C botulinum'!J221-GraphBotulinum!$B$5)/GraphBotulinum!$B$4</f>
        <v>-0.35352153134107128</v>
      </c>
      <c r="O221" s="2" t="s">
        <v>1226</v>
      </c>
      <c r="P221" s="2">
        <v>1996</v>
      </c>
      <c r="Q221" s="2"/>
      <c r="T221" s="10">
        <f>GraphBotulinum!$B$41*'C botulinum'!J221+GraphBotulinum!$B$42</f>
        <v>-0.42033558332997112</v>
      </c>
      <c r="U221" s="10">
        <f>GraphBotulinum!$E$41*'C botulinum'!J221+GraphBotulinum!$E$42</f>
        <v>-0.35352153134106956</v>
      </c>
    </row>
    <row r="222" spans="1:21" x14ac:dyDescent="0.2">
      <c r="A222" s="1" t="s">
        <v>1228</v>
      </c>
      <c r="B222" s="1" t="s">
        <v>1234</v>
      </c>
      <c r="C222" s="1" t="s">
        <v>1397</v>
      </c>
      <c r="D222" s="1" t="s">
        <v>1359</v>
      </c>
      <c r="E222" s="1" t="s">
        <v>1361</v>
      </c>
      <c r="F222" s="1" t="s">
        <v>44</v>
      </c>
      <c r="G222" s="1" t="s">
        <v>1247</v>
      </c>
      <c r="H222" s="1"/>
      <c r="I222" s="5">
        <v>7</v>
      </c>
      <c r="J222" s="5">
        <v>115.6</v>
      </c>
      <c r="K222" s="9">
        <v>0.77</v>
      </c>
      <c r="L222" s="5"/>
      <c r="M222" s="11">
        <f t="shared" si="7"/>
        <v>-0.11350927482751812</v>
      </c>
      <c r="N222" s="12">
        <f>GraphBotulinum!$B$9-('C botulinum'!J222-GraphBotulinum!$B$5)/GraphBotulinum!$B$4</f>
        <v>-0.35352153134107128</v>
      </c>
      <c r="O222" s="2" t="s">
        <v>1226</v>
      </c>
      <c r="P222" s="2">
        <v>1996</v>
      </c>
      <c r="Q222" s="2"/>
      <c r="T222" s="10">
        <f>GraphBotulinum!$B$41*'C botulinum'!J222+GraphBotulinum!$B$42</f>
        <v>-0.42033558332997112</v>
      </c>
      <c r="U222" s="10">
        <f>GraphBotulinum!$E$41*'C botulinum'!J222+GraphBotulinum!$E$42</f>
        <v>-0.35352153134106956</v>
      </c>
    </row>
    <row r="223" spans="1:21" x14ac:dyDescent="0.2">
      <c r="A223" s="1" t="s">
        <v>1228</v>
      </c>
      <c r="B223" s="1" t="s">
        <v>1234</v>
      </c>
      <c r="C223" s="1" t="s">
        <v>1397</v>
      </c>
      <c r="D223" s="1" t="s">
        <v>1359</v>
      </c>
      <c r="E223" s="1" t="s">
        <v>1361</v>
      </c>
      <c r="F223" s="1" t="s">
        <v>44</v>
      </c>
      <c r="G223" s="1" t="s">
        <v>1247</v>
      </c>
      <c r="H223" s="1"/>
      <c r="I223" s="5">
        <v>7</v>
      </c>
      <c r="J223" s="5">
        <v>121</v>
      </c>
      <c r="K223" s="9">
        <v>0.13</v>
      </c>
      <c r="L223" s="5">
        <v>10.4</v>
      </c>
      <c r="M223" s="11">
        <f t="shared" si="7"/>
        <v>-0.88605664769316317</v>
      </c>
      <c r="N223" s="12">
        <f>GraphBotulinum!$B$9-('C botulinum'!J223-GraphBotulinum!$B$5)/GraphBotulinum!$B$4</f>
        <v>-0.88220255779995427</v>
      </c>
      <c r="O223" s="2" t="s">
        <v>1226</v>
      </c>
      <c r="P223" s="2">
        <v>1996</v>
      </c>
      <c r="Q223" s="2"/>
      <c r="T223" s="10">
        <f>GraphBotulinum!$B$41*'C botulinum'!J223+GraphBotulinum!$B$42</f>
        <v>-0.60560246122457606</v>
      </c>
      <c r="U223" s="10">
        <f>GraphBotulinum!$E$41*'C botulinum'!J223+GraphBotulinum!$E$42</f>
        <v>-0.88220255779995327</v>
      </c>
    </row>
    <row r="224" spans="1:21" x14ac:dyDescent="0.2">
      <c r="A224" s="1" t="s">
        <v>1228</v>
      </c>
      <c r="B224" s="1" t="s">
        <v>1234</v>
      </c>
      <c r="C224" s="1" t="s">
        <v>1397</v>
      </c>
      <c r="D224" s="1" t="s">
        <v>1359</v>
      </c>
      <c r="E224" s="1" t="s">
        <v>1361</v>
      </c>
      <c r="F224" s="1" t="s">
        <v>44</v>
      </c>
      <c r="G224" s="1" t="s">
        <v>1247</v>
      </c>
      <c r="H224" s="1"/>
      <c r="I224" s="5">
        <v>7</v>
      </c>
      <c r="J224" s="5">
        <v>121.1</v>
      </c>
      <c r="K224" s="9">
        <v>5.0999999999999997E-2</v>
      </c>
      <c r="L224" s="5">
        <v>9.1</v>
      </c>
      <c r="M224" s="11">
        <f t="shared" si="7"/>
        <v>-1.2924298239020637</v>
      </c>
      <c r="N224" s="12">
        <f>GraphBotulinum!$B$9-('C botulinum'!J224-GraphBotulinum!$B$5)/GraphBotulinum!$B$4</f>
        <v>-0.89199294717882194</v>
      </c>
      <c r="O224" s="2" t="s">
        <v>1226</v>
      </c>
      <c r="P224" s="2">
        <v>1996</v>
      </c>
      <c r="Q224" s="2"/>
      <c r="T224" s="10">
        <f>GraphBotulinum!$B$41*'C botulinum'!J224+GraphBotulinum!$B$42</f>
        <v>-0.60903332933373555</v>
      </c>
      <c r="U224" s="10">
        <f>GraphBotulinum!$E$41*'C botulinum'!J224+GraphBotulinum!$E$42</f>
        <v>-0.89199294717882083</v>
      </c>
    </row>
    <row r="225" spans="1:21" x14ac:dyDescent="0.2">
      <c r="A225" s="1" t="s">
        <v>1228</v>
      </c>
      <c r="B225" s="1" t="s">
        <v>1234</v>
      </c>
      <c r="C225" s="1" t="s">
        <v>1398</v>
      </c>
      <c r="D225" s="1" t="s">
        <v>1359</v>
      </c>
      <c r="E225" s="1" t="s">
        <v>1361</v>
      </c>
      <c r="F225" s="1" t="s">
        <v>44</v>
      </c>
      <c r="G225" s="1" t="s">
        <v>1247</v>
      </c>
      <c r="H225" s="1"/>
      <c r="I225" s="5">
        <v>7</v>
      </c>
      <c r="J225" s="5">
        <v>130</v>
      </c>
      <c r="K225" s="9">
        <v>5.3E-3</v>
      </c>
      <c r="L225" s="5"/>
      <c r="M225" s="11">
        <f t="shared" si="7"/>
        <v>-2.2757241303992108</v>
      </c>
      <c r="N225" s="12">
        <f>GraphBotulinum!$B$9-('C botulinum'!J225-GraphBotulinum!$B$5)/GraphBotulinum!$B$4</f>
        <v>-1.7633376018980917</v>
      </c>
      <c r="O225" s="2" t="s">
        <v>1226</v>
      </c>
      <c r="P225" s="2">
        <v>1996</v>
      </c>
      <c r="Q225" s="2"/>
      <c r="T225" s="10">
        <f>GraphBotulinum!$B$41*'C botulinum'!J225+GraphBotulinum!$B$42</f>
        <v>-0.91438059104891778</v>
      </c>
      <c r="U225" s="10">
        <f>GraphBotulinum!$E$41*'C botulinum'!J225+GraphBotulinum!$E$42</f>
        <v>-1.7633376018980904</v>
      </c>
    </row>
    <row r="226" spans="1:21" x14ac:dyDescent="0.2">
      <c r="A226" s="1" t="s">
        <v>1228</v>
      </c>
      <c r="B226" s="1" t="s">
        <v>1234</v>
      </c>
      <c r="C226" s="1" t="s">
        <v>1398</v>
      </c>
      <c r="D226" s="1" t="s">
        <v>1359</v>
      </c>
      <c r="E226" s="1" t="s">
        <v>1361</v>
      </c>
      <c r="F226" s="1" t="s">
        <v>44</v>
      </c>
      <c r="G226" s="1" t="s">
        <v>1247</v>
      </c>
      <c r="H226" s="1"/>
      <c r="I226" s="5">
        <v>7</v>
      </c>
      <c r="J226" s="5">
        <v>130</v>
      </c>
      <c r="K226" s="9">
        <v>1.7000000000000001E-2</v>
      </c>
      <c r="L226" s="5"/>
      <c r="M226" s="11">
        <f t="shared" si="7"/>
        <v>-1.7695510786217261</v>
      </c>
      <c r="N226" s="12">
        <f>GraphBotulinum!$B$9-('C botulinum'!J226-GraphBotulinum!$B$5)/GraphBotulinum!$B$4</f>
        <v>-1.7633376018980917</v>
      </c>
      <c r="O226" s="2" t="s">
        <v>1226</v>
      </c>
      <c r="P226" s="2">
        <v>1996</v>
      </c>
      <c r="Q226" s="2"/>
      <c r="T226" s="10">
        <f>GraphBotulinum!$B$41*'C botulinum'!J226+GraphBotulinum!$B$42</f>
        <v>-0.91438059104891778</v>
      </c>
      <c r="U226" s="10">
        <f>GraphBotulinum!$E$41*'C botulinum'!J226+GraphBotulinum!$E$42</f>
        <v>-1.7633376018980904</v>
      </c>
    </row>
    <row r="227" spans="1:21" x14ac:dyDescent="0.2">
      <c r="A227" s="1" t="s">
        <v>1228</v>
      </c>
      <c r="B227" s="1" t="s">
        <v>1234</v>
      </c>
      <c r="C227" s="1" t="s">
        <v>1401</v>
      </c>
      <c r="D227" s="1" t="s">
        <v>1359</v>
      </c>
      <c r="E227" s="1" t="s">
        <v>1361</v>
      </c>
      <c r="F227" s="1" t="s">
        <v>44</v>
      </c>
      <c r="G227" s="1" t="s">
        <v>1247</v>
      </c>
      <c r="H227" s="1"/>
      <c r="I227" s="5">
        <v>7</v>
      </c>
      <c r="J227" s="5">
        <v>110</v>
      </c>
      <c r="K227" s="9">
        <v>4.29</v>
      </c>
      <c r="L227" s="5">
        <v>9.43</v>
      </c>
      <c r="M227" s="11">
        <f t="shared" si="7"/>
        <v>0.63245729218472424</v>
      </c>
      <c r="N227" s="12">
        <f>GraphBotulinum!$B$9-('C botulinum'!J227-GraphBotulinum!$B$5)/GraphBotulinum!$B$4</f>
        <v>0.19474027387554704</v>
      </c>
      <c r="O227" s="2" t="s">
        <v>1226</v>
      </c>
      <c r="P227" s="2">
        <v>1996</v>
      </c>
      <c r="Q227" s="2"/>
      <c r="T227" s="10">
        <f>GraphBotulinum!$B$41*'C botulinum'!J227+GraphBotulinum!$B$42</f>
        <v>-0.22820696921704764</v>
      </c>
      <c r="U227" s="10">
        <f>GraphBotulinum!$E$41*'C botulinum'!J227+GraphBotulinum!$E$42</f>
        <v>0.19474027387554749</v>
      </c>
    </row>
    <row r="228" spans="1:21" x14ac:dyDescent="0.2">
      <c r="A228" s="1" t="s">
        <v>1228</v>
      </c>
      <c r="B228" s="1" t="s">
        <v>1234</v>
      </c>
      <c r="C228" s="1" t="s">
        <v>1401</v>
      </c>
      <c r="D228" s="1" t="s">
        <v>1359</v>
      </c>
      <c r="E228" s="1" t="s">
        <v>1361</v>
      </c>
      <c r="F228" s="1" t="s">
        <v>44</v>
      </c>
      <c r="G228" s="1" t="s">
        <v>1247</v>
      </c>
      <c r="H228" s="1"/>
      <c r="I228" s="5">
        <v>7</v>
      </c>
      <c r="J228" s="5">
        <v>110</v>
      </c>
      <c r="K228" s="9">
        <v>4.47</v>
      </c>
      <c r="L228" s="5">
        <v>9.43</v>
      </c>
      <c r="M228" s="11">
        <f t="shared" si="7"/>
        <v>0.6503075231319364</v>
      </c>
      <c r="N228" s="12">
        <f>GraphBotulinum!$B$9-('C botulinum'!J228-GraphBotulinum!$B$5)/GraphBotulinum!$B$4</f>
        <v>0.19474027387554704</v>
      </c>
      <c r="O228" s="2" t="s">
        <v>1226</v>
      </c>
      <c r="P228" s="2">
        <v>1996</v>
      </c>
      <c r="Q228" s="2"/>
      <c r="T228" s="10">
        <f>GraphBotulinum!$B$41*'C botulinum'!J228+GraphBotulinum!$B$42</f>
        <v>-0.22820696921704764</v>
      </c>
      <c r="U228" s="10">
        <f>GraphBotulinum!$E$41*'C botulinum'!J228+GraphBotulinum!$E$42</f>
        <v>0.19474027387554749</v>
      </c>
    </row>
    <row r="229" spans="1:21" x14ac:dyDescent="0.2">
      <c r="A229" s="1" t="s">
        <v>1228</v>
      </c>
      <c r="B229" s="1" t="s">
        <v>1234</v>
      </c>
      <c r="C229" s="1" t="s">
        <v>1399</v>
      </c>
      <c r="D229" s="1" t="s">
        <v>1359</v>
      </c>
      <c r="E229" s="1" t="s">
        <v>1361</v>
      </c>
      <c r="F229" s="1" t="s">
        <v>44</v>
      </c>
      <c r="G229" s="1" t="s">
        <v>1247</v>
      </c>
      <c r="H229" s="1"/>
      <c r="I229" s="5">
        <v>7</v>
      </c>
      <c r="J229" s="5">
        <v>110</v>
      </c>
      <c r="K229" s="9">
        <v>1.6</v>
      </c>
      <c r="L229" s="5">
        <v>9.1999999999999993</v>
      </c>
      <c r="M229" s="11">
        <f t="shared" si="7"/>
        <v>0.20411998265592479</v>
      </c>
      <c r="N229" s="12">
        <f>GraphBotulinum!$B$9-('C botulinum'!J229-GraphBotulinum!$B$5)/GraphBotulinum!$B$4</f>
        <v>0.19474027387554704</v>
      </c>
      <c r="O229" s="2" t="s">
        <v>1226</v>
      </c>
      <c r="P229" s="2">
        <v>1996</v>
      </c>
      <c r="Q229" s="2"/>
      <c r="T229" s="10">
        <f>GraphBotulinum!$B$41*'C botulinum'!J229+GraphBotulinum!$B$42</f>
        <v>-0.22820696921704764</v>
      </c>
      <c r="U229" s="10">
        <f>GraphBotulinum!$E$41*'C botulinum'!J229+GraphBotulinum!$E$42</f>
        <v>0.19474027387554749</v>
      </c>
    </row>
    <row r="230" spans="1:21" x14ac:dyDescent="0.2">
      <c r="A230" s="1" t="s">
        <v>1228</v>
      </c>
      <c r="B230" s="1" t="s">
        <v>1234</v>
      </c>
      <c r="C230" s="1" t="s">
        <v>1400</v>
      </c>
      <c r="D230" s="1" t="s">
        <v>1359</v>
      </c>
      <c r="E230" s="1" t="s">
        <v>1361</v>
      </c>
      <c r="F230" s="1" t="s">
        <v>44</v>
      </c>
      <c r="G230" s="1" t="s">
        <v>1247</v>
      </c>
      <c r="H230" s="1"/>
      <c r="I230" s="5">
        <v>7</v>
      </c>
      <c r="J230" s="5">
        <v>110</v>
      </c>
      <c r="K230" s="9">
        <v>1.7</v>
      </c>
      <c r="L230" s="5">
        <v>10.6</v>
      </c>
      <c r="M230" s="11">
        <f t="shared" si="7"/>
        <v>0.23044892137827391</v>
      </c>
      <c r="N230" s="12">
        <f>GraphBotulinum!$B$9-('C botulinum'!J230-GraphBotulinum!$B$5)/GraphBotulinum!$B$4</f>
        <v>0.19474027387554704</v>
      </c>
      <c r="O230" s="2" t="s">
        <v>1226</v>
      </c>
      <c r="P230" s="2">
        <v>1996</v>
      </c>
      <c r="Q230" s="2"/>
      <c r="T230" s="10">
        <f>GraphBotulinum!$B$41*'C botulinum'!J230+GraphBotulinum!$B$42</f>
        <v>-0.22820696921704764</v>
      </c>
      <c r="U230" s="10">
        <f>GraphBotulinum!$E$41*'C botulinum'!J230+GraphBotulinum!$E$42</f>
        <v>0.19474027387554749</v>
      </c>
    </row>
    <row r="231" spans="1:21" x14ac:dyDescent="0.2">
      <c r="A231" s="1" t="s">
        <v>1228</v>
      </c>
      <c r="B231" s="1" t="s">
        <v>1234</v>
      </c>
      <c r="C231" s="1" t="s">
        <v>1400</v>
      </c>
      <c r="D231" s="1" t="s">
        <v>1359</v>
      </c>
      <c r="E231" s="1" t="s">
        <v>1361</v>
      </c>
      <c r="F231" s="1" t="s">
        <v>44</v>
      </c>
      <c r="G231" s="1" t="s">
        <v>1247</v>
      </c>
      <c r="H231" s="1"/>
      <c r="I231" s="5">
        <v>7</v>
      </c>
      <c r="J231" s="5">
        <v>115</v>
      </c>
      <c r="K231" s="9">
        <v>0.8</v>
      </c>
      <c r="L231" s="5">
        <v>10.6</v>
      </c>
      <c r="M231" s="11">
        <f t="shared" si="7"/>
        <v>-9.6910013008056392E-2</v>
      </c>
      <c r="N231" s="12">
        <f>GraphBotulinum!$B$9-('C botulinum'!J231-GraphBotulinum!$B$5)/GraphBotulinum!$B$4</f>
        <v>-0.29477919506786265</v>
      </c>
      <c r="O231" s="2" t="s">
        <v>1226</v>
      </c>
      <c r="P231" s="2">
        <v>1996</v>
      </c>
      <c r="Q231" s="2"/>
      <c r="T231" s="10">
        <f>GraphBotulinum!$B$41*'C botulinum'!J231+GraphBotulinum!$B$42</f>
        <v>-0.39975037467501506</v>
      </c>
      <c r="U231" s="10">
        <f>GraphBotulinum!$E$41*'C botulinum'!J231+GraphBotulinum!$E$42</f>
        <v>-0.29477919506786243</v>
      </c>
    </row>
    <row r="232" spans="1:21" x14ac:dyDescent="0.2">
      <c r="A232" s="1" t="s">
        <v>1228</v>
      </c>
      <c r="B232" s="1" t="s">
        <v>1234</v>
      </c>
      <c r="C232" s="1" t="s">
        <v>1397</v>
      </c>
      <c r="D232" s="1" t="s">
        <v>1359</v>
      </c>
      <c r="E232" s="1" t="s">
        <v>1361</v>
      </c>
      <c r="F232" s="1" t="s">
        <v>47</v>
      </c>
      <c r="G232" s="1" t="s">
        <v>1282</v>
      </c>
      <c r="H232" s="1"/>
      <c r="I232" s="5">
        <v>7</v>
      </c>
      <c r="J232" s="5">
        <v>110</v>
      </c>
      <c r="K232" s="9">
        <v>2.37</v>
      </c>
      <c r="L232" s="5">
        <v>8.6</v>
      </c>
      <c r="M232" s="11">
        <f t="shared" si="7"/>
        <v>0.37474834601010387</v>
      </c>
      <c r="N232" s="12">
        <f>GraphBotulinum!$B$9-('C botulinum'!J232-GraphBotulinum!$B$5)/GraphBotulinum!$B$4</f>
        <v>0.19474027387554704</v>
      </c>
      <c r="O232" s="2" t="s">
        <v>1226</v>
      </c>
      <c r="P232" s="2">
        <v>1996</v>
      </c>
      <c r="Q232" s="2" t="s">
        <v>1402</v>
      </c>
      <c r="T232" s="10">
        <f>GraphBotulinum!$B$41*'C botulinum'!J232+GraphBotulinum!$B$42</f>
        <v>-0.22820696921704764</v>
      </c>
      <c r="U232" s="10">
        <f>GraphBotulinum!$E$41*'C botulinum'!J232+GraphBotulinum!$E$42</f>
        <v>0.19474027387554749</v>
      </c>
    </row>
    <row r="233" spans="1:21" x14ac:dyDescent="0.2">
      <c r="A233" s="1" t="s">
        <v>1228</v>
      </c>
      <c r="B233" s="1" t="s">
        <v>1234</v>
      </c>
      <c r="C233" s="1" t="s">
        <v>1397</v>
      </c>
      <c r="D233" s="1" t="s">
        <v>1359</v>
      </c>
      <c r="E233" s="1" t="s">
        <v>1361</v>
      </c>
      <c r="F233" s="1" t="s">
        <v>47</v>
      </c>
      <c r="G233" s="1" t="s">
        <v>1282</v>
      </c>
      <c r="H233" s="1"/>
      <c r="I233" s="5">
        <v>7</v>
      </c>
      <c r="J233" s="5">
        <v>115.6</v>
      </c>
      <c r="K233" s="9">
        <v>0.55000000000000004</v>
      </c>
      <c r="L233" s="5">
        <v>8.6</v>
      </c>
      <c r="M233" s="11">
        <f t="shared" si="7"/>
        <v>-0.25963731050575611</v>
      </c>
      <c r="N233" s="12">
        <f>GraphBotulinum!$B$9-('C botulinum'!J233-GraphBotulinum!$B$5)/GraphBotulinum!$B$4</f>
        <v>-0.35352153134107128</v>
      </c>
      <c r="O233" s="2" t="s">
        <v>1226</v>
      </c>
      <c r="P233" s="2">
        <v>1996</v>
      </c>
      <c r="Q233" s="2" t="s">
        <v>1402</v>
      </c>
      <c r="T233" s="10">
        <f>GraphBotulinum!$B$41*'C botulinum'!J233+GraphBotulinum!$B$42</f>
        <v>-0.42033558332997112</v>
      </c>
      <c r="U233" s="10">
        <f>GraphBotulinum!$E$41*'C botulinum'!J233+GraphBotulinum!$E$42</f>
        <v>-0.35352153134106956</v>
      </c>
    </row>
    <row r="234" spans="1:21" x14ac:dyDescent="0.2">
      <c r="A234" s="1" t="s">
        <v>1228</v>
      </c>
      <c r="B234" s="1" t="s">
        <v>1234</v>
      </c>
      <c r="C234" s="1" t="s">
        <v>1397</v>
      </c>
      <c r="D234" s="1" t="s">
        <v>1359</v>
      </c>
      <c r="E234" s="1" t="s">
        <v>1361</v>
      </c>
      <c r="F234" s="1" t="s">
        <v>47</v>
      </c>
      <c r="G234" s="1" t="s">
        <v>1242</v>
      </c>
      <c r="H234" s="1"/>
      <c r="I234" s="5">
        <v>7</v>
      </c>
      <c r="J234" s="5">
        <v>115.6</v>
      </c>
      <c r="K234" s="9">
        <v>0.52</v>
      </c>
      <c r="L234" s="5">
        <v>8.3000000000000007</v>
      </c>
      <c r="M234" s="11">
        <f t="shared" si="7"/>
        <v>-0.28399665636520083</v>
      </c>
      <c r="N234" s="12">
        <f>GraphBotulinum!$B$9-('C botulinum'!J234-GraphBotulinum!$B$5)/GraphBotulinum!$B$4</f>
        <v>-0.35352153134107128</v>
      </c>
      <c r="O234" s="2" t="s">
        <v>1226</v>
      </c>
      <c r="P234" s="2">
        <v>1996</v>
      </c>
      <c r="Q234" s="2" t="s">
        <v>1402</v>
      </c>
      <c r="T234" s="10">
        <f>GraphBotulinum!$B$41*'C botulinum'!J234+GraphBotulinum!$B$42</f>
        <v>-0.42033558332997112</v>
      </c>
      <c r="U234" s="10">
        <f>GraphBotulinum!$E$41*'C botulinum'!J234+GraphBotulinum!$E$42</f>
        <v>-0.35352153134106956</v>
      </c>
    </row>
    <row r="235" spans="1:21" x14ac:dyDescent="0.2">
      <c r="A235" s="1" t="s">
        <v>1228</v>
      </c>
      <c r="B235" s="1" t="s">
        <v>1234</v>
      </c>
      <c r="C235" s="1" t="s">
        <v>1397</v>
      </c>
      <c r="D235" s="1" t="s">
        <v>1359</v>
      </c>
      <c r="E235" s="1" t="s">
        <v>1361</v>
      </c>
      <c r="F235" s="1" t="s">
        <v>43</v>
      </c>
      <c r="G235" s="1" t="s">
        <v>1272</v>
      </c>
      <c r="H235" s="1" t="s">
        <v>1270</v>
      </c>
      <c r="I235" s="5">
        <v>5.37</v>
      </c>
      <c r="J235" s="5">
        <v>100</v>
      </c>
      <c r="K235" s="9">
        <v>14.65</v>
      </c>
      <c r="L235" s="5">
        <v>8.4</v>
      </c>
      <c r="M235" s="11">
        <f t="shared" si="7"/>
        <v>1.1658376246901283</v>
      </c>
      <c r="N235" s="12">
        <f>GraphBotulinum!$B$9-('C botulinum'!J235-GraphBotulinum!$B$5)/GraphBotulinum!$B$4</f>
        <v>1.1737792117623664</v>
      </c>
      <c r="O235" s="2" t="s">
        <v>1226</v>
      </c>
      <c r="P235" s="2">
        <v>1996</v>
      </c>
      <c r="Q235" s="2"/>
      <c r="T235" s="10">
        <f>GraphBotulinum!$B$41*'C botulinum'!J235+GraphBotulinum!$B$42</f>
        <v>0.11487984169888721</v>
      </c>
      <c r="U235" s="10">
        <f>GraphBotulinum!$E$41*'C botulinum'!J235+GraphBotulinum!$E$42</f>
        <v>1.1737792117623673</v>
      </c>
    </row>
    <row r="236" spans="1:21" x14ac:dyDescent="0.2">
      <c r="A236" s="1" t="s">
        <v>1228</v>
      </c>
      <c r="B236" s="1" t="s">
        <v>1234</v>
      </c>
      <c r="C236" s="1" t="s">
        <v>1397</v>
      </c>
      <c r="D236" s="1" t="s">
        <v>1359</v>
      </c>
      <c r="E236" s="1" t="s">
        <v>1361</v>
      </c>
      <c r="F236" s="1" t="s">
        <v>43</v>
      </c>
      <c r="G236" s="1" t="s">
        <v>1272</v>
      </c>
      <c r="H236" s="1" t="s">
        <v>1270</v>
      </c>
      <c r="I236" s="5">
        <v>5.37</v>
      </c>
      <c r="J236" s="5">
        <v>110</v>
      </c>
      <c r="K236" s="9">
        <v>0.61</v>
      </c>
      <c r="L236" s="5">
        <v>8.4</v>
      </c>
      <c r="M236" s="11">
        <f t="shared" si="7"/>
        <v>-0.21467016498923297</v>
      </c>
      <c r="N236" s="12">
        <f>GraphBotulinum!$B$9-('C botulinum'!J236-GraphBotulinum!$B$5)/GraphBotulinum!$B$4</f>
        <v>0.19474027387554704</v>
      </c>
      <c r="O236" s="2" t="s">
        <v>1226</v>
      </c>
      <c r="P236" s="2">
        <v>1996</v>
      </c>
      <c r="Q236" s="2"/>
      <c r="T236" s="10">
        <f>GraphBotulinum!$B$41*'C botulinum'!J236+GraphBotulinum!$B$42</f>
        <v>-0.22820696921704764</v>
      </c>
      <c r="U236" s="10">
        <f>GraphBotulinum!$E$41*'C botulinum'!J236+GraphBotulinum!$E$42</f>
        <v>0.19474027387554749</v>
      </c>
    </row>
    <row r="237" spans="1:21" x14ac:dyDescent="0.2">
      <c r="A237" s="1" t="s">
        <v>1228</v>
      </c>
      <c r="B237" s="1" t="s">
        <v>1234</v>
      </c>
      <c r="C237" s="1" t="s">
        <v>1397</v>
      </c>
      <c r="D237" s="1" t="s">
        <v>1359</v>
      </c>
      <c r="E237" s="1" t="s">
        <v>1361</v>
      </c>
      <c r="F237" s="1" t="s">
        <v>43</v>
      </c>
      <c r="G237" s="1" t="s">
        <v>1272</v>
      </c>
      <c r="H237" s="1" t="s">
        <v>1270</v>
      </c>
      <c r="I237" s="5">
        <v>5.37</v>
      </c>
      <c r="J237" s="5">
        <v>115</v>
      </c>
      <c r="K237" s="9">
        <v>0.28000000000000003</v>
      </c>
      <c r="L237" s="5">
        <v>8.4</v>
      </c>
      <c r="M237" s="11">
        <f t="shared" si="7"/>
        <v>-0.55284196865778079</v>
      </c>
      <c r="N237" s="12">
        <f>GraphBotulinum!$B$9-('C botulinum'!J237-GraphBotulinum!$B$5)/GraphBotulinum!$B$4</f>
        <v>-0.29477919506786265</v>
      </c>
      <c r="O237" s="2" t="s">
        <v>1226</v>
      </c>
      <c r="P237" s="2">
        <v>1996</v>
      </c>
      <c r="Q237" s="2"/>
      <c r="T237" s="10">
        <f>GraphBotulinum!$B$41*'C botulinum'!J237+GraphBotulinum!$B$42</f>
        <v>-0.39975037467501506</v>
      </c>
      <c r="U237" s="10">
        <f>GraphBotulinum!$E$41*'C botulinum'!J237+GraphBotulinum!$E$42</f>
        <v>-0.29477919506786243</v>
      </c>
    </row>
    <row r="238" spans="1:21" x14ac:dyDescent="0.2">
      <c r="A238" s="1" t="s">
        <v>1228</v>
      </c>
      <c r="B238" s="1" t="s">
        <v>1234</v>
      </c>
      <c r="C238" s="1" t="s">
        <v>1397</v>
      </c>
      <c r="D238" s="1" t="s">
        <v>1359</v>
      </c>
      <c r="E238" s="1" t="s">
        <v>1361</v>
      </c>
      <c r="F238" s="1" t="s">
        <v>43</v>
      </c>
      <c r="G238" s="1" t="s">
        <v>1272</v>
      </c>
      <c r="H238" s="1" t="s">
        <v>1270</v>
      </c>
      <c r="I238" s="5">
        <v>5.39</v>
      </c>
      <c r="J238" s="5">
        <v>100</v>
      </c>
      <c r="K238" s="9">
        <v>17.260000000000002</v>
      </c>
      <c r="L238" s="5">
        <v>10</v>
      </c>
      <c r="M238" s="11">
        <f t="shared" si="7"/>
        <v>1.2370407913791908</v>
      </c>
      <c r="N238" s="12">
        <f>GraphBotulinum!$B$9-('C botulinum'!J238-GraphBotulinum!$B$5)/GraphBotulinum!$B$4</f>
        <v>1.1737792117623664</v>
      </c>
      <c r="O238" s="2" t="s">
        <v>1226</v>
      </c>
      <c r="P238" s="2">
        <v>1996</v>
      </c>
      <c r="Q238" s="2"/>
      <c r="T238" s="10">
        <f>GraphBotulinum!$B$41*'C botulinum'!J238+GraphBotulinum!$B$42</f>
        <v>0.11487984169888721</v>
      </c>
      <c r="U238" s="10">
        <f>GraphBotulinum!$E$41*'C botulinum'!J238+GraphBotulinum!$E$42</f>
        <v>1.1737792117623673</v>
      </c>
    </row>
    <row r="239" spans="1:21" x14ac:dyDescent="0.2">
      <c r="A239" s="1" t="s">
        <v>1228</v>
      </c>
      <c r="B239" s="1" t="s">
        <v>1234</v>
      </c>
      <c r="C239" s="1" t="s">
        <v>1397</v>
      </c>
      <c r="D239" s="1" t="s">
        <v>1359</v>
      </c>
      <c r="E239" s="1" t="s">
        <v>1361</v>
      </c>
      <c r="F239" s="1" t="s">
        <v>43</v>
      </c>
      <c r="G239" s="1" t="s">
        <v>1272</v>
      </c>
      <c r="H239" s="1" t="s">
        <v>1270</v>
      </c>
      <c r="I239" s="5">
        <v>5.39</v>
      </c>
      <c r="J239" s="5">
        <v>110</v>
      </c>
      <c r="K239" s="9">
        <v>1.74</v>
      </c>
      <c r="L239" s="5">
        <v>10</v>
      </c>
      <c r="M239" s="11">
        <f t="shared" si="7"/>
        <v>0.24054924828259971</v>
      </c>
      <c r="N239" s="12">
        <f>GraphBotulinum!$B$9-('C botulinum'!J239-GraphBotulinum!$B$5)/GraphBotulinum!$B$4</f>
        <v>0.19474027387554704</v>
      </c>
      <c r="O239" s="2" t="s">
        <v>1226</v>
      </c>
      <c r="P239" s="2">
        <v>1996</v>
      </c>
      <c r="Q239" s="2"/>
      <c r="T239" s="10">
        <f>GraphBotulinum!$B$41*'C botulinum'!J239+GraphBotulinum!$B$42</f>
        <v>-0.22820696921704764</v>
      </c>
      <c r="U239" s="10">
        <f>GraphBotulinum!$E$41*'C botulinum'!J239+GraphBotulinum!$E$42</f>
        <v>0.19474027387554749</v>
      </c>
    </row>
    <row r="240" spans="1:21" x14ac:dyDescent="0.2">
      <c r="A240" s="1" t="s">
        <v>1228</v>
      </c>
      <c r="B240" s="1" t="s">
        <v>1234</v>
      </c>
      <c r="C240" s="1" t="s">
        <v>1397</v>
      </c>
      <c r="D240" s="1" t="s">
        <v>1359</v>
      </c>
      <c r="E240" s="1" t="s">
        <v>1361</v>
      </c>
      <c r="F240" s="1" t="s">
        <v>43</v>
      </c>
      <c r="G240" s="1" t="s">
        <v>1272</v>
      </c>
      <c r="H240" s="1" t="s">
        <v>1254</v>
      </c>
      <c r="I240" s="5">
        <v>7</v>
      </c>
      <c r="J240" s="5">
        <v>115.6</v>
      </c>
      <c r="K240" s="9">
        <v>0.32</v>
      </c>
      <c r="L240" s="5"/>
      <c r="M240" s="11">
        <f t="shared" si="7"/>
        <v>-0.49485002168009401</v>
      </c>
      <c r="N240" s="12">
        <f>GraphBotulinum!$B$9-('C botulinum'!J240-GraphBotulinum!$B$5)/GraphBotulinum!$B$4</f>
        <v>-0.35352153134107128</v>
      </c>
      <c r="O240" s="2" t="s">
        <v>1226</v>
      </c>
      <c r="P240" s="2">
        <v>1996</v>
      </c>
      <c r="Q240" s="2"/>
      <c r="T240" s="10">
        <f>GraphBotulinum!$B$41*'C botulinum'!J240+GraphBotulinum!$B$42</f>
        <v>-0.42033558332997112</v>
      </c>
      <c r="U240" s="10">
        <f>GraphBotulinum!$E$41*'C botulinum'!J240+GraphBotulinum!$E$42</f>
        <v>-0.35352153134106956</v>
      </c>
    </row>
    <row r="241" spans="1:21" x14ac:dyDescent="0.2">
      <c r="A241" s="1" t="s">
        <v>1228</v>
      </c>
      <c r="B241" s="1" t="s">
        <v>1234</v>
      </c>
      <c r="C241" s="1" t="s">
        <v>1397</v>
      </c>
      <c r="D241" s="1" t="s">
        <v>1359</v>
      </c>
      <c r="E241" s="1" t="s">
        <v>1361</v>
      </c>
      <c r="F241" s="1" t="s">
        <v>43</v>
      </c>
      <c r="G241" s="1" t="s">
        <v>1276</v>
      </c>
      <c r="H241" s="1" t="s">
        <v>1254</v>
      </c>
      <c r="I241" s="5">
        <v>7</v>
      </c>
      <c r="J241" s="5">
        <v>115.6</v>
      </c>
      <c r="K241" s="9">
        <v>0.28999999999999998</v>
      </c>
      <c r="L241" s="5"/>
      <c r="M241" s="11">
        <f t="shared" si="7"/>
        <v>-0.53760200210104392</v>
      </c>
      <c r="N241" s="12">
        <f>GraphBotulinum!$B$9-('C botulinum'!J241-GraphBotulinum!$B$5)/GraphBotulinum!$B$4</f>
        <v>-0.35352153134107128</v>
      </c>
      <c r="O241" s="2" t="s">
        <v>1226</v>
      </c>
      <c r="P241" s="2">
        <v>1996</v>
      </c>
      <c r="Q241" s="2"/>
      <c r="T241" s="10">
        <f>GraphBotulinum!$B$41*'C botulinum'!J241+GraphBotulinum!$B$42</f>
        <v>-0.42033558332997112</v>
      </c>
      <c r="U241" s="10">
        <f>GraphBotulinum!$E$41*'C botulinum'!J241+GraphBotulinum!$E$42</f>
        <v>-0.35352153134106956</v>
      </c>
    </row>
    <row r="242" spans="1:21" x14ac:dyDescent="0.2">
      <c r="A242" s="1" t="s">
        <v>1228</v>
      </c>
      <c r="B242" s="1" t="s">
        <v>1234</v>
      </c>
      <c r="C242" s="1" t="s">
        <v>1397</v>
      </c>
      <c r="D242" s="1" t="s">
        <v>1359</v>
      </c>
      <c r="E242" s="1" t="s">
        <v>1361</v>
      </c>
      <c r="F242" s="1" t="s">
        <v>43</v>
      </c>
      <c r="G242" s="1" t="s">
        <v>1241</v>
      </c>
      <c r="H242" s="1"/>
      <c r="I242" s="5"/>
      <c r="J242" s="5">
        <v>110</v>
      </c>
      <c r="K242" s="9">
        <v>2.0099999999999998</v>
      </c>
      <c r="L242" s="5">
        <v>8.1999999999999993</v>
      </c>
      <c r="M242" s="11">
        <f t="shared" si="7"/>
        <v>0.30319605742048883</v>
      </c>
      <c r="N242" s="12">
        <f>GraphBotulinum!$B$9-('C botulinum'!J242-GraphBotulinum!$B$5)/GraphBotulinum!$B$4</f>
        <v>0.19474027387554704</v>
      </c>
      <c r="O242" s="2" t="s">
        <v>1226</v>
      </c>
      <c r="P242" s="2">
        <v>1996</v>
      </c>
      <c r="Q242" s="2"/>
      <c r="T242" s="10">
        <f>GraphBotulinum!$B$41*'C botulinum'!J242+GraphBotulinum!$B$42</f>
        <v>-0.22820696921704764</v>
      </c>
      <c r="U242" s="10">
        <f>GraphBotulinum!$E$41*'C botulinum'!J242+GraphBotulinum!$E$42</f>
        <v>0.19474027387554749</v>
      </c>
    </row>
    <row r="243" spans="1:21" x14ac:dyDescent="0.2">
      <c r="A243" s="1" t="s">
        <v>1228</v>
      </c>
      <c r="B243" s="1" t="s">
        <v>1234</v>
      </c>
      <c r="C243" s="1" t="s">
        <v>1397</v>
      </c>
      <c r="D243" s="1" t="s">
        <v>1359</v>
      </c>
      <c r="E243" s="1" t="s">
        <v>1361</v>
      </c>
      <c r="F243" s="1" t="s">
        <v>43</v>
      </c>
      <c r="G243" s="1" t="s">
        <v>1241</v>
      </c>
      <c r="H243" s="1"/>
      <c r="I243" s="5"/>
      <c r="J243" s="5">
        <v>115.6</v>
      </c>
      <c r="K243" s="9">
        <v>0.53</v>
      </c>
      <c r="L243" s="5">
        <v>8.1999999999999993</v>
      </c>
      <c r="M243" s="11">
        <f t="shared" si="7"/>
        <v>-0.27572413039921095</v>
      </c>
      <c r="N243" s="12">
        <f>GraphBotulinum!$B$9-('C botulinum'!J243-GraphBotulinum!$B$5)/GraphBotulinum!$B$4</f>
        <v>-0.35352153134107128</v>
      </c>
      <c r="O243" s="2" t="s">
        <v>1226</v>
      </c>
      <c r="P243" s="2">
        <v>1996</v>
      </c>
      <c r="Q243" s="2"/>
      <c r="T243" s="10">
        <f>GraphBotulinum!$B$41*'C botulinum'!J243+GraphBotulinum!$B$42</f>
        <v>-0.42033558332997112</v>
      </c>
      <c r="U243" s="10">
        <f>GraphBotulinum!$E$41*'C botulinum'!J243+GraphBotulinum!$E$42</f>
        <v>-0.35352153134106956</v>
      </c>
    </row>
    <row r="244" spans="1:21" x14ac:dyDescent="0.2">
      <c r="A244" s="1" t="s">
        <v>1228</v>
      </c>
      <c r="B244" s="1" t="s">
        <v>1234</v>
      </c>
      <c r="C244" s="1" t="s">
        <v>1397</v>
      </c>
      <c r="D244" s="1" t="s">
        <v>1359</v>
      </c>
      <c r="E244" s="1" t="s">
        <v>1361</v>
      </c>
      <c r="F244" s="1" t="s">
        <v>43</v>
      </c>
      <c r="G244" s="1" t="s">
        <v>1241</v>
      </c>
      <c r="H244" s="1"/>
      <c r="I244" s="5"/>
      <c r="J244" s="5">
        <v>121.1</v>
      </c>
      <c r="K244" s="9">
        <v>0.13300000000000001</v>
      </c>
      <c r="L244" s="5">
        <v>8.1999999999999993</v>
      </c>
      <c r="M244" s="11">
        <f t="shared" si="7"/>
        <v>-0.87614835903291421</v>
      </c>
      <c r="N244" s="12">
        <f>GraphBotulinum!$B$9-('C botulinum'!J244-GraphBotulinum!$B$5)/GraphBotulinum!$B$4</f>
        <v>-0.89199294717882194</v>
      </c>
      <c r="O244" s="2" t="s">
        <v>1226</v>
      </c>
      <c r="P244" s="2">
        <v>1996</v>
      </c>
      <c r="Q244" s="2"/>
      <c r="T244" s="10">
        <f>GraphBotulinum!$B$41*'C botulinum'!J244+GraphBotulinum!$B$42</f>
        <v>-0.60903332933373555</v>
      </c>
      <c r="U244" s="10">
        <f>GraphBotulinum!$E$41*'C botulinum'!J244+GraphBotulinum!$E$42</f>
        <v>-0.89199294717882083</v>
      </c>
    </row>
    <row r="245" spans="1:21" x14ac:dyDescent="0.2">
      <c r="A245" s="1" t="s">
        <v>1228</v>
      </c>
      <c r="B245" s="1" t="s">
        <v>1234</v>
      </c>
      <c r="C245" s="1" t="s">
        <v>1401</v>
      </c>
      <c r="D245" s="1" t="s">
        <v>1359</v>
      </c>
      <c r="E245" s="1" t="s">
        <v>1361</v>
      </c>
      <c r="F245" s="1" t="s">
        <v>43</v>
      </c>
      <c r="G245" s="1" t="s">
        <v>1278</v>
      </c>
      <c r="H245" s="1" t="s">
        <v>1277</v>
      </c>
      <c r="I245" s="5">
        <v>4.2</v>
      </c>
      <c r="J245" s="5">
        <v>110</v>
      </c>
      <c r="K245" s="9">
        <v>0.92</v>
      </c>
      <c r="L245" s="5"/>
      <c r="M245" s="11">
        <f t="shared" si="7"/>
        <v>-3.6212172654444715E-2</v>
      </c>
      <c r="N245" s="12">
        <f>GraphBotulinum!$B$9-('C botulinum'!J245-GraphBotulinum!$B$5)/GraphBotulinum!$B$4</f>
        <v>0.19474027387554704</v>
      </c>
      <c r="O245" s="2" t="s">
        <v>1226</v>
      </c>
      <c r="P245" s="2">
        <v>1996</v>
      </c>
      <c r="Q245" s="2"/>
      <c r="T245" s="10">
        <f>GraphBotulinum!$B$41*'C botulinum'!J245+GraphBotulinum!$B$42</f>
        <v>-0.22820696921704764</v>
      </c>
      <c r="U245" s="10">
        <f>GraphBotulinum!$E$41*'C botulinum'!J245+GraphBotulinum!$E$42</f>
        <v>0.19474027387554749</v>
      </c>
    </row>
    <row r="246" spans="1:21" x14ac:dyDescent="0.2">
      <c r="A246" s="1" t="s">
        <v>1228</v>
      </c>
      <c r="B246" s="1" t="s">
        <v>1234</v>
      </c>
      <c r="C246" s="1" t="s">
        <v>1401</v>
      </c>
      <c r="D246" s="1" t="s">
        <v>1359</v>
      </c>
      <c r="E246" s="1" t="s">
        <v>1361</v>
      </c>
      <c r="F246" s="1" t="s">
        <v>43</v>
      </c>
      <c r="G246" s="1" t="s">
        <v>1278</v>
      </c>
      <c r="H246" s="1" t="s">
        <v>1277</v>
      </c>
      <c r="I246" s="5">
        <v>4.2</v>
      </c>
      <c r="J246" s="5">
        <v>110</v>
      </c>
      <c r="K246" s="9">
        <v>0.98</v>
      </c>
      <c r="L246" s="5"/>
      <c r="M246" s="11">
        <f t="shared" si="7"/>
        <v>-8.7739243075051505E-3</v>
      </c>
      <c r="N246" s="12">
        <f>GraphBotulinum!$B$9-('C botulinum'!J246-GraphBotulinum!$B$5)/GraphBotulinum!$B$4</f>
        <v>0.19474027387554704</v>
      </c>
      <c r="O246" s="2" t="s">
        <v>1226</v>
      </c>
      <c r="P246" s="2">
        <v>1996</v>
      </c>
      <c r="Q246" s="2"/>
      <c r="T246" s="10">
        <f>GraphBotulinum!$B$41*'C botulinum'!J246+GraphBotulinum!$B$42</f>
        <v>-0.22820696921704764</v>
      </c>
      <c r="U246" s="10">
        <f>GraphBotulinum!$E$41*'C botulinum'!J246+GraphBotulinum!$E$42</f>
        <v>0.19474027387554749</v>
      </c>
    </row>
    <row r="247" spans="1:21" x14ac:dyDescent="0.2">
      <c r="A247" s="1" t="s">
        <v>1228</v>
      </c>
      <c r="B247" s="1" t="s">
        <v>1234</v>
      </c>
      <c r="C247" s="1" t="s">
        <v>1401</v>
      </c>
      <c r="D247" s="1" t="s">
        <v>1359</v>
      </c>
      <c r="E247" s="1" t="s">
        <v>1361</v>
      </c>
      <c r="F247" s="1" t="s">
        <v>43</v>
      </c>
      <c r="G247" s="1" t="s">
        <v>1278</v>
      </c>
      <c r="H247" s="1" t="s">
        <v>1277</v>
      </c>
      <c r="I247" s="5">
        <v>4.2</v>
      </c>
      <c r="J247" s="5">
        <v>115.6</v>
      </c>
      <c r="K247" s="9">
        <v>0.38</v>
      </c>
      <c r="L247" s="5">
        <v>9.43</v>
      </c>
      <c r="M247" s="11">
        <f t="shared" si="7"/>
        <v>-0.42021640338318983</v>
      </c>
      <c r="N247" s="12">
        <f>GraphBotulinum!$B$9-('C botulinum'!J247-GraphBotulinum!$B$5)/GraphBotulinum!$B$4</f>
        <v>-0.35352153134107128</v>
      </c>
      <c r="O247" s="2" t="s">
        <v>1226</v>
      </c>
      <c r="P247" s="2">
        <v>1996</v>
      </c>
      <c r="Q247" s="2"/>
      <c r="T247" s="10">
        <f>GraphBotulinum!$B$41*'C botulinum'!J247+GraphBotulinum!$B$42</f>
        <v>-0.42033558332997112</v>
      </c>
      <c r="U247" s="10">
        <f>GraphBotulinum!$E$41*'C botulinum'!J247+GraphBotulinum!$E$42</f>
        <v>-0.35352153134106956</v>
      </c>
    </row>
    <row r="248" spans="1:21" x14ac:dyDescent="0.2">
      <c r="A248" s="1" t="s">
        <v>1228</v>
      </c>
      <c r="B248" s="1" t="s">
        <v>1234</v>
      </c>
      <c r="C248" s="1" t="s">
        <v>1401</v>
      </c>
      <c r="D248" s="1" t="s">
        <v>1359</v>
      </c>
      <c r="E248" s="1" t="s">
        <v>1361</v>
      </c>
      <c r="F248" s="1" t="s">
        <v>43</v>
      </c>
      <c r="G248" s="1" t="s">
        <v>1278</v>
      </c>
      <c r="H248" s="1" t="s">
        <v>1277</v>
      </c>
      <c r="I248" s="5">
        <v>4.2</v>
      </c>
      <c r="J248" s="5">
        <v>115.6</v>
      </c>
      <c r="K248" s="9">
        <v>0.4</v>
      </c>
      <c r="L248" s="5">
        <v>9.43</v>
      </c>
      <c r="M248" s="11">
        <f t="shared" si="7"/>
        <v>-0.3979400086720376</v>
      </c>
      <c r="N248" s="12">
        <f>GraphBotulinum!$B$9-('C botulinum'!J248-GraphBotulinum!$B$5)/GraphBotulinum!$B$4</f>
        <v>-0.35352153134107128</v>
      </c>
      <c r="O248" s="2" t="s">
        <v>1226</v>
      </c>
      <c r="P248" s="2">
        <v>1996</v>
      </c>
      <c r="Q248" s="2"/>
      <c r="T248" s="10">
        <f>GraphBotulinum!$B$41*'C botulinum'!J248+GraphBotulinum!$B$42</f>
        <v>-0.42033558332997112</v>
      </c>
      <c r="U248" s="10">
        <f>GraphBotulinum!$E$41*'C botulinum'!J248+GraphBotulinum!$E$42</f>
        <v>-0.35352153134106956</v>
      </c>
    </row>
    <row r="249" spans="1:21" x14ac:dyDescent="0.2">
      <c r="A249" s="1" t="s">
        <v>1228</v>
      </c>
      <c r="B249" s="1" t="s">
        <v>1234</v>
      </c>
      <c r="C249" s="1" t="s">
        <v>1401</v>
      </c>
      <c r="D249" s="1" t="s">
        <v>1359</v>
      </c>
      <c r="E249" s="1" t="s">
        <v>1361</v>
      </c>
      <c r="F249" s="1" t="s">
        <v>43</v>
      </c>
      <c r="G249" s="1" t="s">
        <v>1278</v>
      </c>
      <c r="H249" s="1" t="s">
        <v>1277</v>
      </c>
      <c r="I249" s="5">
        <v>4.2</v>
      </c>
      <c r="J249" s="5">
        <v>110</v>
      </c>
      <c r="K249" s="9">
        <v>1.5</v>
      </c>
      <c r="L249" s="5">
        <v>9.43</v>
      </c>
      <c r="M249" s="11">
        <f t="shared" si="7"/>
        <v>0.17609125905568124</v>
      </c>
      <c r="N249" s="12">
        <f>GraphBotulinum!$B$9-('C botulinum'!J249-GraphBotulinum!$B$5)/GraphBotulinum!$B$4</f>
        <v>0.19474027387554704</v>
      </c>
      <c r="O249" s="2" t="s">
        <v>1226</v>
      </c>
      <c r="P249" s="2">
        <v>1996</v>
      </c>
      <c r="Q249" s="2"/>
      <c r="T249" s="10">
        <f>GraphBotulinum!$B$41*'C botulinum'!J249+GraphBotulinum!$B$42</f>
        <v>-0.22820696921704764</v>
      </c>
      <c r="U249" s="10">
        <f>GraphBotulinum!$E$41*'C botulinum'!J249+GraphBotulinum!$E$42</f>
        <v>0.19474027387554749</v>
      </c>
    </row>
    <row r="250" spans="1:21" x14ac:dyDescent="0.2">
      <c r="A250" s="1" t="s">
        <v>1228</v>
      </c>
      <c r="B250" s="1" t="s">
        <v>1234</v>
      </c>
      <c r="C250" s="1" t="s">
        <v>1401</v>
      </c>
      <c r="D250" s="1" t="s">
        <v>1359</v>
      </c>
      <c r="E250" s="1" t="s">
        <v>1361</v>
      </c>
      <c r="F250" s="1" t="s">
        <v>43</v>
      </c>
      <c r="G250" s="1" t="s">
        <v>1278</v>
      </c>
      <c r="H250" s="1" t="s">
        <v>1277</v>
      </c>
      <c r="I250" s="5">
        <v>4.2</v>
      </c>
      <c r="J250" s="5">
        <v>110</v>
      </c>
      <c r="K250" s="9">
        <v>1.59</v>
      </c>
      <c r="L250" s="5">
        <v>9.43</v>
      </c>
      <c r="M250" s="11">
        <f t="shared" si="7"/>
        <v>0.20139712432045151</v>
      </c>
      <c r="N250" s="12">
        <f>GraphBotulinum!$B$9-('C botulinum'!J250-GraphBotulinum!$B$5)/GraphBotulinum!$B$4</f>
        <v>0.19474027387554704</v>
      </c>
      <c r="O250" s="2" t="s">
        <v>1226</v>
      </c>
      <c r="P250" s="2">
        <v>1996</v>
      </c>
      <c r="Q250" s="2"/>
      <c r="T250" s="10">
        <f>GraphBotulinum!$B$41*'C botulinum'!J250+GraphBotulinum!$B$42</f>
        <v>-0.22820696921704764</v>
      </c>
      <c r="U250" s="10">
        <f>GraphBotulinum!$E$41*'C botulinum'!J250+GraphBotulinum!$E$42</f>
        <v>0.19474027387554749</v>
      </c>
    </row>
    <row r="251" spans="1:21" x14ac:dyDescent="0.2">
      <c r="A251" s="1" t="s">
        <v>1228</v>
      </c>
      <c r="B251" s="1" t="s">
        <v>1234</v>
      </c>
      <c r="C251" s="1" t="s">
        <v>1397</v>
      </c>
      <c r="D251" s="1" t="s">
        <v>1359</v>
      </c>
      <c r="E251" s="1" t="s">
        <v>1361</v>
      </c>
      <c r="F251" s="1" t="s">
        <v>46</v>
      </c>
      <c r="G251" s="1" t="s">
        <v>1283</v>
      </c>
      <c r="H251" s="1" t="s">
        <v>1284</v>
      </c>
      <c r="I251" s="5"/>
      <c r="J251" s="5">
        <v>121</v>
      </c>
      <c r="K251" s="9">
        <v>0.21</v>
      </c>
      <c r="L251" s="5">
        <v>12.2</v>
      </c>
      <c r="M251" s="11">
        <f t="shared" si="7"/>
        <v>-0.6777807052660807</v>
      </c>
      <c r="N251" s="12">
        <f>GraphBotulinum!$B$9-('C botulinum'!J251-GraphBotulinum!$B$5)/GraphBotulinum!$B$4</f>
        <v>-0.88220255779995427</v>
      </c>
      <c r="O251" s="2" t="s">
        <v>1226</v>
      </c>
      <c r="P251" s="2">
        <v>1996</v>
      </c>
      <c r="Q251" s="2"/>
      <c r="T251" s="10">
        <f>GraphBotulinum!$B$41*'C botulinum'!J251+GraphBotulinum!$B$42</f>
        <v>-0.60560246122457606</v>
      </c>
      <c r="U251" s="10">
        <f>GraphBotulinum!$E$41*'C botulinum'!J251+GraphBotulinum!$E$42</f>
        <v>-0.88220255779995327</v>
      </c>
    </row>
    <row r="252" spans="1:21" x14ac:dyDescent="0.2">
      <c r="A252" s="1" t="s">
        <v>1228</v>
      </c>
      <c r="B252" s="1" t="s">
        <v>1234</v>
      </c>
      <c r="C252" s="1" t="s">
        <v>1397</v>
      </c>
      <c r="D252" s="1" t="s">
        <v>1359</v>
      </c>
      <c r="E252" s="1" t="s">
        <v>1361</v>
      </c>
      <c r="F252" s="1" t="s">
        <v>46</v>
      </c>
      <c r="G252" s="1" t="s">
        <v>1283</v>
      </c>
      <c r="H252" s="1" t="s">
        <v>1279</v>
      </c>
      <c r="I252" s="5"/>
      <c r="J252" s="5">
        <v>121</v>
      </c>
      <c r="K252" s="9">
        <v>0.11</v>
      </c>
      <c r="L252" s="5">
        <v>12.9</v>
      </c>
      <c r="M252" s="11">
        <f t="shared" si="7"/>
        <v>-0.95860731484177497</v>
      </c>
      <c r="N252" s="12">
        <f>GraphBotulinum!$B$9-('C botulinum'!J252-GraphBotulinum!$B$5)/GraphBotulinum!$B$4</f>
        <v>-0.88220255779995427</v>
      </c>
      <c r="O252" s="2" t="s">
        <v>1226</v>
      </c>
      <c r="P252" s="2">
        <v>1996</v>
      </c>
      <c r="Q252" s="2"/>
      <c r="T252" s="10">
        <f>GraphBotulinum!$B$41*'C botulinum'!J252+GraphBotulinum!$B$42</f>
        <v>-0.60560246122457606</v>
      </c>
      <c r="U252" s="10">
        <f>GraphBotulinum!$E$41*'C botulinum'!J252+GraphBotulinum!$E$42</f>
        <v>-0.88220255779995327</v>
      </c>
    </row>
    <row r="253" spans="1:21" x14ac:dyDescent="0.2">
      <c r="A253" s="1" t="s">
        <v>1228</v>
      </c>
      <c r="B253" s="1" t="s">
        <v>1234</v>
      </c>
      <c r="C253" s="1" t="s">
        <v>1397</v>
      </c>
      <c r="D253" s="1" t="s">
        <v>1359</v>
      </c>
      <c r="E253" s="1" t="s">
        <v>1361</v>
      </c>
      <c r="F253" s="1" t="s">
        <v>45</v>
      </c>
      <c r="G253" s="1" t="s">
        <v>1239</v>
      </c>
      <c r="H253" s="1" t="s">
        <v>1269</v>
      </c>
      <c r="I253" s="5"/>
      <c r="J253" s="5">
        <v>110</v>
      </c>
      <c r="K253" s="9">
        <v>1.79</v>
      </c>
      <c r="L253" s="5">
        <v>8.5</v>
      </c>
      <c r="M253" s="11">
        <f t="shared" si="7"/>
        <v>0.2528530309798932</v>
      </c>
      <c r="N253" s="12">
        <f>GraphBotulinum!$B$9-('C botulinum'!J253-GraphBotulinum!$B$5)/GraphBotulinum!$B$4</f>
        <v>0.19474027387554704</v>
      </c>
      <c r="O253" s="2" t="s">
        <v>1226</v>
      </c>
      <c r="P253" s="2">
        <v>1996</v>
      </c>
      <c r="Q253" s="2"/>
      <c r="T253" s="10">
        <f>GraphBotulinum!$B$41*'C botulinum'!J253+GraphBotulinum!$B$42</f>
        <v>-0.22820696921704764</v>
      </c>
      <c r="U253" s="10">
        <f>GraphBotulinum!$E$41*'C botulinum'!J253+GraphBotulinum!$E$42</f>
        <v>0.19474027387554749</v>
      </c>
    </row>
    <row r="254" spans="1:21" x14ac:dyDescent="0.2">
      <c r="A254" s="1" t="s">
        <v>1228</v>
      </c>
      <c r="B254" s="1" t="s">
        <v>1234</v>
      </c>
      <c r="C254" s="1" t="s">
        <v>1397</v>
      </c>
      <c r="D254" s="1" t="s">
        <v>1359</v>
      </c>
      <c r="E254" s="1" t="s">
        <v>1361</v>
      </c>
      <c r="F254" s="1" t="s">
        <v>45</v>
      </c>
      <c r="G254" s="1" t="s">
        <v>1239</v>
      </c>
      <c r="H254" s="1" t="s">
        <v>1269</v>
      </c>
      <c r="I254" s="5"/>
      <c r="J254" s="5">
        <v>115.6</v>
      </c>
      <c r="K254" s="9">
        <v>0.39</v>
      </c>
      <c r="L254" s="5">
        <v>8.5</v>
      </c>
      <c r="M254" s="11">
        <f t="shared" si="7"/>
        <v>-0.40893539297350079</v>
      </c>
      <c r="N254" s="12">
        <f>GraphBotulinum!$B$9-('C botulinum'!J254-GraphBotulinum!$B$5)/GraphBotulinum!$B$4</f>
        <v>-0.35352153134107128</v>
      </c>
      <c r="O254" s="2" t="s">
        <v>1226</v>
      </c>
      <c r="P254" s="2">
        <v>1996</v>
      </c>
      <c r="Q254" s="2"/>
      <c r="T254" s="10">
        <f>GraphBotulinum!$B$41*'C botulinum'!J254+GraphBotulinum!$B$42</f>
        <v>-0.42033558332997112</v>
      </c>
      <c r="U254" s="10">
        <f>GraphBotulinum!$E$41*'C botulinum'!J254+GraphBotulinum!$E$42</f>
        <v>-0.35352153134106956</v>
      </c>
    </row>
    <row r="255" spans="1:21" x14ac:dyDescent="0.2">
      <c r="A255" s="1" t="s">
        <v>1228</v>
      </c>
      <c r="B255" s="1" t="s">
        <v>1234</v>
      </c>
      <c r="C255" s="1" t="s">
        <v>1397</v>
      </c>
      <c r="D255" s="1" t="s">
        <v>1359</v>
      </c>
      <c r="E255" s="1" t="s">
        <v>1361</v>
      </c>
      <c r="F255" s="1" t="s">
        <v>45</v>
      </c>
      <c r="G255" s="1" t="s">
        <v>1239</v>
      </c>
      <c r="H255" s="1" t="s">
        <v>1269</v>
      </c>
      <c r="I255" s="5"/>
      <c r="J255" s="5">
        <v>121.1</v>
      </c>
      <c r="K255" s="9">
        <v>0.06</v>
      </c>
      <c r="L255" s="5">
        <v>8.5</v>
      </c>
      <c r="M255" s="11">
        <f t="shared" si="7"/>
        <v>-1.2218487496163564</v>
      </c>
      <c r="N255" s="12">
        <f>GraphBotulinum!$B$9-('C botulinum'!J255-GraphBotulinum!$B$5)/GraphBotulinum!$B$4</f>
        <v>-0.89199294717882194</v>
      </c>
      <c r="O255" s="2" t="s">
        <v>1226</v>
      </c>
      <c r="P255" s="2">
        <v>1996</v>
      </c>
      <c r="Q255" s="2"/>
      <c r="T255" s="10">
        <f>GraphBotulinum!$B$41*'C botulinum'!J255+GraphBotulinum!$B$42</f>
        <v>-0.60903332933373555</v>
      </c>
      <c r="U255" s="10">
        <f>GraphBotulinum!$E$41*'C botulinum'!J255+GraphBotulinum!$E$42</f>
        <v>-0.89199294717882083</v>
      </c>
    </row>
    <row r="256" spans="1:21" x14ac:dyDescent="0.2">
      <c r="A256" s="1" t="s">
        <v>1228</v>
      </c>
      <c r="B256" s="1" t="s">
        <v>1234</v>
      </c>
      <c r="C256" s="1"/>
      <c r="D256" s="1" t="s">
        <v>302</v>
      </c>
      <c r="E256" s="1" t="s">
        <v>1361</v>
      </c>
      <c r="G256" s="1" t="s">
        <v>293</v>
      </c>
      <c r="H256" s="1"/>
      <c r="I256" s="5"/>
      <c r="J256" s="5">
        <v>121.1</v>
      </c>
      <c r="K256" s="9">
        <v>0.21</v>
      </c>
      <c r="L256" s="5">
        <v>10</v>
      </c>
      <c r="M256" s="11">
        <f t="shared" si="7"/>
        <v>-0.6777807052660807</v>
      </c>
      <c r="N256" s="12">
        <f>GraphBotulinum!$B$9-('C botulinum'!J256-GraphBotulinum!$B$5)/GraphBotulinum!$B$4</f>
        <v>-0.89199294717882194</v>
      </c>
      <c r="O256" s="1" t="s">
        <v>294</v>
      </c>
      <c r="P256" s="1">
        <v>2000</v>
      </c>
      <c r="Q256" s="2"/>
      <c r="T256" s="10">
        <f>GraphBotulinum!$B$41*'C botulinum'!J256+GraphBotulinum!$B$42</f>
        <v>-0.60903332933373555</v>
      </c>
      <c r="U256" s="10">
        <f>GraphBotulinum!$E$41*'C botulinum'!J256+GraphBotulinum!$E$42</f>
        <v>-0.89199294717882083</v>
      </c>
    </row>
    <row r="257" spans="1:21" x14ac:dyDescent="0.2">
      <c r="A257" s="1" t="s">
        <v>1228</v>
      </c>
      <c r="B257" s="1" t="s">
        <v>1234</v>
      </c>
      <c r="C257" s="1"/>
      <c r="D257" s="1" t="s">
        <v>302</v>
      </c>
      <c r="E257" s="1" t="s">
        <v>1361</v>
      </c>
      <c r="G257" s="1" t="s">
        <v>293</v>
      </c>
      <c r="H257" s="1"/>
      <c r="I257" s="5"/>
      <c r="J257" s="5">
        <v>121</v>
      </c>
      <c r="K257" s="9">
        <v>0.1</v>
      </c>
      <c r="L257" s="5"/>
      <c r="M257" s="11">
        <f t="shared" si="7"/>
        <v>-1</v>
      </c>
      <c r="N257" s="12">
        <f>GraphBotulinum!$B$9-('C botulinum'!J257-GraphBotulinum!$B$5)/GraphBotulinum!$B$4</f>
        <v>-0.88220255779995427</v>
      </c>
      <c r="O257" s="1" t="s">
        <v>308</v>
      </c>
      <c r="P257" s="1">
        <v>2000</v>
      </c>
      <c r="Q257" s="2"/>
      <c r="T257" s="10">
        <f>GraphBotulinum!$B$41*'C botulinum'!J257+GraphBotulinum!$B$42</f>
        <v>-0.60560246122457606</v>
      </c>
      <c r="U257" s="10">
        <f>GraphBotulinum!$E$41*'C botulinum'!J257+GraphBotulinum!$E$42</f>
        <v>-0.88220255779995327</v>
      </c>
    </row>
    <row r="258" spans="1:21" x14ac:dyDescent="0.2">
      <c r="A258" s="1" t="s">
        <v>1228</v>
      </c>
      <c r="B258" s="1" t="s">
        <v>1234</v>
      </c>
      <c r="C258" s="1"/>
      <c r="D258" s="1" t="s">
        <v>302</v>
      </c>
      <c r="E258" s="1" t="s">
        <v>1361</v>
      </c>
      <c r="G258" s="1" t="s">
        <v>293</v>
      </c>
      <c r="H258" s="1"/>
      <c r="I258" s="5"/>
      <c r="J258" s="5">
        <v>121</v>
      </c>
      <c r="K258" s="9">
        <v>0.2</v>
      </c>
      <c r="L258" s="5"/>
      <c r="M258" s="11">
        <f t="shared" si="7"/>
        <v>-0.69897000433601875</v>
      </c>
      <c r="N258" s="12">
        <f>GraphBotulinum!$B$9-('C botulinum'!J258-GraphBotulinum!$B$5)/GraphBotulinum!$B$4</f>
        <v>-0.88220255779995427</v>
      </c>
      <c r="O258" s="1" t="s">
        <v>308</v>
      </c>
      <c r="P258" s="1">
        <v>2000</v>
      </c>
      <c r="Q258" s="2"/>
      <c r="T258" s="10">
        <f>GraphBotulinum!$B$41*'C botulinum'!J258+GraphBotulinum!$B$42</f>
        <v>-0.60560246122457606</v>
      </c>
      <c r="U258" s="10">
        <f>GraphBotulinum!$E$41*'C botulinum'!J258+GraphBotulinum!$E$42</f>
        <v>-0.88220255779995327</v>
      </c>
    </row>
    <row r="259" spans="1:21" x14ac:dyDescent="0.2">
      <c r="A259" s="1" t="s">
        <v>1228</v>
      </c>
      <c r="B259" s="1" t="s">
        <v>1234</v>
      </c>
      <c r="C259" s="1" t="s">
        <v>1408</v>
      </c>
      <c r="D259" s="1" t="s">
        <v>1360</v>
      </c>
      <c r="E259" s="1" t="s">
        <v>1361</v>
      </c>
      <c r="F259" s="1" t="s">
        <v>43</v>
      </c>
      <c r="G259" s="1" t="s">
        <v>1244</v>
      </c>
      <c r="H259" s="1" t="s">
        <v>1270</v>
      </c>
      <c r="I259" s="4">
        <v>5.42</v>
      </c>
      <c r="J259" s="4">
        <v>100</v>
      </c>
      <c r="K259" s="11">
        <v>17.760000000000002</v>
      </c>
      <c r="L259" s="4">
        <v>7.9</v>
      </c>
      <c r="M259" s="11">
        <f t="shared" si="7"/>
        <v>1.2494429614425822</v>
      </c>
      <c r="N259" s="12">
        <f>GraphBotulinum!$B$9-('C botulinum'!J259-GraphBotulinum!$B$5)/GraphBotulinum!$B$4</f>
        <v>1.1737792117623664</v>
      </c>
      <c r="O259" s="2" t="s">
        <v>1226</v>
      </c>
      <c r="P259" s="2">
        <v>1996</v>
      </c>
      <c r="T259" s="10">
        <f>GraphBotulinum!$B$41*'C botulinum'!J259+GraphBotulinum!$B$42</f>
        <v>0.11487984169888721</v>
      </c>
      <c r="U259" s="10">
        <f>GraphBotulinum!$E$41*'C botulinum'!J259+GraphBotulinum!$E$42</f>
        <v>1.1737792117623673</v>
      </c>
    </row>
    <row r="260" spans="1:21" x14ac:dyDescent="0.2">
      <c r="A260" s="1" t="s">
        <v>1228</v>
      </c>
      <c r="B260" s="1" t="s">
        <v>1234</v>
      </c>
      <c r="C260" s="1" t="s">
        <v>1408</v>
      </c>
      <c r="D260" s="1" t="s">
        <v>1360</v>
      </c>
      <c r="E260" s="1" t="s">
        <v>1361</v>
      </c>
      <c r="F260" s="1" t="s">
        <v>43</v>
      </c>
      <c r="G260" s="1" t="s">
        <v>1244</v>
      </c>
      <c r="H260" s="1" t="s">
        <v>1270</v>
      </c>
      <c r="I260" s="4">
        <v>5.42</v>
      </c>
      <c r="J260" s="4">
        <v>110</v>
      </c>
      <c r="K260" s="11">
        <v>1.06</v>
      </c>
      <c r="L260" s="4">
        <v>7.9</v>
      </c>
      <c r="M260" s="11">
        <f t="shared" si="7"/>
        <v>2.5305865264770262E-2</v>
      </c>
      <c r="N260" s="12">
        <f>GraphBotulinum!$B$9-('C botulinum'!J260-GraphBotulinum!$B$5)/GraphBotulinum!$B$4</f>
        <v>0.19474027387554704</v>
      </c>
      <c r="O260" s="2" t="s">
        <v>1226</v>
      </c>
      <c r="P260" s="2">
        <v>1996</v>
      </c>
      <c r="T260" s="10">
        <f>GraphBotulinum!$B$41*'C botulinum'!J260+GraphBotulinum!$B$42</f>
        <v>-0.22820696921704764</v>
      </c>
      <c r="U260" s="10">
        <f>GraphBotulinum!$E$41*'C botulinum'!J260+GraphBotulinum!$E$42</f>
        <v>0.19474027387554749</v>
      </c>
    </row>
    <row r="261" spans="1:21" x14ac:dyDescent="0.2">
      <c r="A261" s="1" t="s">
        <v>1228</v>
      </c>
      <c r="B261" s="1" t="s">
        <v>1234</v>
      </c>
      <c r="C261" s="1" t="s">
        <v>1408</v>
      </c>
      <c r="D261" s="1" t="s">
        <v>1360</v>
      </c>
      <c r="E261" s="1" t="s">
        <v>1361</v>
      </c>
      <c r="F261" s="1" t="s">
        <v>43</v>
      </c>
      <c r="G261" s="1" t="s">
        <v>1244</v>
      </c>
      <c r="H261" s="1" t="s">
        <v>1270</v>
      </c>
      <c r="I261" s="4">
        <v>5.04</v>
      </c>
      <c r="J261" s="4">
        <v>100</v>
      </c>
      <c r="K261" s="11">
        <v>11.87</v>
      </c>
      <c r="L261" s="4">
        <v>9.6999999999999993</v>
      </c>
      <c r="M261" s="11">
        <f t="shared" si="7"/>
        <v>1.0744507189545911</v>
      </c>
      <c r="N261" s="12">
        <f>GraphBotulinum!$B$9-('C botulinum'!J261-GraphBotulinum!$B$5)/GraphBotulinum!$B$4</f>
        <v>1.1737792117623664</v>
      </c>
      <c r="O261" s="2" t="s">
        <v>1226</v>
      </c>
      <c r="P261" s="2">
        <v>1996</v>
      </c>
      <c r="T261" s="10">
        <f>GraphBotulinum!$B$41*'C botulinum'!J261+GraphBotulinum!$B$42</f>
        <v>0.11487984169888721</v>
      </c>
      <c r="U261" s="10">
        <f>GraphBotulinum!$E$41*'C botulinum'!J261+GraphBotulinum!$E$42</f>
        <v>1.1737792117623673</v>
      </c>
    </row>
    <row r="262" spans="1:21" x14ac:dyDescent="0.2">
      <c r="A262" s="1" t="s">
        <v>1228</v>
      </c>
      <c r="B262" s="1" t="s">
        <v>1234</v>
      </c>
      <c r="C262" s="1" t="s">
        <v>1408</v>
      </c>
      <c r="D262" s="1" t="s">
        <v>1360</v>
      </c>
      <c r="E262" s="1" t="s">
        <v>1361</v>
      </c>
      <c r="F262" s="1" t="s">
        <v>43</v>
      </c>
      <c r="G262" s="1" t="s">
        <v>1244</v>
      </c>
      <c r="H262" s="1" t="s">
        <v>1270</v>
      </c>
      <c r="I262" s="4">
        <v>5.04</v>
      </c>
      <c r="J262" s="4">
        <v>110</v>
      </c>
      <c r="K262" s="11">
        <v>1.0900000000000001</v>
      </c>
      <c r="L262" s="4">
        <v>9.6999999999999993</v>
      </c>
      <c r="M262" s="11">
        <f t="shared" si="7"/>
        <v>3.7426497940623665E-2</v>
      </c>
      <c r="N262" s="12">
        <f>GraphBotulinum!$B$9-('C botulinum'!J262-GraphBotulinum!$B$5)/GraphBotulinum!$B$4</f>
        <v>0.19474027387554704</v>
      </c>
      <c r="O262" s="2" t="s">
        <v>1226</v>
      </c>
      <c r="P262" s="2">
        <v>1996</v>
      </c>
      <c r="T262" s="10">
        <f>GraphBotulinum!$B$41*'C botulinum'!J262+GraphBotulinum!$B$42</f>
        <v>-0.22820696921704764</v>
      </c>
      <c r="U262" s="10">
        <f>GraphBotulinum!$E$41*'C botulinum'!J262+GraphBotulinum!$E$42</f>
        <v>0.19474027387554749</v>
      </c>
    </row>
    <row r="263" spans="1:21" x14ac:dyDescent="0.2">
      <c r="A263" s="1" t="s">
        <v>1228</v>
      </c>
      <c r="B263" s="1" t="s">
        <v>1234</v>
      </c>
      <c r="C263" s="1" t="s">
        <v>1408</v>
      </c>
      <c r="D263" s="1" t="s">
        <v>1360</v>
      </c>
      <c r="E263" s="1" t="s">
        <v>1361</v>
      </c>
      <c r="F263" s="1" t="s">
        <v>43</v>
      </c>
      <c r="G263" s="1" t="s">
        <v>1293</v>
      </c>
      <c r="H263" s="1"/>
      <c r="J263" s="4">
        <v>110</v>
      </c>
      <c r="K263" s="11">
        <v>0.86</v>
      </c>
      <c r="L263" s="4">
        <v>9.6999999999999993</v>
      </c>
      <c r="M263" s="11">
        <f t="shared" si="7"/>
        <v>-6.5501548756432285E-2</v>
      </c>
      <c r="N263" s="12">
        <f>GraphBotulinum!$B$9-('C botulinum'!J263-GraphBotulinum!$B$5)/GraphBotulinum!$B$4</f>
        <v>0.19474027387554704</v>
      </c>
      <c r="O263" s="2" t="s">
        <v>1226</v>
      </c>
      <c r="P263" s="2">
        <v>1996</v>
      </c>
      <c r="T263" s="10">
        <f>GraphBotulinum!$B$41*'C botulinum'!J263+GraphBotulinum!$B$42</f>
        <v>-0.22820696921704764</v>
      </c>
      <c r="U263" s="10">
        <f>GraphBotulinum!$E$41*'C botulinum'!J263+GraphBotulinum!$E$42</f>
        <v>0.19474027387554749</v>
      </c>
    </row>
    <row r="264" spans="1:21" x14ac:dyDescent="0.2">
      <c r="A264" s="1" t="s">
        <v>1228</v>
      </c>
      <c r="B264" s="1" t="s">
        <v>1234</v>
      </c>
      <c r="C264" s="1" t="s">
        <v>1408</v>
      </c>
      <c r="D264" s="1" t="s">
        <v>1360</v>
      </c>
      <c r="E264" s="1" t="s">
        <v>1361</v>
      </c>
      <c r="F264" s="1" t="s">
        <v>43</v>
      </c>
      <c r="G264" s="1" t="s">
        <v>1293</v>
      </c>
      <c r="H264" s="1"/>
      <c r="J264" s="4">
        <v>115.6</v>
      </c>
      <c r="K264" s="11">
        <v>0.28000000000000003</v>
      </c>
      <c r="L264" s="4">
        <v>9.6999999999999993</v>
      </c>
      <c r="M264" s="11">
        <f t="shared" si="7"/>
        <v>-0.55284196865778079</v>
      </c>
      <c r="N264" s="12">
        <f>GraphBotulinum!$B$9-('C botulinum'!J264-GraphBotulinum!$B$5)/GraphBotulinum!$B$4</f>
        <v>-0.35352153134107128</v>
      </c>
      <c r="O264" s="2" t="s">
        <v>1226</v>
      </c>
      <c r="P264" s="2">
        <v>1996</v>
      </c>
      <c r="T264" s="10">
        <f>GraphBotulinum!$B$41*'C botulinum'!J264+GraphBotulinum!$B$42</f>
        <v>-0.42033558332997112</v>
      </c>
      <c r="U264" s="10">
        <f>GraphBotulinum!$E$41*'C botulinum'!J264+GraphBotulinum!$E$42</f>
        <v>-0.35352153134106956</v>
      </c>
    </row>
    <row r="265" spans="1:21" x14ac:dyDescent="0.2">
      <c r="A265" s="1" t="s">
        <v>1228</v>
      </c>
      <c r="B265" s="1" t="s">
        <v>1234</v>
      </c>
      <c r="C265" s="1" t="s">
        <v>1408</v>
      </c>
      <c r="D265" s="1" t="s">
        <v>1360</v>
      </c>
      <c r="E265" s="1" t="s">
        <v>1361</v>
      </c>
      <c r="F265" s="1" t="s">
        <v>43</v>
      </c>
      <c r="G265" s="1" t="s">
        <v>1245</v>
      </c>
      <c r="H265" s="1"/>
      <c r="J265" s="4">
        <v>115.6</v>
      </c>
      <c r="K265" s="11">
        <v>0.56999999999999995</v>
      </c>
      <c r="L265" s="4">
        <v>10.8</v>
      </c>
      <c r="M265" s="11">
        <f t="shared" si="7"/>
        <v>-0.24412514432750865</v>
      </c>
      <c r="N265" s="12">
        <f>GraphBotulinum!$B$9-('C botulinum'!J265-GraphBotulinum!$B$5)/GraphBotulinum!$B$4</f>
        <v>-0.35352153134107128</v>
      </c>
      <c r="O265" s="2" t="s">
        <v>1226</v>
      </c>
      <c r="P265" s="2">
        <v>1996</v>
      </c>
      <c r="T265" s="10">
        <f>GraphBotulinum!$B$41*'C botulinum'!J265+GraphBotulinum!$B$42</f>
        <v>-0.42033558332997112</v>
      </c>
      <c r="U265" s="10">
        <f>GraphBotulinum!$E$41*'C botulinum'!J265+GraphBotulinum!$E$42</f>
        <v>-0.35352153134106956</v>
      </c>
    </row>
    <row r="266" spans="1:21" x14ac:dyDescent="0.2">
      <c r="A266" s="1" t="s">
        <v>1228</v>
      </c>
      <c r="B266" s="1" t="s">
        <v>1234</v>
      </c>
      <c r="C266" s="1" t="s">
        <v>1408</v>
      </c>
      <c r="D266" s="1" t="s">
        <v>1360</v>
      </c>
      <c r="E266" s="1" t="s">
        <v>1361</v>
      </c>
      <c r="F266" s="1" t="s">
        <v>43</v>
      </c>
      <c r="G266" s="1" t="s">
        <v>1245</v>
      </c>
      <c r="H266" s="1"/>
      <c r="J266" s="4">
        <v>110</v>
      </c>
      <c r="K266" s="11">
        <v>1.17</v>
      </c>
      <c r="L266" s="4">
        <v>10.8</v>
      </c>
      <c r="M266" s="11">
        <f t="shared" ref="M266:M329" si="8">LOG(K266)</f>
        <v>6.8185861746161619E-2</v>
      </c>
      <c r="N266" s="12">
        <f>GraphBotulinum!$B$9-('C botulinum'!J266-GraphBotulinum!$B$5)/GraphBotulinum!$B$4</f>
        <v>0.19474027387554704</v>
      </c>
      <c r="O266" s="2" t="s">
        <v>1226</v>
      </c>
      <c r="P266" s="2">
        <v>1996</v>
      </c>
      <c r="T266" s="10">
        <f>GraphBotulinum!$B$41*'C botulinum'!J266+GraphBotulinum!$B$42</f>
        <v>-0.22820696921704764</v>
      </c>
      <c r="U266" s="10">
        <f>GraphBotulinum!$E$41*'C botulinum'!J266+GraphBotulinum!$E$42</f>
        <v>0.19474027387554749</v>
      </c>
    </row>
    <row r="267" spans="1:21" x14ac:dyDescent="0.2">
      <c r="A267" s="1" t="s">
        <v>1228</v>
      </c>
      <c r="B267" s="1" t="s">
        <v>1234</v>
      </c>
      <c r="C267" s="1" t="s">
        <v>1408</v>
      </c>
      <c r="D267" s="1" t="s">
        <v>1360</v>
      </c>
      <c r="E267" s="1" t="s">
        <v>1361</v>
      </c>
      <c r="F267" s="1" t="s">
        <v>43</v>
      </c>
      <c r="G267" s="1" t="s">
        <v>1295</v>
      </c>
      <c r="H267" s="1" t="s">
        <v>1294</v>
      </c>
      <c r="J267" s="4">
        <v>110</v>
      </c>
      <c r="K267" s="11">
        <v>0.94</v>
      </c>
      <c r="L267" s="4">
        <v>9.4</v>
      </c>
      <c r="M267" s="11">
        <f t="shared" si="8"/>
        <v>-2.6872146400301365E-2</v>
      </c>
      <c r="N267" s="12">
        <f>GraphBotulinum!$B$9-('C botulinum'!J267-GraphBotulinum!$B$5)/GraphBotulinum!$B$4</f>
        <v>0.19474027387554704</v>
      </c>
      <c r="O267" s="2" t="s">
        <v>1226</v>
      </c>
      <c r="P267" s="2">
        <v>1996</v>
      </c>
      <c r="T267" s="10">
        <f>GraphBotulinum!$B$41*'C botulinum'!J267+GraphBotulinum!$B$42</f>
        <v>-0.22820696921704764</v>
      </c>
      <c r="U267" s="10">
        <f>GraphBotulinum!$E$41*'C botulinum'!J267+GraphBotulinum!$E$42</f>
        <v>0.19474027387554749</v>
      </c>
    </row>
    <row r="268" spans="1:21" x14ac:dyDescent="0.2">
      <c r="A268" s="1" t="s">
        <v>1228</v>
      </c>
      <c r="B268" s="1" t="s">
        <v>1234</v>
      </c>
      <c r="C268" s="1" t="s">
        <v>1408</v>
      </c>
      <c r="D268" s="1" t="s">
        <v>1360</v>
      </c>
      <c r="E268" s="1" t="s">
        <v>1361</v>
      </c>
      <c r="F268" s="1" t="s">
        <v>43</v>
      </c>
      <c r="G268" s="1" t="s">
        <v>1295</v>
      </c>
      <c r="H268" s="1" t="s">
        <v>1294</v>
      </c>
      <c r="J268" s="4">
        <v>115.6</v>
      </c>
      <c r="K268" s="11">
        <v>0.26</v>
      </c>
      <c r="L268" s="4">
        <v>9.4</v>
      </c>
      <c r="M268" s="11">
        <f t="shared" si="8"/>
        <v>-0.58502665202918203</v>
      </c>
      <c r="N268" s="12">
        <f>GraphBotulinum!$B$9-('C botulinum'!J268-GraphBotulinum!$B$5)/GraphBotulinum!$B$4</f>
        <v>-0.35352153134107128</v>
      </c>
      <c r="O268" s="2" t="s">
        <v>1226</v>
      </c>
      <c r="P268" s="2">
        <v>1996</v>
      </c>
      <c r="T268" s="10">
        <f>GraphBotulinum!$B$41*'C botulinum'!J268+GraphBotulinum!$B$42</f>
        <v>-0.42033558332997112</v>
      </c>
      <c r="U268" s="10">
        <f>GraphBotulinum!$E$41*'C botulinum'!J268+GraphBotulinum!$E$42</f>
        <v>-0.35352153134106956</v>
      </c>
    </row>
    <row r="269" spans="1:21" x14ac:dyDescent="0.2">
      <c r="A269" s="1" t="s">
        <v>1228</v>
      </c>
      <c r="B269" s="1" t="s">
        <v>1234</v>
      </c>
      <c r="C269" s="1" t="s">
        <v>1408</v>
      </c>
      <c r="D269" s="1" t="s">
        <v>1360</v>
      </c>
      <c r="E269" s="1" t="s">
        <v>1361</v>
      </c>
      <c r="F269" s="1" t="s">
        <v>43</v>
      </c>
      <c r="G269" s="1" t="s">
        <v>1246</v>
      </c>
      <c r="H269" s="1" t="s">
        <v>1270</v>
      </c>
      <c r="J269" s="4">
        <v>110</v>
      </c>
      <c r="K269" s="11">
        <v>2.15</v>
      </c>
      <c r="L269" s="4">
        <v>9.6</v>
      </c>
      <c r="M269" s="11">
        <f t="shared" si="8"/>
        <v>0.33243845991560533</v>
      </c>
      <c r="N269" s="12">
        <f>GraphBotulinum!$B$9-('C botulinum'!J269-GraphBotulinum!$B$5)/GraphBotulinum!$B$4</f>
        <v>0.19474027387554704</v>
      </c>
      <c r="O269" s="2" t="s">
        <v>1226</v>
      </c>
      <c r="P269" s="2">
        <v>1996</v>
      </c>
      <c r="T269" s="10">
        <f>GraphBotulinum!$B$41*'C botulinum'!J269+GraphBotulinum!$B$42</f>
        <v>-0.22820696921704764</v>
      </c>
      <c r="U269" s="10">
        <f>GraphBotulinum!$E$41*'C botulinum'!J269+GraphBotulinum!$E$42</f>
        <v>0.19474027387554749</v>
      </c>
    </row>
    <row r="270" spans="1:21" x14ac:dyDescent="0.2">
      <c r="A270" s="1" t="s">
        <v>1228</v>
      </c>
      <c r="B270" s="1" t="s">
        <v>1234</v>
      </c>
      <c r="C270" s="1" t="s">
        <v>1408</v>
      </c>
      <c r="D270" s="1" t="s">
        <v>1360</v>
      </c>
      <c r="E270" s="1" t="s">
        <v>1361</v>
      </c>
      <c r="F270" s="1" t="s">
        <v>43</v>
      </c>
      <c r="G270" s="1" t="s">
        <v>1246</v>
      </c>
      <c r="H270" s="1" t="s">
        <v>1270</v>
      </c>
      <c r="J270" s="4">
        <v>115</v>
      </c>
      <c r="K270" s="11">
        <v>0.88</v>
      </c>
      <c r="L270" s="4">
        <v>9.6</v>
      </c>
      <c r="M270" s="11">
        <f t="shared" si="8"/>
        <v>-5.551732784983137E-2</v>
      </c>
      <c r="N270" s="12">
        <f>GraphBotulinum!$B$9-('C botulinum'!J270-GraphBotulinum!$B$5)/GraphBotulinum!$B$4</f>
        <v>-0.29477919506786265</v>
      </c>
      <c r="O270" s="2" t="s">
        <v>1226</v>
      </c>
      <c r="P270" s="2">
        <v>1996</v>
      </c>
      <c r="T270" s="10">
        <f>GraphBotulinum!$B$41*'C botulinum'!J270+GraphBotulinum!$B$42</f>
        <v>-0.39975037467501506</v>
      </c>
      <c r="U270" s="10">
        <f>GraphBotulinum!$E$41*'C botulinum'!J270+GraphBotulinum!$E$42</f>
        <v>-0.29477919506786243</v>
      </c>
    </row>
    <row r="271" spans="1:21" x14ac:dyDescent="0.2">
      <c r="A271" s="1" t="s">
        <v>1228</v>
      </c>
      <c r="B271" s="1" t="s">
        <v>1234</v>
      </c>
      <c r="C271" s="1" t="s">
        <v>1408</v>
      </c>
      <c r="D271" s="1" t="s">
        <v>1360</v>
      </c>
      <c r="E271" s="1" t="s">
        <v>1361</v>
      </c>
      <c r="F271" s="1" t="s">
        <v>43</v>
      </c>
      <c r="G271" s="1" t="s">
        <v>1246</v>
      </c>
      <c r="H271" s="1" t="s">
        <v>1270</v>
      </c>
      <c r="J271" s="4">
        <v>120</v>
      </c>
      <c r="K271" s="11">
        <v>0.24</v>
      </c>
      <c r="L271" s="4">
        <v>9.6</v>
      </c>
      <c r="M271" s="11">
        <f t="shared" si="8"/>
        <v>-0.61978875828839397</v>
      </c>
      <c r="N271" s="12">
        <f>GraphBotulinum!$B$9-('C botulinum'!J271-GraphBotulinum!$B$5)/GraphBotulinum!$B$4</f>
        <v>-0.78429866401127235</v>
      </c>
      <c r="O271" s="2" t="s">
        <v>1226</v>
      </c>
      <c r="P271" s="2">
        <v>1996</v>
      </c>
      <c r="T271" s="10">
        <f>GraphBotulinum!$B$41*'C botulinum'!J271+GraphBotulinum!$B$42</f>
        <v>-0.57129378013298293</v>
      </c>
      <c r="U271" s="10">
        <f>GraphBotulinum!$E$41*'C botulinum'!J271+GraphBotulinum!$E$42</f>
        <v>-0.78429866401127057</v>
      </c>
    </row>
    <row r="272" spans="1:21" x14ac:dyDescent="0.2">
      <c r="A272" s="1" t="s">
        <v>1228</v>
      </c>
      <c r="B272" s="1" t="s">
        <v>1234</v>
      </c>
      <c r="C272" s="1" t="s">
        <v>1408</v>
      </c>
      <c r="D272" s="1" t="s">
        <v>1360</v>
      </c>
      <c r="E272" s="1" t="s">
        <v>1361</v>
      </c>
      <c r="F272" s="1" t="s">
        <v>43</v>
      </c>
      <c r="G272" s="1" t="s">
        <v>1246</v>
      </c>
      <c r="H272" s="1" t="s">
        <v>1286</v>
      </c>
      <c r="I272" s="5">
        <v>6.9</v>
      </c>
      <c r="J272" s="5">
        <v>110</v>
      </c>
      <c r="K272" s="9">
        <v>2.88</v>
      </c>
      <c r="L272" s="5">
        <v>10.6</v>
      </c>
      <c r="M272" s="11">
        <f t="shared" si="8"/>
        <v>0.45939248775923086</v>
      </c>
      <c r="N272" s="12">
        <f>GraphBotulinum!$B$9-('C botulinum'!J272-GraphBotulinum!$B$5)/GraphBotulinum!$B$4</f>
        <v>0.19474027387554704</v>
      </c>
      <c r="O272" s="2" t="s">
        <v>1226</v>
      </c>
      <c r="P272" s="2">
        <v>1996</v>
      </c>
      <c r="Q272" s="2"/>
      <c r="T272" s="10">
        <f>GraphBotulinum!$B$41*'C botulinum'!J272+GraphBotulinum!$B$42</f>
        <v>-0.22820696921704764</v>
      </c>
      <c r="U272" s="10">
        <f>GraphBotulinum!$E$41*'C botulinum'!J272+GraphBotulinum!$E$42</f>
        <v>0.19474027387554749</v>
      </c>
    </row>
    <row r="273" spans="1:21" x14ac:dyDescent="0.2">
      <c r="A273" s="1" t="s">
        <v>1228</v>
      </c>
      <c r="B273" s="1" t="s">
        <v>1234</v>
      </c>
      <c r="C273" s="1" t="s">
        <v>1408</v>
      </c>
      <c r="D273" s="1" t="s">
        <v>1360</v>
      </c>
      <c r="E273" s="1" t="s">
        <v>1361</v>
      </c>
      <c r="F273" s="1" t="s">
        <v>43</v>
      </c>
      <c r="G273" s="1" t="s">
        <v>1246</v>
      </c>
      <c r="H273" s="1" t="s">
        <v>1286</v>
      </c>
      <c r="I273" s="5">
        <v>6.9</v>
      </c>
      <c r="J273" s="5">
        <v>115.6</v>
      </c>
      <c r="K273" s="9">
        <v>0.9</v>
      </c>
      <c r="L273" s="5"/>
      <c r="M273" s="11">
        <f t="shared" si="8"/>
        <v>-4.5757490560675115E-2</v>
      </c>
      <c r="N273" s="12">
        <f>GraphBotulinum!$B$9-('C botulinum'!J273-GraphBotulinum!$B$5)/GraphBotulinum!$B$4</f>
        <v>-0.35352153134107128</v>
      </c>
      <c r="O273" s="2" t="s">
        <v>1226</v>
      </c>
      <c r="P273" s="2">
        <v>1996</v>
      </c>
      <c r="Q273" s="2"/>
      <c r="T273" s="10">
        <f>GraphBotulinum!$B$41*'C botulinum'!J273+GraphBotulinum!$B$42</f>
        <v>-0.42033558332997112</v>
      </c>
      <c r="U273" s="10">
        <f>GraphBotulinum!$E$41*'C botulinum'!J273+GraphBotulinum!$E$42</f>
        <v>-0.35352153134106956</v>
      </c>
    </row>
    <row r="274" spans="1:21" x14ac:dyDescent="0.2">
      <c r="A274" s="1" t="s">
        <v>1228</v>
      </c>
      <c r="B274" s="1" t="s">
        <v>1234</v>
      </c>
      <c r="C274" s="1" t="s">
        <v>1408</v>
      </c>
      <c r="D274" s="1" t="s">
        <v>1360</v>
      </c>
      <c r="E274" s="1" t="s">
        <v>1361</v>
      </c>
      <c r="F274" s="1" t="s">
        <v>43</v>
      </c>
      <c r="G274" s="1" t="s">
        <v>1246</v>
      </c>
      <c r="H274" s="1"/>
      <c r="J274" s="4">
        <v>110</v>
      </c>
      <c r="K274" s="11">
        <v>1.03</v>
      </c>
      <c r="L274" s="4">
        <v>10</v>
      </c>
      <c r="M274" s="11">
        <f t="shared" si="8"/>
        <v>1.2837224705172217E-2</v>
      </c>
      <c r="N274" s="12">
        <f>GraphBotulinum!$B$9-('C botulinum'!J274-GraphBotulinum!$B$5)/GraphBotulinum!$B$4</f>
        <v>0.19474027387554704</v>
      </c>
      <c r="O274" s="2" t="s">
        <v>1226</v>
      </c>
      <c r="P274" s="2">
        <v>1996</v>
      </c>
      <c r="T274" s="10">
        <f>GraphBotulinum!$B$41*'C botulinum'!J274+GraphBotulinum!$B$42</f>
        <v>-0.22820696921704764</v>
      </c>
      <c r="U274" s="10">
        <f>GraphBotulinum!$E$41*'C botulinum'!J274+GraphBotulinum!$E$42</f>
        <v>0.19474027387554749</v>
      </c>
    </row>
    <row r="275" spans="1:21" x14ac:dyDescent="0.2">
      <c r="A275" s="1" t="s">
        <v>1228</v>
      </c>
      <c r="B275" s="1" t="s">
        <v>1234</v>
      </c>
      <c r="C275" s="1" t="s">
        <v>1408</v>
      </c>
      <c r="D275" s="1" t="s">
        <v>1360</v>
      </c>
      <c r="E275" s="1" t="s">
        <v>1361</v>
      </c>
      <c r="F275" s="1" t="s">
        <v>43</v>
      </c>
      <c r="G275" s="1" t="s">
        <v>1246</v>
      </c>
      <c r="H275" s="1"/>
      <c r="J275" s="4">
        <v>115.6</v>
      </c>
      <c r="K275" s="11">
        <v>0.73</v>
      </c>
      <c r="L275" s="4">
        <v>10</v>
      </c>
      <c r="M275" s="11">
        <f t="shared" si="8"/>
        <v>-0.13667713987954411</v>
      </c>
      <c r="N275" s="12">
        <f>GraphBotulinum!$B$9-('C botulinum'!J275-GraphBotulinum!$B$5)/GraphBotulinum!$B$4</f>
        <v>-0.35352153134107128</v>
      </c>
      <c r="O275" s="2" t="s">
        <v>1226</v>
      </c>
      <c r="P275" s="2">
        <v>1996</v>
      </c>
      <c r="T275" s="10">
        <f>GraphBotulinum!$B$41*'C botulinum'!J275+GraphBotulinum!$B$42</f>
        <v>-0.42033558332997112</v>
      </c>
      <c r="U275" s="10">
        <f>GraphBotulinum!$E$41*'C botulinum'!J275+GraphBotulinum!$E$42</f>
        <v>-0.35352153134106956</v>
      </c>
    </row>
    <row r="276" spans="1:21" x14ac:dyDescent="0.2">
      <c r="A276" s="1" t="s">
        <v>1228</v>
      </c>
      <c r="B276" s="1" t="s">
        <v>1234</v>
      </c>
      <c r="C276" s="1" t="s">
        <v>1408</v>
      </c>
      <c r="D276" s="1" t="s">
        <v>1360</v>
      </c>
      <c r="E276" s="1" t="s">
        <v>1361</v>
      </c>
      <c r="F276" s="1" t="s">
        <v>43</v>
      </c>
      <c r="G276" s="1" t="s">
        <v>1290</v>
      </c>
      <c r="H276" s="1" t="s">
        <v>1274</v>
      </c>
      <c r="J276" s="4">
        <v>115</v>
      </c>
      <c r="K276" s="11">
        <v>0.56999999999999995</v>
      </c>
      <c r="L276" s="4">
        <v>8.1999999999999993</v>
      </c>
      <c r="M276" s="11">
        <f t="shared" si="8"/>
        <v>-0.24412514432750865</v>
      </c>
      <c r="N276" s="12">
        <f>GraphBotulinum!$B$9-('C botulinum'!J276-GraphBotulinum!$B$5)/GraphBotulinum!$B$4</f>
        <v>-0.29477919506786265</v>
      </c>
      <c r="O276" s="2" t="s">
        <v>1226</v>
      </c>
      <c r="P276" s="2">
        <v>1996</v>
      </c>
      <c r="Q276" s="2" t="s">
        <v>1253</v>
      </c>
      <c r="T276" s="10">
        <f>GraphBotulinum!$B$41*'C botulinum'!J276+GraphBotulinum!$B$42</f>
        <v>-0.39975037467501506</v>
      </c>
      <c r="U276" s="10">
        <f>GraphBotulinum!$E$41*'C botulinum'!J276+GraphBotulinum!$E$42</f>
        <v>-0.29477919506786243</v>
      </c>
    </row>
    <row r="277" spans="1:21" x14ac:dyDescent="0.2">
      <c r="A277" s="1" t="s">
        <v>1228</v>
      </c>
      <c r="B277" s="1" t="s">
        <v>1234</v>
      </c>
      <c r="C277" s="1" t="s">
        <v>1408</v>
      </c>
      <c r="D277" s="1" t="s">
        <v>1360</v>
      </c>
      <c r="E277" s="1" t="s">
        <v>1361</v>
      </c>
      <c r="F277" s="1" t="s">
        <v>43</v>
      </c>
      <c r="G277" s="1" t="s">
        <v>1273</v>
      </c>
      <c r="H277" s="1" t="s">
        <v>1270</v>
      </c>
      <c r="J277" s="4">
        <v>115</v>
      </c>
      <c r="K277" s="11">
        <v>0.42</v>
      </c>
      <c r="L277" s="4">
        <v>9.6</v>
      </c>
      <c r="M277" s="11">
        <f t="shared" si="8"/>
        <v>-0.37675070960209955</v>
      </c>
      <c r="N277" s="12">
        <f>GraphBotulinum!$B$9-('C botulinum'!J277-GraphBotulinum!$B$5)/GraphBotulinum!$B$4</f>
        <v>-0.29477919506786265</v>
      </c>
      <c r="O277" s="2" t="s">
        <v>1226</v>
      </c>
      <c r="P277" s="2">
        <v>1996</v>
      </c>
      <c r="Q277" s="2" t="s">
        <v>1253</v>
      </c>
      <c r="T277" s="10">
        <f>GraphBotulinum!$B$41*'C botulinum'!J277+GraphBotulinum!$B$42</f>
        <v>-0.39975037467501506</v>
      </c>
      <c r="U277" s="10">
        <f>GraphBotulinum!$E$41*'C botulinum'!J277+GraphBotulinum!$E$42</f>
        <v>-0.29477919506786243</v>
      </c>
    </row>
    <row r="278" spans="1:21" x14ac:dyDescent="0.2">
      <c r="A278" s="1" t="s">
        <v>1228</v>
      </c>
      <c r="B278" s="1" t="s">
        <v>1234</v>
      </c>
      <c r="C278" s="1" t="s">
        <v>1408</v>
      </c>
      <c r="D278" s="1" t="s">
        <v>1360</v>
      </c>
      <c r="E278" s="1" t="s">
        <v>1361</v>
      </c>
      <c r="F278" s="1" t="s">
        <v>43</v>
      </c>
      <c r="G278" s="1" t="s">
        <v>1289</v>
      </c>
      <c r="H278" s="1" t="s">
        <v>1274</v>
      </c>
      <c r="J278" s="4">
        <v>115</v>
      </c>
      <c r="K278" s="11">
        <v>0.63</v>
      </c>
      <c r="L278" s="4">
        <v>8.1999999999999993</v>
      </c>
      <c r="M278" s="11">
        <f t="shared" si="8"/>
        <v>-0.20065945054641829</v>
      </c>
      <c r="N278" s="12">
        <f>GraphBotulinum!$B$9-('C botulinum'!J278-GraphBotulinum!$B$5)/GraphBotulinum!$B$4</f>
        <v>-0.29477919506786265</v>
      </c>
      <c r="O278" s="2" t="s">
        <v>1226</v>
      </c>
      <c r="P278" s="2">
        <v>1996</v>
      </c>
      <c r="Q278" s="2" t="s">
        <v>1253</v>
      </c>
      <c r="T278" s="10">
        <f>GraphBotulinum!$B$41*'C botulinum'!J278+GraphBotulinum!$B$42</f>
        <v>-0.39975037467501506</v>
      </c>
      <c r="U278" s="10">
        <f>GraphBotulinum!$E$41*'C botulinum'!J278+GraphBotulinum!$E$42</f>
        <v>-0.29477919506786243</v>
      </c>
    </row>
    <row r="279" spans="1:21" x14ac:dyDescent="0.2">
      <c r="A279" s="1" t="s">
        <v>1228</v>
      </c>
      <c r="B279" s="1" t="s">
        <v>1234</v>
      </c>
      <c r="C279" s="1" t="s">
        <v>1403</v>
      </c>
      <c r="D279" s="1" t="s">
        <v>1360</v>
      </c>
      <c r="E279" s="1" t="s">
        <v>1361</v>
      </c>
      <c r="F279" s="1" t="s">
        <v>46</v>
      </c>
      <c r="G279" s="1" t="s">
        <v>1288</v>
      </c>
      <c r="H279" s="1" t="s">
        <v>1287</v>
      </c>
      <c r="I279" s="4">
        <v>6.6</v>
      </c>
      <c r="J279" s="4">
        <v>110</v>
      </c>
      <c r="K279" s="11">
        <v>2.97</v>
      </c>
      <c r="L279" s="4">
        <v>10.6</v>
      </c>
      <c r="M279" s="11">
        <f t="shared" si="8"/>
        <v>0.47275644931721239</v>
      </c>
      <c r="N279" s="12">
        <f>GraphBotulinum!$B$9-('C botulinum'!J279-GraphBotulinum!$B$5)/GraphBotulinum!$B$4</f>
        <v>0.19474027387554704</v>
      </c>
      <c r="O279" s="2" t="s">
        <v>1226</v>
      </c>
      <c r="P279" s="2">
        <v>1996</v>
      </c>
      <c r="T279" s="10">
        <f>GraphBotulinum!$B$41*'C botulinum'!J279+GraphBotulinum!$B$42</f>
        <v>-0.22820696921704764</v>
      </c>
      <c r="U279" s="10">
        <f>GraphBotulinum!$E$41*'C botulinum'!J279+GraphBotulinum!$E$42</f>
        <v>0.19474027387554749</v>
      </c>
    </row>
    <row r="280" spans="1:21" x14ac:dyDescent="0.2">
      <c r="A280" s="1" t="s">
        <v>1228</v>
      </c>
      <c r="B280" s="1" t="s">
        <v>1234</v>
      </c>
      <c r="C280" s="1" t="s">
        <v>1403</v>
      </c>
      <c r="D280" s="1" t="s">
        <v>1360</v>
      </c>
      <c r="E280" s="1" t="s">
        <v>1361</v>
      </c>
      <c r="F280" s="1" t="s">
        <v>46</v>
      </c>
      <c r="G280" s="1" t="s">
        <v>1288</v>
      </c>
      <c r="H280" s="1" t="s">
        <v>1287</v>
      </c>
      <c r="I280" s="4">
        <v>6.6</v>
      </c>
      <c r="J280" s="4">
        <v>110</v>
      </c>
      <c r="K280" s="11">
        <v>3.33</v>
      </c>
      <c r="L280" s="4">
        <v>10.6</v>
      </c>
      <c r="M280" s="11">
        <f t="shared" si="8"/>
        <v>0.52244423350631986</v>
      </c>
      <c r="N280" s="12">
        <f>GraphBotulinum!$B$9-('C botulinum'!J280-GraphBotulinum!$B$5)/GraphBotulinum!$B$4</f>
        <v>0.19474027387554704</v>
      </c>
      <c r="O280" s="2" t="s">
        <v>1226</v>
      </c>
      <c r="P280" s="2">
        <v>1996</v>
      </c>
      <c r="T280" s="10">
        <f>GraphBotulinum!$B$41*'C botulinum'!J280+GraphBotulinum!$B$42</f>
        <v>-0.22820696921704764</v>
      </c>
      <c r="U280" s="10">
        <f>GraphBotulinum!$E$41*'C botulinum'!J280+GraphBotulinum!$E$42</f>
        <v>0.19474027387554749</v>
      </c>
    </row>
    <row r="281" spans="1:21" x14ac:dyDescent="0.2">
      <c r="A281" s="1" t="s">
        <v>1228</v>
      </c>
      <c r="B281" s="1" t="s">
        <v>1234</v>
      </c>
      <c r="C281" s="1" t="s">
        <v>1403</v>
      </c>
      <c r="D281" s="1" t="s">
        <v>1360</v>
      </c>
      <c r="E281" s="1" t="s">
        <v>1361</v>
      </c>
      <c r="F281" s="1" t="s">
        <v>46</v>
      </c>
      <c r="G281" s="1" t="s">
        <v>1288</v>
      </c>
      <c r="H281" s="1" t="s">
        <v>1287</v>
      </c>
      <c r="I281" s="4">
        <v>6.6</v>
      </c>
      <c r="J281" s="4">
        <v>115.6</v>
      </c>
      <c r="K281" s="11">
        <v>1.1399999999999999</v>
      </c>
      <c r="L281" s="4">
        <v>10.6</v>
      </c>
      <c r="M281" s="11">
        <f t="shared" si="8"/>
        <v>5.6904851336472557E-2</v>
      </c>
      <c r="N281" s="12">
        <f>GraphBotulinum!$B$9-('C botulinum'!J281-GraphBotulinum!$B$5)/GraphBotulinum!$B$4</f>
        <v>-0.35352153134107128</v>
      </c>
      <c r="O281" s="2" t="s">
        <v>1226</v>
      </c>
      <c r="P281" s="2">
        <v>1996</v>
      </c>
      <c r="Q281" t="s">
        <v>1321</v>
      </c>
      <c r="T281" s="10">
        <f>GraphBotulinum!$B$41*'C botulinum'!J281+GraphBotulinum!$B$42</f>
        <v>-0.42033558332997112</v>
      </c>
      <c r="U281" s="10">
        <f>GraphBotulinum!$E$41*'C botulinum'!J281+GraphBotulinum!$E$42</f>
        <v>-0.35352153134106956</v>
      </c>
    </row>
    <row r="282" spans="1:21" x14ac:dyDescent="0.2">
      <c r="A282" s="1" t="s">
        <v>1228</v>
      </c>
      <c r="B282" s="1" t="s">
        <v>1234</v>
      </c>
      <c r="C282" s="1" t="s">
        <v>1403</v>
      </c>
      <c r="D282" s="1" t="s">
        <v>1360</v>
      </c>
      <c r="E282" s="1" t="s">
        <v>1361</v>
      </c>
      <c r="F282" s="1" t="s">
        <v>46</v>
      </c>
      <c r="G282" s="1" t="s">
        <v>1288</v>
      </c>
      <c r="H282" s="1" t="s">
        <v>1287</v>
      </c>
      <c r="I282" s="4">
        <v>6.6</v>
      </c>
      <c r="J282" s="4">
        <v>121.1</v>
      </c>
      <c r="K282" s="11">
        <v>0.3</v>
      </c>
      <c r="L282" s="4">
        <v>10.6</v>
      </c>
      <c r="M282" s="11">
        <f t="shared" si="8"/>
        <v>-0.52287874528033762</v>
      </c>
      <c r="N282" s="12">
        <f>GraphBotulinum!$B$9-('C botulinum'!J282-GraphBotulinum!$B$5)/GraphBotulinum!$B$4</f>
        <v>-0.89199294717882194</v>
      </c>
      <c r="O282" s="2" t="s">
        <v>1226</v>
      </c>
      <c r="P282" s="2">
        <v>1996</v>
      </c>
      <c r="Q282" t="s">
        <v>1305</v>
      </c>
      <c r="T282" s="10">
        <f>GraphBotulinum!$B$41*'C botulinum'!J282+GraphBotulinum!$B$42</f>
        <v>-0.60903332933373555</v>
      </c>
      <c r="U282" s="10">
        <f>GraphBotulinum!$E$41*'C botulinum'!J282+GraphBotulinum!$E$42</f>
        <v>-0.89199294717882083</v>
      </c>
    </row>
    <row r="283" spans="1:21" x14ac:dyDescent="0.2">
      <c r="A283" s="1" t="s">
        <v>1228</v>
      </c>
      <c r="B283" s="1" t="s">
        <v>1234</v>
      </c>
      <c r="C283" s="1" t="s">
        <v>1408</v>
      </c>
      <c r="D283" s="1" t="s">
        <v>1360</v>
      </c>
      <c r="E283" s="1" t="s">
        <v>1361</v>
      </c>
      <c r="F283" s="1" t="s">
        <v>42</v>
      </c>
      <c r="G283" s="1" t="s">
        <v>1240</v>
      </c>
      <c r="H283" s="1" t="s">
        <v>1291</v>
      </c>
      <c r="I283" s="4">
        <v>6.15</v>
      </c>
      <c r="J283" s="4">
        <v>115</v>
      </c>
      <c r="K283" s="11">
        <v>0.3</v>
      </c>
      <c r="L283" s="4">
        <v>7.9</v>
      </c>
      <c r="M283" s="11">
        <f t="shared" si="8"/>
        <v>-0.52287874528033762</v>
      </c>
      <c r="N283" s="12">
        <f>GraphBotulinum!$B$9-('C botulinum'!J283-GraphBotulinum!$B$5)/GraphBotulinum!$B$4</f>
        <v>-0.29477919506786265</v>
      </c>
      <c r="O283" s="2" t="s">
        <v>1226</v>
      </c>
      <c r="P283" s="2">
        <v>1996</v>
      </c>
      <c r="Q283" s="2" t="s">
        <v>1253</v>
      </c>
      <c r="T283" s="10">
        <f>GraphBotulinum!$B$41*'C botulinum'!J283+GraphBotulinum!$B$42</f>
        <v>-0.39975037467501506</v>
      </c>
      <c r="U283" s="10">
        <f>GraphBotulinum!$E$41*'C botulinum'!J283+GraphBotulinum!$E$42</f>
        <v>-0.29477919506786243</v>
      </c>
    </row>
    <row r="284" spans="1:21" x14ac:dyDescent="0.2">
      <c r="A284" s="1" t="s">
        <v>1228</v>
      </c>
      <c r="B284" s="1" t="s">
        <v>1234</v>
      </c>
      <c r="C284" s="1" t="s">
        <v>1408</v>
      </c>
      <c r="D284" s="1" t="s">
        <v>1360</v>
      </c>
      <c r="E284" s="1" t="s">
        <v>1361</v>
      </c>
      <c r="F284" s="1" t="s">
        <v>42</v>
      </c>
      <c r="G284" s="1" t="s">
        <v>1240</v>
      </c>
      <c r="H284" s="1" t="s">
        <v>1292</v>
      </c>
      <c r="I284" s="4">
        <v>6.34</v>
      </c>
      <c r="J284" s="4">
        <v>110</v>
      </c>
      <c r="K284" s="11">
        <v>0.93</v>
      </c>
      <c r="L284" s="4">
        <v>7.9</v>
      </c>
      <c r="M284" s="11">
        <f t="shared" si="8"/>
        <v>-3.1517051446064863E-2</v>
      </c>
      <c r="N284" s="12">
        <f>GraphBotulinum!$B$9-('C botulinum'!J284-GraphBotulinum!$B$5)/GraphBotulinum!$B$4</f>
        <v>0.19474027387554704</v>
      </c>
      <c r="O284" s="2" t="s">
        <v>1226</v>
      </c>
      <c r="P284" s="2">
        <v>1996</v>
      </c>
      <c r="Q284" s="2" t="s">
        <v>1253</v>
      </c>
      <c r="T284" s="10">
        <f>GraphBotulinum!$B$41*'C botulinum'!J284+GraphBotulinum!$B$42</f>
        <v>-0.22820696921704764</v>
      </c>
      <c r="U284" s="10">
        <f>GraphBotulinum!$E$41*'C botulinum'!J284+GraphBotulinum!$E$42</f>
        <v>0.19474027387554749</v>
      </c>
    </row>
    <row r="285" spans="1:21" x14ac:dyDescent="0.2">
      <c r="A285" s="1" t="s">
        <v>1228</v>
      </c>
      <c r="B285" s="1" t="s">
        <v>1234</v>
      </c>
      <c r="C285" s="1" t="s">
        <v>1408</v>
      </c>
      <c r="D285" s="1" t="s">
        <v>1360</v>
      </c>
      <c r="E285" s="1" t="s">
        <v>1361</v>
      </c>
      <c r="F285" s="1" t="s">
        <v>42</v>
      </c>
      <c r="G285" s="1" t="s">
        <v>1240</v>
      </c>
      <c r="H285" s="1" t="s">
        <v>1292</v>
      </c>
      <c r="I285" s="4">
        <v>6.34</v>
      </c>
      <c r="J285" s="4">
        <v>115</v>
      </c>
      <c r="K285" s="11">
        <v>0.21</v>
      </c>
      <c r="L285" s="4">
        <v>7.9</v>
      </c>
      <c r="M285" s="11">
        <f t="shared" si="8"/>
        <v>-0.6777807052660807</v>
      </c>
      <c r="N285" s="12">
        <f>GraphBotulinum!$B$9-('C botulinum'!J285-GraphBotulinum!$B$5)/GraphBotulinum!$B$4</f>
        <v>-0.29477919506786265</v>
      </c>
      <c r="O285" s="2" t="s">
        <v>1226</v>
      </c>
      <c r="P285" s="2">
        <v>1996</v>
      </c>
      <c r="Q285" s="2" t="s">
        <v>1253</v>
      </c>
      <c r="T285" s="10">
        <f>GraphBotulinum!$B$41*'C botulinum'!J285+GraphBotulinum!$B$42</f>
        <v>-0.39975037467501506</v>
      </c>
      <c r="U285" s="10">
        <f>GraphBotulinum!$E$41*'C botulinum'!J285+GraphBotulinum!$E$42</f>
        <v>-0.29477919506786243</v>
      </c>
    </row>
    <row r="286" spans="1:21" x14ac:dyDescent="0.2">
      <c r="A286" s="1" t="s">
        <v>1228</v>
      </c>
      <c r="B286" s="1" t="s">
        <v>1234</v>
      </c>
      <c r="C286" s="1" t="s">
        <v>1408</v>
      </c>
      <c r="D286" s="1" t="s">
        <v>1360</v>
      </c>
      <c r="E286" s="1" t="s">
        <v>1361</v>
      </c>
      <c r="F286" s="1" t="s">
        <v>42</v>
      </c>
      <c r="G286" s="1" t="s">
        <v>1240</v>
      </c>
      <c r="H286" s="1" t="s">
        <v>1292</v>
      </c>
      <c r="I286" s="4">
        <v>6.34</v>
      </c>
      <c r="J286" s="4">
        <v>120</v>
      </c>
      <c r="K286" s="11">
        <v>0.1</v>
      </c>
      <c r="L286" s="4">
        <v>7.9</v>
      </c>
      <c r="M286" s="11">
        <f t="shared" si="8"/>
        <v>-1</v>
      </c>
      <c r="N286" s="12">
        <f>GraphBotulinum!$B$9-('C botulinum'!J286-GraphBotulinum!$B$5)/GraphBotulinum!$B$4</f>
        <v>-0.78429866401127235</v>
      </c>
      <c r="O286" s="2" t="s">
        <v>1226</v>
      </c>
      <c r="P286" s="2">
        <v>1996</v>
      </c>
      <c r="Q286" s="2" t="s">
        <v>1253</v>
      </c>
      <c r="T286" s="10">
        <f>GraphBotulinum!$B$41*'C botulinum'!J286+GraphBotulinum!$B$42</f>
        <v>-0.57129378013298293</v>
      </c>
      <c r="U286" s="10">
        <f>GraphBotulinum!$E$41*'C botulinum'!J286+GraphBotulinum!$E$42</f>
        <v>-0.78429866401127057</v>
      </c>
    </row>
    <row r="287" spans="1:21" x14ac:dyDescent="0.2">
      <c r="A287" s="1" t="s">
        <v>1228</v>
      </c>
      <c r="B287" s="1" t="s">
        <v>1234</v>
      </c>
      <c r="C287" s="1" t="s">
        <v>1409</v>
      </c>
      <c r="D287" s="1" t="s">
        <v>1360</v>
      </c>
      <c r="E287" s="1" t="s">
        <v>1361</v>
      </c>
      <c r="F287" s="1" t="s">
        <v>43</v>
      </c>
      <c r="G287" s="1" t="s">
        <v>1298</v>
      </c>
      <c r="H287" s="1" t="s">
        <v>1268</v>
      </c>
      <c r="I287" s="4">
        <v>6.4</v>
      </c>
      <c r="J287" s="4">
        <v>110</v>
      </c>
      <c r="K287" s="11">
        <v>0.49</v>
      </c>
      <c r="M287" s="11">
        <f t="shared" si="8"/>
        <v>-0.30980391997148632</v>
      </c>
      <c r="N287" s="12">
        <f>GraphBotulinum!$B$9-('C botulinum'!J287-GraphBotulinum!$B$5)/GraphBotulinum!$B$4</f>
        <v>0.19474027387554704</v>
      </c>
      <c r="O287" s="2" t="s">
        <v>1226</v>
      </c>
      <c r="P287" s="2">
        <v>1996</v>
      </c>
      <c r="T287" s="10">
        <f>GraphBotulinum!$B$41*'C botulinum'!J287+GraphBotulinum!$B$42</f>
        <v>-0.22820696921704764</v>
      </c>
      <c r="U287" s="10">
        <f>GraphBotulinum!$E$41*'C botulinum'!J287+GraphBotulinum!$E$42</f>
        <v>0.19474027387554749</v>
      </c>
    </row>
    <row r="288" spans="1:21" x14ac:dyDescent="0.2">
      <c r="A288" s="1" t="s">
        <v>1228</v>
      </c>
      <c r="B288" s="1" t="s">
        <v>1234</v>
      </c>
      <c r="C288" s="1" t="s">
        <v>1409</v>
      </c>
      <c r="D288" s="1" t="s">
        <v>1360</v>
      </c>
      <c r="E288" s="1" t="s">
        <v>1361</v>
      </c>
      <c r="F288" s="1" t="s">
        <v>43</v>
      </c>
      <c r="G288" s="1" t="s">
        <v>1298</v>
      </c>
      <c r="H288" s="1" t="s">
        <v>1268</v>
      </c>
      <c r="I288" s="4">
        <v>6.4</v>
      </c>
      <c r="J288" s="4">
        <v>110</v>
      </c>
      <c r="K288" s="11">
        <v>0.99</v>
      </c>
      <c r="M288" s="11">
        <f t="shared" si="8"/>
        <v>-4.3648054024500883E-3</v>
      </c>
      <c r="N288" s="12">
        <f>GraphBotulinum!$B$9-('C botulinum'!J288-GraphBotulinum!$B$5)/GraphBotulinum!$B$4</f>
        <v>0.19474027387554704</v>
      </c>
      <c r="O288" s="2" t="s">
        <v>1226</v>
      </c>
      <c r="P288" s="2">
        <v>1996</v>
      </c>
      <c r="T288" s="10">
        <f>GraphBotulinum!$B$41*'C botulinum'!J288+GraphBotulinum!$B$42</f>
        <v>-0.22820696921704764</v>
      </c>
      <c r="U288" s="10">
        <f>GraphBotulinum!$E$41*'C botulinum'!J288+GraphBotulinum!$E$42</f>
        <v>0.19474027387554749</v>
      </c>
    </row>
    <row r="289" spans="1:21" x14ac:dyDescent="0.2">
      <c r="A289" s="1" t="s">
        <v>1228</v>
      </c>
      <c r="B289" s="1" t="s">
        <v>1234</v>
      </c>
      <c r="C289" s="1" t="s">
        <v>1409</v>
      </c>
      <c r="D289" s="1" t="s">
        <v>1360</v>
      </c>
      <c r="E289" s="1" t="s">
        <v>1361</v>
      </c>
      <c r="F289" s="1" t="s">
        <v>43</v>
      </c>
      <c r="G289" s="1" t="s">
        <v>1298</v>
      </c>
      <c r="H289" s="1" t="s">
        <v>1268</v>
      </c>
      <c r="I289" s="4">
        <v>6.4</v>
      </c>
      <c r="J289" s="4">
        <v>115.6</v>
      </c>
      <c r="K289" s="11">
        <v>0.12</v>
      </c>
      <c r="M289" s="11">
        <f t="shared" si="8"/>
        <v>-0.92081875395237522</v>
      </c>
      <c r="N289" s="12">
        <f>GraphBotulinum!$B$9-('C botulinum'!J289-GraphBotulinum!$B$5)/GraphBotulinum!$B$4</f>
        <v>-0.35352153134107128</v>
      </c>
      <c r="O289" s="2" t="s">
        <v>1226</v>
      </c>
      <c r="P289" s="2">
        <v>1996</v>
      </c>
      <c r="T289" s="10">
        <f>GraphBotulinum!$B$41*'C botulinum'!J289+GraphBotulinum!$B$42</f>
        <v>-0.42033558332997112</v>
      </c>
      <c r="U289" s="10">
        <f>GraphBotulinum!$E$41*'C botulinum'!J289+GraphBotulinum!$E$42</f>
        <v>-0.35352153134106956</v>
      </c>
    </row>
    <row r="290" spans="1:21" x14ac:dyDescent="0.2">
      <c r="A290" s="1" t="s">
        <v>1228</v>
      </c>
      <c r="B290" s="1" t="s">
        <v>1234</v>
      </c>
      <c r="C290" s="1" t="s">
        <v>1409</v>
      </c>
      <c r="D290" s="1" t="s">
        <v>1360</v>
      </c>
      <c r="E290" s="1" t="s">
        <v>1361</v>
      </c>
      <c r="F290" s="1" t="s">
        <v>43</v>
      </c>
      <c r="G290" s="1" t="s">
        <v>1298</v>
      </c>
      <c r="H290" s="1" t="s">
        <v>1268</v>
      </c>
      <c r="I290" s="4">
        <v>6.4</v>
      </c>
      <c r="J290" s="4">
        <v>115.6</v>
      </c>
      <c r="K290" s="11">
        <v>0.39</v>
      </c>
      <c r="M290" s="11">
        <f t="shared" si="8"/>
        <v>-0.40893539297350079</v>
      </c>
      <c r="N290" s="12">
        <f>GraphBotulinum!$B$9-('C botulinum'!J290-GraphBotulinum!$B$5)/GraphBotulinum!$B$4</f>
        <v>-0.35352153134107128</v>
      </c>
      <c r="O290" s="2" t="s">
        <v>1226</v>
      </c>
      <c r="P290" s="2">
        <v>1996</v>
      </c>
      <c r="T290" s="10">
        <f>GraphBotulinum!$B$41*'C botulinum'!J290+GraphBotulinum!$B$42</f>
        <v>-0.42033558332997112</v>
      </c>
      <c r="U290" s="10">
        <f>GraphBotulinum!$E$41*'C botulinum'!J290+GraphBotulinum!$E$42</f>
        <v>-0.35352153134106956</v>
      </c>
    </row>
    <row r="291" spans="1:21" x14ac:dyDescent="0.2">
      <c r="A291" s="1" t="s">
        <v>1228</v>
      </c>
      <c r="B291" s="1" t="s">
        <v>1234</v>
      </c>
      <c r="C291" s="1" t="s">
        <v>1408</v>
      </c>
      <c r="D291" s="1" t="s">
        <v>1360</v>
      </c>
      <c r="E291" s="1" t="s">
        <v>1361</v>
      </c>
      <c r="F291" s="1" t="s">
        <v>43</v>
      </c>
      <c r="G291" s="1" t="s">
        <v>1271</v>
      </c>
      <c r="H291" s="1" t="s">
        <v>1268</v>
      </c>
      <c r="I291" s="5"/>
      <c r="J291" s="5">
        <v>110</v>
      </c>
      <c r="K291" s="9">
        <v>2.14</v>
      </c>
      <c r="L291" s="5">
        <v>8.3000000000000007</v>
      </c>
      <c r="M291" s="11">
        <f t="shared" si="8"/>
        <v>0.33041377334919086</v>
      </c>
      <c r="N291" s="12">
        <f>GraphBotulinum!$B$9-('C botulinum'!J291-GraphBotulinum!$B$5)/GraphBotulinum!$B$4</f>
        <v>0.19474027387554704</v>
      </c>
      <c r="O291" s="2" t="s">
        <v>1226</v>
      </c>
      <c r="P291" s="2">
        <v>1996</v>
      </c>
      <c r="Q291" s="2"/>
      <c r="T291" s="10">
        <f>GraphBotulinum!$B$41*'C botulinum'!J291+GraphBotulinum!$B$42</f>
        <v>-0.22820696921704764</v>
      </c>
      <c r="U291" s="10">
        <f>GraphBotulinum!$E$41*'C botulinum'!J291+GraphBotulinum!$E$42</f>
        <v>0.19474027387554749</v>
      </c>
    </row>
    <row r="292" spans="1:21" x14ac:dyDescent="0.2">
      <c r="A292" s="1" t="s">
        <v>1228</v>
      </c>
      <c r="B292" s="1" t="s">
        <v>1234</v>
      </c>
      <c r="C292" s="1" t="s">
        <v>1408</v>
      </c>
      <c r="D292" s="1" t="s">
        <v>1360</v>
      </c>
      <c r="E292" s="1" t="s">
        <v>1361</v>
      </c>
      <c r="F292" s="1" t="s">
        <v>43</v>
      </c>
      <c r="G292" s="1" t="s">
        <v>1271</v>
      </c>
      <c r="H292" s="1" t="s">
        <v>1268</v>
      </c>
      <c r="I292" s="5"/>
      <c r="J292" s="5">
        <v>110</v>
      </c>
      <c r="K292" s="9">
        <v>12.42</v>
      </c>
      <c r="L292" s="5">
        <v>8.3000000000000007</v>
      </c>
      <c r="M292" s="11">
        <f t="shared" si="8"/>
        <v>1.0941215958405615</v>
      </c>
      <c r="N292" s="12">
        <f>GraphBotulinum!$B$9-('C botulinum'!J292-GraphBotulinum!$B$5)/GraphBotulinum!$B$4</f>
        <v>0.19474027387554704</v>
      </c>
      <c r="O292" s="2" t="s">
        <v>1226</v>
      </c>
      <c r="P292" s="2">
        <v>1996</v>
      </c>
      <c r="Q292" s="2"/>
      <c r="T292" s="10">
        <f>GraphBotulinum!$B$41*'C botulinum'!J292+GraphBotulinum!$B$42</f>
        <v>-0.22820696921704764</v>
      </c>
      <c r="U292" s="10">
        <f>GraphBotulinum!$E$41*'C botulinum'!J292+GraphBotulinum!$E$42</f>
        <v>0.19474027387554749</v>
      </c>
    </row>
    <row r="293" spans="1:21" x14ac:dyDescent="0.2">
      <c r="A293" s="1" t="s">
        <v>1228</v>
      </c>
      <c r="B293" s="1" t="s">
        <v>1234</v>
      </c>
      <c r="C293" s="1" t="s">
        <v>1408</v>
      </c>
      <c r="D293" s="1" t="s">
        <v>1360</v>
      </c>
      <c r="E293" s="1" t="s">
        <v>1361</v>
      </c>
      <c r="F293" s="1" t="s">
        <v>43</v>
      </c>
      <c r="G293" s="1" t="s">
        <v>1271</v>
      </c>
      <c r="H293" s="1" t="s">
        <v>1270</v>
      </c>
      <c r="I293" s="4">
        <v>5.94</v>
      </c>
      <c r="J293" s="4">
        <v>100</v>
      </c>
      <c r="K293" s="11">
        <v>33.659999999999997</v>
      </c>
      <c r="L293" s="4">
        <v>7.4</v>
      </c>
      <c r="M293" s="11">
        <f t="shared" si="8"/>
        <v>1.527114111639805</v>
      </c>
      <c r="N293" s="12">
        <f>GraphBotulinum!$B$9-('C botulinum'!J293-GraphBotulinum!$B$5)/GraphBotulinum!$B$4</f>
        <v>1.1737792117623664</v>
      </c>
      <c r="O293" s="2" t="s">
        <v>1226</v>
      </c>
      <c r="P293" s="2">
        <v>1996</v>
      </c>
      <c r="T293" s="10">
        <f>GraphBotulinum!$B$41*'C botulinum'!J293+GraphBotulinum!$B$42</f>
        <v>0.11487984169888721</v>
      </c>
      <c r="U293" s="10">
        <f>GraphBotulinum!$E$41*'C botulinum'!J293+GraphBotulinum!$E$42</f>
        <v>1.1737792117623673</v>
      </c>
    </row>
    <row r="294" spans="1:21" x14ac:dyDescent="0.2">
      <c r="A294" s="1" t="s">
        <v>1228</v>
      </c>
      <c r="B294" s="1" t="s">
        <v>1234</v>
      </c>
      <c r="C294" s="1" t="s">
        <v>1408</v>
      </c>
      <c r="D294" s="1" t="s">
        <v>1360</v>
      </c>
      <c r="E294" s="1" t="s">
        <v>1361</v>
      </c>
      <c r="F294" s="1" t="s">
        <v>43</v>
      </c>
      <c r="G294" s="1" t="s">
        <v>1271</v>
      </c>
      <c r="H294" s="1" t="s">
        <v>1270</v>
      </c>
      <c r="I294" s="4">
        <v>5.94</v>
      </c>
      <c r="J294" s="4">
        <v>110</v>
      </c>
      <c r="K294" s="11">
        <v>1.52</v>
      </c>
      <c r="L294" s="4">
        <v>7.4</v>
      </c>
      <c r="M294" s="11">
        <f t="shared" si="8"/>
        <v>0.18184358794477254</v>
      </c>
      <c r="N294" s="12">
        <f>GraphBotulinum!$B$9-('C botulinum'!J294-GraphBotulinum!$B$5)/GraphBotulinum!$B$4</f>
        <v>0.19474027387554704</v>
      </c>
      <c r="O294" s="2" t="s">
        <v>1226</v>
      </c>
      <c r="P294" s="2">
        <v>1996</v>
      </c>
      <c r="T294" s="10">
        <f>GraphBotulinum!$B$41*'C botulinum'!J294+GraphBotulinum!$B$42</f>
        <v>-0.22820696921704764</v>
      </c>
      <c r="U294" s="10">
        <f>GraphBotulinum!$E$41*'C botulinum'!J294+GraphBotulinum!$E$42</f>
        <v>0.19474027387554749</v>
      </c>
    </row>
    <row r="295" spans="1:21" x14ac:dyDescent="0.2">
      <c r="A295" s="1" t="s">
        <v>1228</v>
      </c>
      <c r="B295" s="1" t="s">
        <v>1234</v>
      </c>
      <c r="C295" s="1" t="s">
        <v>1408</v>
      </c>
      <c r="D295" s="1" t="s">
        <v>1360</v>
      </c>
      <c r="E295" s="1" t="s">
        <v>1361</v>
      </c>
      <c r="F295" s="1" t="s">
        <v>43</v>
      </c>
      <c r="G295" s="1" t="s">
        <v>1271</v>
      </c>
      <c r="H295" s="1" t="s">
        <v>1270</v>
      </c>
      <c r="I295" s="4">
        <v>5.6</v>
      </c>
      <c r="J295" s="4">
        <v>100</v>
      </c>
      <c r="K295" s="11">
        <v>28.97</v>
      </c>
      <c r="L295" s="4">
        <v>10.1</v>
      </c>
      <c r="M295" s="11">
        <f t="shared" si="8"/>
        <v>1.4619484952037618</v>
      </c>
      <c r="N295" s="12">
        <f>GraphBotulinum!$B$9-('C botulinum'!J295-GraphBotulinum!$B$5)/GraphBotulinum!$B$4</f>
        <v>1.1737792117623664</v>
      </c>
      <c r="O295" s="2" t="s">
        <v>1226</v>
      </c>
      <c r="P295" s="2">
        <v>1996</v>
      </c>
      <c r="T295" s="10">
        <f>GraphBotulinum!$B$41*'C botulinum'!J295+GraphBotulinum!$B$42</f>
        <v>0.11487984169888721</v>
      </c>
      <c r="U295" s="10">
        <f>GraphBotulinum!$E$41*'C botulinum'!J295+GraphBotulinum!$E$42</f>
        <v>1.1737792117623673</v>
      </c>
    </row>
    <row r="296" spans="1:21" x14ac:dyDescent="0.2">
      <c r="A296" s="1" t="s">
        <v>1228</v>
      </c>
      <c r="B296" s="1" t="s">
        <v>1234</v>
      </c>
      <c r="C296" s="1" t="s">
        <v>1408</v>
      </c>
      <c r="D296" s="1" t="s">
        <v>1360</v>
      </c>
      <c r="E296" s="1" t="s">
        <v>1361</v>
      </c>
      <c r="F296" s="1" t="s">
        <v>43</v>
      </c>
      <c r="G296" s="1" t="s">
        <v>1271</v>
      </c>
      <c r="H296" s="1" t="s">
        <v>1270</v>
      </c>
      <c r="I296" s="4">
        <v>5.6</v>
      </c>
      <c r="J296" s="4">
        <v>110</v>
      </c>
      <c r="K296" s="11">
        <v>3.07</v>
      </c>
      <c r="L296" s="4">
        <v>10.1</v>
      </c>
      <c r="M296" s="11">
        <f t="shared" si="8"/>
        <v>0.48713837547718647</v>
      </c>
      <c r="N296" s="12">
        <f>GraphBotulinum!$B$9-('C botulinum'!J296-GraphBotulinum!$B$5)/GraphBotulinum!$B$4</f>
        <v>0.19474027387554704</v>
      </c>
      <c r="O296" s="2" t="s">
        <v>1226</v>
      </c>
      <c r="P296" s="2">
        <v>1996</v>
      </c>
      <c r="T296" s="10">
        <f>GraphBotulinum!$B$41*'C botulinum'!J296+GraphBotulinum!$B$42</f>
        <v>-0.22820696921704764</v>
      </c>
      <c r="U296" s="10">
        <f>GraphBotulinum!$E$41*'C botulinum'!J296+GraphBotulinum!$E$42</f>
        <v>0.19474027387554749</v>
      </c>
    </row>
    <row r="297" spans="1:21" x14ac:dyDescent="0.2">
      <c r="A297" s="1" t="s">
        <v>1228</v>
      </c>
      <c r="B297" s="1" t="s">
        <v>1234</v>
      </c>
      <c r="C297" s="1" t="s">
        <v>1408</v>
      </c>
      <c r="D297" s="1" t="s">
        <v>1360</v>
      </c>
      <c r="E297" s="1" t="s">
        <v>1361</v>
      </c>
      <c r="F297" s="1" t="s">
        <v>44</v>
      </c>
      <c r="G297" s="1" t="s">
        <v>1252</v>
      </c>
      <c r="H297" s="1"/>
      <c r="I297" s="4">
        <v>7</v>
      </c>
      <c r="J297" s="4">
        <v>115.6</v>
      </c>
      <c r="K297" s="11">
        <v>0.88</v>
      </c>
      <c r="M297" s="11">
        <f t="shared" si="8"/>
        <v>-5.551732784983137E-2</v>
      </c>
      <c r="N297" s="12">
        <f>GraphBotulinum!$B$9-('C botulinum'!J297-GraphBotulinum!$B$5)/GraphBotulinum!$B$4</f>
        <v>-0.35352153134107128</v>
      </c>
      <c r="O297" s="2" t="s">
        <v>1226</v>
      </c>
      <c r="P297" s="2">
        <v>1996</v>
      </c>
      <c r="Q297" s="2" t="s">
        <v>1253</v>
      </c>
      <c r="T297" s="10">
        <f>GraphBotulinum!$B$41*'C botulinum'!J297+GraphBotulinum!$B$42</f>
        <v>-0.42033558332997112</v>
      </c>
      <c r="U297" s="10">
        <f>GraphBotulinum!$E$41*'C botulinum'!J297+GraphBotulinum!$E$42</f>
        <v>-0.35352153134106956</v>
      </c>
    </row>
    <row r="298" spans="1:21" x14ac:dyDescent="0.2">
      <c r="A298" s="1" t="s">
        <v>1228</v>
      </c>
      <c r="B298" s="1" t="s">
        <v>1234</v>
      </c>
      <c r="C298" s="1" t="s">
        <v>1408</v>
      </c>
      <c r="D298" s="1" t="s">
        <v>1360</v>
      </c>
      <c r="E298" s="1" t="s">
        <v>1361</v>
      </c>
      <c r="F298" s="1" t="s">
        <v>44</v>
      </c>
      <c r="G298" s="1" t="s">
        <v>1252</v>
      </c>
      <c r="H298" s="1"/>
      <c r="I298" s="4">
        <v>7</v>
      </c>
      <c r="J298" s="4">
        <v>115.6</v>
      </c>
      <c r="K298" s="11">
        <v>1.18</v>
      </c>
      <c r="M298" s="11">
        <f t="shared" si="8"/>
        <v>7.1882007306125359E-2</v>
      </c>
      <c r="N298" s="12">
        <f>GraphBotulinum!$B$9-('C botulinum'!J298-GraphBotulinum!$B$5)/GraphBotulinum!$B$4</f>
        <v>-0.35352153134107128</v>
      </c>
      <c r="O298" s="2" t="s">
        <v>1226</v>
      </c>
      <c r="P298" s="2">
        <v>1996</v>
      </c>
      <c r="Q298" s="2" t="s">
        <v>1253</v>
      </c>
      <c r="T298" s="10">
        <f>GraphBotulinum!$B$41*'C botulinum'!J298+GraphBotulinum!$B$42</f>
        <v>-0.42033558332997112</v>
      </c>
      <c r="U298" s="10">
        <f>GraphBotulinum!$E$41*'C botulinum'!J298+GraphBotulinum!$E$42</f>
        <v>-0.35352153134106956</v>
      </c>
    </row>
    <row r="299" spans="1:21" x14ac:dyDescent="0.2">
      <c r="A299" s="1" t="s">
        <v>1228</v>
      </c>
      <c r="B299" s="1" t="s">
        <v>1234</v>
      </c>
      <c r="C299" s="1" t="s">
        <v>1408</v>
      </c>
      <c r="D299" s="1" t="s">
        <v>1360</v>
      </c>
      <c r="E299" s="1" t="s">
        <v>1361</v>
      </c>
      <c r="F299" s="1" t="s">
        <v>44</v>
      </c>
      <c r="G299" s="1" t="s">
        <v>1247</v>
      </c>
      <c r="H299" s="1"/>
      <c r="I299" s="4">
        <v>7</v>
      </c>
      <c r="J299" s="4">
        <v>100</v>
      </c>
      <c r="K299" s="11">
        <v>21.74</v>
      </c>
      <c r="L299" s="4">
        <v>9.1</v>
      </c>
      <c r="M299" s="11">
        <f t="shared" si="8"/>
        <v>1.3372595397502758</v>
      </c>
      <c r="N299" s="12">
        <f>GraphBotulinum!$B$9-('C botulinum'!J299-GraphBotulinum!$B$5)/GraphBotulinum!$B$4</f>
        <v>1.1737792117623664</v>
      </c>
      <c r="O299" s="2" t="s">
        <v>1226</v>
      </c>
      <c r="P299" s="2">
        <v>1996</v>
      </c>
      <c r="Q299" s="2" t="s">
        <v>1253</v>
      </c>
      <c r="T299" s="10">
        <f>GraphBotulinum!$B$41*'C botulinum'!J299+GraphBotulinum!$B$42</f>
        <v>0.11487984169888721</v>
      </c>
      <c r="U299" s="10">
        <f>GraphBotulinum!$E$41*'C botulinum'!J299+GraphBotulinum!$E$42</f>
        <v>1.1737792117623673</v>
      </c>
    </row>
    <row r="300" spans="1:21" x14ac:dyDescent="0.2">
      <c r="A300" s="1" t="s">
        <v>1228</v>
      </c>
      <c r="B300" s="1" t="s">
        <v>1234</v>
      </c>
      <c r="C300" s="1" t="s">
        <v>1408</v>
      </c>
      <c r="D300" s="1" t="s">
        <v>1360</v>
      </c>
      <c r="E300" s="1" t="s">
        <v>1361</v>
      </c>
      <c r="F300" s="1" t="s">
        <v>44</v>
      </c>
      <c r="G300" s="1" t="s">
        <v>1247</v>
      </c>
      <c r="H300" s="1"/>
      <c r="I300" s="4">
        <v>7</v>
      </c>
      <c r="J300" s="4">
        <v>100</v>
      </c>
      <c r="K300" s="11">
        <v>25.55</v>
      </c>
      <c r="L300" s="4">
        <v>9.1</v>
      </c>
      <c r="M300" s="11">
        <f t="shared" si="8"/>
        <v>1.4073909044707316</v>
      </c>
      <c r="N300" s="12">
        <f>GraphBotulinum!$B$9-('C botulinum'!J300-GraphBotulinum!$B$5)/GraphBotulinum!$B$4</f>
        <v>1.1737792117623664</v>
      </c>
      <c r="O300" s="2" t="s">
        <v>1226</v>
      </c>
      <c r="P300" s="2">
        <v>1996</v>
      </c>
      <c r="T300" s="10">
        <f>GraphBotulinum!$B$41*'C botulinum'!J300+GraphBotulinum!$B$42</f>
        <v>0.11487984169888721</v>
      </c>
      <c r="U300" s="10">
        <f>GraphBotulinum!$E$41*'C botulinum'!J300+GraphBotulinum!$E$42</f>
        <v>1.1737792117623673</v>
      </c>
    </row>
    <row r="301" spans="1:21" x14ac:dyDescent="0.2">
      <c r="A301" s="1" t="s">
        <v>1228</v>
      </c>
      <c r="B301" s="1" t="s">
        <v>1234</v>
      </c>
      <c r="C301" s="1" t="s">
        <v>1408</v>
      </c>
      <c r="D301" s="1" t="s">
        <v>1360</v>
      </c>
      <c r="E301" s="1" t="s">
        <v>1361</v>
      </c>
      <c r="F301" s="1" t="s">
        <v>44</v>
      </c>
      <c r="G301" s="1" t="s">
        <v>1247</v>
      </c>
      <c r="H301" s="1"/>
      <c r="I301" s="4">
        <v>7</v>
      </c>
      <c r="J301" s="4">
        <v>110</v>
      </c>
      <c r="K301" s="11">
        <v>1.19</v>
      </c>
      <c r="L301" s="4">
        <v>9.1</v>
      </c>
      <c r="M301" s="11">
        <f t="shared" si="8"/>
        <v>7.554696139253074E-2</v>
      </c>
      <c r="N301" s="12">
        <f>GraphBotulinum!$B$9-('C botulinum'!J301-GraphBotulinum!$B$5)/GraphBotulinum!$B$4</f>
        <v>0.19474027387554704</v>
      </c>
      <c r="O301" s="2" t="s">
        <v>1226</v>
      </c>
      <c r="P301" s="2">
        <v>1996</v>
      </c>
      <c r="T301" s="10">
        <f>GraphBotulinum!$B$41*'C botulinum'!J301+GraphBotulinum!$B$42</f>
        <v>-0.22820696921704764</v>
      </c>
      <c r="U301" s="10">
        <f>GraphBotulinum!$E$41*'C botulinum'!J301+GraphBotulinum!$E$42</f>
        <v>0.19474027387554749</v>
      </c>
    </row>
    <row r="302" spans="1:21" x14ac:dyDescent="0.2">
      <c r="A302" s="1" t="s">
        <v>1228</v>
      </c>
      <c r="B302" s="1" t="s">
        <v>1234</v>
      </c>
      <c r="C302" s="1" t="s">
        <v>1408</v>
      </c>
      <c r="D302" s="1" t="s">
        <v>1360</v>
      </c>
      <c r="E302" s="1" t="s">
        <v>1361</v>
      </c>
      <c r="F302" s="1" t="s">
        <v>44</v>
      </c>
      <c r="G302" s="1" t="s">
        <v>1247</v>
      </c>
      <c r="H302" s="1"/>
      <c r="I302" s="4">
        <v>7</v>
      </c>
      <c r="J302" s="4">
        <v>110</v>
      </c>
      <c r="K302" s="11">
        <v>2</v>
      </c>
      <c r="L302" s="4">
        <v>9.1</v>
      </c>
      <c r="M302" s="11">
        <f t="shared" si="8"/>
        <v>0.3010299956639812</v>
      </c>
      <c r="N302" s="12">
        <f>GraphBotulinum!$B$9-('C botulinum'!J302-GraphBotulinum!$B$5)/GraphBotulinum!$B$4</f>
        <v>0.19474027387554704</v>
      </c>
      <c r="O302" s="2" t="s">
        <v>1226</v>
      </c>
      <c r="P302" s="2">
        <v>1996</v>
      </c>
      <c r="T302" s="10">
        <f>GraphBotulinum!$B$41*'C botulinum'!J302+GraphBotulinum!$B$42</f>
        <v>-0.22820696921704764</v>
      </c>
      <c r="U302" s="10">
        <f>GraphBotulinum!$E$41*'C botulinum'!J302+GraphBotulinum!$E$42</f>
        <v>0.19474027387554749</v>
      </c>
    </row>
    <row r="303" spans="1:21" x14ac:dyDescent="0.2">
      <c r="A303" s="1" t="s">
        <v>1228</v>
      </c>
      <c r="B303" s="1" t="s">
        <v>1234</v>
      </c>
      <c r="C303" s="1" t="s">
        <v>1408</v>
      </c>
      <c r="D303" s="1" t="s">
        <v>1360</v>
      </c>
      <c r="E303" s="1" t="s">
        <v>1361</v>
      </c>
      <c r="F303" s="1" t="s">
        <v>44</v>
      </c>
      <c r="G303" s="1" t="s">
        <v>1247</v>
      </c>
      <c r="H303" s="1"/>
      <c r="I303" s="4">
        <v>7</v>
      </c>
      <c r="J303" s="4">
        <v>110</v>
      </c>
      <c r="K303" s="11">
        <v>1.85</v>
      </c>
      <c r="L303" s="4">
        <v>7.7</v>
      </c>
      <c r="M303" s="11">
        <f t="shared" si="8"/>
        <v>0.26717172840301384</v>
      </c>
      <c r="N303" s="12">
        <f>GraphBotulinum!$B$9-('C botulinum'!J303-GraphBotulinum!$B$5)/GraphBotulinum!$B$4</f>
        <v>0.19474027387554704</v>
      </c>
      <c r="O303" s="2" t="s">
        <v>1226</v>
      </c>
      <c r="P303" s="2">
        <v>1996</v>
      </c>
      <c r="Q303" t="s">
        <v>1296</v>
      </c>
      <c r="T303" s="10">
        <f>GraphBotulinum!$B$41*'C botulinum'!J303+GraphBotulinum!$B$42</f>
        <v>-0.22820696921704764</v>
      </c>
      <c r="U303" s="10">
        <f>GraphBotulinum!$E$41*'C botulinum'!J303+GraphBotulinum!$E$42</f>
        <v>0.19474027387554749</v>
      </c>
    </row>
    <row r="304" spans="1:21" x14ac:dyDescent="0.2">
      <c r="A304" s="1" t="s">
        <v>1228</v>
      </c>
      <c r="B304" s="1" t="s">
        <v>1234</v>
      </c>
      <c r="C304" s="1" t="s">
        <v>1408</v>
      </c>
      <c r="D304" s="1" t="s">
        <v>1360</v>
      </c>
      <c r="E304" s="1" t="s">
        <v>1361</v>
      </c>
      <c r="F304" s="1" t="s">
        <v>44</v>
      </c>
      <c r="G304" s="1" t="s">
        <v>1247</v>
      </c>
      <c r="H304" s="1"/>
      <c r="I304" s="4">
        <v>7</v>
      </c>
      <c r="J304" s="4">
        <v>110</v>
      </c>
      <c r="K304" s="11">
        <v>1.85</v>
      </c>
      <c r="L304" s="4">
        <v>7.7</v>
      </c>
      <c r="M304" s="11">
        <f t="shared" si="8"/>
        <v>0.26717172840301384</v>
      </c>
      <c r="N304" s="12">
        <f>GraphBotulinum!$B$9-('C botulinum'!J304-GraphBotulinum!$B$5)/GraphBotulinum!$B$4</f>
        <v>0.19474027387554704</v>
      </c>
      <c r="O304" s="2" t="s">
        <v>1226</v>
      </c>
      <c r="P304" s="2">
        <v>1996</v>
      </c>
      <c r="Q304" s="2" t="s">
        <v>1297</v>
      </c>
      <c r="T304" s="10">
        <f>GraphBotulinum!$B$41*'C botulinum'!J304+GraphBotulinum!$B$42</f>
        <v>-0.22820696921704764</v>
      </c>
      <c r="U304" s="10">
        <f>GraphBotulinum!$E$41*'C botulinum'!J304+GraphBotulinum!$E$42</f>
        <v>0.19474027387554749</v>
      </c>
    </row>
    <row r="305" spans="1:21" x14ac:dyDescent="0.2">
      <c r="A305" s="1" t="s">
        <v>1228</v>
      </c>
      <c r="B305" s="1" t="s">
        <v>1234</v>
      </c>
      <c r="C305" s="1" t="s">
        <v>1408</v>
      </c>
      <c r="D305" s="1" t="s">
        <v>1360</v>
      </c>
      <c r="E305" s="1" t="s">
        <v>1361</v>
      </c>
      <c r="F305" s="1" t="s">
        <v>44</v>
      </c>
      <c r="G305" s="1" t="s">
        <v>1247</v>
      </c>
      <c r="H305" s="1"/>
      <c r="I305" s="4">
        <v>7</v>
      </c>
      <c r="J305" s="4">
        <v>110</v>
      </c>
      <c r="K305" s="11">
        <v>2</v>
      </c>
      <c r="L305" s="4">
        <v>9</v>
      </c>
      <c r="M305" s="11">
        <f t="shared" si="8"/>
        <v>0.3010299956639812</v>
      </c>
      <c r="N305" s="12">
        <f>GraphBotulinum!$B$9-('C botulinum'!J305-GraphBotulinum!$B$5)/GraphBotulinum!$B$4</f>
        <v>0.19474027387554704</v>
      </c>
      <c r="O305" s="2" t="s">
        <v>1226</v>
      </c>
      <c r="P305" s="2">
        <v>1996</v>
      </c>
      <c r="T305" s="10">
        <f>GraphBotulinum!$B$41*'C botulinum'!J305+GraphBotulinum!$B$42</f>
        <v>-0.22820696921704764</v>
      </c>
      <c r="U305" s="10">
        <f>GraphBotulinum!$E$41*'C botulinum'!J305+GraphBotulinum!$E$42</f>
        <v>0.19474027387554749</v>
      </c>
    </row>
    <row r="306" spans="1:21" x14ac:dyDescent="0.2">
      <c r="A306" s="1" t="s">
        <v>1228</v>
      </c>
      <c r="B306" s="1" t="s">
        <v>1234</v>
      </c>
      <c r="C306" s="1" t="s">
        <v>1408</v>
      </c>
      <c r="D306" s="1" t="s">
        <v>1360</v>
      </c>
      <c r="E306" s="1" t="s">
        <v>1361</v>
      </c>
      <c r="F306" s="1" t="s">
        <v>44</v>
      </c>
      <c r="G306" s="1" t="s">
        <v>1247</v>
      </c>
      <c r="H306" s="1"/>
      <c r="I306" s="4">
        <v>7</v>
      </c>
      <c r="J306" s="4">
        <v>110</v>
      </c>
      <c r="K306" s="11">
        <v>1.4</v>
      </c>
      <c r="L306" s="4">
        <v>8.5</v>
      </c>
      <c r="M306" s="11">
        <f t="shared" si="8"/>
        <v>0.14612803567823801</v>
      </c>
      <c r="N306" s="12">
        <f>GraphBotulinum!$B$9-('C botulinum'!J306-GraphBotulinum!$B$5)/GraphBotulinum!$B$4</f>
        <v>0.19474027387554704</v>
      </c>
      <c r="O306" s="2" t="s">
        <v>1226</v>
      </c>
      <c r="P306" s="2">
        <v>1996</v>
      </c>
      <c r="T306" s="10">
        <f>GraphBotulinum!$B$41*'C botulinum'!J306+GraphBotulinum!$B$42</f>
        <v>-0.22820696921704764</v>
      </c>
      <c r="U306" s="10">
        <f>GraphBotulinum!$E$41*'C botulinum'!J306+GraphBotulinum!$E$42</f>
        <v>0.19474027387554749</v>
      </c>
    </row>
    <row r="307" spans="1:21" x14ac:dyDescent="0.2">
      <c r="A307" s="1" t="s">
        <v>1228</v>
      </c>
      <c r="B307" s="1" t="s">
        <v>1234</v>
      </c>
      <c r="C307" s="1" t="s">
        <v>1408</v>
      </c>
      <c r="D307" s="1" t="s">
        <v>1360</v>
      </c>
      <c r="E307" s="1" t="s">
        <v>1361</v>
      </c>
      <c r="F307" s="1" t="s">
        <v>44</v>
      </c>
      <c r="G307" s="1" t="s">
        <v>1247</v>
      </c>
      <c r="H307" s="1"/>
      <c r="I307" s="4">
        <v>7</v>
      </c>
      <c r="J307" s="4">
        <v>110</v>
      </c>
      <c r="K307" s="11">
        <v>1.6</v>
      </c>
      <c r="L307" s="4">
        <v>8.3000000000000007</v>
      </c>
      <c r="M307" s="11">
        <f t="shared" si="8"/>
        <v>0.20411998265592479</v>
      </c>
      <c r="N307" s="12">
        <f>GraphBotulinum!$B$9-('C botulinum'!J307-GraphBotulinum!$B$5)/GraphBotulinum!$B$4</f>
        <v>0.19474027387554704</v>
      </c>
      <c r="O307" s="2" t="s">
        <v>1226</v>
      </c>
      <c r="P307" s="2">
        <v>1996</v>
      </c>
      <c r="T307" s="10">
        <f>GraphBotulinum!$B$41*'C botulinum'!J307+GraphBotulinum!$B$42</f>
        <v>-0.22820696921704764</v>
      </c>
      <c r="U307" s="10">
        <f>GraphBotulinum!$E$41*'C botulinum'!J307+GraphBotulinum!$E$42</f>
        <v>0.19474027387554749</v>
      </c>
    </row>
    <row r="308" spans="1:21" x14ac:dyDescent="0.2">
      <c r="A308" s="1" t="s">
        <v>1228</v>
      </c>
      <c r="B308" s="1" t="s">
        <v>1234</v>
      </c>
      <c r="C308" s="1" t="s">
        <v>1408</v>
      </c>
      <c r="D308" s="1" t="s">
        <v>1360</v>
      </c>
      <c r="E308" s="1" t="s">
        <v>1361</v>
      </c>
      <c r="F308" s="1" t="s">
        <v>44</v>
      </c>
      <c r="G308" s="1" t="s">
        <v>1247</v>
      </c>
      <c r="H308" s="1"/>
      <c r="I308" s="4">
        <v>7</v>
      </c>
      <c r="J308" s="4">
        <v>115</v>
      </c>
      <c r="K308" s="11">
        <v>0.78</v>
      </c>
      <c r="L308" s="4">
        <v>7.7</v>
      </c>
      <c r="M308" s="11">
        <f t="shared" si="8"/>
        <v>-0.10790539730951958</v>
      </c>
      <c r="N308" s="12">
        <f>GraphBotulinum!$B$9-('C botulinum'!J308-GraphBotulinum!$B$5)/GraphBotulinum!$B$4</f>
        <v>-0.29477919506786265</v>
      </c>
      <c r="O308" s="2" t="s">
        <v>1226</v>
      </c>
      <c r="P308" s="2">
        <v>1996</v>
      </c>
      <c r="Q308" t="s">
        <v>1296</v>
      </c>
      <c r="T308" s="10">
        <f>GraphBotulinum!$B$41*'C botulinum'!J308+GraphBotulinum!$B$42</f>
        <v>-0.39975037467501506</v>
      </c>
      <c r="U308" s="10">
        <f>GraphBotulinum!$E$41*'C botulinum'!J308+GraphBotulinum!$E$42</f>
        <v>-0.29477919506786243</v>
      </c>
    </row>
    <row r="309" spans="1:21" x14ac:dyDescent="0.2">
      <c r="A309" s="1" t="s">
        <v>1228</v>
      </c>
      <c r="B309" s="1" t="s">
        <v>1234</v>
      </c>
      <c r="C309" s="1" t="s">
        <v>1408</v>
      </c>
      <c r="D309" s="1" t="s">
        <v>1360</v>
      </c>
      <c r="E309" s="1" t="s">
        <v>1361</v>
      </c>
      <c r="F309" s="1" t="s">
        <v>44</v>
      </c>
      <c r="G309" s="1" t="s">
        <v>1247</v>
      </c>
      <c r="H309" s="1"/>
      <c r="I309" s="4">
        <v>7</v>
      </c>
      <c r="J309" s="4">
        <v>115</v>
      </c>
      <c r="K309" s="11">
        <v>0.37</v>
      </c>
      <c r="L309" s="4">
        <v>7.7</v>
      </c>
      <c r="M309" s="11">
        <f t="shared" si="8"/>
        <v>-0.43179827593300502</v>
      </c>
      <c r="N309" s="12">
        <f>GraphBotulinum!$B$9-('C botulinum'!J309-GraphBotulinum!$B$5)/GraphBotulinum!$B$4</f>
        <v>-0.29477919506786265</v>
      </c>
      <c r="O309" s="2" t="s">
        <v>1226</v>
      </c>
      <c r="P309" s="2">
        <v>1996</v>
      </c>
      <c r="Q309" s="2" t="s">
        <v>1297</v>
      </c>
      <c r="T309" s="10">
        <f>GraphBotulinum!$B$41*'C botulinum'!J309+GraphBotulinum!$B$42</f>
        <v>-0.39975037467501506</v>
      </c>
      <c r="U309" s="10">
        <f>GraphBotulinum!$E$41*'C botulinum'!J309+GraphBotulinum!$E$42</f>
        <v>-0.29477919506786243</v>
      </c>
    </row>
    <row r="310" spans="1:21" x14ac:dyDescent="0.2">
      <c r="A310" s="1" t="s">
        <v>1228</v>
      </c>
      <c r="B310" s="1" t="s">
        <v>1234</v>
      </c>
      <c r="C310" s="1" t="s">
        <v>1408</v>
      </c>
      <c r="D310" s="1" t="s">
        <v>1360</v>
      </c>
      <c r="E310" s="1" t="s">
        <v>1361</v>
      </c>
      <c r="F310" s="1" t="s">
        <v>44</v>
      </c>
      <c r="G310" s="1" t="s">
        <v>1247</v>
      </c>
      <c r="H310" s="1"/>
      <c r="I310" s="4">
        <v>7</v>
      </c>
      <c r="J310" s="4">
        <v>115</v>
      </c>
      <c r="K310" s="11">
        <v>0.24</v>
      </c>
      <c r="L310" s="4">
        <v>7.7</v>
      </c>
      <c r="M310" s="11">
        <f t="shared" si="8"/>
        <v>-0.61978875828839397</v>
      </c>
      <c r="N310" s="12">
        <f>GraphBotulinum!$B$9-('C botulinum'!J310-GraphBotulinum!$B$5)/GraphBotulinum!$B$4</f>
        <v>-0.29477919506786265</v>
      </c>
      <c r="O310" s="2" t="s">
        <v>1226</v>
      </c>
      <c r="P310" s="2">
        <v>1996</v>
      </c>
      <c r="Q310" s="2" t="s">
        <v>1297</v>
      </c>
      <c r="T310" s="10">
        <f>GraphBotulinum!$B$41*'C botulinum'!J310+GraphBotulinum!$B$42</f>
        <v>-0.39975037467501506</v>
      </c>
      <c r="U310" s="10">
        <f>GraphBotulinum!$E$41*'C botulinum'!J310+GraphBotulinum!$E$42</f>
        <v>-0.29477919506786243</v>
      </c>
    </row>
    <row r="311" spans="1:21" x14ac:dyDescent="0.2">
      <c r="A311" s="1" t="s">
        <v>1228</v>
      </c>
      <c r="B311" s="1" t="s">
        <v>1234</v>
      </c>
      <c r="C311" s="1" t="s">
        <v>1408</v>
      </c>
      <c r="D311" s="1" t="s">
        <v>1360</v>
      </c>
      <c r="E311" s="1" t="s">
        <v>1361</v>
      </c>
      <c r="F311" s="1" t="s">
        <v>44</v>
      </c>
      <c r="G311" s="1" t="s">
        <v>1247</v>
      </c>
      <c r="H311" s="1"/>
      <c r="I311" s="4">
        <v>7</v>
      </c>
      <c r="J311" s="4">
        <v>115</v>
      </c>
      <c r="K311" s="11">
        <v>0.78</v>
      </c>
      <c r="L311" s="4">
        <v>7.7</v>
      </c>
      <c r="M311" s="11">
        <f t="shared" si="8"/>
        <v>-0.10790539730951958</v>
      </c>
      <c r="N311" s="12">
        <f>GraphBotulinum!$B$9-('C botulinum'!J311-GraphBotulinum!$B$5)/GraphBotulinum!$B$4</f>
        <v>-0.29477919506786265</v>
      </c>
      <c r="O311" s="2" t="s">
        <v>1226</v>
      </c>
      <c r="P311" s="2">
        <v>1996</v>
      </c>
      <c r="Q311" s="2" t="s">
        <v>1297</v>
      </c>
      <c r="T311" s="10">
        <f>GraphBotulinum!$B$41*'C botulinum'!J311+GraphBotulinum!$B$42</f>
        <v>-0.39975037467501506</v>
      </c>
      <c r="U311" s="10">
        <f>GraphBotulinum!$E$41*'C botulinum'!J311+GraphBotulinum!$E$42</f>
        <v>-0.29477919506786243</v>
      </c>
    </row>
    <row r="312" spans="1:21" x14ac:dyDescent="0.2">
      <c r="A312" s="1" t="s">
        <v>1228</v>
      </c>
      <c r="B312" s="1" t="s">
        <v>1234</v>
      </c>
      <c r="C312" s="1" t="s">
        <v>1408</v>
      </c>
      <c r="D312" s="1" t="s">
        <v>1360</v>
      </c>
      <c r="E312" s="1" t="s">
        <v>1361</v>
      </c>
      <c r="F312" s="1" t="s">
        <v>44</v>
      </c>
      <c r="G312" s="1" t="s">
        <v>1247</v>
      </c>
      <c r="H312" s="1"/>
      <c r="I312" s="4">
        <v>7</v>
      </c>
      <c r="J312" s="4">
        <v>115</v>
      </c>
      <c r="K312" s="11">
        <v>1.0900000000000001</v>
      </c>
      <c r="L312" s="4">
        <v>7.7</v>
      </c>
      <c r="M312" s="11">
        <f t="shared" si="8"/>
        <v>3.7426497940623665E-2</v>
      </c>
      <c r="N312" s="12">
        <f>GraphBotulinum!$B$9-('C botulinum'!J312-GraphBotulinum!$B$5)/GraphBotulinum!$B$4</f>
        <v>-0.29477919506786265</v>
      </c>
      <c r="O312" s="2" t="s">
        <v>1226</v>
      </c>
      <c r="P312" s="2">
        <v>1996</v>
      </c>
      <c r="Q312" s="2" t="s">
        <v>1297</v>
      </c>
      <c r="T312" s="10">
        <f>GraphBotulinum!$B$41*'C botulinum'!J312+GraphBotulinum!$B$42</f>
        <v>-0.39975037467501506</v>
      </c>
      <c r="U312" s="10">
        <f>GraphBotulinum!$E$41*'C botulinum'!J312+GraphBotulinum!$E$42</f>
        <v>-0.29477919506786243</v>
      </c>
    </row>
    <row r="313" spans="1:21" x14ac:dyDescent="0.2">
      <c r="A313" s="1" t="s">
        <v>1228</v>
      </c>
      <c r="B313" s="1" t="s">
        <v>1234</v>
      </c>
      <c r="C313" s="1" t="s">
        <v>1408</v>
      </c>
      <c r="D313" s="1" t="s">
        <v>1360</v>
      </c>
      <c r="E313" s="1" t="s">
        <v>1361</v>
      </c>
      <c r="F313" s="1" t="s">
        <v>44</v>
      </c>
      <c r="G313" s="1" t="s">
        <v>1247</v>
      </c>
      <c r="H313" s="1"/>
      <c r="I313" s="4">
        <v>7</v>
      </c>
      <c r="J313" s="4">
        <v>115</v>
      </c>
      <c r="K313" s="11">
        <v>0.4</v>
      </c>
      <c r="L313" s="4">
        <v>8.5</v>
      </c>
      <c r="M313" s="11">
        <f t="shared" si="8"/>
        <v>-0.3979400086720376</v>
      </c>
      <c r="N313" s="12">
        <f>GraphBotulinum!$B$9-('C botulinum'!J313-GraphBotulinum!$B$5)/GraphBotulinum!$B$4</f>
        <v>-0.29477919506786265</v>
      </c>
      <c r="O313" s="2" t="s">
        <v>1226</v>
      </c>
      <c r="P313" s="2">
        <v>1996</v>
      </c>
      <c r="T313" s="10">
        <f>GraphBotulinum!$B$41*'C botulinum'!J313+GraphBotulinum!$B$42</f>
        <v>-0.39975037467501506</v>
      </c>
      <c r="U313" s="10">
        <f>GraphBotulinum!$E$41*'C botulinum'!J313+GraphBotulinum!$E$42</f>
        <v>-0.29477919506786243</v>
      </c>
    </row>
    <row r="314" spans="1:21" x14ac:dyDescent="0.2">
      <c r="A314" s="1" t="s">
        <v>1228</v>
      </c>
      <c r="B314" s="1" t="s">
        <v>1234</v>
      </c>
      <c r="C314" s="1" t="s">
        <v>1408</v>
      </c>
      <c r="D314" s="1" t="s">
        <v>1360</v>
      </c>
      <c r="E314" s="1" t="s">
        <v>1361</v>
      </c>
      <c r="F314" s="1" t="s">
        <v>44</v>
      </c>
      <c r="G314" s="1" t="s">
        <v>1247</v>
      </c>
      <c r="H314" s="1"/>
      <c r="I314" s="4">
        <v>7</v>
      </c>
      <c r="J314" s="4">
        <v>115.6</v>
      </c>
      <c r="K314" s="11">
        <v>0.38</v>
      </c>
      <c r="L314" s="4">
        <v>8.3000000000000007</v>
      </c>
      <c r="M314" s="11">
        <f t="shared" si="8"/>
        <v>-0.42021640338318983</v>
      </c>
      <c r="N314" s="12">
        <f>GraphBotulinum!$B$9-('C botulinum'!J314-GraphBotulinum!$B$5)/GraphBotulinum!$B$4</f>
        <v>-0.35352153134107128</v>
      </c>
      <c r="O314" s="2" t="s">
        <v>1226</v>
      </c>
      <c r="P314" s="2">
        <v>1996</v>
      </c>
      <c r="T314" s="10">
        <f>GraphBotulinum!$B$41*'C botulinum'!J314+GraphBotulinum!$B$42</f>
        <v>-0.42033558332997112</v>
      </c>
      <c r="U314" s="10">
        <f>GraphBotulinum!$E$41*'C botulinum'!J314+GraphBotulinum!$E$42</f>
        <v>-0.35352153134106956</v>
      </c>
    </row>
    <row r="315" spans="1:21" x14ac:dyDescent="0.2">
      <c r="A315" s="1" t="s">
        <v>1228</v>
      </c>
      <c r="B315" s="1" t="s">
        <v>1234</v>
      </c>
      <c r="C315" s="1" t="s">
        <v>1408</v>
      </c>
      <c r="D315" s="1" t="s">
        <v>1360</v>
      </c>
      <c r="E315" s="1" t="s">
        <v>1361</v>
      </c>
      <c r="F315" s="1" t="s">
        <v>44</v>
      </c>
      <c r="G315" s="1" t="s">
        <v>1247</v>
      </c>
      <c r="H315" s="1"/>
      <c r="I315" s="4">
        <v>7</v>
      </c>
      <c r="J315" s="4">
        <v>120</v>
      </c>
      <c r="K315" s="11">
        <v>0.13</v>
      </c>
      <c r="L315" s="4">
        <v>11</v>
      </c>
      <c r="M315" s="11">
        <f t="shared" si="8"/>
        <v>-0.88605664769316317</v>
      </c>
      <c r="N315" s="12">
        <f>GraphBotulinum!$B$9-('C botulinum'!J315-GraphBotulinum!$B$5)/GraphBotulinum!$B$4</f>
        <v>-0.78429866401127235</v>
      </c>
      <c r="O315" s="2" t="s">
        <v>1226</v>
      </c>
      <c r="P315" s="2">
        <v>1996</v>
      </c>
      <c r="T315" s="10">
        <f>GraphBotulinum!$B$41*'C botulinum'!J315+GraphBotulinum!$B$42</f>
        <v>-0.57129378013298293</v>
      </c>
      <c r="U315" s="10">
        <f>GraphBotulinum!$E$41*'C botulinum'!J315+GraphBotulinum!$E$42</f>
        <v>-0.78429866401127057</v>
      </c>
    </row>
    <row r="316" spans="1:21" x14ac:dyDescent="0.2">
      <c r="A316" s="1" t="s">
        <v>1228</v>
      </c>
      <c r="B316" s="1" t="s">
        <v>1234</v>
      </c>
      <c r="C316" s="1" t="s">
        <v>1408</v>
      </c>
      <c r="D316" s="1" t="s">
        <v>1360</v>
      </c>
      <c r="E316" s="1" t="s">
        <v>1361</v>
      </c>
      <c r="F316" s="1" t="s">
        <v>44</v>
      </c>
      <c r="G316" s="1" t="s">
        <v>1247</v>
      </c>
      <c r="H316" s="1"/>
      <c r="I316" s="4">
        <v>7</v>
      </c>
      <c r="J316" s="4">
        <v>120</v>
      </c>
      <c r="K316" s="11">
        <v>0.15</v>
      </c>
      <c r="L316" s="4">
        <v>11</v>
      </c>
      <c r="M316" s="11">
        <f t="shared" si="8"/>
        <v>-0.82390874094431876</v>
      </c>
      <c r="N316" s="12">
        <f>GraphBotulinum!$B$9-('C botulinum'!J316-GraphBotulinum!$B$5)/GraphBotulinum!$B$4</f>
        <v>-0.78429866401127235</v>
      </c>
      <c r="O316" s="2" t="s">
        <v>1226</v>
      </c>
      <c r="P316" s="2">
        <v>1996</v>
      </c>
      <c r="T316" s="10">
        <f>GraphBotulinum!$B$41*'C botulinum'!J316+GraphBotulinum!$B$42</f>
        <v>-0.57129378013298293</v>
      </c>
      <c r="U316" s="10">
        <f>GraphBotulinum!$E$41*'C botulinum'!J316+GraphBotulinum!$E$42</f>
        <v>-0.78429866401127057</v>
      </c>
    </row>
    <row r="317" spans="1:21" x14ac:dyDescent="0.2">
      <c r="A317" s="1" t="s">
        <v>1228</v>
      </c>
      <c r="B317" s="1" t="s">
        <v>1234</v>
      </c>
      <c r="C317" s="1" t="s">
        <v>1408</v>
      </c>
      <c r="D317" s="1" t="s">
        <v>1360</v>
      </c>
      <c r="E317" s="1" t="s">
        <v>1361</v>
      </c>
      <c r="F317" s="1" t="s">
        <v>44</v>
      </c>
      <c r="G317" s="1" t="s">
        <v>1247</v>
      </c>
      <c r="H317" s="1"/>
      <c r="I317" s="4">
        <v>7</v>
      </c>
      <c r="J317" s="4">
        <v>120</v>
      </c>
      <c r="K317" s="11">
        <v>0.19</v>
      </c>
      <c r="L317" s="4">
        <v>7.7</v>
      </c>
      <c r="M317" s="11">
        <f t="shared" si="8"/>
        <v>-0.72124639904717103</v>
      </c>
      <c r="N317" s="12">
        <f>GraphBotulinum!$B$9-('C botulinum'!J317-GraphBotulinum!$B$5)/GraphBotulinum!$B$4</f>
        <v>-0.78429866401127235</v>
      </c>
      <c r="O317" s="2" t="s">
        <v>1226</v>
      </c>
      <c r="P317" s="2">
        <v>1996</v>
      </c>
      <c r="Q317" t="s">
        <v>1296</v>
      </c>
      <c r="T317" s="10">
        <f>GraphBotulinum!$B$41*'C botulinum'!J317+GraphBotulinum!$B$42</f>
        <v>-0.57129378013298293</v>
      </c>
      <c r="U317" s="10">
        <f>GraphBotulinum!$E$41*'C botulinum'!J317+GraphBotulinum!$E$42</f>
        <v>-0.78429866401127057</v>
      </c>
    </row>
    <row r="318" spans="1:21" x14ac:dyDescent="0.2">
      <c r="A318" s="1" t="s">
        <v>1228</v>
      </c>
      <c r="B318" s="1" t="s">
        <v>1234</v>
      </c>
      <c r="C318" s="1" t="s">
        <v>1408</v>
      </c>
      <c r="D318" s="1" t="s">
        <v>1360</v>
      </c>
      <c r="E318" s="1" t="s">
        <v>1361</v>
      </c>
      <c r="F318" s="1" t="s">
        <v>44</v>
      </c>
      <c r="G318" s="1" t="s">
        <v>1247</v>
      </c>
      <c r="H318" s="1"/>
      <c r="I318" s="4">
        <v>7</v>
      </c>
      <c r="J318" s="4">
        <v>120</v>
      </c>
      <c r="K318" s="11">
        <v>0.9</v>
      </c>
      <c r="L318" s="4">
        <v>7.7</v>
      </c>
      <c r="M318" s="11">
        <f t="shared" si="8"/>
        <v>-4.5757490560675115E-2</v>
      </c>
      <c r="N318" s="12">
        <f>GraphBotulinum!$B$9-('C botulinum'!J318-GraphBotulinum!$B$5)/GraphBotulinum!$B$4</f>
        <v>-0.78429866401127235</v>
      </c>
      <c r="O318" s="2" t="s">
        <v>1226</v>
      </c>
      <c r="P318" s="2">
        <v>1996</v>
      </c>
      <c r="Q318" s="2" t="s">
        <v>1297</v>
      </c>
      <c r="T318" s="10">
        <f>GraphBotulinum!$B$41*'C botulinum'!J318+GraphBotulinum!$B$42</f>
        <v>-0.57129378013298293</v>
      </c>
      <c r="U318" s="10">
        <f>GraphBotulinum!$E$41*'C botulinum'!J318+GraphBotulinum!$E$42</f>
        <v>-0.78429866401127057</v>
      </c>
    </row>
    <row r="319" spans="1:21" x14ac:dyDescent="0.2">
      <c r="A319" s="1" t="s">
        <v>1228</v>
      </c>
      <c r="B319" s="1" t="s">
        <v>1234</v>
      </c>
      <c r="C319" s="1" t="s">
        <v>1408</v>
      </c>
      <c r="D319" s="1" t="s">
        <v>1360</v>
      </c>
      <c r="E319" s="1" t="s">
        <v>1361</v>
      </c>
      <c r="F319" s="1" t="s">
        <v>44</v>
      </c>
      <c r="G319" s="1" t="s">
        <v>1247</v>
      </c>
      <c r="H319" s="1"/>
      <c r="I319" s="4">
        <v>7</v>
      </c>
      <c r="J319" s="4">
        <v>125</v>
      </c>
      <c r="K319" s="11">
        <v>4.2000000000000003E-2</v>
      </c>
      <c r="L319" s="4">
        <v>11</v>
      </c>
      <c r="M319" s="11">
        <f t="shared" si="8"/>
        <v>-1.3767507096020994</v>
      </c>
      <c r="N319" s="12">
        <f>GraphBotulinum!$B$9-('C botulinum'!J319-GraphBotulinum!$B$5)/GraphBotulinum!$B$4</f>
        <v>-1.273818132954682</v>
      </c>
      <c r="O319" s="2" t="s">
        <v>1226</v>
      </c>
      <c r="P319" s="2">
        <v>1996</v>
      </c>
      <c r="T319" s="10">
        <f>GraphBotulinum!$B$41*'C botulinum'!J319+GraphBotulinum!$B$42</f>
        <v>-0.74283718559095036</v>
      </c>
      <c r="U319" s="10">
        <f>GraphBotulinum!$E$41*'C botulinum'!J319+GraphBotulinum!$E$42</f>
        <v>-1.2738181329546805</v>
      </c>
    </row>
    <row r="320" spans="1:21" x14ac:dyDescent="0.2">
      <c r="A320" s="1" t="s">
        <v>1228</v>
      </c>
      <c r="B320" s="1" t="s">
        <v>1234</v>
      </c>
      <c r="C320" s="1" t="s">
        <v>1408</v>
      </c>
      <c r="D320" s="1" t="s">
        <v>1360</v>
      </c>
      <c r="E320" s="1" t="s">
        <v>1361</v>
      </c>
      <c r="F320" s="1" t="s">
        <v>44</v>
      </c>
      <c r="G320" s="1" t="s">
        <v>1247</v>
      </c>
      <c r="H320" s="1"/>
      <c r="I320" s="4">
        <v>7</v>
      </c>
      <c r="J320" s="4">
        <v>125</v>
      </c>
      <c r="K320" s="11">
        <v>8.7999999999999995E-2</v>
      </c>
      <c r="L320" s="4">
        <v>11</v>
      </c>
      <c r="M320" s="11">
        <f t="shared" si="8"/>
        <v>-1.0555173278498313</v>
      </c>
      <c r="N320" s="12">
        <f>GraphBotulinum!$B$9-('C botulinum'!J320-GraphBotulinum!$B$5)/GraphBotulinum!$B$4</f>
        <v>-1.273818132954682</v>
      </c>
      <c r="O320" s="2" t="s">
        <v>1226</v>
      </c>
      <c r="P320" s="2">
        <v>1996</v>
      </c>
      <c r="T320" s="10">
        <f>GraphBotulinum!$B$41*'C botulinum'!J320+GraphBotulinum!$B$42</f>
        <v>-0.74283718559095036</v>
      </c>
      <c r="U320" s="10">
        <f>GraphBotulinum!$E$41*'C botulinum'!J320+GraphBotulinum!$E$42</f>
        <v>-1.2738181329546805</v>
      </c>
    </row>
    <row r="321" spans="1:21" x14ac:dyDescent="0.2">
      <c r="A321" s="1" t="s">
        <v>1228</v>
      </c>
      <c r="B321" s="1" t="s">
        <v>1234</v>
      </c>
      <c r="C321" s="1" t="s">
        <v>1408</v>
      </c>
      <c r="D321" s="1" t="s">
        <v>1360</v>
      </c>
      <c r="E321" s="1" t="s">
        <v>1361</v>
      </c>
      <c r="F321" s="1" t="s">
        <v>44</v>
      </c>
      <c r="G321" s="1" t="s">
        <v>1247</v>
      </c>
      <c r="H321" s="1"/>
      <c r="I321" s="4">
        <v>7</v>
      </c>
      <c r="J321" s="4">
        <v>130</v>
      </c>
      <c r="K321" s="11">
        <v>1.6E-2</v>
      </c>
      <c r="L321" s="4">
        <v>11</v>
      </c>
      <c r="M321" s="11">
        <f t="shared" si="8"/>
        <v>-1.7958800173440752</v>
      </c>
      <c r="N321" s="12">
        <f>GraphBotulinum!$B$9-('C botulinum'!J321-GraphBotulinum!$B$5)/GraphBotulinum!$B$4</f>
        <v>-1.7633376018980917</v>
      </c>
      <c r="O321" s="2" t="s">
        <v>1226</v>
      </c>
      <c r="P321" s="2">
        <v>1996</v>
      </c>
      <c r="T321" s="10">
        <f>GraphBotulinum!$B$41*'C botulinum'!J321+GraphBotulinum!$B$42</f>
        <v>-0.91438059104891778</v>
      </c>
      <c r="U321" s="10">
        <f>GraphBotulinum!$E$41*'C botulinum'!J321+GraphBotulinum!$E$42</f>
        <v>-1.7633376018980904</v>
      </c>
    </row>
    <row r="322" spans="1:21" x14ac:dyDescent="0.2">
      <c r="A322" s="1" t="s">
        <v>1228</v>
      </c>
      <c r="B322" s="1" t="s">
        <v>1234</v>
      </c>
      <c r="C322" s="1" t="s">
        <v>1408</v>
      </c>
      <c r="D322" s="1" t="s">
        <v>1360</v>
      </c>
      <c r="E322" s="1" t="s">
        <v>1361</v>
      </c>
      <c r="F322" s="1" t="s">
        <v>44</v>
      </c>
      <c r="G322" s="1" t="s">
        <v>1247</v>
      </c>
      <c r="H322" s="1"/>
      <c r="I322" s="4">
        <v>7</v>
      </c>
      <c r="J322" s="4">
        <v>130</v>
      </c>
      <c r="K322" s="11">
        <v>0.03</v>
      </c>
      <c r="L322" s="4">
        <v>11</v>
      </c>
      <c r="M322" s="11">
        <f t="shared" si="8"/>
        <v>-1.5228787452803376</v>
      </c>
      <c r="N322" s="12">
        <f>GraphBotulinum!$B$9-('C botulinum'!J322-GraphBotulinum!$B$5)/GraphBotulinum!$B$4</f>
        <v>-1.7633376018980917</v>
      </c>
      <c r="O322" s="2" t="s">
        <v>1226</v>
      </c>
      <c r="P322" s="2">
        <v>1996</v>
      </c>
      <c r="T322" s="10">
        <f>GraphBotulinum!$B$41*'C botulinum'!J322+GraphBotulinum!$B$42</f>
        <v>-0.91438059104891778</v>
      </c>
      <c r="U322" s="10">
        <f>GraphBotulinum!$E$41*'C botulinum'!J322+GraphBotulinum!$E$42</f>
        <v>-1.7633376018980904</v>
      </c>
    </row>
    <row r="323" spans="1:21" x14ac:dyDescent="0.2">
      <c r="A323" s="1" t="s">
        <v>1228</v>
      </c>
      <c r="B323" s="1" t="s">
        <v>1234</v>
      </c>
      <c r="C323" s="1" t="s">
        <v>1408</v>
      </c>
      <c r="D323" s="1" t="s">
        <v>1360</v>
      </c>
      <c r="E323" s="1" t="s">
        <v>1361</v>
      </c>
      <c r="F323" s="1" t="s">
        <v>44</v>
      </c>
      <c r="G323" s="1" t="s">
        <v>1247</v>
      </c>
      <c r="H323" s="1"/>
      <c r="I323" s="4">
        <v>7</v>
      </c>
      <c r="J323" s="4">
        <v>135</v>
      </c>
      <c r="K323" s="11">
        <v>2.7000000000000001E-3</v>
      </c>
      <c r="L323" s="4">
        <v>11</v>
      </c>
      <c r="M323" s="11">
        <f t="shared" si="8"/>
        <v>-2.5686362358410126</v>
      </c>
      <c r="N323" s="12">
        <f>GraphBotulinum!$B$9-('C botulinum'!J323-GraphBotulinum!$B$5)/GraphBotulinum!$B$4</f>
        <v>-2.2528570708415012</v>
      </c>
      <c r="O323" s="2" t="s">
        <v>1226</v>
      </c>
      <c r="P323" s="2">
        <v>1996</v>
      </c>
      <c r="T323" s="10">
        <f>GraphBotulinum!$B$41*'C botulinum'!J323+GraphBotulinum!$B$42</f>
        <v>-1.0859239965068852</v>
      </c>
      <c r="U323" s="10">
        <f>GraphBotulinum!$E$41*'C botulinum'!J323+GraphBotulinum!$E$42</f>
        <v>-2.2528570708415003</v>
      </c>
    </row>
    <row r="324" spans="1:21" x14ac:dyDescent="0.2">
      <c r="A324" s="1" t="s">
        <v>1228</v>
      </c>
      <c r="B324" s="1" t="s">
        <v>1234</v>
      </c>
      <c r="C324" s="1" t="s">
        <v>1408</v>
      </c>
      <c r="D324" s="1" t="s">
        <v>1360</v>
      </c>
      <c r="E324" s="1" t="s">
        <v>1361</v>
      </c>
      <c r="F324" s="1" t="s">
        <v>44</v>
      </c>
      <c r="G324" s="1" t="s">
        <v>1247</v>
      </c>
      <c r="H324" s="1"/>
      <c r="I324" s="4">
        <v>7</v>
      </c>
      <c r="J324" s="4">
        <v>135</v>
      </c>
      <c r="K324" s="11">
        <v>8.0000000000000002E-3</v>
      </c>
      <c r="L324" s="4">
        <v>11</v>
      </c>
      <c r="M324" s="11">
        <f t="shared" si="8"/>
        <v>-2.0969100130080562</v>
      </c>
      <c r="N324" s="12">
        <f>GraphBotulinum!$B$9-('C botulinum'!J324-GraphBotulinum!$B$5)/GraphBotulinum!$B$4</f>
        <v>-2.2528570708415012</v>
      </c>
      <c r="O324" s="2" t="s">
        <v>1226</v>
      </c>
      <c r="P324" s="2">
        <v>1996</v>
      </c>
      <c r="T324" s="10">
        <f>GraphBotulinum!$B$41*'C botulinum'!J324+GraphBotulinum!$B$42</f>
        <v>-1.0859239965068852</v>
      </c>
      <c r="U324" s="10">
        <f>GraphBotulinum!$E$41*'C botulinum'!J324+GraphBotulinum!$E$42</f>
        <v>-2.2528570708415003</v>
      </c>
    </row>
    <row r="325" spans="1:21" x14ac:dyDescent="0.2">
      <c r="A325" s="1" t="s">
        <v>1228</v>
      </c>
      <c r="B325" s="1" t="s">
        <v>1234</v>
      </c>
      <c r="C325" s="1" t="s">
        <v>1408</v>
      </c>
      <c r="D325" s="1" t="s">
        <v>1360</v>
      </c>
      <c r="E325" s="1" t="s">
        <v>1361</v>
      </c>
      <c r="F325" s="1" t="s">
        <v>44</v>
      </c>
      <c r="G325" s="1" t="s">
        <v>1247</v>
      </c>
      <c r="H325" s="1"/>
      <c r="I325" s="4">
        <v>7</v>
      </c>
      <c r="J325" s="4">
        <v>138</v>
      </c>
      <c r="K325" s="11">
        <v>1.8E-3</v>
      </c>
      <c r="L325" s="4">
        <v>11</v>
      </c>
      <c r="M325" s="11">
        <f t="shared" si="8"/>
        <v>-2.744727494896694</v>
      </c>
      <c r="N325" s="12">
        <f>GraphBotulinum!$B$9-('C botulinum'!J325-GraphBotulinum!$B$5)/GraphBotulinum!$B$4</f>
        <v>-2.5465687522075475</v>
      </c>
      <c r="O325" s="2" t="s">
        <v>1226</v>
      </c>
      <c r="P325" s="2">
        <v>1996</v>
      </c>
      <c r="T325" s="10">
        <f>GraphBotulinum!$B$41*'C botulinum'!J325+GraphBotulinum!$B$42</f>
        <v>-1.1888500397816655</v>
      </c>
      <c r="U325" s="10">
        <f>GraphBotulinum!$E$41*'C botulinum'!J325+GraphBotulinum!$E$42</f>
        <v>-2.5465687522075466</v>
      </c>
    </row>
    <row r="326" spans="1:21" x14ac:dyDescent="0.2">
      <c r="A326" s="1" t="s">
        <v>1228</v>
      </c>
      <c r="B326" s="1" t="s">
        <v>1234</v>
      </c>
      <c r="C326" s="1" t="s">
        <v>1408</v>
      </c>
      <c r="D326" s="1" t="s">
        <v>1360</v>
      </c>
      <c r="E326" s="1" t="s">
        <v>1361</v>
      </c>
      <c r="F326" s="1" t="s">
        <v>44</v>
      </c>
      <c r="G326" s="1" t="s">
        <v>1247</v>
      </c>
      <c r="H326" s="1"/>
      <c r="I326" s="4">
        <v>7</v>
      </c>
      <c r="J326" s="4">
        <v>138</v>
      </c>
      <c r="K326" s="11">
        <v>8.5000000000000006E-3</v>
      </c>
      <c r="L326" s="4">
        <v>11</v>
      </c>
      <c r="M326" s="11">
        <f t="shared" si="8"/>
        <v>-2.0705810742857071</v>
      </c>
      <c r="N326" s="12">
        <f>GraphBotulinum!$B$9-('C botulinum'!J326-GraphBotulinum!$B$5)/GraphBotulinum!$B$4</f>
        <v>-2.5465687522075475</v>
      </c>
      <c r="O326" s="2" t="s">
        <v>1226</v>
      </c>
      <c r="P326" s="2">
        <v>1996</v>
      </c>
      <c r="T326" s="10">
        <f>GraphBotulinum!$B$41*'C botulinum'!J326+GraphBotulinum!$B$42</f>
        <v>-1.1888500397816655</v>
      </c>
      <c r="U326" s="10">
        <f>GraphBotulinum!$E$41*'C botulinum'!J326+GraphBotulinum!$E$42</f>
        <v>-2.5465687522075466</v>
      </c>
    </row>
    <row r="327" spans="1:21" x14ac:dyDescent="0.2">
      <c r="A327" s="1" t="s">
        <v>1228</v>
      </c>
      <c r="B327" s="1" t="s">
        <v>1234</v>
      </c>
      <c r="C327" s="1" t="s">
        <v>1408</v>
      </c>
      <c r="D327" s="1" t="s">
        <v>1360</v>
      </c>
      <c r="E327" s="1" t="s">
        <v>1361</v>
      </c>
      <c r="F327" s="1" t="s">
        <v>44</v>
      </c>
      <c r="G327" s="1" t="s">
        <v>1247</v>
      </c>
      <c r="H327" s="1"/>
      <c r="I327" s="4">
        <v>7</v>
      </c>
      <c r="J327" s="4">
        <v>140</v>
      </c>
      <c r="K327" s="11">
        <v>2.7000000000000001E-3</v>
      </c>
      <c r="L327" s="4">
        <v>11</v>
      </c>
      <c r="M327" s="11">
        <f t="shared" si="8"/>
        <v>-2.5686362358410126</v>
      </c>
      <c r="N327" s="12">
        <f>GraphBotulinum!$B$9-('C botulinum'!J327-GraphBotulinum!$B$5)/GraphBotulinum!$B$4</f>
        <v>-2.7423765397849111</v>
      </c>
      <c r="O327" s="2" t="s">
        <v>1226</v>
      </c>
      <c r="P327" s="2">
        <v>1996</v>
      </c>
      <c r="T327" s="10">
        <f>GraphBotulinum!$B$41*'C botulinum'!J327+GraphBotulinum!$B$42</f>
        <v>-1.2574674019648526</v>
      </c>
      <c r="U327" s="10">
        <f>GraphBotulinum!$E$41*'C botulinum'!J327+GraphBotulinum!$E$42</f>
        <v>-2.7423765397849102</v>
      </c>
    </row>
    <row r="328" spans="1:21" x14ac:dyDescent="0.2">
      <c r="A328" s="1" t="s">
        <v>1228</v>
      </c>
      <c r="B328" s="1" t="s">
        <v>1234</v>
      </c>
      <c r="C328" s="1" t="s">
        <v>1409</v>
      </c>
      <c r="D328" s="1" t="s">
        <v>1360</v>
      </c>
      <c r="E328" s="1" t="s">
        <v>1361</v>
      </c>
      <c r="F328" s="1" t="s">
        <v>44</v>
      </c>
      <c r="G328" s="1" t="s">
        <v>1247</v>
      </c>
      <c r="H328" s="1"/>
      <c r="I328" s="4">
        <v>7</v>
      </c>
      <c r="J328" s="4">
        <v>110</v>
      </c>
      <c r="K328" s="11">
        <v>1.02</v>
      </c>
      <c r="M328" s="11">
        <f t="shared" si="8"/>
        <v>8.6001717619175692E-3</v>
      </c>
      <c r="N328" s="12">
        <f>GraphBotulinum!$B$9-('C botulinum'!J328-GraphBotulinum!$B$5)/GraphBotulinum!$B$4</f>
        <v>0.19474027387554704</v>
      </c>
      <c r="O328" s="2" t="s">
        <v>1226</v>
      </c>
      <c r="P328" s="2">
        <v>1996</v>
      </c>
      <c r="T328" s="10">
        <f>GraphBotulinum!$B$41*'C botulinum'!J328+GraphBotulinum!$B$42</f>
        <v>-0.22820696921704764</v>
      </c>
      <c r="U328" s="10">
        <f>GraphBotulinum!$E$41*'C botulinum'!J328+GraphBotulinum!$E$42</f>
        <v>0.19474027387554749</v>
      </c>
    </row>
    <row r="329" spans="1:21" x14ac:dyDescent="0.2">
      <c r="A329" s="1" t="s">
        <v>1228</v>
      </c>
      <c r="B329" s="1" t="s">
        <v>1234</v>
      </c>
      <c r="C329" s="1" t="s">
        <v>1409</v>
      </c>
      <c r="D329" s="1" t="s">
        <v>1360</v>
      </c>
      <c r="E329" s="1" t="s">
        <v>1361</v>
      </c>
      <c r="F329" s="1" t="s">
        <v>44</v>
      </c>
      <c r="G329" s="1" t="s">
        <v>1247</v>
      </c>
      <c r="H329" s="1"/>
      <c r="I329" s="4">
        <v>7</v>
      </c>
      <c r="J329" s="4">
        <v>110</v>
      </c>
      <c r="K329" s="11">
        <v>1.38</v>
      </c>
      <c r="M329" s="11">
        <f t="shared" si="8"/>
        <v>0.13987908640123647</v>
      </c>
      <c r="N329" s="12">
        <f>GraphBotulinum!$B$9-('C botulinum'!J329-GraphBotulinum!$B$5)/GraphBotulinum!$B$4</f>
        <v>0.19474027387554704</v>
      </c>
      <c r="O329" s="2" t="s">
        <v>1226</v>
      </c>
      <c r="P329" s="2">
        <v>1996</v>
      </c>
      <c r="T329" s="10">
        <f>GraphBotulinum!$B$41*'C botulinum'!J329+GraphBotulinum!$B$42</f>
        <v>-0.22820696921704764</v>
      </c>
      <c r="U329" s="10">
        <f>GraphBotulinum!$E$41*'C botulinum'!J329+GraphBotulinum!$E$42</f>
        <v>0.19474027387554749</v>
      </c>
    </row>
    <row r="330" spans="1:21" x14ac:dyDescent="0.2">
      <c r="A330" s="1" t="s">
        <v>1228</v>
      </c>
      <c r="B330" s="1" t="s">
        <v>1234</v>
      </c>
      <c r="C330" s="1" t="s">
        <v>1409</v>
      </c>
      <c r="D330" s="1" t="s">
        <v>1360</v>
      </c>
      <c r="E330" s="1" t="s">
        <v>1361</v>
      </c>
      <c r="F330" s="1" t="s">
        <v>44</v>
      </c>
      <c r="G330" s="1" t="s">
        <v>1247</v>
      </c>
      <c r="H330" s="1"/>
      <c r="I330" s="4">
        <v>7</v>
      </c>
      <c r="J330" s="4">
        <v>115.6</v>
      </c>
      <c r="K330" s="11">
        <v>0.11</v>
      </c>
      <c r="M330" s="11">
        <f t="shared" ref="M330:M376" si="9">LOG(K330)</f>
        <v>-0.95860731484177497</v>
      </c>
      <c r="N330" s="12">
        <f>GraphBotulinum!$B$9-('C botulinum'!J330-GraphBotulinum!$B$5)/GraphBotulinum!$B$4</f>
        <v>-0.35352153134107128</v>
      </c>
      <c r="O330" s="2" t="s">
        <v>1226</v>
      </c>
      <c r="P330" s="2">
        <v>1996</v>
      </c>
      <c r="T330" s="10">
        <f>GraphBotulinum!$B$41*'C botulinum'!J330+GraphBotulinum!$B$42</f>
        <v>-0.42033558332997112</v>
      </c>
      <c r="U330" s="10">
        <f>GraphBotulinum!$E$41*'C botulinum'!J330+GraphBotulinum!$E$42</f>
        <v>-0.35352153134106956</v>
      </c>
    </row>
    <row r="331" spans="1:21" x14ac:dyDescent="0.2">
      <c r="A331" s="1" t="s">
        <v>1228</v>
      </c>
      <c r="B331" s="1" t="s">
        <v>1234</v>
      </c>
      <c r="C331" s="1" t="s">
        <v>1409</v>
      </c>
      <c r="D331" s="1" t="s">
        <v>1360</v>
      </c>
      <c r="E331" s="1" t="s">
        <v>1361</v>
      </c>
      <c r="F331" s="1" t="s">
        <v>44</v>
      </c>
      <c r="G331" s="1" t="s">
        <v>1247</v>
      </c>
      <c r="H331" s="1"/>
      <c r="I331" s="4">
        <v>7</v>
      </c>
      <c r="J331" s="4">
        <v>115.6</v>
      </c>
      <c r="K331" s="11">
        <v>0.35</v>
      </c>
      <c r="M331" s="11">
        <f t="shared" si="9"/>
        <v>-0.45593195564972439</v>
      </c>
      <c r="N331" s="12">
        <f>GraphBotulinum!$B$9-('C botulinum'!J331-GraphBotulinum!$B$5)/GraphBotulinum!$B$4</f>
        <v>-0.35352153134107128</v>
      </c>
      <c r="O331" s="2" t="s">
        <v>1226</v>
      </c>
      <c r="P331" s="2">
        <v>1996</v>
      </c>
      <c r="T331" s="10">
        <f>GraphBotulinum!$B$41*'C botulinum'!J331+GraphBotulinum!$B$42</f>
        <v>-0.42033558332997112</v>
      </c>
      <c r="U331" s="10">
        <f>GraphBotulinum!$E$41*'C botulinum'!J331+GraphBotulinum!$E$42</f>
        <v>-0.35352153134106956</v>
      </c>
    </row>
    <row r="332" spans="1:21" x14ac:dyDescent="0.2">
      <c r="A332" s="1" t="s">
        <v>1228</v>
      </c>
      <c r="B332" s="1" t="s">
        <v>1234</v>
      </c>
      <c r="C332" s="1" t="s">
        <v>1407</v>
      </c>
      <c r="D332" s="1" t="s">
        <v>1360</v>
      </c>
      <c r="E332" s="1" t="s">
        <v>1361</v>
      </c>
      <c r="F332" s="1" t="s">
        <v>44</v>
      </c>
      <c r="G332" s="1" t="s">
        <v>1247</v>
      </c>
      <c r="H332" s="1"/>
      <c r="I332" s="4">
        <v>7</v>
      </c>
      <c r="J332" s="4">
        <v>82.2</v>
      </c>
      <c r="K332" s="11">
        <v>483</v>
      </c>
      <c r="L332" s="4">
        <v>8.3000000000000007</v>
      </c>
      <c r="M332" s="11">
        <f t="shared" si="9"/>
        <v>2.6839471307515121</v>
      </c>
      <c r="N332" s="12">
        <f>GraphBotulinum!$B$9-('C botulinum'!J332-GraphBotulinum!$B$5)/GraphBotulinum!$B$4</f>
        <v>2.9164685212009047</v>
      </c>
      <c r="O332" s="2" t="s">
        <v>1226</v>
      </c>
      <c r="P332" s="2">
        <v>1996</v>
      </c>
      <c r="T332" s="10">
        <f>GraphBotulinum!$B$41*'C botulinum'!J332+GraphBotulinum!$B$42</f>
        <v>0.72557436512925166</v>
      </c>
      <c r="U332" s="10">
        <f>GraphBotulinum!$E$41*'C botulinum'!J332+GraphBotulinum!$E$42</f>
        <v>2.9164685212009047</v>
      </c>
    </row>
    <row r="333" spans="1:21" x14ac:dyDescent="0.2">
      <c r="A333" s="1" t="s">
        <v>1228</v>
      </c>
      <c r="B333" s="1" t="s">
        <v>1234</v>
      </c>
      <c r="C333" s="1" t="s">
        <v>1404</v>
      </c>
      <c r="D333" s="1" t="s">
        <v>1360</v>
      </c>
      <c r="E333" s="1" t="s">
        <v>1361</v>
      </c>
      <c r="F333" s="1" t="s">
        <v>44</v>
      </c>
      <c r="G333" s="1" t="s">
        <v>1247</v>
      </c>
      <c r="H333" s="1"/>
      <c r="I333" s="4">
        <v>7</v>
      </c>
      <c r="J333" s="4">
        <v>110</v>
      </c>
      <c r="K333" s="11">
        <v>1.5</v>
      </c>
      <c r="L333" s="4">
        <v>10.1</v>
      </c>
      <c r="M333" s="11">
        <f t="shared" si="9"/>
        <v>0.17609125905568124</v>
      </c>
      <c r="N333" s="12">
        <f>GraphBotulinum!$B$9-('C botulinum'!J333-GraphBotulinum!$B$5)/GraphBotulinum!$B$4</f>
        <v>0.19474027387554704</v>
      </c>
      <c r="O333" s="2" t="s">
        <v>1226</v>
      </c>
      <c r="P333" s="2">
        <v>1996</v>
      </c>
      <c r="T333" s="10">
        <f>GraphBotulinum!$B$41*'C botulinum'!J333+GraphBotulinum!$B$42</f>
        <v>-0.22820696921704764</v>
      </c>
      <c r="U333" s="10">
        <f>GraphBotulinum!$E$41*'C botulinum'!J333+GraphBotulinum!$E$42</f>
        <v>0.19474027387554749</v>
      </c>
    </row>
    <row r="334" spans="1:21" x14ac:dyDescent="0.2">
      <c r="A334" s="1" t="s">
        <v>1228</v>
      </c>
      <c r="B334" s="1" t="s">
        <v>1234</v>
      </c>
      <c r="C334" s="1" t="s">
        <v>1405</v>
      </c>
      <c r="D334" s="1" t="s">
        <v>1360</v>
      </c>
      <c r="E334" s="1" t="s">
        <v>1361</v>
      </c>
      <c r="F334" s="1" t="s">
        <v>44</v>
      </c>
      <c r="G334" s="1" t="s">
        <v>1247</v>
      </c>
      <c r="H334" s="1"/>
      <c r="I334" s="4">
        <v>7</v>
      </c>
      <c r="J334" s="4">
        <v>82.2</v>
      </c>
      <c r="K334" s="11">
        <v>868</v>
      </c>
      <c r="L334" s="4">
        <v>10.7</v>
      </c>
      <c r="M334" s="11">
        <f t="shared" si="9"/>
        <v>2.9385197251764921</v>
      </c>
      <c r="N334" s="12">
        <f>GraphBotulinum!$B$9-('C botulinum'!J334-GraphBotulinum!$B$5)/GraphBotulinum!$B$4</f>
        <v>2.9164685212009047</v>
      </c>
      <c r="O334" s="2" t="s">
        <v>1226</v>
      </c>
      <c r="P334" s="2">
        <v>1996</v>
      </c>
      <c r="Q334" s="1" t="s">
        <v>1406</v>
      </c>
      <c r="T334" s="10">
        <f>GraphBotulinum!$B$41*'C botulinum'!J334+GraphBotulinum!$B$42</f>
        <v>0.72557436512925166</v>
      </c>
      <c r="U334" s="10">
        <f>GraphBotulinum!$E$41*'C botulinum'!J334+GraphBotulinum!$E$42</f>
        <v>2.9164685212009047</v>
      </c>
    </row>
    <row r="335" spans="1:21" x14ac:dyDescent="0.2">
      <c r="A335" s="1" t="s">
        <v>1228</v>
      </c>
      <c r="B335" s="1" t="s">
        <v>1234</v>
      </c>
      <c r="C335" s="1" t="s">
        <v>1408</v>
      </c>
      <c r="D335" s="1" t="s">
        <v>1360</v>
      </c>
      <c r="E335" s="1" t="s">
        <v>1361</v>
      </c>
      <c r="F335" s="1" t="s">
        <v>43</v>
      </c>
      <c r="G335" s="1" t="s">
        <v>1272</v>
      </c>
      <c r="H335" s="1" t="s">
        <v>1270</v>
      </c>
      <c r="I335" s="4">
        <v>5.39</v>
      </c>
      <c r="J335" s="4">
        <v>100</v>
      </c>
      <c r="K335" s="11">
        <v>22.13</v>
      </c>
      <c r="L335" s="4">
        <v>8.6</v>
      </c>
      <c r="M335" s="11">
        <f t="shared" si="9"/>
        <v>1.344981413927258</v>
      </c>
      <c r="N335" s="12">
        <f>GraphBotulinum!$B$9-('C botulinum'!J335-GraphBotulinum!$B$5)/GraphBotulinum!$B$4</f>
        <v>1.1737792117623664</v>
      </c>
      <c r="O335" s="2" t="s">
        <v>1226</v>
      </c>
      <c r="P335" s="2">
        <v>1996</v>
      </c>
      <c r="T335" s="10">
        <f>GraphBotulinum!$B$41*'C botulinum'!J335+GraphBotulinum!$B$42</f>
        <v>0.11487984169888721</v>
      </c>
      <c r="U335" s="10">
        <f>GraphBotulinum!$E$41*'C botulinum'!J335+GraphBotulinum!$E$42</f>
        <v>1.1737792117623673</v>
      </c>
    </row>
    <row r="336" spans="1:21" x14ac:dyDescent="0.2">
      <c r="A336" s="1" t="s">
        <v>1228</v>
      </c>
      <c r="B336" s="1" t="s">
        <v>1234</v>
      </c>
      <c r="C336" s="1" t="s">
        <v>1408</v>
      </c>
      <c r="D336" s="1" t="s">
        <v>1360</v>
      </c>
      <c r="E336" s="1" t="s">
        <v>1361</v>
      </c>
      <c r="F336" s="1" t="s">
        <v>43</v>
      </c>
      <c r="G336" s="1" t="s">
        <v>1272</v>
      </c>
      <c r="H336" s="1" t="s">
        <v>1270</v>
      </c>
      <c r="I336" s="4">
        <v>5.39</v>
      </c>
      <c r="J336" s="4">
        <v>110</v>
      </c>
      <c r="K336" s="11">
        <v>1.54</v>
      </c>
      <c r="L336" s="4">
        <v>8.6</v>
      </c>
      <c r="M336" s="11">
        <f t="shared" si="9"/>
        <v>0.18752072083646307</v>
      </c>
      <c r="N336" s="12">
        <f>GraphBotulinum!$B$9-('C botulinum'!J336-GraphBotulinum!$B$5)/GraphBotulinum!$B$4</f>
        <v>0.19474027387554704</v>
      </c>
      <c r="O336" s="2" t="s">
        <v>1226</v>
      </c>
      <c r="P336" s="2">
        <v>1996</v>
      </c>
      <c r="T336" s="10">
        <f>GraphBotulinum!$B$41*'C botulinum'!J336+GraphBotulinum!$B$42</f>
        <v>-0.22820696921704764</v>
      </c>
      <c r="U336" s="10">
        <f>GraphBotulinum!$E$41*'C botulinum'!J336+GraphBotulinum!$E$42</f>
        <v>0.19474027387554749</v>
      </c>
    </row>
    <row r="337" spans="1:21" x14ac:dyDescent="0.2">
      <c r="A337" s="1" t="s">
        <v>1228</v>
      </c>
      <c r="B337" s="1" t="s">
        <v>1234</v>
      </c>
      <c r="C337" s="1" t="s">
        <v>1408</v>
      </c>
      <c r="D337" s="1" t="s">
        <v>1360</v>
      </c>
      <c r="E337" s="1" t="s">
        <v>1361</v>
      </c>
      <c r="F337" s="1" t="s">
        <v>43</v>
      </c>
      <c r="G337" s="1" t="s">
        <v>1272</v>
      </c>
      <c r="H337" s="1" t="s">
        <v>1270</v>
      </c>
      <c r="I337" s="4">
        <v>5.37</v>
      </c>
      <c r="J337" s="4">
        <v>100</v>
      </c>
      <c r="K337" s="11">
        <v>11.14</v>
      </c>
      <c r="M337" s="11">
        <f t="shared" si="9"/>
        <v>1.0468851908377101</v>
      </c>
      <c r="N337" s="12">
        <f>GraphBotulinum!$B$9-('C botulinum'!J337-GraphBotulinum!$B$5)/GraphBotulinum!$B$4</f>
        <v>1.1737792117623664</v>
      </c>
      <c r="O337" s="2" t="s">
        <v>1226</v>
      </c>
      <c r="P337" s="2">
        <v>1996</v>
      </c>
      <c r="T337" s="10">
        <f>GraphBotulinum!$B$41*'C botulinum'!J337+GraphBotulinum!$B$42</f>
        <v>0.11487984169888721</v>
      </c>
      <c r="U337" s="10">
        <f>GraphBotulinum!$E$41*'C botulinum'!J337+GraphBotulinum!$E$42</f>
        <v>1.1737792117623673</v>
      </c>
    </row>
    <row r="338" spans="1:21" x14ac:dyDescent="0.2">
      <c r="A338" s="1" t="s">
        <v>1228</v>
      </c>
      <c r="B338" s="1" t="s">
        <v>1234</v>
      </c>
      <c r="C338" s="1" t="s">
        <v>1408</v>
      </c>
      <c r="D338" s="1" t="s">
        <v>1360</v>
      </c>
      <c r="E338" s="1" t="s">
        <v>1361</v>
      </c>
      <c r="F338" s="1" t="s">
        <v>43</v>
      </c>
      <c r="G338" s="1" t="s">
        <v>1272</v>
      </c>
      <c r="H338" s="1" t="s">
        <v>1270</v>
      </c>
      <c r="I338" s="4">
        <v>5.37</v>
      </c>
      <c r="J338" s="4">
        <v>110</v>
      </c>
      <c r="K338" s="11">
        <v>1.19</v>
      </c>
      <c r="M338" s="11">
        <f t="shared" si="9"/>
        <v>7.554696139253074E-2</v>
      </c>
      <c r="N338" s="12">
        <f>GraphBotulinum!$B$9-('C botulinum'!J338-GraphBotulinum!$B$5)/GraphBotulinum!$B$4</f>
        <v>0.19474027387554704</v>
      </c>
      <c r="O338" s="2" t="s">
        <v>1226</v>
      </c>
      <c r="P338" s="2">
        <v>1996</v>
      </c>
      <c r="T338" s="10">
        <f>GraphBotulinum!$B$41*'C botulinum'!J338+GraphBotulinum!$B$42</f>
        <v>-0.22820696921704764</v>
      </c>
      <c r="U338" s="10">
        <f>GraphBotulinum!$E$41*'C botulinum'!J338+GraphBotulinum!$E$42</f>
        <v>0.19474027387554749</v>
      </c>
    </row>
    <row r="339" spans="1:21" x14ac:dyDescent="0.2">
      <c r="A339" s="1" t="s">
        <v>1228</v>
      </c>
      <c r="B339" s="1" t="s">
        <v>1234</v>
      </c>
      <c r="C339" s="1" t="s">
        <v>1408</v>
      </c>
      <c r="D339" s="1" t="s">
        <v>1360</v>
      </c>
      <c r="E339" s="1" t="s">
        <v>1361</v>
      </c>
      <c r="F339" s="1" t="s">
        <v>43</v>
      </c>
      <c r="G339" s="1" t="s">
        <v>1272</v>
      </c>
      <c r="H339" s="1" t="s">
        <v>1294</v>
      </c>
      <c r="J339" s="4">
        <v>110</v>
      </c>
      <c r="K339" s="11">
        <v>1.75</v>
      </c>
      <c r="L339" s="4">
        <v>10.3</v>
      </c>
      <c r="M339" s="11">
        <f t="shared" si="9"/>
        <v>0.24303804868629444</v>
      </c>
      <c r="N339" s="12">
        <f>GraphBotulinum!$B$9-('C botulinum'!J339-GraphBotulinum!$B$5)/GraphBotulinum!$B$4</f>
        <v>0.19474027387554704</v>
      </c>
      <c r="O339" s="2" t="s">
        <v>1226</v>
      </c>
      <c r="P339" s="2">
        <v>1996</v>
      </c>
      <c r="T339" s="10">
        <f>GraphBotulinum!$B$41*'C botulinum'!J339+GraphBotulinum!$B$42</f>
        <v>-0.22820696921704764</v>
      </c>
      <c r="U339" s="10">
        <f>GraphBotulinum!$E$41*'C botulinum'!J339+GraphBotulinum!$E$42</f>
        <v>0.19474027387554749</v>
      </c>
    </row>
    <row r="340" spans="1:21" x14ac:dyDescent="0.2">
      <c r="A340" s="1" t="s">
        <v>1228</v>
      </c>
      <c r="B340" s="1" t="s">
        <v>1234</v>
      </c>
      <c r="C340" s="1" t="s">
        <v>1408</v>
      </c>
      <c r="D340" s="1" t="s">
        <v>1360</v>
      </c>
      <c r="E340" s="1" t="s">
        <v>1361</v>
      </c>
      <c r="F340" s="1" t="s">
        <v>43</v>
      </c>
      <c r="G340" s="1" t="s">
        <v>1272</v>
      </c>
      <c r="H340" s="1" t="s">
        <v>1294</v>
      </c>
      <c r="J340" s="4">
        <v>115.6</v>
      </c>
      <c r="K340" s="11">
        <v>0.55000000000000004</v>
      </c>
      <c r="L340" s="4">
        <v>10.3</v>
      </c>
      <c r="M340" s="11">
        <f t="shared" si="9"/>
        <v>-0.25963731050575611</v>
      </c>
      <c r="N340" s="12">
        <f>GraphBotulinum!$B$9-('C botulinum'!J340-GraphBotulinum!$B$5)/GraphBotulinum!$B$4</f>
        <v>-0.35352153134107128</v>
      </c>
      <c r="O340" s="2" t="s">
        <v>1226</v>
      </c>
      <c r="P340" s="2">
        <v>1996</v>
      </c>
      <c r="T340" s="10">
        <f>GraphBotulinum!$B$41*'C botulinum'!J340+GraphBotulinum!$B$42</f>
        <v>-0.42033558332997112</v>
      </c>
      <c r="U340" s="10">
        <f>GraphBotulinum!$E$41*'C botulinum'!J340+GraphBotulinum!$E$42</f>
        <v>-0.35352153134106956</v>
      </c>
    </row>
    <row r="341" spans="1:21" x14ac:dyDescent="0.2">
      <c r="A341" s="1" t="s">
        <v>1228</v>
      </c>
      <c r="B341" s="1" t="s">
        <v>1234</v>
      </c>
      <c r="C341" s="1" t="s">
        <v>1412</v>
      </c>
      <c r="D341" s="1" t="s">
        <v>1366</v>
      </c>
      <c r="E341" s="1" t="s">
        <v>1361</v>
      </c>
      <c r="F341" s="1" t="s">
        <v>46</v>
      </c>
      <c r="G341" s="1" t="s">
        <v>1302</v>
      </c>
      <c r="J341" s="4">
        <v>101.7</v>
      </c>
      <c r="K341" s="11">
        <v>5.07</v>
      </c>
      <c r="L341" s="4">
        <v>9.3000000000000007</v>
      </c>
      <c r="M341" s="11">
        <f t="shared" si="9"/>
        <v>0.70500795933333604</v>
      </c>
      <c r="N341" s="12">
        <f>GraphBotulinum!$B$9-('C botulinum'!J341-GraphBotulinum!$B$5)/GraphBotulinum!$B$4</f>
        <v>1.0073425923216068</v>
      </c>
      <c r="O341" s="2" t="s">
        <v>1226</v>
      </c>
      <c r="P341" s="2">
        <v>1996</v>
      </c>
      <c r="T341" s="10">
        <f>GraphBotulinum!$B$41*'C botulinum'!J341+GraphBotulinum!$B$42</f>
        <v>5.6555083843178089E-2</v>
      </c>
      <c r="U341" s="10">
        <f>GraphBotulinum!$E$41*'C botulinum'!J341+GraphBotulinum!$E$42</f>
        <v>1.0073425923216082</v>
      </c>
    </row>
    <row r="342" spans="1:21" x14ac:dyDescent="0.2">
      <c r="A342" s="1" t="s">
        <v>1228</v>
      </c>
      <c r="B342" s="1" t="s">
        <v>1234</v>
      </c>
      <c r="C342" s="1" t="s">
        <v>1412</v>
      </c>
      <c r="D342" s="1" t="s">
        <v>1366</v>
      </c>
      <c r="E342" s="1" t="s">
        <v>1361</v>
      </c>
      <c r="F342" s="1" t="s">
        <v>46</v>
      </c>
      <c r="G342" s="1" t="s">
        <v>1302</v>
      </c>
      <c r="J342" s="4">
        <v>110</v>
      </c>
      <c r="K342" s="11">
        <v>1.35</v>
      </c>
      <c r="L342" s="4">
        <v>9.3000000000000007</v>
      </c>
      <c r="M342" s="11">
        <f t="shared" si="9"/>
        <v>0.13033376849500614</v>
      </c>
      <c r="N342" s="12">
        <f>GraphBotulinum!$B$9-('C botulinum'!J342-GraphBotulinum!$B$5)/GraphBotulinum!$B$4</f>
        <v>0.19474027387554704</v>
      </c>
      <c r="O342" s="2" t="s">
        <v>1226</v>
      </c>
      <c r="P342" s="2">
        <v>1996</v>
      </c>
      <c r="T342" s="10">
        <f>GraphBotulinum!$B$41*'C botulinum'!J342+GraphBotulinum!$B$42</f>
        <v>-0.22820696921704764</v>
      </c>
      <c r="U342" s="10">
        <f>GraphBotulinum!$E$41*'C botulinum'!J342+GraphBotulinum!$E$42</f>
        <v>0.19474027387554749</v>
      </c>
    </row>
    <row r="343" spans="1:21" x14ac:dyDescent="0.2">
      <c r="A343" s="1" t="s">
        <v>1228</v>
      </c>
      <c r="B343" s="1" t="s">
        <v>1234</v>
      </c>
      <c r="C343" s="1" t="s">
        <v>1412</v>
      </c>
      <c r="D343" s="1" t="s">
        <v>1366</v>
      </c>
      <c r="E343" s="1" t="s">
        <v>1361</v>
      </c>
      <c r="F343" s="1" t="s">
        <v>46</v>
      </c>
      <c r="G343" s="1" t="s">
        <v>1302</v>
      </c>
      <c r="J343" s="4">
        <v>121.1</v>
      </c>
      <c r="K343" s="11">
        <v>0.22</v>
      </c>
      <c r="L343" s="4">
        <v>9.3000000000000007</v>
      </c>
      <c r="M343" s="11">
        <f t="shared" si="9"/>
        <v>-0.65757731917779372</v>
      </c>
      <c r="N343" s="12">
        <f>GraphBotulinum!$B$9-('C botulinum'!J343-GraphBotulinum!$B$5)/GraphBotulinum!$B$4</f>
        <v>-0.89199294717882194</v>
      </c>
      <c r="O343" s="2" t="s">
        <v>1226</v>
      </c>
      <c r="P343" s="2">
        <v>1996</v>
      </c>
      <c r="Q343" t="s">
        <v>1305</v>
      </c>
      <c r="T343" s="10">
        <f>GraphBotulinum!$B$41*'C botulinum'!J343+GraphBotulinum!$B$42</f>
        <v>-0.60903332933373555</v>
      </c>
      <c r="U343" s="10">
        <f>GraphBotulinum!$E$41*'C botulinum'!J343+GraphBotulinum!$E$42</f>
        <v>-0.89199294717882083</v>
      </c>
    </row>
    <row r="344" spans="1:21" x14ac:dyDescent="0.2">
      <c r="A344" s="1" t="s">
        <v>1228</v>
      </c>
      <c r="B344" s="1" t="s">
        <v>1234</v>
      </c>
      <c r="C344" s="1" t="s">
        <v>1413</v>
      </c>
      <c r="D344" s="1" t="s">
        <v>1366</v>
      </c>
      <c r="E344" s="1" t="s">
        <v>1361</v>
      </c>
      <c r="F344" s="1" t="s">
        <v>44</v>
      </c>
      <c r="G344" s="1" t="s">
        <v>1247</v>
      </c>
      <c r="I344" s="4">
        <v>7</v>
      </c>
      <c r="J344" s="4">
        <v>101.7</v>
      </c>
      <c r="K344" s="11">
        <v>12.02</v>
      </c>
      <c r="L344" s="4">
        <v>11.2</v>
      </c>
      <c r="M344" s="11">
        <f t="shared" si="9"/>
        <v>1.0799044676667207</v>
      </c>
      <c r="N344" s="12">
        <f>GraphBotulinum!$B$9-('C botulinum'!J344-GraphBotulinum!$B$5)/GraphBotulinum!$B$4</f>
        <v>1.0073425923216068</v>
      </c>
      <c r="O344" s="2" t="s">
        <v>1226</v>
      </c>
      <c r="P344" s="2">
        <v>1996</v>
      </c>
      <c r="T344" s="10">
        <f>GraphBotulinum!$B$41*'C botulinum'!J344+GraphBotulinum!$B$42</f>
        <v>5.6555083843178089E-2</v>
      </c>
      <c r="U344" s="10">
        <f>GraphBotulinum!$E$41*'C botulinum'!J344+GraphBotulinum!$E$42</f>
        <v>1.0073425923216082</v>
      </c>
    </row>
    <row r="345" spans="1:21" x14ac:dyDescent="0.2">
      <c r="A345" s="1" t="s">
        <v>1228</v>
      </c>
      <c r="B345" s="1" t="s">
        <v>1234</v>
      </c>
      <c r="C345" s="1" t="s">
        <v>1414</v>
      </c>
      <c r="D345" s="1" t="s">
        <v>1366</v>
      </c>
      <c r="E345" s="1" t="s">
        <v>1361</v>
      </c>
      <c r="F345" s="1" t="s">
        <v>44</v>
      </c>
      <c r="G345" s="1" t="s">
        <v>1247</v>
      </c>
      <c r="I345" s="4">
        <v>7</v>
      </c>
      <c r="J345" s="4">
        <v>101.7</v>
      </c>
      <c r="K345" s="11">
        <v>8.76</v>
      </c>
      <c r="L345" s="4">
        <v>12.1</v>
      </c>
      <c r="M345" s="11">
        <f t="shared" si="9"/>
        <v>0.94250410616808067</v>
      </c>
      <c r="N345" s="12">
        <f>GraphBotulinum!$B$9-('C botulinum'!J345-GraphBotulinum!$B$5)/GraphBotulinum!$B$4</f>
        <v>1.0073425923216068</v>
      </c>
      <c r="O345" s="2" t="s">
        <v>1226</v>
      </c>
      <c r="P345" s="2">
        <v>1996</v>
      </c>
      <c r="T345" s="10">
        <f>GraphBotulinum!$B$41*'C botulinum'!J345+GraphBotulinum!$B$42</f>
        <v>5.6555083843178089E-2</v>
      </c>
      <c r="U345" s="10">
        <f>GraphBotulinum!$E$41*'C botulinum'!J345+GraphBotulinum!$E$42</f>
        <v>1.0073425923216082</v>
      </c>
    </row>
    <row r="346" spans="1:21" x14ac:dyDescent="0.2">
      <c r="A346" s="1" t="s">
        <v>1228</v>
      </c>
      <c r="B346" s="1" t="s">
        <v>1234</v>
      </c>
      <c r="C346" s="1" t="s">
        <v>1412</v>
      </c>
      <c r="D346" s="1" t="s">
        <v>1366</v>
      </c>
      <c r="E346" s="1" t="s">
        <v>1361</v>
      </c>
      <c r="F346" s="1" t="s">
        <v>44</v>
      </c>
      <c r="G346" s="1" t="s">
        <v>1247</v>
      </c>
      <c r="I346" s="4">
        <v>7</v>
      </c>
      <c r="J346" s="4">
        <v>101.7</v>
      </c>
      <c r="K346" s="11">
        <v>5.35</v>
      </c>
      <c r="L346" s="4">
        <v>10.5</v>
      </c>
      <c r="M346" s="11">
        <f t="shared" si="9"/>
        <v>0.72835378202122847</v>
      </c>
      <c r="N346" s="12">
        <f>GraphBotulinum!$B$9-('C botulinum'!J346-GraphBotulinum!$B$5)/GraphBotulinum!$B$4</f>
        <v>1.0073425923216068</v>
      </c>
      <c r="O346" s="2" t="s">
        <v>1226</v>
      </c>
      <c r="P346" s="2">
        <v>1996</v>
      </c>
      <c r="T346" s="10">
        <f>GraphBotulinum!$B$41*'C botulinum'!J346+GraphBotulinum!$B$42</f>
        <v>5.6555083843178089E-2</v>
      </c>
      <c r="U346" s="10">
        <f>GraphBotulinum!$E$41*'C botulinum'!J346+GraphBotulinum!$E$42</f>
        <v>1.0073425923216082</v>
      </c>
    </row>
    <row r="347" spans="1:21" x14ac:dyDescent="0.2">
      <c r="A347" s="1" t="s">
        <v>1228</v>
      </c>
      <c r="B347" s="1" t="s">
        <v>1234</v>
      </c>
      <c r="C347" s="1" t="s">
        <v>1413</v>
      </c>
      <c r="D347" s="1" t="s">
        <v>1366</v>
      </c>
      <c r="E347" s="1" t="s">
        <v>1361</v>
      </c>
      <c r="F347" s="1" t="s">
        <v>44</v>
      </c>
      <c r="G347" s="1" t="s">
        <v>1247</v>
      </c>
      <c r="I347" s="4">
        <v>7</v>
      </c>
      <c r="J347" s="4">
        <v>110</v>
      </c>
      <c r="K347" s="11">
        <v>1.82</v>
      </c>
      <c r="L347" s="4">
        <v>11.2</v>
      </c>
      <c r="M347" s="11">
        <f t="shared" si="9"/>
        <v>0.26007138798507479</v>
      </c>
      <c r="N347" s="12">
        <f>GraphBotulinum!$B$9-('C botulinum'!J347-GraphBotulinum!$B$5)/GraphBotulinum!$B$4</f>
        <v>0.19474027387554704</v>
      </c>
      <c r="O347" s="2" t="s">
        <v>1226</v>
      </c>
      <c r="P347" s="2">
        <v>1996</v>
      </c>
      <c r="T347" s="10">
        <f>GraphBotulinum!$B$41*'C botulinum'!J347+GraphBotulinum!$B$42</f>
        <v>-0.22820696921704764</v>
      </c>
      <c r="U347" s="10">
        <f>GraphBotulinum!$E$41*'C botulinum'!J347+GraphBotulinum!$E$42</f>
        <v>0.19474027387554749</v>
      </c>
    </row>
    <row r="348" spans="1:21" x14ac:dyDescent="0.2">
      <c r="A348" s="1" t="s">
        <v>1228</v>
      </c>
      <c r="B348" s="1" t="s">
        <v>1234</v>
      </c>
      <c r="C348" s="1" t="s">
        <v>1414</v>
      </c>
      <c r="D348" s="1" t="s">
        <v>1366</v>
      </c>
      <c r="E348" s="1" t="s">
        <v>1361</v>
      </c>
      <c r="F348" s="1" t="s">
        <v>44</v>
      </c>
      <c r="G348" s="1" t="s">
        <v>1247</v>
      </c>
      <c r="I348" s="4">
        <v>7</v>
      </c>
      <c r="J348" s="4">
        <v>110</v>
      </c>
      <c r="K348" s="11">
        <v>1.79</v>
      </c>
      <c r="L348" s="4">
        <v>12.1</v>
      </c>
      <c r="M348" s="11">
        <f t="shared" si="9"/>
        <v>0.2528530309798932</v>
      </c>
      <c r="N348" s="12">
        <f>GraphBotulinum!$B$9-('C botulinum'!J348-GraphBotulinum!$B$5)/GraphBotulinum!$B$4</f>
        <v>0.19474027387554704</v>
      </c>
      <c r="O348" s="2" t="s">
        <v>1226</v>
      </c>
      <c r="P348" s="2">
        <v>1996</v>
      </c>
      <c r="T348" s="10">
        <f>GraphBotulinum!$B$41*'C botulinum'!J348+GraphBotulinum!$B$42</f>
        <v>-0.22820696921704764</v>
      </c>
      <c r="U348" s="10">
        <f>GraphBotulinum!$E$41*'C botulinum'!J348+GraphBotulinum!$E$42</f>
        <v>0.19474027387554749</v>
      </c>
    </row>
    <row r="349" spans="1:21" x14ac:dyDescent="0.2">
      <c r="A349" s="1" t="s">
        <v>1228</v>
      </c>
      <c r="B349" s="1" t="s">
        <v>1234</v>
      </c>
      <c r="C349" s="1" t="s">
        <v>1412</v>
      </c>
      <c r="D349" s="1" t="s">
        <v>1366</v>
      </c>
      <c r="E349" s="1" t="s">
        <v>1361</v>
      </c>
      <c r="F349" s="1" t="s">
        <v>44</v>
      </c>
      <c r="G349" s="1" t="s">
        <v>1247</v>
      </c>
      <c r="I349" s="4">
        <v>7</v>
      </c>
      <c r="J349" s="4">
        <v>110</v>
      </c>
      <c r="K349" s="11">
        <v>1.45</v>
      </c>
      <c r="L349" s="4">
        <v>10</v>
      </c>
      <c r="M349" s="11">
        <f t="shared" si="9"/>
        <v>0.16136800223497488</v>
      </c>
      <c r="N349" s="12">
        <f>GraphBotulinum!$B$9-('C botulinum'!J349-GraphBotulinum!$B$5)/GraphBotulinum!$B$4</f>
        <v>0.19474027387554704</v>
      </c>
      <c r="O349" s="2" t="s">
        <v>1226</v>
      </c>
      <c r="P349" s="2">
        <v>1996</v>
      </c>
      <c r="T349" s="10">
        <f>GraphBotulinum!$B$41*'C botulinum'!J349+GraphBotulinum!$B$42</f>
        <v>-0.22820696921704764</v>
      </c>
      <c r="U349" s="10">
        <f>GraphBotulinum!$E$41*'C botulinum'!J349+GraphBotulinum!$E$42</f>
        <v>0.19474027387554749</v>
      </c>
    </row>
    <row r="350" spans="1:21" x14ac:dyDescent="0.2">
      <c r="A350" s="1" t="s">
        <v>1228</v>
      </c>
      <c r="B350" s="1" t="s">
        <v>1234</v>
      </c>
      <c r="C350" s="1" t="s">
        <v>1413</v>
      </c>
      <c r="D350" s="1" t="s">
        <v>1366</v>
      </c>
      <c r="E350" s="1" t="s">
        <v>1361</v>
      </c>
      <c r="F350" s="1" t="s">
        <v>44</v>
      </c>
      <c r="G350" s="1" t="s">
        <v>1247</v>
      </c>
      <c r="I350" s="4">
        <v>7</v>
      </c>
      <c r="J350" s="4">
        <v>121.1</v>
      </c>
      <c r="K350" s="11">
        <v>0.14000000000000001</v>
      </c>
      <c r="L350" s="4">
        <v>11.2</v>
      </c>
      <c r="M350" s="11">
        <f t="shared" si="9"/>
        <v>-0.85387196432176193</v>
      </c>
      <c r="N350" s="12">
        <f>GraphBotulinum!$B$9-('C botulinum'!J350-GraphBotulinum!$B$5)/GraphBotulinum!$B$4</f>
        <v>-0.89199294717882194</v>
      </c>
      <c r="O350" s="2" t="s">
        <v>1226</v>
      </c>
      <c r="P350" s="2">
        <v>1996</v>
      </c>
      <c r="Q350" t="s">
        <v>1305</v>
      </c>
      <c r="T350" s="10">
        <f>GraphBotulinum!$B$41*'C botulinum'!J350+GraphBotulinum!$B$42</f>
        <v>-0.60903332933373555</v>
      </c>
      <c r="U350" s="10">
        <f>GraphBotulinum!$E$41*'C botulinum'!J350+GraphBotulinum!$E$42</f>
        <v>-0.89199294717882083</v>
      </c>
    </row>
    <row r="351" spans="1:21" x14ac:dyDescent="0.2">
      <c r="A351" s="1" t="s">
        <v>1228</v>
      </c>
      <c r="B351" s="1" t="s">
        <v>1234</v>
      </c>
      <c r="C351" s="1" t="s">
        <v>1414</v>
      </c>
      <c r="D351" s="1" t="s">
        <v>1366</v>
      </c>
      <c r="E351" s="1" t="s">
        <v>1361</v>
      </c>
      <c r="F351" s="1" t="s">
        <v>44</v>
      </c>
      <c r="G351" s="1" t="s">
        <v>1247</v>
      </c>
      <c r="I351" s="4">
        <v>7</v>
      </c>
      <c r="J351" s="4">
        <v>121.1</v>
      </c>
      <c r="K351" s="11">
        <v>0.14000000000000001</v>
      </c>
      <c r="L351" s="4">
        <v>12.1</v>
      </c>
      <c r="M351" s="11">
        <f t="shared" si="9"/>
        <v>-0.85387196432176193</v>
      </c>
      <c r="N351" s="12">
        <f>GraphBotulinum!$B$9-('C botulinum'!J351-GraphBotulinum!$B$5)/GraphBotulinum!$B$4</f>
        <v>-0.89199294717882194</v>
      </c>
      <c r="O351" s="2" t="s">
        <v>1226</v>
      </c>
      <c r="P351" s="2">
        <v>1996</v>
      </c>
      <c r="Q351" t="s">
        <v>1305</v>
      </c>
      <c r="T351" s="10">
        <f>GraphBotulinum!$B$41*'C botulinum'!J351+GraphBotulinum!$B$42</f>
        <v>-0.60903332933373555</v>
      </c>
      <c r="U351" s="10">
        <f>GraphBotulinum!$E$41*'C botulinum'!J351+GraphBotulinum!$E$42</f>
        <v>-0.89199294717882083</v>
      </c>
    </row>
    <row r="352" spans="1:21" x14ac:dyDescent="0.2">
      <c r="A352" s="1" t="s">
        <v>1228</v>
      </c>
      <c r="B352" s="1" t="s">
        <v>1234</v>
      </c>
      <c r="C352" s="1" t="s">
        <v>1412</v>
      </c>
      <c r="D352" s="1" t="s">
        <v>1366</v>
      </c>
      <c r="E352" s="1" t="s">
        <v>1361</v>
      </c>
      <c r="F352" s="1" t="s">
        <v>44</v>
      </c>
      <c r="G352" s="1" t="s">
        <v>1247</v>
      </c>
      <c r="I352" s="4">
        <v>7</v>
      </c>
      <c r="J352" s="4">
        <v>121.1</v>
      </c>
      <c r="K352" s="11">
        <v>0.16</v>
      </c>
      <c r="L352" s="4">
        <v>10.5</v>
      </c>
      <c r="M352" s="11">
        <f t="shared" si="9"/>
        <v>-0.79588001734407521</v>
      </c>
      <c r="N352" s="12">
        <f>GraphBotulinum!$B$9-('C botulinum'!J352-GraphBotulinum!$B$5)/GraphBotulinum!$B$4</f>
        <v>-0.89199294717882194</v>
      </c>
      <c r="O352" s="2" t="s">
        <v>1226</v>
      </c>
      <c r="P352" s="2">
        <v>1996</v>
      </c>
      <c r="T352" s="10">
        <f>GraphBotulinum!$B$41*'C botulinum'!J352+GraphBotulinum!$B$42</f>
        <v>-0.60903332933373555</v>
      </c>
      <c r="U352" s="10">
        <f>GraphBotulinum!$E$41*'C botulinum'!J352+GraphBotulinum!$E$42</f>
        <v>-0.89199294717882083</v>
      </c>
    </row>
    <row r="353" spans="1:23" x14ac:dyDescent="0.2">
      <c r="A353" s="1" t="s">
        <v>1228</v>
      </c>
      <c r="B353" s="1" t="s">
        <v>1234</v>
      </c>
      <c r="C353" s="1" t="s">
        <v>1383</v>
      </c>
      <c r="D353" s="1" t="s">
        <v>1367</v>
      </c>
      <c r="E353" s="1" t="s">
        <v>1361</v>
      </c>
      <c r="F353" s="1" t="s">
        <v>44</v>
      </c>
      <c r="G353" s="1" t="s">
        <v>1247</v>
      </c>
      <c r="I353" s="4">
        <v>7</v>
      </c>
      <c r="J353" s="4">
        <v>82.2</v>
      </c>
      <c r="K353" s="11">
        <v>5.9</v>
      </c>
      <c r="M353" s="11">
        <f t="shared" si="9"/>
        <v>0.77085201164214423</v>
      </c>
      <c r="N353" s="11">
        <f>GraphBotulinum!$F$9-('C botulinum'!J353-GraphBotulinum!$F$5)/GraphBotulinum!$F$4</f>
        <v>0.51543442871996992</v>
      </c>
      <c r="O353" s="2" t="s">
        <v>1226</v>
      </c>
      <c r="P353" s="2">
        <v>1996</v>
      </c>
      <c r="Q353" t="s">
        <v>1385</v>
      </c>
      <c r="T353" s="10">
        <f>GraphBotulinum!$B$41*'C botulinum'!J353+GraphBotulinum!$B$42</f>
        <v>0.72557436512925166</v>
      </c>
      <c r="U353" s="10"/>
      <c r="W353" s="10">
        <f>GraphBotulinum!$I$41*'C botulinum'!J353+GraphBotulinum!$I$42</f>
        <v>0.51543442871997014</v>
      </c>
    </row>
    <row r="354" spans="1:23" x14ac:dyDescent="0.2">
      <c r="A354" s="1" t="s">
        <v>1228</v>
      </c>
      <c r="B354" s="1" t="s">
        <v>1234</v>
      </c>
      <c r="C354" s="1" t="s">
        <v>1383</v>
      </c>
      <c r="D354" s="1" t="s">
        <v>1367</v>
      </c>
      <c r="E354" s="1" t="s">
        <v>1361</v>
      </c>
      <c r="F354" s="1" t="s">
        <v>44</v>
      </c>
      <c r="G354" s="1" t="s">
        <v>1247</v>
      </c>
      <c r="I354" s="4">
        <v>7</v>
      </c>
      <c r="J354" s="4">
        <v>85</v>
      </c>
      <c r="K354" s="11">
        <v>3.4</v>
      </c>
      <c r="M354" s="11">
        <f t="shared" si="9"/>
        <v>0.53147891704225514</v>
      </c>
      <c r="N354" s="11">
        <f>GraphBotulinum!$F$9-('C botulinum'!J354-GraphBotulinum!$F$5)/GraphBotulinum!$F$4</f>
        <v>0.43305042622543088</v>
      </c>
      <c r="O354" s="2" t="s">
        <v>1226</v>
      </c>
      <c r="P354" s="2">
        <v>1996</v>
      </c>
      <c r="Q354" t="s">
        <v>1385</v>
      </c>
      <c r="T354" s="10">
        <f>GraphBotulinum!$B$41*'C botulinum'!J354+GraphBotulinum!$B$42</f>
        <v>0.62951005807278992</v>
      </c>
      <c r="U354" s="10"/>
      <c r="W354" s="10">
        <f>GraphBotulinum!$I$41*'C botulinum'!J354+GraphBotulinum!$I$42</f>
        <v>0.43305042622543111</v>
      </c>
    </row>
    <row r="355" spans="1:23" x14ac:dyDescent="0.2">
      <c r="A355" s="1" t="s">
        <v>1228</v>
      </c>
      <c r="B355" s="1" t="s">
        <v>1234</v>
      </c>
      <c r="C355" s="1" t="s">
        <v>1383</v>
      </c>
      <c r="D355" s="1" t="s">
        <v>1367</v>
      </c>
      <c r="E355" s="1" t="s">
        <v>1361</v>
      </c>
      <c r="F355" s="1" t="s">
        <v>44</v>
      </c>
      <c r="G355" s="1" t="s">
        <v>1247</v>
      </c>
      <c r="I355" s="4">
        <v>7</v>
      </c>
      <c r="J355" s="4">
        <v>87.8</v>
      </c>
      <c r="K355" s="11">
        <v>1.9</v>
      </c>
      <c r="M355" s="11">
        <f t="shared" si="9"/>
        <v>0.27875360095282892</v>
      </c>
      <c r="N355" s="11">
        <f>GraphBotulinum!$F$9-('C botulinum'!J355-GraphBotulinum!$F$5)/GraphBotulinum!$F$4</f>
        <v>0.35066642373089207</v>
      </c>
      <c r="O355" s="2" t="s">
        <v>1226</v>
      </c>
      <c r="P355" s="2">
        <v>1996</v>
      </c>
      <c r="Q355" t="s">
        <v>1385</v>
      </c>
      <c r="T355" s="10">
        <f>GraphBotulinum!$B$41*'C botulinum'!J355+GraphBotulinum!$B$42</f>
        <v>0.53344575101632818</v>
      </c>
      <c r="U355" s="10"/>
      <c r="W355" s="10">
        <f>GraphBotulinum!$I$41*'C botulinum'!J355+GraphBotulinum!$I$42</f>
        <v>0.35066642373089252</v>
      </c>
    </row>
    <row r="356" spans="1:23" x14ac:dyDescent="0.2">
      <c r="A356" s="1" t="s">
        <v>1228</v>
      </c>
      <c r="B356" s="1" t="s">
        <v>1234</v>
      </c>
      <c r="C356" s="1" t="s">
        <v>1383</v>
      </c>
      <c r="D356" s="1" t="s">
        <v>1367</v>
      </c>
      <c r="E356" s="1" t="s">
        <v>1361</v>
      </c>
      <c r="F356" s="1" t="s">
        <v>44</v>
      </c>
      <c r="G356" s="1" t="s">
        <v>1247</v>
      </c>
      <c r="I356" s="4">
        <v>7</v>
      </c>
      <c r="J356" s="4">
        <v>90.6</v>
      </c>
      <c r="K356" s="11">
        <v>1.6</v>
      </c>
      <c r="M356" s="11">
        <f t="shared" si="9"/>
        <v>0.20411998265592479</v>
      </c>
      <c r="N356" s="11">
        <f>GraphBotulinum!$F$9-('C botulinum'!J356-GraphBotulinum!$F$5)/GraphBotulinum!$F$4</f>
        <v>0.26828242123635315</v>
      </c>
      <c r="O356" s="2" t="s">
        <v>1226</v>
      </c>
      <c r="P356" s="2">
        <v>1996</v>
      </c>
      <c r="Q356" t="s">
        <v>1385</v>
      </c>
      <c r="T356" s="10">
        <f>GraphBotulinum!$B$41*'C botulinum'!J356+GraphBotulinum!$B$42</f>
        <v>0.43738144395986644</v>
      </c>
      <c r="U356" s="10"/>
      <c r="W356" s="10">
        <f>GraphBotulinum!$I$41*'C botulinum'!J356+GraphBotulinum!$I$42</f>
        <v>0.26828242123635349</v>
      </c>
    </row>
    <row r="357" spans="1:23" x14ac:dyDescent="0.2">
      <c r="A357" s="1" t="s">
        <v>1228</v>
      </c>
      <c r="B357" s="1" t="s">
        <v>1234</v>
      </c>
      <c r="C357" s="1" t="s">
        <v>1383</v>
      </c>
      <c r="D357" s="1" t="s">
        <v>1367</v>
      </c>
      <c r="E357" s="1" t="s">
        <v>1361</v>
      </c>
      <c r="F357" s="1" t="s">
        <v>44</v>
      </c>
      <c r="G357" s="1" t="s">
        <v>1247</v>
      </c>
      <c r="I357" s="4">
        <v>7</v>
      </c>
      <c r="J357" s="4">
        <v>93.3</v>
      </c>
      <c r="K357" s="11">
        <v>0.9</v>
      </c>
      <c r="M357" s="11">
        <f t="shared" si="9"/>
        <v>-4.5757490560675115E-2</v>
      </c>
      <c r="N357" s="11">
        <f>GraphBotulinum!$F$9-('C botulinum'!J357-GraphBotulinum!$F$5)/GraphBotulinum!$F$4</f>
        <v>0.18884070454519053</v>
      </c>
      <c r="O357" s="2" t="s">
        <v>1226</v>
      </c>
      <c r="P357" s="2">
        <v>1996</v>
      </c>
      <c r="Q357" t="s">
        <v>1385</v>
      </c>
      <c r="T357" s="10">
        <f>GraphBotulinum!$B$41*'C botulinum'!J357+GraphBotulinum!$B$42</f>
        <v>0.34474800501256375</v>
      </c>
      <c r="U357" s="10"/>
      <c r="W357" s="10">
        <f>GraphBotulinum!$I$41*'C botulinum'!J357+GraphBotulinum!$I$42</f>
        <v>0.18884070454519097</v>
      </c>
    </row>
    <row r="358" spans="1:23" x14ac:dyDescent="0.2">
      <c r="A358" s="1" t="s">
        <v>1228</v>
      </c>
      <c r="B358" s="1" t="s">
        <v>1234</v>
      </c>
      <c r="C358" s="1" t="s">
        <v>1383</v>
      </c>
      <c r="D358" s="1" t="s">
        <v>1367</v>
      </c>
      <c r="E358" s="1" t="s">
        <v>1361</v>
      </c>
      <c r="F358" s="1" t="s">
        <v>44</v>
      </c>
      <c r="G358" s="1" t="s">
        <v>1247</v>
      </c>
      <c r="I358" s="4">
        <v>7</v>
      </c>
      <c r="J358" s="4">
        <v>98.9</v>
      </c>
      <c r="K358" s="11">
        <v>1.48</v>
      </c>
      <c r="M358" s="11">
        <f t="shared" si="9"/>
        <v>0.17026171539495738</v>
      </c>
      <c r="N358" s="11">
        <f>GraphBotulinum!$F$9-('C botulinum'!J358-GraphBotulinum!$F$5)/GraphBotulinum!$F$4</f>
        <v>2.4072699556112243E-2</v>
      </c>
      <c r="O358" s="2" t="s">
        <v>1226</v>
      </c>
      <c r="P358" s="2">
        <v>1996</v>
      </c>
      <c r="Q358" t="s">
        <v>1386</v>
      </c>
      <c r="T358" s="10">
        <f>GraphBotulinum!$B$41*'C botulinum'!J358+GraphBotulinum!$B$42</f>
        <v>0.15261939089963983</v>
      </c>
      <c r="U358" s="10"/>
      <c r="W358" s="10">
        <f>GraphBotulinum!$I$41*'C botulinum'!J358+GraphBotulinum!$I$42</f>
        <v>2.4072699556112465E-2</v>
      </c>
    </row>
    <row r="359" spans="1:23" x14ac:dyDescent="0.2">
      <c r="A359" s="1" t="s">
        <v>1228</v>
      </c>
      <c r="B359" s="1" t="s">
        <v>1234</v>
      </c>
      <c r="C359" s="1" t="s">
        <v>1383</v>
      </c>
      <c r="D359" s="1" t="s">
        <v>1367</v>
      </c>
      <c r="E359" s="1" t="s">
        <v>1361</v>
      </c>
      <c r="F359" s="1" t="s">
        <v>44</v>
      </c>
      <c r="G359" s="1" t="s">
        <v>1247</v>
      </c>
      <c r="I359" s="4">
        <v>7</v>
      </c>
      <c r="J359" s="4">
        <v>104.4</v>
      </c>
      <c r="K359" s="11">
        <v>1.1200000000000001</v>
      </c>
      <c r="M359" s="11">
        <f t="shared" si="9"/>
        <v>4.9218022670181653E-2</v>
      </c>
      <c r="N359" s="11">
        <f>GraphBotulinum!$F$9-('C botulinum'!J359-GraphBotulinum!$F$5)/GraphBotulinum!$F$4</f>
        <v>-0.1377530196295893</v>
      </c>
      <c r="O359" s="2" t="s">
        <v>1226</v>
      </c>
      <c r="P359" s="2">
        <v>1996</v>
      </c>
      <c r="Q359" t="s">
        <v>1386</v>
      </c>
      <c r="T359" s="10">
        <f>GraphBotulinum!$B$41*'C botulinum'!J359+GraphBotulinum!$B$42</f>
        <v>-3.607835510412416E-2</v>
      </c>
      <c r="U359" s="10"/>
      <c r="W359" s="10">
        <f>GraphBotulinum!$I$41*'C botulinum'!J359+GraphBotulinum!$I$42</f>
        <v>-0.13775301962958908</v>
      </c>
    </row>
    <row r="360" spans="1:23" x14ac:dyDescent="0.2">
      <c r="A360" s="1" t="s">
        <v>1228</v>
      </c>
      <c r="B360" s="1" t="s">
        <v>1234</v>
      </c>
      <c r="C360" s="1" t="s">
        <v>1383</v>
      </c>
      <c r="D360" s="1" t="s">
        <v>1367</v>
      </c>
      <c r="E360" s="1" t="s">
        <v>1361</v>
      </c>
      <c r="F360" s="1" t="s">
        <v>44</v>
      </c>
      <c r="G360" s="1" t="s">
        <v>1247</v>
      </c>
      <c r="I360" s="4">
        <v>7</v>
      </c>
      <c r="J360" s="4">
        <v>110</v>
      </c>
      <c r="K360" s="11">
        <v>0.54</v>
      </c>
      <c r="M360" s="11">
        <f t="shared" si="9"/>
        <v>-0.26760624017703144</v>
      </c>
      <c r="N360" s="11">
        <f>GraphBotulinum!$F$9-('C botulinum'!J360-GraphBotulinum!$F$5)/GraphBotulinum!$F$4</f>
        <v>-0.30252102461866714</v>
      </c>
      <c r="O360" s="2" t="s">
        <v>1226</v>
      </c>
      <c r="P360" s="2">
        <v>1996</v>
      </c>
      <c r="Q360" t="s">
        <v>1386</v>
      </c>
      <c r="T360" s="10">
        <f>GraphBotulinum!$B$41*'C botulinum'!J360+GraphBotulinum!$B$42</f>
        <v>-0.22820696921704764</v>
      </c>
      <c r="U360" s="10"/>
      <c r="W360" s="10">
        <f>GraphBotulinum!$I$41*'C botulinum'!J360+GraphBotulinum!$I$42</f>
        <v>-0.3025210246186667</v>
      </c>
    </row>
    <row r="361" spans="1:23" x14ac:dyDescent="0.2">
      <c r="A361" s="1" t="s">
        <v>1228</v>
      </c>
      <c r="B361" s="1" t="s">
        <v>1234</v>
      </c>
      <c r="C361" s="1" t="s">
        <v>1383</v>
      </c>
      <c r="D361" s="1" t="s">
        <v>1367</v>
      </c>
      <c r="E361" s="1" t="s">
        <v>1361</v>
      </c>
      <c r="F361" s="1" t="s">
        <v>44</v>
      </c>
      <c r="G361" s="1" t="s">
        <v>1247</v>
      </c>
      <c r="I361" s="4">
        <v>7</v>
      </c>
      <c r="J361" s="4">
        <v>115.6</v>
      </c>
      <c r="K361" s="11">
        <v>0.25</v>
      </c>
      <c r="M361" s="11">
        <f t="shared" si="9"/>
        <v>-0.6020599913279624</v>
      </c>
      <c r="N361" s="11">
        <f>GraphBotulinum!$F$9-('C botulinum'!J361-GraphBotulinum!$F$5)/GraphBotulinum!$F$4</f>
        <v>-0.46728902960774493</v>
      </c>
      <c r="O361" s="2" t="s">
        <v>1226</v>
      </c>
      <c r="P361" s="2">
        <v>1996</v>
      </c>
      <c r="Q361" t="s">
        <v>1386</v>
      </c>
      <c r="T361" s="10">
        <f>GraphBotulinum!$B$41*'C botulinum'!J361+GraphBotulinum!$B$42</f>
        <v>-0.42033558332997112</v>
      </c>
      <c r="U361" s="10"/>
      <c r="W361" s="10">
        <f>GraphBotulinum!$I$41*'C botulinum'!J361+GraphBotulinum!$I$42</f>
        <v>-0.46728902960774477</v>
      </c>
    </row>
    <row r="362" spans="1:23" x14ac:dyDescent="0.2">
      <c r="A362" s="1" t="s">
        <v>1228</v>
      </c>
      <c r="B362" s="1" t="s">
        <v>1234</v>
      </c>
      <c r="C362" s="1" t="s">
        <v>1384</v>
      </c>
      <c r="D362" s="1" t="s">
        <v>1367</v>
      </c>
      <c r="E362" s="1" t="s">
        <v>1361</v>
      </c>
      <c r="F362" s="1" t="s">
        <v>44</v>
      </c>
      <c r="G362" s="1" t="s">
        <v>1247</v>
      </c>
      <c r="I362" s="4">
        <v>7</v>
      </c>
      <c r="J362" s="4">
        <v>76.599999999999994</v>
      </c>
      <c r="K362" s="11">
        <v>6.3</v>
      </c>
      <c r="M362" s="11">
        <f t="shared" si="9"/>
        <v>0.79934054945358168</v>
      </c>
      <c r="N362" s="11">
        <f>GraphBotulinum!$F$9-('C botulinum'!J362-GraphBotulinum!$F$5)/GraphBotulinum!$F$4</f>
        <v>0.6802024337090482</v>
      </c>
      <c r="O362" s="2" t="s">
        <v>1226</v>
      </c>
      <c r="P362" s="2">
        <v>1996</v>
      </c>
      <c r="Q362" t="s">
        <v>1385</v>
      </c>
      <c r="T362" s="10">
        <f>GraphBotulinum!$B$41*'C botulinum'!J362+GraphBotulinum!$B$42</f>
        <v>0.91770297924217514</v>
      </c>
      <c r="U362" s="10"/>
      <c r="W362" s="10">
        <f>GraphBotulinum!$I$41*'C botulinum'!J362+GraphBotulinum!$I$42</f>
        <v>0.6802024337090482</v>
      </c>
    </row>
    <row r="363" spans="1:23" x14ac:dyDescent="0.2">
      <c r="A363" s="1" t="s">
        <v>1228</v>
      </c>
      <c r="B363" s="1" t="s">
        <v>1234</v>
      </c>
      <c r="C363" s="1" t="s">
        <v>1384</v>
      </c>
      <c r="D363" s="1" t="s">
        <v>1367</v>
      </c>
      <c r="E363" s="1" t="s">
        <v>1361</v>
      </c>
      <c r="F363" s="1" t="s">
        <v>44</v>
      </c>
      <c r="G363" s="1" t="s">
        <v>1247</v>
      </c>
      <c r="I363" s="4">
        <v>7</v>
      </c>
      <c r="J363" s="4">
        <v>76.599999999999994</v>
      </c>
      <c r="K363" s="11">
        <v>6.9</v>
      </c>
      <c r="M363" s="11">
        <f t="shared" si="9"/>
        <v>0.83884909073725533</v>
      </c>
      <c r="N363" s="11">
        <f>GraphBotulinum!$F$9-('C botulinum'!J363-GraphBotulinum!$F$5)/GraphBotulinum!$F$4</f>
        <v>0.6802024337090482</v>
      </c>
      <c r="O363" s="2" t="s">
        <v>1226</v>
      </c>
      <c r="P363" s="2">
        <v>1996</v>
      </c>
      <c r="Q363" t="s">
        <v>1385</v>
      </c>
      <c r="T363" s="10">
        <f>GraphBotulinum!$B$41*'C botulinum'!J363+GraphBotulinum!$B$42</f>
        <v>0.91770297924217514</v>
      </c>
      <c r="U363" s="10"/>
      <c r="W363" s="10">
        <f>GraphBotulinum!$I$41*'C botulinum'!J363+GraphBotulinum!$I$42</f>
        <v>0.6802024337090482</v>
      </c>
    </row>
    <row r="364" spans="1:23" x14ac:dyDescent="0.2">
      <c r="A364" s="1" t="s">
        <v>1228</v>
      </c>
      <c r="B364" s="1" t="s">
        <v>1234</v>
      </c>
      <c r="C364" s="1" t="s">
        <v>1384</v>
      </c>
      <c r="D364" s="1" t="s">
        <v>1367</v>
      </c>
      <c r="E364" s="1" t="s">
        <v>1361</v>
      </c>
      <c r="F364" s="1" t="s">
        <v>44</v>
      </c>
      <c r="G364" s="1" t="s">
        <v>1247</v>
      </c>
      <c r="I364" s="4">
        <v>7</v>
      </c>
      <c r="J364" s="4">
        <v>79.400000000000006</v>
      </c>
      <c r="K364" s="11">
        <v>3.7</v>
      </c>
      <c r="M364" s="11">
        <f t="shared" si="9"/>
        <v>0.56820172406699498</v>
      </c>
      <c r="N364" s="11">
        <f>GraphBotulinum!$F$9-('C botulinum'!J364-GraphBotulinum!$F$5)/GraphBotulinum!$F$4</f>
        <v>0.59781843121450873</v>
      </c>
      <c r="O364" s="2" t="s">
        <v>1226</v>
      </c>
      <c r="P364" s="2">
        <v>1996</v>
      </c>
      <c r="Q364" t="s">
        <v>1385</v>
      </c>
      <c r="T364" s="10">
        <f>GraphBotulinum!$B$41*'C botulinum'!J364+GraphBotulinum!$B$42</f>
        <v>0.82163867218571296</v>
      </c>
      <c r="U364" s="10"/>
      <c r="W364" s="10">
        <f>GraphBotulinum!$I$41*'C botulinum'!J364+GraphBotulinum!$I$42</f>
        <v>0.59781843121450917</v>
      </c>
    </row>
    <row r="365" spans="1:23" x14ac:dyDescent="0.2">
      <c r="A365" s="1" t="s">
        <v>1228</v>
      </c>
      <c r="B365" s="1" t="s">
        <v>1234</v>
      </c>
      <c r="C365" s="1" t="s">
        <v>1384</v>
      </c>
      <c r="D365" s="1" t="s">
        <v>1367</v>
      </c>
      <c r="E365" s="1" t="s">
        <v>1361</v>
      </c>
      <c r="F365" s="1" t="s">
        <v>44</v>
      </c>
      <c r="G365" s="1" t="s">
        <v>1247</v>
      </c>
      <c r="I365" s="4">
        <v>7</v>
      </c>
      <c r="J365" s="4">
        <v>79.400000000000006</v>
      </c>
      <c r="K365" s="11">
        <v>4.2</v>
      </c>
      <c r="M365" s="11">
        <f t="shared" si="9"/>
        <v>0.62324929039790045</v>
      </c>
      <c r="N365" s="11">
        <f>GraphBotulinum!$F$9-('C botulinum'!J365-GraphBotulinum!$F$5)/GraphBotulinum!$F$4</f>
        <v>0.59781843121450873</v>
      </c>
      <c r="O365" s="2" t="s">
        <v>1226</v>
      </c>
      <c r="P365" s="2">
        <v>1996</v>
      </c>
      <c r="Q365" t="s">
        <v>1385</v>
      </c>
      <c r="T365" s="10">
        <f>GraphBotulinum!$B$41*'C botulinum'!J365+GraphBotulinum!$B$42</f>
        <v>0.82163867218571296</v>
      </c>
      <c r="U365" s="10"/>
      <c r="W365" s="10">
        <f>GraphBotulinum!$I$41*'C botulinum'!J365+GraphBotulinum!$I$42</f>
        <v>0.59781843121450917</v>
      </c>
    </row>
    <row r="366" spans="1:23" x14ac:dyDescent="0.2">
      <c r="A366" s="1" t="s">
        <v>1228</v>
      </c>
      <c r="B366" s="1" t="s">
        <v>1234</v>
      </c>
      <c r="C366" s="1" t="s">
        <v>1384</v>
      </c>
      <c r="D366" s="1" t="s">
        <v>1367</v>
      </c>
      <c r="E366" s="1" t="s">
        <v>1361</v>
      </c>
      <c r="F366" s="1" t="s">
        <v>44</v>
      </c>
      <c r="G366" s="1" t="s">
        <v>1247</v>
      </c>
      <c r="I366" s="4">
        <v>7</v>
      </c>
      <c r="J366" s="4">
        <v>82.2</v>
      </c>
      <c r="K366" s="11">
        <v>1.8</v>
      </c>
      <c r="M366" s="11">
        <f t="shared" si="9"/>
        <v>0.25527250510330607</v>
      </c>
      <c r="N366" s="11">
        <f>GraphBotulinum!$F$9-('C botulinum'!J366-GraphBotulinum!$F$5)/GraphBotulinum!$F$4</f>
        <v>0.51543442871996992</v>
      </c>
      <c r="O366" s="2" t="s">
        <v>1226</v>
      </c>
      <c r="P366" s="2">
        <v>1996</v>
      </c>
      <c r="Q366" t="s">
        <v>1385</v>
      </c>
      <c r="T366" s="10">
        <f>GraphBotulinum!$B$41*'C botulinum'!J366+GraphBotulinum!$B$42</f>
        <v>0.72557436512925166</v>
      </c>
      <c r="U366" s="10"/>
      <c r="W366" s="10">
        <f>GraphBotulinum!$I$41*'C botulinum'!J366+GraphBotulinum!$I$42</f>
        <v>0.51543442871997014</v>
      </c>
    </row>
    <row r="367" spans="1:23" x14ac:dyDescent="0.2">
      <c r="A367" s="1" t="s">
        <v>1228</v>
      </c>
      <c r="B367" s="1" t="s">
        <v>1234</v>
      </c>
      <c r="C367" s="1" t="s">
        <v>1384</v>
      </c>
      <c r="D367" s="1" t="s">
        <v>1367</v>
      </c>
      <c r="E367" s="1" t="s">
        <v>1361</v>
      </c>
      <c r="F367" s="1" t="s">
        <v>44</v>
      </c>
      <c r="G367" s="1" t="s">
        <v>1247</v>
      </c>
      <c r="I367" s="4">
        <v>7</v>
      </c>
      <c r="J367" s="4">
        <v>82.2</v>
      </c>
      <c r="K367" s="11">
        <v>3.2</v>
      </c>
      <c r="M367" s="11">
        <f t="shared" si="9"/>
        <v>0.50514997831990605</v>
      </c>
      <c r="N367" s="11">
        <f>GraphBotulinum!$F$9-('C botulinum'!J367-GraphBotulinum!$F$5)/GraphBotulinum!$F$4</f>
        <v>0.51543442871996992</v>
      </c>
      <c r="O367" s="2" t="s">
        <v>1226</v>
      </c>
      <c r="P367" s="2">
        <v>1996</v>
      </c>
      <c r="Q367" t="s">
        <v>1385</v>
      </c>
      <c r="T367" s="10">
        <f>GraphBotulinum!$B$41*'C botulinum'!J367+GraphBotulinum!$B$42</f>
        <v>0.72557436512925166</v>
      </c>
      <c r="U367" s="10"/>
      <c r="W367" s="10">
        <f>GraphBotulinum!$I$41*'C botulinum'!J367+GraphBotulinum!$I$42</f>
        <v>0.51543442871997014</v>
      </c>
    </row>
    <row r="368" spans="1:23" x14ac:dyDescent="0.2">
      <c r="A368" s="1" t="s">
        <v>1228</v>
      </c>
      <c r="B368" s="1" t="s">
        <v>1234</v>
      </c>
      <c r="C368" s="1" t="s">
        <v>1384</v>
      </c>
      <c r="D368" s="1" t="s">
        <v>1367</v>
      </c>
      <c r="E368" s="1" t="s">
        <v>1361</v>
      </c>
      <c r="F368" s="1" t="s">
        <v>44</v>
      </c>
      <c r="G368" s="1" t="s">
        <v>1247</v>
      </c>
      <c r="I368" s="4">
        <v>7</v>
      </c>
      <c r="J368" s="4">
        <v>85</v>
      </c>
      <c r="K368" s="11">
        <v>3</v>
      </c>
      <c r="M368" s="11">
        <f t="shared" si="9"/>
        <v>0.47712125471966244</v>
      </c>
      <c r="N368" s="11">
        <f>GraphBotulinum!$F$9-('C botulinum'!J368-GraphBotulinum!$F$5)/GraphBotulinum!$F$4</f>
        <v>0.43305042622543088</v>
      </c>
      <c r="O368" s="2" t="s">
        <v>1226</v>
      </c>
      <c r="P368" s="2">
        <v>1996</v>
      </c>
      <c r="Q368" t="s">
        <v>1385</v>
      </c>
      <c r="T368" s="10">
        <f>GraphBotulinum!$B$41*'C botulinum'!J368+GraphBotulinum!$B$42</f>
        <v>0.62951005807278992</v>
      </c>
      <c r="U368" s="10"/>
      <c r="W368" s="10">
        <f>GraphBotulinum!$I$41*'C botulinum'!J368+GraphBotulinum!$I$42</f>
        <v>0.43305042622543111</v>
      </c>
    </row>
    <row r="369" spans="1:23" x14ac:dyDescent="0.2">
      <c r="A369" s="1" t="s">
        <v>1228</v>
      </c>
      <c r="B369" s="1" t="s">
        <v>1234</v>
      </c>
      <c r="C369" s="1" t="s">
        <v>1384</v>
      </c>
      <c r="D369" s="1" t="s">
        <v>1367</v>
      </c>
      <c r="E369" s="1" t="s">
        <v>1361</v>
      </c>
      <c r="F369" s="1" t="s">
        <v>44</v>
      </c>
      <c r="G369" s="1" t="s">
        <v>1247</v>
      </c>
      <c r="I369" s="4">
        <v>7</v>
      </c>
      <c r="J369" s="4">
        <v>87.8</v>
      </c>
      <c r="K369" s="11">
        <v>0.6</v>
      </c>
      <c r="M369" s="11">
        <f t="shared" si="9"/>
        <v>-0.22184874961635639</v>
      </c>
      <c r="N369" s="11">
        <f>GraphBotulinum!$F$9-('C botulinum'!J369-GraphBotulinum!$F$5)/GraphBotulinum!$F$4</f>
        <v>0.35066642373089207</v>
      </c>
      <c r="O369" s="2" t="s">
        <v>1226</v>
      </c>
      <c r="P369" s="2">
        <v>1996</v>
      </c>
      <c r="Q369" t="s">
        <v>1385</v>
      </c>
      <c r="T369" s="10">
        <f>GraphBotulinum!$B$41*'C botulinum'!J369+GraphBotulinum!$B$42</f>
        <v>0.53344575101632818</v>
      </c>
      <c r="U369" s="10"/>
      <c r="W369" s="10">
        <f>GraphBotulinum!$I$41*'C botulinum'!J369+GraphBotulinum!$I$42</f>
        <v>0.35066642373089252</v>
      </c>
    </row>
    <row r="370" spans="1:23" x14ac:dyDescent="0.2">
      <c r="A370" s="1" t="s">
        <v>1228</v>
      </c>
      <c r="B370" s="1" t="s">
        <v>1234</v>
      </c>
      <c r="C370" s="1" t="s">
        <v>1384</v>
      </c>
      <c r="D370" s="1" t="s">
        <v>1367</v>
      </c>
      <c r="E370" s="1" t="s">
        <v>1361</v>
      </c>
      <c r="F370" s="1" t="s">
        <v>44</v>
      </c>
      <c r="G370" s="1" t="s">
        <v>1247</v>
      </c>
      <c r="I370" s="4">
        <v>7</v>
      </c>
      <c r="J370" s="4">
        <v>98.9</v>
      </c>
      <c r="K370" s="11">
        <v>1.51</v>
      </c>
      <c r="M370" s="11">
        <f t="shared" si="9"/>
        <v>0.17897694729316943</v>
      </c>
      <c r="N370" s="11">
        <f>GraphBotulinum!$F$9-('C botulinum'!J370-GraphBotulinum!$F$5)/GraphBotulinum!$F$4</f>
        <v>2.4072699556112243E-2</v>
      </c>
      <c r="O370" s="2" t="s">
        <v>1226</v>
      </c>
      <c r="P370" s="2">
        <v>1996</v>
      </c>
      <c r="Q370" t="s">
        <v>1386</v>
      </c>
      <c r="T370" s="10">
        <f>GraphBotulinum!$B$41*'C botulinum'!J370+GraphBotulinum!$B$42</f>
        <v>0.15261939089963983</v>
      </c>
      <c r="U370" s="10"/>
      <c r="W370" s="10">
        <f>GraphBotulinum!$I$41*'C botulinum'!J370+GraphBotulinum!$I$42</f>
        <v>2.4072699556112465E-2</v>
      </c>
    </row>
    <row r="371" spans="1:23" x14ac:dyDescent="0.2">
      <c r="A371" s="1" t="s">
        <v>1228</v>
      </c>
      <c r="B371" s="1" t="s">
        <v>1234</v>
      </c>
      <c r="C371" s="1" t="s">
        <v>1384</v>
      </c>
      <c r="D371" s="1" t="s">
        <v>1367</v>
      </c>
      <c r="E371" s="1" t="s">
        <v>1361</v>
      </c>
      <c r="F371" s="1" t="s">
        <v>44</v>
      </c>
      <c r="G371" s="1" t="s">
        <v>1247</v>
      </c>
      <c r="I371" s="4">
        <v>7</v>
      </c>
      <c r="J371" s="4">
        <v>98.9</v>
      </c>
      <c r="K371" s="11">
        <v>1.19</v>
      </c>
      <c r="M371" s="11">
        <f t="shared" si="9"/>
        <v>7.554696139253074E-2</v>
      </c>
      <c r="N371" s="11">
        <f>GraphBotulinum!$F$9-('C botulinum'!J371-GraphBotulinum!$F$5)/GraphBotulinum!$F$4</f>
        <v>2.4072699556112243E-2</v>
      </c>
      <c r="O371" s="2" t="s">
        <v>1226</v>
      </c>
      <c r="P371" s="2">
        <v>1996</v>
      </c>
      <c r="Q371" t="s">
        <v>1386</v>
      </c>
      <c r="T371" s="10">
        <f>GraphBotulinum!$B$41*'C botulinum'!J371+GraphBotulinum!$B$42</f>
        <v>0.15261939089963983</v>
      </c>
      <c r="U371" s="10"/>
      <c r="W371" s="10">
        <f>GraphBotulinum!$I$41*'C botulinum'!J371+GraphBotulinum!$I$42</f>
        <v>2.4072699556112465E-2</v>
      </c>
    </row>
    <row r="372" spans="1:23" x14ac:dyDescent="0.2">
      <c r="A372" s="1" t="s">
        <v>1228</v>
      </c>
      <c r="B372" s="1" t="s">
        <v>1234</v>
      </c>
      <c r="C372" s="1" t="s">
        <v>1384</v>
      </c>
      <c r="D372" s="1" t="s">
        <v>1367</v>
      </c>
      <c r="E372" s="1" t="s">
        <v>1361</v>
      </c>
      <c r="F372" s="1" t="s">
        <v>44</v>
      </c>
      <c r="G372" s="1" t="s">
        <v>1247</v>
      </c>
      <c r="I372" s="4">
        <v>7</v>
      </c>
      <c r="J372" s="4">
        <v>104.4</v>
      </c>
      <c r="K372" s="11">
        <v>0.99</v>
      </c>
      <c r="M372" s="11">
        <f t="shared" si="9"/>
        <v>-4.3648054024500883E-3</v>
      </c>
      <c r="N372" s="11">
        <f>GraphBotulinum!$F$9-('C botulinum'!J372-GraphBotulinum!$F$5)/GraphBotulinum!$F$4</f>
        <v>-0.1377530196295893</v>
      </c>
      <c r="O372" s="2" t="s">
        <v>1226</v>
      </c>
      <c r="P372" s="2">
        <v>1996</v>
      </c>
      <c r="Q372" t="s">
        <v>1386</v>
      </c>
      <c r="T372" s="10">
        <f>GraphBotulinum!$B$41*'C botulinum'!J372+GraphBotulinum!$B$42</f>
        <v>-3.607835510412416E-2</v>
      </c>
      <c r="U372" s="10"/>
      <c r="W372" s="10">
        <f>GraphBotulinum!$I$41*'C botulinum'!J372+GraphBotulinum!$I$42</f>
        <v>-0.13775301962958908</v>
      </c>
    </row>
    <row r="373" spans="1:23" x14ac:dyDescent="0.2">
      <c r="A373" s="1" t="s">
        <v>1228</v>
      </c>
      <c r="B373" s="1" t="s">
        <v>1234</v>
      </c>
      <c r="C373" s="1" t="s">
        <v>1384</v>
      </c>
      <c r="D373" s="1" t="s">
        <v>1367</v>
      </c>
      <c r="E373" s="1" t="s">
        <v>1361</v>
      </c>
      <c r="F373" s="1" t="s">
        <v>44</v>
      </c>
      <c r="G373" s="1" t="s">
        <v>1247</v>
      </c>
      <c r="I373" s="4">
        <v>7</v>
      </c>
      <c r="J373" s="4">
        <v>104.4</v>
      </c>
      <c r="K373" s="11">
        <v>0.83</v>
      </c>
      <c r="M373" s="11">
        <f t="shared" si="9"/>
        <v>-8.092190762392612E-2</v>
      </c>
      <c r="N373" s="11">
        <f>GraphBotulinum!$F$9-('C botulinum'!J373-GraphBotulinum!$F$5)/GraphBotulinum!$F$4</f>
        <v>-0.1377530196295893</v>
      </c>
      <c r="O373" s="2" t="s">
        <v>1226</v>
      </c>
      <c r="P373" s="2">
        <v>1996</v>
      </c>
      <c r="Q373" t="s">
        <v>1386</v>
      </c>
      <c r="T373" s="10">
        <f>GraphBotulinum!$B$41*'C botulinum'!J373+GraphBotulinum!$B$42</f>
        <v>-3.607835510412416E-2</v>
      </c>
      <c r="U373" s="10"/>
      <c r="W373" s="10">
        <f>GraphBotulinum!$I$41*'C botulinum'!J373+GraphBotulinum!$I$42</f>
        <v>-0.13775301962958908</v>
      </c>
    </row>
    <row r="374" spans="1:23" x14ac:dyDescent="0.2">
      <c r="A374" s="1" t="s">
        <v>1228</v>
      </c>
      <c r="B374" s="1" t="s">
        <v>1234</v>
      </c>
      <c r="C374" s="1" t="s">
        <v>1384</v>
      </c>
      <c r="D374" s="1" t="s">
        <v>1367</v>
      </c>
      <c r="E374" s="1" t="s">
        <v>1361</v>
      </c>
      <c r="F374" s="1" t="s">
        <v>44</v>
      </c>
      <c r="G374" s="1" t="s">
        <v>1247</v>
      </c>
      <c r="I374" s="4">
        <v>7</v>
      </c>
      <c r="J374" s="4">
        <v>110</v>
      </c>
      <c r="K374" s="11">
        <v>0.45</v>
      </c>
      <c r="M374" s="11">
        <f t="shared" si="9"/>
        <v>-0.34678748622465633</v>
      </c>
      <c r="N374" s="11">
        <f>GraphBotulinum!$F$9-('C botulinum'!J374-GraphBotulinum!$F$5)/GraphBotulinum!$F$4</f>
        <v>-0.30252102461866714</v>
      </c>
      <c r="O374" s="2" t="s">
        <v>1226</v>
      </c>
      <c r="P374" s="2">
        <v>1996</v>
      </c>
      <c r="Q374" t="s">
        <v>1386</v>
      </c>
      <c r="T374" s="10">
        <f>GraphBotulinum!$B$41*'C botulinum'!J374+GraphBotulinum!$B$42</f>
        <v>-0.22820696921704764</v>
      </c>
      <c r="U374" s="10"/>
      <c r="W374" s="10">
        <f>GraphBotulinum!$I$41*'C botulinum'!J374+GraphBotulinum!$I$42</f>
        <v>-0.3025210246186667</v>
      </c>
    </row>
    <row r="375" spans="1:23" x14ac:dyDescent="0.2">
      <c r="A375" s="1" t="s">
        <v>1228</v>
      </c>
      <c r="B375" s="1" t="s">
        <v>1234</v>
      </c>
      <c r="C375" s="1" t="s">
        <v>1384</v>
      </c>
      <c r="D375" s="1" t="s">
        <v>1367</v>
      </c>
      <c r="E375" s="1" t="s">
        <v>1361</v>
      </c>
      <c r="F375" s="1" t="s">
        <v>44</v>
      </c>
      <c r="G375" s="1" t="s">
        <v>1247</v>
      </c>
      <c r="I375" s="4">
        <v>7</v>
      </c>
      <c r="J375" s="4">
        <v>110</v>
      </c>
      <c r="K375" s="11">
        <v>0.53</v>
      </c>
      <c r="M375" s="11">
        <f t="shared" si="9"/>
        <v>-0.27572413039921095</v>
      </c>
      <c r="N375" s="11">
        <f>GraphBotulinum!$F$9-('C botulinum'!J375-GraphBotulinum!$F$5)/GraphBotulinum!$F$4</f>
        <v>-0.30252102461866714</v>
      </c>
      <c r="O375" s="2" t="s">
        <v>1226</v>
      </c>
      <c r="P375" s="2">
        <v>1996</v>
      </c>
      <c r="Q375" t="s">
        <v>1386</v>
      </c>
      <c r="T375" s="10">
        <f>GraphBotulinum!$B$41*'C botulinum'!J375+GraphBotulinum!$B$42</f>
        <v>-0.22820696921704764</v>
      </c>
      <c r="U375" s="10"/>
      <c r="W375" s="10">
        <f>GraphBotulinum!$I$41*'C botulinum'!J375+GraphBotulinum!$I$42</f>
        <v>-0.3025210246186667</v>
      </c>
    </row>
    <row r="376" spans="1:23" x14ac:dyDescent="0.2">
      <c r="A376" s="1" t="s">
        <v>1228</v>
      </c>
      <c r="B376" s="1" t="s">
        <v>1234</v>
      </c>
      <c r="C376" s="1" t="s">
        <v>1384</v>
      </c>
      <c r="D376" s="1" t="s">
        <v>1367</v>
      </c>
      <c r="E376" s="1" t="s">
        <v>1361</v>
      </c>
      <c r="F376" s="1" t="s">
        <v>44</v>
      </c>
      <c r="G376" s="1" t="s">
        <v>1247</v>
      </c>
      <c r="I376" s="4">
        <v>7</v>
      </c>
      <c r="J376" s="4">
        <v>115.6</v>
      </c>
      <c r="K376" s="11">
        <v>0.28999999999999998</v>
      </c>
      <c r="M376" s="11">
        <f t="shared" si="9"/>
        <v>-0.53760200210104392</v>
      </c>
      <c r="N376" s="11">
        <f>GraphBotulinum!$F$9-('C botulinum'!J376-GraphBotulinum!$F$5)/GraphBotulinum!$F$4</f>
        <v>-0.46728902960774493</v>
      </c>
      <c r="O376" s="2" t="s">
        <v>1226</v>
      </c>
      <c r="P376" s="2">
        <v>1996</v>
      </c>
      <c r="Q376" t="s">
        <v>1386</v>
      </c>
      <c r="T376" s="10">
        <f>GraphBotulinum!$B$41*'C botulinum'!J376+GraphBotulinum!$B$42</f>
        <v>-0.42033558332997112</v>
      </c>
      <c r="U376" s="10"/>
      <c r="W376" s="10">
        <f>GraphBotulinum!$I$41*'C botulinum'!J376+GraphBotulinum!$I$42</f>
        <v>-0.46728902960774477</v>
      </c>
    </row>
    <row r="377" spans="1:23" x14ac:dyDescent="0.2">
      <c r="A377" s="1"/>
      <c r="B377" s="1"/>
      <c r="C377" s="1"/>
      <c r="D377" s="1"/>
      <c r="E377" s="1"/>
      <c r="F377" s="1"/>
      <c r="G377" s="1"/>
      <c r="O377" s="2"/>
      <c r="P377" s="2"/>
    </row>
    <row r="378" spans="1:23" x14ac:dyDescent="0.2">
      <c r="A378" s="1"/>
      <c r="B378" s="1"/>
      <c r="C378" s="1"/>
      <c r="D378" s="1"/>
      <c r="E378" s="1"/>
      <c r="F378" s="1"/>
      <c r="G378" s="1"/>
      <c r="O378" s="2"/>
      <c r="P378" s="2"/>
    </row>
    <row r="379" spans="1:23" x14ac:dyDescent="0.2">
      <c r="A379" s="1"/>
      <c r="B379" s="1"/>
      <c r="C379" s="1"/>
      <c r="D379" s="1"/>
      <c r="E379" s="1"/>
      <c r="F379" s="1"/>
      <c r="G379" s="1"/>
      <c r="O379" s="2"/>
      <c r="P379" s="2"/>
    </row>
    <row r="380" spans="1:23" x14ac:dyDescent="0.2">
      <c r="A380" s="1"/>
      <c r="B380" s="1"/>
      <c r="C380" s="1"/>
      <c r="D380" s="1"/>
      <c r="E380" s="1"/>
      <c r="F380" s="1"/>
      <c r="G380" s="1"/>
      <c r="O380" s="2"/>
      <c r="P380" s="2"/>
    </row>
    <row r="381" spans="1:23" x14ac:dyDescent="0.2">
      <c r="A381" s="1"/>
      <c r="B381" s="1"/>
      <c r="C381" s="1"/>
      <c r="D381" s="1"/>
      <c r="E381" s="1"/>
      <c r="F381" s="1"/>
      <c r="G381" s="1"/>
      <c r="O381" s="2"/>
      <c r="P381" s="2"/>
    </row>
    <row r="382" spans="1:23" x14ac:dyDescent="0.2">
      <c r="A382" s="1"/>
      <c r="B382" s="1"/>
      <c r="C382" s="1"/>
      <c r="D382" s="1"/>
      <c r="E382" s="1"/>
      <c r="F382" s="1"/>
      <c r="G382" s="1"/>
      <c r="O382" s="2"/>
      <c r="P382" s="2"/>
    </row>
    <row r="383" spans="1:23" x14ac:dyDescent="0.2">
      <c r="A383" s="1"/>
      <c r="B383" s="1"/>
      <c r="C383" s="1"/>
      <c r="D383" s="1"/>
      <c r="E383" s="1"/>
      <c r="F383" s="1"/>
      <c r="G383" s="1"/>
      <c r="O383" s="2"/>
      <c r="P383" s="2"/>
    </row>
    <row r="384" spans="1:23" x14ac:dyDescent="0.2">
      <c r="A384" s="1"/>
      <c r="B384" s="1"/>
      <c r="C384" s="1"/>
      <c r="D384" s="1"/>
      <c r="E384" s="1"/>
      <c r="F384" s="1"/>
      <c r="G384" s="1"/>
      <c r="O384" s="2"/>
      <c r="P384" s="2"/>
    </row>
    <row r="385" spans="1:16" x14ac:dyDescent="0.2">
      <c r="A385" s="1"/>
      <c r="B385" s="1"/>
      <c r="C385" s="1"/>
      <c r="D385" s="1"/>
      <c r="E385" s="1"/>
      <c r="F385" s="1"/>
      <c r="G385" s="1"/>
      <c r="O385" s="2"/>
      <c r="P385" s="2"/>
    </row>
    <row r="386" spans="1:16" x14ac:dyDescent="0.2">
      <c r="A386" s="1"/>
      <c r="B386" s="1"/>
      <c r="C386" s="1"/>
      <c r="D386" s="1"/>
      <c r="E386" s="1"/>
      <c r="F386" s="1"/>
      <c r="G386" s="1"/>
      <c r="O386" s="2"/>
      <c r="P386" s="2"/>
    </row>
    <row r="387" spans="1:16" x14ac:dyDescent="0.2">
      <c r="A387" s="1"/>
      <c r="B387" s="1"/>
      <c r="C387" s="1"/>
      <c r="D387" s="1"/>
      <c r="E387" s="1"/>
      <c r="F387" s="1"/>
      <c r="G387" s="1"/>
      <c r="O387" s="2"/>
      <c r="P387" s="2"/>
    </row>
    <row r="388" spans="1:16" x14ac:dyDescent="0.2">
      <c r="A388" s="1"/>
      <c r="B388" s="1"/>
      <c r="C388" s="1"/>
      <c r="D388" s="1"/>
      <c r="E388" s="1"/>
      <c r="F388" s="1"/>
      <c r="G388" s="1"/>
      <c r="O388" s="2"/>
      <c r="P388" s="2"/>
    </row>
    <row r="389" spans="1:16" x14ac:dyDescent="0.2">
      <c r="A389" s="1"/>
      <c r="B389" s="1"/>
      <c r="C389" s="1"/>
      <c r="D389" s="1"/>
      <c r="E389" s="1"/>
      <c r="F389" s="1"/>
      <c r="G389" s="1"/>
      <c r="O389" s="2"/>
      <c r="P389" s="2"/>
    </row>
    <row r="390" spans="1:16" x14ac:dyDescent="0.2">
      <c r="A390" s="1"/>
      <c r="B390" s="1"/>
      <c r="C390" s="1"/>
      <c r="D390" s="1"/>
      <c r="E390" s="1"/>
      <c r="F390" s="1"/>
      <c r="G390" s="1"/>
      <c r="O390" s="2"/>
      <c r="P390" s="2"/>
    </row>
    <row r="391" spans="1:16" x14ac:dyDescent="0.2">
      <c r="A391" s="1"/>
      <c r="B391" s="1"/>
      <c r="C391" s="1"/>
      <c r="D391" s="1"/>
      <c r="E391" s="1"/>
      <c r="F391" s="1"/>
      <c r="G391" s="1"/>
      <c r="O391" s="2"/>
      <c r="P391" s="2"/>
    </row>
    <row r="392" spans="1:16" x14ac:dyDescent="0.2">
      <c r="A392" s="1"/>
      <c r="B392" s="1"/>
      <c r="C392" s="1"/>
      <c r="D392" s="1"/>
      <c r="E392" s="1"/>
      <c r="F392" s="1"/>
      <c r="G392" s="1"/>
      <c r="O392" s="2"/>
      <c r="P392" s="2"/>
    </row>
    <row r="393" spans="1:16" x14ac:dyDescent="0.2">
      <c r="A393" s="1"/>
      <c r="B393" s="1"/>
      <c r="C393" s="1"/>
      <c r="D393" s="1"/>
      <c r="E393" s="1"/>
      <c r="F393" s="1"/>
      <c r="G393" s="1"/>
      <c r="O393" s="2"/>
      <c r="P393" s="2"/>
    </row>
    <row r="394" spans="1:16" x14ac:dyDescent="0.2">
      <c r="A394" s="1"/>
      <c r="B394" s="1"/>
      <c r="C394" s="1"/>
      <c r="D394" s="1"/>
      <c r="E394" s="1"/>
      <c r="F394" s="1"/>
      <c r="G394" s="1"/>
      <c r="O394" s="2"/>
      <c r="P394" s="2"/>
    </row>
    <row r="395" spans="1:16" x14ac:dyDescent="0.2">
      <c r="A395" s="1"/>
      <c r="B395" s="1"/>
      <c r="C395" s="1"/>
      <c r="D395" s="1"/>
      <c r="E395" s="1"/>
      <c r="F395" s="1"/>
      <c r="G395" s="1"/>
      <c r="O395" s="2"/>
      <c r="P395" s="2"/>
    </row>
    <row r="396" spans="1:16" x14ac:dyDescent="0.2">
      <c r="A396" s="1"/>
      <c r="B396" s="1"/>
      <c r="C396" s="1"/>
      <c r="D396" s="1"/>
      <c r="E396" s="1"/>
      <c r="F396" s="1"/>
      <c r="G396" s="1"/>
      <c r="O396" s="2"/>
      <c r="P396" s="2"/>
    </row>
    <row r="397" spans="1:16" x14ac:dyDescent="0.2">
      <c r="A397" s="1"/>
      <c r="B397" s="1"/>
      <c r="C397" s="1"/>
      <c r="D397" s="1"/>
      <c r="E397" s="1"/>
      <c r="F397" s="1"/>
      <c r="G397" s="1"/>
      <c r="O397" s="2"/>
      <c r="P397" s="2"/>
    </row>
  </sheetData>
  <phoneticPr fontId="0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101"/>
  <sheetViews>
    <sheetView topLeftCell="A8" workbookViewId="0">
      <selection activeCell="B51" sqref="B51"/>
    </sheetView>
  </sheetViews>
  <sheetFormatPr defaultRowHeight="12.75" x14ac:dyDescent="0.2"/>
  <cols>
    <col min="2" max="2" width="10.5703125" bestFit="1" customWidth="1"/>
    <col min="4" max="4" width="9.5703125" bestFit="1" customWidth="1"/>
    <col min="5" max="5" width="12.5703125" bestFit="1" customWidth="1"/>
  </cols>
  <sheetData>
    <row r="1" spans="1:7" ht="18" x14ac:dyDescent="0.25">
      <c r="A1" s="3" t="s">
        <v>1357</v>
      </c>
    </row>
    <row r="3" spans="1:7" x14ac:dyDescent="0.2">
      <c r="A3" t="s">
        <v>1235</v>
      </c>
      <c r="B3" s="22" t="s">
        <v>130</v>
      </c>
      <c r="C3" s="22"/>
      <c r="D3" s="22" t="s">
        <v>1069</v>
      </c>
      <c r="E3" s="22"/>
      <c r="F3" s="22" t="s">
        <v>131</v>
      </c>
    </row>
    <row r="4" spans="1:7" x14ac:dyDescent="0.2">
      <c r="A4" t="s">
        <v>1347</v>
      </c>
      <c r="B4" s="10">
        <f>-1/SLOPE('C botulinum'!$M177:$M352,'C botulinum'!$J177:$J352)</f>
        <v>10.214098349943297</v>
      </c>
      <c r="C4" s="10">
        <f>SLOPE('C botulinum'!$M177:$M352,'C botulinum'!$J177:$J352)</f>
        <v>-9.7903893788681931E-2</v>
      </c>
      <c r="D4" s="10">
        <f>-1/SLOPE('C botulinum'!$M2:$M176,'C botulinum'!$J2:$J176)</f>
        <v>18.601597021422556</v>
      </c>
      <c r="E4" s="10">
        <f>SLOPE('C botulinum'!$M28:$M102,'C botulinum'!$J28:$J102)</f>
        <v>-0.13089835542771106</v>
      </c>
      <c r="F4" s="10">
        <f>-1/SLOPE('C botulinum'!$M353:$M376,'C botulinum'!$J353:$J376)</f>
        <v>33.987180947971112</v>
      </c>
      <c r="G4" s="10">
        <f>SLOPE('C botulinum'!$M177:$M352,'C botulinum'!$J177:$J352)</f>
        <v>-9.7903893788681931E-2</v>
      </c>
    </row>
    <row r="5" spans="1:7" x14ac:dyDescent="0.2">
      <c r="A5" t="s">
        <v>1350</v>
      </c>
      <c r="B5">
        <v>120</v>
      </c>
      <c r="D5">
        <v>120</v>
      </c>
      <c r="F5">
        <v>120</v>
      </c>
    </row>
    <row r="6" spans="1:7" x14ac:dyDescent="0.2">
      <c r="A6" t="s">
        <v>1353</v>
      </c>
      <c r="B6" s="10">
        <f>TINV(0.05,COUNT('C botulinum'!$M177:$M352)-2)</f>
        <v>1.9736914397560745</v>
      </c>
      <c r="D6" s="10">
        <f>TINV(0.05,COUNT('C botulinum'!$M2:$M176)-2)</f>
        <v>1.973771336887524</v>
      </c>
      <c r="F6" s="10">
        <f>TINV(0.05,COUNT('C botulinum'!$M353:$M376)-2)</f>
        <v>2.0738730679040258</v>
      </c>
    </row>
    <row r="7" spans="1:7" x14ac:dyDescent="0.2">
      <c r="A7" t="s">
        <v>1355</v>
      </c>
      <c r="B7" s="10">
        <f>SUMXMY2('C botulinum'!$M177:$M352,'C botulinum'!$N177:$N352)</f>
        <v>9.5769840828953985</v>
      </c>
      <c r="D7" s="10">
        <f>SUMXMY2('C botulinum'!$M2:$M176,'C botulinum'!$N2:$N176)</f>
        <v>86.621425349645548</v>
      </c>
      <c r="F7" s="10">
        <f>SUMXMY2('C botulinum'!$M353:$M376,'C botulinum'!$N353:$N376)</f>
        <v>0.70864356078416302</v>
      </c>
    </row>
    <row r="8" spans="1:7" x14ac:dyDescent="0.2">
      <c r="A8" t="s">
        <v>1354</v>
      </c>
      <c r="B8" s="10">
        <f>SQRT(B7/(COUNT('C botulinum'!$M177:$M352)-2))</f>
        <v>0.23460634775607589</v>
      </c>
      <c r="D8" s="10">
        <f>SQRT(D7/(COUNT('C botulinum'!$M2:$M176)-2))</f>
        <v>0.70760291169114709</v>
      </c>
      <c r="F8" s="10">
        <f>SQRT(F7/(COUNT('C botulinum'!$M353:$M376)-2))</f>
        <v>0.1794744297796616</v>
      </c>
    </row>
    <row r="9" spans="1:7" x14ac:dyDescent="0.2">
      <c r="A9" t="s">
        <v>1351</v>
      </c>
      <c r="B9" s="10">
        <f>INTERCEPT('C botulinum'!$M177:$M352,'C botulinum'!$J177:$J352)-B5/B4</f>
        <v>-0.78429866401127235</v>
      </c>
      <c r="C9" s="10">
        <f>INTERCEPT('C botulinum'!$M177:$M352,'C botulinum'!$J177:$J352)</f>
        <v>10.96416859063056</v>
      </c>
      <c r="D9" s="10">
        <f>INTERCEPT('C botulinum'!$M2:$M176,'C botulinum'!$J2:$J176)-D5/D4</f>
        <v>-1.4663461476556625</v>
      </c>
      <c r="E9" s="10">
        <f>INTERCEPT('C botulinum'!$M28:$M102,'C botulinum'!$J28:$J102)</f>
        <v>10.613721827393327</v>
      </c>
      <c r="F9" s="10">
        <f>INTERCEPT('C botulinum'!$M353:$M376,'C botulinum'!$J353:$J376)-F5/F4</f>
        <v>-0.59674960495630636</v>
      </c>
      <c r="G9" s="10">
        <f>INTERCEPT('C botulinum'!$M353:$M376,'C botulinum'!$J353:$J376)</f>
        <v>2.9339933590953646</v>
      </c>
    </row>
    <row r="10" spans="1:7" x14ac:dyDescent="0.2">
      <c r="A10" t="s">
        <v>133</v>
      </c>
      <c r="B10" s="10">
        <f>B9+B6*B8</f>
        <v>-0.3212581237326686</v>
      </c>
      <c r="D10" s="10">
        <f>D9+D6*D8</f>
        <v>-6.9699802661522536E-2</v>
      </c>
      <c r="F10" s="10">
        <f>F9+F6*F8</f>
        <v>-0.2245424186588339</v>
      </c>
    </row>
    <row r="12" spans="1:7" x14ac:dyDescent="0.2">
      <c r="A12" t="s">
        <v>1348</v>
      </c>
      <c r="B12" t="s">
        <v>1344</v>
      </c>
      <c r="C12" t="s">
        <v>1352</v>
      </c>
      <c r="D12" t="s">
        <v>1344</v>
      </c>
      <c r="E12" t="s">
        <v>1352</v>
      </c>
      <c r="F12" t="s">
        <v>1344</v>
      </c>
      <c r="G12" t="s">
        <v>1352</v>
      </c>
    </row>
    <row r="13" spans="1:7" x14ac:dyDescent="0.2">
      <c r="A13">
        <v>45</v>
      </c>
      <c r="B13" s="10">
        <f t="shared" ref="B13:B33" si="0">B$9-(A13-B$5)/B$4</f>
        <v>6.5584933701398729</v>
      </c>
      <c r="C13" s="10">
        <f>B13+B$6*B$8</f>
        <v>7.0215339104184764</v>
      </c>
      <c r="D13" s="10">
        <f t="shared" ref="D13:D33" si="1">D$9-(A13-D$5)/D$4</f>
        <v>2.5655657313956972</v>
      </c>
      <c r="E13" s="10">
        <f>D13+D$6*D$8</f>
        <v>3.9622120763898372</v>
      </c>
      <c r="F13" s="10">
        <f t="shared" ref="F13:F33" si="2">F$9-(A13-F$5)/F$4</f>
        <v>1.609964747575988</v>
      </c>
      <c r="G13" s="10">
        <f>F13+F$6*F$8</f>
        <v>1.9821719338734605</v>
      </c>
    </row>
    <row r="14" spans="1:7" x14ac:dyDescent="0.2">
      <c r="A14">
        <f>A13+5</f>
        <v>50</v>
      </c>
      <c r="B14" s="10">
        <f t="shared" si="0"/>
        <v>6.068973901196463</v>
      </c>
      <c r="C14" s="10">
        <f t="shared" ref="C14:C33" si="3">B14+B$6*B$8</f>
        <v>6.5320144414750665</v>
      </c>
      <c r="D14" s="10">
        <f t="shared" si="1"/>
        <v>2.2967716061256067</v>
      </c>
      <c r="E14" s="10">
        <f t="shared" ref="E14:E33" si="4">D14+D$6*D$8</f>
        <v>3.6934179511197467</v>
      </c>
      <c r="F14" s="10">
        <f t="shared" si="2"/>
        <v>1.4628504574071681</v>
      </c>
      <c r="G14" s="10">
        <f t="shared" ref="G14:G33" si="5">F14+F$6*F$8</f>
        <v>1.8350576437046406</v>
      </c>
    </row>
    <row r="15" spans="1:7" x14ac:dyDescent="0.2">
      <c r="A15">
        <f>A14+5</f>
        <v>55</v>
      </c>
      <c r="B15" s="10">
        <f t="shared" si="0"/>
        <v>5.579454432253053</v>
      </c>
      <c r="C15" s="10">
        <f t="shared" si="3"/>
        <v>6.0424949725316566</v>
      </c>
      <c r="D15" s="10">
        <f t="shared" si="1"/>
        <v>2.0279774808555162</v>
      </c>
      <c r="E15" s="10">
        <f t="shared" si="4"/>
        <v>3.4246238258496562</v>
      </c>
      <c r="F15" s="10">
        <f t="shared" si="2"/>
        <v>1.3157361672383487</v>
      </c>
      <c r="G15" s="10">
        <f t="shared" si="5"/>
        <v>1.6879433535358213</v>
      </c>
    </row>
    <row r="16" spans="1:7" x14ac:dyDescent="0.2">
      <c r="A16">
        <f>A15+5</f>
        <v>60</v>
      </c>
      <c r="B16" s="10">
        <f t="shared" si="0"/>
        <v>5.089934963309644</v>
      </c>
      <c r="C16" s="10">
        <f t="shared" si="3"/>
        <v>5.5529755035882475</v>
      </c>
      <c r="D16" s="10">
        <f t="shared" si="1"/>
        <v>1.7591833555854257</v>
      </c>
      <c r="E16" s="10">
        <f t="shared" si="4"/>
        <v>3.1558297005795657</v>
      </c>
      <c r="F16" s="10">
        <f t="shared" si="2"/>
        <v>1.1686218770695291</v>
      </c>
      <c r="G16" s="10">
        <f t="shared" si="5"/>
        <v>1.5408290633670017</v>
      </c>
    </row>
    <row r="17" spans="1:7" x14ac:dyDescent="0.2">
      <c r="A17">
        <f>A16+5</f>
        <v>65</v>
      </c>
      <c r="B17" s="10">
        <f t="shared" si="0"/>
        <v>4.6004154943662341</v>
      </c>
      <c r="C17" s="10">
        <f t="shared" si="3"/>
        <v>5.0634560346448376</v>
      </c>
      <c r="D17" s="10">
        <f t="shared" si="1"/>
        <v>1.4903892303153348</v>
      </c>
      <c r="E17" s="10">
        <f t="shared" si="4"/>
        <v>2.8870355753094747</v>
      </c>
      <c r="F17" s="10">
        <f t="shared" si="2"/>
        <v>1.0215075869007095</v>
      </c>
      <c r="G17" s="10">
        <f t="shared" si="5"/>
        <v>1.393714773198182</v>
      </c>
    </row>
    <row r="18" spans="1:7" x14ac:dyDescent="0.2">
      <c r="A18">
        <v>70</v>
      </c>
      <c r="B18" s="10">
        <f t="shared" si="0"/>
        <v>4.1108960254228242</v>
      </c>
      <c r="C18" s="10">
        <f t="shared" si="3"/>
        <v>4.5739365657014277</v>
      </c>
      <c r="D18" s="10">
        <f t="shared" si="1"/>
        <v>1.2215951050452443</v>
      </c>
      <c r="E18" s="10">
        <f t="shared" si="4"/>
        <v>2.6182414500393842</v>
      </c>
      <c r="F18" s="10">
        <f t="shared" si="2"/>
        <v>0.87439329673188992</v>
      </c>
      <c r="G18" s="10">
        <f t="shared" si="5"/>
        <v>1.2466004830293624</v>
      </c>
    </row>
    <row r="19" spans="1:7" x14ac:dyDescent="0.2">
      <c r="A19">
        <f>A18+5</f>
        <v>75</v>
      </c>
      <c r="B19" s="10">
        <f t="shared" si="0"/>
        <v>3.6213765564794151</v>
      </c>
      <c r="C19" s="10">
        <f t="shared" si="3"/>
        <v>4.0844170967580187</v>
      </c>
      <c r="D19" s="10">
        <f t="shared" si="1"/>
        <v>0.95280097977515332</v>
      </c>
      <c r="E19" s="10">
        <f t="shared" si="4"/>
        <v>2.3494473247692933</v>
      </c>
      <c r="F19" s="10">
        <f t="shared" si="2"/>
        <v>0.72727900656307032</v>
      </c>
      <c r="G19" s="10">
        <f t="shared" si="5"/>
        <v>1.0994861928605428</v>
      </c>
    </row>
    <row r="20" spans="1:7" x14ac:dyDescent="0.2">
      <c r="A20">
        <f t="shared" ref="A20:A33" si="6">A19+5</f>
        <v>80</v>
      </c>
      <c r="B20" s="10">
        <f t="shared" si="0"/>
        <v>3.1318570875360052</v>
      </c>
      <c r="C20" s="10">
        <f t="shared" si="3"/>
        <v>3.5948976278146088</v>
      </c>
      <c r="D20" s="10">
        <f t="shared" si="1"/>
        <v>0.68400685450506282</v>
      </c>
      <c r="E20" s="10">
        <f t="shared" si="4"/>
        <v>2.0806531994992028</v>
      </c>
      <c r="F20" s="10">
        <f t="shared" si="2"/>
        <v>0.58016471639425049</v>
      </c>
      <c r="G20" s="10">
        <f t="shared" si="5"/>
        <v>0.952371902691723</v>
      </c>
    </row>
    <row r="21" spans="1:7" x14ac:dyDescent="0.2">
      <c r="A21">
        <f t="shared" si="6"/>
        <v>85</v>
      </c>
      <c r="B21" s="10">
        <f t="shared" si="0"/>
        <v>2.6423376185925953</v>
      </c>
      <c r="C21" s="10">
        <f t="shared" si="3"/>
        <v>3.1053781588711988</v>
      </c>
      <c r="D21" s="10">
        <f t="shared" si="1"/>
        <v>0.4152127292349721</v>
      </c>
      <c r="E21" s="10">
        <f t="shared" si="4"/>
        <v>1.8118590742291121</v>
      </c>
      <c r="F21" s="10">
        <f t="shared" si="2"/>
        <v>0.43305042622543088</v>
      </c>
      <c r="G21" s="10">
        <f t="shared" si="5"/>
        <v>0.8052576125229034</v>
      </c>
    </row>
    <row r="22" spans="1:7" x14ac:dyDescent="0.2">
      <c r="A22">
        <f t="shared" si="6"/>
        <v>90</v>
      </c>
      <c r="B22" s="10">
        <f t="shared" si="0"/>
        <v>2.1528181496491858</v>
      </c>
      <c r="C22" s="10">
        <f t="shared" si="3"/>
        <v>2.6158586899277898</v>
      </c>
      <c r="D22" s="10">
        <f t="shared" si="1"/>
        <v>0.1464186039648816</v>
      </c>
      <c r="E22" s="10">
        <f t="shared" si="4"/>
        <v>1.5430649489590216</v>
      </c>
      <c r="F22" s="10">
        <f t="shared" si="2"/>
        <v>0.28593613605661139</v>
      </c>
      <c r="G22" s="10">
        <f t="shared" si="5"/>
        <v>0.65814332235408379</v>
      </c>
    </row>
    <row r="23" spans="1:7" x14ac:dyDescent="0.2">
      <c r="A23">
        <f t="shared" si="6"/>
        <v>95</v>
      </c>
      <c r="B23" s="10">
        <f t="shared" si="0"/>
        <v>1.6632986807057759</v>
      </c>
      <c r="C23" s="10">
        <f t="shared" si="3"/>
        <v>2.1263392209843799</v>
      </c>
      <c r="D23" s="10">
        <f t="shared" si="1"/>
        <v>-0.12237552130520912</v>
      </c>
      <c r="E23" s="10">
        <f t="shared" si="4"/>
        <v>1.2742708236889309</v>
      </c>
      <c r="F23" s="10">
        <f t="shared" si="2"/>
        <v>0.13882184588779178</v>
      </c>
      <c r="G23" s="10">
        <f t="shared" si="5"/>
        <v>0.51102903218526419</v>
      </c>
    </row>
    <row r="24" spans="1:7" x14ac:dyDescent="0.2">
      <c r="A24">
        <f t="shared" si="6"/>
        <v>100</v>
      </c>
      <c r="B24" s="10">
        <f t="shared" si="0"/>
        <v>1.1737792117623664</v>
      </c>
      <c r="C24" s="10">
        <f t="shared" si="3"/>
        <v>1.6368197520409702</v>
      </c>
      <c r="D24" s="10">
        <f t="shared" si="1"/>
        <v>-0.39116964657529985</v>
      </c>
      <c r="E24" s="10">
        <f t="shared" si="4"/>
        <v>1.0054766984188401</v>
      </c>
      <c r="F24" s="10">
        <f t="shared" si="2"/>
        <v>-8.2924442810279331E-3</v>
      </c>
      <c r="G24" s="10">
        <f t="shared" si="5"/>
        <v>0.36391474201644453</v>
      </c>
    </row>
    <row r="25" spans="1:7" x14ac:dyDescent="0.2">
      <c r="A25">
        <f t="shared" si="6"/>
        <v>105</v>
      </c>
      <c r="B25" s="10">
        <f t="shared" si="0"/>
        <v>0.68425974281895674</v>
      </c>
      <c r="C25" s="10">
        <f t="shared" si="3"/>
        <v>1.1473002830975605</v>
      </c>
      <c r="D25" s="10">
        <f t="shared" si="1"/>
        <v>-0.65996377184539046</v>
      </c>
      <c r="E25" s="10">
        <f t="shared" si="4"/>
        <v>0.73668257314874952</v>
      </c>
      <c r="F25" s="10">
        <f t="shared" si="2"/>
        <v>-0.15540673444984748</v>
      </c>
      <c r="G25" s="10">
        <f t="shared" si="5"/>
        <v>0.21680045184762498</v>
      </c>
    </row>
    <row r="26" spans="1:7" x14ac:dyDescent="0.2">
      <c r="A26">
        <f t="shared" si="6"/>
        <v>110</v>
      </c>
      <c r="B26" s="10">
        <f t="shared" si="0"/>
        <v>0.19474027387554704</v>
      </c>
      <c r="C26" s="10">
        <f t="shared" si="3"/>
        <v>0.65778081415415079</v>
      </c>
      <c r="D26" s="10">
        <f t="shared" si="1"/>
        <v>-0.92875789711548118</v>
      </c>
      <c r="E26" s="10">
        <f t="shared" si="4"/>
        <v>0.4678884478786588</v>
      </c>
      <c r="F26" s="10">
        <f t="shared" si="2"/>
        <v>-0.30252102461866714</v>
      </c>
      <c r="G26" s="10">
        <f t="shared" si="5"/>
        <v>6.9686161678805314E-2</v>
      </c>
    </row>
    <row r="27" spans="1:7" x14ac:dyDescent="0.2">
      <c r="A27">
        <f t="shared" si="6"/>
        <v>115</v>
      </c>
      <c r="B27" s="10">
        <f t="shared" si="0"/>
        <v>-0.29477919506786265</v>
      </c>
      <c r="C27" s="10">
        <f t="shared" si="3"/>
        <v>0.1682613452107411</v>
      </c>
      <c r="D27" s="10">
        <f t="shared" si="1"/>
        <v>-1.1975520223855718</v>
      </c>
      <c r="E27" s="10">
        <f t="shared" si="4"/>
        <v>0.19909432260856819</v>
      </c>
      <c r="F27" s="10">
        <f t="shared" si="2"/>
        <v>-0.44963531478748675</v>
      </c>
      <c r="G27" s="10">
        <f t="shared" si="5"/>
        <v>-7.7428128490014292E-2</v>
      </c>
    </row>
    <row r="28" spans="1:7" x14ac:dyDescent="0.2">
      <c r="A28">
        <f t="shared" si="6"/>
        <v>120</v>
      </c>
      <c r="B28" s="10">
        <f t="shared" si="0"/>
        <v>-0.78429866401127235</v>
      </c>
      <c r="C28" s="10">
        <f t="shared" si="3"/>
        <v>-0.3212581237326686</v>
      </c>
      <c r="D28" s="10">
        <f t="shared" si="1"/>
        <v>-1.4663461476556625</v>
      </c>
      <c r="E28" s="10">
        <f t="shared" si="4"/>
        <v>-6.9699802661522536E-2</v>
      </c>
      <c r="F28" s="10">
        <f t="shared" si="2"/>
        <v>-0.59674960495630636</v>
      </c>
      <c r="G28" s="10">
        <f t="shared" si="5"/>
        <v>-0.2245424186588339</v>
      </c>
    </row>
    <row r="29" spans="1:7" x14ac:dyDescent="0.2">
      <c r="A29">
        <f t="shared" si="6"/>
        <v>125</v>
      </c>
      <c r="B29" s="10">
        <f t="shared" si="0"/>
        <v>-1.273818132954682</v>
      </c>
      <c r="C29" s="10">
        <f t="shared" si="3"/>
        <v>-0.8107775926760783</v>
      </c>
      <c r="D29" s="10">
        <f t="shared" si="1"/>
        <v>-1.7351402729257532</v>
      </c>
      <c r="E29" s="10">
        <f t="shared" si="4"/>
        <v>-0.33849392793161326</v>
      </c>
      <c r="F29" s="10">
        <f t="shared" si="2"/>
        <v>-0.74386389512512596</v>
      </c>
      <c r="G29" s="10">
        <f t="shared" si="5"/>
        <v>-0.3716567088276535</v>
      </c>
    </row>
    <row r="30" spans="1:7" x14ac:dyDescent="0.2">
      <c r="A30">
        <f t="shared" si="6"/>
        <v>130</v>
      </c>
      <c r="B30" s="10">
        <f t="shared" si="0"/>
        <v>-1.7633376018980917</v>
      </c>
      <c r="C30" s="10">
        <f t="shared" si="3"/>
        <v>-1.300297061619488</v>
      </c>
      <c r="D30" s="10">
        <f t="shared" si="1"/>
        <v>-2.003934398195844</v>
      </c>
      <c r="E30" s="10">
        <f t="shared" si="4"/>
        <v>-0.60728805320170398</v>
      </c>
      <c r="F30" s="10">
        <f t="shared" si="2"/>
        <v>-0.89097818529394557</v>
      </c>
      <c r="G30" s="10">
        <f t="shared" si="5"/>
        <v>-0.51877099899647305</v>
      </c>
    </row>
    <row r="31" spans="1:7" x14ac:dyDescent="0.2">
      <c r="A31">
        <f t="shared" si="6"/>
        <v>135</v>
      </c>
      <c r="B31" s="10">
        <f t="shared" si="0"/>
        <v>-2.2528570708415012</v>
      </c>
      <c r="C31" s="10">
        <f t="shared" si="3"/>
        <v>-1.7898165305628975</v>
      </c>
      <c r="D31" s="10">
        <f t="shared" si="1"/>
        <v>-2.2727285234659345</v>
      </c>
      <c r="E31" s="10">
        <f t="shared" si="4"/>
        <v>-0.87608217847179448</v>
      </c>
      <c r="F31" s="10">
        <f t="shared" si="2"/>
        <v>-1.0380924754627652</v>
      </c>
      <c r="G31" s="10">
        <f t="shared" si="5"/>
        <v>-0.66588528916529266</v>
      </c>
    </row>
    <row r="32" spans="1:7" x14ac:dyDescent="0.2">
      <c r="A32">
        <f t="shared" si="6"/>
        <v>140</v>
      </c>
      <c r="B32" s="10">
        <f t="shared" si="0"/>
        <v>-2.7423765397849111</v>
      </c>
      <c r="C32" s="10">
        <f t="shared" si="3"/>
        <v>-2.2793359995063076</v>
      </c>
      <c r="D32" s="10">
        <f t="shared" si="1"/>
        <v>-2.5415226487360254</v>
      </c>
      <c r="E32" s="10">
        <f t="shared" si="4"/>
        <v>-1.1448763037418854</v>
      </c>
      <c r="F32" s="10">
        <f t="shared" si="2"/>
        <v>-1.1852067656315848</v>
      </c>
      <c r="G32" s="10">
        <f t="shared" si="5"/>
        <v>-0.81299957933411227</v>
      </c>
    </row>
    <row r="33" spans="1:9" x14ac:dyDescent="0.2">
      <c r="A33">
        <f t="shared" si="6"/>
        <v>145</v>
      </c>
      <c r="B33" s="10">
        <f t="shared" si="0"/>
        <v>-3.2318960087283206</v>
      </c>
      <c r="C33" s="10">
        <f t="shared" si="3"/>
        <v>-2.7688554684497166</v>
      </c>
      <c r="D33" s="10">
        <f t="shared" si="1"/>
        <v>-2.8103167740061159</v>
      </c>
      <c r="E33" s="10">
        <f t="shared" si="4"/>
        <v>-1.4136704290119759</v>
      </c>
      <c r="F33" s="10">
        <f t="shared" si="2"/>
        <v>-1.3323210558004046</v>
      </c>
      <c r="G33" s="10">
        <f t="shared" si="5"/>
        <v>-0.96011386950293209</v>
      </c>
    </row>
    <row r="37" spans="1:9" x14ac:dyDescent="0.2">
      <c r="B37" s="10"/>
      <c r="C37" s="13"/>
    </row>
    <row r="38" spans="1:9" x14ac:dyDescent="0.2">
      <c r="A38" s="24" t="s">
        <v>263</v>
      </c>
    </row>
    <row r="40" spans="1:9" x14ac:dyDescent="0.2">
      <c r="A40" t="s">
        <v>250</v>
      </c>
      <c r="D40" t="s">
        <v>264</v>
      </c>
      <c r="F40" t="s">
        <v>792</v>
      </c>
      <c r="H40" t="s">
        <v>265</v>
      </c>
    </row>
    <row r="41" spans="1:9" x14ac:dyDescent="0.2">
      <c r="A41" t="s">
        <v>251</v>
      </c>
      <c r="B41" s="10">
        <f>SLOPE('C botulinum'!M2:M376,'C botulinum'!J2:J376)</f>
        <v>-3.4308681091593497E-2</v>
      </c>
      <c r="D41" t="s">
        <v>251</v>
      </c>
      <c r="E41" s="25">
        <f>SLOPE('C botulinum'!M177:M352,'C botulinum'!$J$177:$J$352)</f>
        <v>-9.7903893788681931E-2</v>
      </c>
      <c r="F41" t="s">
        <v>251</v>
      </c>
      <c r="G41" s="25">
        <f>SLOPE('C botulinum'!M2:M176,'C botulinum'!$J$2:$J$176)</f>
        <v>-5.3758825054018133E-2</v>
      </c>
      <c r="H41" t="s">
        <v>251</v>
      </c>
      <c r="I41" s="25">
        <f>SLOPE('C botulinum'!M353:M376,'C botulinum'!$J$353:$J$376)</f>
        <v>-2.9422858033763922E-2</v>
      </c>
    </row>
    <row r="42" spans="1:9" x14ac:dyDescent="0.2">
      <c r="A42" t="s">
        <v>202</v>
      </c>
      <c r="B42" s="10">
        <f>INTERCEPT('C botulinum'!M2:M376,'C botulinum'!J2:J376)</f>
        <v>3.545747950858237</v>
      </c>
      <c r="D42" t="s">
        <v>252</v>
      </c>
      <c r="E42" s="25">
        <f>INTERCEPT('C botulinum'!M177:M352,'C botulinum'!$J$177:$J$352)</f>
        <v>10.96416859063056</v>
      </c>
      <c r="F42" t="s">
        <v>252</v>
      </c>
      <c r="G42" s="25">
        <f>INTERCEPT('C botulinum'!M2:M176,'C botulinum'!$J$2:$J$176)</f>
        <v>4.9847128588265139</v>
      </c>
      <c r="H42" t="s">
        <v>252</v>
      </c>
      <c r="I42" s="25">
        <f>INTERCEPT('C botulinum'!M353:M376,'C botulinum'!$J$353:$J$376)</f>
        <v>2.9339933590953646</v>
      </c>
    </row>
    <row r="43" spans="1:9" x14ac:dyDescent="0.2">
      <c r="A43" t="s">
        <v>259</v>
      </c>
      <c r="B43" s="10">
        <f>SUMXMY2('C botulinum'!M2:M376,'C botulinum'!T2:T376)</f>
        <v>165.47412267996577</v>
      </c>
      <c r="D43" t="s">
        <v>259</v>
      </c>
      <c r="E43" s="26">
        <f>SUMXMY2('C botulinum'!M177:M352,'C botulinum'!U177:U352)</f>
        <v>9.5769840828953985</v>
      </c>
      <c r="F43" t="s">
        <v>259</v>
      </c>
      <c r="G43" s="10">
        <f>SUMXMY2('C botulinum'!M2:M176,'C botulinum'!V2:V176)</f>
        <v>86.621425349645548</v>
      </c>
      <c r="H43" t="s">
        <v>259</v>
      </c>
      <c r="I43" s="10">
        <f>SUMXMY2('C botulinum'!M353:M376,'C botulinum'!W353:W376)</f>
        <v>0.7086435607841638</v>
      </c>
    </row>
    <row r="44" spans="1:9" x14ac:dyDescent="0.2">
      <c r="D44" t="s">
        <v>260</v>
      </c>
      <c r="E44" s="10">
        <f>E43+G43+I43</f>
        <v>96.907052993325109</v>
      </c>
    </row>
    <row r="46" spans="1:9" x14ac:dyDescent="0.2">
      <c r="A46" t="s">
        <v>262</v>
      </c>
      <c r="B46">
        <f>COUNT('C botulinum'!M2:M376)</f>
        <v>375</v>
      </c>
    </row>
    <row r="47" spans="1:9" x14ac:dyDescent="0.2">
      <c r="A47" t="s">
        <v>261</v>
      </c>
      <c r="B47" s="10">
        <f>((B43-E44)/4)/(E44/(B46-6))</f>
        <v>65.27194856527403</v>
      </c>
    </row>
    <row r="48" spans="1:9" x14ac:dyDescent="0.2">
      <c r="A48" t="s">
        <v>856</v>
      </c>
      <c r="B48" s="10">
        <f>FINV(0.05,4,B46-6)</f>
        <v>2.3961343766200653</v>
      </c>
    </row>
    <row r="49" spans="1:5" x14ac:dyDescent="0.2">
      <c r="A49" t="s">
        <v>255</v>
      </c>
      <c r="B49" s="10">
        <f>(B43/(B46-2))/(E44/(B46-6))</f>
        <v>1.6892434162495875</v>
      </c>
    </row>
    <row r="50" spans="1:5" x14ac:dyDescent="0.2">
      <c r="A50" t="s">
        <v>281</v>
      </c>
      <c r="B50" s="10">
        <f>FINV(0.05,B46-2,B46-6)</f>
        <v>1.1865623621248174</v>
      </c>
    </row>
    <row r="52" spans="1:5" x14ac:dyDescent="0.2">
      <c r="A52" s="24" t="s">
        <v>793</v>
      </c>
    </row>
    <row r="54" spans="1:5" x14ac:dyDescent="0.2">
      <c r="B54" s="10"/>
      <c r="C54" s="10"/>
    </row>
    <row r="55" spans="1:5" x14ac:dyDescent="0.2">
      <c r="B55" s="10"/>
      <c r="C55" s="10"/>
    </row>
    <row r="56" spans="1:5" x14ac:dyDescent="0.2">
      <c r="B56" s="10"/>
      <c r="C56" s="10"/>
    </row>
    <row r="57" spans="1:5" x14ac:dyDescent="0.2">
      <c r="B57" s="10"/>
      <c r="C57" s="10"/>
    </row>
    <row r="58" spans="1:5" x14ac:dyDescent="0.2">
      <c r="B58" s="10"/>
      <c r="C58" s="10"/>
      <c r="E58" s="25"/>
    </row>
    <row r="59" spans="1:5" x14ac:dyDescent="0.2">
      <c r="B59" s="10"/>
      <c r="C59" s="10"/>
      <c r="E59" s="25"/>
    </row>
    <row r="60" spans="1:5" x14ac:dyDescent="0.2">
      <c r="B60" s="10"/>
      <c r="C60" s="10"/>
      <c r="E60" s="10"/>
    </row>
    <row r="61" spans="1:5" x14ac:dyDescent="0.2">
      <c r="B61" s="10"/>
      <c r="C61" s="10"/>
      <c r="E61" s="10"/>
    </row>
    <row r="62" spans="1:5" x14ac:dyDescent="0.2">
      <c r="B62" s="10"/>
      <c r="C62" s="10"/>
    </row>
    <row r="63" spans="1:5" x14ac:dyDescent="0.2">
      <c r="C63" s="10"/>
    </row>
    <row r="64" spans="1:5" x14ac:dyDescent="0.2">
      <c r="B64" s="10"/>
      <c r="C64" s="10"/>
    </row>
    <row r="65" spans="2:3" x14ac:dyDescent="0.2">
      <c r="B65" s="10"/>
      <c r="C65" s="10"/>
    </row>
    <row r="66" spans="2:3" x14ac:dyDescent="0.2">
      <c r="B66" s="10"/>
      <c r="C66" s="10"/>
    </row>
    <row r="67" spans="2:3" x14ac:dyDescent="0.2">
      <c r="B67" s="10"/>
    </row>
    <row r="73" spans="2:3" x14ac:dyDescent="0.2">
      <c r="B73" s="10"/>
    </row>
    <row r="75" spans="2:3" x14ac:dyDescent="0.2">
      <c r="B75" s="10"/>
    </row>
    <row r="76" spans="2:3" x14ac:dyDescent="0.2">
      <c r="B76" s="10"/>
    </row>
    <row r="77" spans="2:3" x14ac:dyDescent="0.2">
      <c r="B77" s="10"/>
    </row>
    <row r="78" spans="2:3" x14ac:dyDescent="0.2">
      <c r="B78" s="10"/>
    </row>
    <row r="81" spans="2:3" x14ac:dyDescent="0.2">
      <c r="B81" s="10"/>
      <c r="C81" s="10"/>
    </row>
    <row r="82" spans="2:3" x14ac:dyDescent="0.2">
      <c r="B82" s="10"/>
      <c r="C82" s="10"/>
    </row>
    <row r="83" spans="2:3" x14ac:dyDescent="0.2">
      <c r="B83" s="10"/>
      <c r="C83" s="10"/>
    </row>
    <row r="84" spans="2:3" x14ac:dyDescent="0.2">
      <c r="B84" s="10"/>
      <c r="C84" s="10"/>
    </row>
    <row r="85" spans="2:3" x14ac:dyDescent="0.2">
      <c r="B85" s="10"/>
      <c r="C85" s="10"/>
    </row>
    <row r="86" spans="2:3" x14ac:dyDescent="0.2">
      <c r="B86" s="10"/>
      <c r="C86" s="10"/>
    </row>
    <row r="87" spans="2:3" x14ac:dyDescent="0.2">
      <c r="B87" s="10"/>
      <c r="C87" s="10"/>
    </row>
    <row r="88" spans="2:3" x14ac:dyDescent="0.2">
      <c r="B88" s="10"/>
      <c r="C88" s="10"/>
    </row>
    <row r="89" spans="2:3" x14ac:dyDescent="0.2">
      <c r="B89" s="10"/>
      <c r="C89" s="10"/>
    </row>
    <row r="90" spans="2:3" x14ac:dyDescent="0.2">
      <c r="B90" s="10"/>
      <c r="C90" s="10"/>
    </row>
    <row r="91" spans="2:3" x14ac:dyDescent="0.2">
      <c r="B91" s="10"/>
      <c r="C91" s="10"/>
    </row>
    <row r="92" spans="2:3" x14ac:dyDescent="0.2">
      <c r="B92" s="10"/>
      <c r="C92" s="10"/>
    </row>
    <row r="93" spans="2:3" x14ac:dyDescent="0.2">
      <c r="B93" s="10"/>
      <c r="C93" s="10"/>
    </row>
    <row r="94" spans="2:3" x14ac:dyDescent="0.2">
      <c r="B94" s="10"/>
      <c r="C94" s="10"/>
    </row>
    <row r="95" spans="2:3" x14ac:dyDescent="0.2">
      <c r="B95" s="10"/>
      <c r="C95" s="10"/>
    </row>
    <row r="96" spans="2:3" x14ac:dyDescent="0.2">
      <c r="B96" s="10"/>
      <c r="C96" s="10"/>
    </row>
    <row r="97" spans="2:3" x14ac:dyDescent="0.2">
      <c r="B97" s="10"/>
      <c r="C97" s="10"/>
    </row>
    <row r="98" spans="2:3" x14ac:dyDescent="0.2">
      <c r="B98" s="10"/>
      <c r="C98" s="10"/>
    </row>
    <row r="99" spans="2:3" x14ac:dyDescent="0.2">
      <c r="B99" s="10"/>
      <c r="C99" s="10"/>
    </row>
    <row r="100" spans="2:3" x14ac:dyDescent="0.2">
      <c r="B100" s="10"/>
      <c r="C100" s="10"/>
    </row>
    <row r="101" spans="2:3" x14ac:dyDescent="0.2">
      <c r="B101" s="10"/>
      <c r="C101" s="10"/>
    </row>
  </sheetData>
  <phoneticPr fontId="0" type="noConversion"/>
  <pageMargins left="0.75" right="0.75" top="1" bottom="1" header="0.5" footer="0.5"/>
  <pageSetup paperSize="9" orientation="portrait" horizontalDpi="1200" verticalDpi="1200"/>
  <headerFooter alignWithMargins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Y217"/>
  <sheetViews>
    <sheetView topLeftCell="B1" workbookViewId="0">
      <pane ySplit="1" topLeftCell="A34" activePane="bottomLeft" state="frozen"/>
      <selection pane="bottomLeft" activeCell="M35" sqref="M35"/>
    </sheetView>
  </sheetViews>
  <sheetFormatPr defaultRowHeight="12.75" x14ac:dyDescent="0.2"/>
  <cols>
    <col min="1" max="1" width="17.140625" customWidth="1"/>
    <col min="2" max="2" width="11.42578125" customWidth="1"/>
    <col min="3" max="3" width="12.85546875" customWidth="1"/>
    <col min="4" max="4" width="10" customWidth="1"/>
    <col min="5" max="5" width="15" customWidth="1"/>
    <col min="6" max="6" width="17.5703125" customWidth="1"/>
    <col min="7" max="7" width="11.5703125" customWidth="1"/>
    <col min="8" max="8" width="8.5703125" style="4" customWidth="1"/>
    <col min="9" max="9" width="10.28515625" style="4" customWidth="1"/>
    <col min="10" max="10" width="9.140625" style="11" customWidth="1"/>
    <col min="11" max="13" width="9.140625" style="4" customWidth="1"/>
    <col min="16" max="16" width="17.5703125" customWidth="1"/>
  </cols>
  <sheetData>
    <row r="1" spans="1:25" s="18" customFormat="1" ht="15" x14ac:dyDescent="0.25">
      <c r="A1" s="14" t="s">
        <v>1221</v>
      </c>
      <c r="B1" s="14" t="s">
        <v>64</v>
      </c>
      <c r="C1" s="14" t="s">
        <v>65</v>
      </c>
      <c r="D1" s="14" t="s">
        <v>1235</v>
      </c>
      <c r="E1" s="14" t="s">
        <v>39</v>
      </c>
      <c r="F1" s="14" t="s">
        <v>1222</v>
      </c>
      <c r="G1" s="14" t="s">
        <v>1255</v>
      </c>
      <c r="H1" s="15" t="s">
        <v>1230</v>
      </c>
      <c r="I1" s="15" t="s">
        <v>1229</v>
      </c>
      <c r="J1" s="20" t="s">
        <v>1232</v>
      </c>
      <c r="K1" s="15" t="s">
        <v>1231</v>
      </c>
      <c r="L1" s="15" t="s">
        <v>1343</v>
      </c>
      <c r="M1" s="17" t="s">
        <v>1344</v>
      </c>
      <c r="N1" s="14" t="s">
        <v>1223</v>
      </c>
      <c r="O1" s="14" t="s">
        <v>1224</v>
      </c>
      <c r="P1" s="14" t="s">
        <v>1225</v>
      </c>
      <c r="V1" s="18" t="s">
        <v>255</v>
      </c>
      <c r="W1" s="18" t="s">
        <v>271</v>
      </c>
      <c r="X1" s="18" t="s">
        <v>841</v>
      </c>
      <c r="Y1" s="18" t="s">
        <v>842</v>
      </c>
    </row>
    <row r="2" spans="1:25" x14ac:dyDescent="0.2">
      <c r="A2" s="1" t="s">
        <v>1228</v>
      </c>
      <c r="B2" s="1" t="s">
        <v>1322</v>
      </c>
      <c r="C2" s="1">
        <v>8798</v>
      </c>
      <c r="D2" s="1" t="s">
        <v>1324</v>
      </c>
      <c r="E2" s="1" t="s">
        <v>11</v>
      </c>
      <c r="F2" s="1" t="s">
        <v>1262</v>
      </c>
      <c r="G2" t="s">
        <v>1327</v>
      </c>
      <c r="I2" s="4">
        <v>98.9</v>
      </c>
      <c r="J2" s="11">
        <v>31.4</v>
      </c>
      <c r="L2" s="11">
        <f>LOG(J2)+$L$217</f>
        <v>1.4969296480732148</v>
      </c>
      <c r="M2" s="11">
        <f>GraphPerfringens!$B$10-('C perfringens'!I2-GraphPerfringens!$B$6)/GraphPerfringens!$B$5</f>
        <v>0.73291690382094465</v>
      </c>
      <c r="N2" s="2" t="s">
        <v>852</v>
      </c>
      <c r="O2" s="2">
        <v>1977</v>
      </c>
      <c r="W2" s="10">
        <f>GraphPerfringens!$B$39*'C perfringens'!I2+GraphPerfringens!$B$40</f>
        <v>0.41453291150874616</v>
      </c>
      <c r="X2" s="10">
        <f>GraphPerfringens!$E$39*'C perfringens'!I2+GraphPerfringens!$E$40</f>
        <v>0.73291690382094554</v>
      </c>
    </row>
    <row r="3" spans="1:25" x14ac:dyDescent="0.2">
      <c r="A3" s="1" t="s">
        <v>1228</v>
      </c>
      <c r="B3" s="1" t="s">
        <v>1322</v>
      </c>
      <c r="C3" s="1">
        <v>8798</v>
      </c>
      <c r="D3" s="1" t="s">
        <v>1324</v>
      </c>
      <c r="E3" s="1" t="s">
        <v>11</v>
      </c>
      <c r="F3" s="1" t="s">
        <v>1262</v>
      </c>
      <c r="G3" t="s">
        <v>1327</v>
      </c>
      <c r="I3" s="4">
        <v>98.9</v>
      </c>
      <c r="J3" s="11">
        <v>28.6</v>
      </c>
      <c r="L3" s="11">
        <f t="shared" ref="L3:L17" si="0">LOG(J3)+$L$217</f>
        <v>1.4563660331290431</v>
      </c>
      <c r="M3" s="11">
        <f>GraphPerfringens!$B$10-('C perfringens'!I3-GraphPerfringens!$B$6)/GraphPerfringens!$B$5</f>
        <v>0.73291690382094465</v>
      </c>
      <c r="N3" s="2" t="s">
        <v>852</v>
      </c>
      <c r="O3" s="2">
        <v>1977</v>
      </c>
      <c r="W3" s="10"/>
      <c r="X3" s="10"/>
    </row>
    <row r="4" spans="1:25" x14ac:dyDescent="0.2">
      <c r="A4" s="1" t="s">
        <v>1228</v>
      </c>
      <c r="B4" s="1" t="s">
        <v>1322</v>
      </c>
      <c r="C4" s="1">
        <v>8798</v>
      </c>
      <c r="D4" s="1" t="s">
        <v>1324</v>
      </c>
      <c r="E4" s="1" t="s">
        <v>11</v>
      </c>
      <c r="F4" s="1" t="s">
        <v>1262</v>
      </c>
      <c r="G4" t="s">
        <v>1327</v>
      </c>
      <c r="I4" s="4">
        <v>104.4</v>
      </c>
      <c r="J4" s="11">
        <v>6.6</v>
      </c>
      <c r="L4" s="11">
        <f t="shared" si="0"/>
        <v>0.81954393554186866</v>
      </c>
      <c r="M4" s="11">
        <f>GraphPerfringens!$B$10-('C perfringens'!I4-GraphPerfringens!$B$6)/GraphPerfringens!$B$5</f>
        <v>0.40622484829341565</v>
      </c>
      <c r="N4" s="2" t="s">
        <v>852</v>
      </c>
      <c r="O4" s="2">
        <v>1977</v>
      </c>
      <c r="W4" s="10"/>
      <c r="X4" s="10"/>
    </row>
    <row r="5" spans="1:25" x14ac:dyDescent="0.2">
      <c r="A5" s="1" t="s">
        <v>1228</v>
      </c>
      <c r="B5" s="1" t="s">
        <v>1322</v>
      </c>
      <c r="C5" s="1">
        <v>8798</v>
      </c>
      <c r="D5" s="1" t="s">
        <v>1324</v>
      </c>
      <c r="E5" s="1" t="s">
        <v>11</v>
      </c>
      <c r="F5" s="1" t="s">
        <v>1262</v>
      </c>
      <c r="G5" t="s">
        <v>1327</v>
      </c>
      <c r="I5" s="4">
        <v>104.4</v>
      </c>
      <c r="J5" s="11">
        <v>7.2</v>
      </c>
      <c r="L5" s="11">
        <f t="shared" si="0"/>
        <v>0.85733249643126852</v>
      </c>
      <c r="M5" s="11">
        <f>GraphPerfringens!$B$10-('C perfringens'!I5-GraphPerfringens!$B$6)/GraphPerfringens!$B$5</f>
        <v>0.40622484829341565</v>
      </c>
      <c r="N5" s="2" t="s">
        <v>852</v>
      </c>
      <c r="O5" s="2">
        <v>1977</v>
      </c>
      <c r="W5" s="10"/>
      <c r="X5" s="10"/>
    </row>
    <row r="6" spans="1:25" x14ac:dyDescent="0.2">
      <c r="A6" s="1" t="s">
        <v>1228</v>
      </c>
      <c r="B6" s="1" t="s">
        <v>1322</v>
      </c>
      <c r="C6" s="1">
        <v>8798</v>
      </c>
      <c r="D6" s="1" t="s">
        <v>1324</v>
      </c>
      <c r="E6" s="1" t="s">
        <v>11</v>
      </c>
      <c r="F6" s="1" t="s">
        <v>1262</v>
      </c>
      <c r="G6" t="s">
        <v>1327</v>
      </c>
      <c r="I6" s="4">
        <v>110</v>
      </c>
      <c r="J6" s="11">
        <v>0.51</v>
      </c>
      <c r="L6" s="11">
        <f t="shared" si="0"/>
        <v>-0.29242982390206362</v>
      </c>
      <c r="M6" s="11">
        <f>GraphPerfringens!$B$10-('C perfringens'!I6-GraphPerfringens!$B$6)/GraphPerfringens!$B$5</f>
        <v>7.3592937210841147E-2</v>
      </c>
      <c r="N6" s="2" t="s">
        <v>852</v>
      </c>
      <c r="O6" s="2">
        <v>1977</v>
      </c>
      <c r="W6" s="10"/>
      <c r="X6" s="10"/>
    </row>
    <row r="7" spans="1:25" x14ac:dyDescent="0.2">
      <c r="A7" s="1" t="s">
        <v>1228</v>
      </c>
      <c r="B7" s="1" t="s">
        <v>1322</v>
      </c>
      <c r="C7" s="1">
        <v>8798</v>
      </c>
      <c r="D7" s="1" t="s">
        <v>1324</v>
      </c>
      <c r="E7" s="1" t="s">
        <v>11</v>
      </c>
      <c r="F7" s="1" t="s">
        <v>1262</v>
      </c>
      <c r="G7" t="s">
        <v>1327</v>
      </c>
      <c r="I7" s="4">
        <v>110</v>
      </c>
      <c r="J7" s="11">
        <v>0.55000000000000004</v>
      </c>
      <c r="L7" s="11">
        <f t="shared" si="0"/>
        <v>-0.25963731050575611</v>
      </c>
      <c r="M7" s="11">
        <f>GraphPerfringens!$B$10-('C perfringens'!I7-GraphPerfringens!$B$6)/GraphPerfringens!$B$5</f>
        <v>7.3592937210841147E-2</v>
      </c>
      <c r="N7" s="2" t="s">
        <v>852</v>
      </c>
      <c r="O7" s="2">
        <v>1977</v>
      </c>
      <c r="W7" s="10"/>
      <c r="X7" s="10"/>
    </row>
    <row r="8" spans="1:25" x14ac:dyDescent="0.2">
      <c r="A8" s="1" t="s">
        <v>1228</v>
      </c>
      <c r="B8" s="1" t="s">
        <v>1322</v>
      </c>
      <c r="C8" s="1">
        <v>8798</v>
      </c>
      <c r="D8" s="1" t="s">
        <v>1324</v>
      </c>
      <c r="E8" s="1" t="s">
        <v>11</v>
      </c>
      <c r="F8" s="1" t="s">
        <v>1262</v>
      </c>
      <c r="G8" t="s">
        <v>1327</v>
      </c>
      <c r="I8" s="4">
        <v>115.6</v>
      </c>
      <c r="J8" s="11">
        <v>0.2</v>
      </c>
      <c r="L8" s="11">
        <f t="shared" si="0"/>
        <v>-0.69897000433601875</v>
      </c>
      <c r="M8" s="11">
        <f>GraphPerfringens!$B$10-('C perfringens'!I8-GraphPerfringens!$B$6)/GraphPerfringens!$B$5</f>
        <v>-0.25903897387173336</v>
      </c>
      <c r="N8" s="2" t="s">
        <v>852</v>
      </c>
      <c r="O8" s="2">
        <v>1977</v>
      </c>
      <c r="W8" s="10"/>
      <c r="X8" s="10"/>
    </row>
    <row r="9" spans="1:25" x14ac:dyDescent="0.2">
      <c r="A9" s="1" t="s">
        <v>1228</v>
      </c>
      <c r="B9" s="1" t="s">
        <v>1322</v>
      </c>
      <c r="C9" s="1">
        <v>8798</v>
      </c>
      <c r="D9" s="1" t="s">
        <v>1324</v>
      </c>
      <c r="E9" s="1" t="s">
        <v>11</v>
      </c>
      <c r="F9" s="1" t="s">
        <v>1262</v>
      </c>
      <c r="G9" t="s">
        <v>1327</v>
      </c>
      <c r="I9" s="4">
        <v>115.6</v>
      </c>
      <c r="J9" s="11">
        <v>0.19</v>
      </c>
      <c r="L9" s="11">
        <f t="shared" si="0"/>
        <v>-0.72124639904717103</v>
      </c>
      <c r="M9" s="11">
        <f>GraphPerfringens!$B$10-('C perfringens'!I9-GraphPerfringens!$B$6)/GraphPerfringens!$B$5</f>
        <v>-0.25903897387173336</v>
      </c>
      <c r="N9" s="2" t="s">
        <v>852</v>
      </c>
      <c r="O9" s="2">
        <v>1977</v>
      </c>
      <c r="W9" s="10"/>
      <c r="X9" s="10"/>
    </row>
    <row r="10" spans="1:25" x14ac:dyDescent="0.2">
      <c r="A10" s="1" t="s">
        <v>1228</v>
      </c>
      <c r="B10" s="1" t="s">
        <v>1322</v>
      </c>
      <c r="C10" s="1">
        <v>10240</v>
      </c>
      <c r="D10" s="1" t="s">
        <v>1324</v>
      </c>
      <c r="E10" s="1" t="s">
        <v>11</v>
      </c>
      <c r="F10" s="1" t="s">
        <v>1262</v>
      </c>
      <c r="G10" t="s">
        <v>1327</v>
      </c>
      <c r="I10" s="4">
        <v>98.9</v>
      </c>
      <c r="J10" s="11">
        <v>26</v>
      </c>
      <c r="L10" s="11">
        <f t="shared" si="0"/>
        <v>1.414973347970818</v>
      </c>
      <c r="M10" s="11">
        <f>GraphPerfringens!$B$10-('C perfringens'!I10-GraphPerfringens!$B$6)/GraphPerfringens!$B$5</f>
        <v>0.73291690382094465</v>
      </c>
      <c r="N10" s="2" t="s">
        <v>852</v>
      </c>
      <c r="O10" s="2">
        <v>1977</v>
      </c>
      <c r="W10" s="10"/>
      <c r="X10" s="10"/>
    </row>
    <row r="11" spans="1:25" x14ac:dyDescent="0.2">
      <c r="A11" s="1" t="s">
        <v>1228</v>
      </c>
      <c r="B11" s="1" t="s">
        <v>1322</v>
      </c>
      <c r="C11" s="1">
        <v>10240</v>
      </c>
      <c r="D11" s="1" t="s">
        <v>1324</v>
      </c>
      <c r="E11" s="1" t="s">
        <v>11</v>
      </c>
      <c r="F11" s="1" t="s">
        <v>1262</v>
      </c>
      <c r="G11" t="s">
        <v>1327</v>
      </c>
      <c r="I11" s="4">
        <v>98.9</v>
      </c>
      <c r="J11" s="11">
        <v>27.7</v>
      </c>
      <c r="L11" s="11">
        <f t="shared" si="0"/>
        <v>1.4424797690644486</v>
      </c>
      <c r="M11" s="11">
        <f>GraphPerfringens!$B$10-('C perfringens'!I11-GraphPerfringens!$B$6)/GraphPerfringens!$B$5</f>
        <v>0.73291690382094465</v>
      </c>
      <c r="N11" s="2" t="s">
        <v>852</v>
      </c>
      <c r="O11" s="2">
        <v>1977</v>
      </c>
      <c r="W11" s="10"/>
      <c r="X11" s="10"/>
    </row>
    <row r="12" spans="1:25" x14ac:dyDescent="0.2">
      <c r="A12" s="1" t="s">
        <v>1228</v>
      </c>
      <c r="B12" s="1" t="s">
        <v>1322</v>
      </c>
      <c r="C12" s="1">
        <v>10240</v>
      </c>
      <c r="D12" s="1" t="s">
        <v>1324</v>
      </c>
      <c r="E12" s="1" t="s">
        <v>11</v>
      </c>
      <c r="F12" s="1" t="s">
        <v>1262</v>
      </c>
      <c r="G12" t="s">
        <v>1327</v>
      </c>
      <c r="I12" s="4">
        <v>104.4</v>
      </c>
      <c r="J12" s="11">
        <v>8</v>
      </c>
      <c r="L12" s="11">
        <f t="shared" si="0"/>
        <v>0.90308998699194354</v>
      </c>
      <c r="M12" s="11">
        <f>GraphPerfringens!$B$10-('C perfringens'!I12-GraphPerfringens!$B$6)/GraphPerfringens!$B$5</f>
        <v>0.40622484829341565</v>
      </c>
      <c r="N12" s="2" t="s">
        <v>852</v>
      </c>
      <c r="O12" s="2">
        <v>1977</v>
      </c>
      <c r="W12" s="10"/>
      <c r="X12" s="10"/>
    </row>
    <row r="13" spans="1:25" x14ac:dyDescent="0.2">
      <c r="A13" s="1" t="s">
        <v>1228</v>
      </c>
      <c r="B13" s="1" t="s">
        <v>1322</v>
      </c>
      <c r="C13" s="1">
        <v>10240</v>
      </c>
      <c r="D13" s="1" t="s">
        <v>1324</v>
      </c>
      <c r="E13" s="1" t="s">
        <v>11</v>
      </c>
      <c r="F13" s="1" t="s">
        <v>1262</v>
      </c>
      <c r="G13" t="s">
        <v>1327</v>
      </c>
      <c r="I13" s="4">
        <v>104.4</v>
      </c>
      <c r="J13" s="11">
        <v>7.6</v>
      </c>
      <c r="L13" s="11">
        <f t="shared" si="0"/>
        <v>0.88081359228079137</v>
      </c>
      <c r="M13" s="11">
        <f>GraphPerfringens!$B$10-('C perfringens'!I13-GraphPerfringens!$B$6)/GraphPerfringens!$B$5</f>
        <v>0.40622484829341565</v>
      </c>
      <c r="N13" s="2" t="s">
        <v>852</v>
      </c>
      <c r="O13" s="2">
        <v>1977</v>
      </c>
      <c r="W13" s="10"/>
      <c r="X13" s="10"/>
    </row>
    <row r="14" spans="1:25" x14ac:dyDescent="0.2">
      <c r="A14" s="1" t="s">
        <v>1228</v>
      </c>
      <c r="B14" s="1" t="s">
        <v>1322</v>
      </c>
      <c r="C14" s="1">
        <v>10240</v>
      </c>
      <c r="D14" s="1" t="s">
        <v>1324</v>
      </c>
      <c r="E14" s="1" t="s">
        <v>11</v>
      </c>
      <c r="F14" s="1" t="s">
        <v>1262</v>
      </c>
      <c r="G14" t="s">
        <v>1327</v>
      </c>
      <c r="I14" s="4">
        <v>110</v>
      </c>
      <c r="J14" s="11">
        <v>0.95</v>
      </c>
      <c r="L14" s="11">
        <f t="shared" si="0"/>
        <v>-2.2276394711152253E-2</v>
      </c>
      <c r="M14" s="11">
        <f>GraphPerfringens!$B$10-('C perfringens'!I14-GraphPerfringens!$B$6)/GraphPerfringens!$B$5</f>
        <v>7.3592937210841147E-2</v>
      </c>
      <c r="N14" s="2" t="s">
        <v>852</v>
      </c>
      <c r="O14" s="2">
        <v>1977</v>
      </c>
      <c r="W14" s="10"/>
      <c r="X14" s="10"/>
    </row>
    <row r="15" spans="1:25" x14ac:dyDescent="0.2">
      <c r="A15" s="1" t="s">
        <v>1228</v>
      </c>
      <c r="B15" s="1" t="s">
        <v>1322</v>
      </c>
      <c r="C15" s="1">
        <v>10240</v>
      </c>
      <c r="D15" s="1" t="s">
        <v>1324</v>
      </c>
      <c r="E15" s="1" t="s">
        <v>11</v>
      </c>
      <c r="F15" s="1" t="s">
        <v>1262</v>
      </c>
      <c r="G15" t="s">
        <v>1327</v>
      </c>
      <c r="I15" s="4">
        <v>110</v>
      </c>
      <c r="J15" s="11">
        <v>0.9</v>
      </c>
      <c r="L15" s="11">
        <f t="shared" si="0"/>
        <v>-4.5757490560675115E-2</v>
      </c>
      <c r="M15" s="11">
        <f>GraphPerfringens!$B$10-('C perfringens'!I15-GraphPerfringens!$B$6)/GraphPerfringens!$B$5</f>
        <v>7.3592937210841147E-2</v>
      </c>
      <c r="N15" s="2" t="s">
        <v>852</v>
      </c>
      <c r="O15" s="2">
        <v>1977</v>
      </c>
      <c r="W15" s="10"/>
      <c r="X15" s="10"/>
    </row>
    <row r="16" spans="1:25" x14ac:dyDescent="0.2">
      <c r="A16" s="1" t="s">
        <v>1228</v>
      </c>
      <c r="B16" s="1" t="s">
        <v>1322</v>
      </c>
      <c r="C16" s="1">
        <v>10240</v>
      </c>
      <c r="D16" s="1" t="s">
        <v>1324</v>
      </c>
      <c r="E16" s="1" t="s">
        <v>11</v>
      </c>
      <c r="F16" s="1" t="s">
        <v>1262</v>
      </c>
      <c r="G16" t="s">
        <v>1327</v>
      </c>
      <c r="I16" s="4">
        <v>115.6</v>
      </c>
      <c r="J16" s="11">
        <v>0.14000000000000001</v>
      </c>
      <c r="L16" s="11">
        <f t="shared" si="0"/>
        <v>-0.85387196432176193</v>
      </c>
      <c r="M16" s="11">
        <f>GraphPerfringens!$B$10-('C perfringens'!I16-GraphPerfringens!$B$6)/GraphPerfringens!$B$5</f>
        <v>-0.25903897387173336</v>
      </c>
      <c r="N16" s="2" t="s">
        <v>852</v>
      </c>
      <c r="O16" s="2">
        <v>1977</v>
      </c>
      <c r="W16" s="10"/>
      <c r="X16" s="10"/>
    </row>
    <row r="17" spans="1:24" x14ac:dyDescent="0.2">
      <c r="A17" s="1" t="s">
        <v>1228</v>
      </c>
      <c r="B17" s="1" t="s">
        <v>1322</v>
      </c>
      <c r="C17" s="1">
        <v>10240</v>
      </c>
      <c r="D17" s="1" t="s">
        <v>1324</v>
      </c>
      <c r="E17" s="1" t="s">
        <v>11</v>
      </c>
      <c r="F17" s="1" t="s">
        <v>1262</v>
      </c>
      <c r="G17" t="s">
        <v>1327</v>
      </c>
      <c r="I17" s="4">
        <v>115.6</v>
      </c>
      <c r="J17" s="11">
        <v>0.21</v>
      </c>
      <c r="L17" s="11">
        <f t="shared" si="0"/>
        <v>-0.6777807052660807</v>
      </c>
      <c r="M17" s="11">
        <f>GraphPerfringens!$B$10-('C perfringens'!I17-GraphPerfringens!$B$6)/GraphPerfringens!$B$5</f>
        <v>-0.25903897387173336</v>
      </c>
      <c r="N17" s="2" t="s">
        <v>852</v>
      </c>
      <c r="O17" s="2">
        <v>1977</v>
      </c>
      <c r="W17" s="10"/>
      <c r="X17" s="10"/>
    </row>
    <row r="18" spans="1:24" x14ac:dyDescent="0.2">
      <c r="A18" s="1" t="s">
        <v>1228</v>
      </c>
      <c r="B18" s="1" t="s">
        <v>1322</v>
      </c>
      <c r="C18" s="1" t="s">
        <v>1418</v>
      </c>
      <c r="D18" s="1" t="s">
        <v>1324</v>
      </c>
      <c r="E18" s="1" t="s">
        <v>44</v>
      </c>
      <c r="F18" s="1" t="s">
        <v>1257</v>
      </c>
      <c r="G18" s="1" t="s">
        <v>48</v>
      </c>
      <c r="I18" s="4">
        <v>100</v>
      </c>
      <c r="J18" s="11">
        <v>0.31</v>
      </c>
      <c r="L18" s="11">
        <f t="shared" ref="L18:L65" si="1">LOG(J18)+$L$217</f>
        <v>-0.50863830616572736</v>
      </c>
      <c r="M18" s="11">
        <f>GraphPerfringens!$B$10-('C perfringens'!I18-GraphPerfringens!$B$6)/GraphPerfringens!$B$5</f>
        <v>0.66757849271543912</v>
      </c>
      <c r="N18" s="2" t="s">
        <v>1226</v>
      </c>
      <c r="O18" s="2">
        <v>1996</v>
      </c>
      <c r="P18" t="s">
        <v>1323</v>
      </c>
      <c r="W18" s="10">
        <f>GraphPerfringens!$B$39*'C perfringens'!I18+GraphPerfringens!$B$40</f>
        <v>0.40509057787709057</v>
      </c>
      <c r="X18" s="10">
        <f>GraphPerfringens!$E$39*'C perfringens'!I18+GraphPerfringens!$E$40</f>
        <v>0.66757849271543979</v>
      </c>
    </row>
    <row r="19" spans="1:24" x14ac:dyDescent="0.2">
      <c r="A19" s="1" t="s">
        <v>1228</v>
      </c>
      <c r="B19" s="1" t="s">
        <v>1322</v>
      </c>
      <c r="C19" s="1" t="s">
        <v>1418</v>
      </c>
      <c r="D19" s="1" t="s">
        <v>1324</v>
      </c>
      <c r="E19" s="1" t="s">
        <v>44</v>
      </c>
      <c r="F19" s="1" t="s">
        <v>1257</v>
      </c>
      <c r="G19" s="1" t="s">
        <v>48</v>
      </c>
      <c r="I19" s="4">
        <v>100</v>
      </c>
      <c r="J19" s="11">
        <v>1</v>
      </c>
      <c r="L19" s="11">
        <f t="shared" si="1"/>
        <v>0</v>
      </c>
      <c r="M19" s="11">
        <f>GraphPerfringens!$B$10-('C perfringens'!I19-GraphPerfringens!$B$6)/GraphPerfringens!$B$5</f>
        <v>0.66757849271543912</v>
      </c>
      <c r="N19" s="2" t="s">
        <v>1226</v>
      </c>
      <c r="O19" s="2">
        <v>1996</v>
      </c>
      <c r="P19" t="s">
        <v>1323</v>
      </c>
      <c r="W19" s="10">
        <f>GraphPerfringens!$B$39*'C perfringens'!I19+GraphPerfringens!$B$40</f>
        <v>0.40509057787709057</v>
      </c>
      <c r="X19" s="10">
        <f>GraphPerfringens!$E$39*'C perfringens'!I19+GraphPerfringens!$E$40</f>
        <v>0.66757849271543979</v>
      </c>
    </row>
    <row r="20" spans="1:24" x14ac:dyDescent="0.2">
      <c r="A20" s="1" t="s">
        <v>1228</v>
      </c>
      <c r="B20" s="1" t="s">
        <v>1322</v>
      </c>
      <c r="C20" s="1" t="s">
        <v>1418</v>
      </c>
      <c r="D20" s="1" t="s">
        <v>1324</v>
      </c>
      <c r="E20" s="1" t="s">
        <v>44</v>
      </c>
      <c r="F20" s="1" t="s">
        <v>1257</v>
      </c>
      <c r="G20" s="1" t="s">
        <v>48</v>
      </c>
      <c r="I20" s="4">
        <v>100</v>
      </c>
      <c r="J20" s="11">
        <v>6.6</v>
      </c>
      <c r="L20" s="11">
        <f t="shared" si="1"/>
        <v>0.81954393554186866</v>
      </c>
      <c r="M20" s="11">
        <f>GraphPerfringens!$B$10-('C perfringens'!I20-GraphPerfringens!$B$6)/GraphPerfringens!$B$5</f>
        <v>0.66757849271543912</v>
      </c>
      <c r="N20" s="2" t="s">
        <v>1226</v>
      </c>
      <c r="O20" s="2">
        <v>1996</v>
      </c>
      <c r="P20" t="s">
        <v>1323</v>
      </c>
      <c r="W20" s="10">
        <f>GraphPerfringens!$B$39*'C perfringens'!I20+GraphPerfringens!$B$40</f>
        <v>0.40509057787709057</v>
      </c>
      <c r="X20" s="10">
        <f>GraphPerfringens!$E$39*'C perfringens'!I20+GraphPerfringens!$E$40</f>
        <v>0.66757849271543979</v>
      </c>
    </row>
    <row r="21" spans="1:24" x14ac:dyDescent="0.2">
      <c r="A21" s="1" t="s">
        <v>1228</v>
      </c>
      <c r="B21" s="1" t="s">
        <v>1322</v>
      </c>
      <c r="C21" s="1" t="s">
        <v>1418</v>
      </c>
      <c r="D21" s="1" t="s">
        <v>1324</v>
      </c>
      <c r="E21" s="1" t="s">
        <v>44</v>
      </c>
      <c r="F21" s="1" t="s">
        <v>1257</v>
      </c>
      <c r="G21" s="1" t="s">
        <v>48</v>
      </c>
      <c r="I21" s="4">
        <v>100</v>
      </c>
      <c r="J21" s="11">
        <v>13</v>
      </c>
      <c r="L21" s="11">
        <f t="shared" si="1"/>
        <v>1.1139433523068367</v>
      </c>
      <c r="M21" s="11">
        <f>GraphPerfringens!$B$10-('C perfringens'!I21-GraphPerfringens!$B$6)/GraphPerfringens!$B$5</f>
        <v>0.66757849271543912</v>
      </c>
      <c r="N21" s="2" t="s">
        <v>1226</v>
      </c>
      <c r="O21" s="2">
        <v>1996</v>
      </c>
      <c r="P21" t="s">
        <v>1323</v>
      </c>
      <c r="W21" s="10">
        <f>GraphPerfringens!$B$39*'C perfringens'!I21+GraphPerfringens!$B$40</f>
        <v>0.40509057787709057</v>
      </c>
      <c r="X21" s="10">
        <f>GraphPerfringens!$E$39*'C perfringens'!I21+GraphPerfringens!$E$40</f>
        <v>0.66757849271543979</v>
      </c>
    </row>
    <row r="22" spans="1:24" x14ac:dyDescent="0.2">
      <c r="A22" s="1" t="s">
        <v>1228</v>
      </c>
      <c r="B22" s="1" t="s">
        <v>1322</v>
      </c>
      <c r="C22" s="1" t="s">
        <v>186</v>
      </c>
      <c r="D22" s="1" t="s">
        <v>1324</v>
      </c>
      <c r="E22" s="1" t="s">
        <v>44</v>
      </c>
      <c r="F22" s="1" t="s">
        <v>1252</v>
      </c>
      <c r="H22" s="4">
        <v>7</v>
      </c>
      <c r="I22" s="4">
        <v>90</v>
      </c>
      <c r="J22" s="11">
        <v>1.45</v>
      </c>
      <c r="L22" s="11">
        <f t="shared" si="1"/>
        <v>0.16136800223497488</v>
      </c>
      <c r="M22" s="11">
        <f>GraphPerfringens!$B$10-('C perfringens'!I22-GraphPerfringens!$B$6)/GraphPerfringens!$B$5</f>
        <v>1.2615640482200372</v>
      </c>
      <c r="N22" s="2" t="s">
        <v>203</v>
      </c>
      <c r="O22" s="2">
        <v>1967</v>
      </c>
      <c r="P22" t="s">
        <v>1323</v>
      </c>
      <c r="W22" s="10">
        <f>GraphPerfringens!$B$39*'C perfringens'!I22+GraphPerfringens!$B$40</f>
        <v>0.4909299745285054</v>
      </c>
      <c r="X22" s="10">
        <f>GraphPerfringens!$E$39*'C perfringens'!I22+GraphPerfringens!$E$40</f>
        <v>1.2615640482200376</v>
      </c>
    </row>
    <row r="23" spans="1:24" x14ac:dyDescent="0.2">
      <c r="A23" s="1" t="s">
        <v>1228</v>
      </c>
      <c r="B23" s="1" t="s">
        <v>1322</v>
      </c>
      <c r="C23" s="1" t="s">
        <v>191</v>
      </c>
      <c r="D23" s="1" t="s">
        <v>1324</v>
      </c>
      <c r="E23" s="1" t="s">
        <v>44</v>
      </c>
      <c r="F23" s="1" t="s">
        <v>1252</v>
      </c>
      <c r="H23" s="4">
        <v>7</v>
      </c>
      <c r="I23" s="4">
        <v>90</v>
      </c>
      <c r="J23" s="11">
        <v>2.2799999999999998</v>
      </c>
      <c r="L23" s="11">
        <f t="shared" si="1"/>
        <v>0.35793484700045375</v>
      </c>
      <c r="M23" s="11">
        <f>GraphPerfringens!$B$10-('C perfringens'!I23-GraphPerfringens!$B$6)/GraphPerfringens!$B$5</f>
        <v>1.2615640482200372</v>
      </c>
      <c r="N23" s="2" t="s">
        <v>203</v>
      </c>
      <c r="O23" s="2">
        <v>1967</v>
      </c>
      <c r="P23" t="s">
        <v>1323</v>
      </c>
      <c r="W23" s="10">
        <f>GraphPerfringens!$B$39*'C perfringens'!I23+GraphPerfringens!$B$40</f>
        <v>0.4909299745285054</v>
      </c>
      <c r="X23" s="10">
        <f>GraphPerfringens!$E$39*'C perfringens'!I23+GraphPerfringens!$E$40</f>
        <v>1.2615640482200376</v>
      </c>
    </row>
    <row r="24" spans="1:24" x14ac:dyDescent="0.2">
      <c r="A24" s="1" t="s">
        <v>1228</v>
      </c>
      <c r="B24" s="1" t="s">
        <v>1322</v>
      </c>
      <c r="C24" s="1" t="s">
        <v>190</v>
      </c>
      <c r="D24" s="1" t="s">
        <v>1324</v>
      </c>
      <c r="E24" s="1" t="s">
        <v>44</v>
      </c>
      <c r="F24" s="1" t="s">
        <v>1252</v>
      </c>
      <c r="H24" s="4">
        <v>7</v>
      </c>
      <c r="I24" s="4">
        <v>90</v>
      </c>
      <c r="J24" s="11">
        <v>7.07</v>
      </c>
      <c r="L24" s="11">
        <f t="shared" si="1"/>
        <v>0.84941941379689945</v>
      </c>
      <c r="M24" s="11">
        <f>GraphPerfringens!$B$10-('C perfringens'!I24-GraphPerfringens!$B$6)/GraphPerfringens!$B$5</f>
        <v>1.2615640482200372</v>
      </c>
      <c r="N24" s="2" t="s">
        <v>203</v>
      </c>
      <c r="O24" s="2">
        <v>1967</v>
      </c>
      <c r="P24" t="s">
        <v>1323</v>
      </c>
      <c r="W24" s="10">
        <f>GraphPerfringens!$B$39*'C perfringens'!I24+GraphPerfringens!$B$40</f>
        <v>0.4909299745285054</v>
      </c>
      <c r="X24" s="10">
        <f>GraphPerfringens!$E$39*'C perfringens'!I24+GraphPerfringens!$E$40</f>
        <v>1.2615640482200376</v>
      </c>
    </row>
    <row r="25" spans="1:24" x14ac:dyDescent="0.2">
      <c r="A25" s="1" t="s">
        <v>1228</v>
      </c>
      <c r="B25" s="1" t="s">
        <v>1322</v>
      </c>
      <c r="C25" s="1" t="s">
        <v>187</v>
      </c>
      <c r="D25" s="1" t="s">
        <v>1324</v>
      </c>
      <c r="E25" s="1" t="s">
        <v>44</v>
      </c>
      <c r="F25" s="1" t="s">
        <v>1252</v>
      </c>
      <c r="H25" s="4">
        <v>7</v>
      </c>
      <c r="I25" s="4">
        <v>90</v>
      </c>
      <c r="J25" s="11">
        <v>4.93</v>
      </c>
      <c r="L25" s="11">
        <f t="shared" si="1"/>
        <v>0.69284691927722997</v>
      </c>
      <c r="M25" s="11">
        <f>GraphPerfringens!$B$10-('C perfringens'!I25-GraphPerfringens!$B$6)/GraphPerfringens!$B$5</f>
        <v>1.2615640482200372</v>
      </c>
      <c r="N25" s="2" t="s">
        <v>203</v>
      </c>
      <c r="O25" s="2">
        <v>1967</v>
      </c>
      <c r="P25" t="s">
        <v>1323</v>
      </c>
      <c r="W25" s="10">
        <f>GraphPerfringens!$B$39*'C perfringens'!I25+GraphPerfringens!$B$40</f>
        <v>0.4909299745285054</v>
      </c>
      <c r="X25" s="10">
        <f>GraphPerfringens!$E$39*'C perfringens'!I25+GraphPerfringens!$E$40</f>
        <v>1.2615640482200376</v>
      </c>
    </row>
    <row r="26" spans="1:24" x14ac:dyDescent="0.2">
      <c r="A26" s="1" t="s">
        <v>1228</v>
      </c>
      <c r="B26" s="1" t="s">
        <v>1322</v>
      </c>
      <c r="C26" s="1" t="s">
        <v>188</v>
      </c>
      <c r="D26" s="1" t="s">
        <v>1324</v>
      </c>
      <c r="E26" s="1" t="s">
        <v>44</v>
      </c>
      <c r="F26" s="1" t="s">
        <v>1252</v>
      </c>
      <c r="H26" s="4">
        <v>7</v>
      </c>
      <c r="I26" s="4">
        <v>90</v>
      </c>
      <c r="J26" s="11">
        <v>6.05</v>
      </c>
      <c r="L26" s="11">
        <f t="shared" si="1"/>
        <v>0.78175537465246892</v>
      </c>
      <c r="M26" s="11">
        <f>GraphPerfringens!$B$10-('C perfringens'!I26-GraphPerfringens!$B$6)/GraphPerfringens!$B$5</f>
        <v>1.2615640482200372</v>
      </c>
      <c r="N26" s="2" t="s">
        <v>203</v>
      </c>
      <c r="O26" s="2">
        <v>1967</v>
      </c>
      <c r="P26" t="s">
        <v>1323</v>
      </c>
      <c r="W26" s="10">
        <f>GraphPerfringens!$B$39*'C perfringens'!I26+GraphPerfringens!$B$40</f>
        <v>0.4909299745285054</v>
      </c>
      <c r="X26" s="10">
        <f>GraphPerfringens!$E$39*'C perfringens'!I26+GraphPerfringens!$E$40</f>
        <v>1.2615640482200376</v>
      </c>
    </row>
    <row r="27" spans="1:24" x14ac:dyDescent="0.2">
      <c r="A27" s="1" t="s">
        <v>1228</v>
      </c>
      <c r="B27" s="1" t="s">
        <v>1322</v>
      </c>
      <c r="C27" s="1" t="s">
        <v>189</v>
      </c>
      <c r="D27" s="1" t="s">
        <v>1324</v>
      </c>
      <c r="E27" s="1" t="s">
        <v>44</v>
      </c>
      <c r="F27" s="1" t="s">
        <v>1252</v>
      </c>
      <c r="H27" s="4">
        <v>7</v>
      </c>
      <c r="I27" s="4">
        <v>90</v>
      </c>
      <c r="J27" s="11">
        <v>8.6999999999999993</v>
      </c>
      <c r="L27" s="11">
        <f t="shared" si="1"/>
        <v>0.93951925261861846</v>
      </c>
      <c r="M27" s="11">
        <f>GraphPerfringens!$B$10-('C perfringens'!I27-GraphPerfringens!$B$6)/GraphPerfringens!$B$5</f>
        <v>1.2615640482200372</v>
      </c>
      <c r="N27" s="2" t="s">
        <v>203</v>
      </c>
      <c r="O27" s="2">
        <v>1967</v>
      </c>
      <c r="P27" t="s">
        <v>1323</v>
      </c>
      <c r="W27" s="10">
        <f>GraphPerfringens!$B$39*'C perfringens'!I27+GraphPerfringens!$B$40</f>
        <v>0.4909299745285054</v>
      </c>
      <c r="X27" s="10">
        <f>GraphPerfringens!$E$39*'C perfringens'!I27+GraphPerfringens!$E$40</f>
        <v>1.2615640482200376</v>
      </c>
    </row>
    <row r="28" spans="1:24" ht="13.5" customHeight="1" x14ac:dyDescent="0.2">
      <c r="A28" s="1" t="s">
        <v>1228</v>
      </c>
      <c r="B28" s="1" t="s">
        <v>1322</v>
      </c>
      <c r="C28" s="1">
        <v>8798</v>
      </c>
      <c r="D28" s="1" t="s">
        <v>1324</v>
      </c>
      <c r="E28" s="1" t="s">
        <v>44</v>
      </c>
      <c r="F28" s="1" t="s">
        <v>1007</v>
      </c>
      <c r="H28" s="4">
        <v>7</v>
      </c>
      <c r="I28" s="4">
        <v>98.9</v>
      </c>
      <c r="J28" s="11">
        <v>18.57</v>
      </c>
      <c r="L28" s="11">
        <f t="shared" si="1"/>
        <v>1.2688119037397805</v>
      </c>
      <c r="M28" s="11">
        <f>GraphPerfringens!$B$10-('C perfringens'!I28-GraphPerfringens!$B$6)/GraphPerfringens!$B$5</f>
        <v>0.73291690382094465</v>
      </c>
      <c r="N28" s="1" t="s">
        <v>852</v>
      </c>
      <c r="O28" s="1">
        <v>1977</v>
      </c>
      <c r="P28" t="s">
        <v>645</v>
      </c>
      <c r="W28" s="10"/>
      <c r="X28" s="10"/>
    </row>
    <row r="29" spans="1:24" ht="13.5" customHeight="1" x14ac:dyDescent="0.2">
      <c r="A29" s="1" t="s">
        <v>1228</v>
      </c>
      <c r="B29" s="1" t="s">
        <v>1322</v>
      </c>
      <c r="C29" s="1">
        <v>8798</v>
      </c>
      <c r="D29" s="1" t="s">
        <v>1324</v>
      </c>
      <c r="E29" s="1" t="s">
        <v>44</v>
      </c>
      <c r="F29" s="1" t="s">
        <v>1007</v>
      </c>
      <c r="H29" s="4">
        <v>7</v>
      </c>
      <c r="I29" s="4">
        <v>98.9</v>
      </c>
      <c r="J29" s="11">
        <v>17.010000000000002</v>
      </c>
      <c r="L29" s="11">
        <f t="shared" si="1"/>
        <v>1.230704313612569</v>
      </c>
      <c r="M29" s="11">
        <f>GraphPerfringens!$B$10-('C perfringens'!I29-GraphPerfringens!$B$6)/GraphPerfringens!$B$5</f>
        <v>0.73291690382094465</v>
      </c>
      <c r="N29" s="1" t="s">
        <v>852</v>
      </c>
      <c r="O29" s="1">
        <v>1977</v>
      </c>
      <c r="P29" t="s">
        <v>645</v>
      </c>
      <c r="W29" s="10"/>
      <c r="X29" s="10"/>
    </row>
    <row r="30" spans="1:24" ht="13.5" customHeight="1" x14ac:dyDescent="0.2">
      <c r="A30" s="1" t="s">
        <v>1228</v>
      </c>
      <c r="B30" s="1" t="s">
        <v>1322</v>
      </c>
      <c r="C30" s="1">
        <v>8798</v>
      </c>
      <c r="D30" s="1" t="s">
        <v>1324</v>
      </c>
      <c r="E30" s="1" t="s">
        <v>44</v>
      </c>
      <c r="F30" s="1" t="s">
        <v>1007</v>
      </c>
      <c r="H30" s="4">
        <v>7</v>
      </c>
      <c r="I30" s="4">
        <v>98.9</v>
      </c>
      <c r="J30" s="11">
        <v>12.48</v>
      </c>
      <c r="L30" s="11">
        <f t="shared" si="1"/>
        <v>1.0962145853464051</v>
      </c>
      <c r="M30" s="11">
        <f>GraphPerfringens!$B$10-('C perfringens'!I30-GraphPerfringens!$B$6)/GraphPerfringens!$B$5</f>
        <v>0.73291690382094465</v>
      </c>
      <c r="N30" s="1" t="s">
        <v>852</v>
      </c>
      <c r="O30" s="1">
        <v>1977</v>
      </c>
      <c r="W30" s="10"/>
      <c r="X30" s="10"/>
    </row>
    <row r="31" spans="1:24" ht="13.5" customHeight="1" x14ac:dyDescent="0.2">
      <c r="A31" s="1" t="s">
        <v>1228</v>
      </c>
      <c r="B31" s="1" t="s">
        <v>1322</v>
      </c>
      <c r="C31" s="1">
        <v>8798</v>
      </c>
      <c r="D31" s="1" t="s">
        <v>1324</v>
      </c>
      <c r="E31" s="1" t="s">
        <v>44</v>
      </c>
      <c r="F31" s="1" t="s">
        <v>1007</v>
      </c>
      <c r="H31" s="4">
        <v>7</v>
      </c>
      <c r="I31" s="4">
        <v>98.9</v>
      </c>
      <c r="J31" s="11">
        <v>12.92</v>
      </c>
      <c r="L31" s="11">
        <f t="shared" si="1"/>
        <v>1.1112625136590653</v>
      </c>
      <c r="M31" s="11">
        <f>GraphPerfringens!$B$10-('C perfringens'!I31-GraphPerfringens!$B$6)/GraphPerfringens!$B$5</f>
        <v>0.73291690382094465</v>
      </c>
      <c r="N31" s="1" t="s">
        <v>852</v>
      </c>
      <c r="O31" s="1">
        <v>1977</v>
      </c>
      <c r="W31" s="10"/>
      <c r="X31" s="10"/>
    </row>
    <row r="32" spans="1:24" ht="13.5" customHeight="1" x14ac:dyDescent="0.2">
      <c r="A32" s="1" t="s">
        <v>1228</v>
      </c>
      <c r="B32" s="1" t="s">
        <v>1322</v>
      </c>
      <c r="C32" s="1">
        <v>8798</v>
      </c>
      <c r="D32" s="1" t="s">
        <v>1324</v>
      </c>
      <c r="E32" s="1" t="s">
        <v>44</v>
      </c>
      <c r="F32" s="1" t="s">
        <v>1007</v>
      </c>
      <c r="H32" s="4">
        <v>7</v>
      </c>
      <c r="I32" s="4">
        <v>104.4</v>
      </c>
      <c r="J32" s="11">
        <v>3.15</v>
      </c>
      <c r="L32" s="11">
        <f t="shared" si="1"/>
        <v>0.49831055378960049</v>
      </c>
      <c r="M32" s="11">
        <f>GraphPerfringens!$B$10-('C perfringens'!I32-GraphPerfringens!$B$6)/GraphPerfringens!$B$5</f>
        <v>0.40622484829341565</v>
      </c>
      <c r="N32" s="1" t="s">
        <v>852</v>
      </c>
      <c r="O32" s="1">
        <v>1977</v>
      </c>
      <c r="P32" t="s">
        <v>645</v>
      </c>
      <c r="W32" s="10"/>
      <c r="X32" s="10"/>
    </row>
    <row r="33" spans="1:24" ht="13.5" customHeight="1" x14ac:dyDescent="0.2">
      <c r="A33" s="1" t="s">
        <v>1228</v>
      </c>
      <c r="B33" s="1" t="s">
        <v>1322</v>
      </c>
      <c r="C33" s="1">
        <v>8798</v>
      </c>
      <c r="D33" s="1" t="s">
        <v>1324</v>
      </c>
      <c r="E33" s="1" t="s">
        <v>44</v>
      </c>
      <c r="F33" s="1" t="s">
        <v>1007</v>
      </c>
      <c r="H33" s="4">
        <v>7</v>
      </c>
      <c r="I33" s="4">
        <v>104.4</v>
      </c>
      <c r="J33" s="11">
        <v>3.28</v>
      </c>
      <c r="L33" s="11">
        <f t="shared" si="1"/>
        <v>0.5158738437116791</v>
      </c>
      <c r="M33" s="11">
        <f>GraphPerfringens!$B$10-('C perfringens'!I33-GraphPerfringens!$B$6)/GraphPerfringens!$B$5</f>
        <v>0.40622484829341565</v>
      </c>
      <c r="N33" s="1" t="s">
        <v>852</v>
      </c>
      <c r="O33" s="1">
        <v>1977</v>
      </c>
      <c r="P33" t="s">
        <v>645</v>
      </c>
      <c r="W33" s="10"/>
      <c r="X33" s="10"/>
    </row>
    <row r="34" spans="1:24" ht="13.5" customHeight="1" x14ac:dyDescent="0.2">
      <c r="A34" s="1" t="s">
        <v>1228</v>
      </c>
      <c r="B34" s="1" t="s">
        <v>1322</v>
      </c>
      <c r="C34" s="1">
        <v>8798</v>
      </c>
      <c r="D34" s="1" t="s">
        <v>1324</v>
      </c>
      <c r="E34" s="1" t="s">
        <v>44</v>
      </c>
      <c r="F34" s="1" t="s">
        <v>1007</v>
      </c>
      <c r="H34" s="4">
        <v>7</v>
      </c>
      <c r="I34" s="4">
        <v>104.4</v>
      </c>
      <c r="J34" s="11">
        <v>2.25</v>
      </c>
      <c r="L34" s="11">
        <f t="shared" si="1"/>
        <v>0.35218251811136247</v>
      </c>
      <c r="M34" s="11">
        <f>GraphPerfringens!$B$10-('C perfringens'!I34-GraphPerfringens!$B$6)/GraphPerfringens!$B$5</f>
        <v>0.40622484829341565</v>
      </c>
      <c r="N34" s="1" t="s">
        <v>852</v>
      </c>
      <c r="O34" s="1">
        <v>1977</v>
      </c>
      <c r="W34" s="10"/>
      <c r="X34" s="10"/>
    </row>
    <row r="35" spans="1:24" ht="13.5" customHeight="1" x14ac:dyDescent="0.2">
      <c r="A35" s="1" t="s">
        <v>1228</v>
      </c>
      <c r="B35" s="1" t="s">
        <v>1322</v>
      </c>
      <c r="C35" s="1">
        <v>8798</v>
      </c>
      <c r="D35" s="1" t="s">
        <v>1324</v>
      </c>
      <c r="E35" s="1" t="s">
        <v>44</v>
      </c>
      <c r="F35" s="1" t="s">
        <v>1007</v>
      </c>
      <c r="H35" s="4">
        <v>7</v>
      </c>
      <c r="I35" s="4">
        <v>104.4</v>
      </c>
      <c r="J35" s="11">
        <v>2.29</v>
      </c>
      <c r="L35" s="11">
        <f t="shared" si="1"/>
        <v>0.35983548233988799</v>
      </c>
      <c r="M35" s="11">
        <f>GraphPerfringens!$B$10-('C perfringens'!I35-GraphPerfringens!$B$6)/GraphPerfringens!$B$5</f>
        <v>0.40622484829341565</v>
      </c>
      <c r="N35" s="1" t="s">
        <v>852</v>
      </c>
      <c r="O35" s="1">
        <v>1977</v>
      </c>
      <c r="W35" s="10"/>
      <c r="X35" s="10"/>
    </row>
    <row r="36" spans="1:24" ht="13.5" customHeight="1" x14ac:dyDescent="0.2">
      <c r="A36" s="1" t="s">
        <v>1228</v>
      </c>
      <c r="B36" s="1" t="s">
        <v>1322</v>
      </c>
      <c r="C36" s="1">
        <v>8798</v>
      </c>
      <c r="D36" s="1" t="s">
        <v>1324</v>
      </c>
      <c r="E36" s="1" t="s">
        <v>44</v>
      </c>
      <c r="F36" s="1" t="s">
        <v>1007</v>
      </c>
      <c r="H36" s="4">
        <v>7</v>
      </c>
      <c r="I36" s="4">
        <v>110</v>
      </c>
      <c r="J36" s="11">
        <v>1.29</v>
      </c>
      <c r="L36" s="11">
        <f t="shared" si="1"/>
        <v>0.11058971029924898</v>
      </c>
      <c r="M36" s="11">
        <f>GraphPerfringens!$B$10-('C perfringens'!I36-GraphPerfringens!$B$6)/GraphPerfringens!$B$5</f>
        <v>7.3592937210841147E-2</v>
      </c>
      <c r="N36" s="1" t="s">
        <v>852</v>
      </c>
      <c r="O36" s="1">
        <v>1977</v>
      </c>
      <c r="P36" t="s">
        <v>645</v>
      </c>
      <c r="W36" s="10"/>
      <c r="X36" s="10"/>
    </row>
    <row r="37" spans="1:24" ht="13.5" customHeight="1" x14ac:dyDescent="0.2">
      <c r="A37" s="1" t="s">
        <v>1228</v>
      </c>
      <c r="B37" s="1" t="s">
        <v>1322</v>
      </c>
      <c r="C37" s="1">
        <v>8798</v>
      </c>
      <c r="D37" s="1" t="s">
        <v>1324</v>
      </c>
      <c r="E37" s="1" t="s">
        <v>44</v>
      </c>
      <c r="F37" s="1" t="s">
        <v>1007</v>
      </c>
      <c r="H37" s="4">
        <v>7</v>
      </c>
      <c r="I37" s="4">
        <v>110</v>
      </c>
      <c r="J37" s="11">
        <v>1.21</v>
      </c>
      <c r="L37" s="11">
        <f t="shared" si="1"/>
        <v>8.2785370316450071E-2</v>
      </c>
      <c r="M37" s="11">
        <f>GraphPerfringens!$B$10-('C perfringens'!I37-GraphPerfringens!$B$6)/GraphPerfringens!$B$5</f>
        <v>7.3592937210841147E-2</v>
      </c>
      <c r="N37" s="1" t="s">
        <v>852</v>
      </c>
      <c r="O37" s="1">
        <v>1977</v>
      </c>
      <c r="P37" t="s">
        <v>645</v>
      </c>
      <c r="W37" s="10"/>
      <c r="X37" s="10"/>
    </row>
    <row r="38" spans="1:24" ht="13.5" customHeight="1" x14ac:dyDescent="0.2">
      <c r="A38" s="1" t="s">
        <v>1228</v>
      </c>
      <c r="B38" s="1" t="s">
        <v>1322</v>
      </c>
      <c r="C38" s="1">
        <v>8798</v>
      </c>
      <c r="D38" s="1" t="s">
        <v>1324</v>
      </c>
      <c r="E38" s="1" t="s">
        <v>44</v>
      </c>
      <c r="F38" s="1" t="s">
        <v>1007</v>
      </c>
      <c r="H38" s="4">
        <v>7</v>
      </c>
      <c r="I38" s="4">
        <v>110</v>
      </c>
      <c r="J38" s="11">
        <v>0.75</v>
      </c>
      <c r="L38" s="11">
        <f t="shared" si="1"/>
        <v>-0.12493873660829995</v>
      </c>
      <c r="M38" s="11">
        <f>GraphPerfringens!$B$10-('C perfringens'!I38-GraphPerfringens!$B$6)/GraphPerfringens!$B$5</f>
        <v>7.3592937210841147E-2</v>
      </c>
      <c r="N38" s="1" t="s">
        <v>852</v>
      </c>
      <c r="O38" s="1">
        <v>1977</v>
      </c>
      <c r="W38" s="10"/>
      <c r="X38" s="10"/>
    </row>
    <row r="39" spans="1:24" ht="13.5" customHeight="1" x14ac:dyDescent="0.2">
      <c r="A39" s="1" t="s">
        <v>1228</v>
      </c>
      <c r="B39" s="1" t="s">
        <v>1322</v>
      </c>
      <c r="C39" s="1">
        <v>8798</v>
      </c>
      <c r="D39" s="1" t="s">
        <v>1324</v>
      </c>
      <c r="E39" s="1" t="s">
        <v>44</v>
      </c>
      <c r="F39" s="1" t="s">
        <v>1007</v>
      </c>
      <c r="H39" s="4">
        <v>7</v>
      </c>
      <c r="I39" s="4">
        <v>115.6</v>
      </c>
      <c r="J39" s="11">
        <v>0.6</v>
      </c>
      <c r="L39" s="11">
        <f t="shared" si="1"/>
        <v>-0.22184874961635639</v>
      </c>
      <c r="M39" s="11">
        <f>GraphPerfringens!$B$10-('C perfringens'!I39-GraphPerfringens!$B$6)/GraphPerfringens!$B$5</f>
        <v>-0.25903897387173336</v>
      </c>
      <c r="N39" s="1" t="s">
        <v>852</v>
      </c>
      <c r="O39" s="1">
        <v>1977</v>
      </c>
      <c r="P39" t="s">
        <v>645</v>
      </c>
      <c r="W39" s="10"/>
      <c r="X39" s="10"/>
    </row>
    <row r="40" spans="1:24" ht="13.5" customHeight="1" x14ac:dyDescent="0.2">
      <c r="A40" s="1" t="s">
        <v>1228</v>
      </c>
      <c r="B40" s="1" t="s">
        <v>1322</v>
      </c>
      <c r="C40" s="1">
        <v>8798</v>
      </c>
      <c r="D40" s="1" t="s">
        <v>1324</v>
      </c>
      <c r="E40" s="1" t="s">
        <v>44</v>
      </c>
      <c r="F40" s="1" t="s">
        <v>1007</v>
      </c>
      <c r="H40" s="4">
        <v>7</v>
      </c>
      <c r="I40" s="4">
        <v>115.6</v>
      </c>
      <c r="J40" s="11">
        <v>0.71</v>
      </c>
      <c r="L40" s="11">
        <f t="shared" si="1"/>
        <v>-0.14874165128092473</v>
      </c>
      <c r="M40" s="11">
        <f>GraphPerfringens!$B$10-('C perfringens'!I40-GraphPerfringens!$B$6)/GraphPerfringens!$B$5</f>
        <v>-0.25903897387173336</v>
      </c>
      <c r="N40" s="1" t="s">
        <v>852</v>
      </c>
      <c r="O40" s="1">
        <v>1977</v>
      </c>
      <c r="P40" t="s">
        <v>645</v>
      </c>
      <c r="W40" s="10"/>
      <c r="X40" s="10"/>
    </row>
    <row r="41" spans="1:24" ht="13.5" customHeight="1" x14ac:dyDescent="0.2">
      <c r="A41" s="1" t="s">
        <v>1228</v>
      </c>
      <c r="B41" s="1" t="s">
        <v>1322</v>
      </c>
      <c r="C41" s="1">
        <v>8798</v>
      </c>
      <c r="D41" s="1" t="s">
        <v>1324</v>
      </c>
      <c r="E41" s="1" t="s">
        <v>44</v>
      </c>
      <c r="F41" s="1" t="s">
        <v>1007</v>
      </c>
      <c r="H41" s="4">
        <v>7</v>
      </c>
      <c r="I41" s="4">
        <v>115.6</v>
      </c>
      <c r="J41" s="11">
        <v>0.27</v>
      </c>
      <c r="L41" s="11">
        <f t="shared" si="1"/>
        <v>-0.56863623584101264</v>
      </c>
      <c r="M41" s="11">
        <f>GraphPerfringens!$B$10-('C perfringens'!I41-GraphPerfringens!$B$6)/GraphPerfringens!$B$5</f>
        <v>-0.25903897387173336</v>
      </c>
      <c r="N41" s="1" t="s">
        <v>852</v>
      </c>
      <c r="O41" s="1">
        <v>1977</v>
      </c>
      <c r="W41" s="10"/>
      <c r="X41" s="10"/>
    </row>
    <row r="42" spans="1:24" ht="13.5" customHeight="1" x14ac:dyDescent="0.2">
      <c r="A42" s="1" t="s">
        <v>1228</v>
      </c>
      <c r="B42" s="1" t="s">
        <v>1322</v>
      </c>
      <c r="C42" s="1">
        <v>8798</v>
      </c>
      <c r="D42" s="1" t="s">
        <v>1324</v>
      </c>
      <c r="E42" s="1" t="s">
        <v>44</v>
      </c>
      <c r="F42" s="1" t="s">
        <v>1007</v>
      </c>
      <c r="H42" s="4">
        <v>7</v>
      </c>
      <c r="I42" s="4">
        <v>115.6</v>
      </c>
      <c r="J42" s="11">
        <v>0.26</v>
      </c>
      <c r="L42" s="11">
        <f t="shared" si="1"/>
        <v>-0.58502665202918203</v>
      </c>
      <c r="M42" s="11">
        <f>GraphPerfringens!$B$10-('C perfringens'!I42-GraphPerfringens!$B$6)/GraphPerfringens!$B$5</f>
        <v>-0.25903897387173336</v>
      </c>
      <c r="N42" s="1" t="s">
        <v>852</v>
      </c>
      <c r="O42" s="1">
        <v>1977</v>
      </c>
      <c r="W42" s="10"/>
      <c r="X42" s="10"/>
    </row>
    <row r="43" spans="1:24" ht="13.5" customHeight="1" x14ac:dyDescent="0.2">
      <c r="A43" s="1" t="s">
        <v>1228</v>
      </c>
      <c r="B43" s="1" t="s">
        <v>1322</v>
      </c>
      <c r="C43" s="1">
        <v>10240</v>
      </c>
      <c r="D43" s="1" t="s">
        <v>1324</v>
      </c>
      <c r="E43" s="1" t="s">
        <v>44</v>
      </c>
      <c r="F43" s="1" t="s">
        <v>1007</v>
      </c>
      <c r="H43" s="4">
        <v>7</v>
      </c>
      <c r="I43" s="4">
        <v>98.9</v>
      </c>
      <c r="J43" s="11">
        <v>22.42</v>
      </c>
      <c r="L43" s="11">
        <f t="shared" si="1"/>
        <v>1.3506356082589543</v>
      </c>
      <c r="M43" s="11">
        <f>GraphPerfringens!$B$10-('C perfringens'!I43-GraphPerfringens!$B$6)/GraphPerfringens!$B$5</f>
        <v>0.73291690382094465</v>
      </c>
      <c r="N43" s="1" t="s">
        <v>852</v>
      </c>
      <c r="O43" s="1">
        <v>1977</v>
      </c>
      <c r="P43" t="s">
        <v>645</v>
      </c>
      <c r="W43" s="10"/>
      <c r="X43" s="10"/>
    </row>
    <row r="44" spans="1:24" ht="13.5" customHeight="1" x14ac:dyDescent="0.2">
      <c r="A44" s="1" t="s">
        <v>1228</v>
      </c>
      <c r="B44" s="1" t="s">
        <v>1322</v>
      </c>
      <c r="C44" s="1">
        <v>10240</v>
      </c>
      <c r="D44" s="1" t="s">
        <v>1324</v>
      </c>
      <c r="E44" s="1" t="s">
        <v>44</v>
      </c>
      <c r="F44" s="1" t="s">
        <v>1007</v>
      </c>
      <c r="H44" s="4">
        <v>7</v>
      </c>
      <c r="I44" s="4">
        <v>98.9</v>
      </c>
      <c r="J44" s="11">
        <v>19.940000000000001</v>
      </c>
      <c r="L44" s="11">
        <f t="shared" si="1"/>
        <v>1.2997251539756369</v>
      </c>
      <c r="M44" s="11">
        <f>GraphPerfringens!$B$10-('C perfringens'!I44-GraphPerfringens!$B$6)/GraphPerfringens!$B$5</f>
        <v>0.73291690382094465</v>
      </c>
      <c r="N44" s="1" t="s">
        <v>852</v>
      </c>
      <c r="O44" s="1">
        <v>1977</v>
      </c>
      <c r="P44" t="s">
        <v>645</v>
      </c>
      <c r="W44" s="10"/>
      <c r="X44" s="10"/>
    </row>
    <row r="45" spans="1:24" ht="13.5" customHeight="1" x14ac:dyDescent="0.2">
      <c r="A45" s="1" t="s">
        <v>1228</v>
      </c>
      <c r="B45" s="1" t="s">
        <v>1322</v>
      </c>
      <c r="C45" s="1">
        <v>10240</v>
      </c>
      <c r="D45" s="1" t="s">
        <v>1324</v>
      </c>
      <c r="E45" s="1" t="s">
        <v>44</v>
      </c>
      <c r="F45" s="1" t="s">
        <v>1007</v>
      </c>
      <c r="H45" s="4">
        <v>7</v>
      </c>
      <c r="I45" s="4">
        <v>98.9</v>
      </c>
      <c r="J45" s="11">
        <v>15.3</v>
      </c>
      <c r="L45" s="11">
        <f t="shared" si="1"/>
        <v>1.1846914308175989</v>
      </c>
      <c r="M45" s="11">
        <f>GraphPerfringens!$B$10-('C perfringens'!I45-GraphPerfringens!$B$6)/GraphPerfringens!$B$5</f>
        <v>0.73291690382094465</v>
      </c>
      <c r="N45" s="1" t="s">
        <v>852</v>
      </c>
      <c r="O45" s="1">
        <v>1977</v>
      </c>
      <c r="W45" s="10"/>
      <c r="X45" s="10"/>
    </row>
    <row r="46" spans="1:24" ht="13.5" customHeight="1" x14ac:dyDescent="0.2">
      <c r="A46" s="1" t="s">
        <v>1228</v>
      </c>
      <c r="B46" s="1" t="s">
        <v>1322</v>
      </c>
      <c r="C46" s="1">
        <v>10240</v>
      </c>
      <c r="D46" s="1" t="s">
        <v>1324</v>
      </c>
      <c r="E46" s="1" t="s">
        <v>44</v>
      </c>
      <c r="F46" s="1" t="s">
        <v>1007</v>
      </c>
      <c r="H46" s="4">
        <v>7</v>
      </c>
      <c r="I46" s="4">
        <v>98.9</v>
      </c>
      <c r="J46" s="11">
        <v>13.68</v>
      </c>
      <c r="L46" s="11">
        <f t="shared" si="1"/>
        <v>1.1360860973840974</v>
      </c>
      <c r="M46" s="11">
        <f>GraphPerfringens!$B$10-('C perfringens'!I46-GraphPerfringens!$B$6)/GraphPerfringens!$B$5</f>
        <v>0.73291690382094465</v>
      </c>
      <c r="N46" s="1" t="s">
        <v>852</v>
      </c>
      <c r="O46" s="1">
        <v>1977</v>
      </c>
      <c r="W46" s="10"/>
      <c r="X46" s="10"/>
    </row>
    <row r="47" spans="1:24" ht="13.5" customHeight="1" x14ac:dyDescent="0.2">
      <c r="A47" s="1" t="s">
        <v>1228</v>
      </c>
      <c r="B47" s="1" t="s">
        <v>1322</v>
      </c>
      <c r="C47" s="1">
        <v>10240</v>
      </c>
      <c r="D47" s="1" t="s">
        <v>1324</v>
      </c>
      <c r="E47" s="1" t="s">
        <v>44</v>
      </c>
      <c r="F47" s="1" t="s">
        <v>1007</v>
      </c>
      <c r="H47" s="4">
        <v>7</v>
      </c>
      <c r="I47" s="4">
        <v>104.4</v>
      </c>
      <c r="J47" s="11">
        <v>5.18</v>
      </c>
      <c r="L47" s="11">
        <f t="shared" si="1"/>
        <v>0.71432975974523305</v>
      </c>
      <c r="M47" s="11">
        <f>GraphPerfringens!$B$10-('C perfringens'!I47-GraphPerfringens!$B$6)/GraphPerfringens!$B$5</f>
        <v>0.40622484829341565</v>
      </c>
      <c r="N47" s="1" t="s">
        <v>852</v>
      </c>
      <c r="O47" s="1">
        <v>1977</v>
      </c>
      <c r="P47" t="s">
        <v>645</v>
      </c>
      <c r="W47" s="10"/>
      <c r="X47" s="10"/>
    </row>
    <row r="48" spans="1:24" ht="13.5" customHeight="1" x14ac:dyDescent="0.2">
      <c r="A48" s="1" t="s">
        <v>1228</v>
      </c>
      <c r="B48" s="1" t="s">
        <v>1322</v>
      </c>
      <c r="C48" s="1">
        <v>10240</v>
      </c>
      <c r="D48" s="1" t="s">
        <v>1324</v>
      </c>
      <c r="E48" s="1" t="s">
        <v>44</v>
      </c>
      <c r="F48" s="1" t="s">
        <v>1007</v>
      </c>
      <c r="H48" s="4">
        <v>7</v>
      </c>
      <c r="I48" s="4">
        <v>104.4</v>
      </c>
      <c r="J48" s="11">
        <v>4.2300000000000004</v>
      </c>
      <c r="L48" s="11">
        <f t="shared" si="1"/>
        <v>0.6263403673750424</v>
      </c>
      <c r="M48" s="11">
        <f>GraphPerfringens!$B$10-('C perfringens'!I48-GraphPerfringens!$B$6)/GraphPerfringens!$B$5</f>
        <v>0.40622484829341565</v>
      </c>
      <c r="N48" s="1" t="s">
        <v>852</v>
      </c>
      <c r="O48" s="1">
        <v>1977</v>
      </c>
      <c r="P48" t="s">
        <v>645</v>
      </c>
      <c r="W48" s="10"/>
      <c r="X48" s="10"/>
    </row>
    <row r="49" spans="1:24" ht="13.5" customHeight="1" x14ac:dyDescent="0.2">
      <c r="A49" s="1" t="s">
        <v>1228</v>
      </c>
      <c r="B49" s="1" t="s">
        <v>1322</v>
      </c>
      <c r="C49" s="1">
        <v>10240</v>
      </c>
      <c r="D49" s="1" t="s">
        <v>1324</v>
      </c>
      <c r="E49" s="1" t="s">
        <v>44</v>
      </c>
      <c r="F49" s="1" t="s">
        <v>1007</v>
      </c>
      <c r="H49" s="4">
        <v>7</v>
      </c>
      <c r="I49" s="4">
        <v>104.4</v>
      </c>
      <c r="J49" s="11">
        <v>1.81</v>
      </c>
      <c r="L49" s="11">
        <f t="shared" si="1"/>
        <v>0.2576785748691845</v>
      </c>
      <c r="M49" s="11">
        <f>GraphPerfringens!$B$10-('C perfringens'!I49-GraphPerfringens!$B$6)/GraphPerfringens!$B$5</f>
        <v>0.40622484829341565</v>
      </c>
      <c r="N49" s="1" t="s">
        <v>852</v>
      </c>
      <c r="O49" s="1">
        <v>1977</v>
      </c>
      <c r="W49" s="10"/>
      <c r="X49" s="10"/>
    </row>
    <row r="50" spans="1:24" ht="13.5" customHeight="1" x14ac:dyDescent="0.2">
      <c r="A50" s="1" t="s">
        <v>1228</v>
      </c>
      <c r="B50" s="1" t="s">
        <v>1322</v>
      </c>
      <c r="C50" s="1">
        <v>10240</v>
      </c>
      <c r="D50" s="1" t="s">
        <v>1324</v>
      </c>
      <c r="E50" s="1" t="s">
        <v>44</v>
      </c>
      <c r="F50" s="1" t="s">
        <v>1007</v>
      </c>
      <c r="H50" s="4">
        <v>7</v>
      </c>
      <c r="I50" s="4">
        <v>104.4</v>
      </c>
      <c r="J50" s="11">
        <v>1.4</v>
      </c>
      <c r="L50" s="11">
        <f t="shared" si="1"/>
        <v>0.14612803567823801</v>
      </c>
      <c r="M50" s="11">
        <f>GraphPerfringens!$B$10-('C perfringens'!I50-GraphPerfringens!$B$6)/GraphPerfringens!$B$5</f>
        <v>0.40622484829341565</v>
      </c>
      <c r="N50" s="1" t="s">
        <v>852</v>
      </c>
      <c r="O50" s="1">
        <v>1977</v>
      </c>
      <c r="W50" s="10"/>
      <c r="X50" s="10"/>
    </row>
    <row r="51" spans="1:24" ht="13.5" customHeight="1" x14ac:dyDescent="0.2">
      <c r="A51" s="1" t="s">
        <v>1228</v>
      </c>
      <c r="B51" s="1" t="s">
        <v>1322</v>
      </c>
      <c r="C51" s="1">
        <v>10240</v>
      </c>
      <c r="D51" s="1" t="s">
        <v>1324</v>
      </c>
      <c r="E51" s="1" t="s">
        <v>44</v>
      </c>
      <c r="F51" s="1" t="s">
        <v>1007</v>
      </c>
      <c r="H51" s="4">
        <v>7</v>
      </c>
      <c r="I51" s="4">
        <v>110</v>
      </c>
      <c r="J51" s="11">
        <v>1.64</v>
      </c>
      <c r="L51" s="11">
        <f t="shared" si="1"/>
        <v>0.21484384804769785</v>
      </c>
      <c r="M51" s="11">
        <f>GraphPerfringens!$B$10-('C perfringens'!I51-GraphPerfringens!$B$6)/GraphPerfringens!$B$5</f>
        <v>7.3592937210841147E-2</v>
      </c>
      <c r="N51" s="1" t="s">
        <v>852</v>
      </c>
      <c r="O51" s="1">
        <v>1977</v>
      </c>
      <c r="P51" t="s">
        <v>645</v>
      </c>
      <c r="W51" s="10"/>
      <c r="X51" s="10"/>
    </row>
    <row r="52" spans="1:24" ht="13.5" customHeight="1" x14ac:dyDescent="0.2">
      <c r="A52" s="1" t="s">
        <v>1228</v>
      </c>
      <c r="B52" s="1" t="s">
        <v>1322</v>
      </c>
      <c r="C52" s="1">
        <v>10240</v>
      </c>
      <c r="D52" s="1" t="s">
        <v>1324</v>
      </c>
      <c r="E52" s="1" t="s">
        <v>44</v>
      </c>
      <c r="F52" s="1" t="s">
        <v>1007</v>
      </c>
      <c r="H52" s="4">
        <v>7</v>
      </c>
      <c r="I52" s="4">
        <v>110</v>
      </c>
      <c r="J52" s="11">
        <v>1.61</v>
      </c>
      <c r="L52" s="11">
        <f t="shared" si="1"/>
        <v>0.20682587603184974</v>
      </c>
      <c r="M52" s="11">
        <f>GraphPerfringens!$B$10-('C perfringens'!I52-GraphPerfringens!$B$6)/GraphPerfringens!$B$5</f>
        <v>7.3592937210841147E-2</v>
      </c>
      <c r="N52" s="1" t="s">
        <v>852</v>
      </c>
      <c r="O52" s="1">
        <v>1977</v>
      </c>
      <c r="P52" t="s">
        <v>645</v>
      </c>
      <c r="W52" s="10"/>
      <c r="X52" s="10"/>
    </row>
    <row r="53" spans="1:24" ht="13.5" customHeight="1" x14ac:dyDescent="0.2">
      <c r="A53" s="1" t="s">
        <v>1228</v>
      </c>
      <c r="B53" s="1" t="s">
        <v>1322</v>
      </c>
      <c r="C53" s="1">
        <v>10240</v>
      </c>
      <c r="D53" s="1" t="s">
        <v>1324</v>
      </c>
      <c r="E53" s="1" t="s">
        <v>44</v>
      </c>
      <c r="F53" s="1" t="s">
        <v>1007</v>
      </c>
      <c r="H53" s="4">
        <v>7</v>
      </c>
      <c r="I53" s="4">
        <v>110</v>
      </c>
      <c r="J53" s="11">
        <v>0.66</v>
      </c>
      <c r="L53" s="11">
        <f t="shared" si="1"/>
        <v>-0.18045606445813131</v>
      </c>
      <c r="M53" s="11">
        <f>GraphPerfringens!$B$10-('C perfringens'!I53-GraphPerfringens!$B$6)/GraphPerfringens!$B$5</f>
        <v>7.3592937210841147E-2</v>
      </c>
      <c r="N53" s="1" t="s">
        <v>852</v>
      </c>
      <c r="O53" s="1">
        <v>1977</v>
      </c>
      <c r="W53" s="10"/>
      <c r="X53" s="10"/>
    </row>
    <row r="54" spans="1:24" ht="13.5" customHeight="1" x14ac:dyDescent="0.2">
      <c r="A54" s="1" t="s">
        <v>1228</v>
      </c>
      <c r="B54" s="1" t="s">
        <v>1322</v>
      </c>
      <c r="C54" s="1">
        <v>10240</v>
      </c>
      <c r="D54" s="1" t="s">
        <v>1324</v>
      </c>
      <c r="E54" s="1" t="s">
        <v>44</v>
      </c>
      <c r="F54" s="1" t="s">
        <v>1007</v>
      </c>
      <c r="H54" s="4">
        <v>7</v>
      </c>
      <c r="I54" s="4">
        <v>110</v>
      </c>
      <c r="J54" s="11">
        <v>0.61</v>
      </c>
      <c r="L54" s="11">
        <f t="shared" si="1"/>
        <v>-0.21467016498923297</v>
      </c>
      <c r="M54" s="11">
        <f>GraphPerfringens!$B$10-('C perfringens'!I54-GraphPerfringens!$B$6)/GraphPerfringens!$B$5</f>
        <v>7.3592937210841147E-2</v>
      </c>
      <c r="N54" s="1" t="s">
        <v>852</v>
      </c>
      <c r="O54" s="1">
        <v>1977</v>
      </c>
      <c r="W54" s="10"/>
      <c r="X54" s="10"/>
    </row>
    <row r="55" spans="1:24" ht="13.5" customHeight="1" x14ac:dyDescent="0.2">
      <c r="A55" s="1" t="s">
        <v>1228</v>
      </c>
      <c r="B55" s="1" t="s">
        <v>1322</v>
      </c>
      <c r="C55" s="1">
        <v>10240</v>
      </c>
      <c r="D55" s="1" t="s">
        <v>1324</v>
      </c>
      <c r="E55" s="1" t="s">
        <v>44</v>
      </c>
      <c r="F55" s="1" t="s">
        <v>1007</v>
      </c>
      <c r="H55" s="4">
        <v>7</v>
      </c>
      <c r="I55" s="4">
        <v>115.6</v>
      </c>
      <c r="J55" s="11">
        <v>0.8</v>
      </c>
      <c r="L55" s="11">
        <f t="shared" si="1"/>
        <v>-9.6910013008056392E-2</v>
      </c>
      <c r="M55" s="11">
        <f>GraphPerfringens!$B$10-('C perfringens'!I55-GraphPerfringens!$B$6)/GraphPerfringens!$B$5</f>
        <v>-0.25903897387173336</v>
      </c>
      <c r="N55" s="1" t="s">
        <v>852</v>
      </c>
      <c r="O55" s="1">
        <v>1977</v>
      </c>
      <c r="P55" t="s">
        <v>645</v>
      </c>
      <c r="W55" s="10"/>
      <c r="X55" s="10"/>
    </row>
    <row r="56" spans="1:24" ht="13.5" customHeight="1" x14ac:dyDescent="0.2">
      <c r="A56" s="1" t="s">
        <v>1228</v>
      </c>
      <c r="B56" s="1" t="s">
        <v>1322</v>
      </c>
      <c r="C56" s="1">
        <v>10240</v>
      </c>
      <c r="D56" s="1" t="s">
        <v>1324</v>
      </c>
      <c r="E56" s="1" t="s">
        <v>44</v>
      </c>
      <c r="F56" s="1" t="s">
        <v>1007</v>
      </c>
      <c r="H56" s="4">
        <v>7</v>
      </c>
      <c r="I56" s="4">
        <v>115.6</v>
      </c>
      <c r="J56" s="11">
        <v>0.81</v>
      </c>
      <c r="L56" s="11">
        <f t="shared" si="1"/>
        <v>-9.1514981121350217E-2</v>
      </c>
      <c r="M56" s="11">
        <f>GraphPerfringens!$B$10-('C perfringens'!I56-GraphPerfringens!$B$6)/GraphPerfringens!$B$5</f>
        <v>-0.25903897387173336</v>
      </c>
      <c r="N56" s="1" t="s">
        <v>852</v>
      </c>
      <c r="O56" s="1">
        <v>1977</v>
      </c>
      <c r="P56" t="s">
        <v>645</v>
      </c>
      <c r="W56" s="10"/>
      <c r="X56" s="10"/>
    </row>
    <row r="57" spans="1:24" ht="13.5" customHeight="1" x14ac:dyDescent="0.2">
      <c r="A57" s="1" t="s">
        <v>1228</v>
      </c>
      <c r="B57" s="1" t="s">
        <v>1322</v>
      </c>
      <c r="C57" s="1">
        <v>10240</v>
      </c>
      <c r="D57" s="1" t="s">
        <v>1324</v>
      </c>
      <c r="E57" s="1" t="s">
        <v>44</v>
      </c>
      <c r="F57" s="1" t="s">
        <v>1007</v>
      </c>
      <c r="H57" s="4">
        <v>7</v>
      </c>
      <c r="I57" s="4">
        <v>115.6</v>
      </c>
      <c r="J57" s="11">
        <v>0.22</v>
      </c>
      <c r="L57" s="11">
        <f t="shared" si="1"/>
        <v>-0.65757731917779372</v>
      </c>
      <c r="M57" s="11">
        <f>GraphPerfringens!$B$10-('C perfringens'!I57-GraphPerfringens!$B$6)/GraphPerfringens!$B$5</f>
        <v>-0.25903897387173336</v>
      </c>
      <c r="N57" s="1" t="s">
        <v>852</v>
      </c>
      <c r="O57" s="1">
        <v>1977</v>
      </c>
      <c r="W57" s="10"/>
      <c r="X57" s="10"/>
    </row>
    <row r="58" spans="1:24" x14ac:dyDescent="0.2">
      <c r="A58" s="1" t="s">
        <v>1228</v>
      </c>
      <c r="B58" s="1" t="s">
        <v>1322</v>
      </c>
      <c r="D58" s="1" t="s">
        <v>1324</v>
      </c>
      <c r="F58" s="1" t="s">
        <v>293</v>
      </c>
      <c r="I58" s="4">
        <v>98.9</v>
      </c>
      <c r="J58" s="11">
        <v>26</v>
      </c>
      <c r="K58" s="4">
        <v>7.2</v>
      </c>
      <c r="L58" s="11">
        <f t="shared" si="1"/>
        <v>1.414973347970818</v>
      </c>
      <c r="M58" s="11">
        <f>GraphPerfringens!$B$10-('C perfringens'!I58-GraphPerfringens!$B$6)/GraphPerfringens!$B$5</f>
        <v>0.73291690382094465</v>
      </c>
      <c r="N58" s="1" t="s">
        <v>294</v>
      </c>
      <c r="O58" s="1">
        <v>2000</v>
      </c>
      <c r="W58" s="10">
        <f>GraphPerfringens!$B$39*'C perfringens'!I58+GraphPerfringens!$B$40</f>
        <v>0.41453291150874616</v>
      </c>
      <c r="X58" s="10">
        <f>GraphPerfringens!$E$39*'C perfringens'!I58+GraphPerfringens!$E$40</f>
        <v>0.73291690382094554</v>
      </c>
    </row>
    <row r="59" spans="1:24" x14ac:dyDescent="0.2">
      <c r="A59" s="1" t="s">
        <v>1228</v>
      </c>
      <c r="B59" s="1" t="s">
        <v>1322</v>
      </c>
      <c r="D59" s="1" t="s">
        <v>1324</v>
      </c>
      <c r="F59" s="1" t="s">
        <v>293</v>
      </c>
      <c r="I59" s="4">
        <v>98.9</v>
      </c>
      <c r="J59" s="11">
        <v>31</v>
      </c>
      <c r="K59" s="4">
        <v>7.2</v>
      </c>
      <c r="L59" s="11">
        <f t="shared" si="1"/>
        <v>1.4913616938342726</v>
      </c>
      <c r="M59" s="11">
        <f>GraphPerfringens!$B$10-('C perfringens'!I59-GraphPerfringens!$B$6)/GraphPerfringens!$B$5</f>
        <v>0.73291690382094465</v>
      </c>
      <c r="N59" s="1" t="s">
        <v>294</v>
      </c>
      <c r="O59" s="1">
        <v>2000</v>
      </c>
      <c r="W59" s="10">
        <f>GraphPerfringens!$B$39*'C perfringens'!I59+GraphPerfringens!$B$40</f>
        <v>0.41453291150874616</v>
      </c>
      <c r="X59" s="10">
        <f>GraphPerfringens!$E$39*'C perfringens'!I59+GraphPerfringens!$E$40</f>
        <v>0.73291690382094554</v>
      </c>
    </row>
    <row r="60" spans="1:24" x14ac:dyDescent="0.2">
      <c r="A60" s="1" t="s">
        <v>1228</v>
      </c>
      <c r="B60" s="1" t="s">
        <v>1322</v>
      </c>
      <c r="C60" s="1" t="s">
        <v>1418</v>
      </c>
      <c r="D60" s="1" t="s">
        <v>1325</v>
      </c>
      <c r="E60" s="1" t="s">
        <v>45</v>
      </c>
      <c r="F60" s="1" t="s">
        <v>1239</v>
      </c>
      <c r="I60" s="4">
        <v>80</v>
      </c>
      <c r="J60" s="11">
        <v>120</v>
      </c>
      <c r="L60" s="11">
        <f t="shared" si="1"/>
        <v>2.0791812460476247</v>
      </c>
      <c r="M60" s="11">
        <f>GraphPerfringens!$B$10-('C perfringens'!I60-GraphPerfringens!$B$6)/GraphPerfringens!$B$5</f>
        <v>1.8555496037246351</v>
      </c>
      <c r="N60" s="2" t="s">
        <v>1226</v>
      </c>
      <c r="O60" s="2">
        <v>1996</v>
      </c>
      <c r="P60" t="s">
        <v>1323</v>
      </c>
      <c r="W60" s="10">
        <f>GraphPerfringens!$B$39*'C perfringens'!I60+GraphPerfringens!$B$40</f>
        <v>0.57676937117992022</v>
      </c>
      <c r="X60" s="10">
        <f>GraphPerfringens!$E$39*'C perfringens'!I60+GraphPerfringens!$E$40</f>
        <v>1.8555496037246355</v>
      </c>
    </row>
    <row r="61" spans="1:24" x14ac:dyDescent="0.2">
      <c r="A61" s="1" t="s">
        <v>1228</v>
      </c>
      <c r="B61" s="1" t="s">
        <v>1322</v>
      </c>
      <c r="C61" s="1" t="s">
        <v>1419</v>
      </c>
      <c r="D61" s="1" t="s">
        <v>1325</v>
      </c>
      <c r="E61" s="1" t="s">
        <v>45</v>
      </c>
      <c r="F61" s="1" t="s">
        <v>1239</v>
      </c>
      <c r="I61" s="4">
        <v>80</v>
      </c>
      <c r="J61" s="11">
        <v>50</v>
      </c>
      <c r="L61" s="11">
        <f t="shared" si="1"/>
        <v>1.6989700043360187</v>
      </c>
      <c r="M61" s="11">
        <f>GraphPerfringens!$B$10-('C perfringens'!I61-GraphPerfringens!$B$6)/GraphPerfringens!$B$5</f>
        <v>1.8555496037246351</v>
      </c>
      <c r="N61" s="2" t="s">
        <v>1226</v>
      </c>
      <c r="O61" s="2">
        <v>1996</v>
      </c>
      <c r="P61" t="s">
        <v>1323</v>
      </c>
      <c r="W61" s="10">
        <f>GraphPerfringens!$B$39*'C perfringens'!I61+GraphPerfringens!$B$40</f>
        <v>0.57676937117992022</v>
      </c>
      <c r="X61" s="10">
        <f>GraphPerfringens!$E$39*'C perfringens'!I61+GraphPerfringens!$E$40</f>
        <v>1.8555496037246355</v>
      </c>
    </row>
    <row r="62" spans="1:24" x14ac:dyDescent="0.2">
      <c r="A62" s="1" t="s">
        <v>1228</v>
      </c>
      <c r="B62" s="1" t="s">
        <v>1322</v>
      </c>
      <c r="C62" s="1" t="s">
        <v>1418</v>
      </c>
      <c r="D62" s="1" t="s">
        <v>1325</v>
      </c>
      <c r="E62" s="1" t="s">
        <v>45</v>
      </c>
      <c r="F62" s="1" t="s">
        <v>1239</v>
      </c>
      <c r="I62" s="4">
        <v>90</v>
      </c>
      <c r="J62" s="11">
        <v>15</v>
      </c>
      <c r="L62" s="11">
        <f t="shared" si="1"/>
        <v>1.1760912590556813</v>
      </c>
      <c r="M62" s="11">
        <f>GraphPerfringens!$B$10-('C perfringens'!I62-GraphPerfringens!$B$6)/GraphPerfringens!$B$5</f>
        <v>1.2615640482200372</v>
      </c>
      <c r="N62" s="2" t="s">
        <v>1226</v>
      </c>
      <c r="O62" s="2">
        <v>1996</v>
      </c>
      <c r="P62" t="s">
        <v>1323</v>
      </c>
      <c r="W62" s="10">
        <f>GraphPerfringens!$B$39*'C perfringens'!I62+GraphPerfringens!$B$40</f>
        <v>0.4909299745285054</v>
      </c>
      <c r="X62" s="10">
        <f>GraphPerfringens!$E$39*'C perfringens'!I62+GraphPerfringens!$E$40</f>
        <v>1.2615640482200376</v>
      </c>
    </row>
    <row r="63" spans="1:24" x14ac:dyDescent="0.2">
      <c r="A63" s="1" t="s">
        <v>1228</v>
      </c>
      <c r="B63" s="1" t="s">
        <v>1322</v>
      </c>
      <c r="C63" s="1" t="s">
        <v>1419</v>
      </c>
      <c r="D63" s="1" t="s">
        <v>1325</v>
      </c>
      <c r="E63" s="1" t="s">
        <v>45</v>
      </c>
      <c r="F63" s="1" t="s">
        <v>1239</v>
      </c>
      <c r="I63" s="4">
        <v>90</v>
      </c>
      <c r="J63" s="11">
        <v>3</v>
      </c>
      <c r="L63" s="11">
        <f t="shared" si="1"/>
        <v>0.47712125471966244</v>
      </c>
      <c r="M63" s="11">
        <f>GraphPerfringens!$B$10-('C perfringens'!I63-GraphPerfringens!$B$6)/GraphPerfringens!$B$5</f>
        <v>1.2615640482200372</v>
      </c>
      <c r="N63" s="2" t="s">
        <v>1226</v>
      </c>
      <c r="O63" s="2">
        <v>1996</v>
      </c>
      <c r="P63" t="s">
        <v>1323</v>
      </c>
      <c r="W63" s="10">
        <f>GraphPerfringens!$B$39*'C perfringens'!I63+GraphPerfringens!$B$40</f>
        <v>0.4909299745285054</v>
      </c>
      <c r="X63" s="10">
        <f>GraphPerfringens!$E$39*'C perfringens'!I63+GraphPerfringens!$E$40</f>
        <v>1.2615640482200376</v>
      </c>
    </row>
    <row r="64" spans="1:24" x14ac:dyDescent="0.2">
      <c r="A64" s="1" t="s">
        <v>1228</v>
      </c>
      <c r="B64" s="1" t="s">
        <v>1322</v>
      </c>
      <c r="C64" s="1" t="s">
        <v>1418</v>
      </c>
      <c r="D64" s="1" t="s">
        <v>1325</v>
      </c>
      <c r="E64" s="1" t="s">
        <v>45</v>
      </c>
      <c r="F64" s="1" t="s">
        <v>1239</v>
      </c>
      <c r="I64" s="4">
        <v>100</v>
      </c>
      <c r="J64" s="11">
        <v>6</v>
      </c>
      <c r="L64" s="11">
        <f t="shared" si="1"/>
        <v>0.77815125038364363</v>
      </c>
      <c r="M64" s="11">
        <f>GraphPerfringens!$B$10-('C perfringens'!I64-GraphPerfringens!$B$6)/GraphPerfringens!$B$5</f>
        <v>0.66757849271543912</v>
      </c>
      <c r="N64" s="2" t="s">
        <v>1226</v>
      </c>
      <c r="O64" s="2">
        <v>1996</v>
      </c>
      <c r="P64" t="s">
        <v>1323</v>
      </c>
      <c r="W64" s="10">
        <f>GraphPerfringens!$B$39*'C perfringens'!I64+GraphPerfringens!$B$40</f>
        <v>0.40509057787709057</v>
      </c>
      <c r="X64" s="10">
        <f>GraphPerfringens!$E$39*'C perfringens'!I64+GraphPerfringens!$E$40</f>
        <v>0.66757849271543979</v>
      </c>
    </row>
    <row r="65" spans="1:25" x14ac:dyDescent="0.2">
      <c r="A65" s="1" t="s">
        <v>1228</v>
      </c>
      <c r="B65" s="1" t="s">
        <v>1322</v>
      </c>
      <c r="D65" s="1" t="s">
        <v>301</v>
      </c>
      <c r="F65" s="1" t="s">
        <v>293</v>
      </c>
      <c r="I65" s="4">
        <v>90</v>
      </c>
      <c r="J65" s="11">
        <v>4</v>
      </c>
      <c r="K65" s="4">
        <v>5.5</v>
      </c>
      <c r="L65" s="11">
        <f t="shared" si="1"/>
        <v>0.6020599913279624</v>
      </c>
      <c r="M65" s="11">
        <f>GraphPerfringens!$B$10-('C perfringens'!I65-GraphPerfringens!$B$6)/GraphPerfringens!$B$5</f>
        <v>1.2615640482200372</v>
      </c>
      <c r="N65" s="1" t="s">
        <v>294</v>
      </c>
      <c r="O65" s="1">
        <v>2000</v>
      </c>
      <c r="W65" s="10">
        <f>GraphPerfringens!$B$39*'C perfringens'!I65+GraphPerfringens!$B$40</f>
        <v>0.4909299745285054</v>
      </c>
      <c r="X65" s="10">
        <f>GraphPerfringens!$E$39*'C perfringens'!I65+GraphPerfringens!$E$40</f>
        <v>1.2615640482200376</v>
      </c>
    </row>
    <row r="66" spans="1:25" x14ac:dyDescent="0.2">
      <c r="A66" s="1" t="s">
        <v>1228</v>
      </c>
      <c r="B66" s="1" t="s">
        <v>1322</v>
      </c>
      <c r="C66" t="s">
        <v>805</v>
      </c>
      <c r="D66" s="1" t="s">
        <v>1328</v>
      </c>
      <c r="E66" s="1" t="s">
        <v>11</v>
      </c>
      <c r="F66" t="s">
        <v>1262</v>
      </c>
      <c r="G66" t="s">
        <v>1263</v>
      </c>
      <c r="I66" s="4">
        <v>49</v>
      </c>
      <c r="J66" s="11">
        <v>2.2999999999999998</v>
      </c>
      <c r="L66" s="11">
        <f t="shared" ref="L66:L107" si="2">LOG(J66)</f>
        <v>0.36172783601759284</v>
      </c>
      <c r="M66" s="11">
        <f>GraphPerfringens!$E$10-('C perfringens'!I66-GraphPerfringens!$E$6)/GraphPerfringens!$E$5</f>
        <v>1.6298523264179088</v>
      </c>
      <c r="N66" s="1" t="s">
        <v>814</v>
      </c>
      <c r="O66" s="1">
        <v>2001</v>
      </c>
      <c r="P66" t="s">
        <v>826</v>
      </c>
      <c r="W66" s="10">
        <f>GraphPerfringens!$B$39*'C perfringens'!I66+GraphPerfringens!$B$40</f>
        <v>0.84287150079930617</v>
      </c>
      <c r="Y66" s="10">
        <f>GraphPerfringens!$H$39*'C perfringens'!I66+GraphPerfringens!$H$40</f>
        <v>1.6298523264179083</v>
      </c>
    </row>
    <row r="67" spans="1:25" x14ac:dyDescent="0.2">
      <c r="A67" s="1" t="s">
        <v>1228</v>
      </c>
      <c r="B67" s="1" t="s">
        <v>1322</v>
      </c>
      <c r="C67" t="s">
        <v>825</v>
      </c>
      <c r="D67" s="1" t="s">
        <v>1328</v>
      </c>
      <c r="E67" s="1" t="s">
        <v>11</v>
      </c>
      <c r="F67" t="s">
        <v>1262</v>
      </c>
      <c r="G67" t="s">
        <v>1263</v>
      </c>
      <c r="I67" s="4">
        <v>49</v>
      </c>
      <c r="J67" s="11">
        <v>3.1</v>
      </c>
      <c r="L67" s="11">
        <f t="shared" si="2"/>
        <v>0.49136169383427269</v>
      </c>
      <c r="M67" s="11">
        <f>GraphPerfringens!$E$10-('C perfringens'!I67-GraphPerfringens!$E$6)/GraphPerfringens!$E$5</f>
        <v>1.6298523264179088</v>
      </c>
      <c r="N67" s="1" t="s">
        <v>814</v>
      </c>
      <c r="O67" s="1">
        <v>2001</v>
      </c>
      <c r="P67" t="s">
        <v>826</v>
      </c>
      <c r="W67" s="10">
        <f>GraphPerfringens!$B$39*'C perfringens'!I67+GraphPerfringens!$B$40</f>
        <v>0.84287150079930617</v>
      </c>
      <c r="Y67" s="10">
        <f>GraphPerfringens!$H$39*'C perfringens'!I67+GraphPerfringens!$H$40</f>
        <v>1.6298523264179083</v>
      </c>
    </row>
    <row r="68" spans="1:25" x14ac:dyDescent="0.2">
      <c r="A68" s="1" t="s">
        <v>1228</v>
      </c>
      <c r="B68" s="1" t="s">
        <v>1322</v>
      </c>
      <c r="D68" s="1" t="s">
        <v>1328</v>
      </c>
      <c r="E68" s="1" t="s">
        <v>11</v>
      </c>
      <c r="F68" s="1" t="s">
        <v>1262</v>
      </c>
      <c r="G68" t="s">
        <v>1263</v>
      </c>
      <c r="I68" s="4">
        <v>55</v>
      </c>
      <c r="J68" s="11">
        <v>21.6</v>
      </c>
      <c r="L68" s="11">
        <f t="shared" si="2"/>
        <v>1.3344537511509309</v>
      </c>
      <c r="M68" s="11">
        <f>GraphPerfringens!$E$10-('C perfringens'!I68-GraphPerfringens!$E$6)/GraphPerfringens!$E$5</f>
        <v>1.0451850871709683</v>
      </c>
      <c r="N68" s="1" t="s">
        <v>814</v>
      </c>
      <c r="O68" s="1">
        <v>2001</v>
      </c>
      <c r="W68" s="10">
        <f>GraphPerfringens!$B$39*'C perfringens'!I68+GraphPerfringens!$B$40</f>
        <v>0.79136786280845728</v>
      </c>
      <c r="Y68" s="10">
        <f>GraphPerfringens!$H$39*'C perfringens'!I68+GraphPerfringens!$H$40</f>
        <v>1.0451850871709674</v>
      </c>
    </row>
    <row r="69" spans="1:25" x14ac:dyDescent="0.2">
      <c r="A69" s="1" t="s">
        <v>1228</v>
      </c>
      <c r="B69" s="1" t="s">
        <v>1322</v>
      </c>
      <c r="C69" t="s">
        <v>805</v>
      </c>
      <c r="D69" s="1" t="s">
        <v>1328</v>
      </c>
      <c r="E69" s="1" t="s">
        <v>11</v>
      </c>
      <c r="F69" t="s">
        <v>1262</v>
      </c>
      <c r="G69" t="s">
        <v>1263</v>
      </c>
      <c r="I69" s="4">
        <v>57</v>
      </c>
      <c r="J69" s="11">
        <v>7.3</v>
      </c>
      <c r="L69" s="11">
        <f t="shared" si="2"/>
        <v>0.86332286012045589</v>
      </c>
      <c r="M69" s="11">
        <f>GraphPerfringens!$E$10-('C perfringens'!I69-GraphPerfringens!$E$6)/GraphPerfringens!$E$5</f>
        <v>0.85029600742198785</v>
      </c>
      <c r="N69" s="1" t="s">
        <v>814</v>
      </c>
      <c r="O69" s="1">
        <v>2001</v>
      </c>
      <c r="P69" t="s">
        <v>826</v>
      </c>
      <c r="W69" s="10">
        <f>GraphPerfringens!$B$39*'C perfringens'!I69+GraphPerfringens!$B$40</f>
        <v>0.77419998347817431</v>
      </c>
      <c r="Y69" s="10">
        <f>GraphPerfringens!$H$39*'C perfringens'!I69+GraphPerfringens!$H$40</f>
        <v>0.85029600742198763</v>
      </c>
    </row>
    <row r="70" spans="1:25" x14ac:dyDescent="0.2">
      <c r="A70" s="1" t="s">
        <v>1228</v>
      </c>
      <c r="B70" s="1" t="s">
        <v>1322</v>
      </c>
      <c r="C70" t="s">
        <v>825</v>
      </c>
      <c r="D70" s="1" t="s">
        <v>1328</v>
      </c>
      <c r="E70" s="1" t="s">
        <v>11</v>
      </c>
      <c r="F70" t="s">
        <v>1262</v>
      </c>
      <c r="G70" t="s">
        <v>1263</v>
      </c>
      <c r="I70" s="4">
        <v>57</v>
      </c>
      <c r="J70" s="11">
        <v>11.1</v>
      </c>
      <c r="L70" s="11">
        <f t="shared" si="2"/>
        <v>1.0453229787866574</v>
      </c>
      <c r="M70" s="11">
        <f>GraphPerfringens!$E$10-('C perfringens'!I70-GraphPerfringens!$E$6)/GraphPerfringens!$E$5</f>
        <v>0.85029600742198785</v>
      </c>
      <c r="N70" s="1" t="s">
        <v>814</v>
      </c>
      <c r="O70" s="1">
        <v>2001</v>
      </c>
      <c r="P70" t="s">
        <v>826</v>
      </c>
      <c r="W70" s="10">
        <f>GraphPerfringens!$B$39*'C perfringens'!I70+GraphPerfringens!$B$40</f>
        <v>0.77419998347817431</v>
      </c>
      <c r="Y70" s="10">
        <f>GraphPerfringens!$H$39*'C perfringens'!I70+GraphPerfringens!$H$40</f>
        <v>0.85029600742198763</v>
      </c>
    </row>
    <row r="71" spans="1:25" x14ac:dyDescent="0.2">
      <c r="A71" s="1" t="s">
        <v>1228</v>
      </c>
      <c r="B71" s="1" t="s">
        <v>1322</v>
      </c>
      <c r="D71" s="1" t="s">
        <v>1328</v>
      </c>
      <c r="E71" s="1" t="s">
        <v>11</v>
      </c>
      <c r="F71" s="1" t="s">
        <v>1262</v>
      </c>
      <c r="G71" t="s">
        <v>1263</v>
      </c>
      <c r="I71" s="4">
        <v>57.5</v>
      </c>
      <c r="J71" s="11">
        <v>10.199999999999999</v>
      </c>
      <c r="L71" s="11">
        <f t="shared" si="2"/>
        <v>1.0086001717619175</v>
      </c>
      <c r="M71" s="11">
        <f>GraphPerfringens!$E$10-('C perfringens'!I71-GraphPerfringens!$E$6)/GraphPerfringens!$E$5</f>
        <v>0.80157373748474292</v>
      </c>
      <c r="N71" s="1" t="s">
        <v>814</v>
      </c>
      <c r="O71" s="1">
        <v>2001</v>
      </c>
      <c r="W71" s="10">
        <f>GraphPerfringens!$B$39*'C perfringens'!I71+GraphPerfringens!$B$40</f>
        <v>0.76990801364560357</v>
      </c>
      <c r="Y71" s="10">
        <f>GraphPerfringens!$H$39*'C perfringens'!I71+GraphPerfringens!$H$40</f>
        <v>0.80157373748474203</v>
      </c>
    </row>
    <row r="72" spans="1:25" x14ac:dyDescent="0.2">
      <c r="A72" s="1" t="s">
        <v>1228</v>
      </c>
      <c r="B72" s="1" t="s">
        <v>1322</v>
      </c>
      <c r="C72" s="1" t="s">
        <v>805</v>
      </c>
      <c r="D72" s="1" t="s">
        <v>1328</v>
      </c>
      <c r="E72" s="1" t="s">
        <v>11</v>
      </c>
      <c r="F72" s="1" t="s">
        <v>1262</v>
      </c>
      <c r="G72" s="1" t="s">
        <v>1327</v>
      </c>
      <c r="I72" s="4">
        <v>58</v>
      </c>
      <c r="J72" s="11">
        <v>1.36</v>
      </c>
      <c r="L72" s="11">
        <f t="shared" si="2"/>
        <v>0.13353890837021754</v>
      </c>
      <c r="M72" s="11">
        <f>GraphPerfringens!$E$10-('C perfringens'!I72-GraphPerfringens!$E$6)/GraphPerfringens!$E$5</f>
        <v>0.75285146754749777</v>
      </c>
      <c r="N72" s="1" t="s">
        <v>814</v>
      </c>
      <c r="O72" s="1">
        <v>2001</v>
      </c>
      <c r="W72" s="10">
        <f>GraphPerfringens!$B$39*'C perfringens'!I72+GraphPerfringens!$B$40</f>
        <v>0.76561604381303283</v>
      </c>
      <c r="Y72" s="10">
        <f>GraphPerfringens!$H$39*'C perfringens'!I72+GraphPerfringens!$H$40</f>
        <v>0.75285146754749732</v>
      </c>
    </row>
    <row r="73" spans="1:25" x14ac:dyDescent="0.2">
      <c r="A73" s="1" t="s">
        <v>1228</v>
      </c>
      <c r="B73" s="1" t="s">
        <v>1322</v>
      </c>
      <c r="C73" s="1" t="s">
        <v>806</v>
      </c>
      <c r="D73" s="1" t="s">
        <v>1328</v>
      </c>
      <c r="E73" s="1" t="s">
        <v>11</v>
      </c>
      <c r="F73" s="1" t="s">
        <v>1262</v>
      </c>
      <c r="G73" s="1" t="s">
        <v>1327</v>
      </c>
      <c r="I73" s="4">
        <v>58</v>
      </c>
      <c r="J73" s="11">
        <v>1.31</v>
      </c>
      <c r="L73" s="11">
        <f t="shared" si="2"/>
        <v>0.11727129565576427</v>
      </c>
      <c r="M73" s="11">
        <f>GraphPerfringens!$E$10-('C perfringens'!I73-GraphPerfringens!$E$6)/GraphPerfringens!$E$5</f>
        <v>0.75285146754749777</v>
      </c>
      <c r="N73" s="1" t="s">
        <v>814</v>
      </c>
      <c r="O73" s="1">
        <v>2001</v>
      </c>
      <c r="W73" s="10">
        <f>GraphPerfringens!$B$39*'C perfringens'!I73+GraphPerfringens!$B$40</f>
        <v>0.76561604381303283</v>
      </c>
      <c r="Y73" s="10">
        <f>GraphPerfringens!$H$39*'C perfringens'!I73+GraphPerfringens!$H$40</f>
        <v>0.75285146754749732</v>
      </c>
    </row>
    <row r="74" spans="1:25" x14ac:dyDescent="0.2">
      <c r="A74" s="1" t="s">
        <v>1228</v>
      </c>
      <c r="B74" s="1" t="s">
        <v>1322</v>
      </c>
      <c r="C74" s="1" t="s">
        <v>807</v>
      </c>
      <c r="D74" s="1" t="s">
        <v>1328</v>
      </c>
      <c r="E74" s="1" t="s">
        <v>11</v>
      </c>
      <c r="F74" s="1" t="s">
        <v>1262</v>
      </c>
      <c r="G74" s="1" t="s">
        <v>1327</v>
      </c>
      <c r="I74" s="4">
        <v>58</v>
      </c>
      <c r="J74" s="11">
        <v>1.58</v>
      </c>
      <c r="L74" s="11">
        <f t="shared" si="2"/>
        <v>0.19865708695442263</v>
      </c>
      <c r="M74" s="11">
        <f>GraphPerfringens!$E$10-('C perfringens'!I74-GraphPerfringens!$E$6)/GraphPerfringens!$E$5</f>
        <v>0.75285146754749777</v>
      </c>
      <c r="N74" s="1" t="s">
        <v>814</v>
      </c>
      <c r="O74" s="1">
        <v>2001</v>
      </c>
      <c r="W74" s="10">
        <f>GraphPerfringens!$B$39*'C perfringens'!I74+GraphPerfringens!$B$40</f>
        <v>0.76561604381303283</v>
      </c>
      <c r="Y74" s="10">
        <f>GraphPerfringens!$H$39*'C perfringens'!I74+GraphPerfringens!$H$40</f>
        <v>0.75285146754749732</v>
      </c>
    </row>
    <row r="75" spans="1:25" x14ac:dyDescent="0.2">
      <c r="A75" s="1" t="s">
        <v>1228</v>
      </c>
      <c r="B75" s="1" t="s">
        <v>1322</v>
      </c>
      <c r="C75">
        <v>153</v>
      </c>
      <c r="D75" s="1" t="s">
        <v>1328</v>
      </c>
      <c r="E75" s="1" t="s">
        <v>11</v>
      </c>
      <c r="F75" s="1" t="s">
        <v>1262</v>
      </c>
      <c r="G75" s="1" t="s">
        <v>1327</v>
      </c>
      <c r="I75" s="4">
        <v>58</v>
      </c>
      <c r="J75" s="11">
        <v>1.22</v>
      </c>
      <c r="L75" s="11">
        <f t="shared" si="2"/>
        <v>8.6359830674748214E-2</v>
      </c>
      <c r="M75" s="11">
        <f>GraphPerfringens!$E$10-('C perfringens'!I75-GraphPerfringens!$E$6)/GraphPerfringens!$E$5</f>
        <v>0.75285146754749777</v>
      </c>
      <c r="N75" s="1" t="s">
        <v>814</v>
      </c>
      <c r="O75" s="1">
        <v>2001</v>
      </c>
      <c r="W75" s="10">
        <f>GraphPerfringens!$B$39*'C perfringens'!I75+GraphPerfringens!$B$40</f>
        <v>0.76561604381303283</v>
      </c>
      <c r="Y75" s="10">
        <f>GraphPerfringens!$H$39*'C perfringens'!I75+GraphPerfringens!$H$40</f>
        <v>0.75285146754749732</v>
      </c>
    </row>
    <row r="76" spans="1:25" x14ac:dyDescent="0.2">
      <c r="A76" s="1" t="s">
        <v>1228</v>
      </c>
      <c r="B76" s="1" t="s">
        <v>1322</v>
      </c>
      <c r="C76">
        <v>222</v>
      </c>
      <c r="D76" s="1" t="s">
        <v>1328</v>
      </c>
      <c r="E76" s="1" t="s">
        <v>11</v>
      </c>
      <c r="F76" s="1" t="s">
        <v>1262</v>
      </c>
      <c r="G76" s="1" t="s">
        <v>1327</v>
      </c>
      <c r="I76" s="4">
        <v>58</v>
      </c>
      <c r="J76" s="11">
        <v>1.32</v>
      </c>
      <c r="L76" s="11">
        <f t="shared" si="2"/>
        <v>0.12057393120584989</v>
      </c>
      <c r="M76" s="11">
        <f>GraphPerfringens!$E$10-('C perfringens'!I76-GraphPerfringens!$E$6)/GraphPerfringens!$E$5</f>
        <v>0.75285146754749777</v>
      </c>
      <c r="N76" s="1" t="s">
        <v>814</v>
      </c>
      <c r="O76" s="1">
        <v>2001</v>
      </c>
      <c r="W76" s="10">
        <f>GraphPerfringens!$B$39*'C perfringens'!I76+GraphPerfringens!$B$40</f>
        <v>0.76561604381303283</v>
      </c>
      <c r="Y76" s="10">
        <f>GraphPerfringens!$H$39*'C perfringens'!I76+GraphPerfringens!$H$40</f>
        <v>0.75285146754749732</v>
      </c>
    </row>
    <row r="77" spans="1:25" x14ac:dyDescent="0.2">
      <c r="A77" s="1" t="s">
        <v>1228</v>
      </c>
      <c r="B77" s="1" t="s">
        <v>1322</v>
      </c>
      <c r="C77" t="s">
        <v>808</v>
      </c>
      <c r="D77" s="1" t="s">
        <v>1328</v>
      </c>
      <c r="E77" s="1" t="s">
        <v>11</v>
      </c>
      <c r="F77" s="1" t="s">
        <v>1262</v>
      </c>
      <c r="G77" s="1" t="s">
        <v>1327</v>
      </c>
      <c r="I77" s="4">
        <v>58</v>
      </c>
      <c r="J77" s="11">
        <v>1.31</v>
      </c>
      <c r="L77" s="11">
        <f t="shared" si="2"/>
        <v>0.11727129565576427</v>
      </c>
      <c r="M77" s="11">
        <f>GraphPerfringens!$E$10-('C perfringens'!I77-GraphPerfringens!$E$6)/GraphPerfringens!$E$5</f>
        <v>0.75285146754749777</v>
      </c>
      <c r="N77" s="1" t="s">
        <v>814</v>
      </c>
      <c r="O77" s="1">
        <v>2001</v>
      </c>
      <c r="W77" s="10">
        <f>GraphPerfringens!$B$39*'C perfringens'!I77+GraphPerfringens!$B$40</f>
        <v>0.76561604381303283</v>
      </c>
      <c r="Y77" s="10">
        <f>GraphPerfringens!$H$39*'C perfringens'!I77+GraphPerfringens!$H$40</f>
        <v>0.75285146754749732</v>
      </c>
    </row>
    <row r="78" spans="1:25" x14ac:dyDescent="0.2">
      <c r="A78" s="1" t="s">
        <v>1228</v>
      </c>
      <c r="B78" s="1" t="s">
        <v>1322</v>
      </c>
      <c r="C78" t="s">
        <v>809</v>
      </c>
      <c r="D78" s="1" t="s">
        <v>1328</v>
      </c>
      <c r="E78" s="1" t="s">
        <v>11</v>
      </c>
      <c r="F78" s="1" t="s">
        <v>1262</v>
      </c>
      <c r="G78" s="1" t="s">
        <v>1327</v>
      </c>
      <c r="I78" s="4">
        <v>58</v>
      </c>
      <c r="J78" s="11">
        <v>1.21</v>
      </c>
      <c r="L78" s="11">
        <f t="shared" si="2"/>
        <v>8.2785370316450071E-2</v>
      </c>
      <c r="M78" s="11">
        <f>GraphPerfringens!$E$10-('C perfringens'!I78-GraphPerfringens!$E$6)/GraphPerfringens!$E$5</f>
        <v>0.75285146754749777</v>
      </c>
      <c r="N78" s="1" t="s">
        <v>814</v>
      </c>
      <c r="O78" s="1">
        <v>2001</v>
      </c>
      <c r="W78" s="10">
        <f>GraphPerfringens!$B$39*'C perfringens'!I78+GraphPerfringens!$B$40</f>
        <v>0.76561604381303283</v>
      </c>
      <c r="Y78" s="10">
        <f>GraphPerfringens!$H$39*'C perfringens'!I78+GraphPerfringens!$H$40</f>
        <v>0.75285146754749732</v>
      </c>
    </row>
    <row r="79" spans="1:25" x14ac:dyDescent="0.2">
      <c r="A79" s="1" t="s">
        <v>1228</v>
      </c>
      <c r="B79" s="1" t="s">
        <v>1322</v>
      </c>
      <c r="C79" t="s">
        <v>810</v>
      </c>
      <c r="D79" s="1" t="s">
        <v>1328</v>
      </c>
      <c r="E79" s="1" t="s">
        <v>11</v>
      </c>
      <c r="F79" s="1" t="s">
        <v>1262</v>
      </c>
      <c r="G79" s="1" t="s">
        <v>1327</v>
      </c>
      <c r="I79" s="4">
        <v>58</v>
      </c>
      <c r="J79" s="11">
        <v>1.6</v>
      </c>
      <c r="L79" s="11">
        <f t="shared" si="2"/>
        <v>0.20411998265592479</v>
      </c>
      <c r="M79" s="11">
        <f>GraphPerfringens!$E$10-('C perfringens'!I79-GraphPerfringens!$E$6)/GraphPerfringens!$E$5</f>
        <v>0.75285146754749777</v>
      </c>
      <c r="N79" s="1" t="s">
        <v>814</v>
      </c>
      <c r="O79" s="1">
        <v>2001</v>
      </c>
      <c r="W79" s="10">
        <f>GraphPerfringens!$B$39*'C perfringens'!I79+GraphPerfringens!$B$40</f>
        <v>0.76561604381303283</v>
      </c>
      <c r="Y79" s="10">
        <f>GraphPerfringens!$H$39*'C perfringens'!I79+GraphPerfringens!$H$40</f>
        <v>0.75285146754749732</v>
      </c>
    </row>
    <row r="80" spans="1:25" x14ac:dyDescent="0.2">
      <c r="A80" s="1" t="s">
        <v>1228</v>
      </c>
      <c r="B80" s="1" t="s">
        <v>1322</v>
      </c>
      <c r="C80" t="s">
        <v>811</v>
      </c>
      <c r="D80" s="1" t="s">
        <v>1328</v>
      </c>
      <c r="E80" s="1" t="s">
        <v>11</v>
      </c>
      <c r="F80" s="1" t="s">
        <v>1262</v>
      </c>
      <c r="G80" s="1" t="s">
        <v>1327</v>
      </c>
      <c r="I80" s="4">
        <v>58</v>
      </c>
      <c r="J80" s="11">
        <v>1.48</v>
      </c>
      <c r="L80" s="11">
        <f t="shared" si="2"/>
        <v>0.17026171539495738</v>
      </c>
      <c r="M80" s="11">
        <f>GraphPerfringens!$E$10-('C perfringens'!I80-GraphPerfringens!$E$6)/GraphPerfringens!$E$5</f>
        <v>0.75285146754749777</v>
      </c>
      <c r="N80" s="1" t="s">
        <v>814</v>
      </c>
      <c r="O80" s="1">
        <v>2001</v>
      </c>
      <c r="W80" s="10">
        <f>GraphPerfringens!$B$39*'C perfringens'!I80+GraphPerfringens!$B$40</f>
        <v>0.76561604381303283</v>
      </c>
      <c r="Y80" s="10">
        <f>GraphPerfringens!$H$39*'C perfringens'!I80+GraphPerfringens!$H$40</f>
        <v>0.75285146754749732</v>
      </c>
    </row>
    <row r="81" spans="1:25" x14ac:dyDescent="0.2">
      <c r="A81" s="1" t="s">
        <v>1228</v>
      </c>
      <c r="B81" s="1" t="s">
        <v>1322</v>
      </c>
      <c r="C81" t="s">
        <v>812</v>
      </c>
      <c r="D81" s="1" t="s">
        <v>1328</v>
      </c>
      <c r="E81" s="1" t="s">
        <v>11</v>
      </c>
      <c r="F81" s="1" t="s">
        <v>1262</v>
      </c>
      <c r="G81" s="1" t="s">
        <v>1327</v>
      </c>
      <c r="I81" s="4">
        <v>58</v>
      </c>
      <c r="J81" s="11">
        <v>1.1499999999999999</v>
      </c>
      <c r="L81" s="11">
        <f t="shared" si="2"/>
        <v>6.069784035361165E-2</v>
      </c>
      <c r="M81" s="11">
        <f>GraphPerfringens!$E$10-('C perfringens'!I81-GraphPerfringens!$E$6)/GraphPerfringens!$E$5</f>
        <v>0.75285146754749777</v>
      </c>
      <c r="N81" s="1" t="s">
        <v>814</v>
      </c>
      <c r="O81" s="1">
        <v>2001</v>
      </c>
      <c r="W81" s="10">
        <f>GraphPerfringens!$B$39*'C perfringens'!I81+GraphPerfringens!$B$40</f>
        <v>0.76561604381303283</v>
      </c>
      <c r="Y81" s="10">
        <f>GraphPerfringens!$H$39*'C perfringens'!I81+GraphPerfringens!$H$40</f>
        <v>0.75285146754749732</v>
      </c>
    </row>
    <row r="82" spans="1:25" x14ac:dyDescent="0.2">
      <c r="A82" s="1" t="s">
        <v>1228</v>
      </c>
      <c r="B82" s="1" t="s">
        <v>1322</v>
      </c>
      <c r="C82" s="1" t="s">
        <v>805</v>
      </c>
      <c r="D82" s="1" t="s">
        <v>1328</v>
      </c>
      <c r="E82" s="1" t="s">
        <v>11</v>
      </c>
      <c r="F82" s="1" t="s">
        <v>1262</v>
      </c>
      <c r="G82" s="1" t="s">
        <v>1327</v>
      </c>
      <c r="I82" s="4">
        <v>58</v>
      </c>
      <c r="J82" s="11">
        <v>1.64</v>
      </c>
      <c r="L82" s="11">
        <f t="shared" si="2"/>
        <v>0.21484384804769785</v>
      </c>
      <c r="M82" s="11">
        <f>GraphPerfringens!$E$10-('C perfringens'!I82-GraphPerfringens!$E$6)/GraphPerfringens!$E$5</f>
        <v>0.75285146754749777</v>
      </c>
      <c r="N82" s="1" t="s">
        <v>814</v>
      </c>
      <c r="O82" s="1">
        <v>2001</v>
      </c>
      <c r="P82" t="s">
        <v>813</v>
      </c>
      <c r="W82" s="10">
        <f>GraphPerfringens!$B$39*'C perfringens'!I82+GraphPerfringens!$B$40</f>
        <v>0.76561604381303283</v>
      </c>
      <c r="Y82" s="10">
        <f>GraphPerfringens!$H$39*'C perfringens'!I82+GraphPerfringens!$H$40</f>
        <v>0.75285146754749732</v>
      </c>
    </row>
    <row r="83" spans="1:25" x14ac:dyDescent="0.2">
      <c r="A83" s="1" t="s">
        <v>1228</v>
      </c>
      <c r="B83" s="1" t="s">
        <v>1322</v>
      </c>
      <c r="C83" s="1" t="s">
        <v>806</v>
      </c>
      <c r="D83" s="1" t="s">
        <v>1328</v>
      </c>
      <c r="E83" s="1" t="s">
        <v>11</v>
      </c>
      <c r="F83" s="1" t="s">
        <v>1262</v>
      </c>
      <c r="G83" s="1" t="s">
        <v>1327</v>
      </c>
      <c r="I83" s="4">
        <v>58</v>
      </c>
      <c r="J83" s="11">
        <v>1.95</v>
      </c>
      <c r="L83" s="11">
        <f t="shared" si="2"/>
        <v>0.29003461136251801</v>
      </c>
      <c r="M83" s="11">
        <f>GraphPerfringens!$E$10-('C perfringens'!I83-GraphPerfringens!$E$6)/GraphPerfringens!$E$5</f>
        <v>0.75285146754749777</v>
      </c>
      <c r="N83" s="1" t="s">
        <v>814</v>
      </c>
      <c r="O83" s="1">
        <v>2001</v>
      </c>
      <c r="P83" t="s">
        <v>813</v>
      </c>
      <c r="W83" s="10">
        <f>GraphPerfringens!$B$39*'C perfringens'!I83+GraphPerfringens!$B$40</f>
        <v>0.76561604381303283</v>
      </c>
      <c r="Y83" s="10">
        <f>GraphPerfringens!$H$39*'C perfringens'!I83+GraphPerfringens!$H$40</f>
        <v>0.75285146754749732</v>
      </c>
    </row>
    <row r="84" spans="1:25" x14ac:dyDescent="0.2">
      <c r="A84" s="1" t="s">
        <v>1228</v>
      </c>
      <c r="B84" s="1" t="s">
        <v>1322</v>
      </c>
      <c r="C84" s="1" t="s">
        <v>807</v>
      </c>
      <c r="D84" s="1" t="s">
        <v>1328</v>
      </c>
      <c r="E84" s="1" t="s">
        <v>11</v>
      </c>
      <c r="F84" s="1" t="s">
        <v>1262</v>
      </c>
      <c r="G84" s="1" t="s">
        <v>1327</v>
      </c>
      <c r="I84" s="4">
        <v>58</v>
      </c>
      <c r="J84" s="11">
        <v>2.25</v>
      </c>
      <c r="L84" s="11">
        <f t="shared" si="2"/>
        <v>0.35218251811136247</v>
      </c>
      <c r="M84" s="11">
        <f>GraphPerfringens!$E$10-('C perfringens'!I84-GraphPerfringens!$E$6)/GraphPerfringens!$E$5</f>
        <v>0.75285146754749777</v>
      </c>
      <c r="N84" s="1" t="s">
        <v>814</v>
      </c>
      <c r="O84" s="1">
        <v>2001</v>
      </c>
      <c r="P84" t="s">
        <v>813</v>
      </c>
      <c r="W84" s="10">
        <f>GraphPerfringens!$B$39*'C perfringens'!I84+GraphPerfringens!$B$40</f>
        <v>0.76561604381303283</v>
      </c>
      <c r="Y84" s="10">
        <f>GraphPerfringens!$H$39*'C perfringens'!I84+GraphPerfringens!$H$40</f>
        <v>0.75285146754749732</v>
      </c>
    </row>
    <row r="85" spans="1:25" x14ac:dyDescent="0.2">
      <c r="A85" s="1" t="s">
        <v>1228</v>
      </c>
      <c r="B85" s="1" t="s">
        <v>1322</v>
      </c>
      <c r="C85">
        <v>153</v>
      </c>
      <c r="D85" s="1" t="s">
        <v>1328</v>
      </c>
      <c r="E85" s="1" t="s">
        <v>11</v>
      </c>
      <c r="F85" s="1" t="s">
        <v>1262</v>
      </c>
      <c r="G85" s="1" t="s">
        <v>1327</v>
      </c>
      <c r="I85" s="4">
        <v>58</v>
      </c>
      <c r="J85" s="11">
        <v>1.42</v>
      </c>
      <c r="L85" s="11">
        <f t="shared" si="2"/>
        <v>0.15228834438305647</v>
      </c>
      <c r="M85" s="11">
        <f>GraphPerfringens!$E$10-('C perfringens'!I85-GraphPerfringens!$E$6)/GraphPerfringens!$E$5</f>
        <v>0.75285146754749777</v>
      </c>
      <c r="N85" s="1" t="s">
        <v>814</v>
      </c>
      <c r="O85" s="1">
        <v>2001</v>
      </c>
      <c r="P85" t="s">
        <v>813</v>
      </c>
      <c r="W85" s="10">
        <f>GraphPerfringens!$B$39*'C perfringens'!I85+GraphPerfringens!$B$40</f>
        <v>0.76561604381303283</v>
      </c>
      <c r="Y85" s="10">
        <f>GraphPerfringens!$H$39*'C perfringens'!I85+GraphPerfringens!$H$40</f>
        <v>0.75285146754749732</v>
      </c>
    </row>
    <row r="86" spans="1:25" x14ac:dyDescent="0.2">
      <c r="A86" s="1" t="s">
        <v>1228</v>
      </c>
      <c r="B86" s="1" t="s">
        <v>1322</v>
      </c>
      <c r="C86">
        <v>222</v>
      </c>
      <c r="D86" s="1" t="s">
        <v>1328</v>
      </c>
      <c r="E86" s="1" t="s">
        <v>11</v>
      </c>
      <c r="F86" s="1" t="s">
        <v>1262</v>
      </c>
      <c r="G86" s="1" t="s">
        <v>1327</v>
      </c>
      <c r="I86" s="4">
        <v>58</v>
      </c>
      <c r="J86" s="11">
        <v>1.47</v>
      </c>
      <c r="L86" s="11">
        <f t="shared" si="2"/>
        <v>0.16731733474817609</v>
      </c>
      <c r="M86" s="11">
        <f>GraphPerfringens!$E$10-('C perfringens'!I86-GraphPerfringens!$E$6)/GraphPerfringens!$E$5</f>
        <v>0.75285146754749777</v>
      </c>
      <c r="N86" s="1" t="s">
        <v>814</v>
      </c>
      <c r="O86" s="1">
        <v>2001</v>
      </c>
      <c r="P86" t="s">
        <v>813</v>
      </c>
      <c r="W86" s="10">
        <f>GraphPerfringens!$B$39*'C perfringens'!I86+GraphPerfringens!$B$40</f>
        <v>0.76561604381303283</v>
      </c>
      <c r="Y86" s="10">
        <f>GraphPerfringens!$H$39*'C perfringens'!I86+GraphPerfringens!$H$40</f>
        <v>0.75285146754749732</v>
      </c>
    </row>
    <row r="87" spans="1:25" x14ac:dyDescent="0.2">
      <c r="A87" s="1" t="s">
        <v>1228</v>
      </c>
      <c r="B87" s="1" t="s">
        <v>1322</v>
      </c>
      <c r="C87" t="s">
        <v>808</v>
      </c>
      <c r="D87" s="1" t="s">
        <v>1328</v>
      </c>
      <c r="E87" s="1" t="s">
        <v>11</v>
      </c>
      <c r="F87" s="1" t="s">
        <v>1262</v>
      </c>
      <c r="G87" s="1" t="s">
        <v>1327</v>
      </c>
      <c r="I87" s="4">
        <v>58</v>
      </c>
      <c r="J87" s="11">
        <v>1.52</v>
      </c>
      <c r="L87" s="11">
        <f t="shared" si="2"/>
        <v>0.18184358794477254</v>
      </c>
      <c r="M87" s="11">
        <f>GraphPerfringens!$E$10-('C perfringens'!I87-GraphPerfringens!$E$6)/GraphPerfringens!$E$5</f>
        <v>0.75285146754749777</v>
      </c>
      <c r="N87" s="1" t="s">
        <v>814</v>
      </c>
      <c r="O87" s="1">
        <v>2001</v>
      </c>
      <c r="P87" t="s">
        <v>813</v>
      </c>
      <c r="W87" s="10">
        <f>GraphPerfringens!$B$39*'C perfringens'!I87+GraphPerfringens!$B$40</f>
        <v>0.76561604381303283</v>
      </c>
      <c r="Y87" s="10">
        <f>GraphPerfringens!$H$39*'C perfringens'!I87+GraphPerfringens!$H$40</f>
        <v>0.75285146754749732</v>
      </c>
    </row>
    <row r="88" spans="1:25" x14ac:dyDescent="0.2">
      <c r="A88" s="1" t="s">
        <v>1228</v>
      </c>
      <c r="B88" s="1" t="s">
        <v>1322</v>
      </c>
      <c r="C88" t="s">
        <v>809</v>
      </c>
      <c r="D88" s="1" t="s">
        <v>1328</v>
      </c>
      <c r="E88" s="1" t="s">
        <v>11</v>
      </c>
      <c r="F88" s="1" t="s">
        <v>1262</v>
      </c>
      <c r="G88" s="1" t="s">
        <v>1327</v>
      </c>
      <c r="I88" s="4">
        <v>58</v>
      </c>
      <c r="J88" s="11">
        <v>1.76</v>
      </c>
      <c r="L88" s="11">
        <f t="shared" si="2"/>
        <v>0.24551266781414982</v>
      </c>
      <c r="M88" s="11">
        <f>GraphPerfringens!$E$10-('C perfringens'!I88-GraphPerfringens!$E$6)/GraphPerfringens!$E$5</f>
        <v>0.75285146754749777</v>
      </c>
      <c r="N88" s="1" t="s">
        <v>814</v>
      </c>
      <c r="O88" s="1">
        <v>2001</v>
      </c>
      <c r="P88" t="s">
        <v>813</v>
      </c>
      <c r="W88" s="10">
        <f>GraphPerfringens!$B$39*'C perfringens'!I88+GraphPerfringens!$B$40</f>
        <v>0.76561604381303283</v>
      </c>
      <c r="Y88" s="10">
        <f>GraphPerfringens!$H$39*'C perfringens'!I88+GraphPerfringens!$H$40</f>
        <v>0.75285146754749732</v>
      </c>
    </row>
    <row r="89" spans="1:25" x14ac:dyDescent="0.2">
      <c r="A89" s="1" t="s">
        <v>1228</v>
      </c>
      <c r="B89" s="1" t="s">
        <v>1322</v>
      </c>
      <c r="C89" t="s">
        <v>810</v>
      </c>
      <c r="D89" s="1" t="s">
        <v>1328</v>
      </c>
      <c r="E89" s="1" t="s">
        <v>11</v>
      </c>
      <c r="F89" s="1" t="s">
        <v>1262</v>
      </c>
      <c r="G89" s="1" t="s">
        <v>1327</v>
      </c>
      <c r="I89" s="4">
        <v>58</v>
      </c>
      <c r="J89" s="11">
        <v>2.23</v>
      </c>
      <c r="L89" s="11">
        <f t="shared" si="2"/>
        <v>0.34830486304816066</v>
      </c>
      <c r="M89" s="11">
        <f>GraphPerfringens!$E$10-('C perfringens'!I89-GraphPerfringens!$E$6)/GraphPerfringens!$E$5</f>
        <v>0.75285146754749777</v>
      </c>
      <c r="N89" s="1" t="s">
        <v>814</v>
      </c>
      <c r="O89" s="1">
        <v>2001</v>
      </c>
      <c r="P89" t="s">
        <v>813</v>
      </c>
      <c r="W89" s="10">
        <f>GraphPerfringens!$B$39*'C perfringens'!I89+GraphPerfringens!$B$40</f>
        <v>0.76561604381303283</v>
      </c>
      <c r="Y89" s="10">
        <f>GraphPerfringens!$H$39*'C perfringens'!I89+GraphPerfringens!$H$40</f>
        <v>0.75285146754749732</v>
      </c>
    </row>
    <row r="90" spans="1:25" x14ac:dyDescent="0.2">
      <c r="A90" s="1" t="s">
        <v>1228</v>
      </c>
      <c r="B90" s="1" t="s">
        <v>1322</v>
      </c>
      <c r="C90" t="s">
        <v>811</v>
      </c>
      <c r="D90" s="1" t="s">
        <v>1328</v>
      </c>
      <c r="E90" s="1" t="s">
        <v>11</v>
      </c>
      <c r="F90" s="1" t="s">
        <v>1262</v>
      </c>
      <c r="G90" s="1" t="s">
        <v>1327</v>
      </c>
      <c r="I90" s="4">
        <v>58</v>
      </c>
      <c r="J90" s="11">
        <v>1.95</v>
      </c>
      <c r="L90" s="11">
        <f t="shared" si="2"/>
        <v>0.29003461136251801</v>
      </c>
      <c r="M90" s="11">
        <f>GraphPerfringens!$E$10-('C perfringens'!I90-GraphPerfringens!$E$6)/GraphPerfringens!$E$5</f>
        <v>0.75285146754749777</v>
      </c>
      <c r="N90" s="1" t="s">
        <v>814</v>
      </c>
      <c r="O90" s="1">
        <v>2001</v>
      </c>
      <c r="P90" t="s">
        <v>813</v>
      </c>
      <c r="W90" s="10">
        <f>GraphPerfringens!$B$39*'C perfringens'!I90+GraphPerfringens!$B$40</f>
        <v>0.76561604381303283</v>
      </c>
      <c r="Y90" s="10">
        <f>GraphPerfringens!$H$39*'C perfringens'!I90+GraphPerfringens!$H$40</f>
        <v>0.75285146754749732</v>
      </c>
    </row>
    <row r="91" spans="1:25" x14ac:dyDescent="0.2">
      <c r="A91" s="1" t="s">
        <v>1228</v>
      </c>
      <c r="B91" s="1" t="s">
        <v>1322</v>
      </c>
      <c r="C91" t="s">
        <v>812</v>
      </c>
      <c r="D91" s="1" t="s">
        <v>1328</v>
      </c>
      <c r="E91" s="1" t="s">
        <v>11</v>
      </c>
      <c r="F91" s="1" t="s">
        <v>1262</v>
      </c>
      <c r="G91" s="1" t="s">
        <v>1327</v>
      </c>
      <c r="I91" s="4">
        <v>58</v>
      </c>
      <c r="J91" s="11">
        <v>1.73</v>
      </c>
      <c r="L91" s="11">
        <f t="shared" si="2"/>
        <v>0.2380461031287954</v>
      </c>
      <c r="M91" s="11">
        <f>GraphPerfringens!$E$10-('C perfringens'!I91-GraphPerfringens!$E$6)/GraphPerfringens!$E$5</f>
        <v>0.75285146754749777</v>
      </c>
      <c r="N91" s="1" t="s">
        <v>814</v>
      </c>
      <c r="O91" s="1">
        <v>2001</v>
      </c>
      <c r="P91" t="s">
        <v>813</v>
      </c>
      <c r="W91" s="10">
        <f>GraphPerfringens!$B$39*'C perfringens'!I91+GraphPerfringens!$B$40</f>
        <v>0.76561604381303283</v>
      </c>
      <c r="Y91" s="10">
        <f>GraphPerfringens!$H$39*'C perfringens'!I91+GraphPerfringens!$H$40</f>
        <v>0.75285146754749732</v>
      </c>
    </row>
    <row r="92" spans="1:25" x14ac:dyDescent="0.2">
      <c r="A92" s="1" t="s">
        <v>1228</v>
      </c>
      <c r="B92" s="1" t="s">
        <v>1322</v>
      </c>
      <c r="D92" s="1" t="s">
        <v>1328</v>
      </c>
      <c r="E92" s="1" t="s">
        <v>11</v>
      </c>
      <c r="F92" s="1" t="s">
        <v>1262</v>
      </c>
      <c r="G92" t="s">
        <v>1263</v>
      </c>
      <c r="I92" s="4">
        <v>60</v>
      </c>
      <c r="J92" s="11">
        <v>5.3</v>
      </c>
      <c r="L92" s="11">
        <f t="shared" si="2"/>
        <v>0.72427586960078905</v>
      </c>
      <c r="M92" s="11">
        <f>GraphPerfringens!$E$10-('C perfringens'!I92-GraphPerfringens!$E$6)/GraphPerfringens!$E$5</f>
        <v>0.55796238779851748</v>
      </c>
      <c r="N92" s="1" t="s">
        <v>814</v>
      </c>
      <c r="O92" s="1">
        <v>2001</v>
      </c>
      <c r="W92" s="10">
        <f>GraphPerfringens!$B$39*'C perfringens'!I92+GraphPerfringens!$B$40</f>
        <v>0.74844816448274987</v>
      </c>
      <c r="Y92" s="10">
        <f>GraphPerfringens!$H$39*'C perfringens'!I92+GraphPerfringens!$H$40</f>
        <v>0.5579623877985167</v>
      </c>
    </row>
    <row r="93" spans="1:25" x14ac:dyDescent="0.2">
      <c r="A93" s="1" t="s">
        <v>1228</v>
      </c>
      <c r="B93" s="1" t="s">
        <v>1322</v>
      </c>
      <c r="C93" s="1" t="s">
        <v>1417</v>
      </c>
      <c r="D93" s="1" t="s">
        <v>1328</v>
      </c>
      <c r="E93" s="1" t="s">
        <v>11</v>
      </c>
      <c r="F93" s="1" t="s">
        <v>1262</v>
      </c>
      <c r="G93" t="s">
        <v>1326</v>
      </c>
      <c r="I93" s="4">
        <v>60</v>
      </c>
      <c r="J93" s="11">
        <v>14.5</v>
      </c>
      <c r="L93" s="11">
        <f t="shared" si="2"/>
        <v>1.1613680022349748</v>
      </c>
      <c r="M93" s="11">
        <f>GraphPerfringens!$E$10-('C perfringens'!I93-GraphPerfringens!$E$6)/GraphPerfringens!$E$5</f>
        <v>0.55796238779851748</v>
      </c>
      <c r="N93" s="2" t="s">
        <v>1226</v>
      </c>
      <c r="O93" s="2">
        <v>1996</v>
      </c>
      <c r="P93" t="s">
        <v>1323</v>
      </c>
      <c r="W93" s="10">
        <f>GraphPerfringens!$B$39*'C perfringens'!I93+GraphPerfringens!$B$40</f>
        <v>0.74844816448274987</v>
      </c>
      <c r="Y93" s="10">
        <f>GraphPerfringens!$H$39*'C perfringens'!I93+GraphPerfringens!$H$40</f>
        <v>0.5579623877985167</v>
      </c>
    </row>
    <row r="94" spans="1:25" x14ac:dyDescent="0.2">
      <c r="A94" s="1" t="s">
        <v>1228</v>
      </c>
      <c r="B94" s="1" t="s">
        <v>1322</v>
      </c>
      <c r="D94" s="1" t="s">
        <v>1328</v>
      </c>
      <c r="E94" s="1" t="s">
        <v>11</v>
      </c>
      <c r="F94" s="1" t="s">
        <v>1262</v>
      </c>
      <c r="G94" t="s">
        <v>1263</v>
      </c>
      <c r="I94" s="4">
        <v>62.5</v>
      </c>
      <c r="J94" s="11">
        <v>1.6</v>
      </c>
      <c r="L94" s="11">
        <f t="shared" si="2"/>
        <v>0.20411998265592479</v>
      </c>
      <c r="M94" s="11">
        <f>GraphPerfringens!$E$10-('C perfringens'!I94-GraphPerfringens!$E$6)/GraphPerfringens!$E$5</f>
        <v>0.31435103811229226</v>
      </c>
      <c r="N94" s="1" t="s">
        <v>814</v>
      </c>
      <c r="O94" s="1">
        <v>2001</v>
      </c>
      <c r="W94" s="10">
        <f>GraphPerfringens!$B$39*'C perfringens'!I94+GraphPerfringens!$B$40</f>
        <v>0.72698831531989616</v>
      </c>
      <c r="Y94" s="10">
        <f>GraphPerfringens!$H$39*'C perfringens'!I94+GraphPerfringens!$H$40</f>
        <v>0.31435103811229137</v>
      </c>
    </row>
    <row r="95" spans="1:25" x14ac:dyDescent="0.2">
      <c r="A95" s="1" t="s">
        <v>1228</v>
      </c>
      <c r="B95" s="1" t="s">
        <v>1322</v>
      </c>
      <c r="D95" s="1" t="s">
        <v>1328</v>
      </c>
      <c r="E95" s="1" t="s">
        <v>11</v>
      </c>
      <c r="F95" t="s">
        <v>1262</v>
      </c>
      <c r="G95" t="s">
        <v>970</v>
      </c>
      <c r="H95" s="4">
        <v>6.2</v>
      </c>
      <c r="I95" s="4">
        <v>55</v>
      </c>
      <c r="J95" s="11">
        <f>21.6</f>
        <v>21.6</v>
      </c>
      <c r="L95" s="11">
        <f t="shared" si="2"/>
        <v>1.3344537511509309</v>
      </c>
      <c r="M95" s="11">
        <f>GraphPerfringens!$E$10-('C perfringens'!I95-GraphPerfringens!$E$6)/GraphPerfringens!$E$5</f>
        <v>1.0451850871709683</v>
      </c>
      <c r="N95" s="1" t="s">
        <v>814</v>
      </c>
      <c r="O95" s="1">
        <v>1998</v>
      </c>
      <c r="W95" s="10">
        <f>GraphPerfringens!$B$39*'C perfringens'!I95+GraphPerfringens!$B$40</f>
        <v>0.79136786280845728</v>
      </c>
      <c r="Y95" s="10">
        <f>GraphPerfringens!$H$39*'C perfringens'!I95+GraphPerfringens!$H$40</f>
        <v>1.0451850871709674</v>
      </c>
    </row>
    <row r="96" spans="1:25" x14ac:dyDescent="0.2">
      <c r="A96" s="1" t="s">
        <v>1228</v>
      </c>
      <c r="B96" s="1" t="s">
        <v>1322</v>
      </c>
      <c r="D96" s="1" t="s">
        <v>1328</v>
      </c>
      <c r="E96" s="1" t="s">
        <v>11</v>
      </c>
      <c r="F96" t="s">
        <v>1262</v>
      </c>
      <c r="G96" t="s">
        <v>970</v>
      </c>
      <c r="H96" s="4">
        <v>6.2</v>
      </c>
      <c r="I96" s="4">
        <v>57.5</v>
      </c>
      <c r="J96" s="11">
        <f>10.2</f>
        <v>10.199999999999999</v>
      </c>
      <c r="L96" s="11">
        <f t="shared" si="2"/>
        <v>1.0086001717619175</v>
      </c>
      <c r="M96" s="11">
        <f>GraphPerfringens!$E$10-('C perfringens'!I96-GraphPerfringens!$E$6)/GraphPerfringens!$E$5</f>
        <v>0.80157373748474292</v>
      </c>
      <c r="N96" s="1" t="s">
        <v>814</v>
      </c>
      <c r="O96" s="1">
        <v>1998</v>
      </c>
      <c r="W96" s="10">
        <f>GraphPerfringens!$B$39*'C perfringens'!I96+GraphPerfringens!$B$40</f>
        <v>0.76990801364560357</v>
      </c>
      <c r="Y96" s="10">
        <f>GraphPerfringens!$H$39*'C perfringens'!I96+GraphPerfringens!$H$40</f>
        <v>0.80157373748474203</v>
      </c>
    </row>
    <row r="97" spans="1:25" x14ac:dyDescent="0.2">
      <c r="A97" s="1" t="s">
        <v>1228</v>
      </c>
      <c r="B97" s="1" t="s">
        <v>1322</v>
      </c>
      <c r="D97" s="1" t="s">
        <v>1328</v>
      </c>
      <c r="E97" s="1" t="s">
        <v>11</v>
      </c>
      <c r="F97" t="s">
        <v>1262</v>
      </c>
      <c r="G97" t="s">
        <v>970</v>
      </c>
      <c r="H97" s="4">
        <v>6.2</v>
      </c>
      <c r="I97" s="4">
        <v>60</v>
      </c>
      <c r="J97" s="11">
        <v>5.3</v>
      </c>
      <c r="L97" s="11">
        <f t="shared" si="2"/>
        <v>0.72427586960078905</v>
      </c>
      <c r="M97" s="11">
        <f>GraphPerfringens!$E$10-('C perfringens'!I97-GraphPerfringens!$E$6)/GraphPerfringens!$E$5</f>
        <v>0.55796238779851748</v>
      </c>
      <c r="N97" s="1" t="s">
        <v>814</v>
      </c>
      <c r="O97" s="1">
        <v>1998</v>
      </c>
      <c r="W97" s="10">
        <f>GraphPerfringens!$B$39*'C perfringens'!I97+GraphPerfringens!$B$40</f>
        <v>0.74844816448274987</v>
      </c>
      <c r="Y97" s="10">
        <f>GraphPerfringens!$H$39*'C perfringens'!I97+GraphPerfringens!$H$40</f>
        <v>0.5579623877985167</v>
      </c>
    </row>
    <row r="98" spans="1:25" x14ac:dyDescent="0.2">
      <c r="A98" s="1" t="s">
        <v>1228</v>
      </c>
      <c r="B98" s="1" t="s">
        <v>1322</v>
      </c>
      <c r="D98" s="1" t="s">
        <v>1328</v>
      </c>
      <c r="E98" s="1" t="s">
        <v>11</v>
      </c>
      <c r="F98" t="s">
        <v>1262</v>
      </c>
      <c r="G98" t="s">
        <v>970</v>
      </c>
      <c r="H98" s="4">
        <v>6.2</v>
      </c>
      <c r="I98" s="4">
        <v>62.5</v>
      </c>
      <c r="J98" s="11">
        <v>1.6</v>
      </c>
      <c r="L98" s="11">
        <f t="shared" si="2"/>
        <v>0.20411998265592479</v>
      </c>
      <c r="M98" s="11">
        <f>GraphPerfringens!$E$10-('C perfringens'!I98-GraphPerfringens!$E$6)/GraphPerfringens!$E$5</f>
        <v>0.31435103811229226</v>
      </c>
      <c r="N98" s="1" t="s">
        <v>814</v>
      </c>
      <c r="O98" s="1">
        <v>1998</v>
      </c>
      <c r="W98" s="10">
        <f>GraphPerfringens!$B$39*'C perfringens'!I98+GraphPerfringens!$B$40</f>
        <v>0.72698831531989616</v>
      </c>
      <c r="Y98" s="10">
        <f>GraphPerfringens!$H$39*'C perfringens'!I98+GraphPerfringens!$H$40</f>
        <v>0.31435103811229137</v>
      </c>
    </row>
    <row r="99" spans="1:25" x14ac:dyDescent="0.2">
      <c r="A99" s="1" t="s">
        <v>1228</v>
      </c>
      <c r="B99" s="1" t="s">
        <v>1322</v>
      </c>
      <c r="D99" s="1" t="s">
        <v>1328</v>
      </c>
      <c r="E99" s="1" t="s">
        <v>11</v>
      </c>
      <c r="F99" t="s">
        <v>1262</v>
      </c>
      <c r="G99" t="s">
        <v>976</v>
      </c>
      <c r="H99" s="4">
        <v>6.2</v>
      </c>
      <c r="I99" s="4">
        <v>55</v>
      </c>
      <c r="J99" s="11">
        <f>17.9</f>
        <v>17.899999999999999</v>
      </c>
      <c r="L99" s="11">
        <f t="shared" si="2"/>
        <v>1.2528530309798931</v>
      </c>
      <c r="M99" s="11">
        <f>GraphPerfringens!$E$10-('C perfringens'!I99-GraphPerfringens!$E$6)/GraphPerfringens!$E$5</f>
        <v>1.0451850871709683</v>
      </c>
      <c r="N99" s="1" t="s">
        <v>814</v>
      </c>
      <c r="O99" s="1">
        <v>1998</v>
      </c>
      <c r="W99" s="10">
        <f>GraphPerfringens!$B$39*'C perfringens'!I99+GraphPerfringens!$B$40</f>
        <v>0.79136786280845728</v>
      </c>
      <c r="Y99" s="10">
        <f>GraphPerfringens!$H$39*'C perfringens'!I99+GraphPerfringens!$H$40</f>
        <v>1.0451850871709674</v>
      </c>
    </row>
    <row r="100" spans="1:25" x14ac:dyDescent="0.2">
      <c r="A100" s="1" t="s">
        <v>1228</v>
      </c>
      <c r="B100" s="1" t="s">
        <v>1322</v>
      </c>
      <c r="D100" s="1" t="s">
        <v>1328</v>
      </c>
      <c r="E100" s="1" t="s">
        <v>11</v>
      </c>
      <c r="F100" t="s">
        <v>1262</v>
      </c>
      <c r="G100" t="s">
        <v>976</v>
      </c>
      <c r="H100" s="4">
        <v>6.2</v>
      </c>
      <c r="I100" s="4">
        <v>57.5</v>
      </c>
      <c r="J100" s="11">
        <v>9.4</v>
      </c>
      <c r="L100" s="11">
        <f t="shared" si="2"/>
        <v>0.97312785359969867</v>
      </c>
      <c r="M100" s="11">
        <f>GraphPerfringens!$E$10-('C perfringens'!I100-GraphPerfringens!$E$6)/GraphPerfringens!$E$5</f>
        <v>0.80157373748474292</v>
      </c>
      <c r="N100" s="1" t="s">
        <v>814</v>
      </c>
      <c r="O100" s="1">
        <v>1998</v>
      </c>
      <c r="W100" s="10">
        <f>GraphPerfringens!$B$39*'C perfringens'!I100+GraphPerfringens!$B$40</f>
        <v>0.76990801364560357</v>
      </c>
      <c r="Y100" s="10">
        <f>GraphPerfringens!$H$39*'C perfringens'!I100+GraphPerfringens!$H$40</f>
        <v>0.80157373748474203</v>
      </c>
    </row>
    <row r="101" spans="1:25" x14ac:dyDescent="0.2">
      <c r="A101" s="1" t="s">
        <v>1228</v>
      </c>
      <c r="B101" s="1" t="s">
        <v>1322</v>
      </c>
      <c r="D101" s="1" t="s">
        <v>1328</v>
      </c>
      <c r="E101" s="1" t="s">
        <v>11</v>
      </c>
      <c r="F101" t="s">
        <v>1262</v>
      </c>
      <c r="G101" t="s">
        <v>976</v>
      </c>
      <c r="H101" s="4">
        <v>6.2</v>
      </c>
      <c r="I101" s="4">
        <v>60</v>
      </c>
      <c r="J101" s="11">
        <v>3.5</v>
      </c>
      <c r="L101" s="11">
        <f t="shared" si="2"/>
        <v>0.54406804435027567</v>
      </c>
      <c r="M101" s="11">
        <f>GraphPerfringens!$E$10-('C perfringens'!I101-GraphPerfringens!$E$6)/GraphPerfringens!$E$5</f>
        <v>0.55796238779851748</v>
      </c>
      <c r="N101" s="1" t="s">
        <v>814</v>
      </c>
      <c r="O101" s="1">
        <v>1998</v>
      </c>
      <c r="W101" s="10">
        <f>GraphPerfringens!$B$39*'C perfringens'!I101+GraphPerfringens!$B$40</f>
        <v>0.74844816448274987</v>
      </c>
      <c r="Y101" s="10">
        <f>GraphPerfringens!$H$39*'C perfringens'!I101+GraphPerfringens!$H$40</f>
        <v>0.5579623877985167</v>
      </c>
    </row>
    <row r="102" spans="1:25" x14ac:dyDescent="0.2">
      <c r="A102" s="1" t="s">
        <v>1228</v>
      </c>
      <c r="B102" s="1" t="s">
        <v>1322</v>
      </c>
      <c r="D102" s="1" t="s">
        <v>1328</v>
      </c>
      <c r="E102" s="1" t="s">
        <v>11</v>
      </c>
      <c r="F102" t="s">
        <v>1262</v>
      </c>
      <c r="G102" t="s">
        <v>976</v>
      </c>
      <c r="H102" s="4">
        <v>6.2</v>
      </c>
      <c r="I102" s="4">
        <v>62.5</v>
      </c>
      <c r="J102" s="11">
        <v>1.2</v>
      </c>
      <c r="L102" s="11">
        <f t="shared" si="2"/>
        <v>7.9181246047624818E-2</v>
      </c>
      <c r="M102" s="11">
        <f>GraphPerfringens!$E$10-('C perfringens'!I102-GraphPerfringens!$E$6)/GraphPerfringens!$E$5</f>
        <v>0.31435103811229226</v>
      </c>
      <c r="N102" s="1" t="s">
        <v>814</v>
      </c>
      <c r="O102" s="1">
        <v>1998</v>
      </c>
      <c r="W102" s="10">
        <f>GraphPerfringens!$B$39*'C perfringens'!I102+GraphPerfringens!$B$40</f>
        <v>0.72698831531989616</v>
      </c>
      <c r="Y102" s="10">
        <f>GraphPerfringens!$H$39*'C perfringens'!I102+GraphPerfringens!$H$40</f>
        <v>0.31435103811229137</v>
      </c>
    </row>
    <row r="103" spans="1:25" x14ac:dyDescent="0.2">
      <c r="A103" s="1" t="s">
        <v>1228</v>
      </c>
      <c r="B103" s="1" t="s">
        <v>1322</v>
      </c>
      <c r="D103" s="1" t="s">
        <v>1328</v>
      </c>
      <c r="E103" s="1" t="s">
        <v>11</v>
      </c>
      <c r="F103" t="s">
        <v>1262</v>
      </c>
      <c r="G103" t="s">
        <v>977</v>
      </c>
      <c r="H103" s="4">
        <v>6.2</v>
      </c>
      <c r="I103" s="4">
        <v>55</v>
      </c>
      <c r="J103" s="11">
        <f>16.2</f>
        <v>16.2</v>
      </c>
      <c r="L103" s="11">
        <f t="shared" si="2"/>
        <v>1.209515014542631</v>
      </c>
      <c r="M103" s="11">
        <f>GraphPerfringens!$E$10-('C perfringens'!I103-GraphPerfringens!$E$6)/GraphPerfringens!$E$5</f>
        <v>1.0451850871709683</v>
      </c>
      <c r="N103" s="1" t="s">
        <v>814</v>
      </c>
      <c r="O103" s="1">
        <v>1998</v>
      </c>
      <c r="W103" s="10">
        <f>GraphPerfringens!$B$39*'C perfringens'!I103+GraphPerfringens!$B$40</f>
        <v>0.79136786280845728</v>
      </c>
      <c r="Y103" s="10">
        <f>GraphPerfringens!$H$39*'C perfringens'!I103+GraphPerfringens!$H$40</f>
        <v>1.0451850871709674</v>
      </c>
    </row>
    <row r="104" spans="1:25" x14ac:dyDescent="0.2">
      <c r="A104" s="1" t="s">
        <v>1228</v>
      </c>
      <c r="B104" s="1" t="s">
        <v>1322</v>
      </c>
      <c r="D104" s="1" t="s">
        <v>1328</v>
      </c>
      <c r="E104" s="1" t="s">
        <v>11</v>
      </c>
      <c r="F104" t="s">
        <v>1262</v>
      </c>
      <c r="G104" t="s">
        <v>977</v>
      </c>
      <c r="H104" s="4">
        <v>6.2</v>
      </c>
      <c r="I104" s="4">
        <v>57.5</v>
      </c>
      <c r="J104" s="11">
        <f>7.8</f>
        <v>7.8</v>
      </c>
      <c r="L104" s="11">
        <f t="shared" si="2"/>
        <v>0.89209460269048035</v>
      </c>
      <c r="M104" s="11">
        <f>GraphPerfringens!$E$10-('C perfringens'!I104-GraphPerfringens!$E$6)/GraphPerfringens!$E$5</f>
        <v>0.80157373748474292</v>
      </c>
      <c r="N104" s="1" t="s">
        <v>814</v>
      </c>
      <c r="O104" s="1">
        <v>1998</v>
      </c>
      <c r="W104" s="10">
        <f>GraphPerfringens!$B$39*'C perfringens'!I104+GraphPerfringens!$B$40</f>
        <v>0.76990801364560357</v>
      </c>
      <c r="Y104" s="10">
        <f>GraphPerfringens!$H$39*'C perfringens'!I104+GraphPerfringens!$H$40</f>
        <v>0.80157373748474203</v>
      </c>
    </row>
    <row r="105" spans="1:25" x14ac:dyDescent="0.2">
      <c r="A105" s="1" t="s">
        <v>1228</v>
      </c>
      <c r="B105" s="1" t="s">
        <v>1322</v>
      </c>
      <c r="D105" s="1" t="s">
        <v>1328</v>
      </c>
      <c r="E105" s="1" t="s">
        <v>11</v>
      </c>
      <c r="F105" t="s">
        <v>1262</v>
      </c>
      <c r="G105" t="s">
        <v>977</v>
      </c>
      <c r="H105" s="4">
        <v>6.2</v>
      </c>
      <c r="I105" s="4">
        <v>60</v>
      </c>
      <c r="J105" s="11">
        <v>3</v>
      </c>
      <c r="L105" s="11">
        <f t="shared" si="2"/>
        <v>0.47712125471966244</v>
      </c>
      <c r="M105" s="11">
        <f>GraphPerfringens!$E$10-('C perfringens'!I105-GraphPerfringens!$E$6)/GraphPerfringens!$E$5</f>
        <v>0.55796238779851748</v>
      </c>
      <c r="N105" s="1" t="s">
        <v>814</v>
      </c>
      <c r="O105" s="1">
        <v>1998</v>
      </c>
      <c r="W105" s="10">
        <f>GraphPerfringens!$B$39*'C perfringens'!I105+GraphPerfringens!$B$40</f>
        <v>0.74844816448274987</v>
      </c>
      <c r="Y105" s="10">
        <f>GraphPerfringens!$H$39*'C perfringens'!I105+GraphPerfringens!$H$40</f>
        <v>0.5579623877985167</v>
      </c>
    </row>
    <row r="106" spans="1:25" x14ac:dyDescent="0.2">
      <c r="A106" s="1" t="s">
        <v>1228</v>
      </c>
      <c r="B106" s="1" t="s">
        <v>1322</v>
      </c>
      <c r="D106" s="1" t="s">
        <v>1328</v>
      </c>
      <c r="E106" s="1" t="s">
        <v>11</v>
      </c>
      <c r="F106" t="s">
        <v>1262</v>
      </c>
      <c r="G106" t="s">
        <v>977</v>
      </c>
      <c r="H106" s="4">
        <v>6.2</v>
      </c>
      <c r="I106" s="4">
        <v>62.5</v>
      </c>
      <c r="J106" s="11">
        <v>1</v>
      </c>
      <c r="L106" s="11">
        <f t="shared" si="2"/>
        <v>0</v>
      </c>
      <c r="M106" s="11">
        <f>GraphPerfringens!$E$10-('C perfringens'!I106-GraphPerfringens!$E$6)/GraphPerfringens!$E$5</f>
        <v>0.31435103811229226</v>
      </c>
      <c r="N106" s="1" t="s">
        <v>814</v>
      </c>
      <c r="O106" s="1">
        <v>1998</v>
      </c>
      <c r="W106" s="10">
        <f>GraphPerfringens!$B$39*'C perfringens'!I106+GraphPerfringens!$B$40</f>
        <v>0.72698831531989616</v>
      </c>
      <c r="Y106" s="10">
        <f>GraphPerfringens!$H$39*'C perfringens'!I106+GraphPerfringens!$H$40</f>
        <v>0.31435103811229137</v>
      </c>
    </row>
    <row r="107" spans="1:25" x14ac:dyDescent="0.2">
      <c r="A107" s="1" t="s">
        <v>1228</v>
      </c>
      <c r="B107" s="1" t="s">
        <v>1322</v>
      </c>
      <c r="C107" t="s">
        <v>805</v>
      </c>
      <c r="D107" s="1" t="s">
        <v>1328</v>
      </c>
      <c r="E107" s="1" t="s">
        <v>11</v>
      </c>
      <c r="F107" t="s">
        <v>1262</v>
      </c>
      <c r="G107" t="s">
        <v>651</v>
      </c>
      <c r="I107" s="4">
        <v>57</v>
      </c>
      <c r="J107" s="11">
        <v>8.1999999999999993</v>
      </c>
      <c r="L107" s="11">
        <f t="shared" si="2"/>
        <v>0.91381385238371671</v>
      </c>
      <c r="M107" s="11">
        <f>GraphPerfringens!$E$10-('C perfringens'!I107-GraphPerfringens!$E$6)/GraphPerfringens!$E$5</f>
        <v>0.85029600742198785</v>
      </c>
      <c r="N107" s="1" t="s">
        <v>659</v>
      </c>
      <c r="O107" s="1">
        <v>1981</v>
      </c>
      <c r="P107" t="s">
        <v>652</v>
      </c>
      <c r="W107" s="10"/>
      <c r="Y107" s="10"/>
    </row>
    <row r="108" spans="1:25" x14ac:dyDescent="0.2">
      <c r="A108" s="1" t="s">
        <v>1228</v>
      </c>
      <c r="B108" s="1" t="s">
        <v>1322</v>
      </c>
      <c r="C108" t="s">
        <v>805</v>
      </c>
      <c r="D108" s="1" t="s">
        <v>1328</v>
      </c>
      <c r="E108" s="1" t="s">
        <v>11</v>
      </c>
      <c r="F108" t="s">
        <v>1262</v>
      </c>
      <c r="G108" t="s">
        <v>651</v>
      </c>
      <c r="I108" s="4">
        <v>57</v>
      </c>
      <c r="J108" s="11">
        <v>7.9</v>
      </c>
      <c r="L108" s="11">
        <f t="shared" ref="L108:L171" si="3">LOG(J108)</f>
        <v>0.89762709129044149</v>
      </c>
      <c r="M108" s="11">
        <f>GraphPerfringens!$E$10-('C perfringens'!I108-GraphPerfringens!$E$6)/GraphPerfringens!$E$5</f>
        <v>0.85029600742198785</v>
      </c>
      <c r="N108" s="1" t="s">
        <v>659</v>
      </c>
      <c r="O108" s="1">
        <v>1981</v>
      </c>
      <c r="P108" t="s">
        <v>652</v>
      </c>
      <c r="W108" s="10"/>
      <c r="Y108" s="10"/>
    </row>
    <row r="109" spans="1:25" x14ac:dyDescent="0.2">
      <c r="A109" s="1" t="s">
        <v>1228</v>
      </c>
      <c r="B109" s="1" t="s">
        <v>1322</v>
      </c>
      <c r="C109" t="s">
        <v>805</v>
      </c>
      <c r="D109" s="1" t="s">
        <v>1328</v>
      </c>
      <c r="E109" s="1" t="s">
        <v>11</v>
      </c>
      <c r="F109" t="s">
        <v>1262</v>
      </c>
      <c r="G109" t="s">
        <v>651</v>
      </c>
      <c r="I109" s="4">
        <v>57</v>
      </c>
      <c r="J109" s="11">
        <v>5.9</v>
      </c>
      <c r="L109" s="11">
        <f t="shared" si="3"/>
        <v>0.77085201164214423</v>
      </c>
      <c r="M109" s="11">
        <f>GraphPerfringens!$E$10-('C perfringens'!I109-GraphPerfringens!$E$6)/GraphPerfringens!$E$5</f>
        <v>0.85029600742198785</v>
      </c>
      <c r="N109" s="1" t="s">
        <v>659</v>
      </c>
      <c r="O109" s="1">
        <v>1981</v>
      </c>
      <c r="P109" t="s">
        <v>652</v>
      </c>
      <c r="W109" s="10"/>
      <c r="Y109" s="10"/>
    </row>
    <row r="110" spans="1:25" x14ac:dyDescent="0.2">
      <c r="A110" s="1" t="s">
        <v>1228</v>
      </c>
      <c r="B110" s="1" t="s">
        <v>1322</v>
      </c>
      <c r="C110" t="s">
        <v>805</v>
      </c>
      <c r="D110" s="1" t="s">
        <v>1328</v>
      </c>
      <c r="E110" s="1" t="s">
        <v>11</v>
      </c>
      <c r="F110" t="s">
        <v>1262</v>
      </c>
      <c r="G110" t="s">
        <v>651</v>
      </c>
      <c r="I110" s="4">
        <v>57</v>
      </c>
      <c r="J110" s="11">
        <v>10.4</v>
      </c>
      <c r="L110" s="11">
        <f t="shared" si="3"/>
        <v>1.0170333392987803</v>
      </c>
      <c r="M110" s="11">
        <f>GraphPerfringens!$E$10-('C perfringens'!I110-GraphPerfringens!$E$6)/GraphPerfringens!$E$5</f>
        <v>0.85029600742198785</v>
      </c>
      <c r="N110" s="1" t="s">
        <v>659</v>
      </c>
      <c r="O110" s="1">
        <v>1981</v>
      </c>
      <c r="P110" t="s">
        <v>653</v>
      </c>
      <c r="W110" s="10"/>
      <c r="Y110" s="10"/>
    </row>
    <row r="111" spans="1:25" x14ac:dyDescent="0.2">
      <c r="A111" s="1" t="s">
        <v>1228</v>
      </c>
      <c r="B111" s="1" t="s">
        <v>1322</v>
      </c>
      <c r="C111" t="s">
        <v>805</v>
      </c>
      <c r="D111" s="1" t="s">
        <v>1328</v>
      </c>
      <c r="E111" s="1" t="s">
        <v>11</v>
      </c>
      <c r="F111" t="s">
        <v>1262</v>
      </c>
      <c r="G111" t="s">
        <v>651</v>
      </c>
      <c r="I111" s="4">
        <v>57</v>
      </c>
      <c r="J111" s="11">
        <v>10</v>
      </c>
      <c r="L111" s="11">
        <f t="shared" si="3"/>
        <v>1</v>
      </c>
      <c r="M111" s="11">
        <f>GraphPerfringens!$E$10-('C perfringens'!I111-GraphPerfringens!$E$6)/GraphPerfringens!$E$5</f>
        <v>0.85029600742198785</v>
      </c>
      <c r="N111" s="1" t="s">
        <v>659</v>
      </c>
      <c r="O111" s="1">
        <v>1981</v>
      </c>
      <c r="P111" t="s">
        <v>653</v>
      </c>
      <c r="W111" s="10"/>
      <c r="Y111" s="10"/>
    </row>
    <row r="112" spans="1:25" x14ac:dyDescent="0.2">
      <c r="A112" s="1" t="s">
        <v>1228</v>
      </c>
      <c r="B112" s="1" t="s">
        <v>1322</v>
      </c>
      <c r="C112" t="s">
        <v>805</v>
      </c>
      <c r="D112" s="1" t="s">
        <v>1328</v>
      </c>
      <c r="E112" s="1" t="s">
        <v>11</v>
      </c>
      <c r="F112" t="s">
        <v>1262</v>
      </c>
      <c r="G112" t="s">
        <v>651</v>
      </c>
      <c r="I112" s="4">
        <v>57</v>
      </c>
      <c r="J112" s="11">
        <v>15.3</v>
      </c>
      <c r="L112" s="11">
        <f t="shared" si="3"/>
        <v>1.1846914308175989</v>
      </c>
      <c r="M112" s="11">
        <f>GraphPerfringens!$E$10-('C perfringens'!I112-GraphPerfringens!$E$6)/GraphPerfringens!$E$5</f>
        <v>0.85029600742198785</v>
      </c>
      <c r="N112" s="1" t="s">
        <v>659</v>
      </c>
      <c r="O112" s="1">
        <v>1981</v>
      </c>
      <c r="P112" t="s">
        <v>656</v>
      </c>
      <c r="W112" s="10"/>
      <c r="Y112" s="10"/>
    </row>
    <row r="113" spans="1:25" x14ac:dyDescent="0.2">
      <c r="A113" s="1" t="s">
        <v>1228</v>
      </c>
      <c r="B113" s="1" t="s">
        <v>1322</v>
      </c>
      <c r="C113" t="s">
        <v>805</v>
      </c>
      <c r="D113" s="1" t="s">
        <v>1328</v>
      </c>
      <c r="E113" s="1" t="s">
        <v>11</v>
      </c>
      <c r="F113" t="s">
        <v>1262</v>
      </c>
      <c r="G113" t="s">
        <v>651</v>
      </c>
      <c r="I113" s="4">
        <v>57</v>
      </c>
      <c r="J113" s="11">
        <v>22.6</v>
      </c>
      <c r="L113" s="11">
        <f t="shared" si="3"/>
        <v>1.354108439147401</v>
      </c>
      <c r="M113" s="11">
        <f>GraphPerfringens!$E$10-('C perfringens'!I113-GraphPerfringens!$E$6)/GraphPerfringens!$E$5</f>
        <v>0.85029600742198785</v>
      </c>
      <c r="N113" s="1" t="s">
        <v>659</v>
      </c>
      <c r="O113" s="1">
        <v>1981</v>
      </c>
      <c r="P113" t="s">
        <v>656</v>
      </c>
      <c r="W113" s="10"/>
      <c r="Y113" s="10"/>
    </row>
    <row r="114" spans="1:25" x14ac:dyDescent="0.2">
      <c r="A114" s="1" t="s">
        <v>1228</v>
      </c>
      <c r="B114" s="1" t="s">
        <v>1322</v>
      </c>
      <c r="C114" t="s">
        <v>805</v>
      </c>
      <c r="D114" s="1" t="s">
        <v>1328</v>
      </c>
      <c r="E114" s="1" t="s">
        <v>11</v>
      </c>
      <c r="F114" t="s">
        <v>1262</v>
      </c>
      <c r="G114" t="s">
        <v>651</v>
      </c>
      <c r="I114" s="4">
        <v>57</v>
      </c>
      <c r="J114" s="11">
        <v>14.8</v>
      </c>
      <c r="L114" s="11">
        <f t="shared" si="3"/>
        <v>1.1702617153949575</v>
      </c>
      <c r="M114" s="11">
        <f>GraphPerfringens!$E$10-('C perfringens'!I114-GraphPerfringens!$E$6)/GraphPerfringens!$E$5</f>
        <v>0.85029600742198785</v>
      </c>
      <c r="N114" s="1" t="s">
        <v>659</v>
      </c>
      <c r="O114" s="1">
        <v>1981</v>
      </c>
      <c r="P114" t="s">
        <v>656</v>
      </c>
      <c r="W114" s="10"/>
      <c r="Y114" s="10"/>
    </row>
    <row r="115" spans="1:25" x14ac:dyDescent="0.2">
      <c r="A115" s="1" t="s">
        <v>1228</v>
      </c>
      <c r="B115" s="1" t="s">
        <v>1322</v>
      </c>
      <c r="C115" t="s">
        <v>805</v>
      </c>
      <c r="D115" s="1" t="s">
        <v>1328</v>
      </c>
      <c r="E115" s="1" t="s">
        <v>11</v>
      </c>
      <c r="F115" t="s">
        <v>1262</v>
      </c>
      <c r="G115" t="s">
        <v>651</v>
      </c>
      <c r="I115" s="4">
        <v>59</v>
      </c>
      <c r="J115" s="11">
        <v>2.4</v>
      </c>
      <c r="L115" s="11">
        <f t="shared" si="3"/>
        <v>0.38021124171160603</v>
      </c>
      <c r="M115" s="11">
        <f>GraphPerfringens!$E$10-('C perfringens'!I115-GraphPerfringens!$E$6)/GraphPerfringens!$E$5</f>
        <v>0.65540692767300768</v>
      </c>
      <c r="N115" s="1" t="s">
        <v>659</v>
      </c>
      <c r="O115" s="1">
        <v>1981</v>
      </c>
      <c r="P115" t="s">
        <v>652</v>
      </c>
      <c r="W115" s="10"/>
      <c r="Y115" s="10"/>
    </row>
    <row r="116" spans="1:25" x14ac:dyDescent="0.2">
      <c r="A116" s="1" t="s">
        <v>1228</v>
      </c>
      <c r="B116" s="1" t="s">
        <v>1322</v>
      </c>
      <c r="C116" t="s">
        <v>805</v>
      </c>
      <c r="D116" s="1" t="s">
        <v>1328</v>
      </c>
      <c r="E116" s="1" t="s">
        <v>11</v>
      </c>
      <c r="F116" t="s">
        <v>1262</v>
      </c>
      <c r="G116" t="s">
        <v>651</v>
      </c>
      <c r="I116" s="4">
        <v>59</v>
      </c>
      <c r="J116" s="11">
        <v>2.2000000000000002</v>
      </c>
      <c r="L116" s="11">
        <f t="shared" si="3"/>
        <v>0.34242268082220628</v>
      </c>
      <c r="M116" s="11">
        <f>GraphPerfringens!$E$10-('C perfringens'!I116-GraphPerfringens!$E$6)/GraphPerfringens!$E$5</f>
        <v>0.65540692767300768</v>
      </c>
      <c r="N116" s="1" t="s">
        <v>659</v>
      </c>
      <c r="O116" s="1">
        <v>1981</v>
      </c>
      <c r="P116" t="s">
        <v>652</v>
      </c>
      <c r="W116" s="10"/>
      <c r="Y116" s="10"/>
    </row>
    <row r="117" spans="1:25" x14ac:dyDescent="0.2">
      <c r="A117" s="1" t="s">
        <v>1228</v>
      </c>
      <c r="B117" s="1" t="s">
        <v>1322</v>
      </c>
      <c r="C117" t="s">
        <v>805</v>
      </c>
      <c r="D117" s="1" t="s">
        <v>1328</v>
      </c>
      <c r="E117" s="1" t="s">
        <v>11</v>
      </c>
      <c r="F117" t="s">
        <v>1262</v>
      </c>
      <c r="G117" t="s">
        <v>651</v>
      </c>
      <c r="I117" s="4">
        <v>59</v>
      </c>
      <c r="J117" s="11">
        <v>2</v>
      </c>
      <c r="L117" s="11">
        <f t="shared" si="3"/>
        <v>0.3010299956639812</v>
      </c>
      <c r="M117" s="11">
        <f>GraphPerfringens!$E$10-('C perfringens'!I117-GraphPerfringens!$E$6)/GraphPerfringens!$E$5</f>
        <v>0.65540692767300768</v>
      </c>
      <c r="N117" s="1" t="s">
        <v>659</v>
      </c>
      <c r="O117" s="1">
        <v>1981</v>
      </c>
      <c r="P117" t="s">
        <v>653</v>
      </c>
      <c r="W117" s="10"/>
      <c r="Y117" s="10"/>
    </row>
    <row r="118" spans="1:25" x14ac:dyDescent="0.2">
      <c r="A118" s="1" t="s">
        <v>1228</v>
      </c>
      <c r="B118" s="1" t="s">
        <v>1322</v>
      </c>
      <c r="C118" t="s">
        <v>805</v>
      </c>
      <c r="D118" s="1" t="s">
        <v>1328</v>
      </c>
      <c r="E118" s="1" t="s">
        <v>11</v>
      </c>
      <c r="F118" t="s">
        <v>1262</v>
      </c>
      <c r="G118" t="s">
        <v>651</v>
      </c>
      <c r="I118" s="4">
        <v>59</v>
      </c>
      <c r="J118" s="11">
        <v>3.5</v>
      </c>
      <c r="L118" s="11">
        <f t="shared" si="3"/>
        <v>0.54406804435027567</v>
      </c>
      <c r="M118" s="11">
        <f>GraphPerfringens!$E$10-('C perfringens'!I118-GraphPerfringens!$E$6)/GraphPerfringens!$E$5</f>
        <v>0.65540692767300768</v>
      </c>
      <c r="N118" s="1" t="s">
        <v>659</v>
      </c>
      <c r="O118" s="1">
        <v>1981</v>
      </c>
      <c r="P118" t="s">
        <v>653</v>
      </c>
      <c r="W118" s="10"/>
      <c r="Y118" s="10"/>
    </row>
    <row r="119" spans="1:25" x14ac:dyDescent="0.2">
      <c r="A119" s="1" t="s">
        <v>1228</v>
      </c>
      <c r="B119" s="1" t="s">
        <v>1322</v>
      </c>
      <c r="C119" t="s">
        <v>805</v>
      </c>
      <c r="D119" s="1" t="s">
        <v>1328</v>
      </c>
      <c r="E119" s="1" t="s">
        <v>11</v>
      </c>
      <c r="F119" t="s">
        <v>1262</v>
      </c>
      <c r="G119" t="s">
        <v>651</v>
      </c>
      <c r="I119" s="4">
        <v>59</v>
      </c>
      <c r="J119" s="11">
        <v>3.8</v>
      </c>
      <c r="L119" s="11">
        <f t="shared" si="3"/>
        <v>0.57978359661681012</v>
      </c>
      <c r="M119" s="11">
        <f>GraphPerfringens!$E$10-('C perfringens'!I119-GraphPerfringens!$E$6)/GraphPerfringens!$E$5</f>
        <v>0.65540692767300768</v>
      </c>
      <c r="N119" s="1" t="s">
        <v>659</v>
      </c>
      <c r="O119" s="1">
        <v>1981</v>
      </c>
      <c r="P119" t="s">
        <v>653</v>
      </c>
      <c r="W119" s="10"/>
      <c r="Y119" s="10"/>
    </row>
    <row r="120" spans="1:25" x14ac:dyDescent="0.2">
      <c r="A120" s="1" t="s">
        <v>1228</v>
      </c>
      <c r="B120" s="1" t="s">
        <v>1322</v>
      </c>
      <c r="C120" t="s">
        <v>805</v>
      </c>
      <c r="D120" s="1" t="s">
        <v>1328</v>
      </c>
      <c r="E120" s="1" t="s">
        <v>11</v>
      </c>
      <c r="F120" t="s">
        <v>1262</v>
      </c>
      <c r="G120" t="s">
        <v>651</v>
      </c>
      <c r="I120" s="4">
        <v>59</v>
      </c>
      <c r="J120" s="11">
        <v>4.4000000000000004</v>
      </c>
      <c r="L120" s="11">
        <f t="shared" si="3"/>
        <v>0.64345267648618742</v>
      </c>
      <c r="M120" s="11">
        <f>GraphPerfringens!$E$10-('C perfringens'!I120-GraphPerfringens!$E$6)/GraphPerfringens!$E$5</f>
        <v>0.65540692767300768</v>
      </c>
      <c r="N120" s="1" t="s">
        <v>659</v>
      </c>
      <c r="O120" s="1">
        <v>1981</v>
      </c>
      <c r="P120" t="s">
        <v>653</v>
      </c>
      <c r="W120" s="10"/>
      <c r="Y120" s="10"/>
    </row>
    <row r="121" spans="1:25" x14ac:dyDescent="0.2">
      <c r="A121" s="1" t="s">
        <v>1228</v>
      </c>
      <c r="B121" s="1" t="s">
        <v>1322</v>
      </c>
      <c r="C121" t="s">
        <v>805</v>
      </c>
      <c r="D121" s="1" t="s">
        <v>1328</v>
      </c>
      <c r="E121" s="1" t="s">
        <v>11</v>
      </c>
      <c r="F121" t="s">
        <v>1262</v>
      </c>
      <c r="G121" t="s">
        <v>651</v>
      </c>
      <c r="I121" s="4">
        <v>59</v>
      </c>
      <c r="J121" s="11">
        <v>6.3</v>
      </c>
      <c r="L121" s="11">
        <f t="shared" si="3"/>
        <v>0.79934054945358168</v>
      </c>
      <c r="M121" s="11">
        <f>GraphPerfringens!$E$10-('C perfringens'!I121-GraphPerfringens!$E$6)/GraphPerfringens!$E$5</f>
        <v>0.65540692767300768</v>
      </c>
      <c r="N121" s="1" t="s">
        <v>659</v>
      </c>
      <c r="O121" s="1">
        <v>1981</v>
      </c>
      <c r="P121" t="s">
        <v>654</v>
      </c>
      <c r="W121" s="10"/>
      <c r="Y121" s="10"/>
    </row>
    <row r="122" spans="1:25" x14ac:dyDescent="0.2">
      <c r="A122" s="1" t="s">
        <v>1228</v>
      </c>
      <c r="B122" s="1" t="s">
        <v>1322</v>
      </c>
      <c r="C122" t="s">
        <v>805</v>
      </c>
      <c r="D122" s="1" t="s">
        <v>1328</v>
      </c>
      <c r="E122" s="1" t="s">
        <v>11</v>
      </c>
      <c r="F122" t="s">
        <v>1262</v>
      </c>
      <c r="G122" t="s">
        <v>651</v>
      </c>
      <c r="I122" s="4">
        <v>59</v>
      </c>
      <c r="J122" s="11">
        <v>7.5</v>
      </c>
      <c r="L122" s="11">
        <f t="shared" si="3"/>
        <v>0.87506126339170009</v>
      </c>
      <c r="M122" s="11">
        <f>GraphPerfringens!$E$10-('C perfringens'!I122-GraphPerfringens!$E$6)/GraphPerfringens!$E$5</f>
        <v>0.65540692767300768</v>
      </c>
      <c r="N122" s="1" t="s">
        <v>659</v>
      </c>
      <c r="O122" s="1">
        <v>1981</v>
      </c>
      <c r="P122" t="s">
        <v>654</v>
      </c>
      <c r="W122" s="10"/>
      <c r="Y122" s="10"/>
    </row>
    <row r="123" spans="1:25" x14ac:dyDescent="0.2">
      <c r="A123" s="1" t="s">
        <v>1228</v>
      </c>
      <c r="B123" s="1" t="s">
        <v>1322</v>
      </c>
      <c r="C123" t="s">
        <v>825</v>
      </c>
      <c r="D123" s="1" t="s">
        <v>1328</v>
      </c>
      <c r="E123" s="1" t="s">
        <v>11</v>
      </c>
      <c r="F123" t="s">
        <v>1262</v>
      </c>
      <c r="G123" t="s">
        <v>651</v>
      </c>
      <c r="I123" s="4">
        <v>57</v>
      </c>
      <c r="J123" s="11">
        <v>12.4</v>
      </c>
      <c r="L123" s="11">
        <f t="shared" si="3"/>
        <v>1.0934216851622351</v>
      </c>
      <c r="M123" s="11">
        <f>GraphPerfringens!$E$10-('C perfringens'!I123-GraphPerfringens!$E$6)/GraphPerfringens!$E$5</f>
        <v>0.85029600742198785</v>
      </c>
      <c r="N123" s="1" t="s">
        <v>659</v>
      </c>
      <c r="O123" s="1">
        <v>1981</v>
      </c>
      <c r="P123" t="s">
        <v>652</v>
      </c>
      <c r="W123" s="10"/>
      <c r="Y123" s="10"/>
    </row>
    <row r="124" spans="1:25" x14ac:dyDescent="0.2">
      <c r="A124" s="1" t="s">
        <v>1228</v>
      </c>
      <c r="B124" s="1" t="s">
        <v>1322</v>
      </c>
      <c r="C124" t="s">
        <v>825</v>
      </c>
      <c r="D124" s="1" t="s">
        <v>1328</v>
      </c>
      <c r="E124" s="1" t="s">
        <v>11</v>
      </c>
      <c r="F124" t="s">
        <v>1262</v>
      </c>
      <c r="G124" t="s">
        <v>651</v>
      </c>
      <c r="I124" s="4">
        <v>57</v>
      </c>
      <c r="J124" s="11">
        <v>9.8000000000000007</v>
      </c>
      <c r="L124" s="11">
        <f t="shared" si="3"/>
        <v>0.99122607569249488</v>
      </c>
      <c r="M124" s="11">
        <f>GraphPerfringens!$E$10-('C perfringens'!I124-GraphPerfringens!$E$6)/GraphPerfringens!$E$5</f>
        <v>0.85029600742198785</v>
      </c>
      <c r="N124" s="1" t="s">
        <v>659</v>
      </c>
      <c r="O124" s="1">
        <v>1981</v>
      </c>
      <c r="P124" t="s">
        <v>652</v>
      </c>
      <c r="W124" s="10"/>
      <c r="Y124" s="10"/>
    </row>
    <row r="125" spans="1:25" x14ac:dyDescent="0.2">
      <c r="A125" s="1" t="s">
        <v>1228</v>
      </c>
      <c r="B125" s="1" t="s">
        <v>1322</v>
      </c>
      <c r="C125" t="s">
        <v>825</v>
      </c>
      <c r="D125" s="1" t="s">
        <v>1328</v>
      </c>
      <c r="E125" s="1" t="s">
        <v>11</v>
      </c>
      <c r="F125" t="s">
        <v>1262</v>
      </c>
      <c r="G125" t="s">
        <v>651</v>
      </c>
      <c r="I125" s="4">
        <v>57</v>
      </c>
      <c r="J125" s="11">
        <v>10.9</v>
      </c>
      <c r="L125" s="11">
        <f t="shared" si="3"/>
        <v>1.0374264979406236</v>
      </c>
      <c r="M125" s="11">
        <f>GraphPerfringens!$E$10-('C perfringens'!I125-GraphPerfringens!$E$6)/GraphPerfringens!$E$5</f>
        <v>0.85029600742198785</v>
      </c>
      <c r="N125" s="1" t="s">
        <v>659</v>
      </c>
      <c r="O125" s="1">
        <v>1981</v>
      </c>
      <c r="P125" t="s">
        <v>653</v>
      </c>
      <c r="W125" s="10"/>
      <c r="Y125" s="10"/>
    </row>
    <row r="126" spans="1:25" x14ac:dyDescent="0.2">
      <c r="A126" s="1" t="s">
        <v>1228</v>
      </c>
      <c r="B126" s="1" t="s">
        <v>1322</v>
      </c>
      <c r="C126" t="s">
        <v>825</v>
      </c>
      <c r="D126" s="1" t="s">
        <v>1328</v>
      </c>
      <c r="E126" s="1" t="s">
        <v>11</v>
      </c>
      <c r="F126" t="s">
        <v>1262</v>
      </c>
      <c r="G126" t="s">
        <v>651</v>
      </c>
      <c r="I126" s="4">
        <v>57</v>
      </c>
      <c r="J126" s="11">
        <v>17.2</v>
      </c>
      <c r="L126" s="11">
        <f t="shared" si="3"/>
        <v>1.2355284469075489</v>
      </c>
      <c r="M126" s="11">
        <f>GraphPerfringens!$E$10-('C perfringens'!I126-GraphPerfringens!$E$6)/GraphPerfringens!$E$5</f>
        <v>0.85029600742198785</v>
      </c>
      <c r="N126" s="1" t="s">
        <v>659</v>
      </c>
      <c r="O126" s="1">
        <v>1981</v>
      </c>
      <c r="P126" t="s">
        <v>653</v>
      </c>
      <c r="W126" s="10"/>
      <c r="Y126" s="10"/>
    </row>
    <row r="127" spans="1:25" x14ac:dyDescent="0.2">
      <c r="A127" s="1" t="s">
        <v>1228</v>
      </c>
      <c r="B127" s="1" t="s">
        <v>1322</v>
      </c>
      <c r="C127" t="s">
        <v>825</v>
      </c>
      <c r="D127" s="1" t="s">
        <v>1328</v>
      </c>
      <c r="E127" s="1" t="s">
        <v>11</v>
      </c>
      <c r="F127" t="s">
        <v>1262</v>
      </c>
      <c r="G127" t="s">
        <v>651</v>
      </c>
      <c r="I127" s="4">
        <v>57</v>
      </c>
      <c r="J127" s="11">
        <v>17.7</v>
      </c>
      <c r="L127" s="11">
        <f t="shared" si="3"/>
        <v>1.2479732663618066</v>
      </c>
      <c r="M127" s="11">
        <f>GraphPerfringens!$E$10-('C perfringens'!I127-GraphPerfringens!$E$6)/GraphPerfringens!$E$5</f>
        <v>0.85029600742198785</v>
      </c>
      <c r="N127" s="1" t="s">
        <v>659</v>
      </c>
      <c r="O127" s="1">
        <v>1981</v>
      </c>
      <c r="P127" t="s">
        <v>656</v>
      </c>
      <c r="W127" s="10"/>
      <c r="Y127" s="10"/>
    </row>
    <row r="128" spans="1:25" x14ac:dyDescent="0.2">
      <c r="A128" s="1" t="s">
        <v>1228</v>
      </c>
      <c r="B128" s="1" t="s">
        <v>1322</v>
      </c>
      <c r="C128" t="s">
        <v>825</v>
      </c>
      <c r="D128" s="1" t="s">
        <v>1328</v>
      </c>
      <c r="E128" s="1" t="s">
        <v>11</v>
      </c>
      <c r="F128" t="s">
        <v>1262</v>
      </c>
      <c r="G128" t="s">
        <v>651</v>
      </c>
      <c r="I128" s="4">
        <v>57</v>
      </c>
      <c r="J128" s="11">
        <v>34.9</v>
      </c>
      <c r="L128" s="11">
        <f t="shared" si="3"/>
        <v>1.5428254269591799</v>
      </c>
      <c r="M128" s="11">
        <f>GraphPerfringens!$E$10-('C perfringens'!I128-GraphPerfringens!$E$6)/GraphPerfringens!$E$5</f>
        <v>0.85029600742198785</v>
      </c>
      <c r="N128" s="1" t="s">
        <v>659</v>
      </c>
      <c r="O128" s="1">
        <v>1981</v>
      </c>
      <c r="P128" t="s">
        <v>656</v>
      </c>
      <c r="W128" s="10"/>
      <c r="Y128" s="10"/>
    </row>
    <row r="129" spans="1:25" x14ac:dyDescent="0.2">
      <c r="A129" s="1" t="s">
        <v>1228</v>
      </c>
      <c r="B129" s="1" t="s">
        <v>1322</v>
      </c>
      <c r="C129" t="s">
        <v>825</v>
      </c>
      <c r="D129" s="1" t="s">
        <v>1328</v>
      </c>
      <c r="E129" s="1" t="s">
        <v>11</v>
      </c>
      <c r="F129" t="s">
        <v>1262</v>
      </c>
      <c r="G129" t="s">
        <v>651</v>
      </c>
      <c r="I129" s="4">
        <v>57</v>
      </c>
      <c r="J129" s="11">
        <v>23.1</v>
      </c>
      <c r="L129" s="11">
        <f t="shared" si="3"/>
        <v>1.3636119798921444</v>
      </c>
      <c r="M129" s="11">
        <f>GraphPerfringens!$E$10-('C perfringens'!I129-GraphPerfringens!$E$6)/GraphPerfringens!$E$5</f>
        <v>0.85029600742198785</v>
      </c>
      <c r="N129" s="1" t="s">
        <v>659</v>
      </c>
      <c r="O129" s="1">
        <v>1981</v>
      </c>
      <c r="P129" t="s">
        <v>656</v>
      </c>
      <c r="W129" s="10"/>
      <c r="Y129" s="10"/>
    </row>
    <row r="130" spans="1:25" x14ac:dyDescent="0.2">
      <c r="A130" s="1" t="s">
        <v>1228</v>
      </c>
      <c r="B130" s="1" t="s">
        <v>1322</v>
      </c>
      <c r="C130" t="s">
        <v>825</v>
      </c>
      <c r="D130" s="1" t="s">
        <v>1328</v>
      </c>
      <c r="E130" s="1" t="s">
        <v>11</v>
      </c>
      <c r="F130" t="s">
        <v>1262</v>
      </c>
      <c r="G130" t="s">
        <v>651</v>
      </c>
      <c r="I130" s="4">
        <v>59</v>
      </c>
      <c r="J130" s="11">
        <v>3.4</v>
      </c>
      <c r="L130" s="11">
        <f t="shared" si="3"/>
        <v>0.53147891704225514</v>
      </c>
      <c r="M130" s="11">
        <f>GraphPerfringens!$E$10-('C perfringens'!I130-GraphPerfringens!$E$6)/GraphPerfringens!$E$5</f>
        <v>0.65540692767300768</v>
      </c>
      <c r="N130" s="1" t="s">
        <v>659</v>
      </c>
      <c r="O130" s="1">
        <v>1981</v>
      </c>
      <c r="P130" t="s">
        <v>652</v>
      </c>
      <c r="W130" s="10"/>
      <c r="Y130" s="10"/>
    </row>
    <row r="131" spans="1:25" x14ac:dyDescent="0.2">
      <c r="A131" s="1" t="s">
        <v>1228</v>
      </c>
      <c r="B131" s="1" t="s">
        <v>1322</v>
      </c>
      <c r="C131" t="s">
        <v>825</v>
      </c>
      <c r="D131" s="1" t="s">
        <v>1328</v>
      </c>
      <c r="E131" s="1" t="s">
        <v>11</v>
      </c>
      <c r="F131" t="s">
        <v>1262</v>
      </c>
      <c r="G131" t="s">
        <v>651</v>
      </c>
      <c r="I131" s="4">
        <v>59</v>
      </c>
      <c r="J131" s="11">
        <v>2.8</v>
      </c>
      <c r="L131" s="11">
        <f t="shared" si="3"/>
        <v>0.44715803134221921</v>
      </c>
      <c r="M131" s="11">
        <f>GraphPerfringens!$E$10-('C perfringens'!I131-GraphPerfringens!$E$6)/GraphPerfringens!$E$5</f>
        <v>0.65540692767300768</v>
      </c>
      <c r="N131" s="1" t="s">
        <v>659</v>
      </c>
      <c r="O131" s="1">
        <v>1981</v>
      </c>
      <c r="P131" t="s">
        <v>652</v>
      </c>
      <c r="W131" s="10"/>
      <c r="Y131" s="10"/>
    </row>
    <row r="132" spans="1:25" x14ac:dyDescent="0.2">
      <c r="A132" s="1" t="s">
        <v>1228</v>
      </c>
      <c r="B132" s="1" t="s">
        <v>1322</v>
      </c>
      <c r="C132" t="s">
        <v>825</v>
      </c>
      <c r="D132" s="1" t="s">
        <v>1328</v>
      </c>
      <c r="E132" s="1" t="s">
        <v>11</v>
      </c>
      <c r="F132" t="s">
        <v>1262</v>
      </c>
      <c r="G132" t="s">
        <v>651</v>
      </c>
      <c r="I132" s="4">
        <v>59</v>
      </c>
      <c r="J132" s="11">
        <v>4.5</v>
      </c>
      <c r="L132" s="11">
        <f t="shared" si="3"/>
        <v>0.65321251377534373</v>
      </c>
      <c r="M132" s="11">
        <f>GraphPerfringens!$E$10-('C perfringens'!I132-GraphPerfringens!$E$6)/GraphPerfringens!$E$5</f>
        <v>0.65540692767300768</v>
      </c>
      <c r="N132" s="1" t="s">
        <v>659</v>
      </c>
      <c r="O132" s="1">
        <v>1981</v>
      </c>
      <c r="P132" t="s">
        <v>653</v>
      </c>
      <c r="W132" s="10"/>
      <c r="Y132" s="10"/>
    </row>
    <row r="133" spans="1:25" x14ac:dyDescent="0.2">
      <c r="A133" s="1" t="s">
        <v>1228</v>
      </c>
      <c r="B133" s="1" t="s">
        <v>1322</v>
      </c>
      <c r="C133" t="s">
        <v>825</v>
      </c>
      <c r="D133" s="1" t="s">
        <v>1328</v>
      </c>
      <c r="E133" s="1" t="s">
        <v>11</v>
      </c>
      <c r="F133" t="s">
        <v>1262</v>
      </c>
      <c r="G133" t="s">
        <v>651</v>
      </c>
      <c r="I133" s="4">
        <v>59</v>
      </c>
      <c r="J133" s="11">
        <v>4.3</v>
      </c>
      <c r="L133" s="11">
        <f t="shared" si="3"/>
        <v>0.63346845557958653</v>
      </c>
      <c r="M133" s="11">
        <f>GraphPerfringens!$E$10-('C perfringens'!I133-GraphPerfringens!$E$6)/GraphPerfringens!$E$5</f>
        <v>0.65540692767300768</v>
      </c>
      <c r="N133" s="1" t="s">
        <v>659</v>
      </c>
      <c r="O133" s="1">
        <v>1981</v>
      </c>
      <c r="P133" t="s">
        <v>653</v>
      </c>
      <c r="W133" s="10"/>
      <c r="Y133" s="10"/>
    </row>
    <row r="134" spans="1:25" x14ac:dyDescent="0.2">
      <c r="A134" s="1" t="s">
        <v>1228</v>
      </c>
      <c r="B134" s="1" t="s">
        <v>1322</v>
      </c>
      <c r="C134" t="s">
        <v>825</v>
      </c>
      <c r="D134" s="1" t="s">
        <v>1328</v>
      </c>
      <c r="E134" s="1" t="s">
        <v>11</v>
      </c>
      <c r="F134" t="s">
        <v>1262</v>
      </c>
      <c r="G134" t="s">
        <v>651</v>
      </c>
      <c r="I134" s="4">
        <v>59</v>
      </c>
      <c r="J134" s="11">
        <v>6.3</v>
      </c>
      <c r="L134" s="11">
        <f t="shared" si="3"/>
        <v>0.79934054945358168</v>
      </c>
      <c r="M134" s="11">
        <f>GraphPerfringens!$E$10-('C perfringens'!I134-GraphPerfringens!$E$6)/GraphPerfringens!$E$5</f>
        <v>0.65540692767300768</v>
      </c>
      <c r="N134" s="1" t="s">
        <v>659</v>
      </c>
      <c r="O134" s="1">
        <v>1981</v>
      </c>
      <c r="P134" t="s">
        <v>656</v>
      </c>
      <c r="W134" s="10"/>
      <c r="Y134" s="10"/>
    </row>
    <row r="135" spans="1:25" x14ac:dyDescent="0.2">
      <c r="A135" s="1" t="s">
        <v>1228</v>
      </c>
      <c r="B135" s="1" t="s">
        <v>1322</v>
      </c>
      <c r="C135" t="s">
        <v>825</v>
      </c>
      <c r="D135" s="1" t="s">
        <v>1328</v>
      </c>
      <c r="E135" s="1" t="s">
        <v>11</v>
      </c>
      <c r="F135" t="s">
        <v>1262</v>
      </c>
      <c r="G135" t="s">
        <v>651</v>
      </c>
      <c r="I135" s="4">
        <v>59</v>
      </c>
      <c r="J135" s="11">
        <v>8.1</v>
      </c>
      <c r="L135" s="11">
        <f t="shared" si="3"/>
        <v>0.90848501887864974</v>
      </c>
      <c r="M135" s="11">
        <f>GraphPerfringens!$E$10-('C perfringens'!I135-GraphPerfringens!$E$6)/GraphPerfringens!$E$5</f>
        <v>0.65540692767300768</v>
      </c>
      <c r="N135" s="1" t="s">
        <v>659</v>
      </c>
      <c r="O135" s="1">
        <v>1981</v>
      </c>
      <c r="P135" t="s">
        <v>656</v>
      </c>
      <c r="W135" s="10"/>
      <c r="Y135" s="10"/>
    </row>
    <row r="136" spans="1:25" x14ac:dyDescent="0.2">
      <c r="A136" s="1" t="s">
        <v>1228</v>
      </c>
      <c r="B136" s="1" t="s">
        <v>1322</v>
      </c>
      <c r="C136" t="s">
        <v>825</v>
      </c>
      <c r="D136" s="1" t="s">
        <v>1328</v>
      </c>
      <c r="E136" s="1" t="s">
        <v>11</v>
      </c>
      <c r="F136" t="s">
        <v>1262</v>
      </c>
      <c r="G136" t="s">
        <v>651</v>
      </c>
      <c r="I136" s="4">
        <v>59</v>
      </c>
      <c r="J136" s="11">
        <v>10.9</v>
      </c>
      <c r="L136" s="11">
        <f t="shared" si="3"/>
        <v>1.0374264979406236</v>
      </c>
      <c r="M136" s="11">
        <f>GraphPerfringens!$E$10-('C perfringens'!I136-GraphPerfringens!$E$6)/GraphPerfringens!$E$5</f>
        <v>0.65540692767300768</v>
      </c>
      <c r="N136" s="1" t="s">
        <v>659</v>
      </c>
      <c r="O136" s="1">
        <v>1981</v>
      </c>
      <c r="P136" t="s">
        <v>654</v>
      </c>
      <c r="W136" s="10"/>
      <c r="Y136" s="10"/>
    </row>
    <row r="137" spans="1:25" x14ac:dyDescent="0.2">
      <c r="A137" s="1" t="s">
        <v>1228</v>
      </c>
      <c r="B137" s="1" t="s">
        <v>1322</v>
      </c>
      <c r="C137" t="s">
        <v>825</v>
      </c>
      <c r="D137" s="1" t="s">
        <v>1328</v>
      </c>
      <c r="E137" s="1" t="s">
        <v>11</v>
      </c>
      <c r="F137" t="s">
        <v>1262</v>
      </c>
      <c r="G137" t="s">
        <v>651</v>
      </c>
      <c r="I137" s="4">
        <v>59</v>
      </c>
      <c r="J137" s="11">
        <v>10.3</v>
      </c>
      <c r="L137" s="11">
        <f t="shared" si="3"/>
        <v>1.0128372247051722</v>
      </c>
      <c r="M137" s="11">
        <f>GraphPerfringens!$E$10-('C perfringens'!I137-GraphPerfringens!$E$6)/GraphPerfringens!$E$5</f>
        <v>0.65540692767300768</v>
      </c>
      <c r="N137" s="1" t="s">
        <v>659</v>
      </c>
      <c r="O137" s="1">
        <v>1981</v>
      </c>
      <c r="P137" t="s">
        <v>654</v>
      </c>
      <c r="W137" s="10"/>
      <c r="Y137" s="10"/>
    </row>
    <row r="138" spans="1:25" x14ac:dyDescent="0.2">
      <c r="A138" s="1" t="s">
        <v>1228</v>
      </c>
      <c r="B138" s="1" t="s">
        <v>1322</v>
      </c>
      <c r="C138" t="s">
        <v>825</v>
      </c>
      <c r="D138" s="1" t="s">
        <v>1328</v>
      </c>
      <c r="E138" s="1" t="s">
        <v>11</v>
      </c>
      <c r="F138" t="s">
        <v>1262</v>
      </c>
      <c r="G138" t="s">
        <v>651</v>
      </c>
      <c r="I138" s="4">
        <v>55</v>
      </c>
      <c r="J138" s="11">
        <v>122</v>
      </c>
      <c r="L138" s="11">
        <f t="shared" si="3"/>
        <v>2.0863598306747484</v>
      </c>
      <c r="M138" s="11">
        <f>GraphPerfringens!$E$10-('C perfringens'!I138-GraphPerfringens!$E$6)/GraphPerfringens!$E$5</f>
        <v>1.0451850871709683</v>
      </c>
      <c r="N138" s="1" t="s">
        <v>659</v>
      </c>
      <c r="O138" s="1">
        <v>1981</v>
      </c>
      <c r="P138" t="s">
        <v>657</v>
      </c>
      <c r="W138" s="10"/>
      <c r="Y138" s="10"/>
    </row>
    <row r="139" spans="1:25" x14ac:dyDescent="0.2">
      <c r="A139" s="1" t="s">
        <v>1228</v>
      </c>
      <c r="B139" s="1" t="s">
        <v>1322</v>
      </c>
      <c r="C139" t="s">
        <v>825</v>
      </c>
      <c r="D139" s="1" t="s">
        <v>1328</v>
      </c>
      <c r="E139" s="1" t="s">
        <v>11</v>
      </c>
      <c r="F139" t="s">
        <v>1262</v>
      </c>
      <c r="G139" t="s">
        <v>651</v>
      </c>
      <c r="I139" s="4">
        <v>57</v>
      </c>
      <c r="J139" s="11">
        <v>18.600000000000001</v>
      </c>
      <c r="L139" s="11">
        <f t="shared" si="3"/>
        <v>1.2695129442179163</v>
      </c>
      <c r="M139" s="11">
        <f>GraphPerfringens!$E$10-('C perfringens'!I139-GraphPerfringens!$E$6)/GraphPerfringens!$E$5</f>
        <v>0.85029600742198785</v>
      </c>
      <c r="N139" s="1" t="s">
        <v>659</v>
      </c>
      <c r="O139" s="1">
        <v>1981</v>
      </c>
      <c r="P139" t="s">
        <v>657</v>
      </c>
      <c r="W139" s="10"/>
      <c r="Y139" s="10"/>
    </row>
    <row r="140" spans="1:25" x14ac:dyDescent="0.2">
      <c r="A140" s="1" t="s">
        <v>1228</v>
      </c>
      <c r="B140" s="1" t="s">
        <v>1322</v>
      </c>
      <c r="C140" t="s">
        <v>825</v>
      </c>
      <c r="D140" s="1" t="s">
        <v>1328</v>
      </c>
      <c r="E140" s="1" t="s">
        <v>11</v>
      </c>
      <c r="F140" t="s">
        <v>1262</v>
      </c>
      <c r="G140" t="s">
        <v>651</v>
      </c>
      <c r="I140" s="4">
        <v>57</v>
      </c>
      <c r="J140" s="11">
        <v>15.8</v>
      </c>
      <c r="L140" s="11">
        <f t="shared" si="3"/>
        <v>1.1986570869544226</v>
      </c>
      <c r="M140" s="11">
        <f>GraphPerfringens!$E$10-('C perfringens'!I140-GraphPerfringens!$E$6)/GraphPerfringens!$E$5</f>
        <v>0.85029600742198785</v>
      </c>
      <c r="N140" s="1" t="s">
        <v>659</v>
      </c>
      <c r="O140" s="1">
        <v>1981</v>
      </c>
      <c r="P140" t="s">
        <v>657</v>
      </c>
      <c r="W140" s="10"/>
      <c r="Y140" s="10"/>
    </row>
    <row r="141" spans="1:25" x14ac:dyDescent="0.2">
      <c r="A141" s="1" t="s">
        <v>1228</v>
      </c>
      <c r="B141" s="1" t="s">
        <v>1322</v>
      </c>
      <c r="C141" t="s">
        <v>825</v>
      </c>
      <c r="D141" s="1" t="s">
        <v>1328</v>
      </c>
      <c r="E141" s="1" t="s">
        <v>11</v>
      </c>
      <c r="F141" t="s">
        <v>1262</v>
      </c>
      <c r="G141" t="s">
        <v>651</v>
      </c>
      <c r="I141" s="4">
        <v>57</v>
      </c>
      <c r="J141" s="11">
        <v>16.600000000000001</v>
      </c>
      <c r="L141" s="11">
        <f t="shared" si="3"/>
        <v>1.2201080880400552</v>
      </c>
      <c r="M141" s="11">
        <f>GraphPerfringens!$E$10-('C perfringens'!I141-GraphPerfringens!$E$6)/GraphPerfringens!$E$5</f>
        <v>0.85029600742198785</v>
      </c>
      <c r="N141" s="1" t="s">
        <v>659</v>
      </c>
      <c r="O141" s="1">
        <v>1981</v>
      </c>
      <c r="P141" t="s">
        <v>657</v>
      </c>
      <c r="W141" s="10"/>
      <c r="Y141" s="10"/>
    </row>
    <row r="142" spans="1:25" x14ac:dyDescent="0.2">
      <c r="A142" s="1" t="s">
        <v>1228</v>
      </c>
      <c r="B142" s="1" t="s">
        <v>1322</v>
      </c>
      <c r="C142" t="s">
        <v>825</v>
      </c>
      <c r="D142" s="1" t="s">
        <v>1328</v>
      </c>
      <c r="E142" s="1" t="s">
        <v>11</v>
      </c>
      <c r="F142" t="s">
        <v>1262</v>
      </c>
      <c r="G142" t="s">
        <v>651</v>
      </c>
      <c r="I142" s="4">
        <v>59</v>
      </c>
      <c r="J142" s="11">
        <v>7.8</v>
      </c>
      <c r="L142" s="11">
        <f t="shared" si="3"/>
        <v>0.89209460269048035</v>
      </c>
      <c r="M142" s="11">
        <f>GraphPerfringens!$E$10-('C perfringens'!I142-GraphPerfringens!$E$6)/GraphPerfringens!$E$5</f>
        <v>0.65540692767300768</v>
      </c>
      <c r="N142" s="1" t="s">
        <v>659</v>
      </c>
      <c r="O142" s="1">
        <v>1981</v>
      </c>
      <c r="P142" t="s">
        <v>655</v>
      </c>
      <c r="W142" s="10"/>
      <c r="Y142" s="10"/>
    </row>
    <row r="143" spans="1:25" x14ac:dyDescent="0.2">
      <c r="A143" s="1" t="s">
        <v>1228</v>
      </c>
      <c r="B143" s="1" t="s">
        <v>1322</v>
      </c>
      <c r="C143" t="s">
        <v>825</v>
      </c>
      <c r="D143" s="1" t="s">
        <v>1328</v>
      </c>
      <c r="E143" s="1" t="s">
        <v>11</v>
      </c>
      <c r="F143" t="s">
        <v>1262</v>
      </c>
      <c r="G143" t="s">
        <v>651</v>
      </c>
      <c r="I143" s="4">
        <v>59</v>
      </c>
      <c r="J143" s="11">
        <v>8.5</v>
      </c>
      <c r="L143" s="11">
        <f t="shared" si="3"/>
        <v>0.92941892571429274</v>
      </c>
      <c r="M143" s="11">
        <f>GraphPerfringens!$E$10-('C perfringens'!I143-GraphPerfringens!$E$6)/GraphPerfringens!$E$5</f>
        <v>0.65540692767300768</v>
      </c>
      <c r="N143" s="1" t="s">
        <v>659</v>
      </c>
      <c r="O143" s="1">
        <v>1981</v>
      </c>
      <c r="P143" t="s">
        <v>655</v>
      </c>
      <c r="W143" s="10"/>
      <c r="Y143" s="10"/>
    </row>
    <row r="144" spans="1:25" x14ac:dyDescent="0.2">
      <c r="A144" s="1" t="s">
        <v>1228</v>
      </c>
      <c r="B144" s="1" t="s">
        <v>1322</v>
      </c>
      <c r="C144" t="s">
        <v>825</v>
      </c>
      <c r="D144" s="1" t="s">
        <v>1328</v>
      </c>
      <c r="E144" s="1" t="s">
        <v>11</v>
      </c>
      <c r="F144" t="s">
        <v>1262</v>
      </c>
      <c r="G144" t="s">
        <v>651</v>
      </c>
      <c r="I144" s="4">
        <v>59</v>
      </c>
      <c r="J144" s="11">
        <v>6.7</v>
      </c>
      <c r="L144" s="11">
        <f t="shared" si="3"/>
        <v>0.82607480270082645</v>
      </c>
      <c r="M144" s="11">
        <f>GraphPerfringens!$E$10-('C perfringens'!I144-GraphPerfringens!$E$6)/GraphPerfringens!$E$5</f>
        <v>0.65540692767300768</v>
      </c>
      <c r="N144" s="1" t="s">
        <v>659</v>
      </c>
      <c r="O144" s="1">
        <v>1981</v>
      </c>
      <c r="P144" t="s">
        <v>655</v>
      </c>
      <c r="W144" s="10"/>
      <c r="Y144" s="10"/>
    </row>
    <row r="145" spans="1:25" x14ac:dyDescent="0.2">
      <c r="A145" s="1" t="s">
        <v>1228</v>
      </c>
      <c r="B145" s="1" t="s">
        <v>1322</v>
      </c>
      <c r="C145" t="s">
        <v>825</v>
      </c>
      <c r="D145" s="1" t="s">
        <v>1328</v>
      </c>
      <c r="E145" s="1" t="s">
        <v>11</v>
      </c>
      <c r="F145" t="s">
        <v>1262</v>
      </c>
      <c r="G145" t="s">
        <v>651</v>
      </c>
      <c r="I145" s="4">
        <v>59</v>
      </c>
      <c r="J145" s="11">
        <v>13.8</v>
      </c>
      <c r="L145" s="11">
        <f t="shared" si="3"/>
        <v>1.1398790864012365</v>
      </c>
      <c r="M145" s="11">
        <f>GraphPerfringens!$E$10-('C perfringens'!I145-GraphPerfringens!$E$6)/GraphPerfringens!$E$5</f>
        <v>0.65540692767300768</v>
      </c>
      <c r="N145" s="1" t="s">
        <v>659</v>
      </c>
      <c r="O145" s="1">
        <v>1981</v>
      </c>
      <c r="P145" t="s">
        <v>657</v>
      </c>
      <c r="W145" s="10"/>
      <c r="Y145" s="10"/>
    </row>
    <row r="146" spans="1:25" x14ac:dyDescent="0.2">
      <c r="A146" s="1" t="s">
        <v>1228</v>
      </c>
      <c r="B146" s="1" t="s">
        <v>1322</v>
      </c>
      <c r="C146" t="s">
        <v>825</v>
      </c>
      <c r="D146" s="1" t="s">
        <v>1328</v>
      </c>
      <c r="E146" s="1" t="s">
        <v>11</v>
      </c>
      <c r="F146" t="s">
        <v>1262</v>
      </c>
      <c r="G146" t="s">
        <v>651</v>
      </c>
      <c r="I146" s="4">
        <v>59</v>
      </c>
      <c r="J146" s="11">
        <v>9</v>
      </c>
      <c r="L146" s="11">
        <f t="shared" si="3"/>
        <v>0.95424250943932487</v>
      </c>
      <c r="M146" s="11">
        <f>GraphPerfringens!$E$10-('C perfringens'!I146-GraphPerfringens!$E$6)/GraphPerfringens!$E$5</f>
        <v>0.65540692767300768</v>
      </c>
      <c r="N146" s="1" t="s">
        <v>659</v>
      </c>
      <c r="O146" s="1">
        <v>1981</v>
      </c>
      <c r="P146" t="s">
        <v>657</v>
      </c>
      <c r="W146" s="10"/>
      <c r="Y146" s="10"/>
    </row>
    <row r="147" spans="1:25" x14ac:dyDescent="0.2">
      <c r="A147" s="1" t="s">
        <v>1228</v>
      </c>
      <c r="B147" s="1" t="s">
        <v>1322</v>
      </c>
      <c r="C147" t="s">
        <v>825</v>
      </c>
      <c r="D147" s="1" t="s">
        <v>1328</v>
      </c>
      <c r="E147" s="1" t="s">
        <v>11</v>
      </c>
      <c r="F147" t="s">
        <v>1262</v>
      </c>
      <c r="G147" t="s">
        <v>651</v>
      </c>
      <c r="I147" s="4">
        <v>59</v>
      </c>
      <c r="J147" s="11">
        <v>7.6</v>
      </c>
      <c r="L147" s="11">
        <f t="shared" si="3"/>
        <v>0.88081359228079137</v>
      </c>
      <c r="M147" s="11">
        <f>GraphPerfringens!$E$10-('C perfringens'!I147-GraphPerfringens!$E$6)/GraphPerfringens!$E$5</f>
        <v>0.65540692767300768</v>
      </c>
      <c r="N147" s="1" t="s">
        <v>659</v>
      </c>
      <c r="O147" s="1">
        <v>1981</v>
      </c>
      <c r="P147" t="s">
        <v>657</v>
      </c>
      <c r="W147" s="10"/>
      <c r="Y147" s="10"/>
    </row>
    <row r="148" spans="1:25" x14ac:dyDescent="0.2">
      <c r="A148" s="1" t="s">
        <v>1228</v>
      </c>
      <c r="B148" s="1" t="s">
        <v>1322</v>
      </c>
      <c r="C148" t="s">
        <v>825</v>
      </c>
      <c r="D148" s="1" t="s">
        <v>1328</v>
      </c>
      <c r="E148" s="1" t="s">
        <v>11</v>
      </c>
      <c r="F148" t="s">
        <v>1262</v>
      </c>
      <c r="G148" t="s">
        <v>651</v>
      </c>
      <c r="I148" s="4">
        <v>59</v>
      </c>
      <c r="J148" s="11">
        <v>15.1</v>
      </c>
      <c r="L148" s="11">
        <f t="shared" si="3"/>
        <v>1.1789769472931695</v>
      </c>
      <c r="M148" s="11">
        <f>GraphPerfringens!$E$10-('C perfringens'!I148-GraphPerfringens!$E$6)/GraphPerfringens!$E$5</f>
        <v>0.65540692767300768</v>
      </c>
      <c r="N148" s="1" t="s">
        <v>659</v>
      </c>
      <c r="O148" s="1">
        <v>1981</v>
      </c>
      <c r="P148" t="s">
        <v>657</v>
      </c>
      <c r="W148" s="10"/>
      <c r="Y148" s="10"/>
    </row>
    <row r="149" spans="1:25" x14ac:dyDescent="0.2">
      <c r="A149" s="1" t="s">
        <v>1228</v>
      </c>
      <c r="B149" s="1" t="s">
        <v>1322</v>
      </c>
      <c r="C149" t="s">
        <v>825</v>
      </c>
      <c r="D149" s="1" t="s">
        <v>1328</v>
      </c>
      <c r="E149" s="1" t="s">
        <v>11</v>
      </c>
      <c r="F149" t="s">
        <v>1262</v>
      </c>
      <c r="G149" t="s">
        <v>651</v>
      </c>
      <c r="I149" s="4">
        <v>59</v>
      </c>
      <c r="J149" s="11">
        <v>16.899999999999999</v>
      </c>
      <c r="L149" s="11">
        <f t="shared" si="3"/>
        <v>1.2278867046136734</v>
      </c>
      <c r="M149" s="11">
        <f>GraphPerfringens!$E$10-('C perfringens'!I149-GraphPerfringens!$E$6)/GraphPerfringens!$E$5</f>
        <v>0.65540692767300768</v>
      </c>
      <c r="N149" s="1" t="s">
        <v>659</v>
      </c>
      <c r="O149" s="1">
        <v>1981</v>
      </c>
      <c r="P149" t="s">
        <v>657</v>
      </c>
      <c r="W149" s="10"/>
      <c r="Y149" s="10"/>
    </row>
    <row r="150" spans="1:25" x14ac:dyDescent="0.2">
      <c r="A150" s="1" t="s">
        <v>1228</v>
      </c>
      <c r="B150" s="1" t="s">
        <v>1322</v>
      </c>
      <c r="C150" t="s">
        <v>825</v>
      </c>
      <c r="D150" s="1" t="s">
        <v>1328</v>
      </c>
      <c r="E150" s="1" t="s">
        <v>11</v>
      </c>
      <c r="F150" t="s">
        <v>1262</v>
      </c>
      <c r="G150" t="s">
        <v>651</v>
      </c>
      <c r="I150" s="4">
        <v>59</v>
      </c>
      <c r="J150" s="11">
        <v>6.9</v>
      </c>
      <c r="L150" s="11">
        <f t="shared" si="3"/>
        <v>0.83884909073725533</v>
      </c>
      <c r="M150" s="11">
        <f>GraphPerfringens!$E$10-('C perfringens'!I150-GraphPerfringens!$E$6)/GraphPerfringens!$E$5</f>
        <v>0.65540692767300768</v>
      </c>
      <c r="N150" s="1" t="s">
        <v>659</v>
      </c>
      <c r="O150" s="1">
        <v>1981</v>
      </c>
      <c r="P150" t="s">
        <v>658</v>
      </c>
      <c r="W150" s="10"/>
      <c r="Y150" s="10"/>
    </row>
    <row r="151" spans="1:25" x14ac:dyDescent="0.2">
      <c r="A151" s="1" t="s">
        <v>1228</v>
      </c>
      <c r="B151" s="1" t="s">
        <v>1322</v>
      </c>
      <c r="C151" t="s">
        <v>825</v>
      </c>
      <c r="D151" s="1" t="s">
        <v>1328</v>
      </c>
      <c r="E151" s="1" t="s">
        <v>11</v>
      </c>
      <c r="F151" t="s">
        <v>1262</v>
      </c>
      <c r="G151" t="s">
        <v>651</v>
      </c>
      <c r="I151" s="4">
        <v>59</v>
      </c>
      <c r="J151" s="11">
        <v>7.6</v>
      </c>
      <c r="L151" s="11">
        <f t="shared" si="3"/>
        <v>0.88081359228079137</v>
      </c>
      <c r="M151" s="11">
        <f>GraphPerfringens!$E$10-('C perfringens'!I151-GraphPerfringens!$E$6)/GraphPerfringens!$E$5</f>
        <v>0.65540692767300768</v>
      </c>
      <c r="N151" s="1" t="s">
        <v>659</v>
      </c>
      <c r="O151" s="1">
        <v>1981</v>
      </c>
      <c r="P151" t="s">
        <v>658</v>
      </c>
      <c r="W151" s="10"/>
      <c r="Y151" s="10"/>
    </row>
    <row r="152" spans="1:25" x14ac:dyDescent="0.2">
      <c r="A152" s="1" t="s">
        <v>1228</v>
      </c>
      <c r="B152" s="1" t="s">
        <v>1322</v>
      </c>
      <c r="C152" t="s">
        <v>825</v>
      </c>
      <c r="D152" s="1" t="s">
        <v>1328</v>
      </c>
      <c r="E152" s="1" t="s">
        <v>11</v>
      </c>
      <c r="F152" t="s">
        <v>1262</v>
      </c>
      <c r="G152" t="s">
        <v>651</v>
      </c>
      <c r="I152" s="4">
        <v>59</v>
      </c>
      <c r="J152" s="11">
        <v>6.3</v>
      </c>
      <c r="L152" s="11">
        <f t="shared" si="3"/>
        <v>0.79934054945358168</v>
      </c>
      <c r="M152" s="11">
        <f>GraphPerfringens!$E$10-('C perfringens'!I152-GraphPerfringens!$E$6)/GraphPerfringens!$E$5</f>
        <v>0.65540692767300768</v>
      </c>
      <c r="N152" s="1" t="s">
        <v>659</v>
      </c>
      <c r="O152" s="1">
        <v>1981</v>
      </c>
      <c r="P152" t="s">
        <v>658</v>
      </c>
      <c r="W152" s="10"/>
      <c r="Y152" s="10"/>
    </row>
    <row r="153" spans="1:25" x14ac:dyDescent="0.2">
      <c r="A153" s="1" t="s">
        <v>1228</v>
      </c>
      <c r="B153" s="1" t="s">
        <v>1322</v>
      </c>
      <c r="C153" t="s">
        <v>825</v>
      </c>
      <c r="D153" s="1" t="s">
        <v>1328</v>
      </c>
      <c r="E153" s="1" t="s">
        <v>11</v>
      </c>
      <c r="F153" t="s">
        <v>1262</v>
      </c>
      <c r="G153" t="s">
        <v>651</v>
      </c>
      <c r="I153" s="4">
        <v>59</v>
      </c>
      <c r="J153" s="11">
        <v>6.6</v>
      </c>
      <c r="L153" s="11">
        <f t="shared" si="3"/>
        <v>0.81954393554186866</v>
      </c>
      <c r="M153" s="11">
        <f>GraphPerfringens!$E$10-('C perfringens'!I153-GraphPerfringens!$E$6)/GraphPerfringens!$E$5</f>
        <v>0.65540692767300768</v>
      </c>
      <c r="N153" s="1" t="s">
        <v>659</v>
      </c>
      <c r="O153" s="1">
        <v>1981</v>
      </c>
      <c r="P153" t="s">
        <v>658</v>
      </c>
      <c r="W153" s="10"/>
      <c r="Y153" s="10"/>
    </row>
    <row r="154" spans="1:25" x14ac:dyDescent="0.2">
      <c r="A154" s="1" t="s">
        <v>1228</v>
      </c>
      <c r="B154" s="1" t="s">
        <v>1322</v>
      </c>
      <c r="C154" t="s">
        <v>825</v>
      </c>
      <c r="D154" s="1" t="s">
        <v>1328</v>
      </c>
      <c r="E154" s="1" t="s">
        <v>11</v>
      </c>
      <c r="F154" t="s">
        <v>1262</v>
      </c>
      <c r="G154" t="s">
        <v>651</v>
      </c>
      <c r="I154" s="4">
        <v>60</v>
      </c>
      <c r="J154" s="11">
        <v>3.9</v>
      </c>
      <c r="L154" s="11">
        <f t="shared" si="3"/>
        <v>0.59106460702649921</v>
      </c>
      <c r="M154" s="11">
        <f>GraphPerfringens!$E$10-('C perfringens'!I154-GraphPerfringens!$E$6)/GraphPerfringens!$E$5</f>
        <v>0.55796238779851748</v>
      </c>
      <c r="N154" s="1" t="s">
        <v>659</v>
      </c>
      <c r="O154" s="1">
        <v>1981</v>
      </c>
      <c r="P154" t="s">
        <v>657</v>
      </c>
      <c r="W154" s="10"/>
      <c r="Y154" s="10"/>
    </row>
    <row r="155" spans="1:25" x14ac:dyDescent="0.2">
      <c r="A155" s="1" t="s">
        <v>1228</v>
      </c>
      <c r="B155" s="1" t="s">
        <v>1322</v>
      </c>
      <c r="C155" t="s">
        <v>825</v>
      </c>
      <c r="D155" s="1" t="s">
        <v>1328</v>
      </c>
      <c r="E155" s="1" t="s">
        <v>11</v>
      </c>
      <c r="F155" t="s">
        <v>1262</v>
      </c>
      <c r="G155" t="s">
        <v>651</v>
      </c>
      <c r="I155" s="4">
        <v>60</v>
      </c>
      <c r="J155" s="11">
        <v>3.4</v>
      </c>
      <c r="L155" s="11">
        <f t="shared" si="3"/>
        <v>0.53147891704225514</v>
      </c>
      <c r="M155" s="11">
        <f>GraphPerfringens!$E$10-('C perfringens'!I155-GraphPerfringens!$E$6)/GraphPerfringens!$E$5</f>
        <v>0.55796238779851748</v>
      </c>
      <c r="N155" s="1" t="s">
        <v>659</v>
      </c>
      <c r="O155" s="1">
        <v>1981</v>
      </c>
      <c r="P155" t="s">
        <v>657</v>
      </c>
      <c r="W155" s="10"/>
      <c r="Y155" s="10"/>
    </row>
    <row r="156" spans="1:25" x14ac:dyDescent="0.2">
      <c r="A156" s="1" t="s">
        <v>1228</v>
      </c>
      <c r="B156" s="1" t="s">
        <v>1322</v>
      </c>
      <c r="C156" t="s">
        <v>825</v>
      </c>
      <c r="D156" s="1" t="s">
        <v>1328</v>
      </c>
      <c r="E156" s="1" t="s">
        <v>11</v>
      </c>
      <c r="F156" t="s">
        <v>1262</v>
      </c>
      <c r="G156" t="s">
        <v>651</v>
      </c>
      <c r="I156" s="4">
        <v>60</v>
      </c>
      <c r="J156" s="11">
        <v>3.8</v>
      </c>
      <c r="L156" s="11">
        <f t="shared" si="3"/>
        <v>0.57978359661681012</v>
      </c>
      <c r="M156" s="11">
        <f>GraphPerfringens!$E$10-('C perfringens'!I156-GraphPerfringens!$E$6)/GraphPerfringens!$E$5</f>
        <v>0.55796238779851748</v>
      </c>
      <c r="N156" s="1" t="s">
        <v>659</v>
      </c>
      <c r="O156" s="1">
        <v>1981</v>
      </c>
      <c r="P156" t="s">
        <v>657</v>
      </c>
      <c r="W156" s="10"/>
      <c r="Y156" s="10"/>
    </row>
    <row r="157" spans="1:25" x14ac:dyDescent="0.2">
      <c r="A157" s="1" t="s">
        <v>1228</v>
      </c>
      <c r="B157" s="1" t="s">
        <v>1322</v>
      </c>
      <c r="C157" t="s">
        <v>825</v>
      </c>
      <c r="D157" s="1" t="s">
        <v>1328</v>
      </c>
      <c r="E157" s="1" t="s">
        <v>11</v>
      </c>
      <c r="F157" t="s">
        <v>1262</v>
      </c>
      <c r="G157" t="s">
        <v>651</v>
      </c>
      <c r="I157" s="4">
        <v>61</v>
      </c>
      <c r="J157" s="11">
        <v>2.9</v>
      </c>
      <c r="L157" s="11">
        <f t="shared" si="3"/>
        <v>0.46239799789895608</v>
      </c>
      <c r="M157" s="11">
        <f>GraphPerfringens!$E$10-('C perfringens'!I157-GraphPerfringens!$E$6)/GraphPerfringens!$E$5</f>
        <v>0.46051784792402739</v>
      </c>
      <c r="N157" s="1" t="s">
        <v>659</v>
      </c>
      <c r="O157" s="1">
        <v>1981</v>
      </c>
      <c r="P157" t="s">
        <v>657</v>
      </c>
      <c r="W157" s="10"/>
      <c r="Y157" s="10"/>
    </row>
    <row r="158" spans="1:25" x14ac:dyDescent="0.2">
      <c r="A158" s="1" t="s">
        <v>1228</v>
      </c>
      <c r="B158" s="1" t="s">
        <v>1322</v>
      </c>
      <c r="C158" t="s">
        <v>825</v>
      </c>
      <c r="D158" s="1" t="s">
        <v>1328</v>
      </c>
      <c r="E158" s="1" t="s">
        <v>11</v>
      </c>
      <c r="F158" t="s">
        <v>1262</v>
      </c>
      <c r="G158" t="s">
        <v>651</v>
      </c>
      <c r="I158" s="4">
        <v>61</v>
      </c>
      <c r="J158" s="11">
        <v>4.4000000000000004</v>
      </c>
      <c r="L158" s="11">
        <f t="shared" si="3"/>
        <v>0.64345267648618742</v>
      </c>
      <c r="M158" s="11">
        <f>GraphPerfringens!$E$10-('C perfringens'!I158-GraphPerfringens!$E$6)/GraphPerfringens!$E$5</f>
        <v>0.46051784792402739</v>
      </c>
      <c r="N158" s="1" t="s">
        <v>659</v>
      </c>
      <c r="O158" s="1">
        <v>1981</v>
      </c>
      <c r="P158" t="s">
        <v>657</v>
      </c>
      <c r="W158" s="10"/>
      <c r="Y158" s="10"/>
    </row>
    <row r="159" spans="1:25" x14ac:dyDescent="0.2">
      <c r="A159" s="1" t="s">
        <v>1228</v>
      </c>
      <c r="B159" s="1" t="s">
        <v>1322</v>
      </c>
      <c r="C159" t="s">
        <v>825</v>
      </c>
      <c r="D159" s="1" t="s">
        <v>1328</v>
      </c>
      <c r="E159" s="1" t="s">
        <v>11</v>
      </c>
      <c r="F159" t="s">
        <v>1262</v>
      </c>
      <c r="G159" t="s">
        <v>651</v>
      </c>
      <c r="I159" s="4">
        <v>61</v>
      </c>
      <c r="J159" s="11">
        <v>3.9</v>
      </c>
      <c r="L159" s="11">
        <f t="shared" si="3"/>
        <v>0.59106460702649921</v>
      </c>
      <c r="M159" s="11">
        <f>GraphPerfringens!$E$10-('C perfringens'!I159-GraphPerfringens!$E$6)/GraphPerfringens!$E$5</f>
        <v>0.46051784792402739</v>
      </c>
      <c r="N159" s="1" t="s">
        <v>659</v>
      </c>
      <c r="O159" s="1">
        <v>1981</v>
      </c>
      <c r="P159" t="s">
        <v>657</v>
      </c>
      <c r="W159" s="10"/>
      <c r="Y159" s="10"/>
    </row>
    <row r="160" spans="1:25" x14ac:dyDescent="0.2">
      <c r="A160" s="1" t="s">
        <v>1228</v>
      </c>
      <c r="B160" s="1" t="s">
        <v>1322</v>
      </c>
      <c r="C160" t="s">
        <v>825</v>
      </c>
      <c r="D160" s="1" t="s">
        <v>1328</v>
      </c>
      <c r="E160" s="1" t="s">
        <v>11</v>
      </c>
      <c r="F160" t="s">
        <v>1262</v>
      </c>
      <c r="G160" t="s">
        <v>651</v>
      </c>
      <c r="I160" s="4">
        <v>55</v>
      </c>
      <c r="J160" s="11">
        <v>179</v>
      </c>
      <c r="L160" s="11">
        <f t="shared" si="3"/>
        <v>2.2528530309798933</v>
      </c>
      <c r="M160" s="11">
        <f>GraphPerfringens!$E$10-('C perfringens'!I160-GraphPerfringens!$E$6)/GraphPerfringens!$E$5</f>
        <v>1.0451850871709683</v>
      </c>
      <c r="N160" s="1" t="s">
        <v>659</v>
      </c>
      <c r="O160" s="1">
        <v>1981</v>
      </c>
      <c r="P160" t="s">
        <v>657</v>
      </c>
      <c r="W160" s="10"/>
      <c r="Y160" s="10"/>
    </row>
    <row r="161" spans="1:25" x14ac:dyDescent="0.2">
      <c r="A161" s="1" t="s">
        <v>1228</v>
      </c>
      <c r="B161" s="1" t="s">
        <v>1322</v>
      </c>
      <c r="C161" t="s">
        <v>825</v>
      </c>
      <c r="D161" s="1" t="s">
        <v>1328</v>
      </c>
      <c r="E161" s="1" t="s">
        <v>11</v>
      </c>
      <c r="F161" t="s">
        <v>1262</v>
      </c>
      <c r="G161" t="s">
        <v>651</v>
      </c>
      <c r="I161" s="4">
        <v>57</v>
      </c>
      <c r="J161" s="11">
        <v>16.5</v>
      </c>
      <c r="L161" s="11">
        <f t="shared" si="3"/>
        <v>1.2174839442139063</v>
      </c>
      <c r="M161" s="11">
        <f>GraphPerfringens!$E$10-('C perfringens'!I161-GraphPerfringens!$E$6)/GraphPerfringens!$E$5</f>
        <v>0.85029600742198785</v>
      </c>
      <c r="N161" s="1" t="s">
        <v>659</v>
      </c>
      <c r="O161" s="1">
        <v>1981</v>
      </c>
      <c r="P161" t="s">
        <v>657</v>
      </c>
      <c r="W161" s="10"/>
      <c r="Y161" s="10"/>
    </row>
    <row r="162" spans="1:25" x14ac:dyDescent="0.2">
      <c r="A162" s="1" t="s">
        <v>1228</v>
      </c>
      <c r="B162" s="1" t="s">
        <v>1322</v>
      </c>
      <c r="C162" t="s">
        <v>825</v>
      </c>
      <c r="D162" s="1" t="s">
        <v>1328</v>
      </c>
      <c r="E162" s="1" t="s">
        <v>11</v>
      </c>
      <c r="F162" t="s">
        <v>1262</v>
      </c>
      <c r="G162" t="s">
        <v>651</v>
      </c>
      <c r="I162" s="4">
        <v>57</v>
      </c>
      <c r="J162" s="11">
        <v>26.4</v>
      </c>
      <c r="L162" s="11">
        <f t="shared" si="3"/>
        <v>1.4216039268698311</v>
      </c>
      <c r="M162" s="11">
        <f>GraphPerfringens!$E$10-('C perfringens'!I162-GraphPerfringens!$E$6)/GraphPerfringens!$E$5</f>
        <v>0.85029600742198785</v>
      </c>
      <c r="N162" s="1" t="s">
        <v>659</v>
      </c>
      <c r="O162" s="1">
        <v>1981</v>
      </c>
      <c r="P162" t="s">
        <v>657</v>
      </c>
      <c r="W162" s="10"/>
      <c r="Y162" s="10"/>
    </row>
    <row r="163" spans="1:25" x14ac:dyDescent="0.2">
      <c r="A163" s="1" t="s">
        <v>1228</v>
      </c>
      <c r="B163" s="1" t="s">
        <v>1322</v>
      </c>
      <c r="C163" t="s">
        <v>825</v>
      </c>
      <c r="D163" s="1" t="s">
        <v>1328</v>
      </c>
      <c r="E163" s="1" t="s">
        <v>11</v>
      </c>
      <c r="F163" t="s">
        <v>1262</v>
      </c>
      <c r="G163" t="s">
        <v>651</v>
      </c>
      <c r="I163" s="4">
        <v>57</v>
      </c>
      <c r="J163" s="11">
        <v>21.2</v>
      </c>
      <c r="L163" s="11">
        <f t="shared" si="3"/>
        <v>1.3263358609287514</v>
      </c>
      <c r="M163" s="11">
        <f>GraphPerfringens!$E$10-('C perfringens'!I163-GraphPerfringens!$E$6)/GraphPerfringens!$E$5</f>
        <v>0.85029600742198785</v>
      </c>
      <c r="N163" s="1" t="s">
        <v>659</v>
      </c>
      <c r="O163" s="1">
        <v>1981</v>
      </c>
      <c r="P163" t="s">
        <v>657</v>
      </c>
      <c r="W163" s="10"/>
      <c r="Y163" s="10"/>
    </row>
    <row r="164" spans="1:25" x14ac:dyDescent="0.2">
      <c r="A164" s="1" t="s">
        <v>1228</v>
      </c>
      <c r="B164" s="1" t="s">
        <v>1322</v>
      </c>
      <c r="C164" t="s">
        <v>825</v>
      </c>
      <c r="D164" s="1" t="s">
        <v>1328</v>
      </c>
      <c r="E164" s="1" t="s">
        <v>11</v>
      </c>
      <c r="F164" t="s">
        <v>1262</v>
      </c>
      <c r="G164" t="s">
        <v>651</v>
      </c>
      <c r="I164" s="4">
        <v>59</v>
      </c>
      <c r="J164" s="11">
        <v>11.2</v>
      </c>
      <c r="L164" s="11">
        <f t="shared" si="3"/>
        <v>1.0492180226701815</v>
      </c>
      <c r="M164" s="11">
        <f>GraphPerfringens!$E$10-('C perfringens'!I164-GraphPerfringens!$E$6)/GraphPerfringens!$E$5</f>
        <v>0.65540692767300768</v>
      </c>
      <c r="N164" s="1" t="s">
        <v>659</v>
      </c>
      <c r="O164" s="1">
        <v>1981</v>
      </c>
      <c r="P164" t="s">
        <v>655</v>
      </c>
      <c r="W164" s="10"/>
      <c r="Y164" s="10"/>
    </row>
    <row r="165" spans="1:25" x14ac:dyDescent="0.2">
      <c r="A165" s="1" t="s">
        <v>1228</v>
      </c>
      <c r="B165" s="1" t="s">
        <v>1322</v>
      </c>
      <c r="C165" t="s">
        <v>825</v>
      </c>
      <c r="D165" s="1" t="s">
        <v>1328</v>
      </c>
      <c r="E165" s="1" t="s">
        <v>11</v>
      </c>
      <c r="F165" t="s">
        <v>1262</v>
      </c>
      <c r="G165" t="s">
        <v>651</v>
      </c>
      <c r="I165" s="4">
        <v>59</v>
      </c>
      <c r="J165" s="11">
        <v>11.1</v>
      </c>
      <c r="L165" s="11">
        <f t="shared" si="3"/>
        <v>1.0453229787866574</v>
      </c>
      <c r="M165" s="11">
        <f>GraphPerfringens!$E$10-('C perfringens'!I165-GraphPerfringens!$E$6)/GraphPerfringens!$E$5</f>
        <v>0.65540692767300768</v>
      </c>
      <c r="N165" s="1" t="s">
        <v>659</v>
      </c>
      <c r="O165" s="1">
        <v>1981</v>
      </c>
      <c r="P165" t="s">
        <v>655</v>
      </c>
      <c r="W165" s="10"/>
      <c r="Y165" s="10"/>
    </row>
    <row r="166" spans="1:25" x14ac:dyDescent="0.2">
      <c r="A166" s="1" t="s">
        <v>1228</v>
      </c>
      <c r="B166" s="1" t="s">
        <v>1322</v>
      </c>
      <c r="C166" t="s">
        <v>825</v>
      </c>
      <c r="D166" s="1" t="s">
        <v>1328</v>
      </c>
      <c r="E166" s="1" t="s">
        <v>11</v>
      </c>
      <c r="F166" t="s">
        <v>1262</v>
      </c>
      <c r="G166" t="s">
        <v>651</v>
      </c>
      <c r="I166" s="4">
        <v>59</v>
      </c>
      <c r="J166" s="11">
        <v>10.6</v>
      </c>
      <c r="L166" s="11">
        <f t="shared" si="3"/>
        <v>1.0253058652647702</v>
      </c>
      <c r="M166" s="11">
        <f>GraphPerfringens!$E$10-('C perfringens'!I166-GraphPerfringens!$E$6)/GraphPerfringens!$E$5</f>
        <v>0.65540692767300768</v>
      </c>
      <c r="N166" s="1" t="s">
        <v>659</v>
      </c>
      <c r="O166" s="1">
        <v>1981</v>
      </c>
      <c r="P166" t="s">
        <v>655</v>
      </c>
      <c r="W166" s="10"/>
      <c r="Y166" s="10"/>
    </row>
    <row r="167" spans="1:25" x14ac:dyDescent="0.2">
      <c r="A167" s="1" t="s">
        <v>1228</v>
      </c>
      <c r="B167" s="1" t="s">
        <v>1322</v>
      </c>
      <c r="C167" t="s">
        <v>825</v>
      </c>
      <c r="D167" s="1" t="s">
        <v>1328</v>
      </c>
      <c r="E167" s="1" t="s">
        <v>11</v>
      </c>
      <c r="F167" t="s">
        <v>1262</v>
      </c>
      <c r="G167" t="s">
        <v>651</v>
      </c>
      <c r="I167" s="4">
        <v>59</v>
      </c>
      <c r="J167" s="11">
        <v>9</v>
      </c>
      <c r="L167" s="11">
        <f t="shared" si="3"/>
        <v>0.95424250943932487</v>
      </c>
      <c r="M167" s="11">
        <f>GraphPerfringens!$E$10-('C perfringens'!I167-GraphPerfringens!$E$6)/GraphPerfringens!$E$5</f>
        <v>0.65540692767300768</v>
      </c>
      <c r="N167" s="1" t="s">
        <v>659</v>
      </c>
      <c r="O167" s="1">
        <v>1981</v>
      </c>
      <c r="P167" t="s">
        <v>657</v>
      </c>
      <c r="W167" s="10"/>
      <c r="Y167" s="10"/>
    </row>
    <row r="168" spans="1:25" x14ac:dyDescent="0.2">
      <c r="A168" s="1" t="s">
        <v>1228</v>
      </c>
      <c r="B168" s="1" t="s">
        <v>1322</v>
      </c>
      <c r="C168" t="s">
        <v>825</v>
      </c>
      <c r="D168" s="1" t="s">
        <v>1328</v>
      </c>
      <c r="E168" s="1" t="s">
        <v>11</v>
      </c>
      <c r="F168" t="s">
        <v>1262</v>
      </c>
      <c r="G168" t="s">
        <v>651</v>
      </c>
      <c r="I168" s="4">
        <v>59</v>
      </c>
      <c r="J168" s="11">
        <v>7.9</v>
      </c>
      <c r="L168" s="11">
        <f t="shared" si="3"/>
        <v>0.89762709129044149</v>
      </c>
      <c r="M168" s="11">
        <f>GraphPerfringens!$E$10-('C perfringens'!I168-GraphPerfringens!$E$6)/GraphPerfringens!$E$5</f>
        <v>0.65540692767300768</v>
      </c>
      <c r="N168" s="1" t="s">
        <v>659</v>
      </c>
      <c r="O168" s="1">
        <v>1981</v>
      </c>
      <c r="P168" t="s">
        <v>657</v>
      </c>
      <c r="W168" s="10"/>
      <c r="Y168" s="10"/>
    </row>
    <row r="169" spans="1:25" x14ac:dyDescent="0.2">
      <c r="A169" s="1" t="s">
        <v>1228</v>
      </c>
      <c r="B169" s="1" t="s">
        <v>1322</v>
      </c>
      <c r="C169" t="s">
        <v>825</v>
      </c>
      <c r="D169" s="1" t="s">
        <v>1328</v>
      </c>
      <c r="E169" s="1" t="s">
        <v>11</v>
      </c>
      <c r="F169" t="s">
        <v>1262</v>
      </c>
      <c r="G169" t="s">
        <v>651</v>
      </c>
      <c r="I169" s="4">
        <v>59</v>
      </c>
      <c r="J169" s="11">
        <v>6.3</v>
      </c>
      <c r="L169" s="11">
        <f t="shared" si="3"/>
        <v>0.79934054945358168</v>
      </c>
      <c r="M169" s="11">
        <f>GraphPerfringens!$E$10-('C perfringens'!I169-GraphPerfringens!$E$6)/GraphPerfringens!$E$5</f>
        <v>0.65540692767300768</v>
      </c>
      <c r="N169" s="1" t="s">
        <v>659</v>
      </c>
      <c r="O169" s="1">
        <v>1981</v>
      </c>
      <c r="P169" t="s">
        <v>658</v>
      </c>
      <c r="W169" s="10"/>
      <c r="Y169" s="10"/>
    </row>
    <row r="170" spans="1:25" x14ac:dyDescent="0.2">
      <c r="A170" s="1" t="s">
        <v>1228</v>
      </c>
      <c r="B170" s="1" t="s">
        <v>1322</v>
      </c>
      <c r="C170" t="s">
        <v>825</v>
      </c>
      <c r="D170" s="1" t="s">
        <v>1328</v>
      </c>
      <c r="E170" s="1" t="s">
        <v>11</v>
      </c>
      <c r="F170" t="s">
        <v>1262</v>
      </c>
      <c r="G170" t="s">
        <v>651</v>
      </c>
      <c r="I170" s="4">
        <v>59</v>
      </c>
      <c r="J170" s="11">
        <v>8.4</v>
      </c>
      <c r="L170" s="11">
        <f t="shared" si="3"/>
        <v>0.9242792860618817</v>
      </c>
      <c r="M170" s="11">
        <f>GraphPerfringens!$E$10-('C perfringens'!I170-GraphPerfringens!$E$6)/GraphPerfringens!$E$5</f>
        <v>0.65540692767300768</v>
      </c>
      <c r="N170" s="1" t="s">
        <v>659</v>
      </c>
      <c r="O170" s="1">
        <v>1981</v>
      </c>
      <c r="P170" t="s">
        <v>658</v>
      </c>
      <c r="W170" s="10"/>
      <c r="Y170" s="10"/>
    </row>
    <row r="171" spans="1:25" x14ac:dyDescent="0.2">
      <c r="A171" s="1" t="s">
        <v>1228</v>
      </c>
      <c r="B171" s="1" t="s">
        <v>1322</v>
      </c>
      <c r="C171" t="s">
        <v>825</v>
      </c>
      <c r="D171" s="1" t="s">
        <v>1328</v>
      </c>
      <c r="E171" s="1" t="s">
        <v>11</v>
      </c>
      <c r="F171" t="s">
        <v>1262</v>
      </c>
      <c r="G171" t="s">
        <v>651</v>
      </c>
      <c r="I171" s="4">
        <v>59</v>
      </c>
      <c r="J171" s="11">
        <v>8.1999999999999993</v>
      </c>
      <c r="L171" s="11">
        <f t="shared" si="3"/>
        <v>0.91381385238371671</v>
      </c>
      <c r="M171" s="11">
        <f>GraphPerfringens!$E$10-('C perfringens'!I171-GraphPerfringens!$E$6)/GraphPerfringens!$E$5</f>
        <v>0.65540692767300768</v>
      </c>
      <c r="N171" s="1" t="s">
        <v>659</v>
      </c>
      <c r="O171" s="1">
        <v>1981</v>
      </c>
      <c r="P171" t="s">
        <v>658</v>
      </c>
      <c r="W171" s="10"/>
      <c r="Y171" s="10"/>
    </row>
    <row r="172" spans="1:25" x14ac:dyDescent="0.2">
      <c r="A172" s="1" t="s">
        <v>1228</v>
      </c>
      <c r="B172" s="1" t="s">
        <v>1322</v>
      </c>
      <c r="C172" t="s">
        <v>825</v>
      </c>
      <c r="D172" s="1" t="s">
        <v>1328</v>
      </c>
      <c r="E172" s="1" t="s">
        <v>11</v>
      </c>
      <c r="F172" t="s">
        <v>1262</v>
      </c>
      <c r="G172" t="s">
        <v>651</v>
      </c>
      <c r="I172" s="4">
        <v>61</v>
      </c>
      <c r="J172" s="11">
        <v>2.1</v>
      </c>
      <c r="L172" s="11">
        <f t="shared" ref="L172:L182" si="4">LOG(J172)</f>
        <v>0.3222192947339193</v>
      </c>
      <c r="M172" s="11">
        <f>GraphPerfringens!$E$10-('C perfringens'!I172-GraphPerfringens!$E$6)/GraphPerfringens!$E$5</f>
        <v>0.46051784792402739</v>
      </c>
      <c r="N172" s="1" t="s">
        <v>659</v>
      </c>
      <c r="O172" s="1">
        <v>1981</v>
      </c>
      <c r="P172" t="s">
        <v>657</v>
      </c>
      <c r="W172" s="10"/>
      <c r="Y172" s="10"/>
    </row>
    <row r="173" spans="1:25" x14ac:dyDescent="0.2">
      <c r="A173" s="1" t="s">
        <v>1228</v>
      </c>
      <c r="B173" s="1" t="s">
        <v>1322</v>
      </c>
      <c r="C173" t="s">
        <v>825</v>
      </c>
      <c r="D173" s="1" t="s">
        <v>1328</v>
      </c>
      <c r="E173" s="1" t="s">
        <v>11</v>
      </c>
      <c r="F173" t="s">
        <v>1262</v>
      </c>
      <c r="G173" t="s">
        <v>651</v>
      </c>
      <c r="I173" s="4">
        <v>61</v>
      </c>
      <c r="J173" s="11">
        <v>2.9</v>
      </c>
      <c r="L173" s="11">
        <f t="shared" si="4"/>
        <v>0.46239799789895608</v>
      </c>
      <c r="M173" s="11">
        <f>GraphPerfringens!$E$10-('C perfringens'!I173-GraphPerfringens!$E$6)/GraphPerfringens!$E$5</f>
        <v>0.46051784792402739</v>
      </c>
      <c r="N173" s="1" t="s">
        <v>659</v>
      </c>
      <c r="O173" s="1">
        <v>1981</v>
      </c>
      <c r="P173" t="s">
        <v>657</v>
      </c>
      <c r="W173" s="10"/>
      <c r="Y173" s="10"/>
    </row>
    <row r="174" spans="1:25" x14ac:dyDescent="0.2">
      <c r="A174" s="1" t="s">
        <v>1228</v>
      </c>
      <c r="B174" s="1" t="s">
        <v>1322</v>
      </c>
      <c r="D174" s="1" t="s">
        <v>1328</v>
      </c>
      <c r="E174" s="1" t="s">
        <v>11</v>
      </c>
      <c r="F174" t="s">
        <v>576</v>
      </c>
      <c r="G174" t="s">
        <v>1263</v>
      </c>
      <c r="I174" s="4">
        <v>55</v>
      </c>
      <c r="J174" s="11">
        <v>17.5</v>
      </c>
      <c r="L174" s="11">
        <f t="shared" si="4"/>
        <v>1.2430380486862944</v>
      </c>
      <c r="M174" s="11">
        <f>GraphPerfringens!$E$10-('C perfringens'!I174-GraphPerfringens!$E$6)/GraphPerfringens!$E$5</f>
        <v>1.0451850871709683</v>
      </c>
      <c r="N174" s="1" t="s">
        <v>814</v>
      </c>
      <c r="O174" s="1">
        <v>2001</v>
      </c>
      <c r="W174" s="10">
        <f>GraphPerfringens!$B$39*'C perfringens'!I174+GraphPerfringens!$B$40</f>
        <v>0.79136786280845728</v>
      </c>
      <c r="Y174" s="10">
        <f>GraphPerfringens!$H$39*'C perfringens'!I174+GraphPerfringens!$H$40</f>
        <v>1.0451850871709674</v>
      </c>
    </row>
    <row r="175" spans="1:25" x14ac:dyDescent="0.2">
      <c r="A175" s="1" t="s">
        <v>1228</v>
      </c>
      <c r="B175" s="1" t="s">
        <v>1322</v>
      </c>
      <c r="D175" s="1" t="s">
        <v>1328</v>
      </c>
      <c r="E175" s="1" t="s">
        <v>11</v>
      </c>
      <c r="F175" t="s">
        <v>576</v>
      </c>
      <c r="G175" t="s">
        <v>1263</v>
      </c>
      <c r="I175" s="4">
        <v>57.5</v>
      </c>
      <c r="J175" s="11">
        <v>9.1</v>
      </c>
      <c r="L175" s="11">
        <f t="shared" si="4"/>
        <v>0.95904139232109353</v>
      </c>
      <c r="M175" s="11">
        <f>GraphPerfringens!$E$10-('C perfringens'!I175-GraphPerfringens!$E$6)/GraphPerfringens!$E$5</f>
        <v>0.80157373748474292</v>
      </c>
      <c r="N175" s="1" t="s">
        <v>814</v>
      </c>
      <c r="O175" s="1">
        <v>2001</v>
      </c>
      <c r="W175" s="10">
        <f>GraphPerfringens!$B$39*'C perfringens'!I175+GraphPerfringens!$B$40</f>
        <v>0.76990801364560357</v>
      </c>
      <c r="Y175" s="10">
        <f>GraphPerfringens!$H$39*'C perfringens'!I175+GraphPerfringens!$H$40</f>
        <v>0.80157373748474203</v>
      </c>
    </row>
    <row r="176" spans="1:25" x14ac:dyDescent="0.2">
      <c r="A176" s="1" t="s">
        <v>1228</v>
      </c>
      <c r="B176" s="1" t="s">
        <v>1322</v>
      </c>
      <c r="D176" s="1" t="s">
        <v>1328</v>
      </c>
      <c r="E176" s="1" t="s">
        <v>11</v>
      </c>
      <c r="F176" t="s">
        <v>576</v>
      </c>
      <c r="G176" t="s">
        <v>1263</v>
      </c>
      <c r="I176" s="4">
        <v>60</v>
      </c>
      <c r="J176" s="11">
        <v>4.2</v>
      </c>
      <c r="L176" s="11">
        <f t="shared" si="4"/>
        <v>0.62324929039790045</v>
      </c>
      <c r="M176" s="11">
        <f>GraphPerfringens!$E$10-('C perfringens'!I176-GraphPerfringens!$E$6)/GraphPerfringens!$E$5</f>
        <v>0.55796238779851748</v>
      </c>
      <c r="N176" s="1" t="s">
        <v>814</v>
      </c>
      <c r="O176" s="1">
        <v>2001</v>
      </c>
      <c r="W176" s="10">
        <f>GraphPerfringens!$B$39*'C perfringens'!I176+GraphPerfringens!$B$40</f>
        <v>0.74844816448274987</v>
      </c>
      <c r="Y176" s="10">
        <f>GraphPerfringens!$H$39*'C perfringens'!I176+GraphPerfringens!$H$40</f>
        <v>0.5579623877985167</v>
      </c>
    </row>
    <row r="177" spans="1:25" x14ac:dyDescent="0.2">
      <c r="A177" s="1" t="s">
        <v>1228</v>
      </c>
      <c r="B177" s="1" t="s">
        <v>1322</v>
      </c>
      <c r="D177" s="1" t="s">
        <v>1328</v>
      </c>
      <c r="E177" s="1" t="s">
        <v>11</v>
      </c>
      <c r="F177" t="s">
        <v>576</v>
      </c>
      <c r="G177" t="s">
        <v>1263</v>
      </c>
      <c r="I177" s="4">
        <v>62.5</v>
      </c>
      <c r="J177" s="11">
        <v>1.3</v>
      </c>
      <c r="L177" s="11">
        <f t="shared" si="4"/>
        <v>0.11394335230683679</v>
      </c>
      <c r="M177" s="11">
        <f>GraphPerfringens!$E$10-('C perfringens'!I177-GraphPerfringens!$E$6)/GraphPerfringens!$E$5</f>
        <v>0.31435103811229226</v>
      </c>
      <c r="N177" s="1" t="s">
        <v>814</v>
      </c>
      <c r="O177" s="1">
        <v>2001</v>
      </c>
      <c r="W177" s="10">
        <f>GraphPerfringens!$B$39*'C perfringens'!I177+GraphPerfringens!$B$40</f>
        <v>0.72698831531989616</v>
      </c>
      <c r="Y177" s="10">
        <f>GraphPerfringens!$H$39*'C perfringens'!I177+GraphPerfringens!$H$40</f>
        <v>0.31435103811229137</v>
      </c>
    </row>
    <row r="178" spans="1:25" x14ac:dyDescent="0.2">
      <c r="A178" s="1" t="s">
        <v>1228</v>
      </c>
      <c r="B178" s="1" t="s">
        <v>1322</v>
      </c>
      <c r="D178" s="1" t="s">
        <v>1328</v>
      </c>
      <c r="E178" s="1" t="s">
        <v>11</v>
      </c>
      <c r="F178" t="s">
        <v>576</v>
      </c>
      <c r="G178" t="s">
        <v>970</v>
      </c>
      <c r="H178" s="4">
        <v>6.2</v>
      </c>
      <c r="I178" s="4">
        <v>55</v>
      </c>
      <c r="J178" s="11">
        <f>17.5</f>
        <v>17.5</v>
      </c>
      <c r="L178" s="11">
        <f t="shared" si="4"/>
        <v>1.2430380486862944</v>
      </c>
      <c r="M178" s="11">
        <f>GraphPerfringens!$E$10-('C perfringens'!I178-GraphPerfringens!$E$6)/GraphPerfringens!$E$5</f>
        <v>1.0451850871709683</v>
      </c>
      <c r="N178" s="1" t="s">
        <v>814</v>
      </c>
      <c r="O178" s="1">
        <v>1998</v>
      </c>
      <c r="W178" s="10">
        <f>GraphPerfringens!$B$39*'C perfringens'!I178+GraphPerfringens!$B$40</f>
        <v>0.79136786280845728</v>
      </c>
      <c r="Y178" s="10">
        <f>GraphPerfringens!$H$39*'C perfringens'!I178+GraphPerfringens!$H$40</f>
        <v>1.0451850871709674</v>
      </c>
    </row>
    <row r="179" spans="1:25" x14ac:dyDescent="0.2">
      <c r="A179" s="1" t="s">
        <v>1228</v>
      </c>
      <c r="B179" s="1" t="s">
        <v>1322</v>
      </c>
      <c r="D179" s="1" t="s">
        <v>1328</v>
      </c>
      <c r="E179" s="1" t="s">
        <v>11</v>
      </c>
      <c r="F179" t="s">
        <v>576</v>
      </c>
      <c r="G179" t="s">
        <v>970</v>
      </c>
      <c r="H179" s="4">
        <v>6.2</v>
      </c>
      <c r="I179" s="4">
        <v>57.5</v>
      </c>
      <c r="J179" s="11">
        <v>9.1</v>
      </c>
      <c r="L179" s="11">
        <f t="shared" si="4"/>
        <v>0.95904139232109353</v>
      </c>
      <c r="M179" s="11">
        <f>GraphPerfringens!$E$10-('C perfringens'!I179-GraphPerfringens!$E$6)/GraphPerfringens!$E$5</f>
        <v>0.80157373748474292</v>
      </c>
      <c r="N179" s="1" t="s">
        <v>814</v>
      </c>
      <c r="O179" s="1">
        <v>1998</v>
      </c>
      <c r="W179" s="10">
        <f>GraphPerfringens!$B$39*'C perfringens'!I179+GraphPerfringens!$B$40</f>
        <v>0.76990801364560357</v>
      </c>
      <c r="Y179" s="10">
        <f>GraphPerfringens!$H$39*'C perfringens'!I179+GraphPerfringens!$H$40</f>
        <v>0.80157373748474203</v>
      </c>
    </row>
    <row r="180" spans="1:25" x14ac:dyDescent="0.2">
      <c r="A180" s="1" t="s">
        <v>1228</v>
      </c>
      <c r="B180" s="1" t="s">
        <v>1322</v>
      </c>
      <c r="D180" s="1" t="s">
        <v>1328</v>
      </c>
      <c r="E180" s="1" t="s">
        <v>11</v>
      </c>
      <c r="F180" t="s">
        <v>576</v>
      </c>
      <c r="G180" t="s">
        <v>970</v>
      </c>
      <c r="H180" s="4">
        <v>6.2</v>
      </c>
      <c r="I180" s="4">
        <v>60</v>
      </c>
      <c r="J180" s="11">
        <f>4.2</f>
        <v>4.2</v>
      </c>
      <c r="L180" s="11">
        <f t="shared" si="4"/>
        <v>0.62324929039790045</v>
      </c>
      <c r="M180" s="11">
        <f>GraphPerfringens!$E$10-('C perfringens'!I180-GraphPerfringens!$E$6)/GraphPerfringens!$E$5</f>
        <v>0.55796238779851748</v>
      </c>
      <c r="N180" s="1" t="s">
        <v>814</v>
      </c>
      <c r="O180" s="1">
        <v>1998</v>
      </c>
      <c r="W180" s="10">
        <f>GraphPerfringens!$B$39*'C perfringens'!I180+GraphPerfringens!$B$40</f>
        <v>0.74844816448274987</v>
      </c>
      <c r="Y180" s="10">
        <f>GraphPerfringens!$H$39*'C perfringens'!I180+GraphPerfringens!$H$40</f>
        <v>0.5579623877985167</v>
      </c>
    </row>
    <row r="181" spans="1:25" x14ac:dyDescent="0.2">
      <c r="A181" s="1" t="s">
        <v>1228</v>
      </c>
      <c r="B181" s="1" t="s">
        <v>1322</v>
      </c>
      <c r="D181" s="1" t="s">
        <v>1328</v>
      </c>
      <c r="E181" s="1" t="s">
        <v>11</v>
      </c>
      <c r="F181" t="s">
        <v>576</v>
      </c>
      <c r="G181" t="s">
        <v>976</v>
      </c>
      <c r="H181" s="4">
        <v>6.2</v>
      </c>
      <c r="I181" s="4">
        <v>62.5</v>
      </c>
      <c r="J181" s="11">
        <v>1.3</v>
      </c>
      <c r="L181" s="11">
        <f t="shared" si="4"/>
        <v>0.11394335230683679</v>
      </c>
      <c r="M181" s="11">
        <f>GraphPerfringens!$E$10-('C perfringens'!I181-GraphPerfringens!$E$6)/GraphPerfringens!$E$5</f>
        <v>0.31435103811229226</v>
      </c>
      <c r="N181" s="1" t="s">
        <v>814</v>
      </c>
      <c r="O181" s="1">
        <v>1998</v>
      </c>
      <c r="W181" s="10">
        <f>GraphPerfringens!$B$39*'C perfringens'!I181+GraphPerfringens!$B$40</f>
        <v>0.72698831531989616</v>
      </c>
      <c r="Y181" s="10">
        <f>GraphPerfringens!$H$39*'C perfringens'!I181+GraphPerfringens!$H$40</f>
        <v>0.31435103811229137</v>
      </c>
    </row>
    <row r="182" spans="1:25" x14ac:dyDescent="0.2">
      <c r="A182" s="1" t="s">
        <v>1228</v>
      </c>
      <c r="B182" s="1" t="s">
        <v>1322</v>
      </c>
      <c r="D182" s="1" t="s">
        <v>1328</v>
      </c>
      <c r="E182" s="1" t="s">
        <v>11</v>
      </c>
      <c r="F182" t="s">
        <v>576</v>
      </c>
      <c r="G182" t="s">
        <v>976</v>
      </c>
      <c r="H182" s="4">
        <v>6.2</v>
      </c>
      <c r="I182" s="4">
        <v>55</v>
      </c>
      <c r="J182" s="11">
        <f>16.2</f>
        <v>16.2</v>
      </c>
      <c r="L182" s="11">
        <f t="shared" si="4"/>
        <v>1.209515014542631</v>
      </c>
      <c r="M182" s="11">
        <f>GraphPerfringens!$E$10-('C perfringens'!I182-GraphPerfringens!$E$6)/GraphPerfringens!$E$5</f>
        <v>1.0451850871709683</v>
      </c>
      <c r="N182" s="1" t="s">
        <v>814</v>
      </c>
      <c r="O182" s="1">
        <v>1998</v>
      </c>
    </row>
    <row r="183" spans="1:25" x14ac:dyDescent="0.2">
      <c r="A183" s="1" t="s">
        <v>1228</v>
      </c>
      <c r="B183" s="1" t="s">
        <v>1322</v>
      </c>
      <c r="D183" s="1" t="s">
        <v>1328</v>
      </c>
      <c r="E183" s="1" t="s">
        <v>11</v>
      </c>
      <c r="F183" t="s">
        <v>576</v>
      </c>
      <c r="G183" t="s">
        <v>976</v>
      </c>
      <c r="H183" s="4">
        <v>6.2</v>
      </c>
      <c r="I183" s="4">
        <v>57.5</v>
      </c>
      <c r="J183" s="11">
        <f>6.9</f>
        <v>6.9</v>
      </c>
      <c r="L183" s="11">
        <f t="shared" ref="L183:L211" si="5">LOG(J183)</f>
        <v>0.83884909073725533</v>
      </c>
      <c r="M183" s="11">
        <f>GraphPerfringens!$E$10-('C perfringens'!I183-GraphPerfringens!$E$6)/GraphPerfringens!$E$5</f>
        <v>0.80157373748474292</v>
      </c>
      <c r="N183" s="1" t="s">
        <v>814</v>
      </c>
      <c r="O183" s="1">
        <v>1998</v>
      </c>
    </row>
    <row r="184" spans="1:25" x14ac:dyDescent="0.2">
      <c r="A184" s="1" t="s">
        <v>1228</v>
      </c>
      <c r="B184" s="1" t="s">
        <v>1322</v>
      </c>
      <c r="D184" s="1" t="s">
        <v>1328</v>
      </c>
      <c r="E184" s="1" t="s">
        <v>11</v>
      </c>
      <c r="F184" t="s">
        <v>576</v>
      </c>
      <c r="G184" t="s">
        <v>976</v>
      </c>
      <c r="H184" s="4">
        <v>6.2</v>
      </c>
      <c r="I184" s="4">
        <v>60</v>
      </c>
      <c r="J184" s="11">
        <f>3</f>
        <v>3</v>
      </c>
      <c r="L184" s="11">
        <f t="shared" si="5"/>
        <v>0.47712125471966244</v>
      </c>
      <c r="M184" s="11">
        <f>GraphPerfringens!$E$10-('C perfringens'!I184-GraphPerfringens!$E$6)/GraphPerfringens!$E$5</f>
        <v>0.55796238779851748</v>
      </c>
      <c r="N184" s="1" t="s">
        <v>814</v>
      </c>
      <c r="O184" s="1">
        <v>1998</v>
      </c>
    </row>
    <row r="185" spans="1:25" x14ac:dyDescent="0.2">
      <c r="A185" s="1" t="s">
        <v>1228</v>
      </c>
      <c r="B185" s="1" t="s">
        <v>1322</v>
      </c>
      <c r="D185" s="1" t="s">
        <v>1328</v>
      </c>
      <c r="E185" s="1" t="s">
        <v>11</v>
      </c>
      <c r="F185" t="s">
        <v>576</v>
      </c>
      <c r="G185" t="s">
        <v>976</v>
      </c>
      <c r="H185" s="4">
        <v>6.2</v>
      </c>
      <c r="I185" s="4">
        <v>62.5</v>
      </c>
      <c r="J185" s="11">
        <v>1.1000000000000001</v>
      </c>
      <c r="L185" s="11">
        <f t="shared" si="5"/>
        <v>4.1392685158225077E-2</v>
      </c>
      <c r="M185" s="11">
        <f>GraphPerfringens!$E$10-('C perfringens'!I185-GraphPerfringens!$E$6)/GraphPerfringens!$E$5</f>
        <v>0.31435103811229226</v>
      </c>
      <c r="N185" s="1" t="s">
        <v>814</v>
      </c>
      <c r="O185" s="1">
        <v>1998</v>
      </c>
    </row>
    <row r="186" spans="1:25" x14ac:dyDescent="0.2">
      <c r="A186" s="1" t="s">
        <v>1228</v>
      </c>
      <c r="B186" s="1" t="s">
        <v>1322</v>
      </c>
      <c r="D186" s="1" t="s">
        <v>1328</v>
      </c>
      <c r="E186" s="1" t="s">
        <v>11</v>
      </c>
      <c r="F186" t="s">
        <v>576</v>
      </c>
      <c r="G186" t="s">
        <v>977</v>
      </c>
      <c r="H186" s="4">
        <v>6.2</v>
      </c>
      <c r="I186" s="4">
        <v>55</v>
      </c>
      <c r="J186" s="11">
        <f>14.5</f>
        <v>14.5</v>
      </c>
      <c r="L186" s="11">
        <f t="shared" si="5"/>
        <v>1.1613680022349748</v>
      </c>
      <c r="M186" s="11">
        <f>GraphPerfringens!$E$10-('C perfringens'!I186-GraphPerfringens!$E$6)/GraphPerfringens!$E$5</f>
        <v>1.0451850871709683</v>
      </c>
      <c r="N186" s="1" t="s">
        <v>814</v>
      </c>
      <c r="O186" s="1">
        <v>1998</v>
      </c>
    </row>
    <row r="187" spans="1:25" x14ac:dyDescent="0.2">
      <c r="A187" s="1" t="s">
        <v>1228</v>
      </c>
      <c r="B187" s="1" t="s">
        <v>1322</v>
      </c>
      <c r="D187" s="1" t="s">
        <v>1328</v>
      </c>
      <c r="E187" s="1" t="s">
        <v>11</v>
      </c>
      <c r="F187" t="s">
        <v>576</v>
      </c>
      <c r="G187" t="s">
        <v>977</v>
      </c>
      <c r="H187" s="4">
        <v>6.2</v>
      </c>
      <c r="I187" s="4">
        <v>57.5</v>
      </c>
      <c r="J187" s="11">
        <f>6.4</f>
        <v>6.4</v>
      </c>
      <c r="L187" s="11">
        <f t="shared" si="5"/>
        <v>0.80617997398388719</v>
      </c>
      <c r="M187" s="11">
        <f>GraphPerfringens!$E$10-('C perfringens'!I187-GraphPerfringens!$E$6)/GraphPerfringens!$E$5</f>
        <v>0.80157373748474292</v>
      </c>
      <c r="N187" s="1" t="s">
        <v>814</v>
      </c>
      <c r="O187" s="1">
        <v>1998</v>
      </c>
    </row>
    <row r="188" spans="1:25" x14ac:dyDescent="0.2">
      <c r="A188" s="1" t="s">
        <v>1228</v>
      </c>
      <c r="B188" s="1" t="s">
        <v>1322</v>
      </c>
      <c r="D188" s="1" t="s">
        <v>1328</v>
      </c>
      <c r="E188" s="1" t="s">
        <v>11</v>
      </c>
      <c r="F188" t="s">
        <v>576</v>
      </c>
      <c r="G188" t="s">
        <v>977</v>
      </c>
      <c r="H188" s="4">
        <v>6.2</v>
      </c>
      <c r="I188" s="4">
        <v>60</v>
      </c>
      <c r="J188" s="11">
        <v>2.8</v>
      </c>
      <c r="L188" s="11">
        <f t="shared" si="5"/>
        <v>0.44715803134221921</v>
      </c>
      <c r="M188" s="11">
        <f>GraphPerfringens!$E$10-('C perfringens'!I188-GraphPerfringens!$E$6)/GraphPerfringens!$E$5</f>
        <v>0.55796238779851748</v>
      </c>
      <c r="N188" s="1" t="s">
        <v>814</v>
      </c>
      <c r="O188" s="1">
        <v>1998</v>
      </c>
    </row>
    <row r="189" spans="1:25" x14ac:dyDescent="0.2">
      <c r="A189" s="1" t="s">
        <v>1228</v>
      </c>
      <c r="B189" s="1" t="s">
        <v>1322</v>
      </c>
      <c r="D189" s="1" t="s">
        <v>1328</v>
      </c>
      <c r="E189" s="1" t="s">
        <v>11</v>
      </c>
      <c r="F189" t="s">
        <v>576</v>
      </c>
      <c r="G189" t="s">
        <v>977</v>
      </c>
      <c r="H189" s="4">
        <v>6.2</v>
      </c>
      <c r="I189" s="4">
        <v>62.5</v>
      </c>
      <c r="J189" s="11">
        <v>1</v>
      </c>
      <c r="L189" s="11">
        <f t="shared" si="5"/>
        <v>0</v>
      </c>
      <c r="M189" s="11">
        <f>GraphPerfringens!$E$10-('C perfringens'!I189-GraphPerfringens!$E$6)/GraphPerfringens!$E$5</f>
        <v>0.31435103811229226</v>
      </c>
      <c r="N189" s="1" t="s">
        <v>814</v>
      </c>
      <c r="O189" s="1">
        <v>1998</v>
      </c>
    </row>
    <row r="190" spans="1:25" x14ac:dyDescent="0.2">
      <c r="A190" s="1" t="s">
        <v>1228</v>
      </c>
      <c r="B190" s="1" t="s">
        <v>1322</v>
      </c>
      <c r="C190" t="s">
        <v>819</v>
      </c>
      <c r="D190" s="1" t="s">
        <v>1328</v>
      </c>
      <c r="E190" s="1" t="s">
        <v>44</v>
      </c>
      <c r="F190" s="1" t="s">
        <v>821</v>
      </c>
      <c r="I190" s="4">
        <v>55</v>
      </c>
      <c r="J190" s="11">
        <v>9</v>
      </c>
      <c r="L190" s="11">
        <f t="shared" si="5"/>
        <v>0.95424250943932487</v>
      </c>
      <c r="M190" s="11">
        <f>GraphPerfringens!$E$10-('C perfringens'!I190-GraphPerfringens!$E$6)/GraphPerfringens!$E$5</f>
        <v>1.0451850871709683</v>
      </c>
      <c r="N190" s="1" t="s">
        <v>814</v>
      </c>
      <c r="O190" s="1">
        <v>2001</v>
      </c>
      <c r="P190" t="s">
        <v>824</v>
      </c>
    </row>
    <row r="191" spans="1:25" x14ac:dyDescent="0.2">
      <c r="A191" s="1" t="s">
        <v>1228</v>
      </c>
      <c r="B191" s="1" t="s">
        <v>1322</v>
      </c>
      <c r="C191" t="s">
        <v>820</v>
      </c>
      <c r="D191" s="1" t="s">
        <v>1328</v>
      </c>
      <c r="E191" s="1" t="s">
        <v>44</v>
      </c>
      <c r="F191" s="1" t="s">
        <v>821</v>
      </c>
      <c r="I191" s="4">
        <v>55</v>
      </c>
      <c r="J191" s="11">
        <v>5</v>
      </c>
      <c r="L191" s="11">
        <f t="shared" si="5"/>
        <v>0.69897000433601886</v>
      </c>
      <c r="M191" s="11">
        <f>GraphPerfringens!$E$10-('C perfringens'!I191-GraphPerfringens!$E$6)/GraphPerfringens!$E$5</f>
        <v>1.0451850871709683</v>
      </c>
      <c r="N191" s="1" t="s">
        <v>814</v>
      </c>
      <c r="O191" s="1">
        <v>2001</v>
      </c>
      <c r="P191" t="s">
        <v>824</v>
      </c>
    </row>
    <row r="192" spans="1:25" x14ac:dyDescent="0.2">
      <c r="A192" s="1" t="s">
        <v>1228</v>
      </c>
      <c r="B192" s="1" t="s">
        <v>1322</v>
      </c>
      <c r="C192" t="s">
        <v>822</v>
      </c>
      <c r="D192" s="1" t="s">
        <v>1328</v>
      </c>
      <c r="E192" s="1" t="s">
        <v>44</v>
      </c>
      <c r="F192" s="1" t="s">
        <v>821</v>
      </c>
      <c r="I192" s="4">
        <v>55</v>
      </c>
      <c r="J192" s="11">
        <v>12.1</v>
      </c>
      <c r="L192" s="11">
        <f t="shared" si="5"/>
        <v>1.0827853703164501</v>
      </c>
      <c r="M192" s="11">
        <f>GraphPerfringens!$E$10-('C perfringens'!I192-GraphPerfringens!$E$6)/GraphPerfringens!$E$5</f>
        <v>1.0451850871709683</v>
      </c>
      <c r="N192" s="1" t="s">
        <v>814</v>
      </c>
      <c r="O192" s="1">
        <v>2001</v>
      </c>
      <c r="P192" t="s">
        <v>443</v>
      </c>
    </row>
    <row r="193" spans="1:16" x14ac:dyDescent="0.2">
      <c r="A193" s="1" t="s">
        <v>1228</v>
      </c>
      <c r="B193" s="1" t="s">
        <v>1322</v>
      </c>
      <c r="C193" t="s">
        <v>823</v>
      </c>
      <c r="D193" s="1" t="s">
        <v>1328</v>
      </c>
      <c r="E193" s="1" t="s">
        <v>44</v>
      </c>
      <c r="F193" s="1" t="s">
        <v>821</v>
      </c>
      <c r="I193" s="4">
        <v>55</v>
      </c>
      <c r="J193" s="11">
        <v>5.6</v>
      </c>
      <c r="L193" s="11">
        <f t="shared" si="5"/>
        <v>0.74818802700620035</v>
      </c>
      <c r="M193" s="11">
        <f>GraphPerfringens!$E$10-('C perfringens'!I193-GraphPerfringens!$E$6)/GraphPerfringens!$E$5</f>
        <v>1.0451850871709683</v>
      </c>
      <c r="N193" s="1" t="s">
        <v>814</v>
      </c>
      <c r="O193" s="1">
        <v>2001</v>
      </c>
      <c r="P193" t="s">
        <v>443</v>
      </c>
    </row>
    <row r="194" spans="1:16" x14ac:dyDescent="0.2">
      <c r="A194" s="1" t="s">
        <v>1228</v>
      </c>
      <c r="B194" s="1" t="s">
        <v>1322</v>
      </c>
      <c r="C194" t="s">
        <v>829</v>
      </c>
      <c r="D194" s="1" t="s">
        <v>1328</v>
      </c>
      <c r="E194" s="1" t="s">
        <v>44</v>
      </c>
      <c r="F194" s="1" t="s">
        <v>821</v>
      </c>
      <c r="I194" s="4">
        <v>60</v>
      </c>
      <c r="J194" s="11">
        <v>1.93</v>
      </c>
      <c r="L194" s="11">
        <f t="shared" si="5"/>
        <v>0.28555730900777376</v>
      </c>
      <c r="M194" s="11">
        <f>GraphPerfringens!$E$10-('C perfringens'!I194-GraphPerfringens!$E$6)/GraphPerfringens!$E$5</f>
        <v>0.55796238779851748</v>
      </c>
      <c r="N194" s="1" t="s">
        <v>837</v>
      </c>
      <c r="O194" s="1">
        <v>2001</v>
      </c>
      <c r="P194" t="s">
        <v>831</v>
      </c>
    </row>
    <row r="195" spans="1:16" x14ac:dyDescent="0.2">
      <c r="A195" s="1" t="s">
        <v>1228</v>
      </c>
      <c r="B195" s="1" t="s">
        <v>1322</v>
      </c>
      <c r="C195" t="s">
        <v>829</v>
      </c>
      <c r="D195" s="1" t="s">
        <v>1328</v>
      </c>
      <c r="E195" s="1" t="s">
        <v>44</v>
      </c>
      <c r="F195" s="1" t="s">
        <v>821</v>
      </c>
      <c r="I195" s="4">
        <v>60</v>
      </c>
      <c r="J195" s="11">
        <v>3.75</v>
      </c>
      <c r="L195" s="11">
        <f t="shared" si="5"/>
        <v>0.57403126772771884</v>
      </c>
      <c r="M195" s="11">
        <f>GraphPerfringens!$E$10-('C perfringens'!I195-GraphPerfringens!$E$6)/GraphPerfringens!$E$5</f>
        <v>0.55796238779851748</v>
      </c>
      <c r="N195" s="1" t="s">
        <v>837</v>
      </c>
      <c r="O195" s="1">
        <v>2001</v>
      </c>
      <c r="P195" t="s">
        <v>832</v>
      </c>
    </row>
    <row r="196" spans="1:16" x14ac:dyDescent="0.2">
      <c r="A196" s="1" t="s">
        <v>1228</v>
      </c>
      <c r="B196" s="1" t="s">
        <v>1322</v>
      </c>
      <c r="C196" t="s">
        <v>829</v>
      </c>
      <c r="D196" s="1" t="s">
        <v>1328</v>
      </c>
      <c r="E196" s="1" t="s">
        <v>44</v>
      </c>
      <c r="F196" s="1" t="s">
        <v>821</v>
      </c>
      <c r="I196" s="4">
        <v>60</v>
      </c>
      <c r="J196" s="11">
        <v>3.86</v>
      </c>
      <c r="L196" s="11">
        <f t="shared" si="5"/>
        <v>0.58658730467175491</v>
      </c>
      <c r="M196" s="11">
        <f>GraphPerfringens!$E$10-('C perfringens'!I196-GraphPerfringens!$E$6)/GraphPerfringens!$E$5</f>
        <v>0.55796238779851748</v>
      </c>
      <c r="N196" s="1" t="s">
        <v>837</v>
      </c>
      <c r="O196" s="1">
        <v>2001</v>
      </c>
      <c r="P196" t="s">
        <v>833</v>
      </c>
    </row>
    <row r="197" spans="1:16" x14ac:dyDescent="0.2">
      <c r="A197" s="1" t="s">
        <v>1228</v>
      </c>
      <c r="B197" s="1" t="s">
        <v>1322</v>
      </c>
      <c r="C197" t="s">
        <v>805</v>
      </c>
      <c r="D197" s="1" t="s">
        <v>1328</v>
      </c>
      <c r="E197" s="1" t="s">
        <v>44</v>
      </c>
      <c r="F197" s="1" t="s">
        <v>821</v>
      </c>
      <c r="I197" s="4">
        <v>60</v>
      </c>
      <c r="J197" s="11">
        <v>2.29</v>
      </c>
      <c r="L197" s="11">
        <f t="shared" si="5"/>
        <v>0.35983548233988799</v>
      </c>
      <c r="M197" s="11">
        <f>GraphPerfringens!$E$10-('C perfringens'!I197-GraphPerfringens!$E$6)/GraphPerfringens!$E$5</f>
        <v>0.55796238779851748</v>
      </c>
      <c r="N197" s="1" t="s">
        <v>837</v>
      </c>
      <c r="O197" s="1">
        <v>2001</v>
      </c>
      <c r="P197" t="s">
        <v>831</v>
      </c>
    </row>
    <row r="198" spans="1:16" x14ac:dyDescent="0.2">
      <c r="A198" s="1" t="s">
        <v>1228</v>
      </c>
      <c r="B198" s="1" t="s">
        <v>1322</v>
      </c>
      <c r="C198" t="s">
        <v>805</v>
      </c>
      <c r="D198" s="1" t="s">
        <v>1328</v>
      </c>
      <c r="E198" s="1" t="s">
        <v>44</v>
      </c>
      <c r="F198" s="1" t="s">
        <v>821</v>
      </c>
      <c r="I198" s="4">
        <v>60</v>
      </c>
      <c r="J198" s="11">
        <v>3.04</v>
      </c>
      <c r="L198" s="11">
        <f t="shared" si="5"/>
        <v>0.48287358360875376</v>
      </c>
      <c r="M198" s="11">
        <f>GraphPerfringens!$E$10-('C perfringens'!I198-GraphPerfringens!$E$6)/GraphPerfringens!$E$5</f>
        <v>0.55796238779851748</v>
      </c>
      <c r="N198" s="1" t="s">
        <v>837</v>
      </c>
      <c r="O198" s="1">
        <v>2001</v>
      </c>
      <c r="P198" t="s">
        <v>832</v>
      </c>
    </row>
    <row r="199" spans="1:16" x14ac:dyDescent="0.2">
      <c r="A199" s="1" t="s">
        <v>1228</v>
      </c>
      <c r="B199" s="1" t="s">
        <v>1322</v>
      </c>
      <c r="C199" t="s">
        <v>805</v>
      </c>
      <c r="D199" s="1" t="s">
        <v>1328</v>
      </c>
      <c r="E199" s="1" t="s">
        <v>44</v>
      </c>
      <c r="F199" s="1" t="s">
        <v>821</v>
      </c>
      <c r="I199" s="4">
        <v>60</v>
      </c>
      <c r="J199" s="11">
        <v>4.05</v>
      </c>
      <c r="L199" s="11">
        <f t="shared" si="5"/>
        <v>0.60745502321466849</v>
      </c>
      <c r="M199" s="11">
        <f>GraphPerfringens!$E$10-('C perfringens'!I199-GraphPerfringens!$E$6)/GraphPerfringens!$E$5</f>
        <v>0.55796238779851748</v>
      </c>
      <c r="N199" s="1" t="s">
        <v>837</v>
      </c>
      <c r="O199" s="1">
        <v>2001</v>
      </c>
      <c r="P199" t="s">
        <v>833</v>
      </c>
    </row>
    <row r="200" spans="1:16" x14ac:dyDescent="0.2">
      <c r="A200" s="1" t="s">
        <v>1228</v>
      </c>
      <c r="B200" s="1" t="s">
        <v>1322</v>
      </c>
      <c r="C200" t="s">
        <v>830</v>
      </c>
      <c r="D200" s="1" t="s">
        <v>1328</v>
      </c>
      <c r="E200" s="1" t="s">
        <v>44</v>
      </c>
      <c r="F200" s="1" t="s">
        <v>821</v>
      </c>
      <c r="I200" s="4">
        <v>60</v>
      </c>
      <c r="J200" s="11">
        <v>2.61</v>
      </c>
      <c r="L200" s="11">
        <f t="shared" si="5"/>
        <v>0.41664050733828095</v>
      </c>
      <c r="M200" s="11">
        <f>GraphPerfringens!$E$10-('C perfringens'!I200-GraphPerfringens!$E$6)/GraphPerfringens!$E$5</f>
        <v>0.55796238779851748</v>
      </c>
      <c r="N200" s="1" t="s">
        <v>837</v>
      </c>
      <c r="O200" s="1">
        <v>2001</v>
      </c>
      <c r="P200" t="s">
        <v>831</v>
      </c>
    </row>
    <row r="201" spans="1:16" x14ac:dyDescent="0.2">
      <c r="A201" s="1" t="s">
        <v>1228</v>
      </c>
      <c r="B201" s="1" t="s">
        <v>1322</v>
      </c>
      <c r="C201" t="s">
        <v>830</v>
      </c>
      <c r="D201" s="1" t="s">
        <v>1328</v>
      </c>
      <c r="E201" s="1" t="s">
        <v>44</v>
      </c>
      <c r="F201" s="1" t="s">
        <v>821</v>
      </c>
      <c r="I201" s="4">
        <v>60</v>
      </c>
      <c r="J201" s="11">
        <v>4.22</v>
      </c>
      <c r="L201" s="11">
        <f t="shared" si="5"/>
        <v>0.62531245096167387</v>
      </c>
      <c r="M201" s="11">
        <f>GraphPerfringens!$E$10-('C perfringens'!I201-GraphPerfringens!$E$6)/GraphPerfringens!$E$5</f>
        <v>0.55796238779851748</v>
      </c>
      <c r="N201" s="1" t="s">
        <v>837</v>
      </c>
      <c r="O201" s="1">
        <v>2001</v>
      </c>
      <c r="P201" t="s">
        <v>832</v>
      </c>
    </row>
    <row r="202" spans="1:16" x14ac:dyDescent="0.2">
      <c r="A202" s="1" t="s">
        <v>1228</v>
      </c>
      <c r="B202" s="1" t="s">
        <v>1322</v>
      </c>
      <c r="C202" t="s">
        <v>830</v>
      </c>
      <c r="D202" s="1" t="s">
        <v>1328</v>
      </c>
      <c r="E202" s="1" t="s">
        <v>44</v>
      </c>
      <c r="F202" s="1" t="s">
        <v>821</v>
      </c>
      <c r="I202" s="4">
        <v>60</v>
      </c>
      <c r="J202" s="11">
        <v>3.32</v>
      </c>
      <c r="L202" s="11">
        <f t="shared" si="5"/>
        <v>0.52113808370403625</v>
      </c>
      <c r="M202" s="11">
        <f>GraphPerfringens!$E$10-('C perfringens'!I202-GraphPerfringens!$E$6)/GraphPerfringens!$E$5</f>
        <v>0.55796238779851748</v>
      </c>
      <c r="N202" s="1" t="s">
        <v>837</v>
      </c>
      <c r="O202" s="1">
        <v>2001</v>
      </c>
      <c r="P202" t="s">
        <v>833</v>
      </c>
    </row>
    <row r="203" spans="1:16" x14ac:dyDescent="0.2">
      <c r="A203" s="1" t="s">
        <v>1228</v>
      </c>
      <c r="B203" s="1" t="s">
        <v>1322</v>
      </c>
      <c r="C203" t="s">
        <v>829</v>
      </c>
      <c r="D203" s="1" t="s">
        <v>1328</v>
      </c>
      <c r="E203" s="1" t="s">
        <v>44</v>
      </c>
      <c r="F203" s="1" t="s">
        <v>821</v>
      </c>
      <c r="I203" s="4">
        <v>60</v>
      </c>
      <c r="J203" s="11">
        <v>1.95</v>
      </c>
      <c r="L203" s="11">
        <f t="shared" si="5"/>
        <v>0.29003461136251801</v>
      </c>
      <c r="M203" s="11">
        <f>GraphPerfringens!$E$10-('C perfringens'!I203-GraphPerfringens!$E$6)/GraphPerfringens!$E$5</f>
        <v>0.55796238779851748</v>
      </c>
      <c r="N203" s="1" t="s">
        <v>837</v>
      </c>
      <c r="O203" s="1">
        <v>2001</v>
      </c>
      <c r="P203" t="s">
        <v>834</v>
      </c>
    </row>
    <row r="204" spans="1:16" x14ac:dyDescent="0.2">
      <c r="A204" s="1" t="s">
        <v>1228</v>
      </c>
      <c r="B204" s="1" t="s">
        <v>1322</v>
      </c>
      <c r="C204" t="s">
        <v>829</v>
      </c>
      <c r="D204" s="1" t="s">
        <v>1328</v>
      </c>
      <c r="E204" s="1" t="s">
        <v>44</v>
      </c>
      <c r="F204" s="1" t="s">
        <v>821</v>
      </c>
      <c r="I204" s="4">
        <v>60</v>
      </c>
      <c r="J204" s="11">
        <v>2.92</v>
      </c>
      <c r="L204" s="11">
        <f t="shared" si="5"/>
        <v>0.46538285144841829</v>
      </c>
      <c r="M204" s="11">
        <f>GraphPerfringens!$E$10-('C perfringens'!I204-GraphPerfringens!$E$6)/GraphPerfringens!$E$5</f>
        <v>0.55796238779851748</v>
      </c>
      <c r="N204" s="1" t="s">
        <v>837</v>
      </c>
      <c r="O204" s="1">
        <v>2001</v>
      </c>
      <c r="P204" t="s">
        <v>835</v>
      </c>
    </row>
    <row r="205" spans="1:16" x14ac:dyDescent="0.2">
      <c r="A205" s="1" t="s">
        <v>1228</v>
      </c>
      <c r="B205" s="1" t="s">
        <v>1322</v>
      </c>
      <c r="C205" t="s">
        <v>829</v>
      </c>
      <c r="D205" s="1" t="s">
        <v>1328</v>
      </c>
      <c r="E205" s="1" t="s">
        <v>44</v>
      </c>
      <c r="F205" s="1" t="s">
        <v>821</v>
      </c>
      <c r="I205" s="4">
        <v>60</v>
      </c>
      <c r="J205" s="11">
        <v>1.49</v>
      </c>
      <c r="L205" s="11">
        <f t="shared" si="5"/>
        <v>0.17318626841227402</v>
      </c>
      <c r="M205" s="11">
        <f>GraphPerfringens!$E$10-('C perfringens'!I205-GraphPerfringens!$E$6)/GraphPerfringens!$E$5</f>
        <v>0.55796238779851748</v>
      </c>
      <c r="N205" s="1" t="s">
        <v>837</v>
      </c>
      <c r="O205" s="1">
        <v>2001</v>
      </c>
      <c r="P205" t="s">
        <v>836</v>
      </c>
    </row>
    <row r="206" spans="1:16" x14ac:dyDescent="0.2">
      <c r="A206" s="1" t="s">
        <v>1228</v>
      </c>
      <c r="B206" s="1" t="s">
        <v>1322</v>
      </c>
      <c r="C206" t="s">
        <v>805</v>
      </c>
      <c r="D206" s="1" t="s">
        <v>1328</v>
      </c>
      <c r="E206" s="1" t="s">
        <v>44</v>
      </c>
      <c r="F206" s="1" t="s">
        <v>821</v>
      </c>
      <c r="I206" s="4">
        <v>60</v>
      </c>
      <c r="J206" s="11">
        <v>2.2400000000000002</v>
      </c>
      <c r="L206" s="11">
        <f t="shared" si="5"/>
        <v>0.35024801833416286</v>
      </c>
      <c r="M206" s="11">
        <f>GraphPerfringens!$E$10-('C perfringens'!I206-GraphPerfringens!$E$6)/GraphPerfringens!$E$5</f>
        <v>0.55796238779851748</v>
      </c>
      <c r="N206" s="1" t="s">
        <v>837</v>
      </c>
      <c r="O206" s="1">
        <v>2001</v>
      </c>
      <c r="P206" t="s">
        <v>834</v>
      </c>
    </row>
    <row r="207" spans="1:16" x14ac:dyDescent="0.2">
      <c r="A207" s="1" t="s">
        <v>1228</v>
      </c>
      <c r="B207" s="1" t="s">
        <v>1322</v>
      </c>
      <c r="C207" t="s">
        <v>805</v>
      </c>
      <c r="D207" s="1" t="s">
        <v>1328</v>
      </c>
      <c r="E207" s="1" t="s">
        <v>44</v>
      </c>
      <c r="F207" s="1" t="s">
        <v>821</v>
      </c>
      <c r="I207" s="4">
        <v>60</v>
      </c>
      <c r="J207" s="11">
        <v>2.34</v>
      </c>
      <c r="L207" s="11">
        <f t="shared" si="5"/>
        <v>0.36921585741014279</v>
      </c>
      <c r="M207" s="11">
        <f>GraphPerfringens!$E$10-('C perfringens'!I207-GraphPerfringens!$E$6)/GraphPerfringens!$E$5</f>
        <v>0.55796238779851748</v>
      </c>
      <c r="N207" s="1" t="s">
        <v>837</v>
      </c>
      <c r="O207" s="1">
        <v>2001</v>
      </c>
      <c r="P207" t="s">
        <v>835</v>
      </c>
    </row>
    <row r="208" spans="1:16" x14ac:dyDescent="0.2">
      <c r="A208" s="1" t="s">
        <v>1228</v>
      </c>
      <c r="B208" s="1" t="s">
        <v>1322</v>
      </c>
      <c r="C208" t="s">
        <v>805</v>
      </c>
      <c r="D208" s="1" t="s">
        <v>1328</v>
      </c>
      <c r="E208" s="1" t="s">
        <v>44</v>
      </c>
      <c r="F208" s="1" t="s">
        <v>821</v>
      </c>
      <c r="I208" s="4">
        <v>60</v>
      </c>
      <c r="J208" s="11">
        <v>3.06</v>
      </c>
      <c r="L208" s="11">
        <f t="shared" si="5"/>
        <v>0.48572142648158001</v>
      </c>
      <c r="M208" s="11">
        <f>GraphPerfringens!$E$10-('C perfringens'!I208-GraphPerfringens!$E$6)/GraphPerfringens!$E$5</f>
        <v>0.55796238779851748</v>
      </c>
      <c r="N208" s="1" t="s">
        <v>837</v>
      </c>
      <c r="O208" s="1">
        <v>2001</v>
      </c>
      <c r="P208" t="s">
        <v>836</v>
      </c>
    </row>
    <row r="209" spans="1:16" x14ac:dyDescent="0.2">
      <c r="A209" s="1" t="s">
        <v>1228</v>
      </c>
      <c r="B209" s="1" t="s">
        <v>1322</v>
      </c>
      <c r="C209" t="s">
        <v>830</v>
      </c>
      <c r="D209" s="1" t="s">
        <v>1328</v>
      </c>
      <c r="E209" s="1" t="s">
        <v>44</v>
      </c>
      <c r="F209" s="1" t="s">
        <v>821</v>
      </c>
      <c r="I209" s="4">
        <v>60</v>
      </c>
      <c r="J209" s="11">
        <v>2.35</v>
      </c>
      <c r="L209" s="11">
        <f t="shared" si="5"/>
        <v>0.37106786227173627</v>
      </c>
      <c r="M209" s="11">
        <f>GraphPerfringens!$E$10-('C perfringens'!I209-GraphPerfringens!$E$6)/GraphPerfringens!$E$5</f>
        <v>0.55796238779851748</v>
      </c>
      <c r="N209" s="1" t="s">
        <v>837</v>
      </c>
      <c r="O209" s="1">
        <v>2001</v>
      </c>
      <c r="P209" t="s">
        <v>834</v>
      </c>
    </row>
    <row r="210" spans="1:16" x14ac:dyDescent="0.2">
      <c r="A210" s="1" t="s">
        <v>1228</v>
      </c>
      <c r="B210" s="1" t="s">
        <v>1322</v>
      </c>
      <c r="C210" t="s">
        <v>830</v>
      </c>
      <c r="D210" s="1" t="s">
        <v>1328</v>
      </c>
      <c r="E210" s="1" t="s">
        <v>44</v>
      </c>
      <c r="F210" s="1" t="s">
        <v>821</v>
      </c>
      <c r="I210" s="4">
        <v>60</v>
      </c>
      <c r="J210" s="11">
        <v>1.88</v>
      </c>
      <c r="L210" s="11">
        <f t="shared" si="5"/>
        <v>0.27415784926367981</v>
      </c>
      <c r="M210" s="11">
        <f>GraphPerfringens!$E$10-('C perfringens'!I210-GraphPerfringens!$E$6)/GraphPerfringens!$E$5</f>
        <v>0.55796238779851748</v>
      </c>
      <c r="N210" s="1" t="s">
        <v>837</v>
      </c>
      <c r="O210" s="1">
        <v>2001</v>
      </c>
      <c r="P210" t="s">
        <v>835</v>
      </c>
    </row>
    <row r="211" spans="1:16" x14ac:dyDescent="0.2">
      <c r="A211" s="1" t="s">
        <v>1228</v>
      </c>
      <c r="B211" s="1" t="s">
        <v>1322</v>
      </c>
      <c r="C211" t="s">
        <v>830</v>
      </c>
      <c r="D211" s="1" t="s">
        <v>1328</v>
      </c>
      <c r="E211" s="1" t="s">
        <v>44</v>
      </c>
      <c r="F211" s="1" t="s">
        <v>821</v>
      </c>
      <c r="I211" s="4">
        <v>60</v>
      </c>
      <c r="J211" s="11">
        <v>2.2799999999999998</v>
      </c>
      <c r="L211" s="11">
        <f t="shared" si="5"/>
        <v>0.35793484700045375</v>
      </c>
      <c r="M211" s="11">
        <f>GraphPerfringens!$E$10-('C perfringens'!I211-GraphPerfringens!$E$6)/GraphPerfringens!$E$5</f>
        <v>0.55796238779851748</v>
      </c>
      <c r="N211" s="1" t="s">
        <v>837</v>
      </c>
      <c r="O211" s="1">
        <v>2001</v>
      </c>
      <c r="P211" t="s">
        <v>836</v>
      </c>
    </row>
    <row r="213" spans="1:16" x14ac:dyDescent="0.2">
      <c r="A213" s="1" t="s">
        <v>1228</v>
      </c>
      <c r="B213" s="1" t="s">
        <v>1322</v>
      </c>
      <c r="C213" s="1" t="s">
        <v>185</v>
      </c>
      <c r="D213" s="1" t="s">
        <v>1324</v>
      </c>
      <c r="E213" s="1" t="s">
        <v>44</v>
      </c>
      <c r="F213" s="1" t="s">
        <v>1252</v>
      </c>
      <c r="H213" s="4">
        <v>7</v>
      </c>
      <c r="I213" s="4">
        <v>90</v>
      </c>
      <c r="J213" s="11">
        <v>1.4999999999999999E-2</v>
      </c>
      <c r="L213" s="11">
        <f>LOG(J213)</f>
        <v>-1.8239087409443189</v>
      </c>
      <c r="M213" s="11">
        <f>GraphPerfringens!$B$10-('C perfringens'!I213-GraphPerfringens!$B$6)/GraphPerfringens!$B$5</f>
        <v>1.2615640482200372</v>
      </c>
      <c r="N213" s="2" t="s">
        <v>1226</v>
      </c>
      <c r="O213" s="2">
        <v>1996</v>
      </c>
      <c r="P213" t="s">
        <v>785</v>
      </c>
    </row>
    <row r="217" spans="1:16" x14ac:dyDescent="0.2">
      <c r="K217" s="4" t="s">
        <v>902</v>
      </c>
      <c r="L217" s="4">
        <f>GraphPerfringens!B53</f>
        <v>0</v>
      </c>
    </row>
  </sheetData>
  <phoneticPr fontId="0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55"/>
  <sheetViews>
    <sheetView topLeftCell="A8" workbookViewId="0">
      <selection activeCell="B46" sqref="B46"/>
    </sheetView>
  </sheetViews>
  <sheetFormatPr defaultRowHeight="12.75" x14ac:dyDescent="0.2"/>
  <sheetData>
    <row r="1" spans="1:7" ht="18" x14ac:dyDescent="0.25">
      <c r="A1" s="3" t="s">
        <v>248</v>
      </c>
    </row>
    <row r="3" spans="1:7" x14ac:dyDescent="0.2">
      <c r="A3" t="s">
        <v>1346</v>
      </c>
      <c r="B3" t="s">
        <v>210</v>
      </c>
    </row>
    <row r="4" spans="1:7" x14ac:dyDescent="0.2">
      <c r="B4" s="24" t="s">
        <v>827</v>
      </c>
      <c r="C4" s="24"/>
      <c r="D4" s="24"/>
      <c r="E4" s="24" t="s">
        <v>828</v>
      </c>
    </row>
    <row r="5" spans="1:7" x14ac:dyDescent="0.2">
      <c r="A5" t="s">
        <v>1347</v>
      </c>
      <c r="B5" s="10">
        <f>-1/SLOPE('C perfringens'!L2:L65,'C perfringens'!I2:I65)</f>
        <v>16.835426227671274</v>
      </c>
      <c r="C5" s="10">
        <f>SLOPE('C perfringens'!L2:L65,'C perfringens'!I2:I65)</f>
        <v>-5.9398555550459795E-2</v>
      </c>
      <c r="D5" t="s">
        <v>201</v>
      </c>
      <c r="E5" s="10">
        <f>-1/SLOPE('C perfringens'!L66:L211,'C perfringens'!I66:I211)</f>
        <v>10.262247646589675</v>
      </c>
      <c r="F5" s="10">
        <f>SLOPE('C perfringens'!L66:L181,'C perfringens'!I66:I181)</f>
        <v>-8.5762967829318484E-2</v>
      </c>
      <c r="G5" t="s">
        <v>201</v>
      </c>
    </row>
    <row r="6" spans="1:7" x14ac:dyDescent="0.2">
      <c r="A6" t="s">
        <v>1350</v>
      </c>
      <c r="B6">
        <v>120</v>
      </c>
      <c r="E6">
        <v>70</v>
      </c>
    </row>
    <row r="7" spans="1:7" x14ac:dyDescent="0.2">
      <c r="A7" t="s">
        <v>1353</v>
      </c>
      <c r="B7" s="10">
        <f>TINV(0.05,COUNT('C perfringens'!L2:L65)-2)</f>
        <v>1.9989715170333793</v>
      </c>
      <c r="E7" s="10">
        <f>TINV(0.05,COUNT('C perfringens'!L66:L211)-2)</f>
        <v>1.9765750658304413</v>
      </c>
    </row>
    <row r="8" spans="1:7" x14ac:dyDescent="0.2">
      <c r="A8" t="s">
        <v>1355</v>
      </c>
      <c r="B8" s="10">
        <f>SUMXMY2('C perfringens'!M2:M65,'C perfringens'!L2:L65)</f>
        <v>14.010826195141963</v>
      </c>
      <c r="E8" s="10">
        <f>SUMXMY2('C perfringens'!M66:M211,'C perfringens'!L66:L211)</f>
        <v>19.953500555618341</v>
      </c>
    </row>
    <row r="9" spans="1:7" x14ac:dyDescent="0.2">
      <c r="A9" t="s">
        <v>1354</v>
      </c>
      <c r="B9" s="10">
        <f>SQRT(B8/(COUNT('C perfringens'!L2:L65)-2))</f>
        <v>0.47537466030866649</v>
      </c>
      <c r="E9" s="10">
        <f>SQRT(E8/(COUNT('C perfringens'!L66:L211)-2))</f>
        <v>0.37224451114916779</v>
      </c>
    </row>
    <row r="10" spans="1:7" x14ac:dyDescent="0.2">
      <c r="A10" t="s">
        <v>1351</v>
      </c>
      <c r="B10" s="10">
        <f>INTERCEPT('C perfringens'!L2:L65,'C perfringens'!I2:I65)-B6/B5</f>
        <v>-0.52039261829375683</v>
      </c>
      <c r="C10" s="10">
        <f>INTERCEPT('C perfringens'!L2:L65,'C perfringens'!I2:I65)</f>
        <v>6.6074340477614193</v>
      </c>
      <c r="D10" t="s">
        <v>202</v>
      </c>
      <c r="E10" s="10">
        <f>INTERCEPT('C perfringens'!L66:L211,'C perfringens'!I66:I211)-E6/E5</f>
        <v>-0.41648301094638374</v>
      </c>
      <c r="F10" s="10">
        <f>INTERCEPT('C perfringens'!L66:L181,'C perfringens'!I66:I181)</f>
        <v>5.7551174818243371</v>
      </c>
      <c r="G10" t="s">
        <v>202</v>
      </c>
    </row>
    <row r="11" spans="1:7" x14ac:dyDescent="0.2">
      <c r="A11" t="s">
        <v>135</v>
      </c>
      <c r="B11" s="10">
        <f>B10+B7*B9</f>
        <v>0.42986778758268562</v>
      </c>
      <c r="E11" s="10">
        <f>E10+E7*E9</f>
        <v>0.319286208183303</v>
      </c>
    </row>
    <row r="13" spans="1:7" x14ac:dyDescent="0.2">
      <c r="A13" t="s">
        <v>1348</v>
      </c>
      <c r="B13" t="s">
        <v>1344</v>
      </c>
      <c r="C13" t="s">
        <v>1352</v>
      </c>
      <c r="E13" t="s">
        <v>1344</v>
      </c>
      <c r="F13" t="s">
        <v>1352</v>
      </c>
    </row>
    <row r="14" spans="1:7" x14ac:dyDescent="0.2">
      <c r="A14">
        <v>45</v>
      </c>
      <c r="B14" s="10">
        <f t="shared" ref="B14:B34" si="0">$B$10-(A14-$B$6)/$B$5</f>
        <v>3.9344990479907276</v>
      </c>
      <c r="C14" s="10">
        <f t="shared" ref="C14:C34" si="1">B14+$B$7*$B$9</f>
        <v>4.8847594538671704</v>
      </c>
      <c r="E14" s="10">
        <f>$E$10-(A14-$E$6)/$E$5</f>
        <v>2.0196304859158696</v>
      </c>
      <c r="F14" s="10">
        <f>E14+$E$7*$E$9</f>
        <v>2.7553997050455563</v>
      </c>
    </row>
    <row r="15" spans="1:7" x14ac:dyDescent="0.2">
      <c r="A15">
        <f>A14+5</f>
        <v>50</v>
      </c>
      <c r="B15" s="10">
        <f t="shared" si="0"/>
        <v>3.6375062702384291</v>
      </c>
      <c r="C15" s="10">
        <f t="shared" si="1"/>
        <v>4.5877666761148719</v>
      </c>
      <c r="E15" s="10">
        <f t="shared" ref="E15:E34" si="2">$E$10-(A15-$E$6)/$E$5</f>
        <v>1.5324077865434187</v>
      </c>
      <c r="F15" s="10">
        <f t="shared" ref="F15:F34" si="3">E15+$E$7*$E$9</f>
        <v>2.2681770056731052</v>
      </c>
    </row>
    <row r="16" spans="1:7" x14ac:dyDescent="0.2">
      <c r="A16">
        <f>A15+5</f>
        <v>55</v>
      </c>
      <c r="B16" s="10">
        <f t="shared" si="0"/>
        <v>3.3405134924861302</v>
      </c>
      <c r="C16" s="10">
        <f t="shared" si="1"/>
        <v>4.2907738983625725</v>
      </c>
      <c r="E16" s="10">
        <f t="shared" si="2"/>
        <v>1.0451850871709683</v>
      </c>
      <c r="F16" s="10">
        <f t="shared" si="3"/>
        <v>1.780954306300655</v>
      </c>
    </row>
    <row r="17" spans="1:6" x14ac:dyDescent="0.2">
      <c r="A17">
        <f>A16+5</f>
        <v>60</v>
      </c>
      <c r="B17" s="10">
        <f t="shared" si="0"/>
        <v>3.0435207147338312</v>
      </c>
      <c r="C17" s="10">
        <f t="shared" si="1"/>
        <v>3.9937811206102736</v>
      </c>
      <c r="E17" s="10">
        <f t="shared" si="2"/>
        <v>0.55796238779851748</v>
      </c>
      <c r="F17" s="10">
        <f t="shared" si="3"/>
        <v>1.2937316069282043</v>
      </c>
    </row>
    <row r="18" spans="1:6" x14ac:dyDescent="0.2">
      <c r="A18">
        <f>A17+5</f>
        <v>65</v>
      </c>
      <c r="B18" s="10">
        <f t="shared" si="0"/>
        <v>2.7465279369815319</v>
      </c>
      <c r="C18" s="10">
        <f t="shared" si="1"/>
        <v>3.6967883428579742</v>
      </c>
      <c r="E18" s="10">
        <f t="shared" si="2"/>
        <v>7.0739688426066871E-2</v>
      </c>
      <c r="F18" s="10">
        <f t="shared" si="3"/>
        <v>0.80650890755575366</v>
      </c>
    </row>
    <row r="19" spans="1:6" x14ac:dyDescent="0.2">
      <c r="A19">
        <v>70</v>
      </c>
      <c r="B19" s="10">
        <f t="shared" si="0"/>
        <v>2.4495351592292329</v>
      </c>
      <c r="C19" s="10">
        <f t="shared" si="1"/>
        <v>3.3997955651056753</v>
      </c>
      <c r="E19" s="10">
        <f t="shared" si="2"/>
        <v>-0.41648301094638374</v>
      </c>
      <c r="F19" s="10">
        <f t="shared" si="3"/>
        <v>0.319286208183303</v>
      </c>
    </row>
    <row r="20" spans="1:6" x14ac:dyDescent="0.2">
      <c r="A20">
        <f>A19+5</f>
        <v>75</v>
      </c>
      <c r="B20" s="10">
        <f t="shared" si="0"/>
        <v>2.152542381476934</v>
      </c>
      <c r="C20" s="10">
        <f t="shared" si="1"/>
        <v>3.1028027873533763</v>
      </c>
      <c r="E20" s="10">
        <f t="shared" si="2"/>
        <v>-0.9037057103188344</v>
      </c>
      <c r="F20" s="10">
        <f t="shared" si="3"/>
        <v>-0.16793649118914766</v>
      </c>
    </row>
    <row r="21" spans="1:6" x14ac:dyDescent="0.2">
      <c r="A21">
        <f t="shared" ref="A21:A34" si="4">A20+5</f>
        <v>80</v>
      </c>
      <c r="B21" s="10">
        <f t="shared" si="0"/>
        <v>1.8555496037246351</v>
      </c>
      <c r="C21" s="10">
        <f t="shared" si="1"/>
        <v>2.8058100096010774</v>
      </c>
      <c r="E21" s="10">
        <f t="shared" si="2"/>
        <v>-1.3909284096912851</v>
      </c>
      <c r="F21" s="10">
        <f t="shared" si="3"/>
        <v>-0.65515919056159833</v>
      </c>
    </row>
    <row r="22" spans="1:6" x14ac:dyDescent="0.2">
      <c r="A22">
        <f t="shared" si="4"/>
        <v>85</v>
      </c>
      <c r="B22" s="10">
        <f t="shared" si="0"/>
        <v>1.5585568259723361</v>
      </c>
      <c r="C22" s="10">
        <f t="shared" si="1"/>
        <v>2.5088172318487785</v>
      </c>
      <c r="E22" s="10">
        <f t="shared" si="2"/>
        <v>-1.8781511090637357</v>
      </c>
      <c r="F22" s="10">
        <f t="shared" si="3"/>
        <v>-1.142381889934049</v>
      </c>
    </row>
    <row r="23" spans="1:6" x14ac:dyDescent="0.2">
      <c r="A23">
        <f t="shared" si="4"/>
        <v>90</v>
      </c>
      <c r="B23" s="10">
        <f t="shared" si="0"/>
        <v>1.2615640482200372</v>
      </c>
      <c r="C23" s="10">
        <f t="shared" si="1"/>
        <v>2.2118244540964795</v>
      </c>
      <c r="E23" s="10">
        <f t="shared" si="2"/>
        <v>-2.3653738084361864</v>
      </c>
      <c r="F23" s="10">
        <f t="shared" si="3"/>
        <v>-1.6296045893064997</v>
      </c>
    </row>
    <row r="24" spans="1:6" x14ac:dyDescent="0.2">
      <c r="A24">
        <f t="shared" si="4"/>
        <v>95</v>
      </c>
      <c r="B24" s="10">
        <f t="shared" si="0"/>
        <v>0.96457127046773805</v>
      </c>
      <c r="C24" s="10">
        <f t="shared" si="1"/>
        <v>1.9148316763441806</v>
      </c>
      <c r="E24" s="10">
        <f t="shared" si="2"/>
        <v>-2.852596507808637</v>
      </c>
      <c r="F24" s="10">
        <f t="shared" si="3"/>
        <v>-2.1168272886789503</v>
      </c>
    </row>
    <row r="25" spans="1:6" x14ac:dyDescent="0.2">
      <c r="A25">
        <f t="shared" si="4"/>
        <v>100</v>
      </c>
      <c r="B25" s="10">
        <f t="shared" si="0"/>
        <v>0.66757849271543912</v>
      </c>
      <c r="C25" s="10">
        <f t="shared" si="1"/>
        <v>1.6178388985918817</v>
      </c>
      <c r="E25" s="10">
        <f t="shared" si="2"/>
        <v>-3.3398192071810877</v>
      </c>
      <c r="F25" s="10">
        <f t="shared" si="3"/>
        <v>-2.604049988051401</v>
      </c>
    </row>
    <row r="26" spans="1:6" x14ac:dyDescent="0.2">
      <c r="A26">
        <f t="shared" si="4"/>
        <v>105</v>
      </c>
      <c r="B26" s="10">
        <f t="shared" si="0"/>
        <v>0.37058571496314019</v>
      </c>
      <c r="C26" s="10">
        <f t="shared" si="1"/>
        <v>1.3208461208395827</v>
      </c>
      <c r="E26" s="10">
        <f t="shared" si="2"/>
        <v>-3.8270419065535379</v>
      </c>
      <c r="F26" s="10">
        <f t="shared" si="3"/>
        <v>-3.0912726874238512</v>
      </c>
    </row>
    <row r="27" spans="1:6" x14ac:dyDescent="0.2">
      <c r="A27">
        <f t="shared" si="4"/>
        <v>110</v>
      </c>
      <c r="B27" s="10">
        <f t="shared" si="0"/>
        <v>7.3592937210841147E-2</v>
      </c>
      <c r="C27" s="10">
        <f t="shared" si="1"/>
        <v>1.0238533430872836</v>
      </c>
      <c r="E27" s="10">
        <f t="shared" si="2"/>
        <v>-4.3142646059259881</v>
      </c>
      <c r="F27" s="10">
        <f t="shared" si="3"/>
        <v>-3.5784953867963014</v>
      </c>
    </row>
    <row r="28" spans="1:6" x14ac:dyDescent="0.2">
      <c r="A28">
        <f t="shared" si="4"/>
        <v>115</v>
      </c>
      <c r="B28" s="10">
        <f t="shared" si="0"/>
        <v>-0.22339984054145784</v>
      </c>
      <c r="C28" s="10">
        <f t="shared" si="1"/>
        <v>0.72686056533498467</v>
      </c>
      <c r="E28" s="10">
        <f t="shared" si="2"/>
        <v>-4.8014873052984397</v>
      </c>
      <c r="F28" s="10">
        <f t="shared" si="3"/>
        <v>-4.0657180861687525</v>
      </c>
    </row>
    <row r="29" spans="1:6" x14ac:dyDescent="0.2">
      <c r="A29">
        <f t="shared" si="4"/>
        <v>120</v>
      </c>
      <c r="B29" s="10">
        <f t="shared" si="0"/>
        <v>-0.52039261829375683</v>
      </c>
      <c r="C29" s="10">
        <f t="shared" si="1"/>
        <v>0.42986778758268562</v>
      </c>
      <c r="E29" s="10">
        <f t="shared" si="2"/>
        <v>-5.2887100046708904</v>
      </c>
      <c r="F29" s="10">
        <f t="shared" si="3"/>
        <v>-4.5529407855412032</v>
      </c>
    </row>
    <row r="30" spans="1:6" x14ac:dyDescent="0.2">
      <c r="A30">
        <f t="shared" si="4"/>
        <v>125</v>
      </c>
      <c r="B30" s="10">
        <f t="shared" si="0"/>
        <v>-0.81738539604605576</v>
      </c>
      <c r="C30" s="10">
        <f t="shared" si="1"/>
        <v>0.13287500983038669</v>
      </c>
      <c r="E30" s="10">
        <f t="shared" si="2"/>
        <v>-5.775932704043341</v>
      </c>
      <c r="F30" s="10">
        <f t="shared" si="3"/>
        <v>-5.0401634849136538</v>
      </c>
    </row>
    <row r="31" spans="1:6" x14ac:dyDescent="0.2">
      <c r="A31">
        <f t="shared" si="4"/>
        <v>130</v>
      </c>
      <c r="B31" s="10">
        <f t="shared" si="0"/>
        <v>-1.1143781737983547</v>
      </c>
      <c r="C31" s="10">
        <f t="shared" si="1"/>
        <v>-0.16411776792191224</v>
      </c>
      <c r="E31" s="10">
        <f t="shared" si="2"/>
        <v>-6.2631554034157917</v>
      </c>
      <c r="F31" s="10">
        <f t="shared" si="3"/>
        <v>-5.5273861842861045</v>
      </c>
    </row>
    <row r="32" spans="1:6" x14ac:dyDescent="0.2">
      <c r="A32">
        <f t="shared" si="4"/>
        <v>135</v>
      </c>
      <c r="B32" s="10">
        <f t="shared" si="0"/>
        <v>-1.4113709515506538</v>
      </c>
      <c r="C32" s="10">
        <f t="shared" si="1"/>
        <v>-0.46111054567421139</v>
      </c>
      <c r="E32" s="10">
        <f t="shared" si="2"/>
        <v>-6.7503781027882424</v>
      </c>
      <c r="F32" s="10">
        <f t="shared" si="3"/>
        <v>-6.0146088836585552</v>
      </c>
    </row>
    <row r="33" spans="1:8" x14ac:dyDescent="0.2">
      <c r="A33">
        <f t="shared" si="4"/>
        <v>140</v>
      </c>
      <c r="B33" s="10">
        <f t="shared" si="0"/>
        <v>-1.7083637293029528</v>
      </c>
      <c r="C33" s="10">
        <f t="shared" si="1"/>
        <v>-0.75810332342651032</v>
      </c>
      <c r="E33" s="10">
        <f t="shared" si="2"/>
        <v>-7.2376008021606921</v>
      </c>
      <c r="F33" s="10">
        <f t="shared" si="3"/>
        <v>-6.5018315830310058</v>
      </c>
    </row>
    <row r="34" spans="1:8" x14ac:dyDescent="0.2">
      <c r="A34">
        <f t="shared" si="4"/>
        <v>145</v>
      </c>
      <c r="B34" s="10">
        <f t="shared" si="0"/>
        <v>-2.0053565070552519</v>
      </c>
      <c r="C34" s="10">
        <f t="shared" si="1"/>
        <v>-1.0550961011788096</v>
      </c>
      <c r="E34" s="10">
        <f t="shared" si="2"/>
        <v>-7.7248235015331428</v>
      </c>
      <c r="F34" s="10">
        <f t="shared" si="3"/>
        <v>-6.9890542824034565</v>
      </c>
    </row>
    <row r="36" spans="1:8" x14ac:dyDescent="0.2">
      <c r="A36" s="24" t="s">
        <v>843</v>
      </c>
    </row>
    <row r="38" spans="1:8" x14ac:dyDescent="0.2">
      <c r="A38" t="s">
        <v>250</v>
      </c>
      <c r="D38" t="s">
        <v>844</v>
      </c>
      <c r="G38" t="s">
        <v>275</v>
      </c>
    </row>
    <row r="39" spans="1:8" x14ac:dyDescent="0.2">
      <c r="A39" t="s">
        <v>251</v>
      </c>
      <c r="B39" s="31">
        <f>SLOPE('C perfringens'!L2:L211,'C perfringens'!I2:I211)</f>
        <v>-8.5839396651414823E-3</v>
      </c>
      <c r="D39" t="s">
        <v>251</v>
      </c>
      <c r="E39" s="10">
        <f>SLOPE('C perfringens'!L2:L65,'C perfringens'!I2:I65)</f>
        <v>-5.9398555550459795E-2</v>
      </c>
      <c r="G39" t="s">
        <v>251</v>
      </c>
      <c r="H39" s="10">
        <f>SLOPE('C perfringens'!L66:L211,'C perfringens'!I66:I211)</f>
        <v>-9.744453987449013E-2</v>
      </c>
    </row>
    <row r="40" spans="1:8" x14ac:dyDescent="0.2">
      <c r="A40" t="s">
        <v>202</v>
      </c>
      <c r="B40" s="10">
        <f>INTERCEPT('C perfringens'!L2:L211,'C perfringens'!I2:I211)</f>
        <v>1.2634845443912388</v>
      </c>
      <c r="D40" t="s">
        <v>252</v>
      </c>
      <c r="E40" s="10">
        <f>INTERCEPT('C perfringens'!L2:L65,'C perfringens'!I2:I65)</f>
        <v>6.6074340477614193</v>
      </c>
      <c r="G40" t="s">
        <v>252</v>
      </c>
      <c r="H40" s="10">
        <f>INTERCEPT('C perfringens'!L66:L211,'C perfringens'!I66:I211)</f>
        <v>6.4046347802679247</v>
      </c>
    </row>
    <row r="41" spans="1:8" x14ac:dyDescent="0.2">
      <c r="A41" t="s">
        <v>259</v>
      </c>
      <c r="B41" s="10">
        <f>SUMXMY2('C perfringens'!L2:L211,'C perfringens'!W2:W211)</f>
        <v>21.149913295955972</v>
      </c>
      <c r="D41" t="s">
        <v>259</v>
      </c>
      <c r="E41" s="10">
        <f>SUMXMY2('C perfringens'!L2:L65,'C perfringens'!X2:X65)</f>
        <v>7.674202022572282</v>
      </c>
      <c r="G41" t="s">
        <v>259</v>
      </c>
      <c r="H41" s="10">
        <f>SUMXMY2('C perfringens'!L66:L211,'C perfringens'!Y66:Y211)</f>
        <v>10.629848952532944</v>
      </c>
    </row>
    <row r="42" spans="1:8" x14ac:dyDescent="0.2">
      <c r="D42" t="s">
        <v>260</v>
      </c>
      <c r="E42" s="10">
        <f>E41+H41</f>
        <v>18.304050975105227</v>
      </c>
    </row>
    <row r="44" spans="1:8" x14ac:dyDescent="0.2">
      <c r="A44" t="s">
        <v>262</v>
      </c>
      <c r="B44">
        <f>COUNT('C perfringens'!L2:L211)</f>
        <v>210</v>
      </c>
    </row>
    <row r="45" spans="1:8" x14ac:dyDescent="0.2">
      <c r="A45" t="s">
        <v>261</v>
      </c>
      <c r="B45" s="10">
        <f>((B41-E42)/2)/(E42/(B44-4))</f>
        <v>16.014150061442432</v>
      </c>
    </row>
    <row r="46" spans="1:8" x14ac:dyDescent="0.2">
      <c r="A46" t="s">
        <v>283</v>
      </c>
      <c r="B46" s="10">
        <f>FINV(0.05,2,B44-4)</f>
        <v>3.0397228291614251</v>
      </c>
    </row>
    <row r="47" spans="1:8" x14ac:dyDescent="0.2">
      <c r="A47" t="s">
        <v>255</v>
      </c>
      <c r="B47" s="10">
        <f>(B41/(B44-2))/(E42/(B44-4))</f>
        <v>1.1443668275138696</v>
      </c>
    </row>
    <row r="48" spans="1:8" x14ac:dyDescent="0.2">
      <c r="A48" t="s">
        <v>282</v>
      </c>
      <c r="B48" s="10">
        <f>FINV(0.05,B44-2,B44-4)</f>
        <v>1.2576598182832852</v>
      </c>
    </row>
    <row r="50" spans="1:2" x14ac:dyDescent="0.2">
      <c r="A50" s="24" t="s">
        <v>978</v>
      </c>
    </row>
    <row r="52" spans="1:2" x14ac:dyDescent="0.2">
      <c r="A52" t="s">
        <v>897</v>
      </c>
    </row>
    <row r="53" spans="1:2" x14ac:dyDescent="0.2">
      <c r="A53" t="s">
        <v>898</v>
      </c>
      <c r="B53">
        <v>0</v>
      </c>
    </row>
    <row r="55" spans="1:2" x14ac:dyDescent="0.2">
      <c r="A55" t="s">
        <v>903</v>
      </c>
    </row>
  </sheetData>
  <phoneticPr fontId="0" type="noConversion"/>
  <pageMargins left="0.75" right="0.75" top="1" bottom="1" header="0.5" footer="0.5"/>
  <headerFooter alignWithMargins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U537"/>
  <sheetViews>
    <sheetView topLeftCell="F1" workbookViewId="0">
      <pane ySplit="1" topLeftCell="A66" activePane="bottomLeft" state="frozen"/>
      <selection activeCell="E1" sqref="E1"/>
      <selection pane="bottomLeft" activeCell="M66" sqref="M66"/>
    </sheetView>
  </sheetViews>
  <sheetFormatPr defaultRowHeight="12.75" x14ac:dyDescent="0.2"/>
  <cols>
    <col min="1" max="1" width="16.28515625" customWidth="1"/>
    <col min="4" max="4" width="17.5703125" customWidth="1"/>
    <col min="5" max="5" width="22.42578125" customWidth="1"/>
    <col min="6" max="7" width="11.5703125" customWidth="1"/>
    <col min="8" max="8" width="8.5703125" style="4" customWidth="1"/>
    <col min="9" max="9" width="10.28515625" style="4" customWidth="1"/>
    <col min="10" max="10" width="9.140625" style="11" customWidth="1"/>
    <col min="11" max="12" width="9.140625" style="4" customWidth="1"/>
    <col min="13" max="13" width="14.5703125" style="4" customWidth="1"/>
    <col min="16" max="16" width="17.5703125" customWidth="1"/>
    <col min="19" max="19" width="12.5703125" customWidth="1"/>
  </cols>
  <sheetData>
    <row r="1" spans="1:21" s="18" customFormat="1" ht="15" x14ac:dyDescent="0.25">
      <c r="A1" s="14" t="s">
        <v>1221</v>
      </c>
      <c r="B1" s="14" t="s">
        <v>64</v>
      </c>
      <c r="C1" s="14" t="s">
        <v>65</v>
      </c>
      <c r="D1" s="14" t="s">
        <v>39</v>
      </c>
      <c r="E1" s="14" t="s">
        <v>1222</v>
      </c>
      <c r="F1" s="14" t="s">
        <v>1255</v>
      </c>
      <c r="G1" s="14" t="s">
        <v>509</v>
      </c>
      <c r="H1" s="15" t="s">
        <v>1230</v>
      </c>
      <c r="I1" s="15" t="s">
        <v>1229</v>
      </c>
      <c r="J1" s="20" t="s">
        <v>1232</v>
      </c>
      <c r="K1" s="15" t="s">
        <v>1231</v>
      </c>
      <c r="L1" s="16" t="s">
        <v>1343</v>
      </c>
      <c r="M1" s="17" t="s">
        <v>1344</v>
      </c>
      <c r="N1" s="14" t="s">
        <v>1223</v>
      </c>
      <c r="O1" s="14" t="s">
        <v>1224</v>
      </c>
      <c r="P1" s="14" t="s">
        <v>1225</v>
      </c>
    </row>
    <row r="2" spans="1:21" x14ac:dyDescent="0.2">
      <c r="A2" s="2" t="s">
        <v>1009</v>
      </c>
      <c r="B2" s="2" t="s">
        <v>1010</v>
      </c>
      <c r="C2" s="1">
        <v>1387</v>
      </c>
      <c r="D2" s="1" t="s">
        <v>41</v>
      </c>
      <c r="E2" s="1" t="s">
        <v>1011</v>
      </c>
      <c r="F2" s="1" t="s">
        <v>1012</v>
      </c>
      <c r="G2" s="1"/>
      <c r="H2" s="5"/>
      <c r="I2" s="5">
        <v>58</v>
      </c>
      <c r="J2" s="9">
        <v>0.5</v>
      </c>
      <c r="K2" s="5"/>
      <c r="L2" s="9">
        <f>LOG(J2)</f>
        <v>-0.3010299956639812</v>
      </c>
      <c r="M2" s="11">
        <f>Graphsakazaki!$B$10-('E sakazaki'!I2-Graphsakazaki!$B$6)/Graphsakazaki!$B$5</f>
        <v>0.38268004648000487</v>
      </c>
      <c r="N2" s="2" t="s">
        <v>1013</v>
      </c>
      <c r="O2">
        <v>2003</v>
      </c>
      <c r="S2" s="10"/>
      <c r="U2" s="10"/>
    </row>
    <row r="3" spans="1:21" x14ac:dyDescent="0.2">
      <c r="A3" s="2" t="s">
        <v>1009</v>
      </c>
      <c r="B3" s="2" t="s">
        <v>1010</v>
      </c>
      <c r="C3" s="1" t="s">
        <v>1017</v>
      </c>
      <c r="D3" s="1" t="s">
        <v>41</v>
      </c>
      <c r="E3" s="1" t="s">
        <v>1011</v>
      </c>
      <c r="F3" s="1" t="s">
        <v>1012</v>
      </c>
      <c r="G3" s="1"/>
      <c r="H3" s="5"/>
      <c r="I3" s="5">
        <v>52</v>
      </c>
      <c r="J3" s="9">
        <f>54.76</f>
        <v>54.76</v>
      </c>
      <c r="K3" s="5"/>
      <c r="L3" s="9">
        <f t="shared" ref="L3:L12" si="0">LOG(J3)</f>
        <v>1.7384634394619525</v>
      </c>
      <c r="M3" s="11">
        <f>Graphsakazaki!$B$10-('E sakazaki'!I3-Graphsakazaki!$B$6)/Graphsakazaki!$B$5</f>
        <v>1.3308308671386668</v>
      </c>
      <c r="N3" s="1" t="s">
        <v>1018</v>
      </c>
      <c r="O3">
        <v>1997</v>
      </c>
      <c r="S3" s="10"/>
      <c r="U3" s="10"/>
    </row>
    <row r="4" spans="1:21" x14ac:dyDescent="0.2">
      <c r="A4" s="2" t="s">
        <v>1009</v>
      </c>
      <c r="B4" s="2" t="s">
        <v>1010</v>
      </c>
      <c r="C4" s="1" t="s">
        <v>1017</v>
      </c>
      <c r="D4" s="1" t="s">
        <v>41</v>
      </c>
      <c r="E4" s="1" t="s">
        <v>1011</v>
      </c>
      <c r="F4" s="1" t="s">
        <v>1012</v>
      </c>
      <c r="G4" s="1"/>
      <c r="H4" s="5"/>
      <c r="I4" s="5">
        <v>54</v>
      </c>
      <c r="J4" s="9">
        <f>36.72</f>
        <v>36.72</v>
      </c>
      <c r="K4" s="5"/>
      <c r="L4" s="9">
        <f t="shared" si="0"/>
        <v>1.5649026725292048</v>
      </c>
      <c r="M4" s="11">
        <f>Graphsakazaki!$B$10-('E sakazaki'!I4-Graphsakazaki!$B$6)/Graphsakazaki!$B$5</f>
        <v>1.0147805935857797</v>
      </c>
      <c r="N4" s="1" t="s">
        <v>1018</v>
      </c>
      <c r="O4">
        <v>1997</v>
      </c>
      <c r="S4" s="10"/>
      <c r="U4" s="10"/>
    </row>
    <row r="5" spans="1:21" x14ac:dyDescent="0.2">
      <c r="A5" s="2" t="s">
        <v>1009</v>
      </c>
      <c r="B5" s="2" t="s">
        <v>1010</v>
      </c>
      <c r="C5" s="1" t="s">
        <v>1017</v>
      </c>
      <c r="D5" s="1" t="s">
        <v>41</v>
      </c>
      <c r="E5" s="1" t="s">
        <v>1011</v>
      </c>
      <c r="F5" s="1" t="s">
        <v>1012</v>
      </c>
      <c r="I5" s="4">
        <v>56</v>
      </c>
      <c r="J5" s="11">
        <f>10.91</f>
        <v>10.91</v>
      </c>
      <c r="L5" s="9">
        <f t="shared" si="0"/>
        <v>1.0378247505883418</v>
      </c>
      <c r="M5" s="11">
        <f>Graphsakazaki!$B$10-('E sakazaki'!I5-Graphsakazaki!$B$6)/Graphsakazaki!$B$5</f>
        <v>0.69873032003289204</v>
      </c>
      <c r="N5" s="1" t="s">
        <v>1018</v>
      </c>
      <c r="O5">
        <v>1997</v>
      </c>
      <c r="S5" s="10"/>
      <c r="U5" s="10"/>
    </row>
    <row r="6" spans="1:21" x14ac:dyDescent="0.2">
      <c r="A6" s="2" t="s">
        <v>1009</v>
      </c>
      <c r="B6" s="2" t="s">
        <v>1010</v>
      </c>
      <c r="C6" s="1" t="s">
        <v>1017</v>
      </c>
      <c r="D6" s="1" t="s">
        <v>41</v>
      </c>
      <c r="E6" s="1" t="s">
        <v>1011</v>
      </c>
      <c r="F6" s="1" t="s">
        <v>1012</v>
      </c>
      <c r="G6" s="1"/>
      <c r="H6" s="5"/>
      <c r="I6" s="5">
        <v>58</v>
      </c>
      <c r="J6" s="9">
        <f>5.45</f>
        <v>5.45</v>
      </c>
      <c r="K6" s="5"/>
      <c r="L6" s="9">
        <f t="shared" si="0"/>
        <v>0.73639650227664244</v>
      </c>
      <c r="M6" s="11">
        <f>Graphsakazaki!$B$10-('E sakazaki'!I6-Graphsakazaki!$B$6)/Graphsakazaki!$B$5</f>
        <v>0.38268004648000487</v>
      </c>
      <c r="N6" s="1" t="s">
        <v>1018</v>
      </c>
      <c r="O6">
        <v>1997</v>
      </c>
      <c r="S6" s="10"/>
      <c r="U6" s="10"/>
    </row>
    <row r="7" spans="1:21" x14ac:dyDescent="0.2">
      <c r="A7" s="2" t="s">
        <v>1009</v>
      </c>
      <c r="B7" s="2" t="s">
        <v>1010</v>
      </c>
      <c r="C7" s="1" t="s">
        <v>1017</v>
      </c>
      <c r="D7" s="1" t="s">
        <v>41</v>
      </c>
      <c r="E7" s="1" t="s">
        <v>1011</v>
      </c>
      <c r="F7" s="1" t="s">
        <v>1012</v>
      </c>
      <c r="G7" s="2"/>
      <c r="H7" s="5"/>
      <c r="I7" s="4">
        <v>60</v>
      </c>
      <c r="J7" s="9">
        <f>3.06</f>
        <v>3.06</v>
      </c>
      <c r="K7" s="5"/>
      <c r="L7" s="9">
        <f t="shared" si="0"/>
        <v>0.48572142648158001</v>
      </c>
      <c r="M7" s="11">
        <f>Graphsakazaki!$B$10-('E sakazaki'!I7-Graphsakazaki!$B$6)/Graphsakazaki!$B$5</f>
        <v>6.662977292711747E-2</v>
      </c>
      <c r="N7" s="1" t="s">
        <v>1018</v>
      </c>
      <c r="O7">
        <v>1997</v>
      </c>
      <c r="S7" s="10"/>
      <c r="U7" s="10"/>
    </row>
    <row r="8" spans="1:21" x14ac:dyDescent="0.2">
      <c r="A8" s="2" t="s">
        <v>1009</v>
      </c>
      <c r="B8" s="2" t="s">
        <v>1010</v>
      </c>
      <c r="C8" t="s">
        <v>215</v>
      </c>
      <c r="D8" s="1" t="s">
        <v>41</v>
      </c>
      <c r="E8" s="1" t="s">
        <v>1011</v>
      </c>
      <c r="F8" s="1" t="s">
        <v>1012</v>
      </c>
      <c r="G8" s="2"/>
      <c r="H8" s="5"/>
      <c r="I8" s="5">
        <v>52</v>
      </c>
      <c r="J8" s="4">
        <f>54.82</f>
        <v>54.82</v>
      </c>
      <c r="K8" s="5"/>
      <c r="L8" s="9">
        <f t="shared" si="0"/>
        <v>1.7389390312034796</v>
      </c>
      <c r="M8" s="11">
        <f>Graphsakazaki!$B$10-('E sakazaki'!I8-Graphsakazaki!$B$6)/Graphsakazaki!$B$5</f>
        <v>1.3308308671386668</v>
      </c>
      <c r="N8" s="1" t="s">
        <v>1018</v>
      </c>
      <c r="O8">
        <v>1997</v>
      </c>
      <c r="S8" s="10"/>
      <c r="U8" s="10"/>
    </row>
    <row r="9" spans="1:21" x14ac:dyDescent="0.2">
      <c r="A9" s="2" t="s">
        <v>1009</v>
      </c>
      <c r="B9" s="2" t="s">
        <v>1010</v>
      </c>
      <c r="C9" t="s">
        <v>215</v>
      </c>
      <c r="D9" s="1" t="s">
        <v>41</v>
      </c>
      <c r="E9" s="1" t="s">
        <v>1011</v>
      </c>
      <c r="F9" s="1" t="s">
        <v>1012</v>
      </c>
      <c r="I9" s="5">
        <v>54</v>
      </c>
      <c r="J9" s="4">
        <f>18.57</f>
        <v>18.57</v>
      </c>
      <c r="L9" s="9">
        <f t="shared" si="0"/>
        <v>1.2688119037397805</v>
      </c>
      <c r="M9" s="11">
        <f>Graphsakazaki!$B$10-('E sakazaki'!I9-Graphsakazaki!$B$6)/Graphsakazaki!$B$5</f>
        <v>1.0147805935857797</v>
      </c>
      <c r="N9" s="1" t="s">
        <v>1018</v>
      </c>
      <c r="O9">
        <v>1997</v>
      </c>
      <c r="S9" s="10"/>
      <c r="U9" s="10"/>
    </row>
    <row r="10" spans="1:21" x14ac:dyDescent="0.2">
      <c r="A10" s="2" t="s">
        <v>1009</v>
      </c>
      <c r="B10" s="2" t="s">
        <v>1010</v>
      </c>
      <c r="C10" t="s">
        <v>215</v>
      </c>
      <c r="D10" s="1" t="s">
        <v>41</v>
      </c>
      <c r="E10" s="1" t="s">
        <v>1011</v>
      </c>
      <c r="F10" s="1" t="s">
        <v>1012</v>
      </c>
      <c r="G10" s="2"/>
      <c r="H10" s="5"/>
      <c r="I10" s="4">
        <v>56</v>
      </c>
      <c r="J10" s="4">
        <f>9.75</f>
        <v>9.75</v>
      </c>
      <c r="K10" s="5"/>
      <c r="L10" s="9">
        <f t="shared" si="0"/>
        <v>0.98900461569853682</v>
      </c>
      <c r="M10" s="11">
        <f>Graphsakazaki!$B$10-('E sakazaki'!I10-Graphsakazaki!$B$6)/Graphsakazaki!$B$5</f>
        <v>0.69873032003289204</v>
      </c>
      <c r="N10" s="1" t="s">
        <v>1018</v>
      </c>
      <c r="O10">
        <v>1997</v>
      </c>
      <c r="S10" s="10"/>
      <c r="U10" s="10"/>
    </row>
    <row r="11" spans="1:21" x14ac:dyDescent="0.2">
      <c r="A11" s="2" t="s">
        <v>1009</v>
      </c>
      <c r="B11" s="2" t="s">
        <v>1010</v>
      </c>
      <c r="C11" t="s">
        <v>215</v>
      </c>
      <c r="D11" s="1" t="s">
        <v>41</v>
      </c>
      <c r="E11" s="1" t="s">
        <v>1011</v>
      </c>
      <c r="F11" s="1" t="s">
        <v>1012</v>
      </c>
      <c r="G11" s="2"/>
      <c r="H11" s="5"/>
      <c r="I11" s="4">
        <v>56</v>
      </c>
      <c r="J11" s="4">
        <f>9.75</f>
        <v>9.75</v>
      </c>
      <c r="K11" s="5"/>
      <c r="L11" s="9">
        <f t="shared" si="0"/>
        <v>0.98900461569853682</v>
      </c>
      <c r="M11" s="11">
        <f>Graphsakazaki!$B$10-('E sakazaki'!I11-Graphsakazaki!$B$6)/Graphsakazaki!$B$5</f>
        <v>0.69873032003289204</v>
      </c>
      <c r="N11" s="1" t="s">
        <v>1018</v>
      </c>
      <c r="O11">
        <v>1997</v>
      </c>
      <c r="S11" s="10"/>
      <c r="U11" s="10"/>
    </row>
    <row r="12" spans="1:21" x14ac:dyDescent="0.2">
      <c r="A12" s="2" t="s">
        <v>1009</v>
      </c>
      <c r="B12" s="2" t="s">
        <v>1010</v>
      </c>
      <c r="C12" t="s">
        <v>215</v>
      </c>
      <c r="D12" s="1" t="s">
        <v>41</v>
      </c>
      <c r="E12" s="1" t="s">
        <v>1011</v>
      </c>
      <c r="F12" s="1" t="s">
        <v>1012</v>
      </c>
      <c r="G12" s="1"/>
      <c r="H12" s="5"/>
      <c r="I12" s="5">
        <v>58</v>
      </c>
      <c r="J12" s="5">
        <f>3.44</f>
        <v>3.44</v>
      </c>
      <c r="K12" s="5"/>
      <c r="L12" s="9">
        <f t="shared" si="0"/>
        <v>0.53655844257153007</v>
      </c>
      <c r="M12" s="11">
        <f>Graphsakazaki!$B$10-('E sakazaki'!I12-Graphsakazaki!$B$6)/Graphsakazaki!$B$5</f>
        <v>0.38268004648000487</v>
      </c>
      <c r="N12" s="1" t="s">
        <v>1018</v>
      </c>
      <c r="O12">
        <v>1997</v>
      </c>
      <c r="S12" s="10"/>
      <c r="U12" s="10"/>
    </row>
    <row r="13" spans="1:21" x14ac:dyDescent="0.2">
      <c r="A13" s="2" t="s">
        <v>1009</v>
      </c>
      <c r="B13" s="2" t="s">
        <v>1010</v>
      </c>
      <c r="C13" t="s">
        <v>215</v>
      </c>
      <c r="D13" s="1" t="s">
        <v>41</v>
      </c>
      <c r="E13" s="1" t="s">
        <v>1011</v>
      </c>
      <c r="F13" s="1" t="s">
        <v>1012</v>
      </c>
      <c r="G13" s="2"/>
      <c r="H13" s="5"/>
      <c r="I13" s="4">
        <v>60</v>
      </c>
      <c r="J13" s="4">
        <f>2.15</f>
        <v>2.15</v>
      </c>
      <c r="K13" s="5"/>
      <c r="L13" s="9">
        <f t="shared" ref="L13:L28" si="1">LOG(J13)</f>
        <v>0.33243845991560533</v>
      </c>
      <c r="M13" s="11">
        <f>Graphsakazaki!$B$10-('E sakazaki'!I13-Graphsakazaki!$B$6)/Graphsakazaki!$B$5</f>
        <v>6.662977292711747E-2</v>
      </c>
      <c r="N13" s="1" t="s">
        <v>1018</v>
      </c>
      <c r="O13">
        <v>1997</v>
      </c>
      <c r="S13" s="10"/>
      <c r="U13" s="10"/>
    </row>
    <row r="14" spans="1:21" x14ac:dyDescent="0.2">
      <c r="A14" s="2" t="s">
        <v>1009</v>
      </c>
      <c r="B14" s="2" t="s">
        <v>1010</v>
      </c>
      <c r="C14" s="1"/>
      <c r="D14" s="1" t="s">
        <v>41</v>
      </c>
      <c r="E14" s="1" t="s">
        <v>1011</v>
      </c>
      <c r="F14" s="1" t="s">
        <v>1012</v>
      </c>
      <c r="G14" s="1"/>
      <c r="H14" s="5"/>
      <c r="I14" s="5">
        <v>52</v>
      </c>
      <c r="J14" s="5">
        <f>54.79</f>
        <v>54.79</v>
      </c>
      <c r="K14" s="5"/>
      <c r="L14" s="9">
        <f t="shared" si="1"/>
        <v>1.7387013004347098</v>
      </c>
      <c r="M14" s="11">
        <f>Graphsakazaki!$B$10-('E sakazaki'!I14-Graphsakazaki!$B$6)/Graphsakazaki!$B$5</f>
        <v>1.3308308671386668</v>
      </c>
      <c r="N14" s="1" t="s">
        <v>1018</v>
      </c>
      <c r="O14">
        <v>1997</v>
      </c>
      <c r="S14" s="10"/>
      <c r="U14" s="10"/>
    </row>
    <row r="15" spans="1:21" x14ac:dyDescent="0.2">
      <c r="A15" s="2" t="s">
        <v>1009</v>
      </c>
      <c r="B15" s="2" t="s">
        <v>1010</v>
      </c>
      <c r="C15" s="1"/>
      <c r="D15" s="1" t="s">
        <v>41</v>
      </c>
      <c r="E15" s="1" t="s">
        <v>1011</v>
      </c>
      <c r="F15" s="1" t="s">
        <v>1012</v>
      </c>
      <c r="G15" s="1"/>
      <c r="H15" s="5"/>
      <c r="I15" s="5">
        <v>54</v>
      </c>
      <c r="J15" s="5">
        <f>23.7</f>
        <v>23.7</v>
      </c>
      <c r="K15" s="5"/>
      <c r="L15" s="9">
        <f t="shared" si="1"/>
        <v>1.3747483460101038</v>
      </c>
      <c r="M15" s="11">
        <f>Graphsakazaki!$B$10-('E sakazaki'!I15-Graphsakazaki!$B$6)/Graphsakazaki!$B$5</f>
        <v>1.0147805935857797</v>
      </c>
      <c r="N15" s="1" t="s">
        <v>1018</v>
      </c>
      <c r="O15">
        <v>1997</v>
      </c>
      <c r="S15" s="10"/>
      <c r="U15" s="10"/>
    </row>
    <row r="16" spans="1:21" x14ac:dyDescent="0.2">
      <c r="A16" s="2" t="s">
        <v>1009</v>
      </c>
      <c r="B16" s="2" t="s">
        <v>1010</v>
      </c>
      <c r="C16" s="1"/>
      <c r="D16" s="1" t="s">
        <v>41</v>
      </c>
      <c r="E16" s="1" t="s">
        <v>1011</v>
      </c>
      <c r="F16" s="1" t="s">
        <v>1012</v>
      </c>
      <c r="G16" s="1"/>
      <c r="H16" s="5"/>
      <c r="I16" s="4">
        <v>56</v>
      </c>
      <c r="J16" s="5">
        <f>10.3</f>
        <v>10.3</v>
      </c>
      <c r="K16" s="5"/>
      <c r="L16" s="9">
        <f t="shared" si="1"/>
        <v>1.0128372247051722</v>
      </c>
      <c r="M16" s="11">
        <f>Graphsakazaki!$B$10-('E sakazaki'!I16-Graphsakazaki!$B$6)/Graphsakazaki!$B$5</f>
        <v>0.69873032003289204</v>
      </c>
      <c r="N16" s="1" t="s">
        <v>1018</v>
      </c>
      <c r="O16">
        <v>1997</v>
      </c>
      <c r="S16" s="10"/>
      <c r="U16" s="10"/>
    </row>
    <row r="17" spans="1:21" x14ac:dyDescent="0.2">
      <c r="A17" s="2" t="s">
        <v>1009</v>
      </c>
      <c r="B17" s="2" t="s">
        <v>1010</v>
      </c>
      <c r="C17" s="1"/>
      <c r="D17" s="1" t="s">
        <v>41</v>
      </c>
      <c r="E17" s="1" t="s">
        <v>1011</v>
      </c>
      <c r="F17" s="1" t="s">
        <v>1012</v>
      </c>
      <c r="G17" s="1"/>
      <c r="H17" s="5"/>
      <c r="I17" s="5">
        <v>58</v>
      </c>
      <c r="J17" s="5">
        <f>4.2</f>
        <v>4.2</v>
      </c>
      <c r="K17" s="5"/>
      <c r="L17" s="9">
        <f t="shared" si="1"/>
        <v>0.62324929039790045</v>
      </c>
      <c r="M17" s="11">
        <f>Graphsakazaki!$B$10-('E sakazaki'!I17-Graphsakazaki!$B$6)/Graphsakazaki!$B$5</f>
        <v>0.38268004648000487</v>
      </c>
      <c r="N17" s="1" t="s">
        <v>1018</v>
      </c>
      <c r="O17">
        <v>1997</v>
      </c>
      <c r="S17" s="10"/>
      <c r="U17" s="10"/>
    </row>
    <row r="18" spans="1:21" x14ac:dyDescent="0.2">
      <c r="A18" s="2" t="s">
        <v>1009</v>
      </c>
      <c r="B18" s="2" t="s">
        <v>1010</v>
      </c>
      <c r="C18" s="2"/>
      <c r="D18" s="1" t="s">
        <v>41</v>
      </c>
      <c r="E18" s="1" t="s">
        <v>1011</v>
      </c>
      <c r="F18" s="1" t="s">
        <v>1012</v>
      </c>
      <c r="G18" s="2"/>
      <c r="H18" s="5"/>
      <c r="I18" s="4">
        <v>60</v>
      </c>
      <c r="J18" s="5">
        <f>2.5</f>
        <v>2.5</v>
      </c>
      <c r="K18" s="5"/>
      <c r="L18" s="9">
        <f t="shared" si="1"/>
        <v>0.3979400086720376</v>
      </c>
      <c r="M18" s="11">
        <f>Graphsakazaki!$B$10-('E sakazaki'!I18-Graphsakazaki!$B$6)/Graphsakazaki!$B$5</f>
        <v>6.662977292711747E-2</v>
      </c>
      <c r="N18" s="1" t="s">
        <v>1018</v>
      </c>
      <c r="O18">
        <v>1997</v>
      </c>
    </row>
    <row r="19" spans="1:21" x14ac:dyDescent="0.2">
      <c r="A19" s="2" t="s">
        <v>1009</v>
      </c>
      <c r="B19" s="2" t="s">
        <v>1010</v>
      </c>
      <c r="C19" s="2">
        <v>51329</v>
      </c>
      <c r="D19" s="1" t="s">
        <v>41</v>
      </c>
      <c r="E19" s="1" t="s">
        <v>1011</v>
      </c>
      <c r="F19" s="1" t="s">
        <v>1012</v>
      </c>
      <c r="G19" s="1"/>
      <c r="H19" s="5"/>
      <c r="I19" s="5">
        <v>58</v>
      </c>
      <c r="J19" s="9">
        <f>30.4/60</f>
        <v>0.5066666666666666</v>
      </c>
      <c r="K19" s="5"/>
      <c r="L19" s="9">
        <f t="shared" si="1"/>
        <v>-0.29527766677488992</v>
      </c>
      <c r="M19" s="11">
        <f>Graphsakazaki!$B$10-('E sakazaki'!I19-Graphsakazaki!$B$6)/Graphsakazaki!$B$5</f>
        <v>0.38268004648000487</v>
      </c>
      <c r="N19" s="1" t="s">
        <v>503</v>
      </c>
      <c r="O19">
        <v>2004</v>
      </c>
      <c r="S19" s="10"/>
      <c r="U19" s="10"/>
    </row>
    <row r="20" spans="1:21" x14ac:dyDescent="0.2">
      <c r="A20" s="2" t="s">
        <v>1009</v>
      </c>
      <c r="B20" s="2" t="s">
        <v>1010</v>
      </c>
      <c r="C20" s="2">
        <v>51329</v>
      </c>
      <c r="D20" s="1" t="s">
        <v>41</v>
      </c>
      <c r="E20" s="1" t="s">
        <v>1011</v>
      </c>
      <c r="F20" s="1" t="s">
        <v>1012</v>
      </c>
      <c r="G20" s="1"/>
      <c r="H20" s="5"/>
      <c r="I20" s="5">
        <v>58</v>
      </c>
      <c r="J20" s="9">
        <f>30.5/60</f>
        <v>0.5083333333333333</v>
      </c>
      <c r="K20" s="5"/>
      <c r="L20" s="9">
        <f t="shared" si="1"/>
        <v>-0.2938514110368578</v>
      </c>
      <c r="M20" s="11">
        <f>Graphsakazaki!$B$10-('E sakazaki'!I20-Graphsakazaki!$B$6)/Graphsakazaki!$B$5</f>
        <v>0.38268004648000487</v>
      </c>
      <c r="N20" s="1" t="s">
        <v>503</v>
      </c>
      <c r="O20">
        <v>2004</v>
      </c>
      <c r="S20" s="10"/>
      <c r="U20" s="10"/>
    </row>
    <row r="21" spans="1:21" x14ac:dyDescent="0.2">
      <c r="A21" s="2" t="s">
        <v>1009</v>
      </c>
      <c r="B21" s="2" t="s">
        <v>1010</v>
      </c>
      <c r="C21" s="1" t="s">
        <v>494</v>
      </c>
      <c r="D21" s="1" t="s">
        <v>41</v>
      </c>
      <c r="E21" s="1" t="s">
        <v>1011</v>
      </c>
      <c r="F21" s="1" t="s">
        <v>1012</v>
      </c>
      <c r="G21" s="1"/>
      <c r="H21" s="5"/>
      <c r="I21" s="5">
        <v>58</v>
      </c>
      <c r="J21" s="9">
        <f>30.2/60</f>
        <v>0.5033333333333333</v>
      </c>
      <c r="K21" s="5"/>
      <c r="L21" s="9">
        <f t="shared" si="1"/>
        <v>-0.298144307426493</v>
      </c>
      <c r="M21" s="11">
        <f>Graphsakazaki!$B$10-('E sakazaki'!I21-Graphsakazaki!$B$6)/Graphsakazaki!$B$5</f>
        <v>0.38268004648000487</v>
      </c>
      <c r="N21" s="1" t="s">
        <v>503</v>
      </c>
      <c r="O21">
        <v>2004</v>
      </c>
      <c r="S21" s="10"/>
      <c r="U21" s="10"/>
    </row>
    <row r="22" spans="1:21" x14ac:dyDescent="0.2">
      <c r="A22" s="2" t="s">
        <v>1009</v>
      </c>
      <c r="B22" s="2" t="s">
        <v>1010</v>
      </c>
      <c r="C22" s="1" t="s">
        <v>494</v>
      </c>
      <c r="D22" s="1" t="s">
        <v>41</v>
      </c>
      <c r="E22" s="1" t="s">
        <v>1011</v>
      </c>
      <c r="F22" s="1" t="s">
        <v>1012</v>
      </c>
      <c r="G22" s="1"/>
      <c r="H22" s="5"/>
      <c r="I22" s="5">
        <v>58</v>
      </c>
      <c r="J22" s="9">
        <f>32.8/60</f>
        <v>0.54666666666666663</v>
      </c>
      <c r="K22" s="5"/>
      <c r="L22" s="9">
        <f t="shared" si="1"/>
        <v>-0.26227740667196459</v>
      </c>
      <c r="M22" s="11">
        <f>Graphsakazaki!$B$10-('E sakazaki'!I22-Graphsakazaki!$B$6)/Graphsakazaki!$B$5</f>
        <v>0.38268004648000487</v>
      </c>
      <c r="N22" s="1" t="s">
        <v>503</v>
      </c>
      <c r="O22">
        <v>2004</v>
      </c>
      <c r="S22" s="10"/>
      <c r="U22" s="10"/>
    </row>
    <row r="23" spans="1:21" x14ac:dyDescent="0.2">
      <c r="A23" s="2" t="s">
        <v>1009</v>
      </c>
      <c r="B23" s="2" t="s">
        <v>1010</v>
      </c>
      <c r="C23" s="1" t="s">
        <v>495</v>
      </c>
      <c r="D23" s="1" t="s">
        <v>41</v>
      </c>
      <c r="E23" s="1" t="s">
        <v>1011</v>
      </c>
      <c r="F23" s="1" t="s">
        <v>1012</v>
      </c>
      <c r="G23" s="1"/>
      <c r="H23" s="5"/>
      <c r="I23" s="5">
        <v>58</v>
      </c>
      <c r="J23" s="9">
        <f>31.6/60</f>
        <v>0.52666666666666673</v>
      </c>
      <c r="K23" s="5"/>
      <c r="L23" s="9">
        <f t="shared" si="1"/>
        <v>-0.27846416776523975</v>
      </c>
      <c r="M23" s="11">
        <f>Graphsakazaki!$B$10-('E sakazaki'!I23-Graphsakazaki!$B$6)/Graphsakazaki!$B$5</f>
        <v>0.38268004648000487</v>
      </c>
      <c r="N23" s="1" t="s">
        <v>503</v>
      </c>
      <c r="O23">
        <v>2004</v>
      </c>
      <c r="S23" s="10"/>
      <c r="U23" s="10"/>
    </row>
    <row r="24" spans="1:21" x14ac:dyDescent="0.2">
      <c r="A24" s="2" t="s">
        <v>1009</v>
      </c>
      <c r="B24" s="2" t="s">
        <v>1010</v>
      </c>
      <c r="C24" s="1" t="s">
        <v>495</v>
      </c>
      <c r="D24" s="1" t="s">
        <v>41</v>
      </c>
      <c r="E24" s="1" t="s">
        <v>1011</v>
      </c>
      <c r="F24" s="1" t="s">
        <v>1012</v>
      </c>
      <c r="G24" s="1"/>
      <c r="H24" s="5"/>
      <c r="I24" s="5">
        <v>58</v>
      </c>
      <c r="J24" s="9">
        <f>37.3/60</f>
        <v>0.62166666666666659</v>
      </c>
      <c r="K24" s="5"/>
      <c r="L24" s="9">
        <f t="shared" si="1"/>
        <v>-0.20644241857495607</v>
      </c>
      <c r="M24" s="11">
        <f>Graphsakazaki!$B$10-('E sakazaki'!I24-Graphsakazaki!$B$6)/Graphsakazaki!$B$5</f>
        <v>0.38268004648000487</v>
      </c>
      <c r="N24" s="1" t="s">
        <v>503</v>
      </c>
      <c r="O24">
        <v>2004</v>
      </c>
      <c r="S24" s="10"/>
      <c r="U24" s="10"/>
    </row>
    <row r="25" spans="1:21" x14ac:dyDescent="0.2">
      <c r="A25" s="2" t="s">
        <v>1009</v>
      </c>
      <c r="B25" s="2" t="s">
        <v>1010</v>
      </c>
      <c r="C25" s="1" t="s">
        <v>496</v>
      </c>
      <c r="D25" s="1" t="s">
        <v>41</v>
      </c>
      <c r="E25" s="1" t="s">
        <v>1011</v>
      </c>
      <c r="F25" s="1" t="s">
        <v>1012</v>
      </c>
      <c r="G25" s="1"/>
      <c r="H25" s="5"/>
      <c r="I25" s="5">
        <v>58</v>
      </c>
      <c r="J25" s="9">
        <f>33.7/60</f>
        <v>0.56166666666666676</v>
      </c>
      <c r="K25" s="5"/>
      <c r="L25" s="9">
        <f t="shared" si="1"/>
        <v>-0.25052134951230492</v>
      </c>
      <c r="M25" s="11">
        <f>Graphsakazaki!$B$10-('E sakazaki'!I25-Graphsakazaki!$B$6)/Graphsakazaki!$B$5</f>
        <v>0.38268004648000487</v>
      </c>
      <c r="N25" s="1" t="s">
        <v>503</v>
      </c>
      <c r="O25">
        <v>2004</v>
      </c>
      <c r="S25" s="10"/>
      <c r="U25" s="10"/>
    </row>
    <row r="26" spans="1:21" x14ac:dyDescent="0.2">
      <c r="A26" s="2" t="s">
        <v>1009</v>
      </c>
      <c r="B26" s="2" t="s">
        <v>1010</v>
      </c>
      <c r="C26" s="1" t="s">
        <v>496</v>
      </c>
      <c r="D26" s="1" t="s">
        <v>41</v>
      </c>
      <c r="E26" s="1" t="s">
        <v>1011</v>
      </c>
      <c r="F26" s="1" t="s">
        <v>1012</v>
      </c>
      <c r="G26" s="1"/>
      <c r="H26" s="5"/>
      <c r="I26" s="5">
        <v>58</v>
      </c>
      <c r="J26" s="9">
        <f>40.2/60</f>
        <v>0.67</v>
      </c>
      <c r="K26" s="5"/>
      <c r="L26" s="9">
        <f t="shared" si="1"/>
        <v>-0.17392519729917355</v>
      </c>
      <c r="M26" s="11">
        <f>Graphsakazaki!$B$10-('E sakazaki'!I26-Graphsakazaki!$B$6)/Graphsakazaki!$B$5</f>
        <v>0.38268004648000487</v>
      </c>
      <c r="N26" s="1" t="s">
        <v>503</v>
      </c>
      <c r="O26">
        <v>2004</v>
      </c>
      <c r="S26" s="10"/>
      <c r="U26" s="10"/>
    </row>
    <row r="27" spans="1:21" x14ac:dyDescent="0.2">
      <c r="A27" s="2" t="s">
        <v>1009</v>
      </c>
      <c r="B27" s="2" t="s">
        <v>1010</v>
      </c>
      <c r="C27" s="1" t="s">
        <v>497</v>
      </c>
      <c r="D27" s="1" t="s">
        <v>41</v>
      </c>
      <c r="E27" s="1" t="s">
        <v>1011</v>
      </c>
      <c r="F27" s="1" t="s">
        <v>1012</v>
      </c>
      <c r="G27" s="1"/>
      <c r="H27" s="5"/>
      <c r="I27" s="5">
        <v>58</v>
      </c>
      <c r="J27" s="9">
        <f>31.7/60</f>
        <v>0.52833333333333332</v>
      </c>
      <c r="K27" s="5"/>
      <c r="L27" s="9">
        <f t="shared" si="1"/>
        <v>-0.27709198816589214</v>
      </c>
      <c r="M27" s="11">
        <f>Graphsakazaki!$B$10-('E sakazaki'!I27-Graphsakazaki!$B$6)/Graphsakazaki!$B$5</f>
        <v>0.38268004648000487</v>
      </c>
      <c r="N27" s="1" t="s">
        <v>503</v>
      </c>
      <c r="O27">
        <v>2004</v>
      </c>
      <c r="S27" s="10"/>
      <c r="U27" s="10"/>
    </row>
    <row r="28" spans="1:21" x14ac:dyDescent="0.2">
      <c r="A28" s="2" t="s">
        <v>1009</v>
      </c>
      <c r="B28" s="2" t="s">
        <v>1010</v>
      </c>
      <c r="C28" s="1" t="s">
        <v>497</v>
      </c>
      <c r="D28" s="1" t="s">
        <v>41</v>
      </c>
      <c r="E28" s="1" t="s">
        <v>1011</v>
      </c>
      <c r="F28" s="1" t="s">
        <v>1012</v>
      </c>
      <c r="G28" s="1"/>
      <c r="H28" s="5"/>
      <c r="I28" s="5">
        <v>58</v>
      </c>
      <c r="J28" s="9">
        <f>43.3/60</f>
        <v>0.72166666666666657</v>
      </c>
      <c r="K28" s="5"/>
      <c r="L28" s="9">
        <f t="shared" si="1"/>
        <v>-0.14166335403027824</v>
      </c>
      <c r="M28" s="11">
        <f>Graphsakazaki!$B$10-('E sakazaki'!I28-Graphsakazaki!$B$6)/Graphsakazaki!$B$5</f>
        <v>0.38268004648000487</v>
      </c>
      <c r="N28" s="1" t="s">
        <v>503</v>
      </c>
      <c r="O28">
        <v>2004</v>
      </c>
      <c r="S28" s="10"/>
      <c r="U28" s="10"/>
    </row>
    <row r="29" spans="1:21" x14ac:dyDescent="0.2">
      <c r="A29" s="2" t="s">
        <v>1009</v>
      </c>
      <c r="B29" s="2" t="s">
        <v>1010</v>
      </c>
      <c r="C29" s="1" t="s">
        <v>498</v>
      </c>
      <c r="D29" s="1" t="s">
        <v>41</v>
      </c>
      <c r="E29" s="1" t="s">
        <v>1011</v>
      </c>
      <c r="F29" s="1" t="s">
        <v>1012</v>
      </c>
      <c r="G29" s="1"/>
      <c r="H29" s="5"/>
      <c r="I29" s="5">
        <v>58</v>
      </c>
      <c r="J29" s="9">
        <f>47.2/60</f>
        <v>0.78666666666666674</v>
      </c>
      <c r="K29" s="5"/>
      <c r="L29" s="9">
        <f t="shared" ref="L29:L50" si="2">LOG(J29)</f>
        <v>-0.10420925174955582</v>
      </c>
      <c r="M29" s="11">
        <f>Graphsakazaki!$B$10-('E sakazaki'!I29-Graphsakazaki!$B$6)/Graphsakazaki!$B$5</f>
        <v>0.38268004648000487</v>
      </c>
      <c r="N29" s="1" t="s">
        <v>503</v>
      </c>
      <c r="O29">
        <v>2004</v>
      </c>
      <c r="S29" s="10"/>
      <c r="U29" s="10"/>
    </row>
    <row r="30" spans="1:21" x14ac:dyDescent="0.2">
      <c r="A30" s="2" t="s">
        <v>1009</v>
      </c>
      <c r="B30" s="2" t="s">
        <v>1010</v>
      </c>
      <c r="C30" s="1" t="s">
        <v>498</v>
      </c>
      <c r="D30" s="1" t="s">
        <v>41</v>
      </c>
      <c r="E30" s="1" t="s">
        <v>1011</v>
      </c>
      <c r="F30" s="1" t="s">
        <v>1012</v>
      </c>
      <c r="G30" s="1"/>
      <c r="H30" s="5"/>
      <c r="I30" s="5">
        <v>58</v>
      </c>
      <c r="J30" s="9">
        <f>48.5/60</f>
        <v>0.80833333333333335</v>
      </c>
      <c r="K30" s="5"/>
      <c r="L30" s="9">
        <f t="shared" si="2"/>
        <v>-9.2409511781379974E-2</v>
      </c>
      <c r="M30" s="11">
        <f>Graphsakazaki!$B$10-('E sakazaki'!I30-Graphsakazaki!$B$6)/Graphsakazaki!$B$5</f>
        <v>0.38268004648000487</v>
      </c>
      <c r="N30" s="1" t="s">
        <v>503</v>
      </c>
      <c r="O30">
        <v>2004</v>
      </c>
      <c r="S30" s="10"/>
      <c r="U30" s="10"/>
    </row>
    <row r="31" spans="1:21" x14ac:dyDescent="0.2">
      <c r="A31" s="2" t="s">
        <v>1009</v>
      </c>
      <c r="B31" s="2" t="s">
        <v>1010</v>
      </c>
      <c r="C31" s="1" t="s">
        <v>499</v>
      </c>
      <c r="D31" s="1" t="s">
        <v>41</v>
      </c>
      <c r="E31" s="1" t="s">
        <v>1011</v>
      </c>
      <c r="F31" s="1" t="s">
        <v>1012</v>
      </c>
      <c r="G31" s="1"/>
      <c r="H31" s="5"/>
      <c r="I31" s="5">
        <v>58</v>
      </c>
      <c r="J31" s="9">
        <f>303/60</f>
        <v>5.05</v>
      </c>
      <c r="K31" s="5"/>
      <c r="L31" s="9">
        <f t="shared" si="2"/>
        <v>0.70329137811866138</v>
      </c>
      <c r="M31" s="11">
        <f>Graphsakazaki!$B$10-('E sakazaki'!I31-Graphsakazaki!$B$6)/Graphsakazaki!$B$5</f>
        <v>0.38268004648000487</v>
      </c>
      <c r="N31" s="1" t="s">
        <v>503</v>
      </c>
      <c r="O31">
        <v>2004</v>
      </c>
      <c r="S31" s="10"/>
      <c r="U31" s="10"/>
    </row>
    <row r="32" spans="1:21" x14ac:dyDescent="0.2">
      <c r="A32" s="2" t="s">
        <v>1009</v>
      </c>
      <c r="B32" s="2" t="s">
        <v>1010</v>
      </c>
      <c r="C32" s="1" t="s">
        <v>499</v>
      </c>
      <c r="D32" s="1" t="s">
        <v>41</v>
      </c>
      <c r="E32" s="1" t="s">
        <v>1011</v>
      </c>
      <c r="F32" s="1" t="s">
        <v>1012</v>
      </c>
      <c r="G32" s="1"/>
      <c r="H32" s="5"/>
      <c r="I32" s="5">
        <v>58</v>
      </c>
      <c r="J32" s="9">
        <f>312.5/60</f>
        <v>5.208333333333333</v>
      </c>
      <c r="K32" s="5"/>
      <c r="L32" s="9">
        <f t="shared" si="2"/>
        <v>0.71669877129645032</v>
      </c>
      <c r="M32" s="11">
        <f>Graphsakazaki!$B$10-('E sakazaki'!I32-Graphsakazaki!$B$6)/Graphsakazaki!$B$5</f>
        <v>0.38268004648000487</v>
      </c>
      <c r="N32" s="1" t="s">
        <v>503</v>
      </c>
      <c r="O32">
        <v>2004</v>
      </c>
      <c r="S32" s="10"/>
      <c r="U32" s="10"/>
    </row>
    <row r="33" spans="1:21" x14ac:dyDescent="0.2">
      <c r="A33" s="2" t="s">
        <v>1009</v>
      </c>
      <c r="B33" s="2" t="s">
        <v>1010</v>
      </c>
      <c r="C33" s="1">
        <v>29544</v>
      </c>
      <c r="D33" s="1" t="s">
        <v>41</v>
      </c>
      <c r="E33" s="1" t="s">
        <v>1011</v>
      </c>
      <c r="F33" s="1" t="s">
        <v>1012</v>
      </c>
      <c r="G33" s="1"/>
      <c r="H33" s="5"/>
      <c r="I33" s="5">
        <v>58</v>
      </c>
      <c r="J33" s="9">
        <f>333.3/60</f>
        <v>5.5550000000000006</v>
      </c>
      <c r="K33" s="5"/>
      <c r="L33" s="9">
        <f t="shared" si="2"/>
        <v>0.74468406327688652</v>
      </c>
      <c r="M33" s="11">
        <f>Graphsakazaki!$B$10-('E sakazaki'!I33-Graphsakazaki!$B$6)/Graphsakazaki!$B$5</f>
        <v>0.38268004648000487</v>
      </c>
      <c r="N33" s="1" t="s">
        <v>503</v>
      </c>
      <c r="O33">
        <v>2004</v>
      </c>
      <c r="S33" s="10"/>
      <c r="U33" s="10"/>
    </row>
    <row r="34" spans="1:21" x14ac:dyDescent="0.2">
      <c r="A34" s="2" t="s">
        <v>1009</v>
      </c>
      <c r="B34" s="2" t="s">
        <v>1010</v>
      </c>
      <c r="C34" s="1">
        <v>29544</v>
      </c>
      <c r="D34" s="1" t="s">
        <v>41</v>
      </c>
      <c r="E34" s="1" t="s">
        <v>1011</v>
      </c>
      <c r="F34" s="1" t="s">
        <v>1012</v>
      </c>
      <c r="G34" s="1"/>
      <c r="H34" s="5"/>
      <c r="I34" s="5">
        <v>58</v>
      </c>
      <c r="J34" s="9">
        <f>400/60</f>
        <v>6.666666666666667</v>
      </c>
      <c r="K34" s="5"/>
      <c r="L34" s="9">
        <f t="shared" si="2"/>
        <v>0.82390874094431876</v>
      </c>
      <c r="M34" s="11">
        <f>Graphsakazaki!$B$10-('E sakazaki'!I34-Graphsakazaki!$B$6)/Graphsakazaki!$B$5</f>
        <v>0.38268004648000487</v>
      </c>
      <c r="N34" s="1" t="s">
        <v>503</v>
      </c>
      <c r="O34">
        <v>2004</v>
      </c>
      <c r="S34" s="10"/>
      <c r="U34" s="10"/>
    </row>
    <row r="35" spans="1:21" x14ac:dyDescent="0.2">
      <c r="A35" s="2" t="s">
        <v>1009</v>
      </c>
      <c r="B35" s="2" t="s">
        <v>1010</v>
      </c>
      <c r="C35" s="1" t="s">
        <v>500</v>
      </c>
      <c r="D35" s="1" t="s">
        <v>41</v>
      </c>
      <c r="E35" s="1" t="s">
        <v>1011</v>
      </c>
      <c r="F35" s="1" t="s">
        <v>1012</v>
      </c>
      <c r="G35" s="1"/>
      <c r="H35" s="5"/>
      <c r="I35" s="5">
        <v>58</v>
      </c>
      <c r="J35" s="9">
        <f>454.6/60</f>
        <v>7.5766666666666671</v>
      </c>
      <c r="K35" s="5"/>
      <c r="L35" s="9">
        <f t="shared" si="2"/>
        <v>0.87947818100530839</v>
      </c>
      <c r="M35" s="11">
        <f>Graphsakazaki!$B$10-('E sakazaki'!I35-Graphsakazaki!$B$6)/Graphsakazaki!$B$5</f>
        <v>0.38268004648000487</v>
      </c>
      <c r="N35" s="1" t="s">
        <v>503</v>
      </c>
      <c r="O35">
        <v>2004</v>
      </c>
      <c r="S35" s="10"/>
      <c r="U35" s="10"/>
    </row>
    <row r="36" spans="1:21" x14ac:dyDescent="0.2">
      <c r="A36" s="2" t="s">
        <v>1009</v>
      </c>
      <c r="B36" s="2" t="s">
        <v>1010</v>
      </c>
      <c r="C36" s="1" t="s">
        <v>500</v>
      </c>
      <c r="D36" s="1" t="s">
        <v>41</v>
      </c>
      <c r="E36" s="1" t="s">
        <v>1011</v>
      </c>
      <c r="F36" s="1" t="s">
        <v>1012</v>
      </c>
      <c r="G36" s="1"/>
      <c r="H36" s="5"/>
      <c r="I36" s="5">
        <v>58</v>
      </c>
      <c r="J36" s="9">
        <f>476.2/60</f>
        <v>7.9366666666666665</v>
      </c>
      <c r="K36" s="5"/>
      <c r="L36" s="9">
        <f t="shared" si="2"/>
        <v>0.89963814068521741</v>
      </c>
      <c r="M36" s="11">
        <f>Graphsakazaki!$B$10-('E sakazaki'!I36-Graphsakazaki!$B$6)/Graphsakazaki!$B$5</f>
        <v>0.38268004648000487</v>
      </c>
      <c r="N36" s="1" t="s">
        <v>503</v>
      </c>
      <c r="O36">
        <v>2004</v>
      </c>
      <c r="S36" s="10"/>
      <c r="U36" s="10"/>
    </row>
    <row r="37" spans="1:21" x14ac:dyDescent="0.2">
      <c r="A37" s="2" t="s">
        <v>1009</v>
      </c>
      <c r="B37" s="2" t="s">
        <v>1010</v>
      </c>
      <c r="C37" s="1" t="s">
        <v>501</v>
      </c>
      <c r="D37" s="1" t="s">
        <v>41</v>
      </c>
      <c r="E37" s="1" t="s">
        <v>1011</v>
      </c>
      <c r="F37" s="1" t="s">
        <v>1012</v>
      </c>
      <c r="G37" s="1"/>
      <c r="H37" s="5"/>
      <c r="I37" s="5">
        <v>58</v>
      </c>
      <c r="J37" s="9">
        <f>526.3/60</f>
        <v>8.7716666666666665</v>
      </c>
      <c r="K37" s="5"/>
      <c r="L37" s="9">
        <f t="shared" si="2"/>
        <v>0.94308211963363386</v>
      </c>
      <c r="M37" s="11">
        <f>Graphsakazaki!$B$10-('E sakazaki'!I37-Graphsakazaki!$B$6)/Graphsakazaki!$B$5</f>
        <v>0.38268004648000487</v>
      </c>
      <c r="N37" s="1" t="s">
        <v>503</v>
      </c>
      <c r="O37">
        <v>2004</v>
      </c>
      <c r="S37" s="10"/>
      <c r="U37" s="10"/>
    </row>
    <row r="38" spans="1:21" x14ac:dyDescent="0.2">
      <c r="A38" s="2" t="s">
        <v>1009</v>
      </c>
      <c r="B38" s="2" t="s">
        <v>1010</v>
      </c>
      <c r="C38" s="1" t="s">
        <v>501</v>
      </c>
      <c r="D38" s="1" t="s">
        <v>41</v>
      </c>
      <c r="E38" s="1" t="s">
        <v>1011</v>
      </c>
      <c r="F38" s="1" t="s">
        <v>1012</v>
      </c>
      <c r="G38" s="1"/>
      <c r="H38" s="5"/>
      <c r="I38" s="5">
        <v>58</v>
      </c>
      <c r="J38" s="9">
        <f>555.6/60</f>
        <v>9.26</v>
      </c>
      <c r="K38" s="5"/>
      <c r="L38" s="9">
        <f t="shared" si="2"/>
        <v>0.96661098668193435</v>
      </c>
      <c r="M38" s="11">
        <f>Graphsakazaki!$B$10-('E sakazaki'!I38-Graphsakazaki!$B$6)/Graphsakazaki!$B$5</f>
        <v>0.38268004648000487</v>
      </c>
      <c r="N38" s="1" t="s">
        <v>503</v>
      </c>
      <c r="O38">
        <v>2004</v>
      </c>
      <c r="S38" s="10"/>
      <c r="U38" s="10"/>
    </row>
    <row r="39" spans="1:21" x14ac:dyDescent="0.2">
      <c r="A39" s="2" t="s">
        <v>1009</v>
      </c>
      <c r="B39" s="2" t="s">
        <v>1010</v>
      </c>
      <c r="C39" s="1" t="s">
        <v>502</v>
      </c>
      <c r="D39" s="1" t="s">
        <v>41</v>
      </c>
      <c r="E39" s="1" t="s">
        <v>1011</v>
      </c>
      <c r="F39" s="1" t="s">
        <v>1012</v>
      </c>
      <c r="G39" s="1"/>
      <c r="H39" s="5"/>
      <c r="I39" s="5">
        <v>58</v>
      </c>
      <c r="J39" s="9">
        <f>555.6/60</f>
        <v>9.26</v>
      </c>
      <c r="K39" s="5"/>
      <c r="L39" s="9">
        <f t="shared" si="2"/>
        <v>0.96661098668193435</v>
      </c>
      <c r="M39" s="11">
        <f>Graphsakazaki!$B$10-('E sakazaki'!I39-Graphsakazaki!$B$6)/Graphsakazaki!$B$5</f>
        <v>0.38268004648000487</v>
      </c>
      <c r="N39" s="1" t="s">
        <v>503</v>
      </c>
      <c r="O39">
        <v>2004</v>
      </c>
      <c r="S39" s="10"/>
      <c r="U39" s="10"/>
    </row>
    <row r="40" spans="1:21" x14ac:dyDescent="0.2">
      <c r="A40" s="2" t="s">
        <v>1009</v>
      </c>
      <c r="B40" s="2" t="s">
        <v>1010</v>
      </c>
      <c r="C40" s="1" t="s">
        <v>502</v>
      </c>
      <c r="D40" s="1" t="s">
        <v>41</v>
      </c>
      <c r="E40" s="1" t="s">
        <v>1011</v>
      </c>
      <c r="F40" s="1" t="s">
        <v>1012</v>
      </c>
      <c r="G40" s="1"/>
      <c r="H40" s="5"/>
      <c r="I40" s="5">
        <v>58</v>
      </c>
      <c r="J40" s="9">
        <f>588.2/60</f>
        <v>9.8033333333333346</v>
      </c>
      <c r="K40" s="5"/>
      <c r="L40" s="9">
        <f t="shared" si="2"/>
        <v>0.99137376978740699</v>
      </c>
      <c r="M40" s="11">
        <f>Graphsakazaki!$B$10-('E sakazaki'!I40-Graphsakazaki!$B$6)/Graphsakazaki!$B$5</f>
        <v>0.38268004648000487</v>
      </c>
      <c r="N40" s="1" t="s">
        <v>503</v>
      </c>
      <c r="O40">
        <v>2004</v>
      </c>
      <c r="S40" s="10"/>
      <c r="U40" s="10"/>
    </row>
    <row r="41" spans="1:21" x14ac:dyDescent="0.2">
      <c r="A41" s="2" t="s">
        <v>1009</v>
      </c>
      <c r="B41" s="2" t="s">
        <v>1010</v>
      </c>
      <c r="C41" s="1">
        <v>607</v>
      </c>
      <c r="D41" s="1" t="s">
        <v>41</v>
      </c>
      <c r="E41" s="1" t="s">
        <v>1011</v>
      </c>
      <c r="F41" s="1" t="s">
        <v>1012</v>
      </c>
      <c r="G41" s="1"/>
      <c r="H41" s="5"/>
      <c r="I41" s="5">
        <v>58</v>
      </c>
      <c r="J41" s="9">
        <f>526.3/60</f>
        <v>8.7716666666666665</v>
      </c>
      <c r="K41" s="5">
        <v>5.6</v>
      </c>
      <c r="L41" s="9">
        <f t="shared" si="2"/>
        <v>0.94308211963363386</v>
      </c>
      <c r="M41" s="11">
        <f>Graphsakazaki!$B$10-('E sakazaki'!I41-Graphsakazaki!$B$6)/Graphsakazaki!$B$5</f>
        <v>0.38268004648000487</v>
      </c>
      <c r="N41" s="1" t="s">
        <v>503</v>
      </c>
      <c r="O41">
        <v>2004</v>
      </c>
      <c r="S41" s="10"/>
      <c r="U41" s="10"/>
    </row>
    <row r="42" spans="1:21" x14ac:dyDescent="0.2">
      <c r="A42" s="2" t="s">
        <v>1009</v>
      </c>
      <c r="B42" s="2" t="s">
        <v>1010</v>
      </c>
      <c r="C42" s="1">
        <v>607</v>
      </c>
      <c r="D42" s="1" t="s">
        <v>41</v>
      </c>
      <c r="E42" s="1" t="s">
        <v>1011</v>
      </c>
      <c r="F42" s="1" t="s">
        <v>1012</v>
      </c>
      <c r="G42" s="1"/>
      <c r="H42" s="5"/>
      <c r="I42" s="5">
        <v>58</v>
      </c>
      <c r="J42" s="9">
        <f>625/60</f>
        <v>10.416666666666666</v>
      </c>
      <c r="K42" s="5">
        <v>5.6</v>
      </c>
      <c r="L42" s="9">
        <f t="shared" si="2"/>
        <v>1.0177287669604316</v>
      </c>
      <c r="M42" s="11">
        <f>Graphsakazaki!$B$10-('E sakazaki'!I42-Graphsakazaki!$B$6)/Graphsakazaki!$B$5</f>
        <v>0.38268004648000487</v>
      </c>
      <c r="N42" s="1" t="s">
        <v>503</v>
      </c>
      <c r="O42">
        <v>2004</v>
      </c>
      <c r="S42" s="10"/>
      <c r="U42" s="10"/>
    </row>
    <row r="43" spans="1:21" x14ac:dyDescent="0.2">
      <c r="A43" s="2" t="s">
        <v>1009</v>
      </c>
      <c r="B43" s="2" t="s">
        <v>1010</v>
      </c>
      <c r="C43" s="1">
        <v>607</v>
      </c>
      <c r="D43" s="1" t="s">
        <v>41</v>
      </c>
      <c r="E43" s="1" t="s">
        <v>1011</v>
      </c>
      <c r="F43" s="1" t="s">
        <v>1012</v>
      </c>
      <c r="G43" s="1"/>
      <c r="H43" s="5"/>
      <c r="I43" s="5">
        <v>56</v>
      </c>
      <c r="J43" s="9">
        <f>1111.1/60</f>
        <v>18.518333333333331</v>
      </c>
      <c r="K43" s="5">
        <v>5.6</v>
      </c>
      <c r="L43" s="9">
        <f t="shared" si="2"/>
        <v>1.2676018972104974</v>
      </c>
      <c r="M43" s="11">
        <f>Graphsakazaki!$B$10-('E sakazaki'!I43-Graphsakazaki!$B$6)/Graphsakazaki!$B$5</f>
        <v>0.69873032003289204</v>
      </c>
      <c r="N43" s="1" t="s">
        <v>503</v>
      </c>
      <c r="O43">
        <v>2004</v>
      </c>
      <c r="S43" s="10"/>
      <c r="U43" s="10"/>
    </row>
    <row r="44" spans="1:21" x14ac:dyDescent="0.2">
      <c r="A44" s="2" t="s">
        <v>1009</v>
      </c>
      <c r="B44" s="2" t="s">
        <v>1010</v>
      </c>
      <c r="C44" s="1">
        <v>607</v>
      </c>
      <c r="D44" s="1" t="s">
        <v>41</v>
      </c>
      <c r="E44" s="1" t="s">
        <v>1011</v>
      </c>
      <c r="F44" s="1" t="s">
        <v>1012</v>
      </c>
      <c r="G44" s="1"/>
      <c r="H44" s="5"/>
      <c r="I44" s="5">
        <v>56</v>
      </c>
      <c r="J44" s="9">
        <f>1428.6/60</f>
        <v>23.81</v>
      </c>
      <c r="K44" s="5">
        <v>5.6</v>
      </c>
      <c r="L44" s="9">
        <f t="shared" si="2"/>
        <v>1.3767593954048798</v>
      </c>
      <c r="M44" s="11">
        <f>Graphsakazaki!$B$10-('E sakazaki'!I44-Graphsakazaki!$B$6)/Graphsakazaki!$B$5</f>
        <v>0.69873032003289204</v>
      </c>
      <c r="N44" s="1" t="s">
        <v>503</v>
      </c>
      <c r="O44">
        <v>2004</v>
      </c>
      <c r="S44" s="10"/>
      <c r="U44" s="10"/>
    </row>
    <row r="45" spans="1:21" x14ac:dyDescent="0.2">
      <c r="A45" s="2" t="s">
        <v>1009</v>
      </c>
      <c r="B45" s="2" t="s">
        <v>1010</v>
      </c>
      <c r="C45" s="1">
        <v>607</v>
      </c>
      <c r="D45" s="1" t="s">
        <v>41</v>
      </c>
      <c r="E45" s="1" t="s">
        <v>1011</v>
      </c>
      <c r="F45" s="1" t="s">
        <v>1012</v>
      </c>
      <c r="G45" s="1"/>
      <c r="H45" s="5"/>
      <c r="I45" s="5">
        <v>60</v>
      </c>
      <c r="J45" s="9">
        <f>238.1/60</f>
        <v>3.9683333333333333</v>
      </c>
      <c r="K45" s="5">
        <v>5.6</v>
      </c>
      <c r="L45" s="9">
        <f t="shared" si="2"/>
        <v>0.59860814502123627</v>
      </c>
      <c r="M45" s="11">
        <f>Graphsakazaki!$B$10-('E sakazaki'!I45-Graphsakazaki!$B$6)/Graphsakazaki!$B$5</f>
        <v>6.662977292711747E-2</v>
      </c>
      <c r="N45" s="1" t="s">
        <v>503</v>
      </c>
      <c r="O45">
        <v>2004</v>
      </c>
      <c r="S45" s="10"/>
      <c r="U45" s="10"/>
    </row>
    <row r="46" spans="1:21" x14ac:dyDescent="0.2">
      <c r="A46" s="2" t="s">
        <v>1009</v>
      </c>
      <c r="B46" s="2" t="s">
        <v>1010</v>
      </c>
      <c r="C46" s="1">
        <v>607</v>
      </c>
      <c r="D46" s="1" t="s">
        <v>41</v>
      </c>
      <c r="E46" s="1" t="s">
        <v>1011</v>
      </c>
      <c r="F46" s="1" t="s">
        <v>1012</v>
      </c>
      <c r="G46" s="1"/>
      <c r="H46" s="5"/>
      <c r="I46" s="5">
        <v>60</v>
      </c>
      <c r="J46" s="9">
        <f>277.8/60</f>
        <v>4.63</v>
      </c>
      <c r="K46" s="5">
        <v>5.6</v>
      </c>
      <c r="L46" s="9">
        <f t="shared" si="2"/>
        <v>0.66558099101795309</v>
      </c>
      <c r="M46" s="11">
        <f>Graphsakazaki!$B$10-('E sakazaki'!I46-Graphsakazaki!$B$6)/Graphsakazaki!$B$5</f>
        <v>6.662977292711747E-2</v>
      </c>
      <c r="N46" s="1" t="s">
        <v>503</v>
      </c>
      <c r="O46">
        <v>2004</v>
      </c>
      <c r="S46" s="10"/>
      <c r="U46" s="10"/>
    </row>
    <row r="47" spans="1:21" x14ac:dyDescent="0.2">
      <c r="A47" s="2" t="s">
        <v>1009</v>
      </c>
      <c r="B47" s="2" t="s">
        <v>1010</v>
      </c>
      <c r="C47" s="1">
        <v>607</v>
      </c>
      <c r="D47" s="1" t="s">
        <v>41</v>
      </c>
      <c r="E47" s="1" t="s">
        <v>1011</v>
      </c>
      <c r="F47" s="1" t="s">
        <v>1012</v>
      </c>
      <c r="G47" s="1"/>
      <c r="H47" s="5"/>
      <c r="I47" s="5">
        <v>65</v>
      </c>
      <c r="J47" s="9">
        <f>34/60</f>
        <v>0.56666666666666665</v>
      </c>
      <c r="K47" s="5">
        <v>5.6</v>
      </c>
      <c r="L47" s="9">
        <f t="shared" si="2"/>
        <v>-0.24667233334138852</v>
      </c>
      <c r="M47" s="11">
        <f>Graphsakazaki!$B$10-('E sakazaki'!I47-Graphsakazaki!$B$6)/Graphsakazaki!$B$5</f>
        <v>-0.72349591095510102</v>
      </c>
      <c r="N47" s="1" t="s">
        <v>503</v>
      </c>
      <c r="O47">
        <v>2004</v>
      </c>
      <c r="S47" s="10"/>
      <c r="U47" s="10"/>
    </row>
    <row r="48" spans="1:21" x14ac:dyDescent="0.2">
      <c r="A48" s="2" t="s">
        <v>1009</v>
      </c>
      <c r="B48" s="2" t="s">
        <v>1010</v>
      </c>
      <c r="C48" s="1">
        <v>607</v>
      </c>
      <c r="D48" s="1" t="s">
        <v>41</v>
      </c>
      <c r="E48" s="1" t="s">
        <v>1011</v>
      </c>
      <c r="F48" s="1" t="s">
        <v>1012</v>
      </c>
      <c r="G48" s="1"/>
      <c r="H48" s="5"/>
      <c r="I48" s="5">
        <v>65</v>
      </c>
      <c r="J48" s="9">
        <f>36.4/60</f>
        <v>0.60666666666666669</v>
      </c>
      <c r="K48" s="5">
        <v>5.6</v>
      </c>
      <c r="L48" s="9">
        <f t="shared" si="2"/>
        <v>-0.21704986673458762</v>
      </c>
      <c r="M48" s="11">
        <f>Graphsakazaki!$B$10-('E sakazaki'!I48-Graphsakazaki!$B$6)/Graphsakazaki!$B$5</f>
        <v>-0.72349591095510102</v>
      </c>
      <c r="N48" s="1" t="s">
        <v>503</v>
      </c>
      <c r="O48">
        <v>2004</v>
      </c>
      <c r="S48" s="10"/>
      <c r="U48" s="10"/>
    </row>
    <row r="49" spans="1:21" x14ac:dyDescent="0.2">
      <c r="A49" s="2" t="s">
        <v>1009</v>
      </c>
      <c r="B49" s="2" t="s">
        <v>1010</v>
      </c>
      <c r="C49" s="1">
        <v>607</v>
      </c>
      <c r="D49" s="1" t="s">
        <v>41</v>
      </c>
      <c r="E49" s="1" t="s">
        <v>1011</v>
      </c>
      <c r="F49" s="1" t="s">
        <v>1012</v>
      </c>
      <c r="G49" s="1"/>
      <c r="H49" s="5"/>
      <c r="I49" s="5">
        <v>70</v>
      </c>
      <c r="J49" s="9">
        <f>3.8/60</f>
        <v>6.3333333333333325E-2</v>
      </c>
      <c r="K49" s="5">
        <v>5.6</v>
      </c>
      <c r="L49" s="9">
        <f t="shared" si="2"/>
        <v>-1.1983676537668335</v>
      </c>
      <c r="M49" s="11">
        <f>Graphsakazaki!$B$10-('E sakazaki'!I49-Graphsakazaki!$B$6)/Graphsakazaki!$B$5</f>
        <v>-1.5136215948373195</v>
      </c>
      <c r="N49" s="1" t="s">
        <v>503</v>
      </c>
      <c r="O49">
        <v>2004</v>
      </c>
      <c r="S49" s="10"/>
      <c r="U49" s="10"/>
    </row>
    <row r="50" spans="1:21" x14ac:dyDescent="0.2">
      <c r="A50" s="2" t="s">
        <v>1009</v>
      </c>
      <c r="B50" s="2" t="s">
        <v>1010</v>
      </c>
      <c r="C50" s="1">
        <v>607</v>
      </c>
      <c r="D50" s="1" t="s">
        <v>41</v>
      </c>
      <c r="E50" s="1" t="s">
        <v>1011</v>
      </c>
      <c r="F50" s="1" t="s">
        <v>1012</v>
      </c>
      <c r="G50" s="1"/>
      <c r="H50" s="5"/>
      <c r="I50" s="5">
        <v>70</v>
      </c>
      <c r="J50" s="9">
        <f>3.9/60</f>
        <v>6.5000000000000002E-2</v>
      </c>
      <c r="K50" s="5">
        <v>5.6</v>
      </c>
      <c r="L50" s="9">
        <f t="shared" si="2"/>
        <v>-1.1870866433571443</v>
      </c>
      <c r="M50" s="11">
        <f>Graphsakazaki!$B$10-('E sakazaki'!I50-Graphsakazaki!$B$6)/Graphsakazaki!$B$5</f>
        <v>-1.5136215948373195</v>
      </c>
      <c r="N50" s="1" t="s">
        <v>503</v>
      </c>
      <c r="O50">
        <v>2004</v>
      </c>
      <c r="S50" s="10"/>
      <c r="U50" s="10"/>
    </row>
    <row r="51" spans="1:21" x14ac:dyDescent="0.2">
      <c r="A51" s="2" t="s">
        <v>1009</v>
      </c>
      <c r="B51" s="2" t="s">
        <v>1010</v>
      </c>
      <c r="C51" s="1" t="s">
        <v>403</v>
      </c>
      <c r="D51" s="1" t="s">
        <v>41</v>
      </c>
      <c r="E51" s="1" t="s">
        <v>1011</v>
      </c>
      <c r="F51" s="1" t="s">
        <v>406</v>
      </c>
      <c r="G51" s="1"/>
      <c r="H51" s="5"/>
      <c r="I51" s="5">
        <v>54</v>
      </c>
      <c r="J51" s="9">
        <v>16.399999999999999</v>
      </c>
      <c r="K51" s="5">
        <v>5.79</v>
      </c>
      <c r="L51" s="9">
        <f t="shared" ref="L51:L60" si="3">LOG(J51)</f>
        <v>1.2148438480476977</v>
      </c>
      <c r="M51" s="11">
        <f>Graphsakazaki!$B$10-('E sakazaki'!I51-Graphsakazaki!$B$6)/Graphsakazaki!$B$5</f>
        <v>1.0147805935857797</v>
      </c>
      <c r="N51" s="1" t="s">
        <v>405</v>
      </c>
      <c r="O51">
        <v>2004</v>
      </c>
      <c r="S51" s="10"/>
      <c r="U51" s="10"/>
    </row>
    <row r="52" spans="1:21" x14ac:dyDescent="0.2">
      <c r="A52" s="2" t="s">
        <v>1009</v>
      </c>
      <c r="B52" s="2" t="s">
        <v>1010</v>
      </c>
      <c r="C52" s="1" t="s">
        <v>403</v>
      </c>
      <c r="D52" s="1" t="s">
        <v>41</v>
      </c>
      <c r="E52" s="1" t="s">
        <v>1011</v>
      </c>
      <c r="F52" s="1" t="s">
        <v>406</v>
      </c>
      <c r="G52" s="1"/>
      <c r="H52" s="5"/>
      <c r="I52" s="5">
        <v>56</v>
      </c>
      <c r="J52" s="9">
        <v>5.0999999999999996</v>
      </c>
      <c r="K52" s="5">
        <v>5.79</v>
      </c>
      <c r="L52" s="9">
        <f t="shared" si="3"/>
        <v>0.70757017609793638</v>
      </c>
      <c r="M52" s="11">
        <f>Graphsakazaki!$B$10-('E sakazaki'!I52-Graphsakazaki!$B$6)/Graphsakazaki!$B$5</f>
        <v>0.69873032003289204</v>
      </c>
      <c r="N52" s="1" t="s">
        <v>405</v>
      </c>
      <c r="O52">
        <v>2004</v>
      </c>
      <c r="S52" s="10"/>
      <c r="U52" s="10"/>
    </row>
    <row r="53" spans="1:21" x14ac:dyDescent="0.2">
      <c r="A53" s="2" t="s">
        <v>1009</v>
      </c>
      <c r="B53" s="2" t="s">
        <v>1010</v>
      </c>
      <c r="C53" s="1" t="s">
        <v>403</v>
      </c>
      <c r="D53" s="1" t="s">
        <v>41</v>
      </c>
      <c r="E53" s="1" t="s">
        <v>1011</v>
      </c>
      <c r="F53" s="1" t="s">
        <v>406</v>
      </c>
      <c r="G53" s="1"/>
      <c r="H53" s="5"/>
      <c r="I53" s="5">
        <v>58</v>
      </c>
      <c r="J53" s="9">
        <v>2.62</v>
      </c>
      <c r="K53" s="5">
        <v>5.79</v>
      </c>
      <c r="L53" s="9">
        <f t="shared" si="3"/>
        <v>0.41830129131974547</v>
      </c>
      <c r="M53" s="11">
        <f>Graphsakazaki!$B$10-('E sakazaki'!I53-Graphsakazaki!$B$6)/Graphsakazaki!$B$5</f>
        <v>0.38268004648000487</v>
      </c>
      <c r="N53" s="1" t="s">
        <v>405</v>
      </c>
      <c r="O53">
        <v>2004</v>
      </c>
      <c r="S53" s="10"/>
      <c r="U53" s="10"/>
    </row>
    <row r="54" spans="1:21" x14ac:dyDescent="0.2">
      <c r="A54" s="2" t="s">
        <v>1009</v>
      </c>
      <c r="B54" s="2" t="s">
        <v>1010</v>
      </c>
      <c r="C54" s="1" t="s">
        <v>403</v>
      </c>
      <c r="D54" s="1" t="s">
        <v>41</v>
      </c>
      <c r="E54" s="1" t="s">
        <v>1011</v>
      </c>
      <c r="F54" s="1" t="s">
        <v>406</v>
      </c>
      <c r="G54" s="1"/>
      <c r="H54" s="5"/>
      <c r="I54" s="5">
        <v>60</v>
      </c>
      <c r="J54" s="9">
        <v>1.1299999999999999</v>
      </c>
      <c r="K54" s="5">
        <v>5.79</v>
      </c>
      <c r="L54" s="9">
        <f t="shared" si="3"/>
        <v>5.3078443483419682E-2</v>
      </c>
      <c r="M54" s="11">
        <f>Graphsakazaki!$B$10-('E sakazaki'!I54-Graphsakazaki!$B$6)/Graphsakazaki!$B$5</f>
        <v>6.662977292711747E-2</v>
      </c>
      <c r="N54" s="1" t="s">
        <v>405</v>
      </c>
      <c r="O54">
        <v>2004</v>
      </c>
      <c r="S54" s="10"/>
      <c r="U54" s="10"/>
    </row>
    <row r="55" spans="1:21" x14ac:dyDescent="0.2">
      <c r="A55" s="2" t="s">
        <v>1009</v>
      </c>
      <c r="B55" s="2" t="s">
        <v>1010</v>
      </c>
      <c r="C55" s="1" t="s">
        <v>403</v>
      </c>
      <c r="D55" s="1" t="s">
        <v>41</v>
      </c>
      <c r="E55" s="1" t="s">
        <v>1011</v>
      </c>
      <c r="F55" s="1" t="s">
        <v>406</v>
      </c>
      <c r="G55" s="1"/>
      <c r="H55" s="5"/>
      <c r="I55" s="5">
        <v>62</v>
      </c>
      <c r="J55" s="9">
        <v>0.28000000000000003</v>
      </c>
      <c r="K55" s="5">
        <v>5.79</v>
      </c>
      <c r="L55" s="9">
        <f t="shared" si="3"/>
        <v>-0.55284196865778079</v>
      </c>
      <c r="M55" s="11">
        <f>Graphsakazaki!$B$10-('E sakazaki'!I55-Graphsakazaki!$B$6)/Graphsakazaki!$B$5</f>
        <v>-0.24942050062576993</v>
      </c>
      <c r="N55" s="1" t="s">
        <v>405</v>
      </c>
      <c r="O55">
        <v>2004</v>
      </c>
      <c r="S55" s="10"/>
      <c r="U55" s="10"/>
    </row>
    <row r="56" spans="1:21" x14ac:dyDescent="0.2">
      <c r="A56" s="2" t="s">
        <v>1009</v>
      </c>
      <c r="B56" s="2" t="s">
        <v>1010</v>
      </c>
      <c r="C56" s="1" t="s">
        <v>404</v>
      </c>
      <c r="D56" s="1" t="s">
        <v>41</v>
      </c>
      <c r="E56" s="1" t="s">
        <v>1011</v>
      </c>
      <c r="F56" s="1" t="s">
        <v>406</v>
      </c>
      <c r="G56" s="1"/>
      <c r="H56" s="5"/>
      <c r="I56" s="5">
        <v>54</v>
      </c>
      <c r="J56" s="9">
        <v>11.7</v>
      </c>
      <c r="K56" s="5">
        <v>5.71</v>
      </c>
      <c r="L56" s="9">
        <f t="shared" si="3"/>
        <v>1.0681858617461617</v>
      </c>
      <c r="M56" s="11">
        <f>Graphsakazaki!$B$10-('E sakazaki'!I56-Graphsakazaki!$B$6)/Graphsakazaki!$B$5</f>
        <v>1.0147805935857797</v>
      </c>
      <c r="N56" s="1" t="s">
        <v>405</v>
      </c>
      <c r="O56">
        <v>2004</v>
      </c>
      <c r="S56" s="10"/>
      <c r="U56" s="10"/>
    </row>
    <row r="57" spans="1:21" x14ac:dyDescent="0.2">
      <c r="A57" s="2" t="s">
        <v>1009</v>
      </c>
      <c r="B57" s="2" t="s">
        <v>1010</v>
      </c>
      <c r="C57" s="1" t="s">
        <v>404</v>
      </c>
      <c r="D57" s="1" t="s">
        <v>41</v>
      </c>
      <c r="E57" s="1" t="s">
        <v>1011</v>
      </c>
      <c r="F57" s="1" t="s">
        <v>406</v>
      </c>
      <c r="G57" s="1"/>
      <c r="H57" s="5"/>
      <c r="I57" s="5">
        <v>56</v>
      </c>
      <c r="J57" s="9">
        <v>3.92</v>
      </c>
      <c r="K57" s="5">
        <v>5.71</v>
      </c>
      <c r="L57" s="9">
        <f t="shared" si="3"/>
        <v>0.59328606702045728</v>
      </c>
      <c r="M57" s="11">
        <f>Graphsakazaki!$B$10-('E sakazaki'!I57-Graphsakazaki!$B$6)/Graphsakazaki!$B$5</f>
        <v>0.69873032003289204</v>
      </c>
      <c r="N57" s="1" t="s">
        <v>405</v>
      </c>
      <c r="O57">
        <v>2004</v>
      </c>
      <c r="S57" s="10"/>
      <c r="U57" s="10"/>
    </row>
    <row r="58" spans="1:21" x14ac:dyDescent="0.2">
      <c r="A58" s="2" t="s">
        <v>1009</v>
      </c>
      <c r="B58" s="2" t="s">
        <v>1010</v>
      </c>
      <c r="C58" s="1" t="s">
        <v>404</v>
      </c>
      <c r="D58" s="1" t="s">
        <v>41</v>
      </c>
      <c r="E58" s="1" t="s">
        <v>1011</v>
      </c>
      <c r="F58" s="1" t="s">
        <v>406</v>
      </c>
      <c r="G58" s="1"/>
      <c r="H58" s="5"/>
      <c r="I58" s="5">
        <v>58</v>
      </c>
      <c r="J58" s="9">
        <v>3.76</v>
      </c>
      <c r="K58" s="5">
        <v>5.71</v>
      </c>
      <c r="L58" s="9">
        <f t="shared" si="3"/>
        <v>0.57518784492766106</v>
      </c>
      <c r="M58" s="11">
        <f>Graphsakazaki!$B$10-('E sakazaki'!I58-Graphsakazaki!$B$6)/Graphsakazaki!$B$5</f>
        <v>0.38268004648000487</v>
      </c>
      <c r="N58" s="1" t="s">
        <v>405</v>
      </c>
      <c r="O58">
        <v>2004</v>
      </c>
      <c r="S58" s="10"/>
      <c r="U58" s="10"/>
    </row>
    <row r="59" spans="1:21" x14ac:dyDescent="0.2">
      <c r="A59" s="2" t="s">
        <v>1009</v>
      </c>
      <c r="B59" s="2" t="s">
        <v>1010</v>
      </c>
      <c r="C59" s="1" t="s">
        <v>404</v>
      </c>
      <c r="D59" s="1" t="s">
        <v>41</v>
      </c>
      <c r="E59" s="1" t="s">
        <v>1011</v>
      </c>
      <c r="F59" s="1" t="s">
        <v>406</v>
      </c>
      <c r="G59" s="1"/>
      <c r="H59" s="5"/>
      <c r="I59" s="5">
        <v>60</v>
      </c>
      <c r="J59" s="9">
        <v>1.83</v>
      </c>
      <c r="K59" s="5">
        <v>5.71</v>
      </c>
      <c r="L59" s="9">
        <f t="shared" si="3"/>
        <v>0.26245108973042947</v>
      </c>
      <c r="M59" s="11">
        <f>Graphsakazaki!$B$10-('E sakazaki'!I59-Graphsakazaki!$B$6)/Graphsakazaki!$B$5</f>
        <v>6.662977292711747E-2</v>
      </c>
      <c r="N59" s="1" t="s">
        <v>405</v>
      </c>
      <c r="O59">
        <v>2004</v>
      </c>
      <c r="S59" s="10"/>
      <c r="U59" s="10"/>
    </row>
    <row r="60" spans="1:21" x14ac:dyDescent="0.2">
      <c r="A60" s="2" t="s">
        <v>1009</v>
      </c>
      <c r="B60" s="2" t="s">
        <v>1010</v>
      </c>
      <c r="C60" s="1" t="s">
        <v>404</v>
      </c>
      <c r="D60" s="1" t="s">
        <v>41</v>
      </c>
      <c r="E60" s="1" t="s">
        <v>1011</v>
      </c>
      <c r="F60" s="1" t="s">
        <v>406</v>
      </c>
      <c r="G60" s="1"/>
      <c r="H60" s="5"/>
      <c r="I60" s="5">
        <v>62</v>
      </c>
      <c r="J60" s="9">
        <v>0.22</v>
      </c>
      <c r="K60" s="5">
        <v>5.71</v>
      </c>
      <c r="L60" s="9">
        <f t="shared" si="3"/>
        <v>-0.65757731917779372</v>
      </c>
      <c r="M60" s="11">
        <f>Graphsakazaki!$B$10-('E sakazaki'!I60-Graphsakazaki!$B$6)/Graphsakazaki!$B$5</f>
        <v>-0.24942050062576993</v>
      </c>
      <c r="N60" s="1" t="s">
        <v>405</v>
      </c>
      <c r="O60">
        <v>2004</v>
      </c>
      <c r="S60" s="10"/>
      <c r="U60" s="10"/>
    </row>
    <row r="61" spans="1:21" x14ac:dyDescent="0.2">
      <c r="A61" s="2" t="s">
        <v>1009</v>
      </c>
      <c r="B61" s="2" t="s">
        <v>1010</v>
      </c>
      <c r="C61" s="2">
        <v>1387</v>
      </c>
      <c r="D61" s="2" t="s">
        <v>44</v>
      </c>
      <c r="E61" s="1" t="s">
        <v>1252</v>
      </c>
      <c r="F61" s="1"/>
      <c r="G61" s="1"/>
      <c r="H61" s="5">
        <v>7</v>
      </c>
      <c r="I61" s="5">
        <v>53</v>
      </c>
      <c r="J61" s="9">
        <v>20.2</v>
      </c>
      <c r="K61" s="5">
        <v>3.1</v>
      </c>
      <c r="L61" s="9">
        <f t="shared" ref="L61:L70" si="4">LOG(J61)</f>
        <v>1.3053513694466237</v>
      </c>
      <c r="M61" s="11">
        <f>Graphsakazaki!$B$10-('E sakazaki'!I61-Graphsakazaki!$B$6)/Graphsakazaki!$B$5</f>
        <v>1.1728057303622235</v>
      </c>
      <c r="N61" s="2" t="s">
        <v>1013</v>
      </c>
      <c r="O61">
        <v>2003</v>
      </c>
      <c r="S61" s="10"/>
      <c r="U61" s="10"/>
    </row>
    <row r="62" spans="1:21" x14ac:dyDescent="0.2">
      <c r="A62" s="2" t="s">
        <v>1009</v>
      </c>
      <c r="B62" s="2" t="s">
        <v>1010</v>
      </c>
      <c r="C62" s="2">
        <v>1387</v>
      </c>
      <c r="D62" s="2" t="s">
        <v>44</v>
      </c>
      <c r="E62" s="1" t="s">
        <v>1252</v>
      </c>
      <c r="F62" s="1"/>
      <c r="G62" s="1"/>
      <c r="H62" s="5">
        <v>7</v>
      </c>
      <c r="I62" s="5">
        <v>54</v>
      </c>
      <c r="J62" s="9">
        <v>7.1</v>
      </c>
      <c r="K62" s="5">
        <v>3.1</v>
      </c>
      <c r="L62" s="9">
        <f t="shared" si="4"/>
        <v>0.85125834871907524</v>
      </c>
      <c r="M62" s="11">
        <f>Graphsakazaki!$B$10-('E sakazaki'!I62-Graphsakazaki!$B$6)/Graphsakazaki!$B$5</f>
        <v>1.0147805935857797</v>
      </c>
      <c r="N62" s="2" t="s">
        <v>1013</v>
      </c>
      <c r="O62">
        <v>2003</v>
      </c>
      <c r="S62" s="10"/>
      <c r="U62" s="10"/>
    </row>
    <row r="63" spans="1:21" x14ac:dyDescent="0.2">
      <c r="A63" s="2" t="s">
        <v>1009</v>
      </c>
      <c r="B63" s="2" t="s">
        <v>1010</v>
      </c>
      <c r="C63" s="2">
        <v>1387</v>
      </c>
      <c r="D63" s="2" t="s">
        <v>44</v>
      </c>
      <c r="E63" s="1" t="s">
        <v>1252</v>
      </c>
      <c r="F63" s="1"/>
      <c r="G63" s="1"/>
      <c r="H63" s="5">
        <v>7</v>
      </c>
      <c r="I63" s="5">
        <v>56</v>
      </c>
      <c r="J63" s="9">
        <v>2.4</v>
      </c>
      <c r="K63" s="5">
        <v>3.1</v>
      </c>
      <c r="L63" s="9">
        <f t="shared" si="4"/>
        <v>0.38021124171160603</v>
      </c>
      <c r="M63" s="11">
        <f>Graphsakazaki!$B$10-('E sakazaki'!I63-Graphsakazaki!$B$6)/Graphsakazaki!$B$5</f>
        <v>0.69873032003289204</v>
      </c>
      <c r="N63" s="2" t="s">
        <v>1013</v>
      </c>
      <c r="O63">
        <v>2003</v>
      </c>
      <c r="S63" s="10"/>
      <c r="U63" s="10"/>
    </row>
    <row r="64" spans="1:21" x14ac:dyDescent="0.2">
      <c r="A64" s="2" t="s">
        <v>1009</v>
      </c>
      <c r="B64" s="2" t="s">
        <v>1010</v>
      </c>
      <c r="C64" s="2">
        <v>1387</v>
      </c>
      <c r="D64" s="2" t="s">
        <v>44</v>
      </c>
      <c r="E64" s="1" t="s">
        <v>1252</v>
      </c>
      <c r="F64" s="1"/>
      <c r="G64" s="1"/>
      <c r="H64" s="5">
        <v>7</v>
      </c>
      <c r="I64" s="5">
        <v>58</v>
      </c>
      <c r="J64" s="9">
        <v>0.48</v>
      </c>
      <c r="K64" s="5">
        <v>3.1</v>
      </c>
      <c r="L64" s="9">
        <f t="shared" si="4"/>
        <v>-0.31875876262441277</v>
      </c>
      <c r="M64" s="11">
        <f>Graphsakazaki!$B$10-('E sakazaki'!I64-Graphsakazaki!$B$6)/Graphsakazaki!$B$5</f>
        <v>0.38268004648000487</v>
      </c>
      <c r="N64" s="2" t="s">
        <v>1013</v>
      </c>
      <c r="O64">
        <v>2003</v>
      </c>
      <c r="S64" s="10"/>
      <c r="U64" s="10"/>
    </row>
    <row r="65" spans="1:21" x14ac:dyDescent="0.2">
      <c r="A65" s="2" t="s">
        <v>1009</v>
      </c>
      <c r="B65" s="2" t="s">
        <v>1010</v>
      </c>
      <c r="C65" s="2">
        <v>16</v>
      </c>
      <c r="D65" s="2" t="s">
        <v>44</v>
      </c>
      <c r="E65" s="1" t="s">
        <v>1252</v>
      </c>
      <c r="F65" s="1"/>
      <c r="G65" s="1"/>
      <c r="H65" s="5">
        <v>7</v>
      </c>
      <c r="I65" s="5">
        <v>53</v>
      </c>
      <c r="J65" s="9">
        <v>8.3000000000000007</v>
      </c>
      <c r="K65" s="5">
        <v>3.6</v>
      </c>
      <c r="L65" s="9">
        <f t="shared" si="4"/>
        <v>0.91907809237607396</v>
      </c>
      <c r="M65" s="11">
        <f>Graphsakazaki!$B$10-('E sakazaki'!I65-Graphsakazaki!$B$6)/Graphsakazaki!$B$5</f>
        <v>1.1728057303622235</v>
      </c>
      <c r="N65" s="2" t="s">
        <v>1013</v>
      </c>
      <c r="O65">
        <v>2003</v>
      </c>
      <c r="S65" s="10"/>
      <c r="U65" s="10"/>
    </row>
    <row r="66" spans="1:21" x14ac:dyDescent="0.2">
      <c r="A66" s="2" t="s">
        <v>1009</v>
      </c>
      <c r="B66" s="2" t="s">
        <v>1010</v>
      </c>
      <c r="C66" s="2">
        <v>16</v>
      </c>
      <c r="D66" s="2" t="s">
        <v>44</v>
      </c>
      <c r="E66" s="1" t="s">
        <v>1252</v>
      </c>
      <c r="F66" s="1"/>
      <c r="G66" s="1"/>
      <c r="H66" s="5">
        <v>7</v>
      </c>
      <c r="I66" s="5">
        <v>54</v>
      </c>
      <c r="J66" s="9">
        <v>6.4</v>
      </c>
      <c r="K66" s="5">
        <v>3.6</v>
      </c>
      <c r="L66" s="9">
        <f t="shared" si="4"/>
        <v>0.80617997398388719</v>
      </c>
      <c r="M66" s="11">
        <f>Graphsakazaki!$B$10-('E sakazaki'!I66-Graphsakazaki!$B$6)/Graphsakazaki!$B$5</f>
        <v>1.0147805935857797</v>
      </c>
      <c r="N66" s="2" t="s">
        <v>1013</v>
      </c>
      <c r="O66">
        <v>2003</v>
      </c>
      <c r="S66" s="10"/>
      <c r="U66" s="10"/>
    </row>
    <row r="67" spans="1:21" x14ac:dyDescent="0.2">
      <c r="A67" s="2" t="s">
        <v>1009</v>
      </c>
      <c r="B67" s="2" t="s">
        <v>1010</v>
      </c>
      <c r="C67" s="2">
        <v>16</v>
      </c>
      <c r="D67" s="2" t="s">
        <v>44</v>
      </c>
      <c r="E67" s="1" t="s">
        <v>1252</v>
      </c>
      <c r="F67" s="1"/>
      <c r="G67" s="1"/>
      <c r="H67" s="5">
        <v>7</v>
      </c>
      <c r="I67" s="5">
        <v>56</v>
      </c>
      <c r="J67" s="9">
        <v>1.1000000000000001</v>
      </c>
      <c r="K67" s="5">
        <v>3.6</v>
      </c>
      <c r="L67" s="9">
        <f t="shared" si="4"/>
        <v>4.1392685158225077E-2</v>
      </c>
      <c r="M67" s="11">
        <f>Graphsakazaki!$B$10-('E sakazaki'!I67-Graphsakazaki!$B$6)/Graphsakazaki!$B$5</f>
        <v>0.69873032003289204</v>
      </c>
      <c r="N67" s="2" t="s">
        <v>1013</v>
      </c>
      <c r="O67">
        <v>2003</v>
      </c>
      <c r="S67" s="10"/>
      <c r="U67" s="10"/>
    </row>
    <row r="68" spans="1:21" x14ac:dyDescent="0.2">
      <c r="A68" s="2" t="s">
        <v>1009</v>
      </c>
      <c r="B68" s="2" t="s">
        <v>1010</v>
      </c>
      <c r="C68" s="2">
        <v>16</v>
      </c>
      <c r="D68" s="2" t="s">
        <v>44</v>
      </c>
      <c r="E68" s="1" t="s">
        <v>1252</v>
      </c>
      <c r="F68" s="1"/>
      <c r="G68" s="1"/>
      <c r="H68" s="5">
        <v>7</v>
      </c>
      <c r="I68" s="5">
        <v>58</v>
      </c>
      <c r="J68" s="9">
        <v>0.4</v>
      </c>
      <c r="K68" s="5">
        <v>3.6</v>
      </c>
      <c r="L68" s="9">
        <f t="shared" si="4"/>
        <v>-0.3979400086720376</v>
      </c>
      <c r="M68" s="11">
        <f>Graphsakazaki!$B$10-('E sakazaki'!I68-Graphsakazaki!$B$6)/Graphsakazaki!$B$5</f>
        <v>0.38268004648000487</v>
      </c>
      <c r="N68" s="2" t="s">
        <v>1013</v>
      </c>
      <c r="O68">
        <v>2003</v>
      </c>
      <c r="S68" s="10"/>
      <c r="U68" s="10"/>
    </row>
    <row r="69" spans="1:21" x14ac:dyDescent="0.2">
      <c r="A69" s="2" t="s">
        <v>1009</v>
      </c>
      <c r="B69" s="2" t="s">
        <v>1010</v>
      </c>
      <c r="C69" s="1">
        <v>1360</v>
      </c>
      <c r="D69" s="2" t="s">
        <v>44</v>
      </c>
      <c r="E69" s="1" t="s">
        <v>1252</v>
      </c>
      <c r="F69" s="1"/>
      <c r="G69" s="1"/>
      <c r="H69" s="5">
        <v>7</v>
      </c>
      <c r="I69" s="5">
        <v>58</v>
      </c>
      <c r="J69" s="9">
        <v>0.34</v>
      </c>
      <c r="K69" s="5"/>
      <c r="L69" s="9">
        <f t="shared" si="4"/>
        <v>-0.46852108295774486</v>
      </c>
      <c r="M69" s="11">
        <f>Graphsakazaki!$B$10-('E sakazaki'!I69-Graphsakazaki!$B$6)/Graphsakazaki!$B$5</f>
        <v>0.38268004648000487</v>
      </c>
      <c r="N69" s="2" t="s">
        <v>1013</v>
      </c>
      <c r="O69">
        <v>2003</v>
      </c>
      <c r="S69" s="10"/>
      <c r="U69" s="10"/>
    </row>
    <row r="70" spans="1:21" x14ac:dyDescent="0.2">
      <c r="A70" s="2" t="s">
        <v>1009</v>
      </c>
      <c r="B70" s="2" t="s">
        <v>1010</v>
      </c>
      <c r="C70" s="2">
        <v>145</v>
      </c>
      <c r="D70" s="2" t="s">
        <v>44</v>
      </c>
      <c r="E70" s="1" t="s">
        <v>1252</v>
      </c>
      <c r="F70" s="1"/>
      <c r="G70" s="1"/>
      <c r="H70" s="5">
        <v>7</v>
      </c>
      <c r="I70" s="5">
        <v>58</v>
      </c>
      <c r="J70" s="9">
        <v>0.27</v>
      </c>
      <c r="K70" s="5"/>
      <c r="L70" s="9">
        <f t="shared" si="4"/>
        <v>-0.56863623584101264</v>
      </c>
      <c r="M70" s="11">
        <f>Graphsakazaki!$B$10-('E sakazaki'!I70-Graphsakazaki!$B$6)/Graphsakazaki!$B$5</f>
        <v>0.38268004648000487</v>
      </c>
      <c r="N70" s="2" t="s">
        <v>1013</v>
      </c>
      <c r="O70">
        <v>2003</v>
      </c>
      <c r="S70" s="10"/>
      <c r="U70" s="10"/>
    </row>
    <row r="71" spans="1:21" x14ac:dyDescent="0.2">
      <c r="A71" s="2" t="s">
        <v>1009</v>
      </c>
      <c r="B71" s="2" t="s">
        <v>1010</v>
      </c>
      <c r="C71" s="1" t="s">
        <v>403</v>
      </c>
      <c r="D71" s="2" t="s">
        <v>44</v>
      </c>
      <c r="E71" s="1" t="s">
        <v>69</v>
      </c>
      <c r="F71" s="19"/>
      <c r="G71" s="1"/>
      <c r="H71" s="5"/>
      <c r="I71" s="5">
        <v>54</v>
      </c>
      <c r="J71" s="9">
        <v>14.89</v>
      </c>
      <c r="K71" s="5">
        <v>5.62</v>
      </c>
      <c r="L71" s="9">
        <f t="shared" ref="L71:L80" si="5">LOG(J71)</f>
        <v>1.1728946977521761</v>
      </c>
      <c r="M71" s="11">
        <f>Graphsakazaki!$B$10-('E sakazaki'!I71-Graphsakazaki!$B$6)/Graphsakazaki!$B$5</f>
        <v>1.0147805935857797</v>
      </c>
      <c r="N71" s="1" t="s">
        <v>405</v>
      </c>
      <c r="O71">
        <v>2004</v>
      </c>
      <c r="S71" s="10"/>
      <c r="U71" s="10"/>
    </row>
    <row r="72" spans="1:21" x14ac:dyDescent="0.2">
      <c r="A72" s="2" t="s">
        <v>1009</v>
      </c>
      <c r="B72" s="2" t="s">
        <v>1010</v>
      </c>
      <c r="C72" s="1" t="s">
        <v>403</v>
      </c>
      <c r="D72" s="2" t="s">
        <v>44</v>
      </c>
      <c r="E72" s="1" t="s">
        <v>69</v>
      </c>
      <c r="F72" s="19"/>
      <c r="G72" s="1"/>
      <c r="H72" s="5"/>
      <c r="I72" s="5">
        <v>56</v>
      </c>
      <c r="J72" s="9">
        <v>2.68</v>
      </c>
      <c r="K72" s="5">
        <v>5.62</v>
      </c>
      <c r="L72" s="9">
        <f t="shared" si="5"/>
        <v>0.42813479402878885</v>
      </c>
      <c r="M72" s="11">
        <f>Graphsakazaki!$B$10-('E sakazaki'!I72-Graphsakazaki!$B$6)/Graphsakazaki!$B$5</f>
        <v>0.69873032003289204</v>
      </c>
      <c r="N72" s="1" t="s">
        <v>405</v>
      </c>
      <c r="O72">
        <v>2004</v>
      </c>
      <c r="S72" s="10"/>
      <c r="U72" s="10"/>
    </row>
    <row r="73" spans="1:21" x14ac:dyDescent="0.2">
      <c r="A73" s="2" t="s">
        <v>1009</v>
      </c>
      <c r="B73" s="2" t="s">
        <v>1010</v>
      </c>
      <c r="C73" s="1" t="s">
        <v>403</v>
      </c>
      <c r="D73" s="2" t="s">
        <v>44</v>
      </c>
      <c r="E73" s="1" t="s">
        <v>69</v>
      </c>
      <c r="F73" s="19"/>
      <c r="G73" s="1"/>
      <c r="H73" s="5"/>
      <c r="I73" s="5">
        <v>58</v>
      </c>
      <c r="J73" s="9">
        <v>1.32</v>
      </c>
      <c r="K73" s="5">
        <v>5.62</v>
      </c>
      <c r="L73" s="9">
        <f t="shared" si="5"/>
        <v>0.12057393120584989</v>
      </c>
      <c r="M73" s="11">
        <f>Graphsakazaki!$B$10-('E sakazaki'!I73-Graphsakazaki!$B$6)/Graphsakazaki!$B$5</f>
        <v>0.38268004648000487</v>
      </c>
      <c r="N73" s="1" t="s">
        <v>405</v>
      </c>
      <c r="O73">
        <v>2004</v>
      </c>
      <c r="S73" s="10"/>
      <c r="T73" s="10"/>
    </row>
    <row r="74" spans="1:21" x14ac:dyDescent="0.2">
      <c r="A74" s="2" t="s">
        <v>1009</v>
      </c>
      <c r="B74" s="2" t="s">
        <v>1010</v>
      </c>
      <c r="C74" s="1" t="s">
        <v>403</v>
      </c>
      <c r="D74" s="2" t="s">
        <v>44</v>
      </c>
      <c r="E74" s="1" t="s">
        <v>69</v>
      </c>
      <c r="F74" s="19"/>
      <c r="G74" s="1"/>
      <c r="H74" s="5"/>
      <c r="I74" s="5">
        <v>60</v>
      </c>
      <c r="J74" s="9">
        <v>0.85</v>
      </c>
      <c r="K74" s="5">
        <v>5.62</v>
      </c>
      <c r="L74" s="9">
        <f t="shared" si="5"/>
        <v>-7.0581074285707285E-2</v>
      </c>
      <c r="M74" s="11">
        <f>Graphsakazaki!$B$10-('E sakazaki'!I74-Graphsakazaki!$B$6)/Graphsakazaki!$B$5</f>
        <v>6.662977292711747E-2</v>
      </c>
      <c r="N74" s="1" t="s">
        <v>405</v>
      </c>
      <c r="O74">
        <v>2004</v>
      </c>
      <c r="S74" s="10"/>
      <c r="T74" s="10"/>
    </row>
    <row r="75" spans="1:21" x14ac:dyDescent="0.2">
      <c r="A75" s="2" t="s">
        <v>1009</v>
      </c>
      <c r="B75" s="2" t="s">
        <v>1010</v>
      </c>
      <c r="C75" s="1" t="s">
        <v>403</v>
      </c>
      <c r="D75" s="2" t="s">
        <v>44</v>
      </c>
      <c r="E75" s="1" t="s">
        <v>69</v>
      </c>
      <c r="F75" s="19"/>
      <c r="G75" s="1"/>
      <c r="H75" s="5"/>
      <c r="I75" s="5">
        <v>62</v>
      </c>
      <c r="J75" s="9">
        <v>0.4</v>
      </c>
      <c r="K75" s="5">
        <v>5.62</v>
      </c>
      <c r="L75" s="9">
        <f t="shared" si="5"/>
        <v>-0.3979400086720376</v>
      </c>
      <c r="M75" s="11">
        <f>Graphsakazaki!$B$10-('E sakazaki'!I75-Graphsakazaki!$B$6)/Graphsakazaki!$B$5</f>
        <v>-0.24942050062576993</v>
      </c>
      <c r="N75" s="1" t="s">
        <v>405</v>
      </c>
      <c r="O75">
        <v>2004</v>
      </c>
      <c r="S75" s="10"/>
      <c r="T75" s="10"/>
    </row>
    <row r="76" spans="1:21" x14ac:dyDescent="0.2">
      <c r="A76" s="2" t="s">
        <v>1009</v>
      </c>
      <c r="B76" s="2" t="s">
        <v>1010</v>
      </c>
      <c r="C76" s="1" t="s">
        <v>404</v>
      </c>
      <c r="D76" s="2" t="s">
        <v>44</v>
      </c>
      <c r="E76" s="1" t="s">
        <v>69</v>
      </c>
      <c r="F76" s="19"/>
      <c r="G76" s="1"/>
      <c r="H76" s="5"/>
      <c r="I76" s="5">
        <v>54</v>
      </c>
      <c r="J76" s="9">
        <v>10.210000000000001</v>
      </c>
      <c r="K76" s="5">
        <v>5.61</v>
      </c>
      <c r="L76" s="9">
        <f t="shared" si="5"/>
        <v>1.0090257420869102</v>
      </c>
      <c r="M76" s="11">
        <f>Graphsakazaki!$B$10-('E sakazaki'!I76-Graphsakazaki!$B$6)/Graphsakazaki!$B$5</f>
        <v>1.0147805935857797</v>
      </c>
      <c r="N76" s="1" t="s">
        <v>405</v>
      </c>
      <c r="O76">
        <v>2004</v>
      </c>
      <c r="S76" s="10"/>
      <c r="T76" s="10"/>
    </row>
    <row r="77" spans="1:21" x14ac:dyDescent="0.2">
      <c r="A77" s="2" t="s">
        <v>1009</v>
      </c>
      <c r="B77" s="2" t="s">
        <v>1010</v>
      </c>
      <c r="C77" s="1" t="s">
        <v>404</v>
      </c>
      <c r="D77" s="2" t="s">
        <v>44</v>
      </c>
      <c r="E77" s="1" t="s">
        <v>69</v>
      </c>
      <c r="F77" s="19"/>
      <c r="G77" s="1"/>
      <c r="H77" s="5"/>
      <c r="I77" s="5">
        <v>56</v>
      </c>
      <c r="J77" s="9">
        <v>1.2</v>
      </c>
      <c r="K77" s="5">
        <v>5.61</v>
      </c>
      <c r="L77" s="9">
        <f t="shared" si="5"/>
        <v>7.9181246047624818E-2</v>
      </c>
      <c r="M77" s="11">
        <f>Graphsakazaki!$B$10-('E sakazaki'!I77-Graphsakazaki!$B$6)/Graphsakazaki!$B$5</f>
        <v>0.69873032003289204</v>
      </c>
      <c r="N77" s="1" t="s">
        <v>405</v>
      </c>
      <c r="O77">
        <v>2004</v>
      </c>
      <c r="S77" s="10"/>
      <c r="T77" s="10"/>
    </row>
    <row r="78" spans="1:21" x14ac:dyDescent="0.2">
      <c r="A78" s="2" t="s">
        <v>1009</v>
      </c>
      <c r="B78" s="2" t="s">
        <v>1010</v>
      </c>
      <c r="C78" s="1" t="s">
        <v>404</v>
      </c>
      <c r="D78" s="2" t="s">
        <v>44</v>
      </c>
      <c r="E78" s="1" t="s">
        <v>69</v>
      </c>
      <c r="F78" s="19"/>
      <c r="G78" s="1"/>
      <c r="H78" s="5"/>
      <c r="I78" s="5">
        <v>58</v>
      </c>
      <c r="J78" s="9">
        <v>1.65</v>
      </c>
      <c r="K78" s="5">
        <v>5.61</v>
      </c>
      <c r="L78" s="9">
        <f t="shared" si="5"/>
        <v>0.21748394421390627</v>
      </c>
      <c r="M78" s="11">
        <f>Graphsakazaki!$B$10-('E sakazaki'!I78-Graphsakazaki!$B$6)/Graphsakazaki!$B$5</f>
        <v>0.38268004648000487</v>
      </c>
      <c r="N78" s="1" t="s">
        <v>405</v>
      </c>
      <c r="O78">
        <v>2004</v>
      </c>
      <c r="S78" s="10"/>
      <c r="T78" s="10"/>
    </row>
    <row r="79" spans="1:21" x14ac:dyDescent="0.2">
      <c r="A79" s="2" t="s">
        <v>1009</v>
      </c>
      <c r="B79" s="2" t="s">
        <v>1010</v>
      </c>
      <c r="C79" s="1" t="s">
        <v>404</v>
      </c>
      <c r="D79" s="2" t="s">
        <v>44</v>
      </c>
      <c r="E79" s="1" t="s">
        <v>69</v>
      </c>
      <c r="F79" s="19"/>
      <c r="G79" s="1"/>
      <c r="H79" s="5"/>
      <c r="I79" s="5">
        <v>60</v>
      </c>
      <c r="J79" s="9">
        <v>0.23</v>
      </c>
      <c r="K79" s="5">
        <v>5.61</v>
      </c>
      <c r="L79" s="9">
        <f t="shared" si="5"/>
        <v>-0.63827216398240705</v>
      </c>
      <c r="M79" s="11">
        <f>Graphsakazaki!$B$10-('E sakazaki'!I79-Graphsakazaki!$B$6)/Graphsakazaki!$B$5</f>
        <v>6.662977292711747E-2</v>
      </c>
      <c r="N79" s="1" t="s">
        <v>405</v>
      </c>
      <c r="O79">
        <v>2004</v>
      </c>
      <c r="S79" s="10"/>
      <c r="T79" s="10"/>
    </row>
    <row r="80" spans="1:21" x14ac:dyDescent="0.2">
      <c r="A80" s="2" t="s">
        <v>1009</v>
      </c>
      <c r="B80" s="2" t="s">
        <v>1010</v>
      </c>
      <c r="C80" s="1" t="s">
        <v>404</v>
      </c>
      <c r="D80" s="2" t="s">
        <v>44</v>
      </c>
      <c r="E80" s="1" t="s">
        <v>69</v>
      </c>
      <c r="F80" s="19"/>
      <c r="G80" s="1"/>
      <c r="H80" s="5"/>
      <c r="I80" s="5">
        <v>62</v>
      </c>
      <c r="J80" s="9">
        <v>0.23</v>
      </c>
      <c r="K80" s="5">
        <v>5.61</v>
      </c>
      <c r="L80" s="9">
        <f t="shared" si="5"/>
        <v>-0.63827216398240705</v>
      </c>
      <c r="M80" s="11">
        <f>Graphsakazaki!$B$10-('E sakazaki'!I80-Graphsakazaki!$B$6)/Graphsakazaki!$B$5</f>
        <v>-0.24942050062576993</v>
      </c>
      <c r="N80" s="1" t="s">
        <v>405</v>
      </c>
      <c r="O80">
        <v>2004</v>
      </c>
      <c r="S80" s="10"/>
      <c r="T80" s="10"/>
    </row>
    <row r="81" spans="1:20" x14ac:dyDescent="0.2">
      <c r="A81" s="2"/>
      <c r="B81" s="2"/>
      <c r="C81" s="1"/>
      <c r="D81" s="1"/>
      <c r="E81" s="1"/>
      <c r="F81" s="19"/>
      <c r="G81" s="1"/>
      <c r="H81" s="5"/>
      <c r="I81" s="5"/>
      <c r="J81" s="9"/>
      <c r="K81" s="5"/>
      <c r="L81" s="9"/>
      <c r="M81" s="11"/>
      <c r="N81" s="1"/>
      <c r="S81" s="10"/>
      <c r="T81" s="10"/>
    </row>
    <row r="82" spans="1:20" x14ac:dyDescent="0.2">
      <c r="A82" s="2"/>
      <c r="B82" s="2"/>
      <c r="C82" s="1"/>
      <c r="D82" s="1"/>
      <c r="E82" s="1"/>
      <c r="F82" s="19"/>
      <c r="G82" s="1"/>
      <c r="H82" s="5"/>
      <c r="I82" s="5"/>
      <c r="J82" s="9"/>
      <c r="K82" s="5"/>
      <c r="L82" s="9"/>
      <c r="M82" s="11"/>
      <c r="N82" s="1"/>
      <c r="S82" s="10"/>
      <c r="T82" s="10"/>
    </row>
    <row r="83" spans="1:20" x14ac:dyDescent="0.2">
      <c r="A83" s="2"/>
      <c r="B83" s="2"/>
      <c r="C83" s="1"/>
      <c r="D83" s="1"/>
      <c r="E83" s="1"/>
      <c r="F83" s="19"/>
      <c r="G83" s="1"/>
      <c r="H83" s="5"/>
      <c r="I83" s="5"/>
      <c r="J83" s="9"/>
      <c r="K83" s="5"/>
      <c r="L83" s="9"/>
      <c r="M83" s="11"/>
      <c r="N83" s="1"/>
      <c r="S83" s="10"/>
      <c r="T83" s="10"/>
    </row>
    <row r="84" spans="1:20" x14ac:dyDescent="0.2">
      <c r="A84" s="2"/>
      <c r="B84" s="2"/>
      <c r="C84" s="1"/>
      <c r="D84" s="1"/>
      <c r="E84" s="1"/>
      <c r="F84" s="19"/>
      <c r="G84" s="1"/>
      <c r="H84" s="5"/>
      <c r="I84" s="5"/>
      <c r="J84" s="9"/>
      <c r="K84" s="5"/>
      <c r="L84" s="9"/>
      <c r="M84" s="11"/>
      <c r="N84" s="1"/>
      <c r="S84" s="10"/>
      <c r="T84" s="10"/>
    </row>
    <row r="85" spans="1:20" x14ac:dyDescent="0.2">
      <c r="A85" s="2"/>
      <c r="B85" s="2"/>
      <c r="C85" s="1"/>
      <c r="D85" s="1"/>
      <c r="E85" s="1"/>
      <c r="F85" s="19"/>
      <c r="G85" s="1"/>
      <c r="H85" s="5"/>
      <c r="I85" s="5"/>
      <c r="J85" s="9"/>
      <c r="K85" s="5"/>
      <c r="L85" s="9"/>
      <c r="M85" s="11"/>
      <c r="N85" s="1"/>
      <c r="S85" s="10"/>
      <c r="T85" s="10"/>
    </row>
    <row r="86" spans="1:20" x14ac:dyDescent="0.2">
      <c r="A86" s="2"/>
      <c r="B86" s="2"/>
      <c r="C86" s="1"/>
      <c r="D86" s="1"/>
      <c r="E86" s="1"/>
      <c r="F86" s="19"/>
      <c r="G86" s="1"/>
      <c r="H86" s="5"/>
      <c r="I86" s="5"/>
      <c r="J86" s="9"/>
      <c r="K86" s="5"/>
      <c r="L86" s="9"/>
      <c r="M86" s="11"/>
      <c r="N86" s="1"/>
      <c r="S86" s="10"/>
      <c r="T86" s="10"/>
    </row>
    <row r="87" spans="1:20" x14ac:dyDescent="0.2">
      <c r="A87" s="2"/>
      <c r="B87" s="2"/>
      <c r="C87" s="1"/>
      <c r="D87" s="1"/>
      <c r="E87" s="1"/>
      <c r="F87" s="19"/>
      <c r="G87" s="1"/>
      <c r="H87" s="5"/>
      <c r="I87" s="5"/>
      <c r="J87" s="9"/>
      <c r="K87" s="5"/>
      <c r="L87" s="9"/>
      <c r="M87" s="11"/>
      <c r="N87" s="1"/>
      <c r="S87" s="10"/>
      <c r="T87" s="10"/>
    </row>
    <row r="88" spans="1:20" x14ac:dyDescent="0.2">
      <c r="A88" s="2"/>
      <c r="B88" s="2"/>
      <c r="C88" s="1"/>
      <c r="D88" s="1"/>
      <c r="E88" s="1"/>
      <c r="F88" s="19"/>
      <c r="G88" s="1"/>
      <c r="H88" s="5"/>
      <c r="I88" s="5"/>
      <c r="J88" s="9"/>
      <c r="K88" s="5"/>
      <c r="L88" s="9"/>
      <c r="M88" s="11"/>
      <c r="N88" s="1"/>
      <c r="S88" s="10"/>
      <c r="T88" s="10"/>
    </row>
    <row r="89" spans="1:20" x14ac:dyDescent="0.2">
      <c r="A89" s="2"/>
      <c r="B89" s="2"/>
      <c r="C89" s="1"/>
      <c r="D89" s="1"/>
      <c r="E89" s="1"/>
      <c r="F89" s="19"/>
      <c r="G89" s="1"/>
      <c r="H89" s="5"/>
      <c r="I89" s="5"/>
      <c r="K89" s="5"/>
      <c r="L89" s="9"/>
      <c r="M89" s="11"/>
      <c r="N89" s="1"/>
      <c r="S89" s="10"/>
      <c r="T89" s="10"/>
    </row>
    <row r="90" spans="1:20" x14ac:dyDescent="0.2">
      <c r="A90" s="2"/>
      <c r="B90" s="2"/>
      <c r="C90" s="1"/>
      <c r="D90" s="1"/>
      <c r="E90" s="1"/>
      <c r="F90" s="19"/>
      <c r="G90" s="1"/>
      <c r="H90" s="5"/>
      <c r="I90" s="5"/>
      <c r="K90" s="5"/>
      <c r="L90" s="9"/>
      <c r="M90" s="11"/>
      <c r="N90" s="1"/>
      <c r="S90" s="10"/>
      <c r="T90" s="10"/>
    </row>
    <row r="91" spans="1:20" x14ac:dyDescent="0.2">
      <c r="A91" s="2"/>
      <c r="B91" s="2"/>
      <c r="C91" s="1"/>
      <c r="D91" s="1"/>
      <c r="E91" s="1"/>
      <c r="F91" s="19"/>
      <c r="G91" s="1"/>
      <c r="H91" s="5"/>
      <c r="I91" s="5"/>
      <c r="K91" s="5"/>
      <c r="L91" s="9"/>
      <c r="M91" s="11"/>
      <c r="N91" s="1"/>
      <c r="S91" s="10"/>
      <c r="T91" s="10"/>
    </row>
    <row r="92" spans="1:20" x14ac:dyDescent="0.2">
      <c r="A92" s="2"/>
      <c r="B92" s="2"/>
      <c r="C92" s="1"/>
      <c r="D92" s="1"/>
      <c r="E92" s="1"/>
      <c r="F92" s="19"/>
      <c r="G92" s="1"/>
      <c r="H92" s="5"/>
      <c r="I92" s="5"/>
      <c r="K92" s="5"/>
      <c r="L92" s="9"/>
      <c r="M92" s="11"/>
      <c r="N92" s="1"/>
      <c r="S92" s="10"/>
      <c r="T92" s="10"/>
    </row>
    <row r="93" spans="1:20" x14ac:dyDescent="0.2">
      <c r="A93" s="2"/>
      <c r="B93" s="2"/>
      <c r="C93" s="1"/>
      <c r="D93" s="1"/>
      <c r="E93" s="1"/>
      <c r="F93" s="19"/>
      <c r="G93" s="1"/>
      <c r="H93" s="5"/>
      <c r="I93" s="5"/>
      <c r="K93" s="5"/>
      <c r="L93" s="9"/>
      <c r="M93" s="11"/>
      <c r="N93" s="1"/>
      <c r="S93" s="10"/>
      <c r="T93" s="10"/>
    </row>
    <row r="94" spans="1:20" x14ac:dyDescent="0.2">
      <c r="A94" s="2"/>
      <c r="B94" s="2"/>
      <c r="C94" s="1"/>
      <c r="D94" s="1"/>
      <c r="E94" s="1"/>
      <c r="F94" s="19"/>
      <c r="G94" s="1"/>
      <c r="H94" s="5"/>
      <c r="I94" s="5"/>
      <c r="J94" s="9"/>
      <c r="K94" s="5"/>
      <c r="L94" s="9"/>
      <c r="M94" s="11"/>
      <c r="N94" s="1"/>
      <c r="S94" s="10"/>
      <c r="T94" s="10"/>
    </row>
    <row r="95" spans="1:20" x14ac:dyDescent="0.2">
      <c r="A95" s="2"/>
      <c r="B95" s="2"/>
      <c r="C95" s="1"/>
      <c r="D95" s="1"/>
      <c r="E95" s="1"/>
      <c r="F95" s="19"/>
      <c r="G95" s="1"/>
      <c r="H95" s="5"/>
      <c r="I95" s="5"/>
      <c r="J95" s="9"/>
      <c r="K95" s="5"/>
      <c r="L95" s="9"/>
      <c r="M95" s="11"/>
      <c r="N95" s="1"/>
      <c r="S95" s="10"/>
      <c r="T95" s="10"/>
    </row>
    <row r="96" spans="1:20" x14ac:dyDescent="0.2">
      <c r="A96" s="2"/>
      <c r="B96" s="2"/>
      <c r="C96" s="1"/>
      <c r="D96" s="1"/>
      <c r="E96" s="1"/>
      <c r="F96" s="19"/>
      <c r="G96" s="1"/>
      <c r="H96" s="5"/>
      <c r="I96" s="5"/>
      <c r="J96" s="9"/>
      <c r="K96" s="5"/>
      <c r="L96" s="9"/>
      <c r="M96" s="11"/>
      <c r="N96" s="1"/>
      <c r="S96" s="10"/>
      <c r="T96" s="10"/>
    </row>
    <row r="97" spans="1:20" x14ac:dyDescent="0.2">
      <c r="A97" s="2"/>
      <c r="B97" s="2"/>
      <c r="C97" s="1"/>
      <c r="D97" s="1"/>
      <c r="E97" s="1"/>
      <c r="F97" s="19"/>
      <c r="G97" s="1"/>
      <c r="H97" s="5"/>
      <c r="I97" s="5"/>
      <c r="J97" s="9"/>
      <c r="K97" s="5"/>
      <c r="L97" s="9"/>
      <c r="M97" s="11"/>
      <c r="N97" s="1"/>
      <c r="S97" s="10"/>
      <c r="T97" s="10"/>
    </row>
    <row r="98" spans="1:20" x14ac:dyDescent="0.2">
      <c r="A98" s="2"/>
      <c r="B98" s="2"/>
      <c r="C98" s="1"/>
      <c r="D98" s="1"/>
      <c r="E98" s="1"/>
      <c r="F98" s="19"/>
      <c r="G98" s="1"/>
      <c r="H98" s="5"/>
      <c r="I98" s="5"/>
      <c r="J98" s="9"/>
      <c r="K98" s="5"/>
      <c r="L98" s="9"/>
      <c r="M98" s="11"/>
      <c r="N98" s="1"/>
      <c r="S98" s="10"/>
      <c r="T98" s="10"/>
    </row>
    <row r="99" spans="1:20" x14ac:dyDescent="0.2">
      <c r="A99" s="2"/>
      <c r="B99" s="2"/>
      <c r="C99" s="1"/>
      <c r="D99" s="1"/>
      <c r="E99" s="1"/>
      <c r="F99" s="19"/>
      <c r="G99" s="1"/>
      <c r="H99" s="5"/>
      <c r="I99" s="5"/>
      <c r="J99" s="9"/>
      <c r="K99" s="5"/>
      <c r="L99" s="9"/>
      <c r="M99" s="11"/>
      <c r="N99" s="1"/>
      <c r="S99" s="10"/>
      <c r="T99" s="10"/>
    </row>
    <row r="100" spans="1:20" x14ac:dyDescent="0.2">
      <c r="A100" s="2"/>
      <c r="B100" s="2"/>
      <c r="C100" s="1"/>
      <c r="D100" s="1"/>
      <c r="E100" s="1"/>
      <c r="F100" s="19"/>
      <c r="G100" s="1"/>
      <c r="H100" s="5"/>
      <c r="I100" s="5"/>
      <c r="J100" s="9"/>
      <c r="K100" s="5"/>
      <c r="L100" s="9"/>
      <c r="M100" s="11"/>
      <c r="N100" s="1"/>
      <c r="S100" s="10"/>
      <c r="T100" s="10"/>
    </row>
    <row r="101" spans="1:20" x14ac:dyDescent="0.2">
      <c r="A101" s="2"/>
      <c r="B101" s="2"/>
      <c r="C101" s="1"/>
      <c r="D101" s="1"/>
      <c r="E101" s="1"/>
      <c r="F101" s="19"/>
      <c r="G101" s="1"/>
      <c r="H101" s="5"/>
      <c r="I101" s="5"/>
      <c r="J101" s="9"/>
      <c r="K101" s="5"/>
      <c r="L101" s="9"/>
      <c r="M101" s="11"/>
      <c r="N101" s="1"/>
      <c r="S101" s="10"/>
      <c r="T101" s="10"/>
    </row>
    <row r="102" spans="1:20" x14ac:dyDescent="0.2">
      <c r="A102" s="2"/>
      <c r="B102" s="2"/>
      <c r="C102" s="1"/>
      <c r="D102" s="1"/>
      <c r="E102" s="1"/>
      <c r="F102" s="19"/>
      <c r="G102" s="1"/>
      <c r="H102" s="5"/>
      <c r="I102" s="5"/>
      <c r="J102" s="9"/>
      <c r="K102" s="5"/>
      <c r="L102" s="9"/>
      <c r="M102" s="11"/>
      <c r="N102" s="1"/>
      <c r="S102" s="10"/>
      <c r="T102" s="10"/>
    </row>
    <row r="103" spans="1:20" x14ac:dyDescent="0.2">
      <c r="A103" s="2"/>
      <c r="B103" s="2"/>
      <c r="C103" s="1"/>
      <c r="D103" s="1"/>
      <c r="E103" s="1"/>
      <c r="F103" s="19"/>
      <c r="G103" s="1"/>
      <c r="H103" s="5"/>
      <c r="I103" s="5"/>
      <c r="J103" s="9"/>
      <c r="K103" s="5"/>
      <c r="L103" s="9"/>
      <c r="M103" s="11"/>
      <c r="N103" s="1"/>
      <c r="S103" s="10"/>
      <c r="T103" s="10"/>
    </row>
    <row r="104" spans="1:20" x14ac:dyDescent="0.2">
      <c r="A104" s="2"/>
      <c r="B104" s="2"/>
      <c r="C104" s="1"/>
      <c r="D104" s="1"/>
      <c r="E104" s="1"/>
      <c r="F104" s="19"/>
      <c r="G104" s="1"/>
      <c r="H104" s="5"/>
      <c r="I104" s="5"/>
      <c r="J104" s="9"/>
      <c r="K104" s="5"/>
      <c r="L104" s="9"/>
      <c r="M104" s="11"/>
      <c r="N104" s="1"/>
      <c r="S104" s="10"/>
      <c r="T104" s="10"/>
    </row>
    <row r="105" spans="1:20" x14ac:dyDescent="0.2">
      <c r="A105" s="2"/>
      <c r="B105" s="2"/>
      <c r="C105" s="1"/>
      <c r="D105" s="1"/>
      <c r="E105" s="1"/>
      <c r="F105" s="19"/>
      <c r="G105" s="1"/>
      <c r="H105" s="5"/>
      <c r="I105" s="5"/>
      <c r="J105" s="9"/>
      <c r="K105" s="5"/>
      <c r="L105" s="9"/>
      <c r="M105" s="11"/>
      <c r="N105" s="1"/>
      <c r="S105" s="10"/>
      <c r="T105" s="10"/>
    </row>
    <row r="106" spans="1:20" x14ac:dyDescent="0.2">
      <c r="A106" s="2"/>
      <c r="B106" s="2"/>
      <c r="C106" s="1"/>
      <c r="D106" s="1"/>
      <c r="E106" s="1"/>
      <c r="F106" s="19"/>
      <c r="G106" s="1"/>
      <c r="H106" s="5"/>
      <c r="I106" s="5"/>
      <c r="J106" s="9"/>
      <c r="K106" s="5"/>
      <c r="L106" s="9"/>
      <c r="M106" s="11"/>
      <c r="N106" s="1"/>
      <c r="S106" s="10"/>
      <c r="T106" s="10"/>
    </row>
    <row r="107" spans="1:20" x14ac:dyDescent="0.2">
      <c r="A107" s="2"/>
      <c r="B107" s="2"/>
      <c r="C107" s="1"/>
      <c r="D107" s="1"/>
      <c r="E107" s="1"/>
      <c r="F107" s="19"/>
      <c r="G107" s="1"/>
      <c r="H107" s="5"/>
      <c r="I107" s="5"/>
      <c r="J107" s="9"/>
      <c r="K107" s="5"/>
      <c r="L107" s="9"/>
      <c r="M107" s="11"/>
      <c r="N107" s="1"/>
      <c r="S107" s="10"/>
      <c r="T107" s="10"/>
    </row>
    <row r="108" spans="1:20" x14ac:dyDescent="0.2">
      <c r="A108" s="2"/>
      <c r="B108" s="2"/>
      <c r="C108" s="1"/>
      <c r="D108" s="1"/>
      <c r="E108" s="1"/>
      <c r="F108" s="19"/>
      <c r="G108" s="1"/>
      <c r="H108" s="5"/>
      <c r="I108" s="5"/>
      <c r="J108" s="9"/>
      <c r="K108" s="5"/>
      <c r="L108" s="9"/>
      <c r="M108" s="11"/>
      <c r="N108" s="1"/>
      <c r="S108" s="10"/>
      <c r="T108" s="10"/>
    </row>
    <row r="109" spans="1:20" x14ac:dyDescent="0.2">
      <c r="A109" s="2"/>
      <c r="B109" s="2"/>
      <c r="C109" s="1"/>
      <c r="D109" s="1"/>
      <c r="E109" s="1"/>
      <c r="F109" s="19"/>
      <c r="G109" s="1"/>
      <c r="H109" s="5"/>
      <c r="I109" s="5"/>
      <c r="J109" s="9"/>
      <c r="K109" s="5"/>
      <c r="L109" s="9"/>
      <c r="M109" s="11"/>
      <c r="N109" s="1"/>
      <c r="S109" s="10"/>
      <c r="T109" s="10"/>
    </row>
    <row r="110" spans="1:20" x14ac:dyDescent="0.2">
      <c r="A110" s="2"/>
      <c r="B110" s="2"/>
      <c r="C110" s="1"/>
      <c r="D110" s="1"/>
      <c r="E110" s="1"/>
      <c r="F110" s="19"/>
      <c r="G110" s="1"/>
      <c r="H110" s="5"/>
      <c r="I110" s="5"/>
      <c r="K110" s="5"/>
      <c r="L110" s="9"/>
      <c r="M110" s="11"/>
      <c r="N110" s="1"/>
      <c r="S110" s="10"/>
      <c r="T110" s="10"/>
    </row>
    <row r="111" spans="1:20" x14ac:dyDescent="0.2">
      <c r="A111" s="2"/>
      <c r="B111" s="2"/>
      <c r="C111" s="1"/>
      <c r="D111" s="1"/>
      <c r="E111" s="1"/>
      <c r="F111" s="19"/>
      <c r="G111" s="1"/>
      <c r="H111" s="5"/>
      <c r="I111" s="5"/>
      <c r="K111" s="5"/>
      <c r="L111" s="9"/>
      <c r="M111" s="11"/>
      <c r="N111" s="1"/>
      <c r="S111" s="10"/>
      <c r="T111" s="10"/>
    </row>
    <row r="112" spans="1:20" x14ac:dyDescent="0.2">
      <c r="A112" s="2"/>
      <c r="B112" s="2"/>
      <c r="C112" s="1"/>
      <c r="D112" s="1"/>
      <c r="E112" s="1"/>
      <c r="F112" s="19"/>
      <c r="G112" s="1"/>
      <c r="H112" s="5"/>
      <c r="I112" s="5"/>
      <c r="K112" s="5"/>
      <c r="L112" s="9"/>
      <c r="M112" s="11"/>
      <c r="N112" s="1"/>
      <c r="S112" s="10"/>
      <c r="T112" s="10"/>
    </row>
    <row r="113" spans="1:20" x14ac:dyDescent="0.2">
      <c r="A113" s="2"/>
      <c r="B113" s="2"/>
      <c r="C113" s="1"/>
      <c r="D113" s="1"/>
      <c r="E113" s="1"/>
      <c r="F113" s="19"/>
      <c r="G113" s="1"/>
      <c r="H113" s="5"/>
      <c r="I113" s="5"/>
      <c r="K113" s="5"/>
      <c r="L113" s="9"/>
      <c r="M113" s="11"/>
      <c r="N113" s="1"/>
      <c r="S113" s="10"/>
      <c r="T113" s="10"/>
    </row>
    <row r="114" spans="1:20" x14ac:dyDescent="0.2">
      <c r="A114" s="2"/>
      <c r="B114" s="2"/>
      <c r="C114" s="1"/>
      <c r="D114" s="1"/>
      <c r="E114" s="1"/>
      <c r="F114" s="19"/>
      <c r="G114" s="1"/>
      <c r="H114" s="5"/>
      <c r="I114" s="5"/>
      <c r="K114" s="5"/>
      <c r="L114" s="9"/>
      <c r="M114" s="11"/>
      <c r="N114" s="1"/>
      <c r="S114" s="10"/>
      <c r="T114" s="10"/>
    </row>
    <row r="115" spans="1:20" x14ac:dyDescent="0.2">
      <c r="A115" s="2"/>
      <c r="B115" s="2"/>
      <c r="C115" s="1"/>
      <c r="D115" s="1"/>
      <c r="E115" s="1"/>
      <c r="F115" s="19"/>
      <c r="G115" s="1"/>
      <c r="H115" s="5"/>
      <c r="I115" s="5"/>
      <c r="K115" s="5"/>
      <c r="L115" s="9"/>
      <c r="M115" s="11"/>
      <c r="N115" s="1"/>
      <c r="S115" s="10"/>
      <c r="T115" s="10"/>
    </row>
    <row r="116" spans="1:20" x14ac:dyDescent="0.2">
      <c r="A116" s="2"/>
      <c r="B116" s="2"/>
      <c r="C116" s="1"/>
      <c r="D116" s="1"/>
      <c r="E116" s="1"/>
      <c r="F116" s="19"/>
      <c r="G116" s="1"/>
      <c r="H116" s="5"/>
      <c r="I116" s="5"/>
      <c r="K116" s="5"/>
      <c r="L116" s="9"/>
      <c r="M116" s="11"/>
      <c r="N116" s="1"/>
      <c r="S116" s="10"/>
      <c r="T116" s="10"/>
    </row>
    <row r="117" spans="1:20" x14ac:dyDescent="0.2">
      <c r="A117" s="2"/>
      <c r="B117" s="2"/>
      <c r="C117" s="1"/>
      <c r="D117" s="1"/>
      <c r="E117" s="1"/>
      <c r="F117" s="19"/>
      <c r="G117" s="1"/>
      <c r="H117" s="5"/>
      <c r="I117" s="5"/>
      <c r="K117" s="5"/>
      <c r="L117" s="9"/>
      <c r="M117" s="11"/>
      <c r="N117" s="1"/>
      <c r="S117" s="10"/>
      <c r="T117" s="10"/>
    </row>
    <row r="118" spans="1:20" x14ac:dyDescent="0.2">
      <c r="A118" s="2"/>
      <c r="B118" s="2"/>
      <c r="C118" s="1"/>
      <c r="D118" s="1"/>
      <c r="E118" s="1"/>
      <c r="F118" s="19"/>
      <c r="G118" s="1"/>
      <c r="H118" s="5"/>
      <c r="I118" s="5"/>
      <c r="K118" s="5"/>
      <c r="L118" s="9"/>
      <c r="M118" s="11"/>
      <c r="N118" s="1"/>
      <c r="S118" s="10"/>
      <c r="T118" s="10"/>
    </row>
    <row r="119" spans="1:20" x14ac:dyDescent="0.2">
      <c r="A119" s="2"/>
      <c r="B119" s="2"/>
      <c r="C119" s="1"/>
      <c r="D119" s="1"/>
      <c r="E119" s="1"/>
      <c r="F119" s="19"/>
      <c r="G119" s="1"/>
      <c r="H119" s="5"/>
      <c r="I119" s="5"/>
      <c r="K119" s="5"/>
      <c r="L119" s="9"/>
      <c r="M119" s="11"/>
      <c r="N119" s="1"/>
      <c r="S119" s="10"/>
      <c r="T119" s="10"/>
    </row>
    <row r="120" spans="1:20" x14ac:dyDescent="0.2">
      <c r="A120" s="2"/>
      <c r="B120" s="2"/>
      <c r="C120" s="1"/>
      <c r="D120" s="1"/>
      <c r="E120" s="1"/>
      <c r="F120" s="19"/>
      <c r="G120" s="1"/>
      <c r="H120" s="5"/>
      <c r="I120" s="5"/>
      <c r="K120" s="5"/>
      <c r="L120" s="9"/>
      <c r="M120" s="11"/>
      <c r="N120" s="1"/>
      <c r="S120" s="10"/>
      <c r="T120" s="10"/>
    </row>
    <row r="121" spans="1:20" x14ac:dyDescent="0.2">
      <c r="A121" s="2"/>
      <c r="B121" s="2"/>
      <c r="C121" s="1"/>
      <c r="D121" s="1"/>
      <c r="E121" s="1"/>
      <c r="F121" s="19"/>
      <c r="G121" s="1"/>
      <c r="H121" s="5"/>
      <c r="I121" s="5"/>
      <c r="K121" s="5"/>
      <c r="L121" s="9"/>
      <c r="M121" s="11"/>
      <c r="N121" s="1"/>
      <c r="S121" s="10"/>
      <c r="T121" s="10"/>
    </row>
    <row r="122" spans="1:20" x14ac:dyDescent="0.2">
      <c r="A122" s="2"/>
      <c r="B122" s="2"/>
      <c r="C122" s="1"/>
      <c r="D122" s="1"/>
      <c r="E122" s="1"/>
      <c r="F122" s="19"/>
      <c r="G122" s="1"/>
      <c r="H122" s="5"/>
      <c r="I122" s="5"/>
      <c r="K122" s="5"/>
      <c r="L122" s="9"/>
      <c r="M122" s="11"/>
      <c r="N122" s="1"/>
      <c r="S122" s="10"/>
      <c r="T122" s="10"/>
    </row>
    <row r="123" spans="1:20" x14ac:dyDescent="0.2">
      <c r="A123" s="2"/>
      <c r="B123" s="2"/>
      <c r="C123" s="1"/>
      <c r="D123" s="1"/>
      <c r="E123" s="1"/>
      <c r="F123" s="19"/>
      <c r="G123" s="1"/>
      <c r="H123" s="5"/>
      <c r="I123" s="5"/>
      <c r="K123" s="5"/>
      <c r="L123" s="9"/>
      <c r="M123" s="11"/>
      <c r="N123" s="1"/>
      <c r="S123" s="10"/>
      <c r="T123" s="10"/>
    </row>
    <row r="124" spans="1:20" x14ac:dyDescent="0.2">
      <c r="A124" s="2"/>
      <c r="B124" s="2"/>
      <c r="C124" s="1"/>
      <c r="D124" s="1"/>
      <c r="E124" s="1"/>
      <c r="F124" s="19"/>
      <c r="G124" s="1"/>
      <c r="H124" s="5"/>
      <c r="I124" s="5"/>
      <c r="K124" s="5"/>
      <c r="L124" s="9"/>
      <c r="M124" s="11"/>
      <c r="N124" s="1"/>
      <c r="S124" s="10"/>
      <c r="T124" s="10"/>
    </row>
    <row r="125" spans="1:20" x14ac:dyDescent="0.2">
      <c r="A125" s="2"/>
      <c r="B125" s="2"/>
      <c r="C125" s="1"/>
      <c r="D125" s="1"/>
      <c r="E125" s="1"/>
      <c r="F125" s="19"/>
      <c r="G125" s="1"/>
      <c r="H125" s="5"/>
      <c r="I125" s="5"/>
      <c r="K125" s="5"/>
      <c r="L125" s="9"/>
      <c r="M125" s="11"/>
      <c r="N125" s="1"/>
      <c r="S125" s="10"/>
      <c r="T125" s="10"/>
    </row>
    <row r="126" spans="1:20" x14ac:dyDescent="0.2">
      <c r="A126" s="2"/>
      <c r="B126" s="2"/>
      <c r="C126" s="1"/>
      <c r="D126" s="1"/>
      <c r="E126" s="1"/>
      <c r="F126" s="19"/>
      <c r="G126" s="1"/>
      <c r="H126" s="5"/>
      <c r="I126" s="5"/>
      <c r="K126" s="5"/>
      <c r="L126" s="9"/>
      <c r="M126" s="11"/>
      <c r="N126" s="1"/>
      <c r="S126" s="10"/>
      <c r="T126" s="10"/>
    </row>
    <row r="127" spans="1:20" x14ac:dyDescent="0.2">
      <c r="A127" s="2"/>
      <c r="B127" s="2"/>
      <c r="C127" s="1"/>
      <c r="D127" s="1"/>
      <c r="E127" s="1"/>
      <c r="F127" s="19"/>
      <c r="G127" s="1"/>
      <c r="H127" s="5"/>
      <c r="I127" s="5"/>
      <c r="K127" s="5"/>
      <c r="L127" s="9"/>
      <c r="M127" s="11"/>
      <c r="N127" s="1"/>
      <c r="S127" s="10"/>
      <c r="T127" s="10"/>
    </row>
    <row r="128" spans="1:20" x14ac:dyDescent="0.2">
      <c r="A128" s="2"/>
      <c r="B128" s="2"/>
      <c r="C128" s="1"/>
      <c r="D128" s="1"/>
      <c r="E128" s="1"/>
      <c r="F128" s="19"/>
      <c r="G128" s="1"/>
      <c r="H128" s="5"/>
      <c r="I128" s="5"/>
      <c r="K128" s="5"/>
      <c r="L128" s="9"/>
      <c r="M128" s="11"/>
      <c r="N128" s="1"/>
      <c r="S128" s="10"/>
      <c r="T128" s="10"/>
    </row>
    <row r="129" spans="1:20" x14ac:dyDescent="0.2">
      <c r="A129" s="2"/>
      <c r="B129" s="2"/>
      <c r="C129" s="1"/>
      <c r="D129" s="1"/>
      <c r="E129" s="1"/>
      <c r="F129" s="19"/>
      <c r="G129" s="1"/>
      <c r="H129" s="5"/>
      <c r="I129" s="5"/>
      <c r="K129" s="5"/>
      <c r="L129" s="9"/>
      <c r="M129" s="11"/>
      <c r="N129" s="1"/>
      <c r="S129" s="10"/>
      <c r="T129" s="10"/>
    </row>
    <row r="130" spans="1:20" x14ac:dyDescent="0.2">
      <c r="A130" s="2"/>
      <c r="B130" s="2"/>
      <c r="C130" s="1"/>
      <c r="D130" s="1"/>
      <c r="E130" s="1"/>
      <c r="F130" s="19"/>
      <c r="G130" s="1"/>
      <c r="H130" s="5"/>
      <c r="I130" s="5"/>
      <c r="K130" s="5"/>
      <c r="L130" s="9"/>
      <c r="M130" s="11"/>
      <c r="N130" s="1"/>
      <c r="S130" s="10"/>
      <c r="T130" s="10"/>
    </row>
    <row r="131" spans="1:20" x14ac:dyDescent="0.2">
      <c r="A131" s="2"/>
      <c r="B131" s="2"/>
      <c r="C131" s="1"/>
      <c r="D131" s="1"/>
      <c r="E131" s="1"/>
      <c r="F131" s="19"/>
      <c r="G131" s="1"/>
      <c r="H131" s="5"/>
      <c r="I131" s="5"/>
      <c r="K131" s="5"/>
      <c r="L131" s="9"/>
      <c r="M131" s="11"/>
      <c r="N131" s="1"/>
      <c r="S131" s="10"/>
      <c r="T131" s="10"/>
    </row>
    <row r="132" spans="1:20" x14ac:dyDescent="0.2">
      <c r="A132" s="2"/>
      <c r="B132" s="2"/>
      <c r="C132" s="1"/>
      <c r="D132" s="1"/>
      <c r="E132" s="1"/>
      <c r="F132" s="19"/>
      <c r="G132" s="1"/>
      <c r="H132" s="5"/>
      <c r="I132" s="5"/>
      <c r="K132" s="5"/>
      <c r="L132" s="9"/>
      <c r="M132" s="11"/>
      <c r="N132" s="1"/>
      <c r="S132" s="10"/>
      <c r="T132" s="10"/>
    </row>
    <row r="133" spans="1:20" x14ac:dyDescent="0.2">
      <c r="A133" s="2"/>
      <c r="B133" s="2"/>
      <c r="C133" s="1"/>
      <c r="D133" s="1"/>
      <c r="E133" s="1"/>
      <c r="F133" s="19"/>
      <c r="G133" s="1"/>
      <c r="H133" s="5"/>
      <c r="I133" s="5"/>
      <c r="K133" s="5"/>
      <c r="L133" s="9"/>
      <c r="M133" s="11"/>
      <c r="N133" s="1"/>
      <c r="S133" s="10"/>
      <c r="T133" s="10"/>
    </row>
    <row r="134" spans="1:20" x14ac:dyDescent="0.2">
      <c r="A134" s="2"/>
      <c r="B134" s="2"/>
      <c r="C134" s="1"/>
      <c r="D134" s="1"/>
      <c r="E134" s="1"/>
      <c r="F134" s="19"/>
      <c r="G134" s="1"/>
      <c r="H134" s="5"/>
      <c r="I134" s="5"/>
      <c r="K134" s="5"/>
      <c r="L134" s="9"/>
      <c r="M134" s="11"/>
      <c r="N134" s="1"/>
      <c r="S134" s="10"/>
      <c r="T134" s="10"/>
    </row>
    <row r="135" spans="1:20" x14ac:dyDescent="0.2">
      <c r="A135" s="2"/>
      <c r="B135" s="2"/>
      <c r="C135" s="1"/>
      <c r="D135" s="1"/>
      <c r="E135" s="1"/>
      <c r="F135" s="19"/>
      <c r="G135" s="1"/>
      <c r="H135" s="5"/>
      <c r="I135" s="5"/>
      <c r="K135" s="5"/>
      <c r="L135" s="9"/>
      <c r="M135" s="11"/>
      <c r="N135" s="1"/>
      <c r="S135" s="10"/>
      <c r="T135" s="10"/>
    </row>
    <row r="136" spans="1:20" x14ac:dyDescent="0.2">
      <c r="A136" s="2"/>
      <c r="B136" s="2"/>
      <c r="C136" s="1"/>
      <c r="D136" s="1"/>
      <c r="E136" s="1"/>
      <c r="F136" s="19"/>
      <c r="G136" s="1"/>
      <c r="H136" s="5"/>
      <c r="I136" s="5"/>
      <c r="K136" s="5"/>
      <c r="L136" s="9"/>
      <c r="M136" s="11"/>
      <c r="N136" s="1"/>
      <c r="S136" s="10"/>
      <c r="T136" s="10"/>
    </row>
    <row r="137" spans="1:20" x14ac:dyDescent="0.2">
      <c r="A137" s="2"/>
      <c r="B137" s="2"/>
      <c r="C137" s="1"/>
      <c r="D137" s="1"/>
      <c r="E137" s="1"/>
      <c r="F137" s="19"/>
      <c r="G137" s="1"/>
      <c r="H137" s="5"/>
      <c r="I137" s="5"/>
      <c r="K137" s="5"/>
      <c r="L137" s="9"/>
      <c r="M137" s="11"/>
      <c r="N137" s="1"/>
      <c r="S137" s="10"/>
      <c r="T137" s="10"/>
    </row>
    <row r="138" spans="1:20" x14ac:dyDescent="0.2">
      <c r="A138" s="2"/>
      <c r="B138" s="2"/>
      <c r="C138" s="1"/>
      <c r="D138" s="1"/>
      <c r="E138" s="1"/>
      <c r="F138" s="19"/>
      <c r="G138" s="1"/>
      <c r="H138" s="5"/>
      <c r="I138" s="5"/>
      <c r="K138" s="5"/>
      <c r="L138" s="9"/>
      <c r="M138" s="11"/>
      <c r="N138" s="1"/>
      <c r="S138" s="10"/>
      <c r="T138" s="10"/>
    </row>
    <row r="139" spans="1:20" x14ac:dyDescent="0.2">
      <c r="A139" s="2"/>
      <c r="B139" s="2"/>
      <c r="C139" s="1"/>
      <c r="D139" s="1"/>
      <c r="E139" s="1"/>
      <c r="F139" s="19"/>
      <c r="G139" s="1"/>
      <c r="H139" s="5"/>
      <c r="I139" s="5"/>
      <c r="K139" s="5"/>
      <c r="L139" s="9"/>
      <c r="M139" s="11"/>
      <c r="N139" s="1"/>
      <c r="S139" s="10"/>
      <c r="T139" s="10"/>
    </row>
    <row r="140" spans="1:20" x14ac:dyDescent="0.2">
      <c r="A140" s="2"/>
      <c r="B140" s="2"/>
      <c r="C140" s="1"/>
      <c r="D140" s="1"/>
      <c r="E140" s="1"/>
      <c r="F140" s="19"/>
      <c r="G140" s="1"/>
      <c r="H140" s="5"/>
      <c r="I140" s="5"/>
      <c r="K140" s="5"/>
      <c r="L140" s="9"/>
      <c r="M140" s="11"/>
      <c r="N140" s="1"/>
      <c r="S140" s="10"/>
      <c r="T140" s="10"/>
    </row>
    <row r="141" spans="1:20" x14ac:dyDescent="0.2">
      <c r="A141" s="2"/>
      <c r="B141" s="2"/>
      <c r="C141" s="1"/>
      <c r="D141" s="1"/>
      <c r="E141" s="1"/>
      <c r="F141" s="19"/>
      <c r="G141" s="1"/>
      <c r="H141" s="5"/>
      <c r="I141" s="5"/>
      <c r="K141" s="5"/>
      <c r="L141" s="9"/>
      <c r="M141" s="11"/>
      <c r="N141" s="1"/>
      <c r="S141" s="10"/>
      <c r="T141" s="10"/>
    </row>
    <row r="142" spans="1:20" x14ac:dyDescent="0.2">
      <c r="A142" s="2"/>
      <c r="B142" s="2"/>
      <c r="C142" s="1"/>
      <c r="D142" s="1"/>
      <c r="E142" s="1"/>
      <c r="F142" s="19"/>
      <c r="G142" s="1"/>
      <c r="H142" s="5"/>
      <c r="I142" s="5"/>
      <c r="K142" s="5"/>
      <c r="L142" s="9"/>
      <c r="M142" s="11"/>
      <c r="N142" s="1"/>
      <c r="S142" s="10"/>
      <c r="T142" s="10"/>
    </row>
    <row r="143" spans="1:20" x14ac:dyDescent="0.2">
      <c r="A143" s="2"/>
      <c r="B143" s="2"/>
      <c r="C143" s="1"/>
      <c r="D143" s="1"/>
      <c r="E143" s="1"/>
      <c r="F143" s="19"/>
      <c r="G143" s="1"/>
      <c r="H143" s="5"/>
      <c r="I143" s="5"/>
      <c r="K143" s="5"/>
      <c r="L143" s="9"/>
      <c r="M143" s="11"/>
      <c r="N143" s="1"/>
      <c r="S143" s="10"/>
      <c r="T143" s="10"/>
    </row>
    <row r="144" spans="1:20" x14ac:dyDescent="0.2">
      <c r="A144" s="2"/>
      <c r="B144" s="2"/>
      <c r="C144" s="1"/>
      <c r="D144" s="1"/>
      <c r="E144" s="1"/>
      <c r="F144" s="19"/>
      <c r="G144" s="1"/>
      <c r="H144" s="5"/>
      <c r="I144" s="5"/>
      <c r="K144" s="5"/>
      <c r="L144" s="9"/>
      <c r="M144" s="11"/>
      <c r="N144" s="1"/>
      <c r="S144" s="10"/>
      <c r="T144" s="10"/>
    </row>
    <row r="145" spans="1:20" x14ac:dyDescent="0.2">
      <c r="A145" s="2"/>
      <c r="B145" s="2"/>
      <c r="C145" s="1"/>
      <c r="D145" s="1"/>
      <c r="E145" s="1"/>
      <c r="F145" s="19"/>
      <c r="G145" s="1"/>
      <c r="H145" s="5"/>
      <c r="I145" s="5"/>
      <c r="K145" s="5"/>
      <c r="L145" s="9"/>
      <c r="M145" s="11"/>
      <c r="N145" s="1"/>
      <c r="S145" s="10"/>
      <c r="T145" s="10"/>
    </row>
    <row r="146" spans="1:20" x14ac:dyDescent="0.2">
      <c r="A146" s="2"/>
      <c r="B146" s="2"/>
      <c r="C146" s="1"/>
      <c r="D146" s="1"/>
      <c r="E146" s="1"/>
      <c r="F146" s="19"/>
      <c r="G146" s="1"/>
      <c r="H146" s="5"/>
      <c r="I146" s="5"/>
      <c r="K146" s="5"/>
      <c r="L146" s="9"/>
      <c r="M146" s="11"/>
      <c r="N146" s="1"/>
      <c r="S146" s="10"/>
      <c r="T146" s="10"/>
    </row>
    <row r="147" spans="1:20" x14ac:dyDescent="0.2">
      <c r="A147" s="2"/>
      <c r="B147" s="2"/>
      <c r="C147" s="1"/>
      <c r="D147" s="1"/>
      <c r="E147" s="1"/>
      <c r="F147" s="19"/>
      <c r="G147" s="1"/>
      <c r="H147" s="5"/>
      <c r="I147" s="5"/>
      <c r="K147" s="5"/>
      <c r="L147" s="9"/>
      <c r="M147" s="11"/>
      <c r="N147" s="1"/>
      <c r="S147" s="10"/>
      <c r="T147" s="10"/>
    </row>
    <row r="148" spans="1:20" x14ac:dyDescent="0.2">
      <c r="A148" s="2"/>
      <c r="B148" s="2"/>
      <c r="C148" s="1"/>
      <c r="D148" s="1"/>
      <c r="E148" s="1"/>
      <c r="F148" s="19"/>
      <c r="G148" s="1"/>
      <c r="H148" s="5"/>
      <c r="I148" s="5"/>
      <c r="K148" s="5"/>
      <c r="L148" s="9"/>
      <c r="M148" s="11"/>
      <c r="N148" s="1"/>
      <c r="S148" s="10"/>
      <c r="T148" s="10"/>
    </row>
    <row r="149" spans="1:20" x14ac:dyDescent="0.2">
      <c r="A149" s="2"/>
      <c r="B149" s="2"/>
      <c r="C149" s="1"/>
      <c r="D149" s="1"/>
      <c r="E149" s="1"/>
      <c r="F149" s="19"/>
      <c r="G149" s="1"/>
      <c r="H149" s="5"/>
      <c r="I149" s="5"/>
      <c r="K149" s="5"/>
      <c r="L149" s="9"/>
      <c r="M149" s="11"/>
      <c r="N149" s="1"/>
      <c r="S149" s="10"/>
      <c r="T149" s="10"/>
    </row>
    <row r="150" spans="1:20" x14ac:dyDescent="0.2">
      <c r="A150" s="2"/>
      <c r="B150" s="2"/>
      <c r="C150" s="1"/>
      <c r="D150" s="1"/>
      <c r="E150" s="1"/>
      <c r="F150" s="19"/>
      <c r="G150" s="1"/>
      <c r="H150" s="5"/>
      <c r="I150" s="5"/>
      <c r="K150" s="5"/>
      <c r="L150" s="9"/>
      <c r="M150" s="11"/>
      <c r="N150" s="1"/>
      <c r="S150" s="10"/>
      <c r="T150" s="10"/>
    </row>
    <row r="151" spans="1:20" x14ac:dyDescent="0.2">
      <c r="A151" s="2"/>
      <c r="B151" s="2"/>
      <c r="C151" s="1"/>
      <c r="D151" s="1"/>
      <c r="E151" s="1"/>
      <c r="F151" s="19"/>
      <c r="G151" s="1"/>
      <c r="H151" s="5"/>
      <c r="I151" s="5"/>
      <c r="K151" s="5"/>
      <c r="L151" s="9"/>
      <c r="M151" s="11"/>
      <c r="N151" s="1"/>
      <c r="S151" s="10"/>
      <c r="T151" s="10"/>
    </row>
    <row r="152" spans="1:20" x14ac:dyDescent="0.2">
      <c r="A152" s="2"/>
      <c r="B152" s="2"/>
      <c r="C152" s="1"/>
      <c r="D152" s="1"/>
      <c r="E152" s="1"/>
      <c r="F152" s="19"/>
      <c r="G152" s="1"/>
      <c r="H152" s="5"/>
      <c r="I152" s="5"/>
      <c r="K152" s="5"/>
      <c r="L152" s="9"/>
      <c r="M152" s="11"/>
      <c r="N152" s="1"/>
      <c r="S152" s="10"/>
      <c r="T152" s="10"/>
    </row>
    <row r="153" spans="1:20" x14ac:dyDescent="0.2">
      <c r="A153" s="2"/>
      <c r="B153" s="2"/>
      <c r="C153" s="1"/>
      <c r="D153" s="1"/>
      <c r="E153" s="1"/>
      <c r="F153" s="19"/>
      <c r="G153" s="1"/>
      <c r="H153" s="5"/>
      <c r="I153" s="5"/>
      <c r="K153" s="5"/>
      <c r="L153" s="9"/>
      <c r="M153" s="11"/>
      <c r="N153" s="1"/>
      <c r="S153" s="10"/>
      <c r="T153" s="10"/>
    </row>
    <row r="154" spans="1:20" x14ac:dyDescent="0.2">
      <c r="A154" s="2"/>
      <c r="B154" s="2"/>
      <c r="C154" s="1"/>
      <c r="D154" s="1"/>
      <c r="E154" s="1"/>
      <c r="F154" s="19"/>
      <c r="G154" s="1"/>
      <c r="H154" s="5"/>
      <c r="I154" s="5"/>
      <c r="K154" s="5"/>
      <c r="L154" s="9"/>
      <c r="M154" s="11"/>
      <c r="N154" s="1"/>
      <c r="S154" s="10"/>
      <c r="T154" s="10"/>
    </row>
    <row r="155" spans="1:20" x14ac:dyDescent="0.2">
      <c r="A155" s="2"/>
      <c r="B155" s="2"/>
      <c r="C155" s="1"/>
      <c r="D155" s="1"/>
      <c r="E155" s="1"/>
      <c r="F155" s="19"/>
      <c r="G155" s="1"/>
      <c r="H155" s="5"/>
      <c r="I155" s="5"/>
      <c r="K155" s="5"/>
      <c r="L155" s="9"/>
      <c r="M155" s="11"/>
      <c r="N155" s="1"/>
      <c r="S155" s="10"/>
      <c r="T155" s="10"/>
    </row>
    <row r="156" spans="1:20" x14ac:dyDescent="0.2">
      <c r="A156" s="2"/>
      <c r="B156" s="2"/>
      <c r="C156" s="1"/>
      <c r="D156" s="1"/>
      <c r="E156" s="1"/>
      <c r="F156" s="19"/>
      <c r="G156" s="1"/>
      <c r="H156" s="5"/>
      <c r="I156" s="5"/>
      <c r="K156" s="5"/>
      <c r="L156" s="9"/>
      <c r="M156" s="11"/>
      <c r="N156" s="1"/>
      <c r="S156" s="10"/>
      <c r="T156" s="10"/>
    </row>
    <row r="157" spans="1:20" x14ac:dyDescent="0.2">
      <c r="A157" s="2"/>
      <c r="B157" s="2"/>
      <c r="C157" s="1"/>
      <c r="D157" s="1"/>
      <c r="E157" s="1"/>
      <c r="F157" s="19"/>
      <c r="G157" s="1"/>
      <c r="H157" s="5"/>
      <c r="J157" s="9"/>
      <c r="K157" s="5"/>
      <c r="L157" s="9"/>
      <c r="M157" s="11"/>
      <c r="N157" s="1"/>
      <c r="S157" s="10"/>
      <c r="T157" s="10"/>
    </row>
    <row r="158" spans="1:20" x14ac:dyDescent="0.2">
      <c r="A158" s="2"/>
      <c r="B158" s="2"/>
      <c r="C158" s="1"/>
      <c r="D158" s="1"/>
      <c r="E158" s="1"/>
      <c r="F158" s="19"/>
      <c r="G158" s="1"/>
      <c r="H158" s="5"/>
      <c r="I158" s="5"/>
      <c r="J158" s="9"/>
      <c r="K158" s="5"/>
      <c r="L158" s="9"/>
      <c r="M158" s="11"/>
      <c r="N158" s="1"/>
      <c r="S158" s="10"/>
      <c r="T158" s="10"/>
    </row>
    <row r="159" spans="1:20" x14ac:dyDescent="0.2">
      <c r="A159" s="2"/>
      <c r="B159" s="2"/>
      <c r="C159" s="1"/>
      <c r="D159" s="1"/>
      <c r="E159" s="1"/>
      <c r="F159" s="19"/>
      <c r="G159" s="1"/>
      <c r="H159" s="5"/>
      <c r="I159" s="5"/>
      <c r="J159" s="9"/>
      <c r="K159" s="5"/>
      <c r="L159" s="9"/>
      <c r="M159" s="11"/>
      <c r="N159" s="1"/>
      <c r="S159" s="10"/>
      <c r="T159" s="10"/>
    </row>
    <row r="160" spans="1:20" x14ac:dyDescent="0.2">
      <c r="A160" s="2"/>
      <c r="B160" s="2"/>
      <c r="C160" s="1"/>
      <c r="D160" s="1"/>
      <c r="E160" s="1"/>
      <c r="F160" s="19"/>
      <c r="G160" s="1"/>
      <c r="H160" s="5"/>
      <c r="I160" s="5"/>
      <c r="J160" s="9"/>
      <c r="K160" s="5"/>
      <c r="L160" s="9"/>
      <c r="M160" s="11"/>
      <c r="N160" s="1"/>
      <c r="S160" s="10"/>
      <c r="T160" s="10"/>
    </row>
    <row r="161" spans="1:20" x14ac:dyDescent="0.2">
      <c r="A161" s="2"/>
      <c r="B161" s="2"/>
      <c r="C161" s="1"/>
      <c r="D161" s="1"/>
      <c r="E161" s="1"/>
      <c r="F161" s="19"/>
      <c r="G161" s="1"/>
      <c r="H161" s="5"/>
      <c r="I161" s="5"/>
      <c r="J161" s="9"/>
      <c r="K161" s="5"/>
      <c r="L161" s="9"/>
      <c r="M161" s="11"/>
      <c r="N161" s="1"/>
      <c r="S161" s="10"/>
      <c r="T161" s="10"/>
    </row>
    <row r="162" spans="1:20" x14ac:dyDescent="0.2">
      <c r="A162" s="2"/>
      <c r="B162" s="2"/>
      <c r="C162" s="1"/>
      <c r="D162" s="1"/>
      <c r="E162" s="1"/>
      <c r="F162" s="19"/>
      <c r="G162" s="19"/>
      <c r="H162" s="5"/>
      <c r="I162" s="5"/>
      <c r="J162" s="9"/>
      <c r="K162" s="5"/>
      <c r="L162" s="9"/>
      <c r="M162" s="11"/>
      <c r="N162" s="1"/>
      <c r="S162" s="10"/>
      <c r="T162" s="10"/>
    </row>
    <row r="163" spans="1:20" x14ac:dyDescent="0.2">
      <c r="A163" s="2"/>
      <c r="B163" s="2"/>
      <c r="C163" s="1"/>
      <c r="D163" s="1"/>
      <c r="E163" s="1"/>
      <c r="F163" s="19"/>
      <c r="G163" s="19"/>
      <c r="H163" s="5"/>
      <c r="I163" s="5"/>
      <c r="J163" s="9"/>
      <c r="K163" s="5"/>
      <c r="L163" s="9"/>
      <c r="M163" s="11"/>
      <c r="N163" s="1"/>
      <c r="S163" s="10"/>
      <c r="T163" s="10"/>
    </row>
    <row r="164" spans="1:20" x14ac:dyDescent="0.2">
      <c r="A164" s="2"/>
      <c r="B164" s="2"/>
      <c r="C164" s="1"/>
      <c r="D164" s="1"/>
      <c r="E164" s="1"/>
      <c r="F164" s="19"/>
      <c r="G164" s="19"/>
      <c r="H164" s="5"/>
      <c r="I164" s="5"/>
      <c r="J164" s="9"/>
      <c r="K164" s="5"/>
      <c r="L164" s="9"/>
      <c r="M164" s="11"/>
      <c r="N164" s="1"/>
      <c r="S164" s="10"/>
      <c r="T164" s="10"/>
    </row>
    <row r="165" spans="1:20" x14ac:dyDescent="0.2">
      <c r="A165" s="2"/>
      <c r="B165" s="2"/>
      <c r="C165" s="1"/>
      <c r="D165" s="1"/>
      <c r="E165" s="1"/>
      <c r="F165" s="19"/>
      <c r="G165" s="19"/>
      <c r="H165" s="5"/>
      <c r="I165" s="5"/>
      <c r="J165" s="9"/>
      <c r="K165" s="5"/>
      <c r="L165" s="9"/>
      <c r="M165" s="11"/>
      <c r="N165" s="1"/>
      <c r="S165" s="10"/>
      <c r="T165" s="10"/>
    </row>
    <row r="166" spans="1:20" x14ac:dyDescent="0.2">
      <c r="A166" s="2"/>
      <c r="B166" s="2"/>
      <c r="C166" s="1"/>
      <c r="D166" s="1"/>
      <c r="E166" s="1"/>
      <c r="F166" s="19"/>
      <c r="G166" s="19"/>
      <c r="H166" s="5"/>
      <c r="I166" s="5"/>
      <c r="J166" s="9"/>
      <c r="K166" s="5"/>
      <c r="L166" s="9"/>
      <c r="M166" s="11"/>
      <c r="N166" s="1"/>
      <c r="S166" s="10"/>
      <c r="T166" s="10"/>
    </row>
    <row r="167" spans="1:20" x14ac:dyDescent="0.2">
      <c r="A167" s="2"/>
      <c r="B167" s="2"/>
      <c r="C167" s="1"/>
      <c r="D167" s="1"/>
      <c r="E167" s="1"/>
      <c r="F167" s="19"/>
      <c r="G167" s="1"/>
      <c r="H167" s="5"/>
      <c r="I167" s="5"/>
      <c r="J167" s="9"/>
      <c r="K167" s="5"/>
      <c r="L167" s="9"/>
      <c r="M167" s="11"/>
      <c r="N167" s="1"/>
      <c r="S167" s="10"/>
      <c r="T167" s="10"/>
    </row>
    <row r="168" spans="1:20" x14ac:dyDescent="0.2">
      <c r="A168" s="2"/>
      <c r="B168" s="2"/>
      <c r="C168" s="1"/>
      <c r="D168" s="1"/>
      <c r="E168" s="1"/>
      <c r="F168" s="19"/>
      <c r="G168" s="1"/>
      <c r="H168" s="5"/>
      <c r="I168" s="5"/>
      <c r="J168" s="9"/>
      <c r="K168" s="5"/>
      <c r="L168" s="9"/>
      <c r="M168" s="11"/>
      <c r="N168" s="1"/>
      <c r="S168" s="10"/>
      <c r="T168" s="10"/>
    </row>
    <row r="169" spans="1:20" x14ac:dyDescent="0.2">
      <c r="A169" s="2"/>
      <c r="B169" s="2"/>
      <c r="C169" s="1"/>
      <c r="D169" s="1"/>
      <c r="E169" s="1"/>
      <c r="F169" s="19"/>
      <c r="G169" s="1"/>
      <c r="H169" s="5"/>
      <c r="I169" s="5"/>
      <c r="J169" s="9"/>
      <c r="K169" s="5"/>
      <c r="L169" s="9"/>
      <c r="M169" s="11"/>
      <c r="N169" s="1"/>
      <c r="S169" s="10"/>
      <c r="T169" s="10"/>
    </row>
    <row r="170" spans="1:20" x14ac:dyDescent="0.2">
      <c r="A170" s="2"/>
      <c r="B170" s="2"/>
      <c r="C170" s="1"/>
      <c r="D170" s="1"/>
      <c r="E170" s="1"/>
      <c r="F170" s="19"/>
      <c r="G170" s="1"/>
      <c r="H170" s="5"/>
      <c r="I170" s="5"/>
      <c r="J170" s="9"/>
      <c r="K170" s="5"/>
      <c r="L170" s="9"/>
      <c r="M170" s="11"/>
      <c r="N170" s="1"/>
      <c r="S170" s="10"/>
      <c r="T170" s="10"/>
    </row>
    <row r="171" spans="1:20" x14ac:dyDescent="0.2">
      <c r="A171" s="2"/>
      <c r="B171" s="2"/>
      <c r="C171" s="1"/>
      <c r="D171" s="1"/>
      <c r="E171" s="1"/>
      <c r="F171" s="19"/>
      <c r="G171" s="1"/>
      <c r="H171" s="5"/>
      <c r="I171" s="5"/>
      <c r="J171" s="9"/>
      <c r="K171" s="5"/>
      <c r="L171" s="9"/>
      <c r="M171" s="11"/>
      <c r="N171" s="1"/>
      <c r="S171" s="10"/>
      <c r="T171" s="10"/>
    </row>
    <row r="172" spans="1:20" x14ac:dyDescent="0.2">
      <c r="A172" s="2"/>
      <c r="B172" s="2"/>
      <c r="C172" s="1"/>
      <c r="D172" s="1"/>
      <c r="E172" s="1"/>
      <c r="F172" s="19"/>
      <c r="G172" s="1"/>
      <c r="H172" s="5"/>
      <c r="J172" s="9"/>
      <c r="K172" s="5"/>
      <c r="L172" s="9"/>
      <c r="M172" s="11"/>
      <c r="N172" s="1"/>
      <c r="S172" s="10"/>
      <c r="T172" s="10"/>
    </row>
    <row r="173" spans="1:20" x14ac:dyDescent="0.2">
      <c r="A173" s="2"/>
      <c r="B173" s="2"/>
      <c r="C173" s="1"/>
      <c r="D173" s="1"/>
      <c r="E173" s="1"/>
      <c r="F173" s="19"/>
      <c r="G173" s="1"/>
      <c r="H173" s="5"/>
      <c r="I173" s="5"/>
      <c r="J173" s="9"/>
      <c r="K173" s="5"/>
      <c r="L173" s="9"/>
      <c r="M173" s="11"/>
      <c r="N173" s="1"/>
      <c r="S173" s="10"/>
      <c r="T173" s="10"/>
    </row>
    <row r="174" spans="1:20" x14ac:dyDescent="0.2">
      <c r="A174" s="2"/>
      <c r="B174" s="2"/>
      <c r="C174" s="1"/>
      <c r="D174" s="1"/>
      <c r="E174" s="1"/>
      <c r="F174" s="19"/>
      <c r="G174" s="1"/>
      <c r="H174" s="5"/>
      <c r="I174" s="5"/>
      <c r="J174" s="9"/>
      <c r="K174" s="5"/>
      <c r="L174" s="9"/>
      <c r="M174" s="11"/>
      <c r="N174" s="1"/>
      <c r="S174" s="10"/>
      <c r="T174" s="10"/>
    </row>
    <row r="175" spans="1:20" x14ac:dyDescent="0.2">
      <c r="A175" s="2"/>
      <c r="B175" s="2"/>
      <c r="C175" s="1"/>
      <c r="D175" s="1"/>
      <c r="E175" s="1"/>
      <c r="F175" s="19"/>
      <c r="G175" s="1"/>
      <c r="H175" s="5"/>
      <c r="I175" s="5"/>
      <c r="J175" s="9"/>
      <c r="K175" s="5"/>
      <c r="L175" s="9"/>
      <c r="M175" s="11"/>
      <c r="N175" s="1"/>
      <c r="S175" s="10"/>
      <c r="T175" s="10"/>
    </row>
    <row r="176" spans="1:20" x14ac:dyDescent="0.2">
      <c r="A176" s="2"/>
      <c r="B176" s="2"/>
      <c r="C176" s="1"/>
      <c r="D176" s="1"/>
      <c r="E176" s="1"/>
      <c r="F176" s="19"/>
      <c r="G176" s="1"/>
      <c r="H176" s="5"/>
      <c r="I176" s="5"/>
      <c r="J176" s="9"/>
      <c r="K176" s="5"/>
      <c r="L176" s="9"/>
      <c r="M176" s="11"/>
      <c r="N176" s="1"/>
      <c r="S176" s="10"/>
      <c r="T176" s="10"/>
    </row>
    <row r="177" spans="1:20" x14ac:dyDescent="0.2">
      <c r="A177" s="2"/>
      <c r="B177" s="2"/>
      <c r="C177" s="1"/>
      <c r="D177" s="1"/>
      <c r="E177" s="1"/>
      <c r="F177" s="19"/>
      <c r="G177" s="19"/>
      <c r="H177" s="5"/>
      <c r="I177" s="5"/>
      <c r="J177" s="9"/>
      <c r="K177" s="5"/>
      <c r="L177" s="9"/>
      <c r="M177" s="11"/>
      <c r="N177" s="1"/>
      <c r="S177" s="10"/>
      <c r="T177" s="10"/>
    </row>
    <row r="178" spans="1:20" x14ac:dyDescent="0.2">
      <c r="A178" s="2"/>
      <c r="B178" s="2"/>
      <c r="C178" s="1"/>
      <c r="D178" s="1"/>
      <c r="E178" s="1"/>
      <c r="F178" s="19"/>
      <c r="G178" s="19"/>
      <c r="H178" s="5"/>
      <c r="I178" s="5"/>
      <c r="J178" s="9"/>
      <c r="K178" s="5"/>
      <c r="L178" s="9"/>
      <c r="M178" s="11"/>
      <c r="N178" s="1"/>
      <c r="S178" s="10"/>
      <c r="T178" s="10"/>
    </row>
    <row r="179" spans="1:20" x14ac:dyDescent="0.2">
      <c r="A179" s="2"/>
      <c r="B179" s="2"/>
      <c r="C179" s="1"/>
      <c r="D179" s="1"/>
      <c r="E179" s="1"/>
      <c r="F179" s="19"/>
      <c r="G179" s="19"/>
      <c r="H179" s="5"/>
      <c r="I179" s="5"/>
      <c r="J179" s="9"/>
      <c r="K179" s="5"/>
      <c r="L179" s="9"/>
      <c r="M179" s="11"/>
      <c r="N179" s="1"/>
      <c r="S179" s="10"/>
      <c r="T179" s="10"/>
    </row>
    <row r="180" spans="1:20" x14ac:dyDescent="0.2">
      <c r="A180" s="2"/>
      <c r="B180" s="2"/>
      <c r="C180" s="1"/>
      <c r="D180" s="1"/>
      <c r="E180" s="1"/>
      <c r="F180" s="19"/>
      <c r="G180" s="19"/>
      <c r="H180" s="5"/>
      <c r="I180" s="5"/>
      <c r="J180" s="9"/>
      <c r="K180" s="5"/>
      <c r="L180" s="9"/>
      <c r="M180" s="11"/>
      <c r="N180" s="1"/>
      <c r="S180" s="10"/>
      <c r="T180" s="10"/>
    </row>
    <row r="181" spans="1:20" x14ac:dyDescent="0.2">
      <c r="A181" s="2"/>
      <c r="B181" s="2"/>
      <c r="C181" s="1"/>
      <c r="D181" s="1"/>
      <c r="E181" s="1"/>
      <c r="F181" s="19"/>
      <c r="G181" s="19"/>
      <c r="H181" s="5"/>
      <c r="I181" s="5"/>
      <c r="J181" s="9"/>
      <c r="K181" s="5"/>
      <c r="L181" s="9"/>
      <c r="M181" s="11"/>
      <c r="N181" s="1"/>
      <c r="S181" s="10"/>
      <c r="T181" s="10"/>
    </row>
    <row r="182" spans="1:20" x14ac:dyDescent="0.2">
      <c r="A182" s="2"/>
      <c r="B182" s="2"/>
      <c r="C182" s="1"/>
      <c r="D182" s="1"/>
      <c r="E182" s="1"/>
      <c r="F182" s="19"/>
      <c r="G182" s="1"/>
      <c r="H182" s="5"/>
      <c r="I182" s="5"/>
      <c r="J182" s="9"/>
      <c r="K182" s="5"/>
      <c r="L182" s="9"/>
      <c r="M182" s="11"/>
      <c r="N182" s="1"/>
      <c r="S182" s="10"/>
      <c r="T182" s="10"/>
    </row>
    <row r="183" spans="1:20" x14ac:dyDescent="0.2">
      <c r="A183" s="2"/>
      <c r="B183" s="2"/>
      <c r="C183" s="1"/>
      <c r="D183" s="1"/>
      <c r="E183" s="1"/>
      <c r="F183" s="19"/>
      <c r="G183" s="1"/>
      <c r="H183" s="5"/>
      <c r="I183" s="5"/>
      <c r="J183" s="9"/>
      <c r="K183" s="5"/>
      <c r="L183" s="9"/>
      <c r="M183" s="11"/>
      <c r="N183" s="1"/>
      <c r="S183" s="10"/>
      <c r="T183" s="10"/>
    </row>
    <row r="184" spans="1:20" x14ac:dyDescent="0.2">
      <c r="A184" s="2"/>
      <c r="B184" s="2"/>
      <c r="C184" s="1"/>
      <c r="D184" s="1"/>
      <c r="E184" s="1"/>
      <c r="F184" s="19"/>
      <c r="G184" s="1"/>
      <c r="H184" s="5"/>
      <c r="I184" s="5"/>
      <c r="J184" s="9"/>
      <c r="K184" s="5"/>
      <c r="L184" s="9"/>
      <c r="M184" s="11"/>
      <c r="N184" s="1"/>
      <c r="S184" s="10"/>
      <c r="T184" s="10"/>
    </row>
    <row r="185" spans="1:20" x14ac:dyDescent="0.2">
      <c r="A185" s="2"/>
      <c r="B185" s="2"/>
      <c r="C185" s="1"/>
      <c r="D185" s="1"/>
      <c r="E185" s="1"/>
      <c r="F185" s="19"/>
      <c r="G185" s="1"/>
      <c r="H185" s="5"/>
      <c r="I185" s="5"/>
      <c r="J185" s="9"/>
      <c r="K185" s="5"/>
      <c r="L185" s="9"/>
      <c r="M185" s="11"/>
      <c r="N185" s="1"/>
      <c r="S185" s="10"/>
      <c r="T185" s="10"/>
    </row>
    <row r="186" spans="1:20" x14ac:dyDescent="0.2">
      <c r="A186" s="2"/>
      <c r="B186" s="2"/>
      <c r="C186" s="1"/>
      <c r="D186" s="1"/>
      <c r="E186" s="1"/>
      <c r="F186" s="19"/>
      <c r="G186" s="1"/>
      <c r="H186" s="5"/>
      <c r="I186" s="5"/>
      <c r="J186" s="9"/>
      <c r="K186" s="5"/>
      <c r="L186" s="9"/>
      <c r="M186" s="11"/>
      <c r="N186" s="1"/>
      <c r="S186" s="10"/>
      <c r="T186" s="10"/>
    </row>
    <row r="187" spans="1:20" x14ac:dyDescent="0.2">
      <c r="A187" s="2"/>
      <c r="B187" s="2"/>
      <c r="C187" s="1"/>
      <c r="D187" s="1"/>
      <c r="E187" s="1"/>
      <c r="F187" s="19"/>
      <c r="G187" s="1"/>
      <c r="H187" s="5"/>
      <c r="J187" s="9"/>
      <c r="K187" s="5"/>
      <c r="L187" s="9"/>
      <c r="M187" s="11"/>
      <c r="N187" s="1"/>
      <c r="S187" s="10"/>
      <c r="T187" s="10"/>
    </row>
    <row r="188" spans="1:20" x14ac:dyDescent="0.2">
      <c r="A188" s="2"/>
      <c r="B188" s="2"/>
      <c r="C188" s="1"/>
      <c r="D188" s="1"/>
      <c r="E188" s="1"/>
      <c r="F188" s="19"/>
      <c r="G188" s="1"/>
      <c r="H188" s="5"/>
      <c r="I188" s="5"/>
      <c r="J188" s="9"/>
      <c r="K188" s="5"/>
      <c r="L188" s="9"/>
      <c r="M188" s="11"/>
      <c r="N188" s="1"/>
      <c r="S188" s="10"/>
      <c r="T188" s="10"/>
    </row>
    <row r="189" spans="1:20" x14ac:dyDescent="0.2">
      <c r="A189" s="2"/>
      <c r="B189" s="2"/>
      <c r="C189" s="1"/>
      <c r="D189" s="1"/>
      <c r="E189" s="1"/>
      <c r="F189" s="19"/>
      <c r="G189" s="1"/>
      <c r="H189" s="5"/>
      <c r="I189" s="5"/>
      <c r="J189" s="9"/>
      <c r="K189" s="5"/>
      <c r="L189" s="9"/>
      <c r="M189" s="11"/>
      <c r="N189" s="1"/>
      <c r="S189" s="10"/>
      <c r="T189" s="10"/>
    </row>
    <row r="190" spans="1:20" x14ac:dyDescent="0.2">
      <c r="A190" s="2"/>
      <c r="B190" s="2"/>
      <c r="C190" s="1"/>
      <c r="D190" s="1"/>
      <c r="E190" s="1"/>
      <c r="F190" s="19"/>
      <c r="G190" s="1"/>
      <c r="H190" s="5"/>
      <c r="I190" s="5"/>
      <c r="J190" s="9"/>
      <c r="K190" s="5"/>
      <c r="L190" s="9"/>
      <c r="M190" s="11"/>
      <c r="N190" s="1"/>
      <c r="S190" s="10"/>
      <c r="T190" s="10"/>
    </row>
    <row r="191" spans="1:20" x14ac:dyDescent="0.2">
      <c r="A191" s="2"/>
      <c r="B191" s="2"/>
      <c r="C191" s="1"/>
      <c r="D191" s="1"/>
      <c r="E191" s="1"/>
      <c r="F191" s="19"/>
      <c r="G191" s="1"/>
      <c r="H191" s="5"/>
      <c r="I191" s="5"/>
      <c r="J191" s="9"/>
      <c r="K191" s="5"/>
      <c r="L191" s="9"/>
      <c r="M191" s="11"/>
      <c r="N191" s="1"/>
      <c r="S191" s="10"/>
      <c r="T191" s="10"/>
    </row>
    <row r="192" spans="1:20" x14ac:dyDescent="0.2">
      <c r="A192" s="2"/>
      <c r="B192" s="2"/>
      <c r="C192" s="1"/>
      <c r="D192" s="1"/>
      <c r="E192" s="1"/>
      <c r="F192" s="19"/>
      <c r="G192" s="19"/>
      <c r="H192" s="5"/>
      <c r="I192" s="5"/>
      <c r="J192" s="9"/>
      <c r="K192" s="5"/>
      <c r="L192" s="9"/>
      <c r="M192" s="11"/>
      <c r="N192" s="1"/>
      <c r="S192" s="10"/>
      <c r="T192" s="10"/>
    </row>
    <row r="193" spans="1:20" x14ac:dyDescent="0.2">
      <c r="A193" s="2"/>
      <c r="B193" s="2"/>
      <c r="C193" s="1"/>
      <c r="D193" s="1"/>
      <c r="E193" s="1"/>
      <c r="F193" s="19"/>
      <c r="G193" s="19"/>
      <c r="H193" s="5"/>
      <c r="I193" s="5"/>
      <c r="J193" s="9"/>
      <c r="K193" s="5"/>
      <c r="L193" s="9"/>
      <c r="M193" s="11"/>
      <c r="N193" s="1"/>
      <c r="S193" s="10"/>
      <c r="T193" s="10"/>
    </row>
    <row r="194" spans="1:20" x14ac:dyDescent="0.2">
      <c r="A194" s="2"/>
      <c r="B194" s="2"/>
      <c r="C194" s="1"/>
      <c r="D194" s="1"/>
      <c r="E194" s="1"/>
      <c r="F194" s="19"/>
      <c r="G194" s="19"/>
      <c r="H194" s="5"/>
      <c r="I194" s="5"/>
      <c r="J194" s="9"/>
      <c r="K194" s="5"/>
      <c r="L194" s="9"/>
      <c r="M194" s="11"/>
      <c r="N194" s="1"/>
      <c r="S194" s="10"/>
      <c r="T194" s="10"/>
    </row>
    <row r="195" spans="1:20" x14ac:dyDescent="0.2">
      <c r="A195" s="2"/>
      <c r="B195" s="2"/>
      <c r="C195" s="1"/>
      <c r="D195" s="1"/>
      <c r="E195" s="1"/>
      <c r="F195" s="19"/>
      <c r="G195" s="19"/>
      <c r="H195" s="5"/>
      <c r="I195" s="5"/>
      <c r="J195" s="9"/>
      <c r="K195" s="5"/>
      <c r="L195" s="9"/>
      <c r="M195" s="11"/>
      <c r="N195" s="1"/>
      <c r="S195" s="10"/>
      <c r="T195" s="10"/>
    </row>
    <row r="196" spans="1:20" x14ac:dyDescent="0.2">
      <c r="A196" s="2"/>
      <c r="B196" s="2"/>
      <c r="C196" s="1"/>
      <c r="D196" s="1"/>
      <c r="E196" s="1"/>
      <c r="F196" s="19"/>
      <c r="G196" s="19"/>
      <c r="H196" s="5"/>
      <c r="I196" s="5"/>
      <c r="J196" s="9"/>
      <c r="K196" s="5"/>
      <c r="L196" s="9"/>
      <c r="M196" s="11"/>
      <c r="N196" s="1"/>
      <c r="S196" s="10"/>
      <c r="T196" s="10"/>
    </row>
    <row r="197" spans="1:20" x14ac:dyDescent="0.2">
      <c r="A197" s="2"/>
      <c r="B197" s="2"/>
      <c r="C197" s="1"/>
      <c r="D197" s="1"/>
      <c r="E197" s="1"/>
      <c r="F197" s="19"/>
      <c r="G197" s="19"/>
      <c r="H197" s="5"/>
      <c r="I197" s="5"/>
      <c r="J197" s="9"/>
      <c r="K197" s="5"/>
      <c r="L197" s="9"/>
      <c r="M197" s="11"/>
      <c r="N197" s="1"/>
      <c r="S197" s="10"/>
      <c r="T197" s="10"/>
    </row>
    <row r="198" spans="1:20" x14ac:dyDescent="0.2">
      <c r="A198" s="2"/>
      <c r="B198" s="2"/>
      <c r="C198" s="1"/>
      <c r="D198" s="1"/>
      <c r="E198" s="1"/>
      <c r="F198" s="19"/>
      <c r="G198" s="1"/>
      <c r="H198" s="5"/>
      <c r="I198" s="5"/>
      <c r="J198" s="9"/>
      <c r="K198" s="5"/>
      <c r="L198" s="9"/>
      <c r="M198" s="11"/>
      <c r="N198" s="1"/>
      <c r="S198" s="10"/>
      <c r="T198" s="10"/>
    </row>
    <row r="199" spans="1:20" x14ac:dyDescent="0.2">
      <c r="A199" s="2"/>
      <c r="B199" s="2"/>
      <c r="C199" s="1"/>
      <c r="D199" s="1"/>
      <c r="E199" s="1"/>
      <c r="F199" s="19"/>
      <c r="G199" s="1"/>
      <c r="H199" s="5"/>
      <c r="I199" s="5"/>
      <c r="J199" s="9"/>
      <c r="K199" s="5"/>
      <c r="L199" s="9"/>
      <c r="M199" s="11"/>
      <c r="N199" s="1"/>
      <c r="S199" s="10"/>
      <c r="T199" s="10"/>
    </row>
    <row r="200" spans="1:20" x14ac:dyDescent="0.2">
      <c r="A200" s="2"/>
      <c r="B200" s="2"/>
      <c r="C200" s="1"/>
      <c r="D200" s="1"/>
      <c r="E200" s="1"/>
      <c r="F200" s="19"/>
      <c r="G200" s="1"/>
      <c r="H200" s="5"/>
      <c r="I200" s="5"/>
      <c r="J200" s="9"/>
      <c r="K200" s="5"/>
      <c r="L200" s="9"/>
      <c r="M200" s="11"/>
      <c r="N200" s="1"/>
      <c r="S200" s="10"/>
      <c r="T200" s="10"/>
    </row>
    <row r="201" spans="1:20" x14ac:dyDescent="0.2">
      <c r="A201" s="2"/>
      <c r="B201" s="2"/>
      <c r="C201" s="1"/>
      <c r="D201" s="1"/>
      <c r="E201" s="1"/>
      <c r="F201" s="19"/>
      <c r="G201" s="1"/>
      <c r="H201" s="5"/>
      <c r="I201" s="5"/>
      <c r="J201" s="9"/>
      <c r="K201" s="5"/>
      <c r="L201" s="9"/>
      <c r="M201" s="11"/>
      <c r="N201" s="1"/>
      <c r="S201" s="10"/>
      <c r="T201" s="10"/>
    </row>
    <row r="202" spans="1:20" x14ac:dyDescent="0.2">
      <c r="A202" s="2"/>
      <c r="B202" s="2"/>
      <c r="C202" s="1"/>
      <c r="D202" s="1"/>
      <c r="E202" s="1"/>
      <c r="F202" s="19"/>
      <c r="G202" s="1"/>
      <c r="H202" s="5"/>
      <c r="I202" s="5"/>
      <c r="J202" s="9"/>
      <c r="K202" s="5"/>
      <c r="L202" s="9"/>
      <c r="M202" s="11"/>
      <c r="N202" s="1"/>
      <c r="S202" s="10"/>
      <c r="T202" s="10"/>
    </row>
    <row r="203" spans="1:20" x14ac:dyDescent="0.2">
      <c r="A203" s="2"/>
      <c r="B203" s="2"/>
      <c r="C203" s="1"/>
      <c r="D203" s="1"/>
      <c r="E203" s="1"/>
      <c r="F203" s="19"/>
      <c r="G203" s="1"/>
      <c r="H203" s="5"/>
      <c r="J203" s="9"/>
      <c r="K203" s="5"/>
      <c r="L203" s="9"/>
      <c r="M203" s="11"/>
      <c r="N203" s="1"/>
      <c r="S203" s="10"/>
      <c r="T203" s="10"/>
    </row>
    <row r="204" spans="1:20" x14ac:dyDescent="0.2">
      <c r="A204" s="2"/>
      <c r="B204" s="2"/>
      <c r="C204" s="1"/>
      <c r="D204" s="1"/>
      <c r="E204" s="1"/>
      <c r="F204" s="19"/>
      <c r="G204" s="1"/>
      <c r="H204" s="5"/>
      <c r="I204" s="5"/>
      <c r="J204" s="9"/>
      <c r="K204" s="5"/>
      <c r="L204" s="9"/>
      <c r="M204" s="11"/>
      <c r="N204" s="1"/>
      <c r="S204" s="10"/>
      <c r="T204" s="10"/>
    </row>
    <row r="205" spans="1:20" x14ac:dyDescent="0.2">
      <c r="A205" s="2"/>
      <c r="B205" s="2"/>
      <c r="C205" s="1"/>
      <c r="D205" s="1"/>
      <c r="E205" s="1"/>
      <c r="F205" s="19"/>
      <c r="G205" s="1"/>
      <c r="H205" s="5"/>
      <c r="I205" s="5"/>
      <c r="J205" s="9"/>
      <c r="K205" s="5"/>
      <c r="L205" s="9"/>
      <c r="M205" s="11"/>
      <c r="N205" s="1"/>
      <c r="S205" s="10"/>
      <c r="T205" s="10"/>
    </row>
    <row r="206" spans="1:20" x14ac:dyDescent="0.2">
      <c r="A206" s="2"/>
      <c r="B206" s="2"/>
      <c r="C206" s="1"/>
      <c r="D206" s="1"/>
      <c r="E206" s="1"/>
      <c r="F206" s="19"/>
      <c r="G206" s="1"/>
      <c r="H206" s="5"/>
      <c r="I206" s="5"/>
      <c r="J206" s="9"/>
      <c r="K206" s="5"/>
      <c r="L206" s="9"/>
      <c r="M206" s="11"/>
      <c r="N206" s="1"/>
      <c r="S206" s="10"/>
      <c r="T206" s="10"/>
    </row>
    <row r="207" spans="1:20" x14ac:dyDescent="0.2">
      <c r="A207" s="2"/>
      <c r="B207" s="2"/>
      <c r="C207" s="1"/>
      <c r="D207" s="1"/>
      <c r="E207" s="1"/>
      <c r="F207" s="19"/>
      <c r="G207" s="1"/>
      <c r="H207" s="5"/>
      <c r="I207" s="5"/>
      <c r="J207" s="9"/>
      <c r="K207" s="5"/>
      <c r="L207" s="9"/>
      <c r="M207" s="11"/>
      <c r="N207" s="1"/>
      <c r="S207" s="10"/>
      <c r="T207" s="10"/>
    </row>
    <row r="208" spans="1:20" x14ac:dyDescent="0.2">
      <c r="A208" s="2"/>
      <c r="B208" s="2"/>
      <c r="C208" s="1"/>
      <c r="D208" s="1"/>
      <c r="E208" s="1"/>
      <c r="F208" s="19"/>
      <c r="G208" s="19"/>
      <c r="H208" s="5"/>
      <c r="I208" s="5"/>
      <c r="J208" s="9"/>
      <c r="K208" s="5"/>
      <c r="L208" s="9"/>
      <c r="M208" s="11"/>
      <c r="N208" s="1"/>
      <c r="S208" s="10"/>
      <c r="T208" s="10"/>
    </row>
    <row r="209" spans="1:20" x14ac:dyDescent="0.2">
      <c r="A209" s="2"/>
      <c r="B209" s="2"/>
      <c r="C209" s="1"/>
      <c r="D209" s="1"/>
      <c r="E209" s="1"/>
      <c r="F209" s="19"/>
      <c r="G209" s="19"/>
      <c r="H209" s="5"/>
      <c r="I209" s="5"/>
      <c r="J209" s="9"/>
      <c r="K209" s="5"/>
      <c r="L209" s="9"/>
      <c r="M209" s="11"/>
      <c r="N209" s="1"/>
      <c r="S209" s="10"/>
      <c r="T209" s="10"/>
    </row>
    <row r="210" spans="1:20" x14ac:dyDescent="0.2">
      <c r="A210" s="2"/>
      <c r="B210" s="2"/>
      <c r="C210" s="1"/>
      <c r="D210" s="1"/>
      <c r="E210" s="1"/>
      <c r="F210" s="19"/>
      <c r="G210" s="19"/>
      <c r="H210" s="5"/>
      <c r="I210" s="5"/>
      <c r="J210" s="9"/>
      <c r="K210" s="5"/>
      <c r="L210" s="9"/>
      <c r="M210" s="11"/>
      <c r="N210" s="1"/>
      <c r="S210" s="10"/>
      <c r="T210" s="10"/>
    </row>
    <row r="211" spans="1:20" x14ac:dyDescent="0.2">
      <c r="A211" s="2"/>
      <c r="B211" s="2"/>
      <c r="C211" s="1"/>
      <c r="D211" s="1"/>
      <c r="E211" s="1"/>
      <c r="F211" s="19"/>
      <c r="G211" s="19"/>
      <c r="H211" s="5"/>
      <c r="I211" s="5"/>
      <c r="J211" s="9"/>
      <c r="K211" s="5"/>
      <c r="L211" s="9"/>
      <c r="M211" s="11"/>
      <c r="N211" s="1"/>
      <c r="S211" s="10"/>
      <c r="T211" s="10"/>
    </row>
    <row r="212" spans="1:20" x14ac:dyDescent="0.2">
      <c r="A212" s="2"/>
      <c r="B212" s="2"/>
      <c r="C212" s="1"/>
      <c r="D212" s="1"/>
      <c r="E212" s="1"/>
      <c r="F212" s="19"/>
      <c r="G212" s="19"/>
      <c r="H212" s="5"/>
      <c r="I212" s="5"/>
      <c r="J212" s="9"/>
      <c r="K212" s="5"/>
      <c r="L212" s="9"/>
      <c r="M212" s="11"/>
      <c r="N212" s="1"/>
      <c r="S212" s="10"/>
      <c r="T212" s="10"/>
    </row>
    <row r="213" spans="1:20" x14ac:dyDescent="0.2">
      <c r="A213" s="2"/>
      <c r="B213" s="2"/>
      <c r="C213" s="1"/>
      <c r="D213" s="1"/>
      <c r="E213" s="1"/>
      <c r="F213" s="19"/>
      <c r="G213" s="19"/>
      <c r="H213" s="5"/>
      <c r="I213" s="5"/>
      <c r="J213" s="9"/>
      <c r="K213" s="5"/>
      <c r="L213" s="9"/>
      <c r="M213" s="11"/>
      <c r="N213" s="1"/>
      <c r="S213" s="10"/>
      <c r="T213" s="10"/>
    </row>
    <row r="214" spans="1:20" x14ac:dyDescent="0.2">
      <c r="A214" s="2"/>
      <c r="B214" s="2"/>
      <c r="C214" s="1"/>
      <c r="D214" s="1"/>
      <c r="E214" s="1"/>
      <c r="F214" s="19"/>
      <c r="G214" s="1"/>
      <c r="H214" s="5"/>
      <c r="I214" s="5"/>
      <c r="J214" s="9"/>
      <c r="K214" s="5"/>
      <c r="L214" s="9"/>
      <c r="M214" s="11"/>
      <c r="N214" s="1"/>
      <c r="S214" s="10"/>
      <c r="T214" s="10"/>
    </row>
    <row r="215" spans="1:20" x14ac:dyDescent="0.2">
      <c r="A215" s="2"/>
      <c r="B215" s="2"/>
      <c r="C215" s="1"/>
      <c r="D215" s="1"/>
      <c r="E215" s="1"/>
      <c r="F215" s="19"/>
      <c r="G215" s="1"/>
      <c r="H215" s="5"/>
      <c r="I215" s="5"/>
      <c r="J215" s="9"/>
      <c r="K215" s="5"/>
      <c r="L215" s="9"/>
      <c r="M215" s="11"/>
      <c r="N215" s="1"/>
      <c r="S215" s="10"/>
      <c r="T215" s="10"/>
    </row>
    <row r="216" spans="1:20" x14ac:dyDescent="0.2">
      <c r="A216" s="2"/>
      <c r="B216" s="2"/>
      <c r="C216" s="1"/>
      <c r="D216" s="1"/>
      <c r="E216" s="1"/>
      <c r="F216" s="19"/>
      <c r="G216" s="1"/>
      <c r="H216" s="5"/>
      <c r="I216" s="5"/>
      <c r="J216" s="9"/>
      <c r="K216" s="5"/>
      <c r="L216" s="9"/>
      <c r="M216" s="11"/>
      <c r="N216" s="1"/>
      <c r="S216" s="10"/>
      <c r="T216" s="10"/>
    </row>
    <row r="217" spans="1:20" x14ac:dyDescent="0.2">
      <c r="A217" s="2"/>
      <c r="B217" s="2"/>
      <c r="C217" s="1"/>
      <c r="D217" s="1"/>
      <c r="E217" s="1"/>
      <c r="F217" s="19"/>
      <c r="G217" s="1"/>
      <c r="H217" s="5"/>
      <c r="I217" s="5"/>
      <c r="J217" s="9"/>
      <c r="K217" s="5"/>
      <c r="L217" s="9"/>
      <c r="M217" s="11"/>
      <c r="N217" s="1"/>
      <c r="S217" s="10"/>
      <c r="T217" s="10"/>
    </row>
    <row r="218" spans="1:20" x14ac:dyDescent="0.2">
      <c r="A218" s="2"/>
      <c r="B218" s="2"/>
      <c r="C218" s="1"/>
      <c r="D218" s="1"/>
      <c r="E218" s="1"/>
      <c r="F218" s="19"/>
      <c r="G218" s="1"/>
      <c r="H218" s="5"/>
      <c r="I218" s="5"/>
      <c r="J218" s="9"/>
      <c r="K218" s="5"/>
      <c r="L218" s="9"/>
      <c r="M218" s="11"/>
      <c r="N218" s="1"/>
      <c r="S218" s="10"/>
      <c r="T218" s="10"/>
    </row>
    <row r="219" spans="1:20" x14ac:dyDescent="0.2">
      <c r="A219" s="2"/>
      <c r="B219" s="2"/>
      <c r="C219" s="1"/>
      <c r="D219" s="1"/>
      <c r="E219" s="1"/>
      <c r="F219" s="19"/>
      <c r="G219" s="1"/>
      <c r="H219" s="5"/>
      <c r="I219" s="5"/>
      <c r="J219" s="9"/>
      <c r="K219" s="5"/>
      <c r="L219" s="9"/>
      <c r="M219" s="11"/>
      <c r="N219" s="1"/>
      <c r="S219" s="10"/>
      <c r="T219" s="10"/>
    </row>
    <row r="220" spans="1:20" x14ac:dyDescent="0.2">
      <c r="A220" s="2"/>
      <c r="B220" s="2"/>
      <c r="C220" s="1"/>
      <c r="D220" s="1"/>
      <c r="E220" s="1"/>
      <c r="F220" s="19"/>
      <c r="G220" s="1"/>
      <c r="H220" s="5"/>
      <c r="J220" s="9"/>
      <c r="K220" s="5"/>
      <c r="L220" s="9"/>
      <c r="M220" s="11"/>
      <c r="N220" s="1"/>
      <c r="S220" s="10"/>
      <c r="T220" s="10"/>
    </row>
    <row r="221" spans="1:20" x14ac:dyDescent="0.2">
      <c r="A221" s="2"/>
      <c r="B221" s="2"/>
      <c r="C221" s="1"/>
      <c r="D221" s="1"/>
      <c r="E221" s="1"/>
      <c r="F221" s="19"/>
      <c r="G221" s="1"/>
      <c r="H221" s="5"/>
      <c r="I221" s="5"/>
      <c r="J221" s="9"/>
      <c r="K221" s="5"/>
      <c r="L221" s="9"/>
      <c r="M221" s="11"/>
      <c r="N221" s="1"/>
      <c r="S221" s="10"/>
      <c r="T221" s="10"/>
    </row>
    <row r="222" spans="1:20" x14ac:dyDescent="0.2">
      <c r="A222" s="2"/>
      <c r="B222" s="2"/>
      <c r="C222" s="1"/>
      <c r="D222" s="1"/>
      <c r="E222" s="1"/>
      <c r="F222" s="19"/>
      <c r="G222" s="1"/>
      <c r="H222" s="5"/>
      <c r="I222" s="5"/>
      <c r="J222" s="9"/>
      <c r="K222" s="5"/>
      <c r="L222" s="9"/>
      <c r="M222" s="11"/>
      <c r="N222" s="1"/>
      <c r="S222" s="10"/>
      <c r="T222" s="10"/>
    </row>
    <row r="223" spans="1:20" x14ac:dyDescent="0.2">
      <c r="A223" s="2"/>
      <c r="B223" s="2"/>
      <c r="C223" s="1"/>
      <c r="D223" s="1"/>
      <c r="E223" s="1"/>
      <c r="F223" s="19"/>
      <c r="G223" s="1"/>
      <c r="H223" s="5"/>
      <c r="I223" s="5"/>
      <c r="J223" s="9"/>
      <c r="K223" s="5"/>
      <c r="L223" s="9"/>
      <c r="M223" s="11"/>
      <c r="N223" s="1"/>
      <c r="S223" s="10"/>
      <c r="T223" s="10"/>
    </row>
    <row r="224" spans="1:20" x14ac:dyDescent="0.2">
      <c r="A224" s="2"/>
      <c r="B224" s="2"/>
      <c r="C224" s="1"/>
      <c r="D224" s="1"/>
      <c r="E224" s="1"/>
      <c r="F224" s="19"/>
      <c r="G224" s="1"/>
      <c r="H224" s="5"/>
      <c r="I224" s="5"/>
      <c r="J224" s="9"/>
      <c r="K224" s="5"/>
      <c r="L224" s="9"/>
      <c r="M224" s="11"/>
      <c r="N224" s="1"/>
      <c r="S224" s="10"/>
      <c r="T224" s="10"/>
    </row>
    <row r="225" spans="1:20" x14ac:dyDescent="0.2">
      <c r="A225" s="2"/>
      <c r="B225" s="2"/>
      <c r="C225" s="1"/>
      <c r="D225" s="1"/>
      <c r="E225" s="1"/>
      <c r="F225" s="19"/>
      <c r="G225" s="19"/>
      <c r="H225" s="5"/>
      <c r="I225" s="5"/>
      <c r="J225" s="9"/>
      <c r="K225" s="5"/>
      <c r="L225" s="9"/>
      <c r="M225" s="11"/>
      <c r="N225" s="1"/>
      <c r="S225" s="10"/>
      <c r="T225" s="10"/>
    </row>
    <row r="226" spans="1:20" x14ac:dyDescent="0.2">
      <c r="A226" s="2"/>
      <c r="B226" s="2"/>
      <c r="C226" s="1"/>
      <c r="D226" s="1"/>
      <c r="E226" s="1"/>
      <c r="F226" s="19"/>
      <c r="G226" s="19"/>
      <c r="H226" s="5"/>
      <c r="I226" s="5"/>
      <c r="J226" s="9"/>
      <c r="K226" s="5"/>
      <c r="L226" s="9"/>
      <c r="M226" s="11"/>
      <c r="N226" s="1"/>
      <c r="S226" s="10"/>
      <c r="T226" s="10"/>
    </row>
    <row r="227" spans="1:20" x14ac:dyDescent="0.2">
      <c r="A227" s="2"/>
      <c r="B227" s="2"/>
      <c r="C227" s="1"/>
      <c r="D227" s="1"/>
      <c r="E227" s="1"/>
      <c r="F227" s="19"/>
      <c r="G227" s="19"/>
      <c r="H227" s="5"/>
      <c r="I227" s="5"/>
      <c r="J227" s="9"/>
      <c r="K227" s="5"/>
      <c r="L227" s="9"/>
      <c r="M227" s="11"/>
      <c r="N227" s="1"/>
      <c r="S227" s="10"/>
      <c r="T227" s="10"/>
    </row>
    <row r="228" spans="1:20" x14ac:dyDescent="0.2">
      <c r="A228" s="2"/>
      <c r="B228" s="2"/>
      <c r="C228" s="1"/>
      <c r="D228" s="1"/>
      <c r="E228" s="1"/>
      <c r="F228" s="19"/>
      <c r="G228" s="19"/>
      <c r="H228" s="5"/>
      <c r="I228" s="5"/>
      <c r="J228" s="9"/>
      <c r="K228" s="5"/>
      <c r="L228" s="9"/>
      <c r="M228" s="11"/>
      <c r="N228" s="1"/>
      <c r="S228" s="10"/>
      <c r="T228" s="10"/>
    </row>
    <row r="229" spans="1:20" x14ac:dyDescent="0.2">
      <c r="A229" s="2"/>
      <c r="B229" s="2"/>
      <c r="C229" s="1"/>
      <c r="D229" s="1"/>
      <c r="E229" s="1"/>
      <c r="F229" s="19"/>
      <c r="G229" s="19"/>
      <c r="H229" s="5"/>
      <c r="I229" s="5"/>
      <c r="J229" s="9"/>
      <c r="K229" s="5"/>
      <c r="L229" s="9"/>
      <c r="M229" s="11"/>
      <c r="N229" s="1"/>
      <c r="S229" s="10"/>
      <c r="T229" s="10"/>
    </row>
    <row r="230" spans="1:20" x14ac:dyDescent="0.2">
      <c r="A230" s="2"/>
      <c r="B230" s="2"/>
      <c r="C230" s="1"/>
      <c r="D230" s="1"/>
      <c r="E230" s="1"/>
      <c r="F230" s="19"/>
      <c r="G230" s="1"/>
      <c r="H230" s="5"/>
      <c r="I230" s="5"/>
      <c r="J230" s="9"/>
      <c r="K230" s="5"/>
      <c r="L230" s="9"/>
      <c r="M230" s="11"/>
      <c r="N230" s="1"/>
      <c r="S230" s="10"/>
      <c r="T230" s="10"/>
    </row>
    <row r="231" spans="1:20" x14ac:dyDescent="0.2">
      <c r="A231" s="2"/>
      <c r="B231" s="2"/>
      <c r="C231" s="1"/>
      <c r="D231" s="1"/>
      <c r="E231" s="1"/>
      <c r="F231" s="19"/>
      <c r="G231" s="1"/>
      <c r="H231" s="5"/>
      <c r="I231" s="5"/>
      <c r="J231" s="9"/>
      <c r="K231" s="5"/>
      <c r="L231" s="9"/>
      <c r="M231" s="11"/>
      <c r="N231" s="1"/>
      <c r="S231" s="10"/>
      <c r="T231" s="10"/>
    </row>
    <row r="232" spans="1:20" x14ac:dyDescent="0.2">
      <c r="A232" s="2"/>
      <c r="B232" s="2"/>
      <c r="C232" s="1"/>
      <c r="D232" s="1"/>
      <c r="E232" s="1"/>
      <c r="F232" s="19"/>
      <c r="G232" s="1"/>
      <c r="H232" s="5"/>
      <c r="I232" s="5"/>
      <c r="K232" s="5"/>
      <c r="L232" s="9"/>
      <c r="M232" s="11"/>
      <c r="N232" s="1"/>
      <c r="S232" s="10"/>
      <c r="T232" s="10"/>
    </row>
    <row r="233" spans="1:20" x14ac:dyDescent="0.2">
      <c r="A233" s="2"/>
      <c r="B233" s="2"/>
      <c r="C233" s="1"/>
      <c r="D233" s="1"/>
      <c r="E233" s="1"/>
      <c r="F233" s="19"/>
      <c r="G233" s="1"/>
      <c r="H233" s="5"/>
      <c r="I233" s="5"/>
      <c r="J233" s="9"/>
      <c r="K233" s="5"/>
      <c r="L233" s="9"/>
      <c r="M233" s="11"/>
      <c r="N233" s="1"/>
      <c r="S233" s="10"/>
      <c r="T233" s="10"/>
    </row>
    <row r="234" spans="1:20" x14ac:dyDescent="0.2">
      <c r="A234" s="2"/>
      <c r="B234" s="2"/>
      <c r="C234" s="1"/>
      <c r="D234" s="1"/>
      <c r="E234" s="1"/>
      <c r="F234" s="19"/>
      <c r="G234" s="1"/>
      <c r="H234" s="5"/>
      <c r="I234" s="5"/>
      <c r="J234" s="9"/>
      <c r="K234" s="5"/>
      <c r="L234" s="9"/>
      <c r="M234" s="11"/>
      <c r="N234" s="1"/>
      <c r="S234" s="10"/>
      <c r="T234" s="10"/>
    </row>
    <row r="235" spans="1:20" x14ac:dyDescent="0.2">
      <c r="A235" s="2"/>
      <c r="B235" s="2"/>
      <c r="C235" s="1"/>
      <c r="D235" s="1"/>
      <c r="E235" s="1"/>
      <c r="F235" s="19"/>
      <c r="G235" s="1"/>
      <c r="H235" s="5"/>
      <c r="I235" s="5"/>
      <c r="K235" s="5"/>
      <c r="L235" s="9"/>
      <c r="M235" s="11"/>
      <c r="N235" s="1"/>
      <c r="S235" s="10"/>
      <c r="T235" s="10"/>
    </row>
    <row r="236" spans="1:20" x14ac:dyDescent="0.2">
      <c r="A236" s="2"/>
      <c r="B236" s="2"/>
      <c r="C236" s="1"/>
      <c r="D236" s="1"/>
      <c r="E236" s="1"/>
      <c r="F236" s="19"/>
      <c r="G236" s="1"/>
      <c r="H236" s="5"/>
      <c r="I236" s="5"/>
      <c r="K236" s="5"/>
      <c r="L236" s="9"/>
      <c r="M236" s="11"/>
      <c r="N236" s="1"/>
      <c r="S236" s="10"/>
      <c r="T236" s="10"/>
    </row>
    <row r="237" spans="1:20" x14ac:dyDescent="0.2">
      <c r="A237" s="2"/>
      <c r="B237" s="2"/>
      <c r="C237" s="1"/>
      <c r="D237" s="1"/>
      <c r="E237" s="1"/>
      <c r="F237" s="19"/>
      <c r="G237" s="1"/>
      <c r="H237" s="5"/>
      <c r="I237" s="5"/>
      <c r="K237" s="5"/>
      <c r="L237" s="9"/>
      <c r="M237" s="11"/>
      <c r="N237" s="1"/>
      <c r="S237" s="10"/>
      <c r="T237" s="10"/>
    </row>
    <row r="238" spans="1:20" x14ac:dyDescent="0.2">
      <c r="A238" s="2"/>
      <c r="B238" s="2"/>
      <c r="C238" s="1"/>
      <c r="D238" s="1"/>
      <c r="E238" s="1"/>
      <c r="F238" s="19"/>
      <c r="G238" s="1"/>
      <c r="H238" s="5"/>
      <c r="I238" s="5"/>
      <c r="K238" s="5"/>
      <c r="L238" s="9"/>
      <c r="M238" s="11"/>
      <c r="N238" s="1"/>
      <c r="S238" s="10"/>
      <c r="T238" s="10"/>
    </row>
    <row r="239" spans="1:20" x14ac:dyDescent="0.2">
      <c r="A239" s="2"/>
      <c r="B239" s="2"/>
      <c r="C239" s="1"/>
      <c r="D239" s="1"/>
      <c r="E239" s="1"/>
      <c r="F239" s="19"/>
      <c r="G239" s="1"/>
      <c r="H239" s="5"/>
      <c r="I239" s="5"/>
      <c r="K239" s="5"/>
      <c r="L239" s="9"/>
      <c r="M239" s="11"/>
      <c r="N239" s="1"/>
      <c r="S239" s="10"/>
      <c r="T239" s="10"/>
    </row>
    <row r="240" spans="1:20" x14ac:dyDescent="0.2">
      <c r="A240" s="2"/>
      <c r="B240" s="2"/>
      <c r="C240" s="1"/>
      <c r="D240" s="1"/>
      <c r="E240" s="1"/>
      <c r="F240" s="19"/>
      <c r="G240" s="1"/>
      <c r="H240" s="5"/>
      <c r="I240" s="5"/>
      <c r="K240" s="5"/>
      <c r="L240" s="9"/>
      <c r="M240" s="11"/>
      <c r="N240" s="1"/>
      <c r="S240" s="10"/>
      <c r="T240" s="10"/>
    </row>
    <row r="241" spans="1:20" x14ac:dyDescent="0.2">
      <c r="A241" s="2"/>
      <c r="B241" s="2"/>
      <c r="C241" s="1"/>
      <c r="D241" s="1"/>
      <c r="E241" s="1"/>
      <c r="F241" s="19"/>
      <c r="G241" s="1"/>
      <c r="H241" s="5"/>
      <c r="I241" s="5"/>
      <c r="K241" s="5"/>
      <c r="L241" s="9"/>
      <c r="M241" s="11"/>
      <c r="N241" s="1"/>
      <c r="S241" s="10"/>
      <c r="T241" s="10"/>
    </row>
    <row r="242" spans="1:20" x14ac:dyDescent="0.2">
      <c r="A242" s="2"/>
      <c r="B242" s="2"/>
      <c r="C242" s="1"/>
      <c r="D242" s="1"/>
      <c r="E242" s="1"/>
      <c r="F242" s="19"/>
      <c r="G242" s="1"/>
      <c r="H242" s="5"/>
      <c r="I242" s="5"/>
      <c r="K242" s="5"/>
      <c r="L242" s="9"/>
      <c r="M242" s="11"/>
      <c r="N242" s="1"/>
      <c r="S242" s="10"/>
      <c r="T242" s="10"/>
    </row>
    <row r="243" spans="1:20" x14ac:dyDescent="0.2">
      <c r="A243" s="2"/>
      <c r="B243" s="2"/>
      <c r="C243" s="1"/>
      <c r="D243" s="1"/>
      <c r="E243" s="1"/>
      <c r="F243" s="19"/>
      <c r="G243" s="1"/>
      <c r="H243" s="5"/>
      <c r="I243" s="5"/>
      <c r="K243" s="5"/>
      <c r="L243" s="9"/>
      <c r="M243" s="11"/>
      <c r="N243" s="1"/>
      <c r="S243" s="10"/>
      <c r="T243" s="10"/>
    </row>
    <row r="244" spans="1:20" x14ac:dyDescent="0.2">
      <c r="A244" s="2"/>
      <c r="B244" s="2"/>
      <c r="C244" s="1"/>
      <c r="D244" s="1"/>
      <c r="E244" s="1"/>
      <c r="F244" s="19"/>
      <c r="G244" s="1"/>
      <c r="H244" s="5"/>
      <c r="I244" s="5"/>
      <c r="K244" s="5"/>
      <c r="L244" s="9"/>
      <c r="M244" s="11"/>
      <c r="N244" s="1"/>
      <c r="S244" s="10"/>
      <c r="T244" s="10"/>
    </row>
    <row r="245" spans="1:20" x14ac:dyDescent="0.2">
      <c r="A245" s="2"/>
      <c r="B245" s="2"/>
      <c r="C245" s="1"/>
      <c r="D245" s="1"/>
      <c r="E245" s="1"/>
      <c r="F245" s="19"/>
      <c r="G245" s="1"/>
      <c r="H245" s="5"/>
      <c r="I245" s="5"/>
      <c r="J245" s="9"/>
      <c r="K245" s="5"/>
      <c r="L245" s="9"/>
      <c r="M245" s="11"/>
      <c r="N245" s="1"/>
      <c r="S245" s="10"/>
      <c r="T245" s="10"/>
    </row>
    <row r="246" spans="1:20" x14ac:dyDescent="0.2">
      <c r="A246" s="2"/>
      <c r="B246" s="2"/>
      <c r="C246" s="1"/>
      <c r="D246" s="1"/>
      <c r="E246" s="1"/>
      <c r="F246" s="19"/>
      <c r="G246" s="1"/>
      <c r="H246" s="5"/>
      <c r="I246" s="5"/>
      <c r="J246" s="9"/>
      <c r="K246" s="5"/>
      <c r="L246" s="9"/>
      <c r="M246" s="11"/>
      <c r="N246" s="1"/>
      <c r="S246" s="10"/>
      <c r="T246" s="10"/>
    </row>
    <row r="247" spans="1:20" x14ac:dyDescent="0.2">
      <c r="A247" s="2"/>
      <c r="B247" s="2"/>
      <c r="C247" s="1"/>
      <c r="D247" s="1"/>
      <c r="E247" s="1"/>
      <c r="F247" s="19"/>
      <c r="G247" s="1"/>
      <c r="H247" s="5"/>
      <c r="I247" s="5"/>
      <c r="J247" s="9"/>
      <c r="K247" s="5"/>
      <c r="L247" s="9"/>
      <c r="M247" s="11"/>
      <c r="N247" s="1"/>
      <c r="S247" s="10"/>
      <c r="T247" s="10"/>
    </row>
    <row r="248" spans="1:20" x14ac:dyDescent="0.2">
      <c r="A248" s="2"/>
      <c r="B248" s="2"/>
      <c r="C248" s="1"/>
      <c r="D248" s="1"/>
      <c r="E248" s="1"/>
      <c r="F248" s="19"/>
      <c r="G248" s="1"/>
      <c r="H248" s="5"/>
      <c r="I248" s="5"/>
      <c r="J248" s="9"/>
      <c r="K248" s="5"/>
      <c r="L248" s="9"/>
      <c r="M248" s="11"/>
      <c r="N248" s="1"/>
      <c r="S248" s="10"/>
      <c r="T248" s="10"/>
    </row>
    <row r="249" spans="1:20" x14ac:dyDescent="0.2">
      <c r="A249" s="2"/>
      <c r="B249" s="2"/>
      <c r="C249" s="1"/>
      <c r="D249" s="1"/>
      <c r="E249" s="1"/>
      <c r="F249" s="19"/>
      <c r="G249" s="1"/>
      <c r="H249" s="5"/>
      <c r="I249" s="5"/>
      <c r="J249" s="9"/>
      <c r="K249" s="5"/>
      <c r="L249" s="9"/>
      <c r="M249" s="11"/>
      <c r="N249" s="1"/>
      <c r="S249" s="10"/>
      <c r="T249" s="10"/>
    </row>
    <row r="250" spans="1:20" x14ac:dyDescent="0.2">
      <c r="A250" s="2"/>
      <c r="B250" s="2"/>
      <c r="C250" s="1"/>
      <c r="D250" s="1"/>
      <c r="E250" s="1"/>
      <c r="F250" s="19"/>
      <c r="G250" s="1"/>
      <c r="H250" s="5"/>
      <c r="I250" s="5"/>
      <c r="K250" s="5"/>
      <c r="L250" s="9"/>
      <c r="M250" s="11"/>
      <c r="N250" s="1"/>
      <c r="S250" s="10"/>
      <c r="T250" s="10"/>
    </row>
    <row r="251" spans="1:20" x14ac:dyDescent="0.2">
      <c r="A251" s="2"/>
      <c r="B251" s="2"/>
      <c r="C251" s="1"/>
      <c r="D251" s="1"/>
      <c r="E251" s="1"/>
      <c r="F251" s="19"/>
      <c r="G251" s="1"/>
      <c r="H251" s="5"/>
      <c r="I251" s="5"/>
      <c r="K251" s="5"/>
      <c r="L251" s="9"/>
      <c r="M251" s="11"/>
      <c r="N251" s="1"/>
      <c r="S251" s="10"/>
      <c r="T251" s="10"/>
    </row>
    <row r="252" spans="1:20" x14ac:dyDescent="0.2">
      <c r="A252" s="2"/>
      <c r="B252" s="2"/>
      <c r="C252" s="1"/>
      <c r="D252" s="1"/>
      <c r="E252" s="1"/>
      <c r="F252" s="19"/>
      <c r="G252" s="1"/>
      <c r="H252" s="5"/>
      <c r="I252" s="5"/>
      <c r="K252" s="5"/>
      <c r="L252" s="9"/>
      <c r="M252" s="11"/>
      <c r="N252" s="1"/>
      <c r="S252" s="10"/>
      <c r="T252" s="10"/>
    </row>
    <row r="253" spans="1:20" x14ac:dyDescent="0.2">
      <c r="A253" s="2"/>
      <c r="B253" s="2"/>
      <c r="C253" s="1"/>
      <c r="D253" s="1"/>
      <c r="E253" s="1"/>
      <c r="F253" s="19"/>
      <c r="G253" s="1"/>
      <c r="H253" s="5"/>
      <c r="I253" s="5"/>
      <c r="K253" s="5"/>
      <c r="L253" s="9"/>
      <c r="M253" s="11"/>
      <c r="N253" s="1"/>
      <c r="S253" s="10"/>
      <c r="T253" s="10"/>
    </row>
    <row r="254" spans="1:20" x14ac:dyDescent="0.2">
      <c r="A254" s="2"/>
      <c r="B254" s="2"/>
      <c r="C254" s="1"/>
      <c r="D254" s="1"/>
      <c r="E254" s="1"/>
      <c r="F254" s="19"/>
      <c r="G254" s="1"/>
      <c r="H254" s="5"/>
      <c r="I254" s="5"/>
      <c r="K254" s="5"/>
      <c r="L254" s="9"/>
      <c r="M254" s="11"/>
      <c r="N254" s="1"/>
      <c r="S254" s="10"/>
      <c r="T254" s="10"/>
    </row>
    <row r="255" spans="1:20" x14ac:dyDescent="0.2">
      <c r="A255" s="2"/>
      <c r="B255" s="2"/>
      <c r="C255" s="1"/>
      <c r="D255" s="1"/>
      <c r="E255" s="1"/>
      <c r="F255" s="19"/>
      <c r="G255" s="1"/>
      <c r="H255" s="5"/>
      <c r="I255" s="5"/>
      <c r="K255" s="5"/>
      <c r="L255" s="9"/>
      <c r="M255" s="11"/>
      <c r="N255" s="1"/>
      <c r="S255" s="10"/>
      <c r="T255" s="10"/>
    </row>
    <row r="256" spans="1:20" x14ac:dyDescent="0.2">
      <c r="A256" s="2"/>
      <c r="B256" s="2"/>
      <c r="C256" s="1"/>
      <c r="D256" s="1"/>
      <c r="E256" s="1"/>
      <c r="F256" s="19"/>
      <c r="G256" s="1"/>
      <c r="H256" s="5"/>
      <c r="I256" s="5"/>
      <c r="K256" s="5"/>
      <c r="L256" s="9"/>
      <c r="M256" s="11"/>
      <c r="N256" s="1"/>
      <c r="S256" s="10"/>
      <c r="T256" s="10"/>
    </row>
    <row r="257" spans="1:20" x14ac:dyDescent="0.2">
      <c r="A257" s="2"/>
      <c r="B257" s="2"/>
      <c r="C257" s="1"/>
      <c r="D257" s="1"/>
      <c r="E257" s="1"/>
      <c r="F257" s="19"/>
      <c r="G257" s="1"/>
      <c r="H257" s="5"/>
      <c r="I257" s="5"/>
      <c r="K257" s="5"/>
      <c r="L257" s="9"/>
      <c r="M257" s="11"/>
      <c r="N257" s="1"/>
      <c r="S257" s="10"/>
      <c r="T257" s="10"/>
    </row>
    <row r="258" spans="1:20" x14ac:dyDescent="0.2">
      <c r="A258" s="2"/>
      <c r="B258" s="2"/>
      <c r="C258" s="1"/>
      <c r="D258" s="1"/>
      <c r="E258" s="1"/>
      <c r="F258" s="19"/>
      <c r="G258" s="1"/>
      <c r="H258" s="5"/>
      <c r="I258" s="5"/>
      <c r="K258" s="5"/>
      <c r="L258" s="9"/>
      <c r="M258" s="11"/>
      <c r="N258" s="1"/>
      <c r="S258" s="10"/>
      <c r="T258" s="10"/>
    </row>
    <row r="259" spans="1:20" x14ac:dyDescent="0.2">
      <c r="A259" s="2"/>
      <c r="B259" s="2"/>
      <c r="C259" s="1"/>
      <c r="D259" s="1"/>
      <c r="E259" s="1"/>
      <c r="F259" s="19"/>
      <c r="G259" s="1"/>
      <c r="H259" s="5"/>
      <c r="I259" s="5"/>
      <c r="K259" s="5"/>
      <c r="L259" s="9"/>
      <c r="M259" s="11"/>
      <c r="N259" s="1"/>
      <c r="S259" s="10"/>
      <c r="T259" s="10"/>
    </row>
    <row r="260" spans="1:20" x14ac:dyDescent="0.2">
      <c r="A260" s="2"/>
      <c r="B260" s="2"/>
      <c r="C260" s="1"/>
      <c r="D260" s="1"/>
      <c r="E260" s="1"/>
      <c r="F260" s="19"/>
      <c r="G260" s="1"/>
      <c r="H260" s="5"/>
      <c r="I260" s="5"/>
      <c r="J260" s="9"/>
      <c r="K260" s="5"/>
      <c r="L260" s="9"/>
      <c r="M260" s="11"/>
      <c r="N260" s="1"/>
      <c r="S260" s="10"/>
      <c r="T260" s="10"/>
    </row>
    <row r="261" spans="1:20" x14ac:dyDescent="0.2">
      <c r="A261" s="2"/>
      <c r="B261" s="2"/>
      <c r="C261" s="1"/>
      <c r="D261" s="1"/>
      <c r="E261" s="1"/>
      <c r="F261" s="19"/>
      <c r="G261" s="1"/>
      <c r="H261" s="5"/>
      <c r="I261" s="5"/>
      <c r="J261" s="9"/>
      <c r="K261" s="5"/>
      <c r="L261" s="9"/>
      <c r="M261" s="11"/>
      <c r="N261" s="1"/>
      <c r="S261" s="10"/>
      <c r="T261" s="10"/>
    </row>
    <row r="262" spans="1:20" x14ac:dyDescent="0.2">
      <c r="A262" s="2"/>
      <c r="B262" s="2"/>
      <c r="C262" s="1"/>
      <c r="D262" s="1"/>
      <c r="E262" s="1"/>
      <c r="F262" s="19"/>
      <c r="G262" s="1"/>
      <c r="H262" s="5"/>
      <c r="I262" s="5"/>
      <c r="J262" s="9"/>
      <c r="K262" s="5"/>
      <c r="L262" s="9"/>
      <c r="M262" s="11"/>
      <c r="N262" s="1"/>
      <c r="S262" s="10"/>
      <c r="T262" s="10"/>
    </row>
    <row r="263" spans="1:20" x14ac:dyDescent="0.2">
      <c r="A263" s="2"/>
      <c r="B263" s="2"/>
      <c r="C263" s="1"/>
      <c r="D263" s="1"/>
      <c r="E263" s="1"/>
      <c r="F263" s="19"/>
      <c r="G263" s="1"/>
      <c r="H263" s="5"/>
      <c r="I263" s="5"/>
      <c r="J263" s="9"/>
      <c r="K263" s="5"/>
      <c r="L263" s="9"/>
      <c r="M263" s="11"/>
      <c r="N263" s="1"/>
      <c r="S263" s="10"/>
      <c r="T263" s="10"/>
    </row>
    <row r="264" spans="1:20" x14ac:dyDescent="0.2">
      <c r="A264" s="2"/>
      <c r="B264" s="2"/>
      <c r="C264" s="1"/>
      <c r="D264" s="1"/>
      <c r="E264" s="1"/>
      <c r="F264" s="19"/>
      <c r="G264" s="1"/>
      <c r="H264" s="5"/>
      <c r="I264" s="5"/>
      <c r="J264" s="9"/>
      <c r="K264" s="5"/>
      <c r="L264" s="9"/>
      <c r="M264" s="11"/>
      <c r="N264" s="1"/>
      <c r="S264" s="10"/>
      <c r="T264" s="10"/>
    </row>
    <row r="265" spans="1:20" x14ac:dyDescent="0.2">
      <c r="A265" s="2"/>
      <c r="B265" s="2"/>
      <c r="C265" s="1"/>
      <c r="D265" s="1"/>
      <c r="E265" s="1"/>
      <c r="F265" s="19"/>
      <c r="G265" s="1"/>
      <c r="H265" s="5"/>
      <c r="I265" s="5"/>
      <c r="L265" s="9"/>
      <c r="M265" s="11"/>
      <c r="N265" s="1"/>
      <c r="S265" s="10"/>
      <c r="T265" s="10"/>
    </row>
    <row r="266" spans="1:20" x14ac:dyDescent="0.2">
      <c r="A266" s="2"/>
      <c r="B266" s="2"/>
      <c r="C266" s="1"/>
      <c r="D266" s="1"/>
      <c r="E266" s="1"/>
      <c r="F266" s="19"/>
      <c r="G266" s="1"/>
      <c r="H266" s="5"/>
      <c r="I266" s="5"/>
      <c r="L266" s="9"/>
      <c r="M266" s="11"/>
      <c r="N266" s="1"/>
      <c r="S266" s="10"/>
      <c r="T266" s="10"/>
    </row>
    <row r="267" spans="1:20" x14ac:dyDescent="0.2">
      <c r="A267" s="2"/>
      <c r="B267" s="2"/>
      <c r="C267" s="1"/>
      <c r="D267" s="1"/>
      <c r="E267" s="1"/>
      <c r="F267" s="19"/>
      <c r="G267" s="1"/>
      <c r="H267" s="5"/>
      <c r="I267" s="5"/>
      <c r="J267" s="9"/>
      <c r="L267" s="9"/>
      <c r="M267" s="11"/>
      <c r="N267" s="1"/>
      <c r="S267" s="10"/>
      <c r="T267" s="10"/>
    </row>
    <row r="268" spans="1:20" x14ac:dyDescent="0.2">
      <c r="A268" s="2"/>
      <c r="B268" s="2"/>
      <c r="C268" s="1"/>
      <c r="D268" s="1"/>
      <c r="E268" s="1"/>
      <c r="F268" s="19"/>
      <c r="G268" s="1"/>
      <c r="H268" s="5"/>
      <c r="I268" s="5"/>
      <c r="J268" s="9"/>
      <c r="L268" s="9"/>
      <c r="M268" s="11"/>
      <c r="N268" s="1"/>
      <c r="S268" s="10"/>
      <c r="T268" s="10"/>
    </row>
    <row r="269" spans="1:20" x14ac:dyDescent="0.2">
      <c r="A269" s="2"/>
      <c r="B269" s="2"/>
      <c r="C269" s="1"/>
      <c r="D269" s="1"/>
      <c r="E269" s="1"/>
      <c r="F269" s="19"/>
      <c r="G269" s="1"/>
      <c r="H269" s="5"/>
      <c r="I269" s="5"/>
      <c r="J269" s="9"/>
      <c r="L269" s="9"/>
      <c r="M269" s="11"/>
      <c r="N269" s="1"/>
      <c r="S269" s="10"/>
      <c r="T269" s="10"/>
    </row>
    <row r="270" spans="1:20" x14ac:dyDescent="0.2">
      <c r="A270" s="2"/>
      <c r="B270" s="2"/>
      <c r="C270" s="1"/>
      <c r="D270" s="1"/>
      <c r="E270" s="1"/>
      <c r="F270" s="19"/>
      <c r="G270" s="1"/>
      <c r="H270" s="5"/>
      <c r="I270" s="5"/>
      <c r="K270" s="5"/>
      <c r="L270" s="9"/>
      <c r="M270" s="11"/>
      <c r="N270" s="1"/>
      <c r="S270" s="10"/>
      <c r="T270" s="10"/>
    </row>
    <row r="271" spans="1:20" x14ac:dyDescent="0.2">
      <c r="A271" s="2"/>
      <c r="B271" s="2"/>
      <c r="C271" s="1"/>
      <c r="D271" s="1"/>
      <c r="E271" s="1"/>
      <c r="F271" s="19"/>
      <c r="G271" s="1"/>
      <c r="H271" s="5"/>
      <c r="I271" s="5"/>
      <c r="K271" s="5"/>
      <c r="L271" s="9"/>
      <c r="M271" s="11"/>
      <c r="N271" s="1"/>
      <c r="S271" s="10"/>
      <c r="T271" s="10"/>
    </row>
    <row r="272" spans="1:20" x14ac:dyDescent="0.2">
      <c r="A272" s="2"/>
      <c r="B272" s="2"/>
      <c r="C272" s="1"/>
      <c r="D272" s="1"/>
      <c r="E272" s="1"/>
      <c r="F272" s="19"/>
      <c r="G272" s="1"/>
      <c r="H272" s="5"/>
      <c r="I272" s="5"/>
      <c r="K272" s="5"/>
      <c r="L272" s="9"/>
      <c r="M272" s="11"/>
      <c r="N272" s="1"/>
      <c r="S272" s="10"/>
      <c r="T272" s="10"/>
    </row>
    <row r="273" spans="1:20" x14ac:dyDescent="0.2">
      <c r="A273" s="2"/>
      <c r="B273" s="2"/>
      <c r="C273" s="1"/>
      <c r="D273" s="1"/>
      <c r="E273" s="1"/>
      <c r="F273" s="19"/>
      <c r="G273" s="1"/>
      <c r="H273" s="5"/>
      <c r="I273" s="5"/>
      <c r="K273" s="5"/>
      <c r="L273" s="9"/>
      <c r="M273" s="11"/>
      <c r="N273" s="1"/>
      <c r="S273" s="10"/>
      <c r="T273" s="10"/>
    </row>
    <row r="274" spans="1:20" x14ac:dyDescent="0.2">
      <c r="A274" s="2"/>
      <c r="B274" s="2"/>
      <c r="C274" s="1"/>
      <c r="D274" s="1"/>
      <c r="E274" s="1"/>
      <c r="F274" s="19"/>
      <c r="G274" s="1"/>
      <c r="H274" s="5"/>
      <c r="I274" s="5"/>
      <c r="K274" s="5"/>
      <c r="L274" s="9"/>
      <c r="M274" s="11"/>
      <c r="N274" s="1"/>
      <c r="S274" s="10"/>
      <c r="T274" s="10"/>
    </row>
    <row r="275" spans="1:20" x14ac:dyDescent="0.2">
      <c r="A275" s="2"/>
      <c r="B275" s="2"/>
      <c r="C275" s="1"/>
      <c r="D275" s="1"/>
      <c r="E275" s="1"/>
      <c r="F275" s="19"/>
      <c r="G275" s="1"/>
      <c r="H275" s="5"/>
      <c r="I275" s="5"/>
      <c r="J275" s="9"/>
      <c r="K275" s="5"/>
      <c r="L275" s="9"/>
      <c r="M275" s="11"/>
      <c r="N275" s="1"/>
      <c r="S275" s="10"/>
      <c r="T275" s="10"/>
    </row>
    <row r="276" spans="1:20" x14ac:dyDescent="0.2">
      <c r="A276" s="2"/>
      <c r="B276" s="2"/>
      <c r="C276" s="1"/>
      <c r="D276" s="1"/>
      <c r="E276" s="1"/>
      <c r="F276" s="19"/>
      <c r="G276" s="1"/>
      <c r="H276" s="5"/>
      <c r="I276" s="5"/>
      <c r="J276" s="9"/>
      <c r="K276" s="5"/>
      <c r="L276" s="9"/>
      <c r="M276" s="11"/>
      <c r="N276" s="1"/>
      <c r="S276" s="10"/>
      <c r="T276" s="10"/>
    </row>
    <row r="277" spans="1:20" x14ac:dyDescent="0.2">
      <c r="A277" s="2"/>
      <c r="B277" s="2"/>
      <c r="C277" s="1"/>
      <c r="D277" s="1"/>
      <c r="E277" s="1"/>
      <c r="F277" s="19"/>
      <c r="G277" s="1"/>
      <c r="H277" s="5"/>
      <c r="I277" s="5"/>
      <c r="J277" s="9"/>
      <c r="K277" s="5"/>
      <c r="L277" s="9"/>
      <c r="M277" s="11"/>
      <c r="N277" s="1"/>
      <c r="S277" s="10"/>
      <c r="T277" s="10"/>
    </row>
    <row r="278" spans="1:20" x14ac:dyDescent="0.2">
      <c r="A278" s="2"/>
      <c r="B278" s="2"/>
      <c r="C278" s="1"/>
      <c r="D278" s="1"/>
      <c r="E278" s="1"/>
      <c r="F278" s="19"/>
      <c r="G278" s="1"/>
      <c r="H278" s="5"/>
      <c r="I278" s="5"/>
      <c r="J278" s="9"/>
      <c r="K278" s="5"/>
      <c r="L278" s="9"/>
      <c r="M278" s="11"/>
      <c r="N278" s="1"/>
      <c r="S278" s="10"/>
      <c r="T278" s="10"/>
    </row>
    <row r="279" spans="1:20" x14ac:dyDescent="0.2">
      <c r="A279" s="2"/>
      <c r="B279" s="2"/>
      <c r="C279" s="1"/>
      <c r="D279" s="1"/>
      <c r="E279" s="1"/>
      <c r="F279" s="19"/>
      <c r="G279" s="1"/>
      <c r="H279" s="5"/>
      <c r="I279" s="5"/>
      <c r="J279" s="9"/>
      <c r="K279" s="5"/>
      <c r="L279" s="9"/>
      <c r="M279" s="11"/>
      <c r="N279" s="1"/>
      <c r="S279" s="10"/>
      <c r="T279" s="10"/>
    </row>
    <row r="280" spans="1:20" x14ac:dyDescent="0.2">
      <c r="A280" s="2"/>
      <c r="B280" s="2"/>
      <c r="C280" s="1"/>
      <c r="D280" s="1"/>
      <c r="E280" s="1"/>
      <c r="F280" s="1"/>
      <c r="G280" s="1"/>
      <c r="H280" s="5"/>
      <c r="J280" s="9"/>
      <c r="K280" s="5"/>
      <c r="L280" s="9"/>
      <c r="M280" s="11"/>
      <c r="N280" s="1"/>
      <c r="S280" s="10"/>
      <c r="T280" s="10"/>
    </row>
    <row r="281" spans="1:20" x14ac:dyDescent="0.2">
      <c r="A281" s="2"/>
      <c r="B281" s="2"/>
      <c r="C281" s="1"/>
      <c r="D281" s="1"/>
      <c r="E281" s="1"/>
      <c r="F281" s="19"/>
      <c r="G281" s="1"/>
      <c r="H281" s="5"/>
      <c r="I281" s="5"/>
      <c r="K281" s="5"/>
      <c r="L281" s="9"/>
      <c r="M281" s="11"/>
      <c r="N281" s="1"/>
      <c r="S281" s="10"/>
      <c r="T281" s="10"/>
    </row>
    <row r="282" spans="1:20" x14ac:dyDescent="0.2">
      <c r="A282" s="2"/>
      <c r="B282" s="2"/>
      <c r="C282" s="1"/>
      <c r="D282" s="1"/>
      <c r="E282" s="1"/>
      <c r="F282" s="19"/>
      <c r="G282" s="1"/>
      <c r="H282" s="5"/>
      <c r="I282" s="5"/>
      <c r="K282" s="5"/>
      <c r="L282" s="9"/>
      <c r="M282" s="11"/>
      <c r="N282" s="1"/>
      <c r="S282" s="10"/>
      <c r="T282" s="10"/>
    </row>
    <row r="283" spans="1:20" x14ac:dyDescent="0.2">
      <c r="A283" s="2"/>
      <c r="B283" s="2"/>
      <c r="C283" s="1"/>
      <c r="D283" s="1"/>
      <c r="E283" s="1"/>
      <c r="F283" s="19"/>
      <c r="G283" s="1"/>
      <c r="H283" s="5"/>
      <c r="I283" s="5"/>
      <c r="J283" s="9"/>
      <c r="K283" s="5"/>
      <c r="L283" s="9"/>
      <c r="M283" s="11"/>
      <c r="N283" s="1"/>
      <c r="S283" s="10"/>
      <c r="T283" s="10"/>
    </row>
    <row r="284" spans="1:20" x14ac:dyDescent="0.2">
      <c r="A284" s="2"/>
      <c r="B284" s="2"/>
      <c r="C284" s="1"/>
      <c r="D284" s="1"/>
      <c r="E284" s="1"/>
      <c r="F284" s="1"/>
      <c r="G284" s="1"/>
      <c r="H284" s="5"/>
      <c r="I284" s="5"/>
      <c r="J284" s="9"/>
      <c r="K284" s="5"/>
      <c r="L284" s="9"/>
      <c r="M284" s="11"/>
      <c r="N284" s="1"/>
      <c r="S284" s="10"/>
      <c r="T284" s="10"/>
    </row>
    <row r="285" spans="1:20" x14ac:dyDescent="0.2">
      <c r="A285" s="2"/>
      <c r="B285" s="2"/>
      <c r="C285" s="1"/>
      <c r="D285" s="1"/>
      <c r="E285" s="1"/>
      <c r="F285" s="19"/>
      <c r="G285" s="1"/>
      <c r="H285" s="5"/>
      <c r="I285" s="5"/>
      <c r="K285" s="5"/>
      <c r="L285" s="9"/>
      <c r="M285" s="11"/>
      <c r="N285" s="1"/>
      <c r="S285" s="10"/>
      <c r="T285" s="10"/>
    </row>
    <row r="286" spans="1:20" x14ac:dyDescent="0.2">
      <c r="A286" s="2"/>
      <c r="B286" s="2"/>
      <c r="C286" s="1"/>
      <c r="D286" s="1"/>
      <c r="E286" s="1"/>
      <c r="F286" s="19"/>
      <c r="G286" s="1"/>
      <c r="H286" s="5"/>
      <c r="I286" s="5"/>
      <c r="J286" s="9"/>
      <c r="K286" s="5"/>
      <c r="L286" s="9"/>
      <c r="M286" s="11"/>
      <c r="N286" s="1"/>
      <c r="S286" s="10"/>
      <c r="T286" s="10"/>
    </row>
    <row r="287" spans="1:20" x14ac:dyDescent="0.2">
      <c r="A287" s="2"/>
      <c r="B287" s="2"/>
      <c r="C287" s="1"/>
      <c r="D287" s="1"/>
      <c r="E287" s="1"/>
      <c r="F287" s="1"/>
      <c r="G287" s="1"/>
      <c r="H287" s="5"/>
      <c r="I287" s="5"/>
      <c r="J287" s="9"/>
      <c r="K287" s="5"/>
      <c r="L287" s="9"/>
      <c r="M287" s="11"/>
      <c r="N287" s="1"/>
      <c r="S287" s="10"/>
      <c r="T287" s="10"/>
    </row>
    <row r="288" spans="1:20" x14ac:dyDescent="0.2">
      <c r="A288" s="2"/>
      <c r="B288" s="2"/>
      <c r="C288" s="1"/>
      <c r="D288" s="1"/>
      <c r="E288" s="1"/>
      <c r="F288" s="19"/>
      <c r="G288" s="1"/>
      <c r="H288" s="5"/>
      <c r="I288" s="5"/>
      <c r="K288" s="5"/>
      <c r="L288" s="9"/>
      <c r="M288" s="11"/>
      <c r="N288" s="1"/>
      <c r="S288" s="10"/>
      <c r="T288" s="10"/>
    </row>
    <row r="289" spans="1:20" x14ac:dyDescent="0.2">
      <c r="A289" s="2"/>
      <c r="B289" s="2"/>
      <c r="C289" s="1"/>
      <c r="D289" s="1"/>
      <c r="E289" s="1"/>
      <c r="F289" s="19"/>
      <c r="G289" s="1"/>
      <c r="H289" s="5"/>
      <c r="I289" s="5"/>
      <c r="K289" s="5"/>
      <c r="L289" s="9"/>
      <c r="M289" s="11"/>
      <c r="N289" s="1"/>
      <c r="S289" s="10"/>
      <c r="T289" s="10"/>
    </row>
    <row r="290" spans="1:20" x14ac:dyDescent="0.2">
      <c r="A290" s="2"/>
      <c r="B290" s="2"/>
      <c r="C290" s="1"/>
      <c r="D290" s="1"/>
      <c r="E290" s="1"/>
      <c r="F290" s="19"/>
      <c r="G290" s="1"/>
      <c r="H290" s="5"/>
      <c r="I290" s="5"/>
      <c r="K290" s="5"/>
      <c r="L290" s="9"/>
      <c r="M290" s="11"/>
      <c r="N290" s="1"/>
      <c r="S290" s="10"/>
      <c r="T290" s="10"/>
    </row>
    <row r="291" spans="1:20" x14ac:dyDescent="0.2">
      <c r="A291" s="2"/>
      <c r="B291" s="2"/>
      <c r="C291" s="1"/>
      <c r="D291" s="1"/>
      <c r="E291" s="1"/>
      <c r="F291" s="19"/>
      <c r="G291" s="1"/>
      <c r="H291" s="5"/>
      <c r="I291" s="5"/>
      <c r="J291" s="9"/>
      <c r="K291" s="5"/>
      <c r="L291" s="9"/>
      <c r="M291" s="11"/>
      <c r="N291" s="1"/>
      <c r="S291" s="10"/>
      <c r="T291" s="10"/>
    </row>
    <row r="292" spans="1:20" x14ac:dyDescent="0.2">
      <c r="A292" s="2"/>
      <c r="B292" s="2"/>
      <c r="C292" s="1"/>
      <c r="D292" s="1"/>
      <c r="E292" s="1"/>
      <c r="F292" s="1"/>
      <c r="G292" s="1"/>
      <c r="H292" s="5"/>
      <c r="I292" s="5"/>
      <c r="J292" s="9"/>
      <c r="K292" s="5"/>
      <c r="L292" s="9"/>
      <c r="M292" s="11"/>
      <c r="N292" s="1"/>
      <c r="S292" s="10"/>
      <c r="T292" s="10"/>
    </row>
    <row r="293" spans="1:20" x14ac:dyDescent="0.2">
      <c r="A293" s="2"/>
      <c r="B293" s="2"/>
      <c r="C293" s="1"/>
      <c r="D293" s="1"/>
      <c r="E293" s="1"/>
      <c r="F293" s="19"/>
      <c r="G293" s="1"/>
      <c r="H293" s="5"/>
      <c r="I293" s="5"/>
      <c r="K293" s="5"/>
      <c r="L293" s="9"/>
      <c r="M293" s="11"/>
      <c r="N293" s="1"/>
      <c r="S293" s="10"/>
      <c r="T293" s="10"/>
    </row>
    <row r="294" spans="1:20" x14ac:dyDescent="0.2">
      <c r="A294" s="2"/>
      <c r="B294" s="2"/>
      <c r="C294" s="1"/>
      <c r="D294" s="1"/>
      <c r="E294" s="1"/>
      <c r="F294" s="19"/>
      <c r="G294" s="1"/>
      <c r="H294" s="5"/>
      <c r="I294" s="5"/>
      <c r="K294" s="5"/>
      <c r="L294" s="9"/>
      <c r="M294" s="11"/>
      <c r="N294" s="1"/>
      <c r="S294" s="10"/>
      <c r="T294" s="10"/>
    </row>
    <row r="295" spans="1:20" x14ac:dyDescent="0.2">
      <c r="A295" s="2"/>
      <c r="B295" s="2"/>
      <c r="C295" s="1"/>
      <c r="D295" s="1"/>
      <c r="E295" s="1"/>
      <c r="F295" s="19"/>
      <c r="G295" s="1"/>
      <c r="H295" s="5"/>
      <c r="I295" s="5"/>
      <c r="J295" s="9"/>
      <c r="K295" s="5"/>
      <c r="L295" s="9"/>
      <c r="M295" s="11"/>
      <c r="N295" s="1"/>
      <c r="S295" s="10"/>
      <c r="T295" s="10"/>
    </row>
    <row r="296" spans="1:20" x14ac:dyDescent="0.2">
      <c r="A296" s="2"/>
      <c r="B296" s="2"/>
      <c r="C296" s="1"/>
      <c r="D296" s="1"/>
      <c r="E296" s="1"/>
      <c r="F296" s="1"/>
      <c r="G296" s="1"/>
      <c r="H296" s="5"/>
      <c r="I296" s="5"/>
      <c r="J296" s="9"/>
      <c r="K296" s="5"/>
      <c r="L296" s="9"/>
      <c r="M296" s="11"/>
      <c r="N296" s="1"/>
      <c r="S296" s="10"/>
      <c r="T296" s="10"/>
    </row>
    <row r="297" spans="1:20" x14ac:dyDescent="0.2">
      <c r="A297" s="2"/>
      <c r="B297" s="2"/>
      <c r="C297" s="1"/>
      <c r="D297" s="1"/>
      <c r="E297" s="1"/>
      <c r="F297" s="19"/>
      <c r="G297" s="1"/>
      <c r="H297" s="5"/>
      <c r="I297" s="5"/>
      <c r="K297" s="5"/>
      <c r="L297" s="9"/>
      <c r="M297" s="11"/>
      <c r="N297" s="1"/>
      <c r="S297" s="10"/>
      <c r="T297" s="10"/>
    </row>
    <row r="298" spans="1:20" x14ac:dyDescent="0.2">
      <c r="A298" s="2"/>
      <c r="B298" s="2"/>
      <c r="C298" s="1"/>
      <c r="D298" s="1"/>
      <c r="E298" s="1"/>
      <c r="F298" s="19"/>
      <c r="G298" s="1"/>
      <c r="H298" s="5"/>
      <c r="I298" s="5"/>
      <c r="K298" s="5"/>
      <c r="L298" s="9"/>
      <c r="M298" s="11"/>
      <c r="N298" s="1"/>
      <c r="S298" s="10"/>
      <c r="T298" s="10"/>
    </row>
    <row r="299" spans="1:20" x14ac:dyDescent="0.2">
      <c r="A299" s="2"/>
      <c r="B299" s="2"/>
      <c r="C299" s="1"/>
      <c r="D299" s="1"/>
      <c r="E299" s="1"/>
      <c r="F299" s="19"/>
      <c r="G299" s="1"/>
      <c r="H299" s="5"/>
      <c r="I299" s="5"/>
      <c r="J299" s="9"/>
      <c r="K299" s="5"/>
      <c r="L299" s="9"/>
      <c r="M299" s="11"/>
      <c r="N299" s="1"/>
      <c r="S299" s="10"/>
      <c r="T299" s="10"/>
    </row>
    <row r="300" spans="1:20" x14ac:dyDescent="0.2">
      <c r="A300" s="2"/>
      <c r="B300" s="2"/>
      <c r="C300" s="1"/>
      <c r="D300" s="1"/>
      <c r="E300" s="1"/>
      <c r="F300" s="19"/>
      <c r="G300" s="1"/>
      <c r="H300" s="5"/>
      <c r="I300" s="5"/>
      <c r="K300" s="5"/>
      <c r="L300" s="9"/>
      <c r="M300" s="11"/>
      <c r="N300" s="1"/>
      <c r="S300" s="10"/>
      <c r="T300" s="10"/>
    </row>
    <row r="301" spans="1:20" x14ac:dyDescent="0.2">
      <c r="A301" s="2"/>
      <c r="B301" s="2"/>
      <c r="C301" s="1"/>
      <c r="D301" s="1"/>
      <c r="E301" s="1"/>
      <c r="F301" s="1"/>
      <c r="G301" s="1"/>
      <c r="H301" s="5"/>
      <c r="I301" s="5"/>
      <c r="J301" s="9"/>
      <c r="K301" s="5"/>
      <c r="L301" s="9"/>
      <c r="M301" s="11"/>
      <c r="N301" s="1"/>
      <c r="S301" s="10"/>
      <c r="T301" s="10"/>
    </row>
    <row r="302" spans="1:20" x14ac:dyDescent="0.2">
      <c r="A302" s="2"/>
      <c r="B302" s="2"/>
      <c r="C302" s="1"/>
      <c r="D302" s="1"/>
      <c r="E302" s="1"/>
      <c r="F302" s="19"/>
      <c r="G302" s="1"/>
      <c r="H302" s="5"/>
      <c r="I302" s="5"/>
      <c r="K302" s="5"/>
      <c r="L302" s="9"/>
      <c r="M302" s="11"/>
      <c r="N302" s="1"/>
      <c r="S302" s="10"/>
      <c r="T302" s="10"/>
    </row>
    <row r="303" spans="1:20" x14ac:dyDescent="0.2">
      <c r="A303" s="2"/>
      <c r="B303" s="2"/>
      <c r="C303" s="1"/>
      <c r="D303" s="1"/>
      <c r="E303" s="1"/>
      <c r="F303" s="19"/>
      <c r="G303" s="1"/>
      <c r="H303" s="5"/>
      <c r="I303" s="5"/>
      <c r="J303" s="9"/>
      <c r="K303" s="5"/>
      <c r="L303" s="9"/>
      <c r="M303" s="11"/>
      <c r="N303" s="1"/>
      <c r="S303" s="10"/>
      <c r="T303" s="10"/>
    </row>
    <row r="304" spans="1:20" x14ac:dyDescent="0.2">
      <c r="A304" s="2"/>
      <c r="B304" s="2"/>
      <c r="C304" s="1"/>
      <c r="D304" s="1"/>
      <c r="E304" s="1"/>
      <c r="F304" s="1"/>
      <c r="G304" s="1"/>
      <c r="H304" s="5"/>
      <c r="I304" s="5"/>
      <c r="K304" s="5"/>
      <c r="L304" s="9"/>
      <c r="M304" s="11"/>
      <c r="N304" s="1"/>
      <c r="S304" s="10"/>
      <c r="T304" s="10"/>
    </row>
    <row r="305" spans="1:20" x14ac:dyDescent="0.2">
      <c r="A305" s="2"/>
      <c r="B305" s="2"/>
      <c r="C305" s="1"/>
      <c r="D305" s="1"/>
      <c r="E305" s="1"/>
      <c r="F305" s="19"/>
      <c r="G305" s="1"/>
      <c r="H305" s="5"/>
      <c r="I305" s="5"/>
      <c r="K305" s="5"/>
      <c r="L305" s="9"/>
      <c r="M305" s="11"/>
      <c r="N305" s="1"/>
      <c r="S305" s="10"/>
      <c r="T305" s="10"/>
    </row>
    <row r="306" spans="1:20" x14ac:dyDescent="0.2">
      <c r="A306" s="2"/>
      <c r="B306" s="2"/>
      <c r="C306" s="1"/>
      <c r="D306" s="1"/>
      <c r="E306" s="1"/>
      <c r="F306" s="19"/>
      <c r="G306" s="1"/>
      <c r="H306" s="5"/>
      <c r="I306" s="5"/>
      <c r="K306" s="5"/>
      <c r="L306" s="9"/>
      <c r="M306" s="11"/>
      <c r="N306" s="1"/>
      <c r="S306" s="10"/>
      <c r="T306" s="10"/>
    </row>
    <row r="307" spans="1:20" x14ac:dyDescent="0.2">
      <c r="A307" s="2"/>
      <c r="B307" s="2"/>
      <c r="C307" s="1"/>
      <c r="D307" s="1"/>
      <c r="E307" s="1"/>
      <c r="F307" s="19"/>
      <c r="G307" s="1"/>
      <c r="H307" s="5"/>
      <c r="I307" s="5"/>
      <c r="J307" s="9"/>
      <c r="K307" s="5"/>
      <c r="L307" s="9"/>
      <c r="M307" s="11"/>
      <c r="N307" s="1"/>
      <c r="S307" s="10"/>
      <c r="T307" s="10"/>
    </row>
    <row r="308" spans="1:20" x14ac:dyDescent="0.2">
      <c r="A308" s="2"/>
      <c r="B308" s="2"/>
      <c r="C308" s="1"/>
      <c r="D308" s="1"/>
      <c r="E308" s="1"/>
      <c r="F308" s="1"/>
      <c r="G308" s="1"/>
      <c r="H308" s="5"/>
      <c r="I308" s="5"/>
      <c r="J308" s="9"/>
      <c r="K308" s="5"/>
      <c r="L308" s="9"/>
      <c r="M308" s="11"/>
      <c r="N308" s="1"/>
      <c r="S308" s="10"/>
      <c r="T308" s="10"/>
    </row>
    <row r="309" spans="1:20" x14ac:dyDescent="0.2">
      <c r="A309" s="2"/>
      <c r="B309" s="2"/>
      <c r="C309" s="1"/>
      <c r="D309" s="1"/>
      <c r="E309" s="1"/>
      <c r="F309" s="19"/>
      <c r="G309" s="1"/>
      <c r="H309" s="5"/>
      <c r="I309" s="5"/>
      <c r="K309" s="5"/>
      <c r="L309" s="9"/>
      <c r="M309" s="11"/>
      <c r="N309" s="1"/>
      <c r="S309" s="10"/>
      <c r="T309" s="10"/>
    </row>
    <row r="310" spans="1:20" x14ac:dyDescent="0.2">
      <c r="A310" s="2"/>
      <c r="B310" s="2"/>
      <c r="C310" s="1"/>
      <c r="D310" s="1"/>
      <c r="E310" s="1"/>
      <c r="F310" s="19"/>
      <c r="G310" s="1"/>
      <c r="H310" s="5"/>
      <c r="I310" s="5"/>
      <c r="K310" s="5"/>
      <c r="L310" s="9"/>
      <c r="M310" s="11"/>
      <c r="N310" s="1"/>
      <c r="S310" s="10"/>
      <c r="T310" s="10"/>
    </row>
    <row r="311" spans="1:20" x14ac:dyDescent="0.2">
      <c r="A311" s="2"/>
      <c r="B311" s="2"/>
      <c r="C311" s="1"/>
      <c r="D311" s="1"/>
      <c r="E311" s="1"/>
      <c r="F311" s="19"/>
      <c r="G311" s="1"/>
      <c r="H311" s="5"/>
      <c r="I311" s="5"/>
      <c r="J311" s="9"/>
      <c r="K311" s="5"/>
      <c r="L311" s="9"/>
      <c r="M311" s="11"/>
      <c r="N311" s="1"/>
      <c r="S311" s="10"/>
      <c r="T311" s="10"/>
    </row>
    <row r="312" spans="1:20" x14ac:dyDescent="0.2">
      <c r="A312" s="2"/>
      <c r="B312" s="2"/>
      <c r="C312" s="1"/>
      <c r="D312" s="1"/>
      <c r="E312" s="1"/>
      <c r="F312" s="1"/>
      <c r="G312" s="1"/>
      <c r="H312" s="5"/>
      <c r="I312" s="5"/>
      <c r="J312" s="9"/>
      <c r="K312" s="5"/>
      <c r="L312" s="9"/>
      <c r="M312" s="11"/>
      <c r="N312" s="1"/>
      <c r="S312" s="10"/>
      <c r="T312" s="10"/>
    </row>
    <row r="313" spans="1:20" x14ac:dyDescent="0.2">
      <c r="A313" s="2"/>
      <c r="B313" s="2"/>
      <c r="C313" s="1"/>
      <c r="D313" s="1"/>
      <c r="E313" s="1"/>
      <c r="F313" s="19"/>
      <c r="G313" s="1"/>
      <c r="H313" s="5"/>
      <c r="I313" s="5"/>
      <c r="K313" s="5"/>
      <c r="L313" s="9"/>
      <c r="M313" s="11"/>
      <c r="N313" s="1"/>
      <c r="S313" s="10"/>
      <c r="T313" s="10"/>
    </row>
    <row r="314" spans="1:20" x14ac:dyDescent="0.2">
      <c r="A314" s="2"/>
      <c r="B314" s="2"/>
      <c r="C314" s="1"/>
      <c r="D314" s="1"/>
      <c r="E314" s="1"/>
      <c r="F314" s="19"/>
      <c r="G314" s="1"/>
      <c r="H314" s="5"/>
      <c r="I314" s="5"/>
      <c r="K314" s="5"/>
      <c r="L314" s="9"/>
      <c r="M314" s="11"/>
      <c r="N314" s="1"/>
      <c r="S314" s="10"/>
      <c r="T314" s="10"/>
    </row>
    <row r="315" spans="1:20" x14ac:dyDescent="0.2">
      <c r="A315" s="2"/>
      <c r="B315" s="2"/>
      <c r="C315" s="1"/>
      <c r="D315" s="1"/>
      <c r="E315" s="1"/>
      <c r="F315" s="19"/>
      <c r="G315" s="1"/>
      <c r="H315" s="5"/>
      <c r="I315" s="5"/>
      <c r="J315" s="9"/>
      <c r="K315" s="5"/>
      <c r="L315" s="9"/>
      <c r="M315" s="11"/>
      <c r="N315" s="1"/>
      <c r="S315" s="10"/>
      <c r="T315" s="10"/>
    </row>
    <row r="316" spans="1:20" x14ac:dyDescent="0.2">
      <c r="A316" s="2"/>
      <c r="B316" s="2"/>
      <c r="C316" s="1"/>
      <c r="D316" s="1"/>
      <c r="E316" s="1"/>
      <c r="F316" s="1"/>
      <c r="G316" s="1"/>
      <c r="H316" s="5"/>
      <c r="I316" s="5"/>
      <c r="J316" s="9"/>
      <c r="K316" s="5"/>
      <c r="L316" s="9"/>
      <c r="M316" s="11"/>
      <c r="N316" s="1"/>
      <c r="S316" s="10"/>
      <c r="T316" s="10"/>
    </row>
    <row r="317" spans="1:20" x14ac:dyDescent="0.2">
      <c r="A317" s="2"/>
      <c r="B317" s="2"/>
      <c r="C317" s="1"/>
      <c r="D317" s="1"/>
      <c r="E317" s="1"/>
      <c r="F317" s="19"/>
      <c r="G317" s="1"/>
      <c r="H317" s="5"/>
      <c r="I317" s="5"/>
      <c r="K317" s="5"/>
      <c r="L317" s="9"/>
      <c r="M317" s="11"/>
      <c r="N317" s="1"/>
      <c r="S317" s="10"/>
      <c r="T317" s="10"/>
    </row>
    <row r="318" spans="1:20" x14ac:dyDescent="0.2">
      <c r="A318" s="2"/>
      <c r="B318" s="2"/>
      <c r="C318" s="1"/>
      <c r="D318" s="1"/>
      <c r="E318" s="1"/>
      <c r="F318" s="19"/>
      <c r="G318" s="1"/>
      <c r="H318" s="5"/>
      <c r="I318" s="5"/>
      <c r="J318" s="9"/>
      <c r="K318" s="5"/>
      <c r="L318" s="9"/>
      <c r="M318" s="11"/>
      <c r="N318" s="1"/>
      <c r="S318" s="10"/>
      <c r="T318" s="10"/>
    </row>
    <row r="319" spans="1:20" x14ac:dyDescent="0.2">
      <c r="A319" s="2"/>
      <c r="B319" s="2"/>
      <c r="C319" s="1"/>
      <c r="D319" s="1"/>
      <c r="E319" s="1"/>
      <c r="F319" s="19"/>
      <c r="G319" s="1"/>
      <c r="H319" s="5"/>
      <c r="I319" s="5"/>
      <c r="K319" s="5"/>
      <c r="L319" s="9"/>
      <c r="M319" s="11"/>
      <c r="N319" s="1"/>
      <c r="S319" s="10"/>
      <c r="T319" s="10"/>
    </row>
    <row r="320" spans="1:20" x14ac:dyDescent="0.2">
      <c r="A320" s="2"/>
      <c r="B320" s="2"/>
      <c r="C320" s="1"/>
      <c r="D320" s="1"/>
      <c r="E320" s="1"/>
      <c r="F320" s="19"/>
      <c r="G320" s="1"/>
      <c r="H320" s="5"/>
      <c r="I320" s="5"/>
      <c r="J320" s="9"/>
      <c r="K320" s="5"/>
      <c r="L320" s="9"/>
      <c r="M320" s="11"/>
      <c r="N320" s="1"/>
      <c r="S320" s="10"/>
      <c r="T320" s="10"/>
    </row>
    <row r="321" spans="1:20" x14ac:dyDescent="0.2">
      <c r="A321" s="2"/>
      <c r="B321" s="2"/>
      <c r="C321" s="1"/>
      <c r="D321" s="1"/>
      <c r="E321" s="1"/>
      <c r="F321" s="19"/>
      <c r="G321" s="1"/>
      <c r="H321" s="5"/>
      <c r="I321" s="5"/>
      <c r="K321" s="5"/>
      <c r="L321" s="9"/>
      <c r="M321" s="11"/>
      <c r="N321" s="1"/>
      <c r="S321" s="10"/>
      <c r="T321" s="10"/>
    </row>
    <row r="322" spans="1:20" x14ac:dyDescent="0.2">
      <c r="A322" s="2"/>
      <c r="B322" s="2"/>
      <c r="C322" s="1"/>
      <c r="D322" s="1"/>
      <c r="E322" s="1"/>
      <c r="F322" s="19"/>
      <c r="G322" s="1"/>
      <c r="H322" s="5"/>
      <c r="I322" s="5"/>
      <c r="J322" s="9"/>
      <c r="K322" s="5"/>
      <c r="L322" s="9"/>
      <c r="M322" s="11"/>
      <c r="N322" s="1"/>
      <c r="S322" s="10"/>
      <c r="T322" s="10"/>
    </row>
    <row r="323" spans="1:20" x14ac:dyDescent="0.2">
      <c r="A323" s="2"/>
      <c r="B323" s="2"/>
      <c r="C323" s="1"/>
      <c r="D323" s="1"/>
      <c r="E323" s="1"/>
      <c r="F323" s="19"/>
      <c r="G323" s="1"/>
      <c r="H323" s="5"/>
      <c r="I323" s="5"/>
      <c r="J323" s="9"/>
      <c r="K323" s="5"/>
      <c r="L323" s="9"/>
      <c r="M323" s="11"/>
      <c r="N323" s="1"/>
      <c r="S323" s="10"/>
      <c r="T323" s="10"/>
    </row>
    <row r="324" spans="1:20" x14ac:dyDescent="0.2">
      <c r="A324" s="2"/>
      <c r="B324" s="2"/>
      <c r="C324" s="1"/>
      <c r="D324" s="1"/>
      <c r="E324" s="1"/>
      <c r="F324" s="19"/>
      <c r="G324" s="1"/>
      <c r="H324" s="5"/>
      <c r="I324" s="5"/>
      <c r="J324" s="9"/>
      <c r="K324" s="5"/>
      <c r="L324" s="9"/>
      <c r="M324" s="11"/>
      <c r="N324" s="1"/>
      <c r="S324" s="10"/>
      <c r="T324" s="10"/>
    </row>
    <row r="325" spans="1:20" x14ac:dyDescent="0.2">
      <c r="A325" s="2"/>
      <c r="B325" s="2"/>
      <c r="C325" s="1"/>
      <c r="D325" s="1"/>
      <c r="E325" s="1"/>
      <c r="F325" s="19"/>
      <c r="G325" s="1"/>
      <c r="H325" s="5"/>
      <c r="I325" s="5"/>
      <c r="K325" s="5"/>
      <c r="L325" s="9"/>
      <c r="M325" s="11"/>
      <c r="N325" s="1"/>
      <c r="S325" s="10"/>
      <c r="T325" s="10"/>
    </row>
    <row r="326" spans="1:20" x14ac:dyDescent="0.2">
      <c r="A326" s="2"/>
      <c r="B326" s="2"/>
      <c r="C326" s="1"/>
      <c r="D326" s="1"/>
      <c r="E326" s="1"/>
      <c r="F326" s="19"/>
      <c r="G326" s="1"/>
      <c r="H326" s="5"/>
      <c r="I326" s="5"/>
      <c r="J326" s="9"/>
      <c r="K326" s="5"/>
      <c r="L326" s="9"/>
      <c r="M326" s="11"/>
      <c r="N326" s="1"/>
      <c r="S326" s="10"/>
      <c r="T326" s="10"/>
    </row>
    <row r="327" spans="1:20" x14ac:dyDescent="0.2">
      <c r="A327" s="2"/>
      <c r="B327" s="2"/>
      <c r="C327" s="1"/>
      <c r="D327" s="1"/>
      <c r="E327" s="1"/>
      <c r="F327" s="19"/>
      <c r="G327" s="1"/>
      <c r="H327" s="5"/>
      <c r="I327" s="5"/>
      <c r="J327" s="9"/>
      <c r="K327" s="5"/>
      <c r="L327" s="9"/>
      <c r="M327" s="11"/>
      <c r="N327" s="1"/>
      <c r="S327" s="10"/>
      <c r="T327" s="10"/>
    </row>
    <row r="328" spans="1:20" x14ac:dyDescent="0.2">
      <c r="A328" s="2"/>
      <c r="B328" s="2"/>
      <c r="C328" s="1"/>
      <c r="D328" s="1"/>
      <c r="E328" s="1"/>
      <c r="F328" s="1"/>
      <c r="G328" s="1"/>
      <c r="H328" s="5"/>
      <c r="I328" s="5"/>
      <c r="J328" s="9"/>
      <c r="K328" s="5"/>
      <c r="L328" s="9"/>
      <c r="M328" s="11"/>
      <c r="N328" s="1"/>
      <c r="S328" s="10"/>
      <c r="T328" s="10"/>
    </row>
    <row r="329" spans="1:20" x14ac:dyDescent="0.2">
      <c r="A329" s="2"/>
      <c r="B329" s="2"/>
      <c r="C329" s="1"/>
      <c r="D329" s="1"/>
      <c r="E329" s="1"/>
      <c r="F329" s="19"/>
      <c r="G329" s="1"/>
      <c r="H329" s="5"/>
      <c r="I329" s="5"/>
      <c r="K329" s="5"/>
      <c r="L329" s="9"/>
      <c r="M329" s="11"/>
      <c r="N329" s="1"/>
      <c r="S329" s="10"/>
      <c r="T329" s="10"/>
    </row>
    <row r="330" spans="1:20" x14ac:dyDescent="0.2">
      <c r="A330" s="2"/>
      <c r="B330" s="2"/>
      <c r="C330" s="1"/>
      <c r="D330" s="1"/>
      <c r="E330" s="1"/>
      <c r="F330" s="19"/>
      <c r="G330" s="1"/>
      <c r="H330" s="5"/>
      <c r="I330" s="5"/>
      <c r="J330" s="9"/>
      <c r="K330" s="5"/>
      <c r="L330" s="9"/>
      <c r="M330" s="11"/>
      <c r="N330" s="1"/>
      <c r="S330" s="10"/>
      <c r="T330" s="10"/>
    </row>
    <row r="331" spans="1:20" x14ac:dyDescent="0.2">
      <c r="A331" s="2"/>
      <c r="B331" s="2"/>
      <c r="C331" s="1"/>
      <c r="D331" s="1"/>
      <c r="E331" s="1"/>
      <c r="F331" s="19"/>
      <c r="G331" s="1"/>
      <c r="H331" s="5"/>
      <c r="I331" s="5"/>
      <c r="J331" s="9"/>
      <c r="K331" s="5"/>
      <c r="L331" s="9"/>
      <c r="M331" s="11"/>
      <c r="N331" s="1"/>
      <c r="S331" s="10"/>
      <c r="T331" s="10"/>
    </row>
    <row r="332" spans="1:20" x14ac:dyDescent="0.2">
      <c r="A332" s="2"/>
      <c r="B332" s="2"/>
      <c r="C332" s="1"/>
      <c r="D332" s="1"/>
      <c r="E332" s="1"/>
      <c r="F332" s="1"/>
      <c r="G332" s="1"/>
      <c r="H332" s="5"/>
      <c r="I332" s="5"/>
      <c r="J332" s="9"/>
      <c r="K332" s="5"/>
      <c r="L332" s="9"/>
      <c r="M332" s="11"/>
      <c r="N332" s="1"/>
      <c r="S332" s="10"/>
      <c r="T332" s="10"/>
    </row>
    <row r="333" spans="1:20" x14ac:dyDescent="0.2">
      <c r="A333" s="2"/>
      <c r="B333" s="2"/>
      <c r="C333" s="1"/>
      <c r="D333" s="1"/>
      <c r="E333" s="1"/>
      <c r="F333" s="19"/>
      <c r="G333" s="1"/>
      <c r="H333" s="5"/>
      <c r="I333" s="5"/>
      <c r="K333" s="5"/>
      <c r="L333" s="9"/>
      <c r="M333" s="11"/>
      <c r="N333" s="1"/>
      <c r="S333" s="10"/>
      <c r="T333" s="10"/>
    </row>
    <row r="334" spans="1:20" x14ac:dyDescent="0.2">
      <c r="A334" s="2"/>
      <c r="B334" s="2"/>
      <c r="C334" s="1"/>
      <c r="D334" s="1"/>
      <c r="E334" s="1"/>
      <c r="F334" s="19"/>
      <c r="G334" s="1"/>
      <c r="H334" s="5"/>
      <c r="I334" s="5"/>
      <c r="J334" s="9"/>
      <c r="K334" s="5"/>
      <c r="L334" s="9"/>
      <c r="M334" s="11"/>
      <c r="N334" s="1"/>
      <c r="S334" s="10"/>
      <c r="T334" s="10"/>
    </row>
    <row r="335" spans="1:20" x14ac:dyDescent="0.2">
      <c r="A335" s="2"/>
      <c r="B335" s="2"/>
      <c r="C335" s="1"/>
      <c r="D335" s="1"/>
      <c r="E335" s="1"/>
      <c r="F335" s="19"/>
      <c r="G335" s="1"/>
      <c r="H335" s="5"/>
      <c r="I335" s="5"/>
      <c r="J335" s="9"/>
      <c r="K335" s="5"/>
      <c r="L335" s="9"/>
      <c r="M335" s="11"/>
      <c r="N335" s="1"/>
      <c r="S335" s="10"/>
      <c r="T335" s="10"/>
    </row>
    <row r="336" spans="1:20" x14ac:dyDescent="0.2">
      <c r="A336" s="2"/>
      <c r="B336" s="2"/>
      <c r="C336" s="1"/>
      <c r="D336" s="1"/>
      <c r="E336" s="1"/>
      <c r="F336" s="1"/>
      <c r="G336" s="1"/>
      <c r="H336" s="5"/>
      <c r="I336" s="5"/>
      <c r="J336" s="9"/>
      <c r="K336" s="5"/>
      <c r="L336" s="9"/>
      <c r="M336" s="11"/>
      <c r="N336" s="1"/>
      <c r="S336" s="10"/>
      <c r="T336" s="10"/>
    </row>
    <row r="337" spans="1:20" x14ac:dyDescent="0.2">
      <c r="A337" s="2"/>
      <c r="B337" s="2"/>
      <c r="C337" s="1"/>
      <c r="D337" s="1"/>
      <c r="E337" s="1"/>
      <c r="F337" s="19"/>
      <c r="G337" s="1"/>
      <c r="H337" s="5"/>
      <c r="I337" s="5"/>
      <c r="K337" s="5"/>
      <c r="L337" s="9"/>
      <c r="M337" s="11"/>
      <c r="N337" s="1"/>
      <c r="S337" s="10"/>
      <c r="T337" s="10"/>
    </row>
    <row r="338" spans="1:20" x14ac:dyDescent="0.2">
      <c r="A338" s="2"/>
      <c r="B338" s="2"/>
      <c r="C338" s="1"/>
      <c r="D338" s="1"/>
      <c r="E338" s="1"/>
      <c r="F338" s="19"/>
      <c r="G338" s="1"/>
      <c r="H338" s="5"/>
      <c r="I338" s="5"/>
      <c r="J338" s="9"/>
      <c r="K338" s="5"/>
      <c r="L338" s="9"/>
      <c r="M338" s="11"/>
      <c r="N338" s="1"/>
      <c r="S338" s="10"/>
      <c r="T338" s="10"/>
    </row>
    <row r="339" spans="1:20" x14ac:dyDescent="0.2">
      <c r="A339" s="2"/>
      <c r="B339" s="2"/>
      <c r="C339" s="1"/>
      <c r="D339" s="1"/>
      <c r="E339" s="1"/>
      <c r="F339" s="19"/>
      <c r="G339" s="1"/>
      <c r="H339" s="5"/>
      <c r="I339" s="5"/>
      <c r="J339" s="9"/>
      <c r="K339" s="5"/>
      <c r="L339" s="9"/>
      <c r="M339" s="11"/>
      <c r="N339" s="1"/>
      <c r="S339" s="10"/>
      <c r="T339" s="10"/>
    </row>
    <row r="340" spans="1:20" x14ac:dyDescent="0.2">
      <c r="A340" s="2"/>
      <c r="B340" s="2"/>
      <c r="C340" s="1"/>
      <c r="D340" s="1"/>
      <c r="E340" s="1"/>
      <c r="F340" s="1"/>
      <c r="G340" s="1"/>
      <c r="H340" s="5"/>
      <c r="I340" s="5"/>
      <c r="J340" s="9"/>
      <c r="K340" s="5"/>
      <c r="L340" s="9"/>
      <c r="M340" s="11"/>
      <c r="N340" s="1"/>
      <c r="S340" s="10"/>
      <c r="T340" s="10"/>
    </row>
    <row r="341" spans="1:20" x14ac:dyDescent="0.2">
      <c r="A341" s="2"/>
      <c r="B341" s="2"/>
      <c r="C341" s="1"/>
      <c r="D341" s="1"/>
      <c r="E341" s="1"/>
      <c r="F341" s="1"/>
      <c r="G341" s="1"/>
      <c r="H341" s="5"/>
      <c r="I341" s="5"/>
      <c r="J341" s="9"/>
      <c r="K341" s="5"/>
      <c r="L341" s="9"/>
      <c r="M341" s="11"/>
      <c r="N341" s="1"/>
      <c r="S341" s="10"/>
      <c r="T341" s="10"/>
    </row>
    <row r="342" spans="1:20" x14ac:dyDescent="0.2">
      <c r="A342" s="2"/>
      <c r="B342" s="2"/>
      <c r="C342" s="1"/>
      <c r="D342" s="1"/>
      <c r="E342" s="1"/>
      <c r="F342" s="1"/>
      <c r="G342" s="1"/>
      <c r="H342" s="5"/>
      <c r="I342" s="5"/>
      <c r="J342" s="9"/>
      <c r="K342" s="5"/>
      <c r="L342" s="9"/>
      <c r="M342" s="11"/>
      <c r="N342" s="1"/>
      <c r="S342" s="10"/>
      <c r="T342" s="10"/>
    </row>
    <row r="343" spans="1:20" x14ac:dyDescent="0.2">
      <c r="A343" s="2"/>
      <c r="B343" s="2"/>
      <c r="C343" s="1"/>
      <c r="D343" s="1"/>
      <c r="E343" s="1"/>
      <c r="F343" s="1"/>
      <c r="G343" s="1"/>
      <c r="H343" s="5"/>
      <c r="J343" s="9"/>
      <c r="K343" s="5"/>
      <c r="L343" s="9"/>
      <c r="M343" s="11"/>
      <c r="N343" s="1"/>
      <c r="S343" s="10"/>
      <c r="T343" s="10"/>
    </row>
    <row r="344" spans="1:20" x14ac:dyDescent="0.2">
      <c r="A344" s="2"/>
      <c r="B344" s="2"/>
      <c r="C344" s="1"/>
      <c r="D344" s="1"/>
      <c r="E344" s="1"/>
      <c r="F344" s="1"/>
      <c r="G344" s="1"/>
      <c r="H344" s="5"/>
      <c r="I344" s="5"/>
      <c r="J344" s="9"/>
      <c r="K344" s="5"/>
      <c r="L344" s="9"/>
      <c r="M344" s="11"/>
      <c r="N344" s="1"/>
      <c r="S344" s="10"/>
      <c r="T344" s="10"/>
    </row>
    <row r="345" spans="1:20" x14ac:dyDescent="0.2">
      <c r="A345" s="2"/>
      <c r="B345" s="2"/>
      <c r="C345" s="1"/>
      <c r="D345" s="1"/>
      <c r="E345" s="1"/>
      <c r="F345" s="1"/>
      <c r="G345" s="1"/>
      <c r="H345" s="5"/>
      <c r="I345" s="5"/>
      <c r="J345" s="9"/>
      <c r="K345" s="5"/>
      <c r="L345" s="9"/>
      <c r="M345" s="11"/>
      <c r="N345" s="1"/>
      <c r="S345" s="10"/>
      <c r="T345" s="10"/>
    </row>
    <row r="346" spans="1:20" x14ac:dyDescent="0.2">
      <c r="A346" s="2"/>
      <c r="B346" s="2"/>
      <c r="C346" s="1"/>
      <c r="D346" s="1"/>
      <c r="E346" s="1"/>
      <c r="F346" s="1"/>
      <c r="G346" s="1"/>
      <c r="H346" s="5"/>
      <c r="I346" s="5"/>
      <c r="J346" s="9"/>
      <c r="K346" s="5"/>
      <c r="L346" s="9"/>
      <c r="M346" s="11"/>
      <c r="N346" s="1"/>
      <c r="S346" s="10"/>
      <c r="T346" s="10"/>
    </row>
    <row r="347" spans="1:20" x14ac:dyDescent="0.2">
      <c r="A347" s="2"/>
      <c r="B347" s="2"/>
      <c r="C347" s="1"/>
      <c r="D347" s="1"/>
      <c r="E347" s="1"/>
      <c r="F347" s="1"/>
      <c r="G347" s="1"/>
      <c r="H347" s="5"/>
      <c r="I347" s="5"/>
      <c r="J347" s="9"/>
      <c r="K347" s="5"/>
      <c r="L347" s="9"/>
      <c r="M347" s="11"/>
      <c r="N347" s="1"/>
      <c r="S347" s="10"/>
      <c r="T347" s="10"/>
    </row>
    <row r="348" spans="1:20" x14ac:dyDescent="0.2">
      <c r="A348" s="2"/>
      <c r="B348" s="2"/>
      <c r="C348" s="1"/>
      <c r="D348" s="1"/>
      <c r="E348" s="1"/>
      <c r="F348" s="1"/>
      <c r="G348" s="1"/>
      <c r="H348" s="5"/>
      <c r="I348" s="5"/>
      <c r="J348" s="9"/>
      <c r="K348" s="5"/>
      <c r="L348" s="9"/>
      <c r="M348" s="11"/>
      <c r="N348" s="1"/>
      <c r="S348" s="10"/>
      <c r="T348" s="10"/>
    </row>
    <row r="349" spans="1:20" x14ac:dyDescent="0.2">
      <c r="A349" s="2"/>
      <c r="B349" s="2"/>
      <c r="C349" s="1"/>
      <c r="D349" s="1"/>
      <c r="E349" s="1"/>
      <c r="F349" s="1"/>
      <c r="G349" s="1"/>
      <c r="H349" s="5"/>
      <c r="I349" s="5"/>
      <c r="J349" s="9"/>
      <c r="K349" s="5"/>
      <c r="L349" s="9"/>
      <c r="M349" s="11"/>
      <c r="N349" s="1"/>
      <c r="S349" s="10"/>
      <c r="T349" s="10"/>
    </row>
    <row r="350" spans="1:20" x14ac:dyDescent="0.2">
      <c r="A350" s="2"/>
      <c r="B350" s="2"/>
      <c r="C350" s="1"/>
      <c r="D350" s="1"/>
      <c r="E350" s="1"/>
      <c r="F350" s="1"/>
      <c r="G350" s="1"/>
      <c r="H350" s="5"/>
      <c r="J350" s="9"/>
      <c r="K350" s="5"/>
      <c r="L350" s="9"/>
      <c r="M350" s="11"/>
      <c r="N350" s="1"/>
      <c r="S350" s="10"/>
      <c r="T350" s="10"/>
    </row>
    <row r="351" spans="1:20" x14ac:dyDescent="0.2">
      <c r="A351" s="2"/>
      <c r="B351" s="2"/>
      <c r="C351" s="1"/>
      <c r="D351" s="1"/>
      <c r="E351" s="1"/>
      <c r="F351" s="1"/>
      <c r="G351" s="1"/>
      <c r="H351" s="5"/>
      <c r="I351" s="5"/>
      <c r="J351" s="9"/>
      <c r="K351" s="5"/>
      <c r="L351" s="9"/>
      <c r="M351" s="11"/>
      <c r="N351" s="1"/>
      <c r="S351" s="10"/>
      <c r="T351" s="10"/>
    </row>
    <row r="352" spans="1:20" x14ac:dyDescent="0.2">
      <c r="A352" s="2"/>
      <c r="B352" s="2"/>
      <c r="C352" s="1"/>
      <c r="D352" s="1"/>
      <c r="E352" s="1"/>
      <c r="F352" s="1"/>
      <c r="G352" s="1"/>
      <c r="H352" s="5"/>
      <c r="I352" s="5"/>
      <c r="J352" s="9"/>
      <c r="K352" s="5"/>
      <c r="L352" s="9"/>
      <c r="M352" s="11"/>
      <c r="N352" s="1"/>
      <c r="S352" s="10"/>
      <c r="T352" s="10"/>
    </row>
    <row r="353" spans="1:20" x14ac:dyDescent="0.2">
      <c r="A353" s="2"/>
      <c r="B353" s="2"/>
      <c r="C353" s="1"/>
      <c r="D353" s="1"/>
      <c r="E353" s="1"/>
      <c r="F353" s="1"/>
      <c r="G353" s="1"/>
      <c r="H353" s="5"/>
      <c r="I353" s="5"/>
      <c r="J353" s="9"/>
      <c r="K353" s="5"/>
      <c r="L353" s="9"/>
      <c r="M353" s="11"/>
      <c r="N353" s="1"/>
      <c r="S353" s="10"/>
      <c r="T353" s="10"/>
    </row>
    <row r="354" spans="1:20" x14ac:dyDescent="0.2">
      <c r="A354" s="2"/>
      <c r="B354" s="2"/>
      <c r="C354" s="1"/>
      <c r="D354" s="1"/>
      <c r="E354" s="1"/>
      <c r="F354" s="1"/>
      <c r="G354" s="1"/>
      <c r="H354" s="5"/>
      <c r="I354" s="5"/>
      <c r="J354" s="9"/>
      <c r="K354" s="5"/>
      <c r="L354" s="9"/>
      <c r="M354" s="11"/>
      <c r="N354" s="1"/>
      <c r="S354" s="10"/>
      <c r="T354" s="10"/>
    </row>
    <row r="355" spans="1:20" x14ac:dyDescent="0.2">
      <c r="A355" s="2"/>
      <c r="B355" s="2"/>
      <c r="C355" s="1"/>
      <c r="D355" s="1"/>
      <c r="E355" s="1"/>
      <c r="F355" s="1"/>
      <c r="G355" s="1"/>
      <c r="H355" s="5"/>
      <c r="I355" s="5"/>
      <c r="J355" s="9"/>
      <c r="K355" s="5"/>
      <c r="L355" s="9"/>
      <c r="M355" s="11"/>
      <c r="N355" s="1"/>
      <c r="S355" s="10"/>
      <c r="T355" s="10"/>
    </row>
    <row r="356" spans="1:20" x14ac:dyDescent="0.2">
      <c r="A356" s="2"/>
      <c r="B356" s="2"/>
      <c r="C356" s="1"/>
      <c r="D356" s="1"/>
      <c r="E356" s="1"/>
      <c r="F356" s="1"/>
      <c r="G356" s="1"/>
      <c r="H356" s="5"/>
      <c r="I356" s="5"/>
      <c r="J356" s="9"/>
      <c r="K356" s="5"/>
      <c r="L356" s="9"/>
      <c r="M356" s="11"/>
      <c r="N356" s="1"/>
      <c r="S356" s="10"/>
      <c r="T356" s="10"/>
    </row>
    <row r="357" spans="1:20" x14ac:dyDescent="0.2">
      <c r="A357" s="2"/>
      <c r="B357" s="2"/>
      <c r="C357" s="1"/>
      <c r="D357" s="1"/>
      <c r="E357" s="1"/>
      <c r="F357" s="1"/>
      <c r="G357" s="1"/>
      <c r="H357" s="5"/>
      <c r="I357" s="5"/>
      <c r="J357" s="9"/>
      <c r="K357" s="5"/>
      <c r="L357" s="9"/>
      <c r="M357" s="11"/>
      <c r="N357" s="1"/>
      <c r="S357" s="10"/>
      <c r="T357" s="10"/>
    </row>
    <row r="358" spans="1:20" x14ac:dyDescent="0.2">
      <c r="A358" s="2"/>
      <c r="B358" s="2"/>
      <c r="C358" s="1"/>
      <c r="D358" s="1"/>
      <c r="E358" s="1"/>
      <c r="F358" s="1"/>
      <c r="G358" s="1"/>
      <c r="H358" s="5"/>
      <c r="J358" s="9"/>
      <c r="K358" s="5"/>
      <c r="L358" s="9"/>
      <c r="M358" s="11"/>
      <c r="N358" s="1"/>
      <c r="S358" s="10"/>
      <c r="T358" s="10"/>
    </row>
    <row r="359" spans="1:20" x14ac:dyDescent="0.2">
      <c r="A359" s="2"/>
      <c r="B359" s="2"/>
      <c r="C359" s="1"/>
      <c r="D359" s="1"/>
      <c r="E359" s="1"/>
      <c r="F359" s="1"/>
      <c r="G359" s="1"/>
      <c r="H359" s="5"/>
      <c r="I359" s="5"/>
      <c r="J359" s="9"/>
      <c r="K359" s="5"/>
      <c r="L359" s="9"/>
      <c r="M359" s="11"/>
      <c r="N359" s="1"/>
      <c r="S359" s="10"/>
      <c r="T359" s="10"/>
    </row>
    <row r="360" spans="1:20" x14ac:dyDescent="0.2">
      <c r="A360" s="2"/>
      <c r="B360" s="2"/>
      <c r="C360" s="1"/>
      <c r="D360" s="1"/>
      <c r="E360" s="1"/>
      <c r="F360" s="1"/>
      <c r="G360" s="1"/>
      <c r="H360" s="5"/>
      <c r="I360" s="5"/>
      <c r="J360" s="9"/>
      <c r="K360" s="5"/>
      <c r="L360" s="9"/>
      <c r="M360" s="11"/>
      <c r="N360" s="1"/>
      <c r="S360" s="10"/>
      <c r="T360" s="10"/>
    </row>
    <row r="361" spans="1:20" x14ac:dyDescent="0.2">
      <c r="A361" s="2"/>
      <c r="B361" s="2"/>
      <c r="C361" s="1"/>
      <c r="D361" s="1"/>
      <c r="E361" s="1"/>
      <c r="F361" s="1"/>
      <c r="G361" s="1"/>
      <c r="H361" s="5"/>
      <c r="I361" s="5"/>
      <c r="J361" s="9"/>
      <c r="K361" s="5"/>
      <c r="L361" s="9"/>
      <c r="M361" s="11"/>
      <c r="N361" s="1"/>
      <c r="S361" s="10"/>
      <c r="T361" s="10"/>
    </row>
    <row r="362" spans="1:20" x14ac:dyDescent="0.2">
      <c r="A362" s="2"/>
      <c r="B362" s="2"/>
      <c r="C362" s="1"/>
      <c r="D362" s="1"/>
      <c r="E362" s="1"/>
      <c r="F362" s="1"/>
      <c r="G362" s="1"/>
      <c r="H362" s="5"/>
      <c r="I362" s="5"/>
      <c r="J362" s="9"/>
      <c r="K362" s="5"/>
      <c r="L362" s="9"/>
      <c r="M362" s="11"/>
      <c r="N362" s="1"/>
      <c r="S362" s="10"/>
      <c r="T362" s="10"/>
    </row>
    <row r="363" spans="1:20" x14ac:dyDescent="0.2">
      <c r="A363" s="2"/>
      <c r="B363" s="2"/>
      <c r="C363" s="1"/>
      <c r="D363" s="1"/>
      <c r="E363" s="1"/>
      <c r="F363" s="1"/>
      <c r="G363" s="1"/>
      <c r="H363" s="5"/>
      <c r="I363" s="5"/>
      <c r="J363" s="9"/>
      <c r="K363" s="5"/>
      <c r="L363" s="9"/>
      <c r="M363" s="11"/>
      <c r="N363" s="1"/>
      <c r="S363" s="10"/>
      <c r="T363" s="10"/>
    </row>
    <row r="364" spans="1:20" x14ac:dyDescent="0.2">
      <c r="A364" s="2"/>
      <c r="B364" s="2"/>
      <c r="C364" s="1"/>
      <c r="D364" s="1"/>
      <c r="E364" s="1"/>
      <c r="F364" s="1"/>
      <c r="G364" s="1"/>
      <c r="H364" s="5"/>
      <c r="I364" s="5"/>
      <c r="J364" s="9"/>
      <c r="K364" s="5"/>
      <c r="L364" s="9"/>
      <c r="M364" s="11"/>
      <c r="N364" s="1"/>
      <c r="S364" s="10"/>
      <c r="T364" s="10"/>
    </row>
    <row r="365" spans="1:20" x14ac:dyDescent="0.2">
      <c r="A365" s="2"/>
      <c r="B365" s="2"/>
      <c r="C365" s="1"/>
      <c r="D365" s="1"/>
      <c r="E365" s="1"/>
      <c r="F365" s="1"/>
      <c r="G365" s="1"/>
      <c r="H365" s="5"/>
      <c r="J365" s="9"/>
      <c r="K365" s="5"/>
      <c r="L365" s="9"/>
      <c r="M365" s="11"/>
      <c r="N365" s="1"/>
      <c r="S365" s="10"/>
      <c r="T365" s="10"/>
    </row>
    <row r="366" spans="1:20" x14ac:dyDescent="0.2">
      <c r="A366" s="2"/>
      <c r="B366" s="2"/>
      <c r="C366" s="1"/>
      <c r="D366" s="1"/>
      <c r="E366" s="1"/>
      <c r="F366" s="1"/>
      <c r="G366" s="1"/>
      <c r="H366" s="5"/>
      <c r="I366" s="5"/>
      <c r="J366" s="9"/>
      <c r="K366" s="5"/>
      <c r="L366" s="9"/>
      <c r="M366" s="11"/>
      <c r="N366" s="1"/>
      <c r="S366" s="10"/>
      <c r="T366" s="10"/>
    </row>
    <row r="367" spans="1:20" x14ac:dyDescent="0.2">
      <c r="A367" s="2"/>
      <c r="B367" s="2"/>
      <c r="C367" s="1"/>
      <c r="D367" s="1"/>
      <c r="E367" s="1"/>
      <c r="F367" s="1"/>
      <c r="G367" s="1"/>
      <c r="H367" s="5"/>
      <c r="I367" s="5"/>
      <c r="J367" s="9"/>
      <c r="K367" s="5"/>
      <c r="L367" s="9"/>
      <c r="M367" s="11"/>
      <c r="N367" s="1"/>
      <c r="S367" s="10"/>
      <c r="T367" s="10"/>
    </row>
    <row r="368" spans="1:20" x14ac:dyDescent="0.2">
      <c r="A368" s="2"/>
      <c r="B368" s="2"/>
      <c r="C368" s="1"/>
      <c r="D368" s="1"/>
      <c r="E368" s="1"/>
      <c r="F368" s="1"/>
      <c r="G368" s="1"/>
      <c r="H368" s="5"/>
      <c r="I368" s="5"/>
      <c r="J368" s="9"/>
      <c r="K368" s="5"/>
      <c r="L368" s="9"/>
      <c r="M368" s="11"/>
      <c r="N368" s="1"/>
      <c r="S368" s="10"/>
      <c r="T368" s="10"/>
    </row>
    <row r="369" spans="1:20" x14ac:dyDescent="0.2">
      <c r="A369" s="2"/>
      <c r="B369" s="2"/>
      <c r="C369" s="1"/>
      <c r="D369" s="1"/>
      <c r="E369" s="1"/>
      <c r="F369" s="1"/>
      <c r="G369" s="1"/>
      <c r="H369" s="5"/>
      <c r="I369" s="5"/>
      <c r="J369" s="9"/>
      <c r="K369" s="5"/>
      <c r="L369" s="9"/>
      <c r="M369" s="11"/>
      <c r="N369" s="1"/>
      <c r="S369" s="10"/>
      <c r="T369" s="10"/>
    </row>
    <row r="370" spans="1:20" x14ac:dyDescent="0.2">
      <c r="A370" s="2"/>
      <c r="B370" s="2"/>
      <c r="C370" s="1"/>
      <c r="D370" s="1"/>
      <c r="E370" s="1"/>
      <c r="F370" s="1"/>
      <c r="G370" s="1"/>
      <c r="H370" s="5"/>
      <c r="I370" s="5"/>
      <c r="J370" s="9"/>
      <c r="K370" s="5"/>
      <c r="L370" s="9"/>
      <c r="M370" s="11"/>
      <c r="N370" s="1"/>
      <c r="S370" s="10"/>
      <c r="T370" s="10"/>
    </row>
    <row r="371" spans="1:20" x14ac:dyDescent="0.2">
      <c r="A371" s="2"/>
      <c r="B371" s="2"/>
      <c r="C371" s="1"/>
      <c r="D371" s="1"/>
      <c r="E371" s="1"/>
      <c r="F371" s="1"/>
      <c r="G371" s="1"/>
      <c r="H371" s="5"/>
      <c r="I371" s="5"/>
      <c r="J371" s="9"/>
      <c r="K371" s="5"/>
      <c r="L371" s="9"/>
      <c r="M371" s="11"/>
      <c r="N371" s="1"/>
      <c r="S371" s="10"/>
      <c r="T371" s="10"/>
    </row>
    <row r="372" spans="1:20" x14ac:dyDescent="0.2">
      <c r="A372" s="2"/>
      <c r="B372" s="2"/>
      <c r="C372" s="1"/>
      <c r="D372" s="1"/>
      <c r="E372" s="1"/>
      <c r="F372" s="1"/>
      <c r="G372" s="1"/>
      <c r="H372" s="5"/>
      <c r="J372" s="9"/>
      <c r="K372" s="5"/>
      <c r="L372" s="9"/>
      <c r="M372" s="11"/>
      <c r="N372" s="1"/>
      <c r="S372" s="10"/>
      <c r="T372" s="10"/>
    </row>
    <row r="373" spans="1:20" x14ac:dyDescent="0.2">
      <c r="A373" s="2"/>
      <c r="B373" s="2"/>
      <c r="C373" s="1"/>
      <c r="D373" s="1"/>
      <c r="E373" s="1"/>
      <c r="F373" s="1"/>
      <c r="G373" s="1"/>
      <c r="H373" s="5"/>
      <c r="I373" s="5"/>
      <c r="J373" s="9"/>
      <c r="K373" s="5"/>
      <c r="L373" s="9"/>
      <c r="M373" s="11"/>
      <c r="N373" s="1"/>
      <c r="S373" s="10"/>
      <c r="T373" s="10"/>
    </row>
    <row r="374" spans="1:20" x14ac:dyDescent="0.2">
      <c r="A374" s="2"/>
      <c r="B374" s="2"/>
      <c r="C374" s="1"/>
      <c r="D374" s="1"/>
      <c r="E374" s="1"/>
      <c r="F374" s="1"/>
      <c r="G374" s="1"/>
      <c r="H374" s="5"/>
      <c r="I374" s="5"/>
      <c r="J374" s="9"/>
      <c r="K374" s="5"/>
      <c r="L374" s="9"/>
      <c r="M374" s="11"/>
      <c r="N374" s="1"/>
      <c r="S374" s="10"/>
      <c r="T374" s="10"/>
    </row>
    <row r="375" spans="1:20" x14ac:dyDescent="0.2">
      <c r="A375" s="2"/>
      <c r="B375" s="2"/>
      <c r="C375" s="1"/>
      <c r="D375" s="1"/>
      <c r="E375" s="1"/>
      <c r="F375" s="1"/>
      <c r="G375" s="1"/>
      <c r="H375" s="5"/>
      <c r="I375" s="5"/>
      <c r="J375" s="9"/>
      <c r="K375" s="5"/>
      <c r="L375" s="9"/>
      <c r="M375" s="11"/>
      <c r="N375" s="1"/>
      <c r="S375" s="10"/>
      <c r="T375" s="10"/>
    </row>
    <row r="376" spans="1:20" x14ac:dyDescent="0.2">
      <c r="A376" s="2"/>
      <c r="B376" s="2"/>
      <c r="C376" s="1"/>
      <c r="D376" s="1"/>
      <c r="E376" s="1"/>
      <c r="F376" s="1"/>
      <c r="G376" s="1"/>
      <c r="H376" s="5"/>
      <c r="I376" s="5"/>
      <c r="J376" s="9"/>
      <c r="K376" s="5"/>
      <c r="L376" s="9"/>
      <c r="M376" s="11"/>
      <c r="N376" s="1"/>
      <c r="S376" s="10"/>
      <c r="T376" s="10"/>
    </row>
    <row r="377" spans="1:20" x14ac:dyDescent="0.2">
      <c r="A377" s="2"/>
      <c r="B377" s="2"/>
      <c r="C377" s="1"/>
      <c r="D377" s="1"/>
      <c r="E377" s="1"/>
      <c r="F377" s="1"/>
      <c r="G377" s="1"/>
      <c r="H377" s="5"/>
      <c r="I377" s="5"/>
      <c r="J377" s="9"/>
      <c r="K377" s="5"/>
      <c r="L377" s="9"/>
      <c r="M377" s="11"/>
      <c r="N377" s="1"/>
      <c r="S377" s="10"/>
      <c r="T377" s="10"/>
    </row>
    <row r="378" spans="1:20" x14ac:dyDescent="0.2">
      <c r="A378" s="2"/>
      <c r="B378" s="2"/>
      <c r="C378" s="1"/>
      <c r="D378" s="1"/>
      <c r="E378" s="1"/>
      <c r="F378" s="1"/>
      <c r="G378" s="1"/>
      <c r="H378" s="5"/>
      <c r="I378" s="5"/>
      <c r="J378" s="9"/>
      <c r="K378" s="5"/>
      <c r="L378" s="9"/>
      <c r="M378" s="11"/>
      <c r="N378" s="1"/>
      <c r="S378" s="10"/>
      <c r="T378" s="10"/>
    </row>
    <row r="379" spans="1:20" x14ac:dyDescent="0.2">
      <c r="A379" s="2"/>
      <c r="B379" s="2"/>
      <c r="C379" s="1"/>
      <c r="D379" s="1"/>
      <c r="E379" s="1"/>
      <c r="F379" s="1"/>
      <c r="G379" s="1"/>
      <c r="H379" s="5"/>
      <c r="J379" s="9"/>
      <c r="K379" s="5"/>
      <c r="L379" s="9"/>
      <c r="M379" s="11"/>
      <c r="N379" s="1"/>
      <c r="S379" s="10"/>
      <c r="T379" s="10"/>
    </row>
    <row r="380" spans="1:20" x14ac:dyDescent="0.2">
      <c r="A380" s="2"/>
      <c r="B380" s="2"/>
      <c r="C380" s="1"/>
      <c r="D380" s="1"/>
      <c r="E380" s="1"/>
      <c r="F380" s="1"/>
      <c r="G380" s="1"/>
      <c r="H380" s="5"/>
      <c r="I380" s="5"/>
      <c r="J380" s="9"/>
      <c r="K380" s="5"/>
      <c r="L380" s="9"/>
      <c r="M380" s="11"/>
      <c r="N380" s="1"/>
      <c r="S380" s="10"/>
      <c r="T380" s="10"/>
    </row>
    <row r="381" spans="1:20" x14ac:dyDescent="0.2">
      <c r="A381" s="2"/>
      <c r="B381" s="2"/>
      <c r="C381" s="1"/>
      <c r="D381" s="1"/>
      <c r="E381" s="1"/>
      <c r="F381" s="1"/>
      <c r="G381" s="1"/>
      <c r="H381" s="5"/>
      <c r="I381" s="5"/>
      <c r="J381" s="9"/>
      <c r="K381" s="5"/>
      <c r="L381" s="9"/>
      <c r="M381" s="11"/>
      <c r="N381" s="1"/>
      <c r="S381" s="10"/>
      <c r="T381" s="10"/>
    </row>
    <row r="382" spans="1:20" x14ac:dyDescent="0.2">
      <c r="A382" s="2"/>
      <c r="B382" s="2"/>
      <c r="C382" s="1"/>
      <c r="D382" s="1"/>
      <c r="E382" s="1"/>
      <c r="F382" s="1"/>
      <c r="G382" s="1"/>
      <c r="H382" s="5"/>
      <c r="I382" s="5"/>
      <c r="J382" s="9"/>
      <c r="K382" s="5"/>
      <c r="L382" s="9"/>
      <c r="M382" s="11"/>
      <c r="N382" s="1"/>
      <c r="S382" s="10"/>
      <c r="T382" s="10"/>
    </row>
    <row r="383" spans="1:20" x14ac:dyDescent="0.2">
      <c r="A383" s="2"/>
      <c r="B383" s="2"/>
      <c r="C383" s="1"/>
      <c r="D383" s="1"/>
      <c r="E383" s="1"/>
      <c r="F383" s="1"/>
      <c r="G383" s="1"/>
      <c r="H383" s="5"/>
      <c r="I383" s="5"/>
      <c r="J383" s="9"/>
      <c r="K383" s="5"/>
      <c r="L383" s="9"/>
      <c r="M383" s="11"/>
      <c r="N383" s="1"/>
      <c r="S383" s="10"/>
      <c r="T383" s="10"/>
    </row>
    <row r="384" spans="1:20" x14ac:dyDescent="0.2">
      <c r="A384" s="2"/>
      <c r="B384" s="2"/>
      <c r="C384" s="1"/>
      <c r="D384" s="1"/>
      <c r="E384" s="1"/>
      <c r="F384" s="1"/>
      <c r="G384" s="1"/>
      <c r="H384" s="5"/>
      <c r="I384" s="5"/>
      <c r="J384" s="9"/>
      <c r="K384" s="5"/>
      <c r="L384" s="9"/>
      <c r="M384" s="11"/>
      <c r="N384" s="1"/>
      <c r="S384" s="10"/>
      <c r="T384" s="10"/>
    </row>
    <row r="385" spans="1:20" x14ac:dyDescent="0.2">
      <c r="A385" s="2"/>
      <c r="B385" s="2"/>
      <c r="C385" s="1"/>
      <c r="D385" s="1"/>
      <c r="E385" s="1"/>
      <c r="F385" s="1"/>
      <c r="G385" s="1"/>
      <c r="H385" s="5"/>
      <c r="I385" s="5"/>
      <c r="J385" s="9"/>
      <c r="K385" s="5"/>
      <c r="L385" s="9"/>
      <c r="M385" s="11"/>
      <c r="N385" s="1"/>
      <c r="S385" s="10"/>
      <c r="T385" s="10"/>
    </row>
    <row r="386" spans="1:20" x14ac:dyDescent="0.2">
      <c r="A386" s="2"/>
      <c r="B386" s="2"/>
      <c r="C386" s="1"/>
      <c r="D386" s="1"/>
      <c r="E386" s="1"/>
      <c r="F386" s="1"/>
      <c r="G386" s="1"/>
      <c r="H386" s="5"/>
      <c r="I386" s="5"/>
      <c r="J386" s="9"/>
      <c r="K386" s="5"/>
      <c r="L386" s="9"/>
      <c r="M386" s="11"/>
      <c r="N386" s="1"/>
      <c r="S386" s="10"/>
      <c r="T386" s="10"/>
    </row>
    <row r="387" spans="1:20" x14ac:dyDescent="0.2">
      <c r="A387" s="2"/>
      <c r="B387" s="2"/>
      <c r="C387" s="1"/>
      <c r="D387" s="1"/>
      <c r="E387" s="1"/>
      <c r="F387" s="1"/>
      <c r="G387" s="1"/>
      <c r="H387" s="5"/>
      <c r="I387" s="5"/>
      <c r="J387" s="9"/>
      <c r="K387" s="5"/>
      <c r="L387" s="9"/>
      <c r="M387" s="11"/>
      <c r="N387" s="1"/>
      <c r="S387" s="10"/>
      <c r="T387" s="10"/>
    </row>
    <row r="388" spans="1:20" x14ac:dyDescent="0.2">
      <c r="A388" s="2"/>
      <c r="B388" s="2"/>
      <c r="C388" s="1"/>
      <c r="D388" s="1"/>
      <c r="E388" s="1"/>
      <c r="F388" s="1"/>
      <c r="G388" s="1"/>
      <c r="H388" s="5"/>
      <c r="I388" s="5"/>
      <c r="J388" s="9"/>
      <c r="K388" s="5"/>
      <c r="L388" s="9"/>
      <c r="M388" s="11"/>
      <c r="N388" s="1"/>
      <c r="S388" s="10"/>
      <c r="T388" s="10"/>
    </row>
    <row r="389" spans="1:20" x14ac:dyDescent="0.2">
      <c r="A389" s="2"/>
      <c r="B389" s="2"/>
      <c r="C389" s="1"/>
      <c r="D389" s="1"/>
      <c r="E389" s="1"/>
      <c r="F389" s="1"/>
      <c r="G389" s="1"/>
      <c r="H389" s="5"/>
      <c r="I389" s="5"/>
      <c r="J389" s="9"/>
      <c r="K389" s="5"/>
      <c r="L389" s="9"/>
      <c r="M389" s="11"/>
      <c r="N389" s="1"/>
      <c r="S389" s="10"/>
      <c r="T389" s="10"/>
    </row>
    <row r="390" spans="1:20" x14ac:dyDescent="0.2">
      <c r="A390" s="2"/>
      <c r="B390" s="2"/>
      <c r="C390" s="1"/>
      <c r="D390" s="1"/>
      <c r="E390" s="1"/>
      <c r="F390" s="1"/>
      <c r="G390" s="1"/>
      <c r="H390" s="5"/>
      <c r="I390" s="5"/>
      <c r="J390" s="9"/>
      <c r="K390" s="5"/>
      <c r="L390" s="9"/>
      <c r="M390" s="11"/>
      <c r="N390" s="1"/>
      <c r="S390" s="10"/>
      <c r="T390" s="10"/>
    </row>
    <row r="391" spans="1:20" x14ac:dyDescent="0.2">
      <c r="A391" s="2"/>
      <c r="B391" s="2"/>
      <c r="C391" s="1"/>
      <c r="D391" s="1"/>
      <c r="E391" s="1"/>
      <c r="F391" s="1"/>
      <c r="G391" s="1"/>
      <c r="H391" s="5"/>
      <c r="I391" s="5"/>
      <c r="J391" s="9"/>
      <c r="K391" s="5"/>
      <c r="L391" s="9"/>
      <c r="M391" s="11"/>
      <c r="N391" s="1"/>
      <c r="S391" s="10"/>
      <c r="T391" s="10"/>
    </row>
    <row r="392" spans="1:20" x14ac:dyDescent="0.2">
      <c r="A392" s="2"/>
      <c r="B392" s="2"/>
      <c r="C392" s="1"/>
      <c r="D392" s="1"/>
      <c r="E392" s="1"/>
      <c r="F392" s="1"/>
      <c r="G392" s="1"/>
      <c r="H392" s="5"/>
      <c r="I392" s="5"/>
      <c r="J392" s="9"/>
      <c r="K392" s="5"/>
      <c r="L392" s="9"/>
      <c r="M392" s="11"/>
      <c r="N392" s="1"/>
      <c r="S392" s="10"/>
      <c r="T392" s="10"/>
    </row>
    <row r="393" spans="1:20" x14ac:dyDescent="0.2">
      <c r="A393" s="2"/>
      <c r="B393" s="2"/>
      <c r="C393" s="1"/>
      <c r="D393" s="1"/>
      <c r="E393" s="1"/>
      <c r="F393" s="1"/>
      <c r="G393" s="1"/>
      <c r="H393" s="5"/>
      <c r="I393" s="5"/>
      <c r="J393" s="9"/>
      <c r="K393" s="5"/>
      <c r="L393" s="9"/>
      <c r="M393" s="11"/>
      <c r="N393" s="1"/>
      <c r="S393" s="10"/>
      <c r="T393" s="10"/>
    </row>
    <row r="394" spans="1:20" x14ac:dyDescent="0.2">
      <c r="A394" s="2"/>
      <c r="B394" s="2"/>
      <c r="C394" s="1"/>
      <c r="D394" s="1"/>
      <c r="E394" s="1"/>
      <c r="F394" s="1"/>
      <c r="G394" s="1"/>
      <c r="H394" s="5"/>
      <c r="I394" s="5"/>
      <c r="J394" s="9"/>
      <c r="K394" s="5"/>
      <c r="L394" s="9"/>
      <c r="M394" s="11"/>
      <c r="N394" s="1"/>
      <c r="S394" s="10"/>
      <c r="T394" s="10"/>
    </row>
    <row r="395" spans="1:20" x14ac:dyDescent="0.2">
      <c r="A395" s="2"/>
      <c r="B395" s="2"/>
      <c r="C395" s="1"/>
      <c r="D395" s="1"/>
      <c r="E395" s="1"/>
      <c r="F395" s="1"/>
      <c r="G395" s="1"/>
      <c r="H395" s="5"/>
      <c r="I395" s="5"/>
      <c r="J395" s="9"/>
      <c r="K395" s="5"/>
      <c r="L395" s="9"/>
      <c r="M395" s="11"/>
      <c r="N395" s="1"/>
      <c r="S395" s="10"/>
      <c r="T395" s="10"/>
    </row>
    <row r="396" spans="1:20" x14ac:dyDescent="0.2">
      <c r="A396" s="2"/>
      <c r="B396" s="2"/>
      <c r="C396" s="1"/>
      <c r="D396" s="1"/>
      <c r="E396" s="1"/>
      <c r="F396" s="1"/>
      <c r="G396" s="1"/>
      <c r="H396" s="5"/>
      <c r="I396" s="5"/>
      <c r="J396" s="9"/>
      <c r="K396" s="5"/>
      <c r="L396" s="9"/>
      <c r="M396" s="11"/>
      <c r="N396" s="1"/>
      <c r="S396" s="10"/>
      <c r="T396" s="10"/>
    </row>
    <row r="397" spans="1:20" x14ac:dyDescent="0.2">
      <c r="A397" s="2"/>
      <c r="B397" s="2"/>
      <c r="C397" s="1"/>
      <c r="D397" s="1"/>
      <c r="E397" s="1"/>
      <c r="F397" s="1"/>
      <c r="G397" s="1"/>
      <c r="H397" s="5"/>
      <c r="I397" s="5"/>
      <c r="J397" s="9"/>
      <c r="K397" s="5"/>
      <c r="L397" s="9"/>
      <c r="M397" s="11"/>
      <c r="N397" s="1"/>
      <c r="S397" s="10"/>
      <c r="T397" s="10"/>
    </row>
    <row r="398" spans="1:20" x14ac:dyDescent="0.2">
      <c r="A398" s="2"/>
      <c r="B398" s="2"/>
      <c r="C398" s="1"/>
      <c r="D398" s="1"/>
      <c r="E398" s="1"/>
      <c r="F398" s="1"/>
      <c r="G398" s="1"/>
      <c r="H398" s="5"/>
      <c r="I398" s="5"/>
      <c r="J398" s="9"/>
      <c r="K398" s="5"/>
      <c r="L398" s="9"/>
      <c r="M398" s="11"/>
      <c r="N398" s="1"/>
      <c r="S398" s="10"/>
      <c r="T398" s="10"/>
    </row>
    <row r="399" spans="1:20" x14ac:dyDescent="0.2">
      <c r="A399" s="2"/>
      <c r="B399" s="2"/>
      <c r="C399" s="1"/>
      <c r="D399" s="1"/>
      <c r="E399" s="1"/>
      <c r="F399" s="1"/>
      <c r="G399" s="1"/>
      <c r="H399" s="5"/>
      <c r="I399" s="5"/>
      <c r="J399" s="9"/>
      <c r="K399" s="5"/>
      <c r="L399" s="9"/>
      <c r="M399" s="11"/>
      <c r="N399" s="1"/>
      <c r="S399" s="10"/>
      <c r="T399" s="10"/>
    </row>
    <row r="400" spans="1:20" x14ac:dyDescent="0.2">
      <c r="A400" s="2"/>
      <c r="B400" s="2"/>
      <c r="C400" s="1"/>
      <c r="D400" s="1"/>
      <c r="E400" s="1"/>
      <c r="F400" s="1"/>
      <c r="G400" s="1"/>
      <c r="H400" s="5"/>
      <c r="I400" s="5"/>
      <c r="J400" s="9"/>
      <c r="K400" s="5"/>
      <c r="L400" s="9"/>
      <c r="M400" s="11"/>
      <c r="N400" s="1"/>
      <c r="S400" s="10"/>
      <c r="T400" s="10"/>
    </row>
    <row r="401" spans="1:20" x14ac:dyDescent="0.2">
      <c r="A401" s="2"/>
      <c r="B401" s="2"/>
      <c r="C401" s="1"/>
      <c r="D401" s="1"/>
      <c r="E401" s="1"/>
      <c r="F401" s="1"/>
      <c r="G401" s="1"/>
      <c r="H401" s="5"/>
      <c r="I401" s="5"/>
      <c r="J401" s="9"/>
      <c r="K401" s="5"/>
      <c r="L401" s="9"/>
      <c r="M401" s="11"/>
      <c r="N401" s="1"/>
      <c r="S401" s="10"/>
      <c r="T401" s="10"/>
    </row>
    <row r="402" spans="1:20" x14ac:dyDescent="0.2">
      <c r="A402" s="2"/>
      <c r="B402" s="2"/>
      <c r="C402" s="1"/>
      <c r="D402" s="1"/>
      <c r="E402" s="1"/>
      <c r="F402" s="1"/>
      <c r="G402" s="1"/>
      <c r="H402" s="5"/>
      <c r="I402" s="5"/>
      <c r="J402" s="9"/>
      <c r="K402" s="5"/>
      <c r="L402" s="9"/>
      <c r="M402" s="11"/>
      <c r="N402" s="1"/>
      <c r="S402" s="10"/>
      <c r="T402" s="10"/>
    </row>
    <row r="403" spans="1:20" x14ac:dyDescent="0.2">
      <c r="A403" s="2"/>
      <c r="B403" s="2"/>
      <c r="C403" s="1"/>
      <c r="D403" s="1"/>
      <c r="E403" s="1"/>
      <c r="F403" s="1"/>
      <c r="G403" s="1"/>
      <c r="H403" s="5"/>
      <c r="I403" s="5"/>
      <c r="J403" s="9"/>
      <c r="K403" s="5"/>
      <c r="L403" s="9"/>
      <c r="M403" s="11"/>
      <c r="N403" s="1"/>
      <c r="S403" s="10"/>
      <c r="T403" s="10"/>
    </row>
    <row r="404" spans="1:20" x14ac:dyDescent="0.2">
      <c r="A404" s="2"/>
      <c r="B404" s="2"/>
      <c r="C404" s="1"/>
      <c r="D404" s="1"/>
      <c r="E404" s="1"/>
      <c r="F404" s="1"/>
      <c r="G404" s="1"/>
      <c r="H404" s="5"/>
      <c r="I404" s="5"/>
      <c r="J404" s="9"/>
      <c r="K404" s="5"/>
      <c r="L404" s="9"/>
      <c r="M404" s="11"/>
      <c r="N404" s="1"/>
      <c r="S404" s="10"/>
      <c r="T404" s="10"/>
    </row>
    <row r="405" spans="1:20" x14ac:dyDescent="0.2">
      <c r="A405" s="2"/>
      <c r="B405" s="2"/>
      <c r="C405" s="1"/>
      <c r="D405" s="1"/>
      <c r="E405" s="1"/>
      <c r="F405" s="1"/>
      <c r="G405" s="1"/>
      <c r="H405" s="5"/>
      <c r="I405" s="5"/>
      <c r="J405" s="9"/>
      <c r="K405" s="5"/>
      <c r="L405" s="9"/>
      <c r="M405" s="11"/>
      <c r="N405" s="1"/>
      <c r="S405" s="10"/>
      <c r="T405" s="10"/>
    </row>
    <row r="406" spans="1:20" x14ac:dyDescent="0.2">
      <c r="A406" s="2"/>
      <c r="B406" s="2"/>
      <c r="C406" s="1"/>
      <c r="D406" s="1"/>
      <c r="E406" s="1"/>
      <c r="F406" s="1"/>
      <c r="G406" s="1"/>
      <c r="H406" s="5"/>
      <c r="I406" s="5"/>
      <c r="J406" s="9"/>
      <c r="K406" s="5"/>
      <c r="L406" s="9"/>
      <c r="M406" s="11"/>
      <c r="N406" s="1"/>
      <c r="S406" s="10"/>
      <c r="T406" s="10"/>
    </row>
    <row r="407" spans="1:20" x14ac:dyDescent="0.2">
      <c r="A407" s="2"/>
      <c r="B407" s="2"/>
      <c r="C407" s="1"/>
      <c r="D407" s="1"/>
      <c r="E407" s="1"/>
      <c r="F407" s="1"/>
      <c r="G407" s="1"/>
      <c r="H407" s="5"/>
      <c r="I407" s="5"/>
      <c r="J407" s="9"/>
      <c r="K407" s="5"/>
      <c r="L407" s="9"/>
      <c r="M407" s="11"/>
      <c r="N407" s="1"/>
      <c r="S407" s="10"/>
      <c r="T407" s="10"/>
    </row>
    <row r="408" spans="1:20" x14ac:dyDescent="0.2">
      <c r="A408" s="2"/>
      <c r="B408" s="2"/>
      <c r="C408" s="1"/>
      <c r="D408" s="1"/>
      <c r="E408" s="1"/>
      <c r="F408" s="1"/>
      <c r="G408" s="1"/>
      <c r="H408" s="5"/>
      <c r="I408" s="5"/>
      <c r="J408" s="9"/>
      <c r="K408" s="5"/>
      <c r="L408" s="9"/>
      <c r="M408" s="11"/>
      <c r="N408" s="1"/>
      <c r="S408" s="10"/>
      <c r="T408" s="10"/>
    </row>
    <row r="409" spans="1:20" x14ac:dyDescent="0.2">
      <c r="A409" s="2"/>
      <c r="B409" s="2"/>
      <c r="C409" s="1"/>
      <c r="D409" s="1"/>
      <c r="E409" s="1"/>
      <c r="F409" s="1"/>
      <c r="G409" s="1"/>
      <c r="H409" s="5"/>
      <c r="I409" s="5"/>
      <c r="J409" s="9"/>
      <c r="K409" s="5"/>
      <c r="L409" s="9"/>
      <c r="M409" s="11"/>
      <c r="N409" s="1"/>
      <c r="S409" s="10"/>
      <c r="T409" s="10"/>
    </row>
    <row r="410" spans="1:20" x14ac:dyDescent="0.2">
      <c r="A410" s="2"/>
      <c r="B410" s="2"/>
      <c r="C410" s="1"/>
      <c r="D410" s="1"/>
      <c r="E410" s="1"/>
      <c r="F410" s="1"/>
      <c r="G410" s="1"/>
      <c r="H410" s="5"/>
      <c r="I410" s="5"/>
      <c r="J410" s="9"/>
      <c r="K410" s="5"/>
      <c r="L410" s="9"/>
      <c r="M410" s="11"/>
      <c r="N410" s="1"/>
      <c r="S410" s="10"/>
      <c r="T410" s="10"/>
    </row>
    <row r="411" spans="1:20" x14ac:dyDescent="0.2">
      <c r="A411" s="2"/>
      <c r="B411" s="2"/>
      <c r="C411" s="1"/>
      <c r="D411" s="1"/>
      <c r="E411" s="1"/>
      <c r="F411" s="1"/>
      <c r="G411" s="1"/>
      <c r="H411" s="5"/>
      <c r="I411" s="5"/>
      <c r="J411" s="9"/>
      <c r="K411" s="5"/>
      <c r="L411" s="9"/>
      <c r="M411" s="11"/>
      <c r="N411" s="1"/>
      <c r="S411" s="10"/>
      <c r="T411" s="10"/>
    </row>
    <row r="412" spans="1:20" x14ac:dyDescent="0.2">
      <c r="A412" s="2"/>
      <c r="B412" s="2"/>
      <c r="C412" s="1"/>
      <c r="D412" s="1"/>
      <c r="E412" s="1"/>
      <c r="F412" s="1"/>
      <c r="G412" s="1"/>
      <c r="H412" s="5"/>
      <c r="I412" s="5"/>
      <c r="J412" s="9"/>
      <c r="K412" s="5"/>
      <c r="L412" s="9"/>
      <c r="M412" s="11"/>
      <c r="N412" s="1"/>
      <c r="S412" s="10"/>
      <c r="T412" s="10"/>
    </row>
    <row r="413" spans="1:20" x14ac:dyDescent="0.2">
      <c r="A413" s="2"/>
      <c r="B413" s="2"/>
      <c r="C413" s="1"/>
      <c r="D413" s="1"/>
      <c r="E413" s="1"/>
      <c r="F413" s="1"/>
      <c r="G413" s="1"/>
      <c r="H413" s="5"/>
      <c r="I413" s="5"/>
      <c r="J413" s="9"/>
      <c r="K413" s="5"/>
      <c r="L413" s="9"/>
      <c r="M413" s="11"/>
      <c r="N413" s="1"/>
      <c r="S413" s="10"/>
      <c r="T413" s="10"/>
    </row>
    <row r="414" spans="1:20" x14ac:dyDescent="0.2">
      <c r="A414" s="2"/>
      <c r="B414" s="2"/>
      <c r="C414" s="1"/>
      <c r="D414" s="1"/>
      <c r="E414" s="1"/>
      <c r="F414" s="1"/>
      <c r="G414" s="1"/>
      <c r="H414" s="5"/>
      <c r="I414" s="5"/>
      <c r="J414" s="9"/>
      <c r="K414" s="5"/>
      <c r="L414" s="9"/>
      <c r="M414" s="11"/>
      <c r="N414" s="1"/>
      <c r="S414" s="10"/>
      <c r="T414" s="10"/>
    </row>
    <row r="415" spans="1:20" x14ac:dyDescent="0.2">
      <c r="A415" s="2"/>
      <c r="B415" s="2"/>
      <c r="C415" s="1"/>
      <c r="D415" s="1"/>
      <c r="E415" s="1"/>
      <c r="F415" s="1"/>
      <c r="G415" s="1"/>
      <c r="H415" s="5"/>
      <c r="I415" s="5"/>
      <c r="J415" s="9"/>
      <c r="K415" s="5"/>
      <c r="L415" s="9"/>
      <c r="M415" s="11"/>
      <c r="N415" s="1"/>
      <c r="S415" s="10"/>
      <c r="T415" s="10"/>
    </row>
    <row r="416" spans="1:20" x14ac:dyDescent="0.2">
      <c r="A416" s="2"/>
      <c r="B416" s="2"/>
      <c r="C416" s="1"/>
      <c r="D416" s="1"/>
      <c r="E416" s="1"/>
      <c r="F416" s="1"/>
      <c r="G416" s="1"/>
      <c r="H416" s="5"/>
      <c r="I416" s="5"/>
      <c r="J416" s="9"/>
      <c r="K416" s="5"/>
      <c r="L416" s="9"/>
      <c r="M416" s="11"/>
      <c r="N416" s="1"/>
      <c r="S416" s="10"/>
      <c r="T416" s="10"/>
    </row>
    <row r="417" spans="1:20" x14ac:dyDescent="0.2">
      <c r="A417" s="2"/>
      <c r="B417" s="2"/>
      <c r="C417" s="1"/>
      <c r="D417" s="1"/>
      <c r="E417" s="1"/>
      <c r="F417" s="1"/>
      <c r="G417" s="1"/>
      <c r="H417" s="5"/>
      <c r="I417" s="5"/>
      <c r="J417" s="9"/>
      <c r="K417" s="5"/>
      <c r="L417" s="9"/>
      <c r="M417" s="11"/>
      <c r="N417" s="1"/>
      <c r="S417" s="10"/>
      <c r="T417" s="10"/>
    </row>
    <row r="418" spans="1:20" x14ac:dyDescent="0.2">
      <c r="A418" s="2"/>
      <c r="B418" s="2"/>
      <c r="C418" s="1"/>
      <c r="D418" s="1"/>
      <c r="E418" s="1"/>
      <c r="F418" s="1"/>
      <c r="G418" s="1"/>
      <c r="H418" s="5"/>
      <c r="I418" s="5"/>
      <c r="J418" s="9"/>
      <c r="K418" s="5"/>
      <c r="L418" s="9"/>
      <c r="M418" s="11"/>
      <c r="N418" s="1"/>
      <c r="S418" s="10"/>
      <c r="T418" s="10"/>
    </row>
    <row r="419" spans="1:20" x14ac:dyDescent="0.2">
      <c r="A419" s="2"/>
      <c r="B419" s="2"/>
      <c r="C419" s="1"/>
      <c r="D419" s="1"/>
      <c r="E419" s="1"/>
      <c r="F419" s="1"/>
      <c r="G419" s="1"/>
      <c r="H419" s="5"/>
      <c r="I419" s="5"/>
      <c r="J419" s="9"/>
      <c r="K419" s="5"/>
      <c r="L419" s="9"/>
      <c r="M419" s="11"/>
      <c r="N419" s="1"/>
      <c r="S419" s="10"/>
      <c r="T419" s="10"/>
    </row>
    <row r="420" spans="1:20" x14ac:dyDescent="0.2">
      <c r="A420" s="2"/>
      <c r="B420" s="2"/>
      <c r="C420" s="1"/>
      <c r="D420" s="1"/>
      <c r="E420" s="1"/>
      <c r="F420" s="1"/>
      <c r="G420" s="1"/>
      <c r="H420" s="5"/>
      <c r="I420" s="5"/>
      <c r="J420" s="9"/>
      <c r="K420" s="5"/>
      <c r="L420" s="9"/>
      <c r="M420" s="11"/>
      <c r="N420" s="1"/>
      <c r="S420" s="10"/>
      <c r="T420" s="10"/>
    </row>
    <row r="421" spans="1:20" x14ac:dyDescent="0.2">
      <c r="A421" s="2"/>
      <c r="B421" s="2"/>
      <c r="C421" s="1"/>
      <c r="D421" s="1"/>
      <c r="E421" s="1"/>
      <c r="F421" s="1"/>
      <c r="G421" s="1"/>
      <c r="H421" s="5"/>
      <c r="I421" s="5"/>
      <c r="J421" s="9"/>
      <c r="K421" s="5"/>
      <c r="L421" s="9"/>
      <c r="M421" s="11"/>
      <c r="N421" s="1"/>
      <c r="S421" s="10"/>
      <c r="T421" s="10"/>
    </row>
    <row r="422" spans="1:20" x14ac:dyDescent="0.2">
      <c r="A422" s="2"/>
      <c r="B422" s="2"/>
      <c r="C422" s="1"/>
      <c r="D422" s="1"/>
      <c r="E422" s="1"/>
      <c r="F422" s="1"/>
      <c r="G422" s="1"/>
      <c r="H422" s="5"/>
      <c r="I422" s="5"/>
      <c r="J422" s="9"/>
      <c r="K422" s="5"/>
      <c r="L422" s="9"/>
      <c r="M422" s="11"/>
      <c r="N422" s="1"/>
      <c r="S422" s="10"/>
      <c r="T422" s="10"/>
    </row>
    <row r="423" spans="1:20" x14ac:dyDescent="0.2">
      <c r="A423" s="2"/>
      <c r="B423" s="2"/>
      <c r="C423" s="1"/>
      <c r="D423" s="1"/>
      <c r="E423" s="1"/>
      <c r="F423" s="1"/>
      <c r="G423" s="1"/>
      <c r="H423" s="5"/>
      <c r="I423" s="5"/>
      <c r="J423" s="9"/>
      <c r="K423" s="5"/>
      <c r="L423" s="9"/>
      <c r="M423" s="11"/>
      <c r="N423" s="1"/>
      <c r="S423" s="10"/>
      <c r="T423" s="10"/>
    </row>
    <row r="424" spans="1:20" x14ac:dyDescent="0.2">
      <c r="A424" s="2"/>
      <c r="B424" s="2"/>
      <c r="C424" s="1"/>
      <c r="D424" s="1"/>
      <c r="E424" s="1"/>
      <c r="F424" s="1"/>
      <c r="G424" s="1"/>
      <c r="H424" s="5"/>
      <c r="I424" s="5"/>
      <c r="J424" s="9"/>
      <c r="K424" s="5"/>
      <c r="L424" s="9"/>
      <c r="M424" s="11"/>
      <c r="N424" s="1"/>
      <c r="S424" s="10"/>
      <c r="T424" s="10"/>
    </row>
    <row r="425" spans="1:20" x14ac:dyDescent="0.2">
      <c r="A425" s="2"/>
      <c r="B425" s="2"/>
      <c r="C425" s="1"/>
      <c r="D425" s="1"/>
      <c r="E425" s="1"/>
      <c r="F425" s="1"/>
      <c r="G425" s="1"/>
      <c r="H425" s="5"/>
      <c r="I425" s="5"/>
      <c r="J425" s="9"/>
      <c r="K425" s="5"/>
      <c r="L425" s="9"/>
      <c r="M425" s="11"/>
      <c r="N425" s="1"/>
      <c r="S425" s="10"/>
      <c r="T425" s="10"/>
    </row>
    <row r="426" spans="1:20" x14ac:dyDescent="0.2">
      <c r="A426" s="2"/>
      <c r="B426" s="2"/>
      <c r="C426" s="1"/>
      <c r="D426" s="1"/>
      <c r="E426" s="1"/>
      <c r="F426" s="1"/>
      <c r="G426" s="1"/>
      <c r="H426" s="5"/>
      <c r="I426" s="5"/>
      <c r="J426" s="9"/>
      <c r="K426" s="5"/>
      <c r="L426" s="9"/>
      <c r="M426" s="11"/>
      <c r="N426" s="1"/>
      <c r="S426" s="10"/>
      <c r="T426" s="10"/>
    </row>
    <row r="427" spans="1:20" x14ac:dyDescent="0.2">
      <c r="A427" s="2"/>
      <c r="B427" s="2"/>
      <c r="C427" s="1"/>
      <c r="D427" s="1"/>
      <c r="E427" s="1"/>
      <c r="F427" s="1"/>
      <c r="G427" s="1"/>
      <c r="H427" s="5"/>
      <c r="I427" s="5"/>
      <c r="J427" s="9"/>
      <c r="K427" s="5"/>
      <c r="L427" s="9"/>
      <c r="M427" s="11"/>
      <c r="N427" s="1"/>
      <c r="S427" s="10"/>
      <c r="T427" s="10"/>
    </row>
    <row r="428" spans="1:20" x14ac:dyDescent="0.2">
      <c r="A428" s="2"/>
      <c r="B428" s="2"/>
      <c r="C428" s="1"/>
      <c r="D428" s="1"/>
      <c r="E428" s="1"/>
      <c r="F428" s="1"/>
      <c r="G428" s="1"/>
      <c r="H428" s="5"/>
      <c r="I428" s="5"/>
      <c r="J428" s="9"/>
      <c r="K428" s="5"/>
      <c r="L428" s="9"/>
      <c r="M428" s="11"/>
      <c r="N428" s="1"/>
      <c r="S428" s="10"/>
      <c r="T428" s="10"/>
    </row>
    <row r="429" spans="1:20" x14ac:dyDescent="0.2">
      <c r="A429" s="2"/>
      <c r="B429" s="2"/>
      <c r="C429" s="1"/>
      <c r="D429" s="1"/>
      <c r="E429" s="1"/>
      <c r="F429" s="1"/>
      <c r="G429" s="1"/>
      <c r="H429" s="5"/>
      <c r="I429" s="5"/>
      <c r="J429" s="9"/>
      <c r="K429" s="5"/>
      <c r="L429" s="9"/>
      <c r="M429" s="11"/>
      <c r="N429" s="1"/>
      <c r="S429" s="10"/>
      <c r="T429" s="10"/>
    </row>
    <row r="430" spans="1:20" x14ac:dyDescent="0.2">
      <c r="A430" s="2"/>
      <c r="B430" s="2"/>
      <c r="C430" s="1"/>
      <c r="D430" s="1"/>
      <c r="E430" s="1"/>
      <c r="F430" s="1"/>
      <c r="G430" s="1"/>
      <c r="H430" s="5"/>
      <c r="I430" s="5"/>
      <c r="J430" s="9"/>
      <c r="K430" s="5"/>
      <c r="L430" s="9"/>
      <c r="M430" s="11"/>
      <c r="N430" s="1"/>
      <c r="S430" s="10"/>
      <c r="T430" s="10"/>
    </row>
    <row r="431" spans="1:20" x14ac:dyDescent="0.2">
      <c r="A431" s="2"/>
      <c r="B431" s="2"/>
      <c r="C431" s="1"/>
      <c r="D431" s="1"/>
      <c r="E431" s="1"/>
      <c r="F431" s="1"/>
      <c r="G431" s="1"/>
      <c r="H431" s="5"/>
      <c r="I431" s="5"/>
      <c r="J431" s="9"/>
      <c r="K431" s="5"/>
      <c r="L431" s="9"/>
      <c r="M431" s="11"/>
      <c r="N431" s="1"/>
      <c r="S431" s="10"/>
      <c r="T431" s="10"/>
    </row>
    <row r="432" spans="1:20" x14ac:dyDescent="0.2">
      <c r="A432" s="2"/>
      <c r="B432" s="2"/>
      <c r="C432" s="1"/>
      <c r="D432" s="1"/>
      <c r="E432" s="1"/>
      <c r="F432" s="1"/>
      <c r="G432" s="1"/>
      <c r="H432" s="5"/>
      <c r="I432" s="5"/>
      <c r="J432" s="9"/>
      <c r="K432" s="5"/>
      <c r="L432" s="9"/>
      <c r="M432" s="11"/>
      <c r="N432" s="1"/>
      <c r="S432" s="10"/>
      <c r="T432" s="10"/>
    </row>
    <row r="433" spans="1:20" x14ac:dyDescent="0.2">
      <c r="A433" s="2"/>
      <c r="B433" s="2"/>
      <c r="C433" s="1"/>
      <c r="D433" s="1"/>
      <c r="E433" s="1"/>
      <c r="F433" s="1"/>
      <c r="G433" s="1"/>
      <c r="H433" s="5"/>
      <c r="I433" s="5"/>
      <c r="J433" s="9"/>
      <c r="K433" s="5"/>
      <c r="L433" s="9"/>
      <c r="M433" s="11"/>
      <c r="N433" s="1"/>
      <c r="S433" s="10"/>
      <c r="T433" s="10"/>
    </row>
    <row r="434" spans="1:20" x14ac:dyDescent="0.2">
      <c r="A434" s="2"/>
      <c r="B434" s="2"/>
      <c r="C434" s="1"/>
      <c r="D434" s="1"/>
      <c r="E434" s="1"/>
      <c r="F434" s="1"/>
      <c r="G434" s="1"/>
      <c r="H434" s="5"/>
      <c r="I434" s="5"/>
      <c r="J434" s="9"/>
      <c r="K434" s="5"/>
      <c r="L434" s="9"/>
      <c r="M434" s="11"/>
      <c r="N434" s="1"/>
      <c r="S434" s="10"/>
      <c r="T434" s="10"/>
    </row>
    <row r="435" spans="1:20" x14ac:dyDescent="0.2">
      <c r="A435" s="2"/>
      <c r="B435" s="2"/>
      <c r="C435" s="1"/>
      <c r="D435" s="1"/>
      <c r="E435" s="1"/>
      <c r="F435" s="1"/>
      <c r="G435" s="1"/>
      <c r="H435" s="5"/>
      <c r="I435" s="5"/>
      <c r="J435" s="9"/>
      <c r="K435" s="5"/>
      <c r="L435" s="9"/>
      <c r="M435" s="11"/>
      <c r="N435" s="1"/>
      <c r="S435" s="10"/>
      <c r="T435" s="10"/>
    </row>
    <row r="436" spans="1:20" x14ac:dyDescent="0.2">
      <c r="A436" s="2"/>
      <c r="B436" s="2"/>
      <c r="C436" s="1"/>
      <c r="D436" s="1"/>
      <c r="E436" s="1"/>
      <c r="F436" s="1"/>
      <c r="G436" s="1"/>
      <c r="H436" s="5"/>
      <c r="I436" s="5"/>
      <c r="J436" s="9"/>
      <c r="K436" s="5"/>
      <c r="L436" s="9"/>
      <c r="M436" s="11"/>
      <c r="N436" s="1"/>
      <c r="S436" s="10"/>
      <c r="T436" s="10"/>
    </row>
    <row r="437" spans="1:20" x14ac:dyDescent="0.2">
      <c r="A437" s="2"/>
      <c r="B437" s="2"/>
      <c r="C437" s="1"/>
      <c r="D437" s="1"/>
      <c r="E437" s="1"/>
      <c r="F437" s="1"/>
      <c r="G437" s="1"/>
      <c r="H437" s="5"/>
      <c r="I437" s="5"/>
      <c r="J437" s="9"/>
      <c r="K437" s="5"/>
      <c r="L437" s="9"/>
      <c r="M437" s="11"/>
      <c r="N437" s="1"/>
      <c r="S437" s="10"/>
      <c r="T437" s="10"/>
    </row>
    <row r="438" spans="1:20" x14ac:dyDescent="0.2">
      <c r="A438" s="2"/>
      <c r="B438" s="2"/>
      <c r="C438" s="1"/>
      <c r="D438" s="1"/>
      <c r="E438" s="1"/>
      <c r="F438" s="1"/>
      <c r="G438" s="1"/>
      <c r="H438" s="5"/>
      <c r="I438" s="5"/>
      <c r="J438" s="9"/>
      <c r="K438" s="5"/>
      <c r="L438" s="9"/>
      <c r="M438" s="11"/>
      <c r="N438" s="1"/>
      <c r="S438" s="10"/>
      <c r="T438" s="10"/>
    </row>
    <row r="439" spans="1:20" x14ac:dyDescent="0.2">
      <c r="A439" s="2"/>
      <c r="B439" s="2"/>
      <c r="C439" s="1"/>
      <c r="D439" s="1"/>
      <c r="E439" s="1"/>
      <c r="F439" s="1"/>
      <c r="G439" s="1"/>
      <c r="H439" s="5"/>
      <c r="I439" s="5"/>
      <c r="J439" s="9"/>
      <c r="K439" s="5"/>
      <c r="L439" s="9"/>
      <c r="M439" s="11"/>
      <c r="N439" s="1"/>
      <c r="S439" s="10"/>
      <c r="T439" s="10"/>
    </row>
    <row r="440" spans="1:20" x14ac:dyDescent="0.2">
      <c r="A440" s="2"/>
      <c r="B440" s="2"/>
      <c r="C440" s="1"/>
      <c r="D440" s="1"/>
      <c r="E440" s="1"/>
      <c r="F440" s="1"/>
      <c r="G440" s="1"/>
      <c r="H440" s="5"/>
      <c r="I440" s="5"/>
      <c r="J440" s="9"/>
      <c r="K440" s="5"/>
      <c r="L440" s="9"/>
      <c r="M440" s="11"/>
      <c r="N440" s="1"/>
      <c r="S440" s="10"/>
      <c r="T440" s="10"/>
    </row>
    <row r="441" spans="1:20" x14ac:dyDescent="0.2">
      <c r="A441" s="2"/>
      <c r="B441" s="2"/>
      <c r="C441" s="1"/>
      <c r="D441" s="1"/>
      <c r="E441" s="1"/>
      <c r="F441" s="1"/>
      <c r="G441" s="1"/>
      <c r="H441" s="5"/>
      <c r="I441" s="5"/>
      <c r="J441" s="9"/>
      <c r="K441" s="5"/>
      <c r="L441" s="9"/>
      <c r="M441" s="11"/>
      <c r="N441" s="1"/>
      <c r="S441" s="10"/>
      <c r="T441" s="10"/>
    </row>
    <row r="442" spans="1:20" x14ac:dyDescent="0.2">
      <c r="A442" s="2"/>
      <c r="B442" s="2"/>
      <c r="C442" s="1"/>
      <c r="D442" s="1"/>
      <c r="E442" s="1"/>
      <c r="F442" s="1"/>
      <c r="G442" s="1"/>
      <c r="H442" s="5"/>
      <c r="I442" s="5"/>
      <c r="J442" s="9"/>
      <c r="K442" s="5"/>
      <c r="L442" s="9"/>
      <c r="M442" s="11"/>
      <c r="N442" s="1"/>
      <c r="S442" s="10"/>
      <c r="T442" s="10"/>
    </row>
    <row r="443" spans="1:20" x14ac:dyDescent="0.2">
      <c r="A443" s="2"/>
      <c r="B443" s="2"/>
      <c r="C443" s="1"/>
      <c r="D443" s="1"/>
      <c r="E443" s="1"/>
      <c r="F443" s="1"/>
      <c r="G443" s="1"/>
      <c r="H443" s="5"/>
      <c r="I443" s="5"/>
      <c r="J443" s="9"/>
      <c r="K443" s="5"/>
      <c r="L443" s="9"/>
      <c r="M443" s="11"/>
      <c r="N443" s="1"/>
      <c r="S443" s="10"/>
      <c r="T443" s="10"/>
    </row>
    <row r="444" spans="1:20" x14ac:dyDescent="0.2">
      <c r="A444" s="2"/>
      <c r="B444" s="2"/>
      <c r="C444" s="1"/>
      <c r="D444" s="1"/>
      <c r="E444" s="1"/>
      <c r="F444" s="1"/>
      <c r="G444" s="1"/>
      <c r="H444" s="5"/>
      <c r="I444" s="5"/>
      <c r="J444" s="9"/>
      <c r="K444" s="5"/>
      <c r="L444" s="9"/>
      <c r="M444" s="11"/>
      <c r="N444" s="1"/>
      <c r="S444" s="10"/>
      <c r="T444" s="10"/>
    </row>
    <row r="445" spans="1:20" x14ac:dyDescent="0.2">
      <c r="A445" s="2"/>
      <c r="B445" s="2"/>
      <c r="C445" s="1"/>
      <c r="D445" s="1"/>
      <c r="E445" s="1"/>
      <c r="F445" s="1"/>
      <c r="G445" s="1"/>
      <c r="H445" s="5"/>
      <c r="I445" s="5"/>
      <c r="J445" s="9"/>
      <c r="K445" s="5"/>
      <c r="L445" s="9"/>
      <c r="M445" s="11"/>
      <c r="N445" s="1"/>
      <c r="S445" s="10"/>
      <c r="T445" s="10"/>
    </row>
    <row r="446" spans="1:20" x14ac:dyDescent="0.2">
      <c r="A446" s="2"/>
      <c r="B446" s="2"/>
      <c r="C446" s="1"/>
      <c r="D446" s="1"/>
      <c r="E446" s="1"/>
      <c r="F446" s="1"/>
      <c r="G446" s="1"/>
      <c r="H446" s="5"/>
      <c r="I446" s="5"/>
      <c r="J446" s="9"/>
      <c r="K446" s="5"/>
      <c r="L446" s="9"/>
      <c r="M446" s="11"/>
      <c r="N446" s="1"/>
      <c r="S446" s="10"/>
      <c r="T446" s="10"/>
    </row>
    <row r="447" spans="1:20" x14ac:dyDescent="0.2">
      <c r="A447" s="2"/>
      <c r="B447" s="2"/>
      <c r="C447" s="1"/>
      <c r="D447" s="1"/>
      <c r="E447" s="1"/>
      <c r="F447" s="1"/>
      <c r="G447" s="1"/>
      <c r="H447" s="5"/>
      <c r="I447" s="5"/>
      <c r="J447" s="9"/>
      <c r="K447" s="5"/>
      <c r="L447" s="9"/>
      <c r="M447" s="11"/>
      <c r="N447" s="1"/>
      <c r="S447" s="10"/>
      <c r="T447" s="10"/>
    </row>
    <row r="448" spans="1:20" x14ac:dyDescent="0.2">
      <c r="A448" s="2"/>
      <c r="B448" s="2"/>
      <c r="C448" s="1"/>
      <c r="D448" s="1"/>
      <c r="E448" s="1"/>
      <c r="F448" s="1"/>
      <c r="G448" s="1"/>
      <c r="H448" s="5"/>
      <c r="I448" s="5"/>
      <c r="J448" s="9"/>
      <c r="K448" s="5"/>
      <c r="L448" s="9"/>
      <c r="M448" s="11"/>
      <c r="N448" s="1"/>
      <c r="S448" s="10"/>
      <c r="T448" s="10"/>
    </row>
    <row r="449" spans="1:20" x14ac:dyDescent="0.2">
      <c r="A449" s="2"/>
      <c r="B449" s="2"/>
      <c r="C449" s="1"/>
      <c r="D449" s="1"/>
      <c r="E449" s="1"/>
      <c r="F449" s="1"/>
      <c r="G449" s="1"/>
      <c r="H449" s="5"/>
      <c r="I449" s="5"/>
      <c r="J449" s="9"/>
      <c r="K449" s="5"/>
      <c r="L449" s="9"/>
      <c r="M449" s="11"/>
      <c r="N449" s="1"/>
      <c r="S449" s="10"/>
      <c r="T449" s="10"/>
    </row>
    <row r="450" spans="1:20" x14ac:dyDescent="0.2">
      <c r="A450" s="2"/>
      <c r="B450" s="2"/>
      <c r="C450" s="1"/>
      <c r="D450" s="1"/>
      <c r="E450" s="1"/>
      <c r="F450" s="1"/>
      <c r="G450" s="1"/>
      <c r="H450" s="5"/>
      <c r="I450" s="5"/>
      <c r="J450" s="9"/>
      <c r="K450" s="5"/>
      <c r="L450" s="9"/>
      <c r="M450" s="11"/>
      <c r="N450" s="1"/>
      <c r="S450" s="10"/>
      <c r="T450" s="10"/>
    </row>
    <row r="451" spans="1:20" x14ac:dyDescent="0.2">
      <c r="A451" s="2"/>
      <c r="B451" s="2"/>
      <c r="C451" s="1"/>
      <c r="D451" s="1"/>
      <c r="E451" s="1"/>
      <c r="F451" s="1"/>
      <c r="G451" s="1"/>
      <c r="H451" s="5"/>
      <c r="I451" s="5"/>
      <c r="J451" s="9"/>
      <c r="K451" s="5"/>
      <c r="L451" s="9"/>
      <c r="M451" s="11"/>
      <c r="N451" s="1"/>
      <c r="S451" s="10"/>
      <c r="T451" s="10"/>
    </row>
    <row r="452" spans="1:20" x14ac:dyDescent="0.2">
      <c r="A452" s="2"/>
      <c r="B452" s="2"/>
      <c r="C452" s="1"/>
      <c r="D452" s="1"/>
      <c r="E452" s="1"/>
      <c r="F452" s="1"/>
      <c r="G452" s="1"/>
      <c r="H452" s="5"/>
      <c r="I452" s="5"/>
      <c r="J452" s="9"/>
      <c r="K452" s="5"/>
      <c r="L452" s="9"/>
      <c r="M452" s="11"/>
      <c r="N452" s="1"/>
      <c r="S452" s="10"/>
      <c r="T452" s="10"/>
    </row>
    <row r="453" spans="1:20" x14ac:dyDescent="0.2">
      <c r="A453" s="2"/>
      <c r="B453" s="2"/>
      <c r="C453" s="1"/>
      <c r="D453" s="1"/>
      <c r="E453" s="1"/>
      <c r="F453" s="1"/>
      <c r="G453" s="1"/>
      <c r="H453" s="5"/>
      <c r="I453" s="5"/>
      <c r="J453" s="9"/>
      <c r="K453" s="5"/>
      <c r="L453" s="9"/>
      <c r="M453" s="11"/>
      <c r="N453" s="1"/>
      <c r="S453" s="10"/>
      <c r="T453" s="10"/>
    </row>
    <row r="454" spans="1:20" x14ac:dyDescent="0.2">
      <c r="A454" s="2"/>
      <c r="B454" s="2"/>
      <c r="C454" s="1"/>
      <c r="D454" s="1"/>
      <c r="E454" s="1"/>
      <c r="F454" s="1"/>
      <c r="G454" s="1"/>
      <c r="H454" s="5"/>
      <c r="I454" s="5"/>
      <c r="J454" s="9"/>
      <c r="K454" s="5"/>
      <c r="L454" s="9"/>
      <c r="M454" s="11"/>
      <c r="N454" s="1"/>
      <c r="S454" s="10"/>
      <c r="T454" s="10"/>
    </row>
    <row r="455" spans="1:20" x14ac:dyDescent="0.2">
      <c r="A455" s="2"/>
      <c r="B455" s="2"/>
      <c r="C455" s="2"/>
      <c r="D455" s="1"/>
      <c r="E455" s="1"/>
      <c r="F455" s="1"/>
      <c r="G455" s="1"/>
      <c r="H455" s="5"/>
      <c r="I455" s="5"/>
      <c r="J455" s="9"/>
      <c r="K455" s="5"/>
      <c r="L455" s="9"/>
      <c r="M455" s="11"/>
      <c r="N455" s="2"/>
      <c r="S455" s="10"/>
      <c r="T455" s="10"/>
    </row>
    <row r="456" spans="1:20" x14ac:dyDescent="0.2">
      <c r="A456" s="2"/>
      <c r="B456" s="2"/>
      <c r="C456" s="2"/>
      <c r="D456" s="1"/>
      <c r="E456" s="1"/>
      <c r="F456" s="1"/>
      <c r="G456" s="1"/>
      <c r="H456" s="5"/>
      <c r="I456" s="5"/>
      <c r="J456" s="9"/>
      <c r="K456" s="5"/>
      <c r="L456" s="9"/>
      <c r="M456" s="11"/>
      <c r="N456" s="2"/>
      <c r="S456" s="10"/>
      <c r="T456" s="10"/>
    </row>
    <row r="457" spans="1:20" x14ac:dyDescent="0.2">
      <c r="A457" s="2"/>
      <c r="B457" s="2"/>
      <c r="C457" s="2"/>
      <c r="D457" s="1"/>
      <c r="E457" s="1"/>
      <c r="F457" s="1"/>
      <c r="G457" s="1"/>
      <c r="H457" s="5"/>
      <c r="I457" s="5"/>
      <c r="J457" s="9"/>
      <c r="K457" s="5"/>
      <c r="L457" s="9"/>
      <c r="M457" s="11"/>
      <c r="N457" s="2"/>
      <c r="S457" s="10"/>
      <c r="T457" s="10"/>
    </row>
    <row r="458" spans="1:20" x14ac:dyDescent="0.2">
      <c r="A458" s="2"/>
      <c r="B458" s="2"/>
      <c r="C458" s="2"/>
      <c r="D458" s="1"/>
      <c r="E458" s="1"/>
      <c r="F458" s="1"/>
      <c r="G458" s="1"/>
      <c r="H458" s="5"/>
      <c r="I458" s="5"/>
      <c r="J458" s="9"/>
      <c r="K458" s="5"/>
      <c r="L458" s="9"/>
      <c r="M458" s="11"/>
      <c r="N458" s="2"/>
      <c r="S458" s="10"/>
      <c r="T458" s="10"/>
    </row>
    <row r="459" spans="1:20" x14ac:dyDescent="0.2">
      <c r="A459" s="2"/>
      <c r="B459" s="2"/>
      <c r="C459" s="2"/>
      <c r="D459" s="1"/>
      <c r="E459" s="1"/>
      <c r="F459" s="1"/>
      <c r="G459" s="1"/>
      <c r="H459" s="5"/>
      <c r="I459" s="5"/>
      <c r="J459" s="9"/>
      <c r="K459" s="5"/>
      <c r="L459" s="9"/>
      <c r="M459" s="11"/>
      <c r="N459" s="2"/>
      <c r="S459" s="10"/>
      <c r="T459" s="10"/>
    </row>
    <row r="460" spans="1:20" x14ac:dyDescent="0.2">
      <c r="A460" s="2"/>
      <c r="B460" s="2"/>
      <c r="C460" s="2"/>
      <c r="D460" s="1"/>
      <c r="E460" s="1"/>
      <c r="F460" s="1"/>
      <c r="G460" s="1"/>
      <c r="H460" s="5"/>
      <c r="I460" s="5"/>
      <c r="J460" s="9"/>
      <c r="K460" s="5"/>
      <c r="L460" s="9"/>
      <c r="M460" s="11"/>
      <c r="N460" s="2"/>
      <c r="S460" s="10"/>
      <c r="T460" s="10"/>
    </row>
    <row r="461" spans="1:20" x14ac:dyDescent="0.2">
      <c r="A461" s="2"/>
      <c r="B461" s="2"/>
      <c r="C461" s="1"/>
      <c r="D461" s="1"/>
      <c r="E461" s="1"/>
      <c r="F461" s="1"/>
      <c r="G461" s="1"/>
      <c r="H461" s="5"/>
      <c r="I461" s="5"/>
      <c r="J461" s="9"/>
      <c r="K461" s="5"/>
      <c r="L461" s="9"/>
      <c r="M461" s="11"/>
      <c r="N461" s="2"/>
      <c r="S461" s="10"/>
      <c r="T461" s="10"/>
    </row>
    <row r="462" spans="1:20" x14ac:dyDescent="0.2">
      <c r="A462" s="2"/>
      <c r="B462" s="2"/>
      <c r="C462" s="1"/>
      <c r="D462" s="1"/>
      <c r="E462" s="1"/>
      <c r="F462" s="1"/>
      <c r="G462" s="1"/>
      <c r="H462" s="5"/>
      <c r="I462" s="5"/>
      <c r="J462" s="9"/>
      <c r="K462" s="5"/>
      <c r="L462" s="9"/>
      <c r="M462" s="11"/>
      <c r="N462" s="2"/>
      <c r="S462" s="10"/>
      <c r="T462" s="10"/>
    </row>
    <row r="463" spans="1:20" x14ac:dyDescent="0.2">
      <c r="A463" s="2"/>
      <c r="B463" s="2"/>
      <c r="C463" s="1"/>
      <c r="D463" s="1"/>
      <c r="E463" s="1"/>
      <c r="F463" s="1"/>
      <c r="G463" s="1"/>
      <c r="H463" s="5"/>
      <c r="I463" s="5"/>
      <c r="J463" s="9"/>
      <c r="K463" s="5"/>
      <c r="L463" s="9"/>
      <c r="M463" s="11"/>
      <c r="N463" s="2"/>
      <c r="S463" s="10"/>
      <c r="T463" s="10"/>
    </row>
    <row r="464" spans="1:20" x14ac:dyDescent="0.2">
      <c r="A464" s="2"/>
      <c r="B464" s="2"/>
      <c r="C464" s="1"/>
      <c r="D464" s="1"/>
      <c r="E464" s="1"/>
      <c r="F464" s="1"/>
      <c r="G464" s="1"/>
      <c r="H464" s="5"/>
      <c r="I464" s="5"/>
      <c r="J464" s="9"/>
      <c r="K464" s="5"/>
      <c r="L464" s="9"/>
      <c r="M464" s="11"/>
      <c r="N464" s="2"/>
      <c r="S464" s="10"/>
      <c r="T464" s="10"/>
    </row>
    <row r="465" spans="1:20" x14ac:dyDescent="0.2">
      <c r="A465" s="2"/>
      <c r="B465" s="2"/>
      <c r="C465" s="2"/>
      <c r="D465" s="1"/>
      <c r="E465" s="1"/>
      <c r="F465" s="1"/>
      <c r="G465" s="1"/>
      <c r="H465" s="5"/>
      <c r="I465" s="5"/>
      <c r="J465" s="9"/>
      <c r="K465" s="5"/>
      <c r="L465" s="9"/>
      <c r="M465" s="11"/>
      <c r="N465" s="2"/>
      <c r="S465" s="10"/>
      <c r="T465" s="10"/>
    </row>
    <row r="466" spans="1:20" x14ac:dyDescent="0.2">
      <c r="A466" s="2"/>
      <c r="B466" s="2"/>
      <c r="C466" s="2"/>
      <c r="D466" s="1"/>
      <c r="E466" s="1"/>
      <c r="F466" s="1"/>
      <c r="G466" s="1"/>
      <c r="H466" s="5"/>
      <c r="I466" s="5"/>
      <c r="J466" s="9"/>
      <c r="K466" s="5"/>
      <c r="L466" s="9"/>
      <c r="M466" s="11"/>
      <c r="N466" s="2"/>
      <c r="S466" s="10"/>
      <c r="T466" s="10"/>
    </row>
    <row r="467" spans="1:20" x14ac:dyDescent="0.2">
      <c r="A467" s="2"/>
      <c r="B467" s="2"/>
      <c r="C467" s="2"/>
      <c r="D467" s="1"/>
      <c r="E467" s="1"/>
      <c r="F467" s="1"/>
      <c r="G467" s="1"/>
      <c r="H467" s="5"/>
      <c r="I467" s="5"/>
      <c r="J467" s="9"/>
      <c r="K467" s="5"/>
      <c r="L467" s="9"/>
      <c r="M467" s="11"/>
      <c r="N467" s="2"/>
      <c r="S467" s="10"/>
      <c r="T467" s="10"/>
    </row>
    <row r="468" spans="1:20" x14ac:dyDescent="0.2">
      <c r="A468" s="2"/>
      <c r="B468" s="2"/>
      <c r="C468" s="2"/>
      <c r="D468" s="1"/>
      <c r="E468" s="1"/>
      <c r="F468" s="1"/>
      <c r="G468" s="1"/>
      <c r="H468" s="5"/>
      <c r="I468" s="5"/>
      <c r="J468" s="9"/>
      <c r="K468" s="5"/>
      <c r="L468" s="9"/>
      <c r="M468" s="11"/>
      <c r="N468" s="2"/>
      <c r="S468" s="10"/>
      <c r="T468" s="10"/>
    </row>
    <row r="469" spans="1:20" x14ac:dyDescent="0.2">
      <c r="A469" s="2"/>
      <c r="B469" s="2"/>
      <c r="C469" s="2"/>
      <c r="D469" s="1"/>
      <c r="E469" s="1"/>
      <c r="F469" s="1"/>
      <c r="G469" s="1"/>
      <c r="H469" s="5"/>
      <c r="I469" s="5"/>
      <c r="J469" s="9"/>
      <c r="K469" s="5"/>
      <c r="L469" s="9"/>
      <c r="M469" s="11"/>
      <c r="N469" s="2"/>
      <c r="S469" s="10"/>
      <c r="T469" s="10"/>
    </row>
    <row r="470" spans="1:20" x14ac:dyDescent="0.2">
      <c r="A470" s="2"/>
      <c r="B470" s="2"/>
      <c r="C470" s="2"/>
      <c r="D470" s="1"/>
      <c r="E470" s="1"/>
      <c r="F470" s="1"/>
      <c r="G470" s="1"/>
      <c r="H470" s="5"/>
      <c r="I470" s="5"/>
      <c r="J470" s="9"/>
      <c r="K470" s="5"/>
      <c r="L470" s="9"/>
      <c r="M470" s="11"/>
      <c r="N470" s="2"/>
      <c r="S470" s="10"/>
      <c r="T470" s="10"/>
    </row>
    <row r="471" spans="1:20" x14ac:dyDescent="0.2">
      <c r="A471" s="2"/>
      <c r="B471" s="2"/>
      <c r="C471" s="2"/>
      <c r="D471" s="1"/>
      <c r="E471" s="1"/>
      <c r="F471" s="1"/>
      <c r="G471" s="1"/>
      <c r="H471" s="5"/>
      <c r="I471" s="5"/>
      <c r="J471" s="9"/>
      <c r="K471" s="5"/>
      <c r="L471" s="9"/>
      <c r="M471" s="11"/>
      <c r="N471" s="2"/>
      <c r="S471" s="10"/>
      <c r="T471" s="10"/>
    </row>
    <row r="472" spans="1:20" x14ac:dyDescent="0.2">
      <c r="A472" s="2"/>
      <c r="B472" s="2"/>
      <c r="C472" s="2"/>
      <c r="D472" s="1"/>
      <c r="E472" s="1"/>
      <c r="F472" s="1"/>
      <c r="G472" s="1"/>
      <c r="H472" s="5"/>
      <c r="I472" s="5"/>
      <c r="J472" s="9"/>
      <c r="K472" s="5"/>
      <c r="L472" s="9"/>
      <c r="M472" s="11"/>
      <c r="N472" s="2"/>
      <c r="S472" s="10"/>
      <c r="T472" s="10"/>
    </row>
    <row r="473" spans="1:20" x14ac:dyDescent="0.2">
      <c r="A473" s="2"/>
      <c r="B473" s="2"/>
      <c r="C473" s="2"/>
      <c r="D473" s="1"/>
      <c r="E473" s="1"/>
      <c r="F473" s="1"/>
      <c r="G473" s="1"/>
      <c r="H473" s="5"/>
      <c r="I473" s="5"/>
      <c r="J473" s="9"/>
      <c r="K473" s="5"/>
      <c r="L473" s="9"/>
      <c r="M473" s="11"/>
      <c r="N473" s="2"/>
      <c r="S473" s="10"/>
      <c r="T473" s="10"/>
    </row>
    <row r="474" spans="1:20" x14ac:dyDescent="0.2">
      <c r="A474" s="2"/>
      <c r="B474" s="2"/>
      <c r="C474" s="2"/>
      <c r="D474" s="1"/>
      <c r="E474" s="1"/>
      <c r="F474" s="1"/>
      <c r="G474" s="1"/>
      <c r="H474" s="5"/>
      <c r="I474" s="5"/>
      <c r="J474" s="9"/>
      <c r="K474" s="5"/>
      <c r="L474" s="9"/>
      <c r="M474" s="11"/>
      <c r="N474" s="2"/>
      <c r="S474" s="10"/>
      <c r="T474" s="10"/>
    </row>
    <row r="475" spans="1:20" x14ac:dyDescent="0.2">
      <c r="A475" s="2"/>
      <c r="B475" s="2"/>
      <c r="C475" s="2"/>
      <c r="D475" s="1"/>
      <c r="E475" s="1"/>
      <c r="F475" s="1"/>
      <c r="G475" s="1"/>
      <c r="H475" s="5"/>
      <c r="I475" s="5"/>
      <c r="J475" s="9"/>
      <c r="K475" s="5"/>
      <c r="L475" s="9"/>
      <c r="M475" s="11"/>
      <c r="N475" s="2"/>
      <c r="S475" s="10"/>
      <c r="T475" s="10"/>
    </row>
    <row r="476" spans="1:20" x14ac:dyDescent="0.2">
      <c r="A476" s="2"/>
      <c r="B476" s="2"/>
      <c r="C476" s="2"/>
      <c r="D476" s="1"/>
      <c r="E476" s="1"/>
      <c r="F476" s="1"/>
      <c r="G476" s="1"/>
      <c r="H476" s="5"/>
      <c r="I476" s="5"/>
      <c r="J476" s="9"/>
      <c r="K476" s="5"/>
      <c r="L476" s="9"/>
      <c r="M476" s="11"/>
      <c r="N476" s="2"/>
      <c r="S476" s="10"/>
      <c r="T476" s="10"/>
    </row>
    <row r="477" spans="1:20" x14ac:dyDescent="0.2">
      <c r="A477" s="2"/>
      <c r="B477" s="2"/>
      <c r="C477" s="2"/>
      <c r="D477" s="1"/>
      <c r="E477" s="1"/>
      <c r="F477" s="1"/>
      <c r="G477" s="1"/>
      <c r="H477" s="5"/>
      <c r="I477" s="5"/>
      <c r="J477" s="9"/>
      <c r="K477" s="5"/>
      <c r="L477" s="9"/>
      <c r="M477" s="11"/>
      <c r="N477" s="2"/>
      <c r="S477" s="10"/>
      <c r="T477" s="10"/>
    </row>
    <row r="478" spans="1:20" x14ac:dyDescent="0.2">
      <c r="A478" s="2"/>
      <c r="B478" s="2"/>
      <c r="C478" s="2"/>
      <c r="D478" s="1"/>
      <c r="E478" s="1"/>
      <c r="F478" s="1"/>
      <c r="G478" s="1"/>
      <c r="H478" s="5"/>
      <c r="I478" s="5"/>
      <c r="J478" s="9"/>
      <c r="K478" s="5"/>
      <c r="L478" s="9"/>
      <c r="M478" s="11"/>
      <c r="N478" s="2"/>
      <c r="S478" s="10"/>
      <c r="T478" s="10"/>
    </row>
    <row r="479" spans="1:20" x14ac:dyDescent="0.2">
      <c r="A479" s="2"/>
      <c r="B479" s="2"/>
      <c r="C479" s="2"/>
      <c r="D479" s="1"/>
      <c r="E479" s="1"/>
      <c r="F479" s="1"/>
      <c r="G479" s="1"/>
      <c r="H479" s="5"/>
      <c r="I479" s="5"/>
      <c r="J479" s="9"/>
      <c r="K479" s="5"/>
      <c r="L479" s="9"/>
      <c r="M479" s="11"/>
      <c r="N479" s="2"/>
      <c r="S479" s="10"/>
      <c r="T479" s="10"/>
    </row>
    <row r="480" spans="1:20" x14ac:dyDescent="0.2">
      <c r="A480" s="2"/>
      <c r="B480" s="2"/>
      <c r="C480" s="2"/>
      <c r="D480" s="1"/>
      <c r="E480" s="1"/>
      <c r="F480" s="1"/>
      <c r="G480" s="1"/>
      <c r="H480" s="5"/>
      <c r="I480" s="5"/>
      <c r="J480" s="9"/>
      <c r="K480" s="5"/>
      <c r="L480" s="9"/>
      <c r="M480" s="11"/>
      <c r="N480" s="2"/>
      <c r="S480" s="10"/>
      <c r="T480" s="10"/>
    </row>
    <row r="481" spans="1:20" x14ac:dyDescent="0.2">
      <c r="A481" s="2"/>
      <c r="B481" s="2"/>
      <c r="C481" s="2"/>
      <c r="D481" s="1"/>
      <c r="E481" s="1"/>
      <c r="F481" s="1"/>
      <c r="G481" s="1"/>
      <c r="H481" s="5"/>
      <c r="I481" s="5"/>
      <c r="J481" s="9"/>
      <c r="K481" s="5"/>
      <c r="L481" s="9"/>
      <c r="M481" s="11"/>
      <c r="N481" s="2"/>
      <c r="S481" s="10"/>
      <c r="T481" s="10"/>
    </row>
    <row r="482" spans="1:20" x14ac:dyDescent="0.2">
      <c r="A482" s="2"/>
      <c r="B482" s="2"/>
      <c r="C482" s="2"/>
      <c r="D482" s="1"/>
      <c r="E482" s="1"/>
      <c r="F482" s="1"/>
      <c r="G482" s="1"/>
      <c r="H482" s="5"/>
      <c r="I482" s="5"/>
      <c r="J482" s="9"/>
      <c r="K482" s="5"/>
      <c r="L482" s="9"/>
      <c r="M482" s="11"/>
      <c r="N482" s="2"/>
      <c r="S482" s="10"/>
      <c r="T482" s="10"/>
    </row>
    <row r="483" spans="1:20" x14ac:dyDescent="0.2">
      <c r="A483" s="2"/>
      <c r="B483" s="2"/>
      <c r="C483" s="2"/>
      <c r="D483" s="1"/>
      <c r="E483" s="1"/>
      <c r="F483" s="1"/>
      <c r="G483" s="1"/>
      <c r="H483" s="5"/>
      <c r="I483" s="5"/>
      <c r="J483" s="9"/>
      <c r="K483" s="5"/>
      <c r="L483" s="9"/>
      <c r="M483" s="11"/>
      <c r="N483" s="2"/>
      <c r="S483" s="10"/>
      <c r="T483" s="10"/>
    </row>
    <row r="484" spans="1:20" x14ac:dyDescent="0.2">
      <c r="A484" s="2"/>
      <c r="B484" s="2"/>
      <c r="C484" s="2"/>
      <c r="D484" s="1"/>
      <c r="E484" s="1"/>
      <c r="F484" s="1"/>
      <c r="G484" s="1"/>
      <c r="H484" s="5"/>
      <c r="I484" s="5"/>
      <c r="J484" s="9"/>
      <c r="K484" s="5"/>
      <c r="L484" s="9"/>
      <c r="M484" s="11"/>
      <c r="N484" s="2"/>
      <c r="S484" s="10"/>
      <c r="T484" s="10"/>
    </row>
    <row r="485" spans="1:20" x14ac:dyDescent="0.2">
      <c r="A485" s="2"/>
      <c r="B485" s="2"/>
      <c r="C485" s="2"/>
      <c r="D485" s="1"/>
      <c r="E485" s="1"/>
      <c r="F485" s="1"/>
      <c r="G485" s="1"/>
      <c r="H485" s="5"/>
      <c r="I485" s="5"/>
      <c r="J485" s="9"/>
      <c r="K485" s="5"/>
      <c r="L485" s="9"/>
      <c r="M485" s="11"/>
      <c r="N485" s="2"/>
      <c r="S485" s="10"/>
      <c r="T485" s="10"/>
    </row>
    <row r="486" spans="1:20" x14ac:dyDescent="0.2">
      <c r="A486" s="2"/>
      <c r="B486" s="2"/>
      <c r="C486" s="2"/>
      <c r="D486" s="1"/>
      <c r="E486" s="1"/>
      <c r="F486" s="1"/>
      <c r="G486" s="1"/>
      <c r="H486" s="5"/>
      <c r="I486" s="5"/>
      <c r="J486" s="9"/>
      <c r="K486" s="5"/>
      <c r="L486" s="9"/>
      <c r="M486" s="11"/>
      <c r="N486" s="2"/>
      <c r="S486" s="10"/>
      <c r="T486" s="10"/>
    </row>
    <row r="487" spans="1:20" x14ac:dyDescent="0.2">
      <c r="A487" s="2"/>
      <c r="B487" s="2"/>
      <c r="C487" s="2"/>
      <c r="D487" s="1"/>
      <c r="E487" s="1"/>
      <c r="F487" s="1"/>
      <c r="G487" s="1"/>
      <c r="H487" s="5"/>
      <c r="I487" s="5"/>
      <c r="J487" s="9"/>
      <c r="K487" s="5"/>
      <c r="L487" s="9"/>
      <c r="M487" s="11"/>
      <c r="N487" s="2"/>
      <c r="S487" s="10"/>
      <c r="T487" s="10"/>
    </row>
    <row r="488" spans="1:20" x14ac:dyDescent="0.2">
      <c r="A488" s="2"/>
      <c r="B488" s="2"/>
      <c r="C488" s="2"/>
      <c r="D488" s="1"/>
      <c r="E488" s="1"/>
      <c r="F488" s="1"/>
      <c r="G488" s="1"/>
      <c r="H488" s="5"/>
      <c r="I488" s="5"/>
      <c r="J488" s="9"/>
      <c r="K488" s="5"/>
      <c r="L488" s="9"/>
      <c r="M488" s="11"/>
      <c r="N488" s="2"/>
      <c r="S488" s="10"/>
      <c r="T488" s="10"/>
    </row>
    <row r="489" spans="1:20" x14ac:dyDescent="0.2">
      <c r="A489" s="2"/>
      <c r="B489" s="2"/>
      <c r="C489" s="2"/>
      <c r="D489" s="1"/>
      <c r="E489" s="1"/>
      <c r="F489" s="1"/>
      <c r="G489" s="1"/>
      <c r="H489" s="5"/>
      <c r="I489" s="5"/>
      <c r="J489" s="9"/>
      <c r="K489" s="5"/>
      <c r="L489" s="9"/>
      <c r="M489" s="11"/>
      <c r="N489" s="2"/>
      <c r="S489" s="10"/>
      <c r="T489" s="10"/>
    </row>
    <row r="490" spans="1:20" x14ac:dyDescent="0.2">
      <c r="A490" s="2"/>
      <c r="B490" s="2"/>
      <c r="C490" s="2"/>
      <c r="D490" s="1"/>
      <c r="E490" s="1"/>
      <c r="F490" s="1"/>
      <c r="G490" s="1"/>
      <c r="H490" s="5"/>
      <c r="I490" s="5"/>
      <c r="J490" s="9"/>
      <c r="K490" s="5"/>
      <c r="L490" s="9"/>
      <c r="M490" s="11"/>
      <c r="N490" s="2"/>
      <c r="S490" s="10"/>
      <c r="T490" s="10"/>
    </row>
    <row r="491" spans="1:20" x14ac:dyDescent="0.2">
      <c r="A491" s="2"/>
      <c r="B491" s="2"/>
      <c r="C491" s="2"/>
      <c r="D491" s="1"/>
      <c r="E491" s="1"/>
      <c r="F491" s="1"/>
      <c r="G491" s="1"/>
      <c r="H491" s="5"/>
      <c r="I491" s="5"/>
      <c r="J491" s="9"/>
      <c r="K491" s="5"/>
      <c r="L491" s="9"/>
      <c r="M491" s="11"/>
      <c r="N491" s="2"/>
      <c r="S491" s="10"/>
      <c r="T491" s="10"/>
    </row>
    <row r="492" spans="1:20" x14ac:dyDescent="0.2">
      <c r="A492" s="2"/>
      <c r="B492" s="2"/>
      <c r="C492" s="2"/>
      <c r="D492" s="1"/>
      <c r="E492" s="1"/>
      <c r="F492" s="1"/>
      <c r="G492" s="1"/>
      <c r="H492" s="5"/>
      <c r="I492" s="5"/>
      <c r="J492" s="9"/>
      <c r="K492" s="5"/>
      <c r="L492" s="9"/>
      <c r="M492" s="11"/>
      <c r="N492" s="2"/>
      <c r="S492" s="10"/>
      <c r="T492" s="10"/>
    </row>
    <row r="493" spans="1:20" x14ac:dyDescent="0.2">
      <c r="A493" s="2"/>
      <c r="B493" s="2"/>
      <c r="C493" s="2"/>
      <c r="D493" s="1"/>
      <c r="E493" s="1"/>
      <c r="F493" s="1"/>
      <c r="G493" s="1"/>
      <c r="H493" s="5"/>
      <c r="I493" s="5"/>
      <c r="J493" s="9"/>
      <c r="K493" s="5"/>
      <c r="L493" s="9"/>
      <c r="M493" s="11"/>
      <c r="N493" s="2"/>
      <c r="S493" s="10"/>
      <c r="T493" s="10"/>
    </row>
    <row r="494" spans="1:20" x14ac:dyDescent="0.2">
      <c r="A494" s="2"/>
      <c r="B494" s="2"/>
      <c r="C494" s="2"/>
      <c r="D494" s="1"/>
      <c r="E494" s="1"/>
      <c r="F494" s="1"/>
      <c r="G494" s="1"/>
      <c r="H494" s="5"/>
      <c r="I494" s="5"/>
      <c r="J494" s="9"/>
      <c r="K494" s="5"/>
      <c r="L494" s="9"/>
      <c r="M494" s="11"/>
      <c r="N494" s="2"/>
      <c r="S494" s="10"/>
      <c r="T494" s="10"/>
    </row>
    <row r="495" spans="1:20" x14ac:dyDescent="0.2">
      <c r="A495" s="2"/>
      <c r="B495" s="2"/>
      <c r="C495" s="2"/>
      <c r="D495" s="1"/>
      <c r="E495" s="1"/>
      <c r="F495" s="1"/>
      <c r="G495" s="1"/>
      <c r="H495" s="5"/>
      <c r="I495" s="5"/>
      <c r="J495" s="9"/>
      <c r="K495" s="5"/>
      <c r="L495" s="9"/>
      <c r="M495" s="11"/>
      <c r="N495" s="2"/>
      <c r="S495" s="10"/>
      <c r="T495" s="10"/>
    </row>
    <row r="496" spans="1:20" x14ac:dyDescent="0.2">
      <c r="A496" s="2"/>
      <c r="B496" s="2"/>
      <c r="C496" s="2"/>
      <c r="D496" s="1"/>
      <c r="E496" s="1"/>
      <c r="F496" s="1"/>
      <c r="G496" s="1"/>
      <c r="H496" s="5"/>
      <c r="I496" s="5"/>
      <c r="J496" s="9"/>
      <c r="K496" s="5"/>
      <c r="L496" s="9"/>
      <c r="M496" s="11"/>
      <c r="N496" s="2"/>
      <c r="S496" s="10"/>
      <c r="T496" s="10"/>
    </row>
    <row r="497" spans="1:20" x14ac:dyDescent="0.2">
      <c r="A497" s="2"/>
      <c r="B497" s="2"/>
      <c r="C497" s="2"/>
      <c r="D497" s="1"/>
      <c r="E497" s="1"/>
      <c r="F497" s="1"/>
      <c r="G497" s="1"/>
      <c r="H497" s="5"/>
      <c r="I497" s="5"/>
      <c r="J497" s="9"/>
      <c r="K497" s="5"/>
      <c r="L497" s="9"/>
      <c r="M497" s="11"/>
      <c r="N497" s="2"/>
      <c r="S497" s="10"/>
      <c r="T497" s="10"/>
    </row>
    <row r="498" spans="1:20" x14ac:dyDescent="0.2">
      <c r="A498" s="2"/>
      <c r="B498" s="2"/>
      <c r="C498" s="2"/>
      <c r="D498" s="1"/>
      <c r="E498" s="1"/>
      <c r="F498" s="1"/>
      <c r="G498" s="1"/>
      <c r="H498" s="5"/>
      <c r="I498" s="5"/>
      <c r="J498" s="9"/>
      <c r="K498" s="5"/>
      <c r="L498" s="9"/>
      <c r="M498" s="11"/>
      <c r="N498" s="2"/>
      <c r="S498" s="10"/>
      <c r="T498" s="10"/>
    </row>
    <row r="499" spans="1:20" x14ac:dyDescent="0.2">
      <c r="A499" s="2"/>
      <c r="B499" s="2"/>
      <c r="C499" s="2"/>
      <c r="D499" s="1"/>
      <c r="E499" s="1"/>
      <c r="F499" s="1"/>
      <c r="G499" s="1"/>
      <c r="H499" s="5"/>
      <c r="I499" s="5"/>
      <c r="J499" s="9"/>
      <c r="K499" s="5"/>
      <c r="L499" s="9"/>
      <c r="M499" s="11"/>
      <c r="N499" s="2"/>
      <c r="S499" s="10"/>
      <c r="T499" s="10"/>
    </row>
    <row r="500" spans="1:20" x14ac:dyDescent="0.2">
      <c r="A500" s="2"/>
      <c r="B500" s="2"/>
      <c r="C500" s="2"/>
      <c r="D500" s="1"/>
      <c r="E500" s="1"/>
      <c r="F500" s="1"/>
      <c r="G500" s="1"/>
      <c r="H500" s="5"/>
      <c r="I500" s="5"/>
      <c r="J500" s="9"/>
      <c r="K500" s="5"/>
      <c r="L500" s="9"/>
      <c r="M500" s="11"/>
      <c r="N500" s="2"/>
      <c r="S500" s="10"/>
      <c r="T500" s="10"/>
    </row>
    <row r="501" spans="1:20" x14ac:dyDescent="0.2">
      <c r="A501" s="2"/>
      <c r="B501" s="2"/>
      <c r="C501" s="2"/>
      <c r="D501" s="1"/>
      <c r="E501" s="1"/>
      <c r="F501" s="1"/>
      <c r="G501" s="1"/>
      <c r="H501" s="5"/>
      <c r="I501" s="5"/>
      <c r="J501" s="9"/>
      <c r="K501" s="5"/>
      <c r="L501" s="9"/>
      <c r="M501" s="11"/>
      <c r="N501" s="2"/>
      <c r="S501" s="10"/>
      <c r="T501" s="10"/>
    </row>
    <row r="502" spans="1:20" x14ac:dyDescent="0.2">
      <c r="A502" s="2"/>
      <c r="B502" s="2"/>
      <c r="C502" s="2"/>
      <c r="D502" s="1"/>
      <c r="E502" s="1"/>
      <c r="F502" s="1"/>
      <c r="G502" s="1"/>
      <c r="H502" s="5"/>
      <c r="I502" s="5"/>
      <c r="J502" s="9"/>
      <c r="K502" s="5"/>
      <c r="L502" s="9"/>
      <c r="M502" s="11"/>
      <c r="N502" s="2"/>
      <c r="S502" s="10"/>
      <c r="T502" s="10"/>
    </row>
    <row r="503" spans="1:20" x14ac:dyDescent="0.2">
      <c r="A503" s="2"/>
      <c r="B503" s="2"/>
      <c r="C503" s="2"/>
      <c r="D503" s="1"/>
      <c r="E503" s="1"/>
      <c r="F503" s="1"/>
      <c r="G503" s="1"/>
      <c r="H503" s="5"/>
      <c r="I503" s="5"/>
      <c r="J503" s="9"/>
      <c r="K503" s="5"/>
      <c r="L503" s="9"/>
      <c r="M503" s="11"/>
      <c r="N503" s="2"/>
      <c r="S503" s="10"/>
      <c r="T503" s="10"/>
    </row>
    <row r="504" spans="1:20" x14ac:dyDescent="0.2">
      <c r="A504" s="2"/>
      <c r="B504" s="2"/>
      <c r="C504" s="2"/>
      <c r="D504" s="1"/>
      <c r="E504" s="1"/>
      <c r="F504" s="1"/>
      <c r="G504" s="1"/>
      <c r="H504" s="5"/>
      <c r="I504" s="5"/>
      <c r="J504" s="9"/>
      <c r="K504" s="5"/>
      <c r="L504" s="9"/>
      <c r="M504" s="11"/>
      <c r="N504" s="2"/>
      <c r="S504" s="10"/>
      <c r="T504" s="10"/>
    </row>
    <row r="505" spans="1:20" x14ac:dyDescent="0.2">
      <c r="A505" s="2"/>
      <c r="B505" s="2"/>
      <c r="C505" s="2"/>
      <c r="D505" s="1"/>
      <c r="E505" s="1"/>
      <c r="F505" s="1"/>
      <c r="G505" s="1"/>
      <c r="H505" s="5"/>
      <c r="I505" s="5"/>
      <c r="J505" s="9"/>
      <c r="K505" s="5"/>
      <c r="L505" s="9"/>
      <c r="M505" s="11"/>
      <c r="N505" s="2"/>
      <c r="S505" s="10"/>
      <c r="T505" s="10"/>
    </row>
    <row r="506" spans="1:20" x14ac:dyDescent="0.2">
      <c r="A506" s="2"/>
      <c r="B506" s="2"/>
      <c r="C506" s="2"/>
      <c r="D506" s="1"/>
      <c r="E506" s="1"/>
      <c r="F506" s="1"/>
      <c r="G506" s="1"/>
      <c r="H506" s="5"/>
      <c r="I506" s="5"/>
      <c r="J506" s="9"/>
      <c r="K506" s="5"/>
      <c r="L506" s="9"/>
      <c r="M506" s="11"/>
      <c r="N506" s="2"/>
      <c r="S506" s="10"/>
      <c r="T506" s="10"/>
    </row>
    <row r="507" spans="1:20" x14ac:dyDescent="0.2">
      <c r="A507" s="2"/>
      <c r="B507" s="2"/>
      <c r="C507" s="2"/>
      <c r="D507" s="1"/>
      <c r="E507" s="1"/>
      <c r="F507" s="1"/>
      <c r="G507" s="1"/>
      <c r="H507" s="5"/>
      <c r="I507" s="5"/>
      <c r="J507" s="9"/>
      <c r="K507" s="5"/>
      <c r="L507" s="9"/>
      <c r="M507" s="11"/>
      <c r="N507" s="2"/>
      <c r="S507" s="10"/>
      <c r="T507" s="10"/>
    </row>
    <row r="508" spans="1:20" x14ac:dyDescent="0.2">
      <c r="A508" s="2"/>
      <c r="B508" s="2"/>
      <c r="C508" s="2"/>
      <c r="D508" s="1"/>
      <c r="E508" s="1"/>
      <c r="F508" s="1"/>
      <c r="G508" s="1"/>
      <c r="H508" s="5"/>
      <c r="I508" s="5"/>
      <c r="J508" s="9"/>
      <c r="K508" s="5"/>
      <c r="L508" s="9"/>
      <c r="M508" s="11"/>
      <c r="N508" s="2"/>
      <c r="S508" s="10"/>
      <c r="T508" s="10"/>
    </row>
    <row r="509" spans="1:20" x14ac:dyDescent="0.2">
      <c r="A509" s="2"/>
      <c r="B509" s="2"/>
      <c r="C509" s="2"/>
      <c r="D509" s="1"/>
      <c r="E509" s="1"/>
      <c r="F509" s="1"/>
      <c r="G509" s="1"/>
      <c r="H509" s="5"/>
      <c r="I509" s="5"/>
      <c r="J509" s="9"/>
      <c r="K509" s="5"/>
      <c r="L509" s="9"/>
      <c r="M509" s="11"/>
      <c r="N509" s="2"/>
      <c r="S509" s="10"/>
      <c r="T509" s="10"/>
    </row>
    <row r="510" spans="1:20" x14ac:dyDescent="0.2">
      <c r="A510" s="2"/>
      <c r="B510" s="2"/>
      <c r="C510" s="2"/>
      <c r="D510" s="1"/>
      <c r="E510" s="1"/>
      <c r="F510" s="1"/>
      <c r="G510" s="1"/>
      <c r="H510" s="5"/>
      <c r="I510" s="5"/>
      <c r="J510" s="9"/>
      <c r="K510" s="5"/>
      <c r="L510" s="9"/>
      <c r="M510" s="11"/>
      <c r="N510" s="2"/>
      <c r="S510" s="10"/>
      <c r="T510" s="10"/>
    </row>
    <row r="511" spans="1:20" x14ac:dyDescent="0.2">
      <c r="A511" s="2"/>
      <c r="B511" s="2"/>
      <c r="C511" s="2"/>
      <c r="D511" s="1"/>
      <c r="E511" s="1"/>
      <c r="F511" s="1"/>
      <c r="G511" s="1"/>
      <c r="H511" s="5"/>
      <c r="I511" s="5"/>
      <c r="J511" s="9"/>
      <c r="K511" s="5"/>
      <c r="L511" s="9"/>
      <c r="M511" s="11"/>
      <c r="N511" s="2"/>
      <c r="S511" s="10"/>
      <c r="T511" s="10"/>
    </row>
    <row r="512" spans="1:20" x14ac:dyDescent="0.2">
      <c r="A512" s="2"/>
      <c r="B512" s="2"/>
      <c r="C512" s="2"/>
      <c r="D512" s="1"/>
      <c r="E512" s="1"/>
      <c r="F512" s="1"/>
      <c r="G512" s="1"/>
      <c r="H512" s="5"/>
      <c r="I512" s="5"/>
      <c r="J512" s="9"/>
      <c r="K512" s="5"/>
      <c r="L512" s="9"/>
      <c r="M512" s="11"/>
      <c r="N512" s="2"/>
      <c r="S512" s="10"/>
      <c r="T512" s="10"/>
    </row>
    <row r="513" spans="1:20" x14ac:dyDescent="0.2">
      <c r="A513" s="2"/>
      <c r="B513" s="2"/>
      <c r="C513" s="2"/>
      <c r="D513" s="1"/>
      <c r="E513" s="1"/>
      <c r="F513" s="1"/>
      <c r="G513" s="1"/>
      <c r="H513" s="5"/>
      <c r="I513" s="5"/>
      <c r="J513" s="9"/>
      <c r="K513" s="5"/>
      <c r="L513" s="9"/>
      <c r="M513" s="11"/>
      <c r="N513" s="2"/>
      <c r="S513" s="10"/>
      <c r="T513" s="10"/>
    </row>
    <row r="514" spans="1:20" x14ac:dyDescent="0.2">
      <c r="A514" s="2"/>
      <c r="B514" s="2"/>
      <c r="C514" s="2"/>
      <c r="D514" s="1"/>
      <c r="E514" s="1"/>
      <c r="F514" s="1"/>
      <c r="G514" s="1"/>
      <c r="H514" s="5"/>
      <c r="I514" s="5"/>
      <c r="J514" s="9"/>
      <c r="K514" s="5"/>
      <c r="L514" s="9"/>
      <c r="M514" s="11"/>
      <c r="N514" s="2"/>
      <c r="S514" s="10"/>
      <c r="T514" s="10"/>
    </row>
    <row r="515" spans="1:20" x14ac:dyDescent="0.2">
      <c r="A515" s="2"/>
      <c r="B515" s="2"/>
      <c r="C515" s="2"/>
      <c r="D515" s="1"/>
      <c r="E515" s="1"/>
      <c r="F515" s="1"/>
      <c r="G515" s="1"/>
      <c r="H515" s="5"/>
      <c r="I515" s="5"/>
      <c r="J515" s="9"/>
      <c r="K515" s="5"/>
      <c r="L515" s="9"/>
      <c r="M515" s="11"/>
      <c r="N515" s="2"/>
      <c r="S515" s="10"/>
      <c r="T515" s="10"/>
    </row>
    <row r="516" spans="1:20" x14ac:dyDescent="0.2">
      <c r="A516" s="2"/>
      <c r="B516" s="2"/>
      <c r="C516" s="2"/>
      <c r="D516" s="1"/>
      <c r="E516" s="1"/>
      <c r="F516" s="1"/>
      <c r="G516" s="1"/>
      <c r="H516" s="5"/>
      <c r="I516" s="5"/>
      <c r="J516" s="9"/>
      <c r="K516" s="5"/>
      <c r="L516" s="9"/>
      <c r="M516" s="11"/>
      <c r="N516" s="2"/>
      <c r="S516" s="10"/>
      <c r="T516" s="10"/>
    </row>
    <row r="517" spans="1:20" x14ac:dyDescent="0.2">
      <c r="A517" s="2"/>
      <c r="B517" s="2"/>
      <c r="C517" s="2"/>
      <c r="D517" s="1"/>
      <c r="E517" s="1"/>
      <c r="F517" s="1"/>
      <c r="G517" s="1"/>
      <c r="H517" s="5"/>
      <c r="I517" s="5"/>
      <c r="J517" s="9"/>
      <c r="K517" s="5"/>
      <c r="L517" s="9"/>
      <c r="M517" s="11"/>
      <c r="N517" s="2"/>
      <c r="S517" s="10"/>
      <c r="T517" s="10"/>
    </row>
    <row r="518" spans="1:20" x14ac:dyDescent="0.2">
      <c r="A518" s="2"/>
      <c r="B518" s="2"/>
      <c r="C518" s="2"/>
      <c r="D518" s="1"/>
      <c r="E518" s="1"/>
      <c r="F518" s="1"/>
      <c r="G518" s="1"/>
      <c r="H518" s="5"/>
      <c r="I518" s="5"/>
      <c r="J518" s="9"/>
      <c r="K518" s="5"/>
      <c r="L518" s="9"/>
      <c r="M518" s="11"/>
      <c r="N518" s="2"/>
      <c r="S518" s="10"/>
      <c r="T518" s="10"/>
    </row>
    <row r="519" spans="1:20" x14ac:dyDescent="0.2">
      <c r="A519" s="2"/>
      <c r="B519" s="2"/>
      <c r="C519" s="2"/>
      <c r="D519" s="1"/>
      <c r="E519" s="1"/>
      <c r="F519" s="1"/>
      <c r="G519" s="1"/>
      <c r="H519" s="5"/>
      <c r="I519" s="5"/>
      <c r="J519" s="9"/>
      <c r="K519" s="5"/>
      <c r="L519" s="9"/>
      <c r="M519" s="11"/>
      <c r="N519" s="2"/>
      <c r="S519" s="10"/>
      <c r="T519" s="10"/>
    </row>
    <row r="520" spans="1:20" x14ac:dyDescent="0.2">
      <c r="A520" s="2"/>
      <c r="B520" s="2"/>
      <c r="C520" s="2"/>
      <c r="D520" s="1"/>
      <c r="E520" s="1"/>
      <c r="F520" s="1"/>
      <c r="G520" s="1"/>
      <c r="H520" s="5"/>
      <c r="I520" s="5"/>
      <c r="J520" s="9"/>
      <c r="K520" s="5"/>
      <c r="L520" s="9"/>
      <c r="M520" s="11"/>
      <c r="N520" s="2"/>
      <c r="S520" s="10"/>
      <c r="T520" s="10"/>
    </row>
    <row r="521" spans="1:20" x14ac:dyDescent="0.2">
      <c r="A521" s="2"/>
      <c r="B521" s="2"/>
      <c r="C521" s="2"/>
      <c r="D521" s="1"/>
      <c r="E521" s="1"/>
      <c r="F521" s="1"/>
      <c r="G521" s="1"/>
      <c r="H521" s="5"/>
      <c r="I521" s="5"/>
      <c r="J521" s="9"/>
      <c r="K521" s="5"/>
      <c r="L521" s="9"/>
      <c r="M521" s="11"/>
      <c r="N521" s="2"/>
      <c r="S521" s="10"/>
      <c r="T521" s="10"/>
    </row>
    <row r="522" spans="1:20" x14ac:dyDescent="0.2">
      <c r="A522" s="2"/>
      <c r="B522" s="2"/>
      <c r="C522" s="2"/>
      <c r="D522" s="1"/>
      <c r="E522" s="1"/>
      <c r="F522" s="1"/>
      <c r="G522" s="1"/>
      <c r="H522" s="5"/>
      <c r="I522" s="5"/>
      <c r="J522" s="9"/>
      <c r="K522" s="5"/>
      <c r="L522" s="9"/>
      <c r="M522" s="11"/>
      <c r="N522" s="2"/>
      <c r="S522" s="10"/>
      <c r="T522" s="10"/>
    </row>
    <row r="523" spans="1:20" x14ac:dyDescent="0.2">
      <c r="A523" s="2"/>
      <c r="B523" s="2"/>
      <c r="C523" s="2"/>
      <c r="D523" s="1"/>
      <c r="E523" s="1"/>
      <c r="F523" s="1"/>
      <c r="G523" s="1"/>
      <c r="H523" s="5"/>
      <c r="I523" s="5"/>
      <c r="J523" s="9"/>
      <c r="K523" s="5"/>
      <c r="L523" s="9"/>
      <c r="M523" s="11"/>
      <c r="N523" s="2"/>
      <c r="S523" s="10"/>
      <c r="T523" s="10"/>
    </row>
    <row r="524" spans="1:20" x14ac:dyDescent="0.2">
      <c r="A524" s="2"/>
      <c r="B524" s="2"/>
      <c r="C524" s="2"/>
      <c r="D524" s="1"/>
      <c r="E524" s="1"/>
      <c r="F524" s="1"/>
      <c r="G524" s="1"/>
      <c r="H524" s="5"/>
      <c r="I524" s="5"/>
      <c r="J524" s="9"/>
      <c r="K524" s="5"/>
      <c r="L524" s="9"/>
      <c r="M524" s="11"/>
      <c r="N524" s="2"/>
      <c r="S524" s="10"/>
      <c r="T524" s="10"/>
    </row>
    <row r="525" spans="1:20" x14ac:dyDescent="0.2">
      <c r="A525" s="2"/>
      <c r="B525" s="2"/>
      <c r="C525" s="2"/>
      <c r="D525" s="1"/>
      <c r="E525" s="1"/>
      <c r="F525" s="1"/>
      <c r="G525" s="1"/>
      <c r="H525" s="5"/>
      <c r="I525" s="5"/>
      <c r="J525" s="9"/>
      <c r="K525" s="5"/>
      <c r="L525" s="9"/>
      <c r="M525" s="11"/>
      <c r="N525" s="2"/>
      <c r="S525" s="10"/>
      <c r="T525" s="10"/>
    </row>
    <row r="526" spans="1:20" x14ac:dyDescent="0.2">
      <c r="A526" s="2"/>
      <c r="B526" s="2"/>
      <c r="C526" s="2"/>
      <c r="D526" s="1"/>
      <c r="E526" s="1"/>
      <c r="F526" s="1"/>
      <c r="G526" s="1"/>
      <c r="H526" s="5"/>
      <c r="I526" s="5"/>
      <c r="J526" s="9"/>
      <c r="K526" s="5"/>
      <c r="L526" s="9"/>
      <c r="M526" s="11"/>
      <c r="N526" s="2"/>
      <c r="S526" s="10"/>
      <c r="T526" s="10"/>
    </row>
    <row r="527" spans="1:20" x14ac:dyDescent="0.2">
      <c r="A527" s="2"/>
      <c r="B527" s="2"/>
      <c r="C527" s="2"/>
      <c r="D527" s="1"/>
      <c r="E527" s="1"/>
      <c r="F527" s="1"/>
      <c r="G527" s="1"/>
      <c r="H527" s="5"/>
      <c r="I527" s="5"/>
      <c r="J527" s="9"/>
      <c r="K527" s="5"/>
      <c r="L527" s="9"/>
      <c r="M527" s="11"/>
      <c r="N527" s="2"/>
      <c r="S527" s="10"/>
      <c r="T527" s="10"/>
    </row>
    <row r="528" spans="1:20" x14ac:dyDescent="0.2">
      <c r="A528" s="2"/>
      <c r="B528" s="2"/>
      <c r="C528" s="2"/>
      <c r="D528" s="1"/>
      <c r="E528" s="1"/>
      <c r="F528" s="1"/>
      <c r="G528" s="1"/>
      <c r="H528" s="5"/>
      <c r="I528" s="5"/>
      <c r="J528" s="9"/>
      <c r="K528" s="5"/>
      <c r="L528" s="9"/>
      <c r="M528" s="11"/>
      <c r="N528" s="2"/>
      <c r="S528" s="10"/>
      <c r="T528" s="10"/>
    </row>
    <row r="529" spans="1:20" x14ac:dyDescent="0.2">
      <c r="A529" s="2"/>
      <c r="B529" s="2"/>
      <c r="C529" s="2"/>
      <c r="D529" s="1"/>
      <c r="E529" s="1"/>
      <c r="F529" s="1"/>
      <c r="G529" s="1"/>
      <c r="H529" s="5"/>
      <c r="I529" s="5"/>
      <c r="J529" s="9"/>
      <c r="K529" s="5"/>
      <c r="L529" s="9"/>
      <c r="M529" s="11"/>
      <c r="N529" s="2"/>
      <c r="S529" s="10"/>
      <c r="T529" s="10"/>
    </row>
    <row r="530" spans="1:20" x14ac:dyDescent="0.2">
      <c r="A530" s="2"/>
      <c r="B530" s="2"/>
      <c r="C530" s="2"/>
      <c r="D530" s="1"/>
      <c r="E530" s="1"/>
      <c r="F530" s="1"/>
      <c r="G530" s="1"/>
      <c r="H530" s="5"/>
      <c r="I530" s="5"/>
      <c r="J530" s="9"/>
      <c r="K530" s="5"/>
      <c r="L530" s="9"/>
      <c r="M530" s="11"/>
      <c r="N530" s="2"/>
      <c r="S530" s="10"/>
      <c r="T530" s="10"/>
    </row>
    <row r="531" spans="1:20" x14ac:dyDescent="0.2">
      <c r="A531" s="2"/>
      <c r="B531" s="2"/>
      <c r="C531" s="2"/>
      <c r="D531" s="1"/>
      <c r="E531" s="1"/>
      <c r="F531" s="1"/>
      <c r="G531" s="1"/>
      <c r="H531" s="5"/>
      <c r="I531" s="5"/>
      <c r="J531" s="9"/>
      <c r="K531" s="5"/>
      <c r="L531" s="9"/>
      <c r="M531" s="11"/>
      <c r="N531" s="2"/>
      <c r="S531" s="10"/>
      <c r="T531" s="10"/>
    </row>
    <row r="532" spans="1:20" x14ac:dyDescent="0.2">
      <c r="A532" s="2"/>
      <c r="B532" s="2"/>
      <c r="C532" s="2"/>
      <c r="D532" s="1"/>
      <c r="E532" s="1"/>
      <c r="F532" s="1"/>
      <c r="G532" s="1"/>
      <c r="H532" s="5"/>
      <c r="I532" s="5"/>
      <c r="J532" s="9"/>
      <c r="K532" s="5"/>
      <c r="L532" s="9"/>
      <c r="M532" s="11"/>
      <c r="N532" s="2"/>
      <c r="S532" s="10"/>
      <c r="T532" s="10"/>
    </row>
    <row r="533" spans="1:20" x14ac:dyDescent="0.2">
      <c r="A533" s="2"/>
      <c r="B533" s="2"/>
      <c r="C533" s="2"/>
      <c r="D533" s="1"/>
      <c r="E533" s="1"/>
      <c r="F533" s="1"/>
      <c r="G533" s="1"/>
      <c r="H533" s="5"/>
      <c r="I533" s="5"/>
      <c r="J533" s="9"/>
      <c r="K533" s="5"/>
      <c r="L533" s="9"/>
      <c r="M533" s="11"/>
      <c r="N533" s="2"/>
      <c r="S533" s="10"/>
      <c r="T533" s="10"/>
    </row>
    <row r="534" spans="1:20" x14ac:dyDescent="0.2">
      <c r="A534" s="2"/>
      <c r="B534" s="2"/>
      <c r="C534" s="2"/>
      <c r="D534" s="1"/>
      <c r="E534" s="1"/>
      <c r="F534" s="1"/>
      <c r="G534" s="1"/>
      <c r="H534" s="5"/>
      <c r="I534" s="5"/>
      <c r="J534" s="9"/>
      <c r="K534" s="5"/>
      <c r="L534" s="9"/>
      <c r="M534" s="11"/>
      <c r="N534" s="2"/>
      <c r="S534" s="10"/>
      <c r="T534" s="10"/>
    </row>
    <row r="535" spans="1:20" x14ac:dyDescent="0.2">
      <c r="A535" s="2"/>
      <c r="B535" s="2"/>
      <c r="C535" s="2"/>
      <c r="D535" s="1"/>
      <c r="E535" s="1"/>
      <c r="F535" s="2"/>
      <c r="G535" s="2"/>
      <c r="H535" s="5"/>
      <c r="I535" s="5"/>
      <c r="J535" s="9"/>
      <c r="K535" s="5"/>
      <c r="L535" s="9"/>
      <c r="M535" s="11"/>
      <c r="S535" s="10"/>
      <c r="T535" s="10"/>
    </row>
    <row r="536" spans="1:20" x14ac:dyDescent="0.2">
      <c r="A536" s="2"/>
      <c r="B536" s="2"/>
      <c r="C536" s="2"/>
      <c r="D536" s="1"/>
      <c r="E536" s="1"/>
      <c r="F536" s="2"/>
      <c r="G536" s="2"/>
      <c r="H536" s="5"/>
      <c r="I536" s="5"/>
      <c r="J536" s="9"/>
      <c r="K536" s="5"/>
      <c r="L536" s="9"/>
      <c r="M536" s="11"/>
      <c r="S536" s="10"/>
      <c r="T536" s="10"/>
    </row>
    <row r="537" spans="1:20" x14ac:dyDescent="0.2">
      <c r="A537" s="2"/>
      <c r="B537" s="2"/>
      <c r="C537" s="2"/>
      <c r="D537" s="1"/>
      <c r="E537" s="1"/>
      <c r="F537" s="2"/>
      <c r="G537" s="2"/>
      <c r="H537" s="5"/>
      <c r="I537" s="5"/>
      <c r="J537" s="9"/>
      <c r="K537" s="5"/>
      <c r="L537" s="9"/>
      <c r="M537" s="11"/>
      <c r="S537" s="10"/>
    </row>
  </sheetData>
  <phoneticPr fontId="0" type="noConversion"/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G50"/>
  <sheetViews>
    <sheetView workbookViewId="0">
      <selection activeCell="B7" sqref="B7"/>
    </sheetView>
  </sheetViews>
  <sheetFormatPr defaultRowHeight="12.75" x14ac:dyDescent="0.2"/>
  <sheetData>
    <row r="1" spans="1:4" ht="18" x14ac:dyDescent="0.25">
      <c r="A1" s="3" t="s">
        <v>1008</v>
      </c>
    </row>
    <row r="4" spans="1:4" x14ac:dyDescent="0.2">
      <c r="A4" t="s">
        <v>1346</v>
      </c>
      <c r="B4" t="s">
        <v>209</v>
      </c>
    </row>
    <row r="5" spans="1:4" x14ac:dyDescent="0.2">
      <c r="A5" t="s">
        <v>1347</v>
      </c>
      <c r="B5" s="10">
        <f>-1/SLOPE('E sakazaki'!L2:L80,'E sakazaki'!I2:I80)</f>
        <v>6.3281071631957406</v>
      </c>
      <c r="C5" s="10">
        <f>SLOPE('E sakazaki'!L2:L28,'E sakazaki'!I2:I28)</f>
        <v>-0.25614157423760148</v>
      </c>
      <c r="D5" t="s">
        <v>201</v>
      </c>
    </row>
    <row r="6" spans="1:4" x14ac:dyDescent="0.2">
      <c r="A6" t="s">
        <v>1350</v>
      </c>
      <c r="B6">
        <v>70</v>
      </c>
    </row>
    <row r="7" spans="1:4" x14ac:dyDescent="0.2">
      <c r="A7" t="s">
        <v>1353</v>
      </c>
      <c r="B7" s="10">
        <f>TINV(0.05,COUNT('E sakazaki'!L2:L80)-2)</f>
        <v>1.9912543953883848</v>
      </c>
    </row>
    <row r="8" spans="1:4" x14ac:dyDescent="0.2">
      <c r="A8" t="s">
        <v>1355</v>
      </c>
      <c r="B8" s="10">
        <f>SUMXMY2('E sakazaki'!L2:L80,'E sakazaki'!M2:M80)</f>
        <v>17.199178932355338</v>
      </c>
    </row>
    <row r="9" spans="1:4" x14ac:dyDescent="0.2">
      <c r="A9" t="s">
        <v>1354</v>
      </c>
      <c r="B9" s="10">
        <f>SQRT(B8/(COUNT('E sakazaki'!L2:L80)-2))</f>
        <v>0.47261608114881037</v>
      </c>
    </row>
    <row r="10" spans="1:4" x14ac:dyDescent="0.2">
      <c r="A10" t="s">
        <v>1351</v>
      </c>
      <c r="B10" s="10">
        <f>INTERCEPT('E sakazaki'!L2:L80,'E sakazaki'!I2:I80)-B6/B5</f>
        <v>-1.5136215948373195</v>
      </c>
      <c r="C10" s="10">
        <f>INTERCEPT('E sakazaki'!L2:L28,'E sakazaki'!I2:I28)</f>
        <v>15.063260283257176</v>
      </c>
      <c r="D10" t="s">
        <v>202</v>
      </c>
    </row>
    <row r="11" spans="1:4" x14ac:dyDescent="0.2">
      <c r="A11" t="s">
        <v>135</v>
      </c>
      <c r="B11" s="10">
        <f>B10+B7*B9</f>
        <v>-0.57252274591851726</v>
      </c>
    </row>
    <row r="13" spans="1:4" x14ac:dyDescent="0.2">
      <c r="A13" t="s">
        <v>1348</v>
      </c>
      <c r="B13" t="s">
        <v>1344</v>
      </c>
      <c r="C13" t="s">
        <v>1352</v>
      </c>
    </row>
    <row r="14" spans="1:4" x14ac:dyDescent="0.2">
      <c r="A14">
        <v>45</v>
      </c>
      <c r="B14" s="10">
        <f t="shared" ref="B14:B29" si="0">$B$10-(A14-$B$6)/$B$5</f>
        <v>2.4370068245737726</v>
      </c>
      <c r="C14" s="10">
        <f t="shared" ref="C14:C29" si="1">B14+$B$7*$B$9</f>
        <v>3.3781056734925747</v>
      </c>
    </row>
    <row r="15" spans="1:4" x14ac:dyDescent="0.2">
      <c r="A15">
        <f>A14+5</f>
        <v>50</v>
      </c>
      <c r="B15" s="10">
        <f t="shared" si="0"/>
        <v>1.6468811406915544</v>
      </c>
      <c r="C15" s="10">
        <f t="shared" si="1"/>
        <v>2.5879799896103566</v>
      </c>
    </row>
    <row r="16" spans="1:4" x14ac:dyDescent="0.2">
      <c r="A16">
        <f t="shared" ref="A16:A29" si="2">A15+5</f>
        <v>55</v>
      </c>
      <c r="B16" s="10">
        <f t="shared" si="0"/>
        <v>0.85675545680933585</v>
      </c>
      <c r="C16" s="10">
        <f t="shared" si="1"/>
        <v>1.797854305728138</v>
      </c>
    </row>
    <row r="17" spans="1:3" x14ac:dyDescent="0.2">
      <c r="A17">
        <f t="shared" si="2"/>
        <v>60</v>
      </c>
      <c r="B17" s="10">
        <f t="shared" si="0"/>
        <v>6.662977292711747E-2</v>
      </c>
      <c r="C17" s="10">
        <f t="shared" si="1"/>
        <v>1.0077286218459198</v>
      </c>
    </row>
    <row r="18" spans="1:3" x14ac:dyDescent="0.2">
      <c r="A18">
        <f t="shared" si="2"/>
        <v>65</v>
      </c>
      <c r="B18" s="10">
        <f t="shared" si="0"/>
        <v>-0.72349591095510102</v>
      </c>
      <c r="C18" s="10">
        <f t="shared" si="1"/>
        <v>0.21760293796370123</v>
      </c>
    </row>
    <row r="19" spans="1:3" x14ac:dyDescent="0.2">
      <c r="A19">
        <f t="shared" si="2"/>
        <v>70</v>
      </c>
      <c r="B19" s="10">
        <f t="shared" si="0"/>
        <v>-1.5136215948373195</v>
      </c>
      <c r="C19" s="10">
        <f t="shared" si="1"/>
        <v>-0.57252274591851726</v>
      </c>
    </row>
    <row r="20" spans="1:3" x14ac:dyDescent="0.2">
      <c r="A20">
        <f t="shared" si="2"/>
        <v>75</v>
      </c>
      <c r="B20" s="10">
        <f t="shared" si="0"/>
        <v>-2.3037472787195381</v>
      </c>
      <c r="C20" s="10">
        <f t="shared" si="1"/>
        <v>-1.362648429800736</v>
      </c>
    </row>
    <row r="21" spans="1:3" x14ac:dyDescent="0.2">
      <c r="A21">
        <f t="shared" si="2"/>
        <v>80</v>
      </c>
      <c r="B21" s="10">
        <f t="shared" si="0"/>
        <v>-3.0938729626017567</v>
      </c>
      <c r="C21" s="10">
        <f t="shared" si="1"/>
        <v>-2.1527741136829546</v>
      </c>
    </row>
    <row r="22" spans="1:3" x14ac:dyDescent="0.2">
      <c r="A22">
        <f t="shared" si="2"/>
        <v>85</v>
      </c>
      <c r="B22" s="10">
        <f t="shared" si="0"/>
        <v>-3.8839986464839749</v>
      </c>
      <c r="C22" s="10">
        <f t="shared" si="1"/>
        <v>-2.9428997975651727</v>
      </c>
    </row>
    <row r="23" spans="1:3" x14ac:dyDescent="0.2">
      <c r="A23">
        <f t="shared" si="2"/>
        <v>90</v>
      </c>
      <c r="B23" s="10">
        <f t="shared" si="0"/>
        <v>-4.6741243303661939</v>
      </c>
      <c r="C23" s="10">
        <f t="shared" si="1"/>
        <v>-3.7330254814473918</v>
      </c>
    </row>
    <row r="24" spans="1:3" x14ac:dyDescent="0.2">
      <c r="A24">
        <f t="shared" si="2"/>
        <v>95</v>
      </c>
      <c r="B24" s="10">
        <f t="shared" si="0"/>
        <v>-5.4642500142484121</v>
      </c>
      <c r="C24" s="10">
        <f t="shared" si="1"/>
        <v>-4.5231511653296099</v>
      </c>
    </row>
    <row r="25" spans="1:3" x14ac:dyDescent="0.2">
      <c r="A25">
        <f t="shared" si="2"/>
        <v>100</v>
      </c>
      <c r="B25" s="10">
        <f t="shared" si="0"/>
        <v>-6.2543756981306302</v>
      </c>
      <c r="C25" s="10">
        <f t="shared" si="1"/>
        <v>-5.3132768492118281</v>
      </c>
    </row>
    <row r="26" spans="1:3" x14ac:dyDescent="0.2">
      <c r="A26">
        <f t="shared" si="2"/>
        <v>105</v>
      </c>
      <c r="B26" s="10">
        <f t="shared" si="0"/>
        <v>-7.0445013820128484</v>
      </c>
      <c r="C26" s="10">
        <f t="shared" si="1"/>
        <v>-6.1034025330940462</v>
      </c>
    </row>
    <row r="27" spans="1:3" x14ac:dyDescent="0.2">
      <c r="A27">
        <f t="shared" si="2"/>
        <v>110</v>
      </c>
      <c r="B27" s="10">
        <f t="shared" si="0"/>
        <v>-7.8346270658950674</v>
      </c>
      <c r="C27" s="10">
        <f t="shared" si="1"/>
        <v>-6.8935282169762653</v>
      </c>
    </row>
    <row r="28" spans="1:3" x14ac:dyDescent="0.2">
      <c r="A28">
        <f t="shared" si="2"/>
        <v>115</v>
      </c>
      <c r="B28" s="10">
        <f t="shared" si="0"/>
        <v>-8.6247527497772865</v>
      </c>
      <c r="C28" s="10">
        <f t="shared" si="1"/>
        <v>-7.6836539008584843</v>
      </c>
    </row>
    <row r="29" spans="1:3" x14ac:dyDescent="0.2">
      <c r="A29">
        <f t="shared" si="2"/>
        <v>120</v>
      </c>
      <c r="B29" s="10">
        <f t="shared" si="0"/>
        <v>-9.4148784336595028</v>
      </c>
      <c r="C29" s="10">
        <f t="shared" si="1"/>
        <v>-8.4737795847407007</v>
      </c>
    </row>
    <row r="36" spans="1:7" x14ac:dyDescent="0.2">
      <c r="A36" s="24"/>
    </row>
    <row r="39" spans="1:7" x14ac:dyDescent="0.2">
      <c r="B39" s="10"/>
      <c r="E39" s="25"/>
      <c r="G39" s="25"/>
    </row>
    <row r="40" spans="1:7" x14ac:dyDescent="0.2">
      <c r="B40" s="10"/>
      <c r="E40" s="25"/>
      <c r="G40" s="25"/>
    </row>
    <row r="41" spans="1:7" x14ac:dyDescent="0.2">
      <c r="B41" s="10"/>
      <c r="E41" s="10"/>
      <c r="G41" s="10"/>
    </row>
    <row r="42" spans="1:7" x14ac:dyDescent="0.2">
      <c r="E42" s="10"/>
    </row>
    <row r="45" spans="1:7" x14ac:dyDescent="0.2">
      <c r="B45" s="10"/>
    </row>
    <row r="47" spans="1:7" x14ac:dyDescent="0.2">
      <c r="B47" s="10"/>
    </row>
    <row r="50" spans="1:1" x14ac:dyDescent="0.2">
      <c r="A50" s="24"/>
    </row>
  </sheetData>
  <phoneticPr fontId="0" type="noConversion"/>
  <pageMargins left="0.75" right="0.75" top="1" bottom="1" header="0.5" footer="0.5"/>
  <headerFooter alignWithMargins="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filterMode="1"/>
  <dimension ref="A1:X401"/>
  <sheetViews>
    <sheetView tabSelected="1" topLeftCell="E1" workbookViewId="0">
      <pane ySplit="1" topLeftCell="A95" activePane="bottomLeft" state="frozen"/>
      <selection pane="bottomLeft" activeCell="P99" sqref="P99"/>
    </sheetView>
  </sheetViews>
  <sheetFormatPr defaultRowHeight="12.75" x14ac:dyDescent="0.2"/>
  <cols>
    <col min="1" max="1" width="16.140625" customWidth="1"/>
    <col min="3" max="4" width="10" customWidth="1"/>
    <col min="5" max="5" width="16.28515625" customWidth="1"/>
    <col min="6" max="6" width="22.42578125" customWidth="1"/>
    <col min="7" max="7" width="14.5703125" customWidth="1"/>
    <col min="8" max="8" width="11.5703125" customWidth="1"/>
    <col min="9" max="9" width="8.5703125" style="4" customWidth="1"/>
    <col min="10" max="10" width="10.28515625" style="23" customWidth="1"/>
    <col min="11" max="11" width="9.140625" style="11" customWidth="1"/>
    <col min="12" max="12" width="9.140625" style="4" customWidth="1"/>
    <col min="13" max="13" width="9.140625" style="11" customWidth="1"/>
    <col min="14" max="14" width="13" style="4" customWidth="1"/>
    <col min="17" max="17" width="39.42578125" customWidth="1"/>
    <col min="18" max="18" width="7.7109375" customWidth="1"/>
    <col min="19" max="19" width="7" customWidth="1"/>
    <col min="20" max="20" width="10" customWidth="1"/>
    <col min="22" max="22" width="13.28515625" customWidth="1"/>
    <col min="23" max="23" width="12.5703125" customWidth="1"/>
  </cols>
  <sheetData>
    <row r="1" spans="1:24" s="18" customFormat="1" ht="15" x14ac:dyDescent="0.25">
      <c r="A1" s="14" t="s">
        <v>1221</v>
      </c>
      <c r="B1" s="14" t="s">
        <v>64</v>
      </c>
      <c r="C1" s="14" t="s">
        <v>65</v>
      </c>
      <c r="D1" s="14" t="s">
        <v>1421</v>
      </c>
      <c r="E1" s="14" t="s">
        <v>39</v>
      </c>
      <c r="F1" s="14" t="s">
        <v>1222</v>
      </c>
      <c r="G1" s="14" t="s">
        <v>1255</v>
      </c>
      <c r="H1" s="14" t="s">
        <v>509</v>
      </c>
      <c r="I1" s="15" t="s">
        <v>1230</v>
      </c>
      <c r="J1" s="34" t="s">
        <v>1229</v>
      </c>
      <c r="K1" s="20" t="s">
        <v>1232</v>
      </c>
      <c r="L1" s="15" t="s">
        <v>1231</v>
      </c>
      <c r="M1" s="29" t="s">
        <v>1343</v>
      </c>
      <c r="N1" s="17" t="s">
        <v>1344</v>
      </c>
      <c r="O1" s="14" t="s">
        <v>1223</v>
      </c>
      <c r="P1" s="14" t="s">
        <v>1224</v>
      </c>
      <c r="Q1" s="14" t="s">
        <v>1225</v>
      </c>
      <c r="R1" s="32"/>
      <c r="S1" s="32"/>
      <c r="T1" s="32"/>
      <c r="U1" s="18" t="s">
        <v>255</v>
      </c>
      <c r="V1" s="18" t="s">
        <v>256</v>
      </c>
      <c r="W1" s="18" t="s">
        <v>257</v>
      </c>
      <c r="X1" s="18" t="s">
        <v>258</v>
      </c>
    </row>
    <row r="2" spans="1:24" hidden="1" x14ac:dyDescent="0.2">
      <c r="A2" s="1" t="s">
        <v>1329</v>
      </c>
      <c r="B2" s="1" t="s">
        <v>1330</v>
      </c>
      <c r="C2" s="1" t="s">
        <v>1340</v>
      </c>
      <c r="D2" s="1"/>
      <c r="E2" s="1" t="s">
        <v>42</v>
      </c>
      <c r="F2" s="2" t="s">
        <v>1334</v>
      </c>
      <c r="G2" s="8">
        <v>0.4</v>
      </c>
      <c r="H2" s="27"/>
      <c r="I2" s="5"/>
      <c r="J2" s="35">
        <v>57.2</v>
      </c>
      <c r="K2" s="9">
        <v>3.5</v>
      </c>
      <c r="L2" s="7"/>
      <c r="M2" s="12">
        <f t="shared" ref="M2:M25" si="0">LOG(K2)</f>
        <v>0.54406804435027567</v>
      </c>
      <c r="N2" s="11">
        <f>GraphEcoli!B$10-('E coli'!J2-GraphEcoli!$B$6)/GraphEcoli!$B$5</f>
        <v>0.53014492900312638</v>
      </c>
      <c r="O2" s="2" t="s">
        <v>1226</v>
      </c>
      <c r="P2">
        <v>1996</v>
      </c>
      <c r="V2" s="10">
        <f>GraphEcoli!$B$40*'E coli'!J2+GraphEcoli!$B$41</f>
        <v>0.53014492900312682</v>
      </c>
      <c r="W2" s="10">
        <f>GraphEcoli!$E$40*'E coli'!J2+GraphEcoli!$E$41</f>
        <v>0.52398573186551367</v>
      </c>
      <c r="X2" s="10"/>
    </row>
    <row r="3" spans="1:24" hidden="1" x14ac:dyDescent="0.2">
      <c r="A3" s="1" t="s">
        <v>1329</v>
      </c>
      <c r="B3" s="1" t="s">
        <v>1330</v>
      </c>
      <c r="C3" s="1" t="s">
        <v>1340</v>
      </c>
      <c r="D3" s="1"/>
      <c r="E3" s="1" t="s">
        <v>42</v>
      </c>
      <c r="F3" s="2" t="s">
        <v>1335</v>
      </c>
      <c r="G3" s="1" t="s">
        <v>1336</v>
      </c>
      <c r="H3" s="27"/>
      <c r="I3" s="5"/>
      <c r="J3" s="35">
        <v>57.2</v>
      </c>
      <c r="K3" s="9">
        <v>5.0999999999999996</v>
      </c>
      <c r="L3" s="7"/>
      <c r="M3" s="12">
        <f t="shared" si="0"/>
        <v>0.70757017609793638</v>
      </c>
      <c r="N3" s="11">
        <f>GraphEcoli!B$10-('E coli'!J3-GraphEcoli!$B$6)/GraphEcoli!$B$5</f>
        <v>0.53014492900312638</v>
      </c>
      <c r="O3" s="2" t="s">
        <v>1226</v>
      </c>
      <c r="P3">
        <v>1996</v>
      </c>
      <c r="V3" s="10">
        <f>GraphEcoli!$B$40*'E coli'!J3+GraphEcoli!$B$41</f>
        <v>0.53014492900312682</v>
      </c>
      <c r="W3" s="10">
        <f>GraphEcoli!$E$40*'E coli'!J3+GraphEcoli!$E$41</f>
        <v>0.52398573186551367</v>
      </c>
      <c r="X3" s="10"/>
    </row>
    <row r="4" spans="1:24" hidden="1" x14ac:dyDescent="0.2">
      <c r="A4" s="1" t="s">
        <v>1329</v>
      </c>
      <c r="B4" s="1" t="s">
        <v>1330</v>
      </c>
      <c r="C4" s="1" t="s">
        <v>1340</v>
      </c>
      <c r="D4" s="1"/>
      <c r="E4" s="1" t="s">
        <v>42</v>
      </c>
      <c r="F4" s="1" t="s">
        <v>1240</v>
      </c>
      <c r="G4" s="1" t="s">
        <v>1333</v>
      </c>
      <c r="H4" s="27"/>
      <c r="I4" s="5"/>
      <c r="J4" s="35">
        <v>57.2</v>
      </c>
      <c r="K4" s="9">
        <v>2.6</v>
      </c>
      <c r="L4" s="7"/>
      <c r="M4" s="12">
        <f t="shared" si="0"/>
        <v>0.41497334797081797</v>
      </c>
      <c r="N4" s="11">
        <f>GraphEcoli!B$10-('E coli'!J4-GraphEcoli!$B$6)/GraphEcoli!$B$5</f>
        <v>0.53014492900312638</v>
      </c>
      <c r="O4" s="2" t="s">
        <v>1226</v>
      </c>
      <c r="P4">
        <v>1996</v>
      </c>
      <c r="V4" s="10">
        <f>GraphEcoli!$B$40*'E coli'!J4+GraphEcoli!$B$41</f>
        <v>0.53014492900312682</v>
      </c>
      <c r="W4" s="10">
        <f>GraphEcoli!$E$40*'E coli'!J4+GraphEcoli!$E$41</f>
        <v>0.52398573186551367</v>
      </c>
      <c r="X4" s="10"/>
    </row>
    <row r="5" spans="1:24" hidden="1" x14ac:dyDescent="0.2">
      <c r="A5" s="1" t="s">
        <v>1329</v>
      </c>
      <c r="B5" s="1" t="s">
        <v>1330</v>
      </c>
      <c r="C5" s="1" t="s">
        <v>1340</v>
      </c>
      <c r="D5" s="1"/>
      <c r="E5" s="1" t="s">
        <v>42</v>
      </c>
      <c r="F5" s="1" t="s">
        <v>1240</v>
      </c>
      <c r="G5" s="1" t="s">
        <v>1274</v>
      </c>
      <c r="H5" s="27"/>
      <c r="I5" s="5"/>
      <c r="J5" s="35">
        <v>57.2</v>
      </c>
      <c r="K5" s="9">
        <v>1.3</v>
      </c>
      <c r="L5" s="7"/>
      <c r="M5" s="12">
        <f t="shared" si="0"/>
        <v>0.11394335230683679</v>
      </c>
      <c r="N5" s="11">
        <f>GraphEcoli!B$10-('E coli'!J5-GraphEcoli!$B$6)/GraphEcoli!$B$5</f>
        <v>0.53014492900312638</v>
      </c>
      <c r="O5" s="2" t="s">
        <v>1226</v>
      </c>
      <c r="P5">
        <v>1996</v>
      </c>
      <c r="V5" s="10">
        <f>GraphEcoli!$B$40*'E coli'!J5+GraphEcoli!$B$41</f>
        <v>0.53014492900312682</v>
      </c>
      <c r="W5" s="10">
        <f>GraphEcoli!$E$40*'E coli'!J5+GraphEcoli!$E$41</f>
        <v>0.52398573186551367</v>
      </c>
      <c r="X5" s="10"/>
    </row>
    <row r="6" spans="1:24" hidden="1" x14ac:dyDescent="0.2">
      <c r="A6" s="1" t="s">
        <v>1329</v>
      </c>
      <c r="B6" s="1" t="s">
        <v>1330</v>
      </c>
      <c r="C6" s="1" t="s">
        <v>1427</v>
      </c>
      <c r="D6" s="1" t="s">
        <v>1426</v>
      </c>
      <c r="E6" s="1" t="s">
        <v>42</v>
      </c>
      <c r="F6" t="s">
        <v>1240</v>
      </c>
      <c r="G6" s="1" t="s">
        <v>1261</v>
      </c>
      <c r="H6" s="27"/>
      <c r="J6" s="23">
        <v>50</v>
      </c>
      <c r="K6" s="11">
        <v>20.58</v>
      </c>
      <c r="M6" s="12">
        <f t="shared" si="0"/>
        <v>1.3134453704264142</v>
      </c>
      <c r="N6" s="11">
        <f>GraphEcoli!B$10-('E coli'!J6-GraphEcoli!$B$6)/GraphEcoli!$B$5</f>
        <v>1.2072768686119482</v>
      </c>
      <c r="O6" s="2" t="s">
        <v>1430</v>
      </c>
      <c r="P6">
        <v>1980</v>
      </c>
      <c r="V6" s="10">
        <f>GraphEcoli!$B$40*'E coli'!J6+GraphEcoli!$B$41</f>
        <v>1.2072768686119479</v>
      </c>
      <c r="W6" s="10">
        <f>GraphEcoli!$E$40*'E coli'!J6+GraphEcoli!$E$41</f>
        <v>1.1542723610342316</v>
      </c>
      <c r="X6" s="10"/>
    </row>
    <row r="7" spans="1:24" hidden="1" x14ac:dyDescent="0.2">
      <c r="A7" s="1" t="s">
        <v>1329</v>
      </c>
      <c r="B7" s="1" t="s">
        <v>1330</v>
      </c>
      <c r="C7" s="1" t="s">
        <v>1427</v>
      </c>
      <c r="D7" s="1" t="s">
        <v>1426</v>
      </c>
      <c r="E7" s="1" t="s">
        <v>42</v>
      </c>
      <c r="F7" t="s">
        <v>1240</v>
      </c>
      <c r="G7" s="1" t="s">
        <v>1261</v>
      </c>
      <c r="H7" s="27"/>
      <c r="J7" s="23">
        <v>55</v>
      </c>
      <c r="K7" s="11">
        <v>5.53</v>
      </c>
      <c r="M7" s="12">
        <f t="shared" si="0"/>
        <v>0.74272513130469831</v>
      </c>
      <c r="N7" s="11">
        <f>GraphEcoli!B$10-('E coli'!J7-GraphEcoli!$B$6)/GraphEcoli!$B$5</f>
        <v>0.73704635499471105</v>
      </c>
      <c r="O7" s="2" t="s">
        <v>1430</v>
      </c>
      <c r="P7">
        <v>1980</v>
      </c>
      <c r="V7" s="10">
        <f>GraphEcoli!$B$40*'E coli'!J7+GraphEcoli!$B$41</f>
        <v>0.73704635499471127</v>
      </c>
      <c r="W7" s="10">
        <f>GraphEcoli!$E$40*'E coli'!J7+GraphEcoli!$E$41</f>
        <v>0.71657331300039928</v>
      </c>
      <c r="X7" s="10"/>
    </row>
    <row r="8" spans="1:24" hidden="1" x14ac:dyDescent="0.2">
      <c r="A8" s="1" t="s">
        <v>1329</v>
      </c>
      <c r="B8" s="1" t="s">
        <v>1330</v>
      </c>
      <c r="C8" s="1" t="s">
        <v>1429</v>
      </c>
      <c r="D8" s="1" t="s">
        <v>1426</v>
      </c>
      <c r="E8" s="1" t="s">
        <v>42</v>
      </c>
      <c r="F8" t="s">
        <v>1240</v>
      </c>
      <c r="G8" s="1" t="s">
        <v>1261</v>
      </c>
      <c r="H8" s="27"/>
      <c r="J8" s="23">
        <v>50</v>
      </c>
      <c r="K8" s="11">
        <v>50.37</v>
      </c>
      <c r="M8" s="12">
        <f t="shared" si="0"/>
        <v>1.7021719508577111</v>
      </c>
      <c r="N8" s="11">
        <f>GraphEcoli!B$10-('E coli'!J8-GraphEcoli!$B$6)/GraphEcoli!$B$5</f>
        <v>1.2072768686119482</v>
      </c>
      <c r="O8" s="2" t="s">
        <v>1430</v>
      </c>
      <c r="P8">
        <v>1980</v>
      </c>
      <c r="V8" s="10">
        <f>GraphEcoli!$B$40*'E coli'!J8+GraphEcoli!$B$41</f>
        <v>1.2072768686119479</v>
      </c>
      <c r="W8" s="10">
        <f>GraphEcoli!$E$40*'E coli'!J8+GraphEcoli!$E$41</f>
        <v>1.1542723610342316</v>
      </c>
      <c r="X8" s="10"/>
    </row>
    <row r="9" spans="1:24" hidden="1" x14ac:dyDescent="0.2">
      <c r="A9" s="1" t="s">
        <v>1329</v>
      </c>
      <c r="B9" s="1" t="s">
        <v>1330</v>
      </c>
      <c r="C9" s="1" t="s">
        <v>1429</v>
      </c>
      <c r="D9" s="1" t="s">
        <v>1426</v>
      </c>
      <c r="E9" s="1" t="s">
        <v>42</v>
      </c>
      <c r="F9" t="s">
        <v>1240</v>
      </c>
      <c r="G9" s="1" t="s">
        <v>1261</v>
      </c>
      <c r="H9" s="27"/>
      <c r="J9" s="23">
        <v>55</v>
      </c>
      <c r="K9" s="11">
        <v>27.32</v>
      </c>
      <c r="M9" s="12">
        <f t="shared" si="0"/>
        <v>1.436480695009495</v>
      </c>
      <c r="N9" s="11">
        <f>GraphEcoli!B$10-('E coli'!J9-GraphEcoli!$B$6)/GraphEcoli!$B$5</f>
        <v>0.73704635499471105</v>
      </c>
      <c r="O9" s="2" t="s">
        <v>1430</v>
      </c>
      <c r="P9">
        <v>1980</v>
      </c>
      <c r="V9" s="10">
        <f>GraphEcoli!$B$40*'E coli'!J9+GraphEcoli!$B$41</f>
        <v>0.73704635499471127</v>
      </c>
      <c r="W9" s="10">
        <f>GraphEcoli!$E$40*'E coli'!J9+GraphEcoli!$E$41</f>
        <v>0.71657331300039928</v>
      </c>
      <c r="X9" s="10"/>
    </row>
    <row r="10" spans="1:24" hidden="1" x14ac:dyDescent="0.2">
      <c r="A10" s="1" t="s">
        <v>1329</v>
      </c>
      <c r="B10" s="1" t="s">
        <v>1330</v>
      </c>
      <c r="C10" s="1" t="s">
        <v>1429</v>
      </c>
      <c r="D10" s="1" t="s">
        <v>1426</v>
      </c>
      <c r="E10" s="1" t="s">
        <v>42</v>
      </c>
      <c r="F10" t="s">
        <v>1240</v>
      </c>
      <c r="G10" s="1" t="s">
        <v>1261</v>
      </c>
      <c r="H10" s="27"/>
      <c r="J10" s="23">
        <v>60</v>
      </c>
      <c r="K10" s="11">
        <v>7.79</v>
      </c>
      <c r="M10" s="12">
        <f t="shared" si="0"/>
        <v>0.89153745767256443</v>
      </c>
      <c r="N10" s="11">
        <f>GraphEcoli!B$10-('E coli'!J10-GraphEcoli!$B$6)/GraphEcoli!$B$5</f>
        <v>0.26681584137747383</v>
      </c>
      <c r="O10" s="2" t="s">
        <v>1430</v>
      </c>
      <c r="P10">
        <v>1980</v>
      </c>
      <c r="V10" s="10">
        <f>GraphEcoli!$B$40*'E coli'!J10+GraphEcoli!$B$41</f>
        <v>0.26681584137747372</v>
      </c>
      <c r="W10" s="10">
        <f>GraphEcoli!$E$40*'E coli'!J10+GraphEcoli!$E$41</f>
        <v>0.27887426496656786</v>
      </c>
      <c r="X10" s="10"/>
    </row>
    <row r="11" spans="1:24" hidden="1" x14ac:dyDescent="0.2">
      <c r="A11" s="1" t="s">
        <v>1329</v>
      </c>
      <c r="B11" s="1" t="s">
        <v>1330</v>
      </c>
      <c r="C11" s="1"/>
      <c r="D11" s="1" t="s">
        <v>1422</v>
      </c>
      <c r="E11" s="1" t="s">
        <v>42</v>
      </c>
      <c r="F11" t="s">
        <v>1240</v>
      </c>
      <c r="G11" s="1" t="s">
        <v>1261</v>
      </c>
      <c r="H11" s="27"/>
      <c r="J11" s="23">
        <v>50</v>
      </c>
      <c r="K11" s="11">
        <v>51.87</v>
      </c>
      <c r="M11" s="12">
        <f t="shared" si="0"/>
        <v>1.7149162479935849</v>
      </c>
      <c r="N11" s="11">
        <f>GraphEcoli!B$10-('E coli'!J11-GraphEcoli!$B$6)/GraphEcoli!$B$5</f>
        <v>1.2072768686119482</v>
      </c>
      <c r="O11" s="2" t="s">
        <v>1430</v>
      </c>
      <c r="P11">
        <v>1980</v>
      </c>
      <c r="V11" s="10">
        <f>GraphEcoli!$B$40*'E coli'!J11+GraphEcoli!$B$41</f>
        <v>1.2072768686119479</v>
      </c>
      <c r="W11" s="10">
        <f>GraphEcoli!$E$40*'E coli'!J11+GraphEcoli!$E$41</f>
        <v>1.1542723610342316</v>
      </c>
      <c r="X11" s="10"/>
    </row>
    <row r="12" spans="1:24" hidden="1" x14ac:dyDescent="0.2">
      <c r="A12" s="1" t="s">
        <v>1329</v>
      </c>
      <c r="B12" s="1" t="s">
        <v>1330</v>
      </c>
      <c r="C12" s="1"/>
      <c r="D12" s="1" t="s">
        <v>1422</v>
      </c>
      <c r="E12" s="1" t="s">
        <v>42</v>
      </c>
      <c r="F12" t="s">
        <v>1240</v>
      </c>
      <c r="G12" s="1" t="s">
        <v>1261</v>
      </c>
      <c r="H12" s="27"/>
      <c r="J12" s="23">
        <v>55</v>
      </c>
      <c r="K12" s="11">
        <v>34.49</v>
      </c>
      <c r="M12" s="12">
        <f t="shared" si="0"/>
        <v>1.5376931943673908</v>
      </c>
      <c r="N12" s="11">
        <f>GraphEcoli!B$10-('E coli'!J12-GraphEcoli!$B$6)/GraphEcoli!$B$5</f>
        <v>0.73704635499471105</v>
      </c>
      <c r="O12" s="2" t="s">
        <v>1430</v>
      </c>
      <c r="P12">
        <v>1980</v>
      </c>
      <c r="V12" s="10">
        <f>GraphEcoli!$B$40*'E coli'!J12+GraphEcoli!$B$41</f>
        <v>0.73704635499471127</v>
      </c>
      <c r="W12" s="10">
        <f>GraphEcoli!$E$40*'E coli'!J12+GraphEcoli!$E$41</f>
        <v>0.71657331300039928</v>
      </c>
      <c r="X12" s="10"/>
    </row>
    <row r="13" spans="1:24" hidden="1" x14ac:dyDescent="0.2">
      <c r="A13" s="1" t="s">
        <v>1329</v>
      </c>
      <c r="B13" s="1" t="s">
        <v>1330</v>
      </c>
      <c r="C13" s="1"/>
      <c r="D13" s="1" t="s">
        <v>1422</v>
      </c>
      <c r="E13" s="1" t="s">
        <v>42</v>
      </c>
      <c r="F13" t="s">
        <v>1240</v>
      </c>
      <c r="G13" s="1" t="s">
        <v>1261</v>
      </c>
      <c r="H13" s="27"/>
      <c r="J13" s="23">
        <v>60</v>
      </c>
      <c r="K13" s="11">
        <v>8.3699999999999992</v>
      </c>
      <c r="M13" s="12">
        <f t="shared" si="0"/>
        <v>0.92272545799326</v>
      </c>
      <c r="N13" s="11">
        <f>GraphEcoli!B$10-('E coli'!J13-GraphEcoli!$B$6)/GraphEcoli!$B$5</f>
        <v>0.26681584137747383</v>
      </c>
      <c r="O13" s="2" t="s">
        <v>1430</v>
      </c>
      <c r="P13">
        <v>1980</v>
      </c>
      <c r="V13" s="10">
        <f>GraphEcoli!$B$40*'E coli'!J13+GraphEcoli!$B$41</f>
        <v>0.26681584137747372</v>
      </c>
      <c r="W13" s="10">
        <f>GraphEcoli!$E$40*'E coli'!J13+GraphEcoli!$E$41</f>
        <v>0.27887426496656786</v>
      </c>
      <c r="X13" s="10"/>
    </row>
    <row r="14" spans="1:24" hidden="1" x14ac:dyDescent="0.2">
      <c r="A14" s="1" t="s">
        <v>1329</v>
      </c>
      <c r="B14" s="1" t="s">
        <v>1330</v>
      </c>
      <c r="C14" s="1" t="s">
        <v>1425</v>
      </c>
      <c r="D14" s="1" t="s">
        <v>1424</v>
      </c>
      <c r="E14" s="1" t="s">
        <v>42</v>
      </c>
      <c r="F14" s="1" t="s">
        <v>1240</v>
      </c>
      <c r="G14" s="1" t="s">
        <v>1451</v>
      </c>
      <c r="H14" s="27"/>
      <c r="I14" s="5"/>
      <c r="J14" s="35">
        <v>55</v>
      </c>
      <c r="K14" s="9">
        <v>8.5</v>
      </c>
      <c r="L14" s="7"/>
      <c r="M14" s="12">
        <f t="shared" si="0"/>
        <v>0.92941892571429274</v>
      </c>
      <c r="N14" s="11">
        <f>GraphEcoli!B$10-('E coli'!J14-GraphEcoli!$B$6)/GraphEcoli!$B$5</f>
        <v>0.73704635499471105</v>
      </c>
      <c r="O14" s="2" t="s">
        <v>1226</v>
      </c>
      <c r="P14">
        <v>1996</v>
      </c>
      <c r="Q14" t="s">
        <v>1431</v>
      </c>
      <c r="V14" s="10">
        <f>GraphEcoli!$B$40*'E coli'!J14+GraphEcoli!$B$41</f>
        <v>0.73704635499471127</v>
      </c>
      <c r="W14" s="10">
        <f>GraphEcoli!$E$40*'E coli'!J14+GraphEcoli!$E$41</f>
        <v>0.71657331300039928</v>
      </c>
      <c r="X14" s="10"/>
    </row>
    <row r="15" spans="1:24" hidden="1" x14ac:dyDescent="0.2">
      <c r="A15" s="1" t="s">
        <v>1329</v>
      </c>
      <c r="B15" s="1" t="s">
        <v>1330</v>
      </c>
      <c r="C15" s="1" t="s">
        <v>1425</v>
      </c>
      <c r="D15" s="1" t="s">
        <v>1424</v>
      </c>
      <c r="E15" s="1" t="s">
        <v>42</v>
      </c>
      <c r="F15" s="1" t="s">
        <v>1240</v>
      </c>
      <c r="G15" s="1" t="s">
        <v>0</v>
      </c>
      <c r="H15" s="27"/>
      <c r="I15" s="5"/>
      <c r="J15" s="35">
        <v>55</v>
      </c>
      <c r="K15" s="9">
        <v>11</v>
      </c>
      <c r="L15" s="7"/>
      <c r="M15" s="12">
        <f t="shared" si="0"/>
        <v>1.0413926851582251</v>
      </c>
      <c r="N15" s="11">
        <f>GraphEcoli!B$10-('E coli'!J15-GraphEcoli!$B$6)/GraphEcoli!$B$5</f>
        <v>0.73704635499471105</v>
      </c>
      <c r="O15" s="2" t="s">
        <v>1226</v>
      </c>
      <c r="P15">
        <v>1996</v>
      </c>
      <c r="V15" s="10">
        <f>GraphEcoli!$B$40*'E coli'!J15+GraphEcoli!$B$41</f>
        <v>0.73704635499471127</v>
      </c>
      <c r="W15" s="10">
        <f>GraphEcoli!$E$40*'E coli'!J15+GraphEcoli!$E$41</f>
        <v>0.71657331300039928</v>
      </c>
      <c r="X15" s="10"/>
    </row>
    <row r="16" spans="1:24" hidden="1" x14ac:dyDescent="0.2">
      <c r="A16" s="1" t="s">
        <v>1329</v>
      </c>
      <c r="B16" s="1" t="s">
        <v>1330</v>
      </c>
      <c r="C16" s="1" t="s">
        <v>1425</v>
      </c>
      <c r="D16" s="1" t="s">
        <v>1424</v>
      </c>
      <c r="E16" s="1" t="s">
        <v>42</v>
      </c>
      <c r="F16" s="1" t="s">
        <v>1240</v>
      </c>
      <c r="G16" s="1" t="s">
        <v>1</v>
      </c>
      <c r="H16" s="27"/>
      <c r="I16" s="5"/>
      <c r="J16" s="35">
        <v>55</v>
      </c>
      <c r="K16" s="9">
        <v>14.5</v>
      </c>
      <c r="L16" s="7"/>
      <c r="M16" s="12">
        <f t="shared" si="0"/>
        <v>1.1613680022349748</v>
      </c>
      <c r="N16" s="11">
        <f>GraphEcoli!B$10-('E coli'!J16-GraphEcoli!$B$6)/GraphEcoli!$B$5</f>
        <v>0.73704635499471105</v>
      </c>
      <c r="O16" s="2" t="s">
        <v>1226</v>
      </c>
      <c r="P16">
        <v>1996</v>
      </c>
      <c r="Q16" t="s">
        <v>1431</v>
      </c>
      <c r="V16" s="10">
        <f>GraphEcoli!$B$40*'E coli'!J16+GraphEcoli!$B$41</f>
        <v>0.73704635499471127</v>
      </c>
      <c r="W16" s="10">
        <f>GraphEcoli!$E$40*'E coli'!J16+GraphEcoli!$E$41</f>
        <v>0.71657331300039928</v>
      </c>
      <c r="X16" s="10"/>
    </row>
    <row r="17" spans="1:24" hidden="1" x14ac:dyDescent="0.2">
      <c r="A17" s="1" t="s">
        <v>1329</v>
      </c>
      <c r="B17" s="1" t="s">
        <v>1330</v>
      </c>
      <c r="C17" s="1" t="s">
        <v>1425</v>
      </c>
      <c r="D17" s="1" t="s">
        <v>1424</v>
      </c>
      <c r="E17" s="1" t="s">
        <v>42</v>
      </c>
      <c r="F17" s="1" t="s">
        <v>1240</v>
      </c>
      <c r="G17" s="1" t="s">
        <v>2</v>
      </c>
      <c r="H17" s="27"/>
      <c r="I17" s="5"/>
      <c r="J17" s="35">
        <v>55</v>
      </c>
      <c r="K17" s="9">
        <v>23.5</v>
      </c>
      <c r="L17" s="7"/>
      <c r="M17" s="12">
        <f t="shared" si="0"/>
        <v>1.3710678622717363</v>
      </c>
      <c r="N17" s="11">
        <f>GraphEcoli!B$10-('E coli'!J17-GraphEcoli!$B$6)/GraphEcoli!$B$5</f>
        <v>0.73704635499471105</v>
      </c>
      <c r="O17" s="2" t="s">
        <v>1226</v>
      </c>
      <c r="P17">
        <v>1996</v>
      </c>
      <c r="V17" s="10">
        <f>GraphEcoli!$B$40*'E coli'!J17+GraphEcoli!$B$41</f>
        <v>0.73704635499471127</v>
      </c>
      <c r="W17" s="10">
        <f>GraphEcoli!$E$40*'E coli'!J17+GraphEcoli!$E$41</f>
        <v>0.71657331300039928</v>
      </c>
      <c r="X17" s="10"/>
    </row>
    <row r="18" spans="1:24" hidden="1" x14ac:dyDescent="0.2">
      <c r="A18" s="1" t="s">
        <v>1329</v>
      </c>
      <c r="B18" s="1" t="s">
        <v>1330</v>
      </c>
      <c r="C18" s="1" t="s">
        <v>1427</v>
      </c>
      <c r="D18" s="1" t="s">
        <v>1426</v>
      </c>
      <c r="E18" s="1" t="s">
        <v>42</v>
      </c>
      <c r="F18" t="s">
        <v>1240</v>
      </c>
      <c r="G18" s="1" t="s">
        <v>1291</v>
      </c>
      <c r="H18" s="27"/>
      <c r="J18" s="23">
        <v>50</v>
      </c>
      <c r="K18" s="11">
        <v>24.32</v>
      </c>
      <c r="M18" s="12">
        <f t="shared" si="0"/>
        <v>1.3859635706006974</v>
      </c>
      <c r="N18" s="11">
        <f>GraphEcoli!B$10-('E coli'!J18-GraphEcoli!$B$6)/GraphEcoli!$B$5</f>
        <v>1.2072768686119482</v>
      </c>
      <c r="O18" s="2" t="s">
        <v>1430</v>
      </c>
      <c r="P18">
        <v>1980</v>
      </c>
      <c r="V18" s="10">
        <f>GraphEcoli!$B$40*'E coli'!J18+GraphEcoli!$B$41</f>
        <v>1.2072768686119479</v>
      </c>
      <c r="W18" s="10">
        <f>GraphEcoli!$E$40*'E coli'!J18+GraphEcoli!$E$41</f>
        <v>1.1542723610342316</v>
      </c>
      <c r="X18" s="10"/>
    </row>
    <row r="19" spans="1:24" hidden="1" x14ac:dyDescent="0.2">
      <c r="A19" s="1" t="s">
        <v>1329</v>
      </c>
      <c r="B19" s="1" t="s">
        <v>1330</v>
      </c>
      <c r="C19" s="1" t="s">
        <v>1427</v>
      </c>
      <c r="D19" s="1" t="s">
        <v>1426</v>
      </c>
      <c r="E19" s="1" t="s">
        <v>42</v>
      </c>
      <c r="F19" t="s">
        <v>1240</v>
      </c>
      <c r="G19" s="1" t="s">
        <v>1291</v>
      </c>
      <c r="H19" s="27"/>
      <c r="J19" s="23">
        <v>55</v>
      </c>
      <c r="K19" s="11">
        <v>6.56</v>
      </c>
      <c r="M19" s="12">
        <f t="shared" si="0"/>
        <v>0.81690383937566025</v>
      </c>
      <c r="N19" s="11">
        <f>GraphEcoli!B$10-('E coli'!J19-GraphEcoli!$B$6)/GraphEcoli!$B$5</f>
        <v>0.73704635499471105</v>
      </c>
      <c r="O19" s="2" t="s">
        <v>1430</v>
      </c>
      <c r="P19">
        <v>1980</v>
      </c>
      <c r="V19" s="10">
        <f>GraphEcoli!$B$40*'E coli'!J19+GraphEcoli!$B$41</f>
        <v>0.73704635499471127</v>
      </c>
      <c r="W19" s="10">
        <f>GraphEcoli!$E$40*'E coli'!J19+GraphEcoli!$E$41</f>
        <v>0.71657331300039928</v>
      </c>
      <c r="X19" s="10"/>
    </row>
    <row r="20" spans="1:24" hidden="1" x14ac:dyDescent="0.2">
      <c r="A20" s="1" t="s">
        <v>1329</v>
      </c>
      <c r="B20" s="1" t="s">
        <v>1330</v>
      </c>
      <c r="C20" s="1" t="s">
        <v>1429</v>
      </c>
      <c r="D20" s="1" t="s">
        <v>1426</v>
      </c>
      <c r="E20" s="1" t="s">
        <v>42</v>
      </c>
      <c r="F20" t="s">
        <v>1240</v>
      </c>
      <c r="G20" s="1" t="s">
        <v>1291</v>
      </c>
      <c r="H20" s="27"/>
      <c r="J20" s="23">
        <v>50</v>
      </c>
      <c r="K20" s="11">
        <v>55.24</v>
      </c>
      <c r="M20" s="12">
        <f t="shared" si="0"/>
        <v>1.7422536699065936</v>
      </c>
      <c r="N20" s="11">
        <f>GraphEcoli!B$10-('E coli'!J20-GraphEcoli!$B$6)/GraphEcoli!$B$5</f>
        <v>1.2072768686119482</v>
      </c>
      <c r="O20" s="2" t="s">
        <v>1430</v>
      </c>
      <c r="P20">
        <v>1980</v>
      </c>
      <c r="V20" s="10">
        <f>GraphEcoli!$B$40*'E coli'!J20+GraphEcoli!$B$41</f>
        <v>1.2072768686119479</v>
      </c>
      <c r="W20" s="10">
        <f>GraphEcoli!$E$40*'E coli'!J20+GraphEcoli!$E$41</f>
        <v>1.1542723610342316</v>
      </c>
      <c r="X20" s="10"/>
    </row>
    <row r="21" spans="1:24" hidden="1" x14ac:dyDescent="0.2">
      <c r="A21" s="1" t="s">
        <v>1329</v>
      </c>
      <c r="B21" s="1" t="s">
        <v>1330</v>
      </c>
      <c r="C21" s="1" t="s">
        <v>1429</v>
      </c>
      <c r="D21" s="1" t="s">
        <v>1426</v>
      </c>
      <c r="E21" s="1" t="s">
        <v>42</v>
      </c>
      <c r="F21" t="s">
        <v>1240</v>
      </c>
      <c r="G21" s="1" t="s">
        <v>1291</v>
      </c>
      <c r="H21" s="27"/>
      <c r="J21" s="23">
        <v>55</v>
      </c>
      <c r="K21" s="11">
        <v>33.28</v>
      </c>
      <c r="M21" s="12">
        <f t="shared" si="0"/>
        <v>1.5221833176186863</v>
      </c>
      <c r="N21" s="11">
        <f>GraphEcoli!B$10-('E coli'!J21-GraphEcoli!$B$6)/GraphEcoli!$B$5</f>
        <v>0.73704635499471105</v>
      </c>
      <c r="O21" s="2" t="s">
        <v>1430</v>
      </c>
      <c r="P21">
        <v>1980</v>
      </c>
      <c r="V21" s="10">
        <f>GraphEcoli!$B$40*'E coli'!J21+GraphEcoli!$B$41</f>
        <v>0.73704635499471127</v>
      </c>
      <c r="W21" s="10">
        <f>GraphEcoli!$E$40*'E coli'!J21+GraphEcoli!$E$41</f>
        <v>0.71657331300039928</v>
      </c>
      <c r="X21" s="10"/>
    </row>
    <row r="22" spans="1:24" hidden="1" x14ac:dyDescent="0.2">
      <c r="A22" s="1" t="s">
        <v>1329</v>
      </c>
      <c r="B22" s="1" t="s">
        <v>1330</v>
      </c>
      <c r="C22" s="1" t="s">
        <v>1429</v>
      </c>
      <c r="D22" s="1" t="s">
        <v>1426</v>
      </c>
      <c r="E22" s="1" t="s">
        <v>42</v>
      </c>
      <c r="F22" t="s">
        <v>1240</v>
      </c>
      <c r="G22" s="1" t="s">
        <v>1291</v>
      </c>
      <c r="H22" s="27"/>
      <c r="J22" s="23">
        <v>60</v>
      </c>
      <c r="K22" s="11">
        <v>8.2799999999999994</v>
      </c>
      <c r="M22" s="12">
        <f t="shared" si="0"/>
        <v>0.91803033678488011</v>
      </c>
      <c r="N22" s="11">
        <f>GraphEcoli!B$10-('E coli'!J22-GraphEcoli!$B$6)/GraphEcoli!$B$5</f>
        <v>0.26681584137747383</v>
      </c>
      <c r="O22" s="2" t="s">
        <v>1430</v>
      </c>
      <c r="P22">
        <v>1980</v>
      </c>
      <c r="V22" s="10">
        <f>GraphEcoli!$B$40*'E coli'!J22+GraphEcoli!$B$41</f>
        <v>0.26681584137747372</v>
      </c>
      <c r="W22" s="10">
        <f>GraphEcoli!$E$40*'E coli'!J22+GraphEcoli!$E$41</f>
        <v>0.27887426496656786</v>
      </c>
      <c r="X22" s="10"/>
    </row>
    <row r="23" spans="1:24" hidden="1" x14ac:dyDescent="0.2">
      <c r="A23" s="1" t="s">
        <v>1329</v>
      </c>
      <c r="B23" s="1" t="s">
        <v>1330</v>
      </c>
      <c r="C23" s="1"/>
      <c r="D23" s="1" t="s">
        <v>1422</v>
      </c>
      <c r="E23" s="1" t="s">
        <v>42</v>
      </c>
      <c r="F23" t="s">
        <v>1240</v>
      </c>
      <c r="G23" s="1" t="s">
        <v>1291</v>
      </c>
      <c r="H23" s="27"/>
      <c r="J23" s="23">
        <v>50</v>
      </c>
      <c r="K23" s="11">
        <v>58.52</v>
      </c>
      <c r="M23" s="12">
        <f t="shared" si="0"/>
        <v>1.7673043174532732</v>
      </c>
      <c r="N23" s="11">
        <f>GraphEcoli!B$10-('E coli'!J23-GraphEcoli!$B$6)/GraphEcoli!$B$5</f>
        <v>1.2072768686119482</v>
      </c>
      <c r="O23" s="2" t="s">
        <v>1430</v>
      </c>
      <c r="P23">
        <v>1980</v>
      </c>
      <c r="V23" s="10">
        <f>GraphEcoli!$B$40*'E coli'!J23+GraphEcoli!$B$41</f>
        <v>1.2072768686119479</v>
      </c>
      <c r="W23" s="10">
        <f>GraphEcoli!$E$40*'E coli'!J23+GraphEcoli!$E$41</f>
        <v>1.1542723610342316</v>
      </c>
      <c r="X23" s="10"/>
    </row>
    <row r="24" spans="1:24" hidden="1" x14ac:dyDescent="0.2">
      <c r="A24" s="1" t="s">
        <v>1329</v>
      </c>
      <c r="B24" s="1" t="s">
        <v>1330</v>
      </c>
      <c r="C24" s="1"/>
      <c r="D24" s="1" t="s">
        <v>1422</v>
      </c>
      <c r="E24" s="1" t="s">
        <v>42</v>
      </c>
      <c r="F24" t="s">
        <v>1240</v>
      </c>
      <c r="G24" s="1" t="s">
        <v>1291</v>
      </c>
      <c r="H24" s="27"/>
      <c r="J24" s="23">
        <v>55</v>
      </c>
      <c r="K24" s="11">
        <v>40.130000000000003</v>
      </c>
      <c r="M24" s="12">
        <f t="shared" si="0"/>
        <v>1.6034691597338389</v>
      </c>
      <c r="N24" s="11">
        <f>GraphEcoli!B$10-('E coli'!J24-GraphEcoli!$B$6)/GraphEcoli!$B$5</f>
        <v>0.73704635499471105</v>
      </c>
      <c r="O24" s="2" t="s">
        <v>1430</v>
      </c>
      <c r="P24">
        <v>1980</v>
      </c>
      <c r="V24" s="10">
        <f>GraphEcoli!$B$40*'E coli'!J24+GraphEcoli!$B$41</f>
        <v>0.73704635499471127</v>
      </c>
      <c r="W24" s="10">
        <f>GraphEcoli!$E$40*'E coli'!J24+GraphEcoli!$E$41</f>
        <v>0.71657331300039928</v>
      </c>
      <c r="X24" s="10"/>
    </row>
    <row r="25" spans="1:24" hidden="1" x14ac:dyDescent="0.2">
      <c r="A25" s="1" t="s">
        <v>1329</v>
      </c>
      <c r="B25" s="1" t="s">
        <v>1330</v>
      </c>
      <c r="C25" s="1"/>
      <c r="D25" s="1" t="s">
        <v>1422</v>
      </c>
      <c r="E25" s="1" t="s">
        <v>42</v>
      </c>
      <c r="F25" t="s">
        <v>1240</v>
      </c>
      <c r="G25" s="1" t="s">
        <v>1291</v>
      </c>
      <c r="H25" s="27"/>
      <c r="J25" s="23">
        <v>60</v>
      </c>
      <c r="K25" s="11">
        <v>9.4</v>
      </c>
      <c r="M25" s="12">
        <f t="shared" si="0"/>
        <v>0.97312785359969867</v>
      </c>
      <c r="N25" s="11">
        <f>GraphEcoli!B$10-('E coli'!J25-GraphEcoli!$B$6)/GraphEcoli!$B$5</f>
        <v>0.26681584137747383</v>
      </c>
      <c r="O25" s="2" t="s">
        <v>1430</v>
      </c>
      <c r="P25">
        <v>1980</v>
      </c>
      <c r="V25" s="10">
        <f>GraphEcoli!$B$40*'E coli'!J25+GraphEcoli!$B$41</f>
        <v>0.26681584137747372</v>
      </c>
      <c r="W25" s="10">
        <f>GraphEcoli!$E$40*'E coli'!J25+GraphEcoli!$E$41</f>
        <v>0.27887426496656786</v>
      </c>
      <c r="X25" s="10"/>
    </row>
    <row r="26" spans="1:24" hidden="1" x14ac:dyDescent="0.2">
      <c r="A26" s="1" t="s">
        <v>1329</v>
      </c>
      <c r="B26" s="1" t="s">
        <v>1330</v>
      </c>
      <c r="C26" t="s">
        <v>1341</v>
      </c>
      <c r="E26" t="s">
        <v>42</v>
      </c>
      <c r="F26" s="1" t="s">
        <v>1240</v>
      </c>
      <c r="G26" s="19"/>
      <c r="J26" s="23">
        <v>63</v>
      </c>
      <c r="K26" s="11">
        <v>0.05</v>
      </c>
      <c r="M26" s="12">
        <f>LOG(K26)+$L$401</f>
        <v>-1.3010299956639813</v>
      </c>
      <c r="N26" s="11">
        <f>GraphEcoli!B$10-('E coli'!J26-GraphEcoli!$B$6)/GraphEcoli!$B$5</f>
        <v>-1.5322466792868417E-2</v>
      </c>
      <c r="O26" s="1" t="s">
        <v>1093</v>
      </c>
      <c r="P26">
        <v>1997</v>
      </c>
      <c r="V26" s="10">
        <f>GraphEcoli!$B$40*'E coli'!J26+GraphEcoli!$B$41</f>
        <v>-1.5322466792868639E-2</v>
      </c>
      <c r="W26" s="10">
        <f>GraphEcoli!$E$40*'E coli'!J26+GraphEcoli!$E$41</f>
        <v>1.6254836146268659E-2</v>
      </c>
      <c r="X26" s="10"/>
    </row>
    <row r="27" spans="1:24" hidden="1" x14ac:dyDescent="0.2">
      <c r="A27" s="1" t="s">
        <v>1329</v>
      </c>
      <c r="B27" s="1" t="s">
        <v>1330</v>
      </c>
      <c r="C27" t="s">
        <v>1341</v>
      </c>
      <c r="E27" t="s">
        <v>42</v>
      </c>
      <c r="F27" s="1" t="s">
        <v>1240</v>
      </c>
      <c r="G27" s="19"/>
      <c r="J27" s="23">
        <v>63</v>
      </c>
      <c r="K27" s="11">
        <v>0.22</v>
      </c>
      <c r="M27" s="12">
        <f>LOG(K27)+$L$401</f>
        <v>-0.65757731917779372</v>
      </c>
      <c r="N27" s="11">
        <f>GraphEcoli!B$10-('E coli'!J27-GraphEcoli!$B$6)/GraphEcoli!$B$5</f>
        <v>-1.5322466792868417E-2</v>
      </c>
      <c r="O27" s="1" t="s">
        <v>1093</v>
      </c>
      <c r="P27">
        <v>1997</v>
      </c>
      <c r="V27" s="10">
        <f>GraphEcoli!$B$40*'E coli'!J27+GraphEcoli!$B$41</f>
        <v>-1.5322466792868639E-2</v>
      </c>
      <c r="W27" s="10">
        <f>GraphEcoli!$E$40*'E coli'!J27+GraphEcoli!$E$41</f>
        <v>1.6254836146268659E-2</v>
      </c>
      <c r="X27" s="10"/>
    </row>
    <row r="28" spans="1:24" hidden="1" x14ac:dyDescent="0.2">
      <c r="A28" s="1" t="s">
        <v>1329</v>
      </c>
      <c r="B28" s="1" t="s">
        <v>1330</v>
      </c>
      <c r="C28" s="1" t="s">
        <v>1427</v>
      </c>
      <c r="D28" s="1" t="s">
        <v>1426</v>
      </c>
      <c r="E28" s="1" t="s">
        <v>42</v>
      </c>
      <c r="F28" t="s">
        <v>1337</v>
      </c>
      <c r="G28" s="1" t="s">
        <v>1291</v>
      </c>
      <c r="H28" s="27"/>
      <c r="J28" s="23">
        <v>50</v>
      </c>
      <c r="K28" s="11">
        <v>30.74</v>
      </c>
      <c r="M28" s="12">
        <f t="shared" ref="M28:M40" si="1">LOG(K28)</f>
        <v>1.4877038631637263</v>
      </c>
      <c r="N28" s="11">
        <f>GraphEcoli!B$10-('E coli'!J28-GraphEcoli!$B$6)/GraphEcoli!$B$5</f>
        <v>1.2072768686119482</v>
      </c>
      <c r="O28" s="2" t="s">
        <v>1430</v>
      </c>
      <c r="P28">
        <v>1980</v>
      </c>
      <c r="V28" s="10">
        <f>GraphEcoli!$B$40*'E coli'!J28+GraphEcoli!$B$41</f>
        <v>1.2072768686119479</v>
      </c>
      <c r="W28" s="10">
        <f>GraphEcoli!$E$40*'E coli'!J28+GraphEcoli!$E$41</f>
        <v>1.1542723610342316</v>
      </c>
      <c r="X28" s="10"/>
    </row>
    <row r="29" spans="1:24" hidden="1" x14ac:dyDescent="0.2">
      <c r="A29" s="1" t="s">
        <v>1329</v>
      </c>
      <c r="B29" s="1" t="s">
        <v>1330</v>
      </c>
      <c r="C29" s="1" t="s">
        <v>1427</v>
      </c>
      <c r="D29" s="1" t="s">
        <v>1426</v>
      </c>
      <c r="E29" s="1" t="s">
        <v>42</v>
      </c>
      <c r="F29" t="s">
        <v>1337</v>
      </c>
      <c r="G29" s="1" t="s">
        <v>1291</v>
      </c>
      <c r="H29" s="27"/>
      <c r="J29" s="23">
        <v>55</v>
      </c>
      <c r="K29" s="11">
        <v>8.5399999999999991</v>
      </c>
      <c r="M29" s="12">
        <f t="shared" si="1"/>
        <v>0.93145787068900499</v>
      </c>
      <c r="N29" s="11">
        <f>GraphEcoli!B$10-('E coli'!J29-GraphEcoli!$B$6)/GraphEcoli!$B$5</f>
        <v>0.73704635499471105</v>
      </c>
      <c r="O29" s="2" t="s">
        <v>1430</v>
      </c>
      <c r="P29">
        <v>1980</v>
      </c>
      <c r="V29" s="10">
        <f>GraphEcoli!$B$40*'E coli'!J29+GraphEcoli!$B$41</f>
        <v>0.73704635499471127</v>
      </c>
      <c r="W29" s="10">
        <f>GraphEcoli!$E$40*'E coli'!J29+GraphEcoli!$E$41</f>
        <v>0.71657331300039928</v>
      </c>
      <c r="X29" s="10"/>
    </row>
    <row r="30" spans="1:24" hidden="1" x14ac:dyDescent="0.2">
      <c r="A30" s="1" t="s">
        <v>1329</v>
      </c>
      <c r="B30" s="1" t="s">
        <v>1330</v>
      </c>
      <c r="C30" s="1" t="s">
        <v>1427</v>
      </c>
      <c r="D30" s="1" t="s">
        <v>1426</v>
      </c>
      <c r="E30" s="1" t="s">
        <v>42</v>
      </c>
      <c r="F30" t="s">
        <v>1337</v>
      </c>
      <c r="G30" s="1" t="s">
        <v>1291</v>
      </c>
      <c r="H30" s="27"/>
      <c r="J30" s="23">
        <v>60</v>
      </c>
      <c r="K30" s="11">
        <v>1.55</v>
      </c>
      <c r="M30" s="12">
        <f t="shared" si="1"/>
        <v>0.1903316981702915</v>
      </c>
      <c r="N30" s="11">
        <f>GraphEcoli!B$10-('E coli'!J30-GraphEcoli!$B$6)/GraphEcoli!$B$5</f>
        <v>0.26681584137747383</v>
      </c>
      <c r="O30" s="2" t="s">
        <v>1430</v>
      </c>
      <c r="P30">
        <v>1980</v>
      </c>
      <c r="V30" s="10">
        <f>GraphEcoli!$B$40*'E coli'!J30+GraphEcoli!$B$41</f>
        <v>0.26681584137747372</v>
      </c>
      <c r="W30" s="10">
        <f>GraphEcoli!$E$40*'E coli'!J30+GraphEcoli!$E$41</f>
        <v>0.27887426496656786</v>
      </c>
      <c r="X30" s="10"/>
    </row>
    <row r="31" spans="1:24" hidden="1" x14ac:dyDescent="0.2">
      <c r="A31" s="1" t="s">
        <v>1329</v>
      </c>
      <c r="B31" s="1" t="s">
        <v>1330</v>
      </c>
      <c r="C31" s="1" t="s">
        <v>1429</v>
      </c>
      <c r="D31" s="1" t="s">
        <v>1426</v>
      </c>
      <c r="E31" s="1" t="s">
        <v>42</v>
      </c>
      <c r="F31" t="s">
        <v>1337</v>
      </c>
      <c r="G31" s="1" t="s">
        <v>1291</v>
      </c>
      <c r="H31" s="27"/>
      <c r="J31" s="23">
        <v>50</v>
      </c>
      <c r="K31" s="11">
        <v>57.81</v>
      </c>
      <c r="M31" s="12">
        <f t="shared" si="1"/>
        <v>1.7620029693751154</v>
      </c>
      <c r="N31" s="11">
        <f>GraphEcoli!B$10-('E coli'!J31-GraphEcoli!$B$6)/GraphEcoli!$B$5</f>
        <v>1.2072768686119482</v>
      </c>
      <c r="O31" s="2" t="s">
        <v>1430</v>
      </c>
      <c r="P31">
        <v>1980</v>
      </c>
      <c r="V31" s="10">
        <f>GraphEcoli!$B$40*'E coli'!J31+GraphEcoli!$B$41</f>
        <v>1.2072768686119479</v>
      </c>
      <c r="W31" s="10">
        <f>GraphEcoli!$E$40*'E coli'!J31+GraphEcoli!$E$41</f>
        <v>1.1542723610342316</v>
      </c>
      <c r="X31" s="10"/>
    </row>
    <row r="32" spans="1:24" hidden="1" x14ac:dyDescent="0.2">
      <c r="A32" s="1" t="s">
        <v>1329</v>
      </c>
      <c r="B32" s="1" t="s">
        <v>1330</v>
      </c>
      <c r="C32" s="1" t="s">
        <v>1429</v>
      </c>
      <c r="D32" s="1" t="s">
        <v>1426</v>
      </c>
      <c r="E32" s="1" t="s">
        <v>42</v>
      </c>
      <c r="F32" t="s">
        <v>1337</v>
      </c>
      <c r="G32" s="1" t="s">
        <v>1291</v>
      </c>
      <c r="H32" s="27"/>
      <c r="J32" s="23">
        <v>55</v>
      </c>
      <c r="K32" s="11">
        <v>36.869999999999997</v>
      </c>
      <c r="M32" s="12">
        <f t="shared" si="1"/>
        <v>1.5666731376061165</v>
      </c>
      <c r="N32" s="11">
        <f>GraphEcoli!B$10-('E coli'!J32-GraphEcoli!$B$6)/GraphEcoli!$B$5</f>
        <v>0.73704635499471105</v>
      </c>
      <c r="O32" s="2" t="s">
        <v>1430</v>
      </c>
      <c r="P32">
        <v>1980</v>
      </c>
      <c r="V32" s="10">
        <f>GraphEcoli!$B$40*'E coli'!J32+GraphEcoli!$B$41</f>
        <v>0.73704635499471127</v>
      </c>
      <c r="W32" s="10">
        <f>GraphEcoli!$E$40*'E coli'!J32+GraphEcoli!$E$41</f>
        <v>0.71657331300039928</v>
      </c>
      <c r="X32" s="10"/>
    </row>
    <row r="33" spans="1:24" hidden="1" x14ac:dyDescent="0.2">
      <c r="A33" s="1" t="s">
        <v>1329</v>
      </c>
      <c r="B33" s="1" t="s">
        <v>1330</v>
      </c>
      <c r="C33" s="1" t="s">
        <v>1429</v>
      </c>
      <c r="D33" s="1" t="s">
        <v>1426</v>
      </c>
      <c r="E33" s="1" t="s">
        <v>42</v>
      </c>
      <c r="F33" t="s">
        <v>1337</v>
      </c>
      <c r="G33" s="1" t="s">
        <v>1291</v>
      </c>
      <c r="H33" s="27"/>
      <c r="J33" s="23">
        <v>60</v>
      </c>
      <c r="K33" s="11">
        <v>9.76</v>
      </c>
      <c r="M33" s="12">
        <f t="shared" si="1"/>
        <v>0.98944981766669182</v>
      </c>
      <c r="N33" s="11">
        <f>GraphEcoli!B$10-('E coli'!J33-GraphEcoli!$B$6)/GraphEcoli!$B$5</f>
        <v>0.26681584137747383</v>
      </c>
      <c r="O33" s="2" t="s">
        <v>1430</v>
      </c>
      <c r="P33">
        <v>1980</v>
      </c>
      <c r="V33" s="10">
        <f>GraphEcoli!$B$40*'E coli'!J33+GraphEcoli!$B$41</f>
        <v>0.26681584137747372</v>
      </c>
      <c r="W33" s="10">
        <f>GraphEcoli!$E$40*'E coli'!J33+GraphEcoli!$E$41</f>
        <v>0.27887426496656786</v>
      </c>
      <c r="X33" s="10"/>
    </row>
    <row r="34" spans="1:24" hidden="1" x14ac:dyDescent="0.2">
      <c r="A34" s="1" t="s">
        <v>1329</v>
      </c>
      <c r="B34" s="1" t="s">
        <v>1330</v>
      </c>
      <c r="C34" s="1"/>
      <c r="D34" s="1" t="s">
        <v>1422</v>
      </c>
      <c r="E34" s="1" t="s">
        <v>42</v>
      </c>
      <c r="F34" t="s">
        <v>1337</v>
      </c>
      <c r="G34" s="1" t="s">
        <v>1291</v>
      </c>
      <c r="H34" s="27"/>
      <c r="J34" s="23">
        <v>50</v>
      </c>
      <c r="K34" s="11">
        <v>62.22</v>
      </c>
      <c r="M34" s="12">
        <f t="shared" si="1"/>
        <v>1.7939300067726847</v>
      </c>
      <c r="N34" s="11">
        <f>GraphEcoli!B$10-('E coli'!J34-GraphEcoli!$B$6)/GraphEcoli!$B$5</f>
        <v>1.2072768686119482</v>
      </c>
      <c r="O34" s="2" t="s">
        <v>1430</v>
      </c>
      <c r="P34">
        <v>1980</v>
      </c>
      <c r="V34" s="10">
        <f>GraphEcoli!$B$40*'E coli'!J34+GraphEcoli!$B$41</f>
        <v>1.2072768686119479</v>
      </c>
      <c r="W34" s="10">
        <f>GraphEcoli!$E$40*'E coli'!J34+GraphEcoli!$E$41</f>
        <v>1.1542723610342316</v>
      </c>
      <c r="X34" s="10"/>
    </row>
    <row r="35" spans="1:24" hidden="1" x14ac:dyDescent="0.2">
      <c r="A35" s="1" t="s">
        <v>1329</v>
      </c>
      <c r="B35" s="1" t="s">
        <v>1330</v>
      </c>
      <c r="C35" s="1"/>
      <c r="D35" s="1" t="s">
        <v>1422</v>
      </c>
      <c r="E35" s="1" t="s">
        <v>42</v>
      </c>
      <c r="F35" t="s">
        <v>1337</v>
      </c>
      <c r="G35" s="1" t="s">
        <v>1291</v>
      </c>
      <c r="H35" s="27"/>
      <c r="J35" s="23">
        <v>55</v>
      </c>
      <c r="K35" s="11">
        <v>44.71</v>
      </c>
      <c r="M35" s="12">
        <f t="shared" si="1"/>
        <v>1.6504046698680319</v>
      </c>
      <c r="N35" s="11">
        <f>GraphEcoli!B$10-('E coli'!J35-GraphEcoli!$B$6)/GraphEcoli!$B$5</f>
        <v>0.73704635499471105</v>
      </c>
      <c r="O35" s="2" t="s">
        <v>1430</v>
      </c>
      <c r="P35">
        <v>1980</v>
      </c>
      <c r="V35" s="10">
        <f>GraphEcoli!$B$40*'E coli'!J35+GraphEcoli!$B$41</f>
        <v>0.73704635499471127</v>
      </c>
      <c r="W35" s="10">
        <f>GraphEcoli!$E$40*'E coli'!J35+GraphEcoli!$E$41</f>
        <v>0.71657331300039928</v>
      </c>
      <c r="X35" s="10"/>
    </row>
    <row r="36" spans="1:24" hidden="1" x14ac:dyDescent="0.2">
      <c r="A36" s="1" t="s">
        <v>1329</v>
      </c>
      <c r="B36" s="1" t="s">
        <v>1330</v>
      </c>
      <c r="C36" s="1"/>
      <c r="D36" s="1" t="s">
        <v>1422</v>
      </c>
      <c r="E36" s="1" t="s">
        <v>42</v>
      </c>
      <c r="F36" t="s">
        <v>1337</v>
      </c>
      <c r="G36" s="1" t="s">
        <v>1291</v>
      </c>
      <c r="H36" s="27"/>
      <c r="J36" s="23">
        <v>60</v>
      </c>
      <c r="K36" s="11">
        <v>11.12</v>
      </c>
      <c r="M36" s="12">
        <f t="shared" si="1"/>
        <v>1.0461047872460387</v>
      </c>
      <c r="N36" s="11">
        <f>GraphEcoli!B$10-('E coli'!J36-GraphEcoli!$B$6)/GraphEcoli!$B$5</f>
        <v>0.26681584137747383</v>
      </c>
      <c r="O36" s="2" t="s">
        <v>1430</v>
      </c>
      <c r="P36">
        <v>1980</v>
      </c>
      <c r="V36" s="10">
        <f>GraphEcoli!$B$40*'E coli'!J36+GraphEcoli!$B$41</f>
        <v>0.26681584137747372</v>
      </c>
      <c r="W36" s="10">
        <f>GraphEcoli!$E$40*'E coli'!J36+GraphEcoli!$E$41</f>
        <v>0.27887426496656786</v>
      </c>
      <c r="X36" s="10"/>
    </row>
    <row r="37" spans="1:24" hidden="1" x14ac:dyDescent="0.2">
      <c r="A37" s="1" t="s">
        <v>1329</v>
      </c>
      <c r="B37" s="1" t="s">
        <v>1330</v>
      </c>
      <c r="C37" s="1" t="s">
        <v>1428</v>
      </c>
      <c r="D37" s="1" t="s">
        <v>1426</v>
      </c>
      <c r="E37" s="1" t="s">
        <v>42</v>
      </c>
      <c r="F37" t="s">
        <v>1338</v>
      </c>
      <c r="G37" s="1"/>
      <c r="H37" s="27"/>
      <c r="J37" s="23">
        <v>58</v>
      </c>
      <c r="K37" s="11">
        <v>3.1</v>
      </c>
      <c r="M37" s="12">
        <f t="shared" si="1"/>
        <v>0.49136169383427269</v>
      </c>
      <c r="N37" s="11">
        <f>GraphEcoli!B$10-('E coli'!J37-GraphEcoli!$B$6)/GraphEcoli!$B$5</f>
        <v>0.45490804682436869</v>
      </c>
      <c r="O37" s="2" t="s">
        <v>1226</v>
      </c>
      <c r="P37">
        <v>1996</v>
      </c>
      <c r="V37" s="10">
        <f>GraphEcoli!$B$40*'E coli'!J37+GraphEcoli!$B$41</f>
        <v>0.45490804682436892</v>
      </c>
      <c r="W37" s="10">
        <f>GraphEcoli!$E$40*'E coli'!J37+GraphEcoli!$E$41</f>
        <v>0.45395388418010096</v>
      </c>
      <c r="X37" s="10"/>
    </row>
    <row r="38" spans="1:24" hidden="1" x14ac:dyDescent="0.2">
      <c r="A38" s="1" t="s">
        <v>1329</v>
      </c>
      <c r="B38" s="1" t="s">
        <v>1330</v>
      </c>
      <c r="C38" s="1" t="s">
        <v>1428</v>
      </c>
      <c r="D38" s="1" t="s">
        <v>1426</v>
      </c>
      <c r="E38" s="1" t="s">
        <v>42</v>
      </c>
      <c r="F38" t="s">
        <v>1338</v>
      </c>
      <c r="G38" s="1"/>
      <c r="H38" s="27"/>
      <c r="J38" s="23">
        <v>60</v>
      </c>
      <c r="K38" s="11">
        <v>0.79</v>
      </c>
      <c r="M38" s="12">
        <f t="shared" si="1"/>
        <v>-0.10237290870955855</v>
      </c>
      <c r="N38" s="11">
        <f>GraphEcoli!B$10-('E coli'!J38-GraphEcoli!$B$6)/GraphEcoli!$B$5</f>
        <v>0.26681584137747383</v>
      </c>
      <c r="O38" s="2" t="s">
        <v>1226</v>
      </c>
      <c r="P38">
        <v>1996</v>
      </c>
      <c r="V38" s="10">
        <f>GraphEcoli!$B$40*'E coli'!J38+GraphEcoli!$B$41</f>
        <v>0.26681584137747372</v>
      </c>
      <c r="W38" s="10">
        <f>GraphEcoli!$E$40*'E coli'!J38+GraphEcoli!$E$41</f>
        <v>0.27887426496656786</v>
      </c>
      <c r="X38" s="10"/>
    </row>
    <row r="39" spans="1:24" hidden="1" x14ac:dyDescent="0.2">
      <c r="A39" s="1" t="s">
        <v>1329</v>
      </c>
      <c r="B39" s="1" t="s">
        <v>1330</v>
      </c>
      <c r="C39" s="1" t="s">
        <v>1428</v>
      </c>
      <c r="D39" s="1" t="s">
        <v>1426</v>
      </c>
      <c r="E39" s="1" t="s">
        <v>42</v>
      </c>
      <c r="F39" t="s">
        <v>1338</v>
      </c>
      <c r="G39" s="1"/>
      <c r="H39" s="27"/>
      <c r="J39" s="23">
        <v>62</v>
      </c>
      <c r="K39" s="11">
        <v>0.21</v>
      </c>
      <c r="M39" s="12">
        <f t="shared" si="1"/>
        <v>-0.6777807052660807</v>
      </c>
      <c r="N39" s="11">
        <f>GraphEcoli!B$10-('E coli'!J39-GraphEcoli!$B$6)/GraphEcoli!$B$5</f>
        <v>7.8723635930578961E-2</v>
      </c>
      <c r="O39" s="2" t="s">
        <v>1226</v>
      </c>
      <c r="P39">
        <v>1996</v>
      </c>
      <c r="V39" s="10">
        <f>GraphEcoli!$B$40*'E coli'!J39+GraphEcoli!$B$41</f>
        <v>7.8723635930579405E-2</v>
      </c>
      <c r="W39" s="10">
        <f>GraphEcoli!$E$40*'E coli'!J39+GraphEcoli!$E$41</f>
        <v>0.10379464575303476</v>
      </c>
      <c r="X39" s="10"/>
    </row>
    <row r="40" spans="1:24" hidden="1" x14ac:dyDescent="0.2">
      <c r="A40" s="1" t="s">
        <v>1329</v>
      </c>
      <c r="B40" s="1" t="s">
        <v>1330</v>
      </c>
      <c r="C40" s="1" t="s">
        <v>1428</v>
      </c>
      <c r="D40" s="1" t="s">
        <v>1426</v>
      </c>
      <c r="E40" s="1" t="s">
        <v>42</v>
      </c>
      <c r="F40" t="s">
        <v>1338</v>
      </c>
      <c r="G40" s="1"/>
      <c r="H40" s="27"/>
      <c r="J40" s="23">
        <v>64</v>
      </c>
      <c r="K40" s="11">
        <v>0.05</v>
      </c>
      <c r="M40" s="12">
        <f t="shared" si="1"/>
        <v>-1.3010299956639813</v>
      </c>
      <c r="N40" s="11">
        <f>GraphEcoli!B$10-('E coli'!J40-GraphEcoli!$B$6)/GraphEcoli!$B$5</f>
        <v>-0.10936856951631591</v>
      </c>
      <c r="O40" s="2" t="s">
        <v>1226</v>
      </c>
      <c r="P40">
        <v>1996</v>
      </c>
      <c r="V40" s="10">
        <f>GraphEcoli!$B$40*'E coli'!J40+GraphEcoli!$B$41</f>
        <v>-0.10936856951631579</v>
      </c>
      <c r="W40" s="10">
        <f>GraphEcoli!$E$40*'E coli'!J40+GraphEcoli!$E$41</f>
        <v>-7.1284973460497447E-2</v>
      </c>
      <c r="X40" s="10"/>
    </row>
    <row r="41" spans="1:24" x14ac:dyDescent="0.2">
      <c r="A41" s="1" t="s">
        <v>1329</v>
      </c>
      <c r="B41" s="1" t="s">
        <v>1330</v>
      </c>
      <c r="C41" t="s">
        <v>1341</v>
      </c>
      <c r="D41" t="s">
        <v>1034</v>
      </c>
      <c r="E41" t="s">
        <v>45</v>
      </c>
      <c r="F41" s="1" t="s">
        <v>304</v>
      </c>
      <c r="G41" s="1" t="s">
        <v>1129</v>
      </c>
      <c r="J41" s="23">
        <v>47</v>
      </c>
      <c r="K41" s="11">
        <v>196</v>
      </c>
      <c r="M41" s="12">
        <f t="shared" ref="M41:M72" si="2">LOG(K41)+$L$401</f>
        <v>2.2922560713564759</v>
      </c>
      <c r="N41" s="11">
        <f>GraphEcoli!B$10-('E coli'!J41-GraphEcoli!$B$6)/GraphEcoli!$B$5</f>
        <v>1.4894151767822907</v>
      </c>
      <c r="O41" s="1" t="s">
        <v>1146</v>
      </c>
      <c r="P41">
        <v>2000</v>
      </c>
      <c r="V41" s="10">
        <f>GraphEcoli!$B$40*'E coli'!J41+GraphEcoli!$B$41</f>
        <v>1.4894151767822903</v>
      </c>
      <c r="W41" s="10">
        <f>GraphEcoli!$E$40*'E coli'!J41+GraphEcoli!$E$41</f>
        <v>1.4168917898545299</v>
      </c>
      <c r="X41" s="10"/>
    </row>
    <row r="42" spans="1:24" x14ac:dyDescent="0.2">
      <c r="A42" s="1" t="s">
        <v>1329</v>
      </c>
      <c r="B42" s="1" t="s">
        <v>1330</v>
      </c>
      <c r="C42" t="s">
        <v>1341</v>
      </c>
      <c r="D42" t="s">
        <v>1034</v>
      </c>
      <c r="E42" t="s">
        <v>45</v>
      </c>
      <c r="F42" s="1" t="s">
        <v>304</v>
      </c>
      <c r="G42" s="1" t="s">
        <v>1129</v>
      </c>
      <c r="J42" s="23">
        <v>50</v>
      </c>
      <c r="K42" s="11">
        <v>65.2</v>
      </c>
      <c r="M42" s="12">
        <f t="shared" si="2"/>
        <v>1.8142475957319202</v>
      </c>
      <c r="N42" s="11">
        <f>GraphEcoli!B$10-('E coli'!J42-GraphEcoli!$B$6)/GraphEcoli!$B$5</f>
        <v>1.2072768686119482</v>
      </c>
      <c r="O42" s="1" t="s">
        <v>1146</v>
      </c>
      <c r="P42">
        <v>2000</v>
      </c>
      <c r="V42" s="10">
        <f>GraphEcoli!$B$40*'E coli'!J42+GraphEcoli!$B$41</f>
        <v>1.2072768686119479</v>
      </c>
      <c r="W42" s="10">
        <f>GraphEcoli!$E$40*'E coli'!J42+GraphEcoli!$E$41</f>
        <v>1.1542723610342316</v>
      </c>
      <c r="X42" s="10"/>
    </row>
    <row r="43" spans="1:24" x14ac:dyDescent="0.2">
      <c r="A43" s="1" t="s">
        <v>1329</v>
      </c>
      <c r="B43" s="1" t="s">
        <v>1330</v>
      </c>
      <c r="C43" t="s">
        <v>1341</v>
      </c>
      <c r="D43" t="s">
        <v>1034</v>
      </c>
      <c r="E43" t="s">
        <v>45</v>
      </c>
      <c r="F43" s="1" t="s">
        <v>304</v>
      </c>
      <c r="G43" s="1" t="s">
        <v>1129</v>
      </c>
      <c r="J43" s="23">
        <v>53</v>
      </c>
      <c r="K43" s="11">
        <v>21.67</v>
      </c>
      <c r="M43" s="12">
        <f t="shared" si="2"/>
        <v>1.335858911319818</v>
      </c>
      <c r="N43" s="11">
        <f>GraphEcoli!B$10-('E coli'!J43-GraphEcoli!$B$6)/GraphEcoli!$B$5</f>
        <v>0.92513856044160603</v>
      </c>
      <c r="O43" s="1" t="s">
        <v>1146</v>
      </c>
      <c r="P43">
        <v>2000</v>
      </c>
      <c r="V43" s="10">
        <f>GraphEcoli!$B$40*'E coli'!J43+GraphEcoli!$B$41</f>
        <v>0.92513856044160558</v>
      </c>
      <c r="W43" s="10">
        <f>GraphEcoli!$E$40*'E coli'!J43+GraphEcoli!$E$41</f>
        <v>0.89165293221393238</v>
      </c>
      <c r="X43" s="10"/>
    </row>
    <row r="44" spans="1:24" hidden="1" x14ac:dyDescent="0.2">
      <c r="A44" s="1" t="s">
        <v>1329</v>
      </c>
      <c r="B44" s="1" t="s">
        <v>1330</v>
      </c>
      <c r="C44" t="s">
        <v>1341</v>
      </c>
      <c r="D44" t="s">
        <v>1034</v>
      </c>
      <c r="E44" t="s">
        <v>45</v>
      </c>
      <c r="F44" s="1" t="s">
        <v>304</v>
      </c>
      <c r="G44" s="1" t="s">
        <v>1132</v>
      </c>
      <c r="J44" s="23">
        <v>47</v>
      </c>
      <c r="K44" s="11">
        <v>11.68</v>
      </c>
      <c r="M44" s="12">
        <f t="shared" si="2"/>
        <v>1.0674428427763807</v>
      </c>
      <c r="N44" s="11">
        <f>GraphEcoli!B$10-('E coli'!J44-GraphEcoli!$B$6)/GraphEcoli!$B$5</f>
        <v>1.4894151767822907</v>
      </c>
      <c r="O44" s="1" t="s">
        <v>1146</v>
      </c>
      <c r="P44">
        <v>2000</v>
      </c>
      <c r="V44" s="10">
        <f>GraphEcoli!$B$40*'E coli'!J44+GraphEcoli!$B$41</f>
        <v>1.4894151767822903</v>
      </c>
      <c r="W44" s="10">
        <f>GraphEcoli!$E$40*'E coli'!J44+GraphEcoli!$E$41</f>
        <v>1.4168917898545299</v>
      </c>
      <c r="X44" s="10"/>
    </row>
    <row r="45" spans="1:24" hidden="1" x14ac:dyDescent="0.2">
      <c r="A45" s="1" t="s">
        <v>1329</v>
      </c>
      <c r="B45" s="1" t="s">
        <v>1330</v>
      </c>
      <c r="C45" t="s">
        <v>1341</v>
      </c>
      <c r="D45" t="s">
        <v>1034</v>
      </c>
      <c r="E45" t="s">
        <v>45</v>
      </c>
      <c r="F45" s="1" t="s">
        <v>304</v>
      </c>
      <c r="G45" s="1" t="s">
        <v>1132</v>
      </c>
      <c r="J45" s="23">
        <v>50</v>
      </c>
      <c r="K45" s="11">
        <v>6.99</v>
      </c>
      <c r="M45" s="12">
        <f t="shared" si="2"/>
        <v>0.84447717574568137</v>
      </c>
      <c r="N45" s="11">
        <f>GraphEcoli!B$10-('E coli'!J45-GraphEcoli!$B$6)/GraphEcoli!$B$5</f>
        <v>1.2072768686119482</v>
      </c>
      <c r="O45" s="1" t="s">
        <v>1146</v>
      </c>
      <c r="P45">
        <v>2000</v>
      </c>
      <c r="V45" s="10">
        <f>GraphEcoli!$B$40*'E coli'!J45+GraphEcoli!$B$41</f>
        <v>1.2072768686119479</v>
      </c>
      <c r="W45" s="10">
        <f>GraphEcoli!$E$40*'E coli'!J45+GraphEcoli!$E$41</f>
        <v>1.1542723610342316</v>
      </c>
      <c r="X45" s="10"/>
    </row>
    <row r="46" spans="1:24" hidden="1" x14ac:dyDescent="0.2">
      <c r="A46" s="1" t="s">
        <v>1329</v>
      </c>
      <c r="B46" s="1" t="s">
        <v>1330</v>
      </c>
      <c r="C46" t="s">
        <v>1341</v>
      </c>
      <c r="D46" t="s">
        <v>1034</v>
      </c>
      <c r="E46" t="s">
        <v>45</v>
      </c>
      <c r="F46" s="1" t="s">
        <v>304</v>
      </c>
      <c r="G46" s="1" t="s">
        <v>1132</v>
      </c>
      <c r="J46" s="23">
        <v>53</v>
      </c>
      <c r="K46" s="11">
        <v>3.01</v>
      </c>
      <c r="M46" s="12">
        <f t="shared" si="2"/>
        <v>0.47856649559384334</v>
      </c>
      <c r="N46" s="11">
        <f>GraphEcoli!B$10-('E coli'!J46-GraphEcoli!$B$6)/GraphEcoli!$B$5</f>
        <v>0.92513856044160603</v>
      </c>
      <c r="O46" s="1" t="s">
        <v>1146</v>
      </c>
      <c r="P46">
        <v>2000</v>
      </c>
      <c r="V46" s="10">
        <f>GraphEcoli!$B$40*'E coli'!J46+GraphEcoli!$B$41</f>
        <v>0.92513856044160558</v>
      </c>
      <c r="W46" s="10">
        <f>GraphEcoli!$E$40*'E coli'!J46+GraphEcoli!$E$41</f>
        <v>0.89165293221393238</v>
      </c>
      <c r="X46" s="10"/>
    </row>
    <row r="47" spans="1:24" hidden="1" x14ac:dyDescent="0.2">
      <c r="A47" s="1" t="s">
        <v>1329</v>
      </c>
      <c r="B47" s="1" t="s">
        <v>1330</v>
      </c>
      <c r="C47" t="s">
        <v>1341</v>
      </c>
      <c r="D47" t="s">
        <v>1034</v>
      </c>
      <c r="E47" t="s">
        <v>45</v>
      </c>
      <c r="F47" s="1" t="s">
        <v>304</v>
      </c>
      <c r="G47" s="1" t="s">
        <v>1130</v>
      </c>
      <c r="J47" s="23">
        <v>47</v>
      </c>
      <c r="K47" s="11">
        <v>34.35</v>
      </c>
      <c r="M47" s="12">
        <f t="shared" si="2"/>
        <v>1.5359267413955693</v>
      </c>
      <c r="N47" s="11">
        <f>GraphEcoli!B$10-('E coli'!J47-GraphEcoli!$B$6)/GraphEcoli!$B$5</f>
        <v>1.4894151767822907</v>
      </c>
      <c r="O47" s="1" t="s">
        <v>1146</v>
      </c>
      <c r="P47">
        <v>2000</v>
      </c>
      <c r="V47" s="10">
        <f>GraphEcoli!$B$40*'E coli'!J47+GraphEcoli!$B$41</f>
        <v>1.4894151767822903</v>
      </c>
      <c r="W47" s="10">
        <f>GraphEcoli!$E$40*'E coli'!J47+GraphEcoli!$E$41</f>
        <v>1.4168917898545299</v>
      </c>
      <c r="X47" s="10"/>
    </row>
    <row r="48" spans="1:24" hidden="1" x14ac:dyDescent="0.2">
      <c r="A48" s="1" t="s">
        <v>1329</v>
      </c>
      <c r="B48" s="1" t="s">
        <v>1330</v>
      </c>
      <c r="C48" t="s">
        <v>1341</v>
      </c>
      <c r="D48" t="s">
        <v>1034</v>
      </c>
      <c r="E48" t="s">
        <v>45</v>
      </c>
      <c r="F48" s="1" t="s">
        <v>304</v>
      </c>
      <c r="G48" s="1" t="s">
        <v>1130</v>
      </c>
      <c r="J48" s="23">
        <v>50</v>
      </c>
      <c r="K48" s="11">
        <v>13.87</v>
      </c>
      <c r="M48" s="12">
        <f t="shared" si="2"/>
        <v>1.1420764610732848</v>
      </c>
      <c r="N48" s="11">
        <f>GraphEcoli!B$10-('E coli'!J48-GraphEcoli!$B$6)/GraphEcoli!$B$5</f>
        <v>1.2072768686119482</v>
      </c>
      <c r="O48" s="1" t="s">
        <v>1146</v>
      </c>
      <c r="P48">
        <v>2000</v>
      </c>
      <c r="V48" s="10">
        <f>GraphEcoli!$B$40*'E coli'!J48+GraphEcoli!$B$41</f>
        <v>1.2072768686119479</v>
      </c>
      <c r="W48" s="10">
        <f>GraphEcoli!$E$40*'E coli'!J48+GraphEcoli!$E$41</f>
        <v>1.1542723610342316</v>
      </c>
      <c r="X48" s="10"/>
    </row>
    <row r="49" spans="1:24" hidden="1" x14ac:dyDescent="0.2">
      <c r="A49" s="1" t="s">
        <v>1329</v>
      </c>
      <c r="B49" s="1" t="s">
        <v>1330</v>
      </c>
      <c r="C49" t="s">
        <v>1341</v>
      </c>
      <c r="D49" t="s">
        <v>1034</v>
      </c>
      <c r="E49" t="s">
        <v>45</v>
      </c>
      <c r="F49" s="1" t="s">
        <v>304</v>
      </c>
      <c r="G49" s="1" t="s">
        <v>1130</v>
      </c>
      <c r="J49" s="23">
        <v>53</v>
      </c>
      <c r="K49" s="11">
        <v>7.34</v>
      </c>
      <c r="M49" s="12">
        <f t="shared" si="2"/>
        <v>0.86569605991607057</v>
      </c>
      <c r="N49" s="11">
        <f>GraphEcoli!B$10-('E coli'!J49-GraphEcoli!$B$6)/GraphEcoli!$B$5</f>
        <v>0.92513856044160603</v>
      </c>
      <c r="O49" s="1" t="s">
        <v>1146</v>
      </c>
      <c r="P49">
        <v>2000</v>
      </c>
      <c r="V49" s="10">
        <f>GraphEcoli!$B$40*'E coli'!J49+GraphEcoli!$B$41</f>
        <v>0.92513856044160558</v>
      </c>
      <c r="W49" s="10">
        <f>GraphEcoli!$E$40*'E coli'!J49+GraphEcoli!$E$41</f>
        <v>0.89165293221393238</v>
      </c>
      <c r="X49" s="10"/>
    </row>
    <row r="50" spans="1:24" hidden="1" x14ac:dyDescent="0.2">
      <c r="A50" s="1" t="s">
        <v>1329</v>
      </c>
      <c r="B50" s="1" t="s">
        <v>1330</v>
      </c>
      <c r="C50" t="s">
        <v>1341</v>
      </c>
      <c r="D50" t="s">
        <v>1034</v>
      </c>
      <c r="E50" t="s">
        <v>45</v>
      </c>
      <c r="F50" s="1" t="s">
        <v>304</v>
      </c>
      <c r="G50" s="1" t="s">
        <v>1142</v>
      </c>
      <c r="J50" s="23">
        <v>47</v>
      </c>
      <c r="K50" s="11">
        <v>1.98</v>
      </c>
      <c r="M50" s="12">
        <f t="shared" si="2"/>
        <v>0.2966651902615311</v>
      </c>
      <c r="N50" s="11">
        <f>GraphEcoli!B$10-('E coli'!J50-GraphEcoli!$B$6)/GraphEcoli!$B$5</f>
        <v>1.4894151767822907</v>
      </c>
      <c r="O50" s="1" t="s">
        <v>1146</v>
      </c>
      <c r="P50">
        <v>2000</v>
      </c>
      <c r="V50" s="10">
        <f>GraphEcoli!$B$40*'E coli'!J50+GraphEcoli!$B$41</f>
        <v>1.4894151767822903</v>
      </c>
      <c r="W50" s="10">
        <f>GraphEcoli!$E$40*'E coli'!J50+GraphEcoli!$E$41</f>
        <v>1.4168917898545299</v>
      </c>
      <c r="X50" s="10"/>
    </row>
    <row r="51" spans="1:24" hidden="1" x14ac:dyDescent="0.2">
      <c r="A51" s="1" t="s">
        <v>1329</v>
      </c>
      <c r="B51" s="1" t="s">
        <v>1330</v>
      </c>
      <c r="C51" t="s">
        <v>1341</v>
      </c>
      <c r="D51" t="s">
        <v>1034</v>
      </c>
      <c r="E51" t="s">
        <v>45</v>
      </c>
      <c r="F51" s="1" t="s">
        <v>304</v>
      </c>
      <c r="G51" s="1" t="s">
        <v>1142</v>
      </c>
      <c r="J51" s="23">
        <v>50</v>
      </c>
      <c r="K51" s="11">
        <v>0.62</v>
      </c>
      <c r="M51" s="12">
        <f t="shared" si="2"/>
        <v>-0.20760831050174613</v>
      </c>
      <c r="N51" s="11">
        <f>GraphEcoli!B$10-('E coli'!J51-GraphEcoli!$B$6)/GraphEcoli!$B$5</f>
        <v>1.2072768686119482</v>
      </c>
      <c r="O51" s="1" t="s">
        <v>1146</v>
      </c>
      <c r="P51">
        <v>2000</v>
      </c>
      <c r="V51" s="10">
        <f>GraphEcoli!$B$40*'E coli'!J51+GraphEcoli!$B$41</f>
        <v>1.2072768686119479</v>
      </c>
      <c r="W51" s="10">
        <f>GraphEcoli!$E$40*'E coli'!J51+GraphEcoli!$E$41</f>
        <v>1.1542723610342316</v>
      </c>
      <c r="X51" s="10"/>
    </row>
    <row r="52" spans="1:24" hidden="1" x14ac:dyDescent="0.2">
      <c r="A52" s="1" t="s">
        <v>1329</v>
      </c>
      <c r="B52" s="1" t="s">
        <v>1330</v>
      </c>
      <c r="C52" t="s">
        <v>1341</v>
      </c>
      <c r="D52" t="s">
        <v>1034</v>
      </c>
      <c r="E52" t="s">
        <v>45</v>
      </c>
      <c r="F52" s="1" t="s">
        <v>304</v>
      </c>
      <c r="G52" s="1" t="s">
        <v>1142</v>
      </c>
      <c r="J52" s="23">
        <v>53</v>
      </c>
      <c r="K52" s="11">
        <v>0.53</v>
      </c>
      <c r="M52" s="12">
        <f t="shared" si="2"/>
        <v>-0.27572413039921095</v>
      </c>
      <c r="N52" s="11">
        <f>GraphEcoli!B$10-('E coli'!J52-GraphEcoli!$B$6)/GraphEcoli!$B$5</f>
        <v>0.92513856044160603</v>
      </c>
      <c r="O52" s="1" t="s">
        <v>1146</v>
      </c>
      <c r="P52">
        <v>2000</v>
      </c>
      <c r="V52" s="10">
        <f>GraphEcoli!$B$40*'E coli'!J52+GraphEcoli!$B$41</f>
        <v>0.92513856044160558</v>
      </c>
      <c r="W52" s="10">
        <f>GraphEcoli!$E$40*'E coli'!J52+GraphEcoli!$E$41</f>
        <v>0.89165293221393238</v>
      </c>
      <c r="X52" s="10"/>
    </row>
    <row r="53" spans="1:24" hidden="1" x14ac:dyDescent="0.2">
      <c r="A53" s="1" t="s">
        <v>1329</v>
      </c>
      <c r="B53" s="1" t="s">
        <v>1330</v>
      </c>
      <c r="C53" t="s">
        <v>1341</v>
      </c>
      <c r="D53" t="s">
        <v>1034</v>
      </c>
      <c r="E53" t="s">
        <v>45</v>
      </c>
      <c r="F53" s="1" t="s">
        <v>304</v>
      </c>
      <c r="G53" s="1" t="s">
        <v>1133</v>
      </c>
      <c r="J53" s="23">
        <v>47</v>
      </c>
      <c r="K53" s="11">
        <v>1.04</v>
      </c>
      <c r="M53" s="12">
        <f t="shared" si="2"/>
        <v>1.703333929878037E-2</v>
      </c>
      <c r="N53" s="11">
        <f>GraphEcoli!B$10-('E coli'!J53-GraphEcoli!$B$6)/GraphEcoli!$B$5</f>
        <v>1.4894151767822907</v>
      </c>
      <c r="O53" s="1" t="s">
        <v>1146</v>
      </c>
      <c r="P53">
        <v>2000</v>
      </c>
      <c r="V53" s="10">
        <f>GraphEcoli!$B$40*'E coli'!J53+GraphEcoli!$B$41</f>
        <v>1.4894151767822903</v>
      </c>
      <c r="W53" s="10">
        <f>GraphEcoli!$E$40*'E coli'!J53+GraphEcoli!$E$41</f>
        <v>1.4168917898545299</v>
      </c>
      <c r="X53" s="10"/>
    </row>
    <row r="54" spans="1:24" hidden="1" x14ac:dyDescent="0.2">
      <c r="A54" s="1" t="s">
        <v>1329</v>
      </c>
      <c r="B54" s="1" t="s">
        <v>1330</v>
      </c>
      <c r="C54" t="s">
        <v>1341</v>
      </c>
      <c r="D54" t="s">
        <v>1034</v>
      </c>
      <c r="E54" t="s">
        <v>45</v>
      </c>
      <c r="F54" s="1" t="s">
        <v>304</v>
      </c>
      <c r="G54" s="1" t="s">
        <v>1133</v>
      </c>
      <c r="J54" s="23">
        <v>50</v>
      </c>
      <c r="K54" s="11">
        <v>0.53</v>
      </c>
      <c r="M54" s="12">
        <f t="shared" si="2"/>
        <v>-0.27572413039921095</v>
      </c>
      <c r="N54" s="11">
        <f>GraphEcoli!B$10-('E coli'!J54-GraphEcoli!$B$6)/GraphEcoli!$B$5</f>
        <v>1.2072768686119482</v>
      </c>
      <c r="O54" s="1" t="s">
        <v>1146</v>
      </c>
      <c r="P54">
        <v>2000</v>
      </c>
      <c r="V54" s="10">
        <f>GraphEcoli!$B$40*'E coli'!J54+GraphEcoli!$B$41</f>
        <v>1.2072768686119479</v>
      </c>
      <c r="W54" s="10">
        <f>GraphEcoli!$E$40*'E coli'!J54+GraphEcoli!$E$41</f>
        <v>1.1542723610342316</v>
      </c>
      <c r="X54" s="10"/>
    </row>
    <row r="55" spans="1:24" hidden="1" x14ac:dyDescent="0.2">
      <c r="A55" s="1" t="s">
        <v>1329</v>
      </c>
      <c r="B55" s="1" t="s">
        <v>1330</v>
      </c>
      <c r="C55" t="s">
        <v>1341</v>
      </c>
      <c r="D55" t="s">
        <v>1034</v>
      </c>
      <c r="E55" t="s">
        <v>45</v>
      </c>
      <c r="F55" s="1" t="s">
        <v>304</v>
      </c>
      <c r="G55" s="1" t="s">
        <v>1133</v>
      </c>
      <c r="J55" s="23">
        <v>53</v>
      </c>
      <c r="K55" s="11">
        <v>0.41</v>
      </c>
      <c r="M55" s="12">
        <f t="shared" si="2"/>
        <v>-0.38721614328026455</v>
      </c>
      <c r="N55" s="11">
        <f>GraphEcoli!B$10-('E coli'!J55-GraphEcoli!$B$6)/GraphEcoli!$B$5</f>
        <v>0.92513856044160603</v>
      </c>
      <c r="O55" s="1" t="s">
        <v>1146</v>
      </c>
      <c r="P55">
        <v>2000</v>
      </c>
      <c r="V55" s="10">
        <f>GraphEcoli!$B$40*'E coli'!J55+GraphEcoli!$B$41</f>
        <v>0.92513856044160558</v>
      </c>
      <c r="W55" s="10">
        <f>GraphEcoli!$E$40*'E coli'!J55+GraphEcoli!$E$41</f>
        <v>0.89165293221393238</v>
      </c>
      <c r="X55" s="10"/>
    </row>
    <row r="56" spans="1:24" hidden="1" x14ac:dyDescent="0.2">
      <c r="A56" s="1" t="s">
        <v>1329</v>
      </c>
      <c r="B56" s="1" t="s">
        <v>1330</v>
      </c>
      <c r="C56" t="s">
        <v>1341</v>
      </c>
      <c r="D56" t="s">
        <v>1034</v>
      </c>
      <c r="E56" t="s">
        <v>45</v>
      </c>
      <c r="F56" s="1" t="s">
        <v>304</v>
      </c>
      <c r="G56" s="1" t="s">
        <v>1141</v>
      </c>
      <c r="J56" s="23">
        <v>47</v>
      </c>
      <c r="K56" s="11">
        <v>3.72</v>
      </c>
      <c r="M56" s="12">
        <f t="shared" si="2"/>
        <v>0.57054293988189753</v>
      </c>
      <c r="N56" s="11">
        <f>GraphEcoli!B$10-('E coli'!J56-GraphEcoli!$B$6)/GraphEcoli!$B$5</f>
        <v>1.4894151767822907</v>
      </c>
      <c r="O56" s="1" t="s">
        <v>1146</v>
      </c>
      <c r="P56">
        <v>2000</v>
      </c>
      <c r="V56" s="10">
        <f>GraphEcoli!$B$40*'E coli'!J56+GraphEcoli!$B$41</f>
        <v>1.4894151767822903</v>
      </c>
      <c r="W56" s="10">
        <f>GraphEcoli!$E$40*'E coli'!J56+GraphEcoli!$E$41</f>
        <v>1.4168917898545299</v>
      </c>
      <c r="X56" s="10"/>
    </row>
    <row r="57" spans="1:24" hidden="1" x14ac:dyDescent="0.2">
      <c r="A57" s="1" t="s">
        <v>1329</v>
      </c>
      <c r="B57" s="1" t="s">
        <v>1330</v>
      </c>
      <c r="C57" t="s">
        <v>1341</v>
      </c>
      <c r="D57" t="s">
        <v>1034</v>
      </c>
      <c r="E57" t="s">
        <v>45</v>
      </c>
      <c r="F57" s="1" t="s">
        <v>304</v>
      </c>
      <c r="G57" s="1" t="s">
        <v>1141</v>
      </c>
      <c r="J57" s="23">
        <v>50</v>
      </c>
      <c r="K57" s="11">
        <v>2</v>
      </c>
      <c r="M57" s="12">
        <f t="shared" si="2"/>
        <v>0.3010299956639812</v>
      </c>
      <c r="N57" s="11">
        <f>GraphEcoli!B$10-('E coli'!J57-GraphEcoli!$B$6)/GraphEcoli!$B$5</f>
        <v>1.2072768686119482</v>
      </c>
      <c r="O57" s="1" t="s">
        <v>1146</v>
      </c>
      <c r="P57">
        <v>2000</v>
      </c>
      <c r="V57" s="10">
        <f>GraphEcoli!$B$40*'E coli'!J57+GraphEcoli!$B$41</f>
        <v>1.2072768686119479</v>
      </c>
      <c r="W57" s="10">
        <f>GraphEcoli!$E$40*'E coli'!J57+GraphEcoli!$E$41</f>
        <v>1.1542723610342316</v>
      </c>
      <c r="X57" s="10"/>
    </row>
    <row r="58" spans="1:24" hidden="1" x14ac:dyDescent="0.2">
      <c r="A58" s="1" t="s">
        <v>1329</v>
      </c>
      <c r="B58" s="1" t="s">
        <v>1330</v>
      </c>
      <c r="C58" t="s">
        <v>1341</v>
      </c>
      <c r="D58" t="s">
        <v>1034</v>
      </c>
      <c r="E58" t="s">
        <v>45</v>
      </c>
      <c r="F58" s="1" t="s">
        <v>304</v>
      </c>
      <c r="G58" s="1" t="s">
        <v>1141</v>
      </c>
      <c r="J58" s="23">
        <v>53</v>
      </c>
      <c r="K58" s="11">
        <v>0.68</v>
      </c>
      <c r="M58" s="12">
        <f t="shared" si="2"/>
        <v>-0.16749108729376366</v>
      </c>
      <c r="N58" s="11">
        <f>GraphEcoli!B$10-('E coli'!J58-GraphEcoli!$B$6)/GraphEcoli!$B$5</f>
        <v>0.92513856044160603</v>
      </c>
      <c r="O58" s="1" t="s">
        <v>1146</v>
      </c>
      <c r="P58">
        <v>2000</v>
      </c>
      <c r="V58" s="10">
        <f>GraphEcoli!$B$40*'E coli'!J58+GraphEcoli!$B$41</f>
        <v>0.92513856044160558</v>
      </c>
      <c r="W58" s="10">
        <f>GraphEcoli!$E$40*'E coli'!J58+GraphEcoli!$E$41</f>
        <v>0.89165293221393238</v>
      </c>
      <c r="X58" s="10"/>
    </row>
    <row r="59" spans="1:24" hidden="1" x14ac:dyDescent="0.2">
      <c r="A59" s="1" t="s">
        <v>1329</v>
      </c>
      <c r="B59" s="1" t="s">
        <v>1330</v>
      </c>
      <c r="C59" t="s">
        <v>1341</v>
      </c>
      <c r="D59" t="s">
        <v>1034</v>
      </c>
      <c r="E59" t="s">
        <v>45</v>
      </c>
      <c r="F59" s="1" t="s">
        <v>304</v>
      </c>
      <c r="G59" s="1" t="s">
        <v>1134</v>
      </c>
      <c r="J59" s="23">
        <v>47</v>
      </c>
      <c r="K59" s="11">
        <v>0.55000000000000004</v>
      </c>
      <c r="M59" s="12">
        <f t="shared" si="2"/>
        <v>-0.25963731050575611</v>
      </c>
      <c r="N59" s="11">
        <f>GraphEcoli!B$10-('E coli'!J59-GraphEcoli!$B$6)/GraphEcoli!$B$5</f>
        <v>1.4894151767822907</v>
      </c>
      <c r="O59" s="1" t="s">
        <v>1146</v>
      </c>
      <c r="P59">
        <v>2000</v>
      </c>
      <c r="V59" s="10">
        <f>GraphEcoli!$B$40*'E coli'!J59+GraphEcoli!$B$41</f>
        <v>1.4894151767822903</v>
      </c>
      <c r="W59" s="10">
        <f>GraphEcoli!$E$40*'E coli'!J59+GraphEcoli!$E$41</f>
        <v>1.4168917898545299</v>
      </c>
      <c r="X59" s="10"/>
    </row>
    <row r="60" spans="1:24" hidden="1" x14ac:dyDescent="0.2">
      <c r="A60" s="1" t="s">
        <v>1329</v>
      </c>
      <c r="B60" s="1" t="s">
        <v>1330</v>
      </c>
      <c r="C60" t="s">
        <v>1341</v>
      </c>
      <c r="D60" t="s">
        <v>1034</v>
      </c>
      <c r="E60" t="s">
        <v>45</v>
      </c>
      <c r="F60" s="1" t="s">
        <v>304</v>
      </c>
      <c r="G60" s="1" t="s">
        <v>1134</v>
      </c>
      <c r="J60" s="23">
        <v>50</v>
      </c>
      <c r="K60" s="11">
        <v>0.25</v>
      </c>
      <c r="M60" s="12">
        <f t="shared" si="2"/>
        <v>-0.6020599913279624</v>
      </c>
      <c r="N60" s="11">
        <f>GraphEcoli!B$10-('E coli'!J60-GraphEcoli!$B$6)/GraphEcoli!$B$5</f>
        <v>1.2072768686119482</v>
      </c>
      <c r="O60" s="1" t="s">
        <v>1146</v>
      </c>
      <c r="P60">
        <v>2000</v>
      </c>
      <c r="V60" s="10">
        <f>GraphEcoli!$B$40*'E coli'!J60+GraphEcoli!$B$41</f>
        <v>1.2072768686119479</v>
      </c>
      <c r="W60" s="10">
        <f>GraphEcoli!$E$40*'E coli'!J60+GraphEcoli!$E$41</f>
        <v>1.1542723610342316</v>
      </c>
      <c r="X60" s="10"/>
    </row>
    <row r="61" spans="1:24" hidden="1" x14ac:dyDescent="0.2">
      <c r="A61" s="1" t="s">
        <v>1329</v>
      </c>
      <c r="B61" s="1" t="s">
        <v>1330</v>
      </c>
      <c r="C61" t="s">
        <v>1341</v>
      </c>
      <c r="D61" t="s">
        <v>1034</v>
      </c>
      <c r="E61" t="s">
        <v>45</v>
      </c>
      <c r="F61" s="1" t="s">
        <v>304</v>
      </c>
      <c r="G61" s="1" t="s">
        <v>1134</v>
      </c>
      <c r="J61" s="23">
        <v>53</v>
      </c>
      <c r="K61" s="11">
        <v>0.16</v>
      </c>
      <c r="M61" s="12">
        <f t="shared" si="2"/>
        <v>-0.79588001734407521</v>
      </c>
      <c r="N61" s="11">
        <f>GraphEcoli!B$10-('E coli'!J61-GraphEcoli!$B$6)/GraphEcoli!$B$5</f>
        <v>0.92513856044160603</v>
      </c>
      <c r="O61" s="1" t="s">
        <v>1146</v>
      </c>
      <c r="P61">
        <v>2000</v>
      </c>
      <c r="V61" s="10">
        <f>GraphEcoli!$B$40*'E coli'!J61+GraphEcoli!$B$41</f>
        <v>0.92513856044160558</v>
      </c>
      <c r="W61" s="10">
        <f>GraphEcoli!$E$40*'E coli'!J61+GraphEcoli!$E$41</f>
        <v>0.89165293221393238</v>
      </c>
      <c r="X61" s="10"/>
    </row>
    <row r="62" spans="1:24" hidden="1" x14ac:dyDescent="0.2">
      <c r="A62" s="1" t="s">
        <v>1329</v>
      </c>
      <c r="B62" s="1" t="s">
        <v>1330</v>
      </c>
      <c r="C62" t="s">
        <v>1341</v>
      </c>
      <c r="D62" t="s">
        <v>1034</v>
      </c>
      <c r="E62" t="s">
        <v>45</v>
      </c>
      <c r="F62" s="1" t="s">
        <v>304</v>
      </c>
      <c r="G62" s="1" t="s">
        <v>1136</v>
      </c>
      <c r="J62" s="23">
        <v>47</v>
      </c>
      <c r="K62" s="11">
        <v>0.48</v>
      </c>
      <c r="M62" s="12">
        <f t="shared" si="2"/>
        <v>-0.31875876262441277</v>
      </c>
      <c r="N62" s="11">
        <f>GraphEcoli!B$10-('E coli'!J62-GraphEcoli!$B$6)/GraphEcoli!$B$5</f>
        <v>1.4894151767822907</v>
      </c>
      <c r="O62" s="1" t="s">
        <v>1146</v>
      </c>
      <c r="P62">
        <v>2000</v>
      </c>
      <c r="V62" s="10">
        <f>GraphEcoli!$B$40*'E coli'!J62+GraphEcoli!$B$41</f>
        <v>1.4894151767822903</v>
      </c>
      <c r="W62" s="10">
        <f>GraphEcoli!$E$40*'E coli'!J62+GraphEcoli!$E$41</f>
        <v>1.4168917898545299</v>
      </c>
      <c r="X62" s="10"/>
    </row>
    <row r="63" spans="1:24" hidden="1" x14ac:dyDescent="0.2">
      <c r="A63" s="1" t="s">
        <v>1329</v>
      </c>
      <c r="B63" s="1" t="s">
        <v>1330</v>
      </c>
      <c r="C63" t="s">
        <v>1341</v>
      </c>
      <c r="D63" t="s">
        <v>1034</v>
      </c>
      <c r="E63" t="s">
        <v>45</v>
      </c>
      <c r="F63" s="1" t="s">
        <v>304</v>
      </c>
      <c r="G63" s="1" t="s">
        <v>1136</v>
      </c>
      <c r="J63" s="23">
        <v>50</v>
      </c>
      <c r="K63" s="11">
        <v>0.36</v>
      </c>
      <c r="M63" s="12">
        <f t="shared" si="2"/>
        <v>-0.44369749923271273</v>
      </c>
      <c r="N63" s="11">
        <f>GraphEcoli!B$10-('E coli'!J63-GraphEcoli!$B$6)/GraphEcoli!$B$5</f>
        <v>1.2072768686119482</v>
      </c>
      <c r="O63" s="1" t="s">
        <v>1146</v>
      </c>
      <c r="P63">
        <v>2000</v>
      </c>
      <c r="V63" s="10">
        <f>GraphEcoli!$B$40*'E coli'!J63+GraphEcoli!$B$41</f>
        <v>1.2072768686119479</v>
      </c>
      <c r="W63" s="10">
        <f>GraphEcoli!$E$40*'E coli'!J63+GraphEcoli!$E$41</f>
        <v>1.1542723610342316</v>
      </c>
      <c r="X63" s="10"/>
    </row>
    <row r="64" spans="1:24" hidden="1" x14ac:dyDescent="0.2">
      <c r="A64" s="1" t="s">
        <v>1329</v>
      </c>
      <c r="B64" s="1" t="s">
        <v>1330</v>
      </c>
      <c r="C64" t="s">
        <v>1341</v>
      </c>
      <c r="D64" t="s">
        <v>1034</v>
      </c>
      <c r="E64" t="s">
        <v>45</v>
      </c>
      <c r="F64" s="1" t="s">
        <v>304</v>
      </c>
      <c r="G64" s="1" t="s">
        <v>1136</v>
      </c>
      <c r="J64" s="23">
        <v>53</v>
      </c>
      <c r="K64" s="11">
        <v>0.22</v>
      </c>
      <c r="M64" s="12">
        <f t="shared" si="2"/>
        <v>-0.65757731917779372</v>
      </c>
      <c r="N64" s="11">
        <f>GraphEcoli!B$10-('E coli'!J64-GraphEcoli!$B$6)/GraphEcoli!$B$5</f>
        <v>0.92513856044160603</v>
      </c>
      <c r="O64" s="1" t="s">
        <v>1146</v>
      </c>
      <c r="P64">
        <v>2000</v>
      </c>
      <c r="V64" s="10">
        <f>GraphEcoli!$B$40*'E coli'!J64+GraphEcoli!$B$41</f>
        <v>0.92513856044160558</v>
      </c>
      <c r="W64" s="10">
        <f>GraphEcoli!$E$40*'E coli'!J64+GraphEcoli!$E$41</f>
        <v>0.89165293221393238</v>
      </c>
      <c r="X64" s="10"/>
    </row>
    <row r="65" spans="1:24" hidden="1" x14ac:dyDescent="0.2">
      <c r="A65" s="1" t="s">
        <v>1329</v>
      </c>
      <c r="B65" s="1" t="s">
        <v>1330</v>
      </c>
      <c r="C65" t="s">
        <v>1341</v>
      </c>
      <c r="D65" t="s">
        <v>1034</v>
      </c>
      <c r="E65" t="s">
        <v>45</v>
      </c>
      <c r="F65" s="1" t="s">
        <v>304</v>
      </c>
      <c r="G65" s="1" t="s">
        <v>1138</v>
      </c>
      <c r="J65" s="23">
        <v>47</v>
      </c>
      <c r="K65" s="11">
        <v>3.58</v>
      </c>
      <c r="M65" s="12">
        <f t="shared" si="2"/>
        <v>0.55388302664387434</v>
      </c>
      <c r="N65" s="11">
        <f>GraphEcoli!B$10-('E coli'!J65-GraphEcoli!$B$6)/GraphEcoli!$B$5</f>
        <v>1.4894151767822907</v>
      </c>
      <c r="O65" s="1" t="s">
        <v>1146</v>
      </c>
      <c r="P65">
        <v>2000</v>
      </c>
      <c r="V65" s="10">
        <f>GraphEcoli!$B$40*'E coli'!J65+GraphEcoli!$B$41</f>
        <v>1.4894151767822903</v>
      </c>
      <c r="W65" s="10">
        <f>GraphEcoli!$E$40*'E coli'!J65+GraphEcoli!$E$41</f>
        <v>1.4168917898545299</v>
      </c>
      <c r="X65" s="10"/>
    </row>
    <row r="66" spans="1:24" hidden="1" x14ac:dyDescent="0.2">
      <c r="A66" s="1" t="s">
        <v>1329</v>
      </c>
      <c r="B66" s="1" t="s">
        <v>1330</v>
      </c>
      <c r="C66" t="s">
        <v>1341</v>
      </c>
      <c r="D66" t="s">
        <v>1034</v>
      </c>
      <c r="E66" t="s">
        <v>45</v>
      </c>
      <c r="F66" s="1" t="s">
        <v>304</v>
      </c>
      <c r="G66" s="1" t="s">
        <v>1138</v>
      </c>
      <c r="J66" s="23">
        <v>50</v>
      </c>
      <c r="K66" s="11">
        <v>2.37</v>
      </c>
      <c r="M66" s="12">
        <f t="shared" si="2"/>
        <v>0.37474834601010387</v>
      </c>
      <c r="N66" s="11">
        <f>GraphEcoli!B$10-('E coli'!J66-GraphEcoli!$B$6)/GraphEcoli!$B$5</f>
        <v>1.2072768686119482</v>
      </c>
      <c r="O66" s="1" t="s">
        <v>1146</v>
      </c>
      <c r="P66">
        <v>2000</v>
      </c>
      <c r="V66" s="10">
        <f>GraphEcoli!$B$40*'E coli'!J66+GraphEcoli!$B$41</f>
        <v>1.2072768686119479</v>
      </c>
      <c r="W66" s="10">
        <f>GraphEcoli!$E$40*'E coli'!J66+GraphEcoli!$E$41</f>
        <v>1.1542723610342316</v>
      </c>
      <c r="X66" s="10"/>
    </row>
    <row r="67" spans="1:24" hidden="1" x14ac:dyDescent="0.2">
      <c r="A67" s="1" t="s">
        <v>1329</v>
      </c>
      <c r="B67" s="1" t="s">
        <v>1330</v>
      </c>
      <c r="C67" t="s">
        <v>1341</v>
      </c>
      <c r="D67" t="s">
        <v>1034</v>
      </c>
      <c r="E67" t="s">
        <v>45</v>
      </c>
      <c r="F67" s="1" t="s">
        <v>304</v>
      </c>
      <c r="G67" s="1" t="s">
        <v>1138</v>
      </c>
      <c r="J67" s="23">
        <v>53</v>
      </c>
      <c r="K67" s="11">
        <v>0.99</v>
      </c>
      <c r="M67" s="12">
        <f t="shared" si="2"/>
        <v>-4.3648054024500883E-3</v>
      </c>
      <c r="N67" s="11">
        <f>GraphEcoli!B$10-('E coli'!J67-GraphEcoli!$B$6)/GraphEcoli!$B$5</f>
        <v>0.92513856044160603</v>
      </c>
      <c r="O67" s="1" t="s">
        <v>1146</v>
      </c>
      <c r="P67">
        <v>2000</v>
      </c>
      <c r="V67" s="10">
        <f>GraphEcoli!$B$40*'E coli'!J67+GraphEcoli!$B$41</f>
        <v>0.92513856044160558</v>
      </c>
      <c r="W67" s="10">
        <f>GraphEcoli!$E$40*'E coli'!J67+GraphEcoli!$E$41</f>
        <v>0.89165293221393238</v>
      </c>
      <c r="X67" s="10"/>
    </row>
    <row r="68" spans="1:24" hidden="1" x14ac:dyDescent="0.2">
      <c r="A68" s="1" t="s">
        <v>1329</v>
      </c>
      <c r="B68" s="1" t="s">
        <v>1330</v>
      </c>
      <c r="C68" t="s">
        <v>1341</v>
      </c>
      <c r="D68" t="s">
        <v>1034</v>
      </c>
      <c r="E68" t="s">
        <v>45</v>
      </c>
      <c r="F68" s="1" t="s">
        <v>304</v>
      </c>
      <c r="G68" s="1" t="s">
        <v>1140</v>
      </c>
      <c r="J68" s="23">
        <v>47</v>
      </c>
      <c r="K68" s="11">
        <v>0.43</v>
      </c>
      <c r="M68" s="12">
        <f t="shared" si="2"/>
        <v>-0.36653154442041347</v>
      </c>
      <c r="N68" s="11">
        <f>GraphEcoli!B$10-('E coli'!J68-GraphEcoli!$B$6)/GraphEcoli!$B$5</f>
        <v>1.4894151767822907</v>
      </c>
      <c r="O68" s="1" t="s">
        <v>1146</v>
      </c>
      <c r="P68">
        <v>2000</v>
      </c>
      <c r="V68" s="10">
        <f>GraphEcoli!$B$40*'E coli'!J68+GraphEcoli!$B$41</f>
        <v>1.4894151767822903</v>
      </c>
      <c r="W68" s="10">
        <f>GraphEcoli!$E$40*'E coli'!J68+GraphEcoli!$E$41</f>
        <v>1.4168917898545299</v>
      </c>
      <c r="X68" s="10"/>
    </row>
    <row r="69" spans="1:24" hidden="1" x14ac:dyDescent="0.2">
      <c r="A69" s="1" t="s">
        <v>1329</v>
      </c>
      <c r="B69" s="1" t="s">
        <v>1330</v>
      </c>
      <c r="C69" t="s">
        <v>1341</v>
      </c>
      <c r="D69" t="s">
        <v>1034</v>
      </c>
      <c r="E69" t="s">
        <v>45</v>
      </c>
      <c r="F69" s="1" t="s">
        <v>304</v>
      </c>
      <c r="G69" s="1" t="s">
        <v>1140</v>
      </c>
      <c r="J69" s="23">
        <v>50</v>
      </c>
      <c r="K69" s="11">
        <v>0.28000000000000003</v>
      </c>
      <c r="M69" s="12">
        <f t="shared" si="2"/>
        <v>-0.55284196865778079</v>
      </c>
      <c r="N69" s="11">
        <f>GraphEcoli!B$10-('E coli'!J69-GraphEcoli!$B$6)/GraphEcoli!$B$5</f>
        <v>1.2072768686119482</v>
      </c>
      <c r="O69" s="1" t="s">
        <v>1146</v>
      </c>
      <c r="P69">
        <v>2000</v>
      </c>
      <c r="V69" s="10">
        <f>GraphEcoli!$B$40*'E coli'!J69+GraphEcoli!$B$41</f>
        <v>1.2072768686119479</v>
      </c>
      <c r="W69" s="10">
        <f>GraphEcoli!$E$40*'E coli'!J69+GraphEcoli!$E$41</f>
        <v>1.1542723610342316</v>
      </c>
      <c r="X69" s="10"/>
    </row>
    <row r="70" spans="1:24" hidden="1" x14ac:dyDescent="0.2">
      <c r="A70" s="1" t="s">
        <v>1329</v>
      </c>
      <c r="B70" s="1" t="s">
        <v>1330</v>
      </c>
      <c r="C70" t="s">
        <v>1341</v>
      </c>
      <c r="D70" t="s">
        <v>1034</v>
      </c>
      <c r="E70" t="s">
        <v>45</v>
      </c>
      <c r="F70" s="1" t="s">
        <v>304</v>
      </c>
      <c r="G70" s="1" t="s">
        <v>1140</v>
      </c>
      <c r="J70" s="23">
        <v>53</v>
      </c>
      <c r="K70" s="11">
        <v>0.11</v>
      </c>
      <c r="M70" s="12">
        <f t="shared" si="2"/>
        <v>-0.95860731484177497</v>
      </c>
      <c r="N70" s="11">
        <f>GraphEcoli!B$10-('E coli'!J70-GraphEcoli!$B$6)/GraphEcoli!$B$5</f>
        <v>0.92513856044160603</v>
      </c>
      <c r="O70" s="1" t="s">
        <v>1146</v>
      </c>
      <c r="P70">
        <v>2000</v>
      </c>
      <c r="V70" s="10">
        <f>GraphEcoli!$B$40*'E coli'!J70+GraphEcoli!$B$41</f>
        <v>0.92513856044160558</v>
      </c>
      <c r="W70" s="10">
        <f>GraphEcoli!$E$40*'E coli'!J70+GraphEcoli!$E$41</f>
        <v>0.89165293221393238</v>
      </c>
      <c r="X70" s="10"/>
    </row>
    <row r="71" spans="1:24" hidden="1" x14ac:dyDescent="0.2">
      <c r="A71" s="1" t="s">
        <v>1329</v>
      </c>
      <c r="B71" s="1" t="s">
        <v>1330</v>
      </c>
      <c r="C71" t="s">
        <v>1341</v>
      </c>
      <c r="D71" t="s">
        <v>1034</v>
      </c>
      <c r="E71" t="s">
        <v>45</v>
      </c>
      <c r="F71" s="1" t="s">
        <v>304</v>
      </c>
      <c r="G71" s="1" t="s">
        <v>1137</v>
      </c>
      <c r="J71" s="23">
        <v>47</v>
      </c>
      <c r="K71" s="11">
        <v>0.51</v>
      </c>
      <c r="M71" s="12">
        <f t="shared" si="2"/>
        <v>-0.29242982390206362</v>
      </c>
      <c r="N71" s="11">
        <f>GraphEcoli!B$10-('E coli'!J71-GraphEcoli!$B$6)/GraphEcoli!$B$5</f>
        <v>1.4894151767822907</v>
      </c>
      <c r="O71" s="1" t="s">
        <v>1146</v>
      </c>
      <c r="P71">
        <v>2000</v>
      </c>
      <c r="V71" s="10">
        <f>GraphEcoli!$B$40*'E coli'!J71+GraphEcoli!$B$41</f>
        <v>1.4894151767822903</v>
      </c>
      <c r="W71" s="10">
        <f>GraphEcoli!$E$40*'E coli'!J71+GraphEcoli!$E$41</f>
        <v>1.4168917898545299</v>
      </c>
      <c r="X71" s="10"/>
    </row>
    <row r="72" spans="1:24" hidden="1" x14ac:dyDescent="0.2">
      <c r="A72" s="1" t="s">
        <v>1329</v>
      </c>
      <c r="B72" s="1" t="s">
        <v>1330</v>
      </c>
      <c r="C72" t="s">
        <v>1341</v>
      </c>
      <c r="D72" t="s">
        <v>1034</v>
      </c>
      <c r="E72" t="s">
        <v>45</v>
      </c>
      <c r="F72" s="1" t="s">
        <v>304</v>
      </c>
      <c r="G72" s="1" t="s">
        <v>1137</v>
      </c>
      <c r="J72" s="23">
        <v>50</v>
      </c>
      <c r="K72" s="11">
        <v>0.4</v>
      </c>
      <c r="M72" s="12">
        <f t="shared" si="2"/>
        <v>-0.3979400086720376</v>
      </c>
      <c r="N72" s="11">
        <f>GraphEcoli!B$10-('E coli'!J72-GraphEcoli!$B$6)/GraphEcoli!$B$5</f>
        <v>1.2072768686119482</v>
      </c>
      <c r="O72" s="1" t="s">
        <v>1146</v>
      </c>
      <c r="P72">
        <v>2000</v>
      </c>
      <c r="V72" s="10">
        <f>GraphEcoli!$B$40*'E coli'!J72+GraphEcoli!$B$41</f>
        <v>1.2072768686119479</v>
      </c>
      <c r="W72" s="10">
        <f>GraphEcoli!$E$40*'E coli'!J72+GraphEcoli!$E$41</f>
        <v>1.1542723610342316</v>
      </c>
      <c r="X72" s="10"/>
    </row>
    <row r="73" spans="1:24" hidden="1" x14ac:dyDescent="0.2">
      <c r="A73" s="1" t="s">
        <v>1329</v>
      </c>
      <c r="B73" s="1" t="s">
        <v>1330</v>
      </c>
      <c r="C73" t="s">
        <v>1341</v>
      </c>
      <c r="D73" t="s">
        <v>1034</v>
      </c>
      <c r="E73" t="s">
        <v>45</v>
      </c>
      <c r="F73" s="1" t="s">
        <v>304</v>
      </c>
      <c r="G73" s="1" t="s">
        <v>1137</v>
      </c>
      <c r="J73" s="23">
        <v>53</v>
      </c>
      <c r="K73" s="11">
        <v>0.31</v>
      </c>
      <c r="M73" s="12">
        <f t="shared" ref="M73:M104" si="3">LOG(K73)+$L$401</f>
        <v>-0.50863830616572736</v>
      </c>
      <c r="N73" s="11">
        <f>GraphEcoli!B$10-('E coli'!J73-GraphEcoli!$B$6)/GraphEcoli!$B$5</f>
        <v>0.92513856044160603</v>
      </c>
      <c r="O73" s="1" t="s">
        <v>1146</v>
      </c>
      <c r="P73">
        <v>2000</v>
      </c>
      <c r="V73" s="10">
        <f>GraphEcoli!$B$40*'E coli'!J73+GraphEcoli!$B$41</f>
        <v>0.92513856044160558</v>
      </c>
      <c r="W73" s="10">
        <f>GraphEcoli!$E$40*'E coli'!J73+GraphEcoli!$E$41</f>
        <v>0.89165293221393238</v>
      </c>
      <c r="X73" s="10"/>
    </row>
    <row r="74" spans="1:24" hidden="1" x14ac:dyDescent="0.2">
      <c r="A74" s="1" t="s">
        <v>1329</v>
      </c>
      <c r="B74" s="1" t="s">
        <v>1330</v>
      </c>
      <c r="C74" t="s">
        <v>1341</v>
      </c>
      <c r="D74" t="s">
        <v>1034</v>
      </c>
      <c r="E74" t="s">
        <v>45</v>
      </c>
      <c r="F74" s="1" t="s">
        <v>304</v>
      </c>
      <c r="G74" s="1" t="s">
        <v>1131</v>
      </c>
      <c r="J74" s="23">
        <v>47</v>
      </c>
      <c r="K74" s="11">
        <v>35.64</v>
      </c>
      <c r="M74" s="12">
        <f t="shared" si="3"/>
        <v>1.5519376953648372</v>
      </c>
      <c r="N74" s="11">
        <f>GraphEcoli!B$10-('E coli'!J74-GraphEcoli!$B$6)/GraphEcoli!$B$5</f>
        <v>1.4894151767822907</v>
      </c>
      <c r="O74" s="1" t="s">
        <v>1146</v>
      </c>
      <c r="P74">
        <v>2000</v>
      </c>
      <c r="V74" s="10">
        <f>GraphEcoli!$B$40*'E coli'!J74+GraphEcoli!$B$41</f>
        <v>1.4894151767822903</v>
      </c>
      <c r="W74" s="10">
        <f>GraphEcoli!$E$40*'E coli'!J74+GraphEcoli!$E$41</f>
        <v>1.4168917898545299</v>
      </c>
      <c r="X74" s="10"/>
    </row>
    <row r="75" spans="1:24" hidden="1" x14ac:dyDescent="0.2">
      <c r="A75" s="1" t="s">
        <v>1329</v>
      </c>
      <c r="B75" s="1" t="s">
        <v>1330</v>
      </c>
      <c r="C75" t="s">
        <v>1341</v>
      </c>
      <c r="D75" t="s">
        <v>1034</v>
      </c>
      <c r="E75" t="s">
        <v>45</v>
      </c>
      <c r="F75" s="1" t="s">
        <v>304</v>
      </c>
      <c r="G75" s="1" t="s">
        <v>1131</v>
      </c>
      <c r="J75" s="23">
        <v>50</v>
      </c>
      <c r="K75" s="11">
        <v>13.18</v>
      </c>
      <c r="M75" s="12">
        <f t="shared" si="3"/>
        <v>1.1199154102579911</v>
      </c>
      <c r="N75" s="11">
        <f>GraphEcoli!B$10-('E coli'!J75-GraphEcoli!$B$6)/GraphEcoli!$B$5</f>
        <v>1.2072768686119482</v>
      </c>
      <c r="O75" s="1" t="s">
        <v>1146</v>
      </c>
      <c r="P75">
        <v>2000</v>
      </c>
      <c r="V75" s="10">
        <f>GraphEcoli!$B$40*'E coli'!J75+GraphEcoli!$B$41</f>
        <v>1.2072768686119479</v>
      </c>
      <c r="W75" s="10">
        <f>GraphEcoli!$E$40*'E coli'!J75+GraphEcoli!$E$41</f>
        <v>1.1542723610342316</v>
      </c>
      <c r="X75" s="10"/>
    </row>
    <row r="76" spans="1:24" hidden="1" x14ac:dyDescent="0.2">
      <c r="A76" s="1" t="s">
        <v>1329</v>
      </c>
      <c r="B76" s="1" t="s">
        <v>1330</v>
      </c>
      <c r="C76" t="s">
        <v>1341</v>
      </c>
      <c r="D76" t="s">
        <v>1034</v>
      </c>
      <c r="E76" t="s">
        <v>45</v>
      </c>
      <c r="F76" s="1" t="s">
        <v>304</v>
      </c>
      <c r="G76" s="1" t="s">
        <v>1131</v>
      </c>
      <c r="J76" s="23">
        <v>53</v>
      </c>
      <c r="K76" s="11">
        <v>5.65</v>
      </c>
      <c r="M76" s="12">
        <f t="shared" si="3"/>
        <v>0.75204844781943858</v>
      </c>
      <c r="N76" s="11">
        <f>GraphEcoli!B$10-('E coli'!J76-GraphEcoli!$B$6)/GraphEcoli!$B$5</f>
        <v>0.92513856044160603</v>
      </c>
      <c r="O76" s="1" t="s">
        <v>1146</v>
      </c>
      <c r="P76">
        <v>2000</v>
      </c>
      <c r="V76" s="10">
        <f>GraphEcoli!$B$40*'E coli'!J76+GraphEcoli!$B$41</f>
        <v>0.92513856044160558</v>
      </c>
      <c r="W76" s="10">
        <f>GraphEcoli!$E$40*'E coli'!J76+GraphEcoli!$E$41</f>
        <v>0.89165293221393238</v>
      </c>
      <c r="X76" s="10"/>
    </row>
    <row r="77" spans="1:24" hidden="1" x14ac:dyDescent="0.2">
      <c r="A77" s="1" t="s">
        <v>1329</v>
      </c>
      <c r="B77" s="1" t="s">
        <v>1330</v>
      </c>
      <c r="C77" t="s">
        <v>1341</v>
      </c>
      <c r="D77" t="s">
        <v>1034</v>
      </c>
      <c r="E77" t="s">
        <v>45</v>
      </c>
      <c r="F77" s="1" t="s">
        <v>304</v>
      </c>
      <c r="G77" s="1" t="s">
        <v>1135</v>
      </c>
      <c r="J77" s="23">
        <v>47</v>
      </c>
      <c r="K77" s="11">
        <v>5.13</v>
      </c>
      <c r="M77" s="12">
        <f t="shared" si="3"/>
        <v>0.71011736511181622</v>
      </c>
      <c r="N77" s="11">
        <f>GraphEcoli!B$10-('E coli'!J77-GraphEcoli!$B$6)/GraphEcoli!$B$5</f>
        <v>1.4894151767822907</v>
      </c>
      <c r="O77" s="1" t="s">
        <v>1146</v>
      </c>
      <c r="P77">
        <v>2000</v>
      </c>
      <c r="V77" s="10">
        <f>GraphEcoli!$B$40*'E coli'!J77+GraphEcoli!$B$41</f>
        <v>1.4894151767822903</v>
      </c>
      <c r="W77" s="10">
        <f>GraphEcoli!$E$40*'E coli'!J77+GraphEcoli!$E$41</f>
        <v>1.4168917898545299</v>
      </c>
      <c r="X77" s="10"/>
    </row>
    <row r="78" spans="1:24" hidden="1" x14ac:dyDescent="0.2">
      <c r="A78" s="1" t="s">
        <v>1329</v>
      </c>
      <c r="B78" s="1" t="s">
        <v>1330</v>
      </c>
      <c r="C78" t="s">
        <v>1341</v>
      </c>
      <c r="D78" t="s">
        <v>1034</v>
      </c>
      <c r="E78" t="s">
        <v>45</v>
      </c>
      <c r="F78" s="1" t="s">
        <v>304</v>
      </c>
      <c r="G78" s="1" t="s">
        <v>1135</v>
      </c>
      <c r="J78" s="23">
        <v>50</v>
      </c>
      <c r="K78" s="11">
        <v>1.87</v>
      </c>
      <c r="M78" s="12">
        <f t="shared" si="3"/>
        <v>0.27184160653649897</v>
      </c>
      <c r="N78" s="11">
        <f>GraphEcoli!B$10-('E coli'!J78-GraphEcoli!$B$6)/GraphEcoli!$B$5</f>
        <v>1.2072768686119482</v>
      </c>
      <c r="O78" s="1" t="s">
        <v>1146</v>
      </c>
      <c r="P78">
        <v>2000</v>
      </c>
      <c r="V78" s="10">
        <f>GraphEcoli!$B$40*'E coli'!J78+GraphEcoli!$B$41</f>
        <v>1.2072768686119479</v>
      </c>
      <c r="W78" s="10">
        <f>GraphEcoli!$E$40*'E coli'!J78+GraphEcoli!$E$41</f>
        <v>1.1542723610342316</v>
      </c>
      <c r="X78" s="10"/>
    </row>
    <row r="79" spans="1:24" hidden="1" x14ac:dyDescent="0.2">
      <c r="A79" s="1" t="s">
        <v>1329</v>
      </c>
      <c r="B79" s="1" t="s">
        <v>1330</v>
      </c>
      <c r="C79" t="s">
        <v>1341</v>
      </c>
      <c r="D79" t="s">
        <v>1034</v>
      </c>
      <c r="E79" t="s">
        <v>45</v>
      </c>
      <c r="F79" s="1" t="s">
        <v>304</v>
      </c>
      <c r="G79" s="1" t="s">
        <v>1135</v>
      </c>
      <c r="J79" s="23">
        <v>53</v>
      </c>
      <c r="K79" s="11">
        <v>0.52</v>
      </c>
      <c r="M79" s="12">
        <f t="shared" si="3"/>
        <v>-0.28399665636520083</v>
      </c>
      <c r="N79" s="11">
        <f>GraphEcoli!B$10-('E coli'!J79-GraphEcoli!$B$6)/GraphEcoli!$B$5</f>
        <v>0.92513856044160603</v>
      </c>
      <c r="O79" s="1" t="s">
        <v>1146</v>
      </c>
      <c r="P79">
        <v>2000</v>
      </c>
      <c r="V79" s="10">
        <f>GraphEcoli!$B$40*'E coli'!J79+GraphEcoli!$B$41</f>
        <v>0.92513856044160558</v>
      </c>
      <c r="W79" s="10">
        <f>GraphEcoli!$E$40*'E coli'!J79+GraphEcoli!$E$41</f>
        <v>0.89165293221393238</v>
      </c>
      <c r="X79" s="10"/>
    </row>
    <row r="80" spans="1:24" hidden="1" x14ac:dyDescent="0.2">
      <c r="A80" s="1" t="s">
        <v>1329</v>
      </c>
      <c r="B80" s="1" t="s">
        <v>1330</v>
      </c>
      <c r="C80" t="s">
        <v>1341</v>
      </c>
      <c r="D80" t="s">
        <v>1034</v>
      </c>
      <c r="E80" t="s">
        <v>45</v>
      </c>
      <c r="F80" s="1" t="s">
        <v>304</v>
      </c>
      <c r="G80" s="1" t="s">
        <v>1139</v>
      </c>
      <c r="J80" s="23">
        <v>47</v>
      </c>
      <c r="K80" s="11">
        <v>3.49</v>
      </c>
      <c r="M80" s="12">
        <f t="shared" si="3"/>
        <v>0.5428254269591799</v>
      </c>
      <c r="N80" s="11">
        <f>GraphEcoli!B$10-('E coli'!J80-GraphEcoli!$B$6)/GraphEcoli!$B$5</f>
        <v>1.4894151767822907</v>
      </c>
      <c r="O80" s="1" t="s">
        <v>1146</v>
      </c>
      <c r="P80">
        <v>2000</v>
      </c>
      <c r="V80" s="10">
        <f>GraphEcoli!$B$40*'E coli'!J80+GraphEcoli!$B$41</f>
        <v>1.4894151767822903</v>
      </c>
      <c r="W80" s="10">
        <f>GraphEcoli!$E$40*'E coli'!J80+GraphEcoli!$E$41</f>
        <v>1.4168917898545299</v>
      </c>
      <c r="X80" s="10"/>
    </row>
    <row r="81" spans="1:24" hidden="1" x14ac:dyDescent="0.2">
      <c r="A81" s="1" t="s">
        <v>1329</v>
      </c>
      <c r="B81" s="1" t="s">
        <v>1330</v>
      </c>
      <c r="C81" t="s">
        <v>1341</v>
      </c>
      <c r="D81" t="s">
        <v>1034</v>
      </c>
      <c r="E81" t="s">
        <v>45</v>
      </c>
      <c r="F81" s="1" t="s">
        <v>304</v>
      </c>
      <c r="G81" s="1" t="s">
        <v>1139</v>
      </c>
      <c r="J81" s="23">
        <v>50</v>
      </c>
      <c r="K81" s="11">
        <v>1.1200000000000001</v>
      </c>
      <c r="M81" s="12">
        <f t="shared" si="3"/>
        <v>4.9218022670181653E-2</v>
      </c>
      <c r="N81" s="11">
        <f>GraphEcoli!B$10-('E coli'!J81-GraphEcoli!$B$6)/GraphEcoli!$B$5</f>
        <v>1.2072768686119482</v>
      </c>
      <c r="O81" s="1" t="s">
        <v>1146</v>
      </c>
      <c r="P81">
        <v>2000</v>
      </c>
      <c r="V81" s="10">
        <f>GraphEcoli!$B$40*'E coli'!J81+GraphEcoli!$B$41</f>
        <v>1.2072768686119479</v>
      </c>
      <c r="W81" s="10">
        <f>GraphEcoli!$E$40*'E coli'!J81+GraphEcoli!$E$41</f>
        <v>1.1542723610342316</v>
      </c>
      <c r="X81" s="10"/>
    </row>
    <row r="82" spans="1:24" hidden="1" x14ac:dyDescent="0.2">
      <c r="A82" s="1" t="s">
        <v>1329</v>
      </c>
      <c r="B82" s="1" t="s">
        <v>1330</v>
      </c>
      <c r="C82" t="s">
        <v>1341</v>
      </c>
      <c r="D82" t="s">
        <v>1034</v>
      </c>
      <c r="E82" t="s">
        <v>45</v>
      </c>
      <c r="F82" s="1" t="s">
        <v>304</v>
      </c>
      <c r="G82" s="1" t="s">
        <v>1139</v>
      </c>
      <c r="J82" s="23">
        <v>53</v>
      </c>
      <c r="K82" s="11">
        <v>0.46</v>
      </c>
      <c r="M82" s="12">
        <f t="shared" si="3"/>
        <v>-0.33724216831842591</v>
      </c>
      <c r="N82" s="11">
        <f>GraphEcoli!B$10-('E coli'!J82-GraphEcoli!$B$6)/GraphEcoli!$B$5</f>
        <v>0.92513856044160603</v>
      </c>
      <c r="O82" s="1" t="s">
        <v>1146</v>
      </c>
      <c r="P82">
        <v>2000</v>
      </c>
      <c r="V82" s="10">
        <f>GraphEcoli!$B$40*'E coli'!J82+GraphEcoli!$B$41</f>
        <v>0.92513856044160558</v>
      </c>
      <c r="W82" s="10">
        <f>GraphEcoli!$E$40*'E coli'!J82+GraphEcoli!$E$41</f>
        <v>0.89165293221393238</v>
      </c>
      <c r="X82" s="10"/>
    </row>
    <row r="83" spans="1:24" x14ac:dyDescent="0.2">
      <c r="A83" s="1" t="s">
        <v>1329</v>
      </c>
      <c r="B83" s="1" t="s">
        <v>1330</v>
      </c>
      <c r="C83" s="1" t="s">
        <v>1341</v>
      </c>
      <c r="E83" s="1" t="s">
        <v>45</v>
      </c>
      <c r="F83" s="1" t="s">
        <v>304</v>
      </c>
      <c r="G83" s="1" t="s">
        <v>1277</v>
      </c>
      <c r="H83" s="27"/>
      <c r="I83" s="4">
        <v>3.6</v>
      </c>
      <c r="J83" s="23">
        <v>58</v>
      </c>
      <c r="K83" s="11">
        <v>1</v>
      </c>
      <c r="L83" s="4">
        <v>4.8</v>
      </c>
      <c r="M83" s="12">
        <f t="shared" si="3"/>
        <v>0</v>
      </c>
      <c r="N83" s="11">
        <f>GraphEcoli!B$10-('E coli'!J83-GraphEcoli!$B$6)/GraphEcoli!$B$5</f>
        <v>0.45490804682436869</v>
      </c>
      <c r="O83" s="1" t="s">
        <v>294</v>
      </c>
      <c r="P83">
        <v>2000</v>
      </c>
      <c r="V83" s="10">
        <f>GraphEcoli!$B$40*'E coli'!J83+GraphEcoli!$B$41</f>
        <v>0.45490804682436892</v>
      </c>
      <c r="W83" s="10">
        <f>GraphEcoli!$E$40*'E coli'!J83+GraphEcoli!$E$41</f>
        <v>0.45395388418010096</v>
      </c>
      <c r="X83" s="10"/>
    </row>
    <row r="84" spans="1:24" x14ac:dyDescent="0.2">
      <c r="A84" s="1" t="s">
        <v>1329</v>
      </c>
      <c r="B84" s="1" t="s">
        <v>1330</v>
      </c>
      <c r="C84" t="s">
        <v>1341</v>
      </c>
      <c r="D84" t="s">
        <v>1034</v>
      </c>
      <c r="E84" t="s">
        <v>45</v>
      </c>
      <c r="F84" s="1" t="s">
        <v>304</v>
      </c>
      <c r="G84" s="1" t="s">
        <v>1277</v>
      </c>
      <c r="I84" s="4">
        <v>3.9</v>
      </c>
      <c r="J84" s="23">
        <v>56</v>
      </c>
      <c r="K84" s="11">
        <v>4.0999999999999996</v>
      </c>
      <c r="L84" s="4">
        <v>5.6</v>
      </c>
      <c r="M84" s="12">
        <f t="shared" si="3"/>
        <v>0.61278385671973545</v>
      </c>
      <c r="N84" s="11">
        <f>GraphEcoli!B$10-('E coli'!J84-GraphEcoli!$B$6)/GraphEcoli!$B$5</f>
        <v>0.64300025227126367</v>
      </c>
      <c r="O84" s="1" t="s">
        <v>1149</v>
      </c>
      <c r="P84">
        <v>2001</v>
      </c>
      <c r="Q84" t="s">
        <v>366</v>
      </c>
      <c r="V84" s="10">
        <f>GraphEcoli!$B$40*'E coli'!J84+GraphEcoli!$B$41</f>
        <v>0.64300025227126323</v>
      </c>
      <c r="W84" s="10">
        <f>GraphEcoli!$E$40*'E coli'!J84+GraphEcoli!$E$41</f>
        <v>0.62903350339363318</v>
      </c>
      <c r="X84" s="10"/>
    </row>
    <row r="85" spans="1:24" x14ac:dyDescent="0.2">
      <c r="A85" s="1" t="s">
        <v>1329</v>
      </c>
      <c r="B85" s="1" t="s">
        <v>1330</v>
      </c>
      <c r="C85" t="s">
        <v>1341</v>
      </c>
      <c r="D85" t="s">
        <v>1034</v>
      </c>
      <c r="E85" t="s">
        <v>45</v>
      </c>
      <c r="F85" s="1" t="s">
        <v>304</v>
      </c>
      <c r="G85" s="1" t="s">
        <v>1277</v>
      </c>
      <c r="I85" s="4">
        <v>3.9</v>
      </c>
      <c r="J85" s="23">
        <v>56</v>
      </c>
      <c r="K85" s="11">
        <v>7</v>
      </c>
      <c r="L85" s="4">
        <v>5.9</v>
      </c>
      <c r="M85" s="12">
        <f t="shared" si="3"/>
        <v>0.84509804001425681</v>
      </c>
      <c r="N85" s="11">
        <f>GraphEcoli!B$10-('E coli'!J85-GraphEcoli!$B$6)/GraphEcoli!$B$5</f>
        <v>0.64300025227126367</v>
      </c>
      <c r="O85" s="1" t="s">
        <v>1149</v>
      </c>
      <c r="P85">
        <v>2001</v>
      </c>
      <c r="Q85" t="s">
        <v>1042</v>
      </c>
      <c r="V85" s="10">
        <f>GraphEcoli!$B$40*'E coli'!J85+GraphEcoli!$B$41</f>
        <v>0.64300025227126323</v>
      </c>
      <c r="W85" s="10">
        <f>GraphEcoli!$E$40*'E coli'!J85+GraphEcoli!$E$41</f>
        <v>0.62903350339363318</v>
      </c>
      <c r="X85" s="10"/>
    </row>
    <row r="86" spans="1:24" x14ac:dyDescent="0.2">
      <c r="A86" s="1" t="s">
        <v>1329</v>
      </c>
      <c r="B86" s="1" t="s">
        <v>1330</v>
      </c>
      <c r="C86" t="s">
        <v>1341</v>
      </c>
      <c r="D86" t="s">
        <v>1034</v>
      </c>
      <c r="E86" t="s">
        <v>45</v>
      </c>
      <c r="F86" s="1" t="s">
        <v>304</v>
      </c>
      <c r="G86" s="1" t="s">
        <v>1277</v>
      </c>
      <c r="I86" s="4">
        <v>3.9</v>
      </c>
      <c r="J86" s="23">
        <v>58</v>
      </c>
      <c r="K86" s="11">
        <v>1.9</v>
      </c>
      <c r="L86" s="4">
        <v>5.6</v>
      </c>
      <c r="M86" s="12">
        <f t="shared" si="3"/>
        <v>0.27875360095282892</v>
      </c>
      <c r="N86" s="11">
        <f>GraphEcoli!B$10-('E coli'!J86-GraphEcoli!$B$6)/GraphEcoli!$B$5</f>
        <v>0.45490804682436869</v>
      </c>
      <c r="O86" s="1" t="s">
        <v>1149</v>
      </c>
      <c r="P86">
        <v>2001</v>
      </c>
      <c r="Q86" t="s">
        <v>366</v>
      </c>
      <c r="V86" s="10">
        <f>GraphEcoli!$B$40*'E coli'!J86+GraphEcoli!$B$41</f>
        <v>0.45490804682436892</v>
      </c>
      <c r="W86" s="10">
        <f>GraphEcoli!$E$40*'E coli'!J86+GraphEcoli!$E$41</f>
        <v>0.45395388418010096</v>
      </c>
      <c r="X86" s="10"/>
    </row>
    <row r="87" spans="1:24" x14ac:dyDescent="0.2">
      <c r="A87" s="1" t="s">
        <v>1329</v>
      </c>
      <c r="B87" s="1" t="s">
        <v>1330</v>
      </c>
      <c r="C87" t="s">
        <v>1341</v>
      </c>
      <c r="D87" t="s">
        <v>1034</v>
      </c>
      <c r="E87" t="s">
        <v>45</v>
      </c>
      <c r="F87" s="1" t="s">
        <v>304</v>
      </c>
      <c r="G87" s="1" t="s">
        <v>1277</v>
      </c>
      <c r="I87" s="4">
        <v>3.9</v>
      </c>
      <c r="J87" s="23">
        <v>58</v>
      </c>
      <c r="K87" s="11">
        <v>3.5</v>
      </c>
      <c r="L87" s="4">
        <v>5.9</v>
      </c>
      <c r="M87" s="12">
        <f t="shared" si="3"/>
        <v>0.54406804435027567</v>
      </c>
      <c r="N87" s="11">
        <f>GraphEcoli!B$10-('E coli'!J87-GraphEcoli!$B$6)/GraphEcoli!$B$5</f>
        <v>0.45490804682436869</v>
      </c>
      <c r="O87" s="1" t="s">
        <v>1149</v>
      </c>
      <c r="P87">
        <v>2001</v>
      </c>
      <c r="Q87" t="s">
        <v>1042</v>
      </c>
      <c r="V87" s="10">
        <f>GraphEcoli!$B$40*'E coli'!J87+GraphEcoli!$B$41</f>
        <v>0.45490804682436892</v>
      </c>
      <c r="W87" s="10">
        <f>GraphEcoli!$E$40*'E coli'!J87+GraphEcoli!$E$41</f>
        <v>0.45395388418010096</v>
      </c>
      <c r="X87" s="10"/>
    </row>
    <row r="88" spans="1:24" x14ac:dyDescent="0.2">
      <c r="A88" s="1" t="s">
        <v>1329</v>
      </c>
      <c r="B88" s="1" t="s">
        <v>1330</v>
      </c>
      <c r="C88" t="s">
        <v>1341</v>
      </c>
      <c r="D88" t="s">
        <v>1034</v>
      </c>
      <c r="E88" t="s">
        <v>45</v>
      </c>
      <c r="F88" s="1" t="s">
        <v>304</v>
      </c>
      <c r="G88" s="1" t="s">
        <v>1277</v>
      </c>
      <c r="I88" s="4">
        <v>3.9</v>
      </c>
      <c r="J88" s="23">
        <v>60</v>
      </c>
      <c r="K88" s="11">
        <v>0.8</v>
      </c>
      <c r="L88" s="4">
        <v>5.6</v>
      </c>
      <c r="M88" s="12">
        <f t="shared" si="3"/>
        <v>-9.6910013008056392E-2</v>
      </c>
      <c r="N88" s="11">
        <f>GraphEcoli!B$10-('E coli'!J88-GraphEcoli!$B$6)/GraphEcoli!$B$5</f>
        <v>0.26681584137747383</v>
      </c>
      <c r="O88" s="1" t="s">
        <v>1149</v>
      </c>
      <c r="P88">
        <v>2001</v>
      </c>
      <c r="Q88" t="s">
        <v>366</v>
      </c>
      <c r="V88" s="10">
        <f>GraphEcoli!$B$40*'E coli'!J88+GraphEcoli!$B$41</f>
        <v>0.26681584137747372</v>
      </c>
      <c r="W88" s="10">
        <f>GraphEcoli!$E$40*'E coli'!J88+GraphEcoli!$E$41</f>
        <v>0.27887426496656786</v>
      </c>
      <c r="X88" s="10"/>
    </row>
    <row r="89" spans="1:24" x14ac:dyDescent="0.2">
      <c r="A89" s="1" t="s">
        <v>1329</v>
      </c>
      <c r="B89" s="1" t="s">
        <v>1330</v>
      </c>
      <c r="C89" t="s">
        <v>1341</v>
      </c>
      <c r="D89" t="s">
        <v>1034</v>
      </c>
      <c r="E89" t="s">
        <v>45</v>
      </c>
      <c r="F89" s="1" t="s">
        <v>304</v>
      </c>
      <c r="G89" s="1" t="s">
        <v>1277</v>
      </c>
      <c r="I89" s="4">
        <v>3.9</v>
      </c>
      <c r="J89" s="23">
        <v>60</v>
      </c>
      <c r="K89" s="11">
        <v>1.5</v>
      </c>
      <c r="L89" s="4">
        <v>5.9</v>
      </c>
      <c r="M89" s="12">
        <f t="shared" si="3"/>
        <v>0.17609125905568124</v>
      </c>
      <c r="N89" s="11">
        <f>GraphEcoli!B$10-('E coli'!J89-GraphEcoli!$B$6)/GraphEcoli!$B$5</f>
        <v>0.26681584137747383</v>
      </c>
      <c r="O89" s="1" t="s">
        <v>1149</v>
      </c>
      <c r="P89">
        <v>2001</v>
      </c>
      <c r="Q89" t="s">
        <v>1042</v>
      </c>
      <c r="V89" s="10">
        <f>GraphEcoli!$B$40*'E coli'!J89+GraphEcoli!$B$41</f>
        <v>0.26681584137747372</v>
      </c>
      <c r="W89" s="10">
        <f>GraphEcoli!$E$40*'E coli'!J89+GraphEcoli!$E$41</f>
        <v>0.27887426496656786</v>
      </c>
      <c r="X89" s="10"/>
    </row>
    <row r="90" spans="1:24" x14ac:dyDescent="0.2">
      <c r="A90" s="1" t="s">
        <v>1329</v>
      </c>
      <c r="B90" s="1" t="s">
        <v>1330</v>
      </c>
      <c r="C90" t="s">
        <v>1341</v>
      </c>
      <c r="E90" t="s">
        <v>45</v>
      </c>
      <c r="F90" s="1" t="s">
        <v>304</v>
      </c>
      <c r="G90" s="1" t="s">
        <v>1277</v>
      </c>
      <c r="I90" s="4">
        <v>4.4000000000000004</v>
      </c>
      <c r="J90" s="23">
        <v>55</v>
      </c>
      <c r="K90" s="11">
        <v>5</v>
      </c>
      <c r="M90" s="12">
        <f t="shared" si="3"/>
        <v>0.69897000433601886</v>
      </c>
      <c r="N90" s="11">
        <f>GraphEcoli!B$10-('E coli'!J90-GraphEcoli!$B$6)/GraphEcoli!$B$5</f>
        <v>0.73704635499471105</v>
      </c>
      <c r="O90" s="1" t="s">
        <v>1093</v>
      </c>
      <c r="P90">
        <v>1997</v>
      </c>
      <c r="V90" s="10">
        <f>GraphEcoli!$B$40*'E coli'!J90+GraphEcoli!$B$41</f>
        <v>0.73704635499471127</v>
      </c>
      <c r="W90" s="10">
        <f>GraphEcoli!$E$40*'E coli'!J90+GraphEcoli!$E$41</f>
        <v>0.71657331300039928</v>
      </c>
      <c r="X90" s="10"/>
    </row>
    <row r="91" spans="1:24" x14ac:dyDescent="0.2">
      <c r="A91" s="1" t="s">
        <v>1329</v>
      </c>
      <c r="B91" s="1" t="s">
        <v>1330</v>
      </c>
      <c r="C91" t="s">
        <v>1341</v>
      </c>
      <c r="E91" t="s">
        <v>45</v>
      </c>
      <c r="F91" s="1" t="s">
        <v>304</v>
      </c>
      <c r="G91" s="1" t="s">
        <v>1277</v>
      </c>
      <c r="I91" s="4">
        <v>4.4000000000000004</v>
      </c>
      <c r="J91" s="23">
        <v>58</v>
      </c>
      <c r="K91" s="11">
        <v>1</v>
      </c>
      <c r="M91" s="12">
        <f t="shared" si="3"/>
        <v>0</v>
      </c>
      <c r="N91" s="11">
        <f>GraphEcoli!B$10-('E coli'!J91-GraphEcoli!$B$6)/GraphEcoli!$B$5</f>
        <v>0.45490804682436869</v>
      </c>
      <c r="O91" s="1" t="s">
        <v>1093</v>
      </c>
      <c r="P91">
        <v>1997</v>
      </c>
      <c r="V91" s="10">
        <f>GraphEcoli!$B$40*'E coli'!J91+GraphEcoli!$B$41</f>
        <v>0.45490804682436892</v>
      </c>
      <c r="W91" s="10">
        <f>GraphEcoli!$E$40*'E coli'!J91+GraphEcoli!$E$41</f>
        <v>0.45395388418010096</v>
      </c>
      <c r="X91" s="10"/>
    </row>
    <row r="92" spans="1:24" x14ac:dyDescent="0.2">
      <c r="A92" s="1" t="s">
        <v>1329</v>
      </c>
      <c r="B92" s="1" t="s">
        <v>1330</v>
      </c>
      <c r="C92" s="1" t="s">
        <v>1341</v>
      </c>
      <c r="E92" s="1" t="s">
        <v>45</v>
      </c>
      <c r="F92" s="1" t="s">
        <v>304</v>
      </c>
      <c r="G92" s="1" t="s">
        <v>1277</v>
      </c>
      <c r="H92" s="27"/>
      <c r="I92" s="4">
        <v>4.5</v>
      </c>
      <c r="J92" s="23">
        <v>58</v>
      </c>
      <c r="K92" s="11">
        <v>2.5</v>
      </c>
      <c r="L92" s="4">
        <v>4.8</v>
      </c>
      <c r="M92" s="12">
        <f t="shared" si="3"/>
        <v>0.3979400086720376</v>
      </c>
      <c r="N92" s="11">
        <f>GraphEcoli!B$10-('E coli'!J92-GraphEcoli!$B$6)/GraphEcoli!$B$5</f>
        <v>0.45490804682436869</v>
      </c>
      <c r="O92" s="1" t="s">
        <v>294</v>
      </c>
      <c r="P92">
        <v>2000</v>
      </c>
      <c r="V92" s="10">
        <f>GraphEcoli!$B$40*'E coli'!J92+GraphEcoli!$B$41</f>
        <v>0.45490804682436892</v>
      </c>
      <c r="W92" s="10">
        <f>GraphEcoli!$E$40*'E coli'!J92+GraphEcoli!$E$41</f>
        <v>0.45395388418010096</v>
      </c>
      <c r="X92" s="10"/>
    </row>
    <row r="93" spans="1:24" x14ac:dyDescent="0.2">
      <c r="A93" s="1" t="s">
        <v>1329</v>
      </c>
      <c r="B93" s="1" t="s">
        <v>1330</v>
      </c>
      <c r="C93" t="s">
        <v>1341</v>
      </c>
      <c r="E93" t="s">
        <v>45</v>
      </c>
      <c r="F93" s="1" t="s">
        <v>304</v>
      </c>
      <c r="G93" t="s">
        <v>1277</v>
      </c>
      <c r="J93" s="23">
        <v>60</v>
      </c>
      <c r="K93" s="11">
        <v>0.8</v>
      </c>
      <c r="M93" s="12">
        <f t="shared" si="3"/>
        <v>-9.6910013008056392E-2</v>
      </c>
      <c r="N93" s="11">
        <f>GraphEcoli!B$10-('E coli'!J93-GraphEcoli!$B$6)/GraphEcoli!$B$5</f>
        <v>0.26681584137747383</v>
      </c>
      <c r="O93" s="1" t="s">
        <v>848</v>
      </c>
      <c r="P93">
        <v>2000</v>
      </c>
      <c r="V93" s="10">
        <f>GraphEcoli!$B$40*'E coli'!J93+GraphEcoli!$B$41</f>
        <v>0.26681584137747372</v>
      </c>
      <c r="W93" s="10">
        <f>GraphEcoli!$E$40*'E coli'!J93+GraphEcoli!$E$41</f>
        <v>0.27887426496656786</v>
      </c>
      <c r="X93" s="10"/>
    </row>
    <row r="94" spans="1:24" x14ac:dyDescent="0.2">
      <c r="A94" s="1" t="s">
        <v>1329</v>
      </c>
      <c r="B94" s="1" t="s">
        <v>1330</v>
      </c>
      <c r="C94" t="s">
        <v>1341</v>
      </c>
      <c r="D94" t="s">
        <v>1034</v>
      </c>
      <c r="E94" t="s">
        <v>45</v>
      </c>
      <c r="F94" s="1" t="s">
        <v>1148</v>
      </c>
      <c r="G94" s="1" t="s">
        <v>1277</v>
      </c>
      <c r="I94" s="4">
        <v>3.9</v>
      </c>
      <c r="J94" s="23">
        <v>56</v>
      </c>
      <c r="K94" s="11">
        <v>4</v>
      </c>
      <c r="L94" s="4">
        <v>5.3</v>
      </c>
      <c r="M94" s="12">
        <f t="shared" si="3"/>
        <v>0.6020599913279624</v>
      </c>
      <c r="N94" s="11">
        <f>GraphEcoli!B$10-('E coli'!J94-GraphEcoli!$B$6)/GraphEcoli!$B$5</f>
        <v>0.64300025227126367</v>
      </c>
      <c r="O94" s="1" t="s">
        <v>1149</v>
      </c>
      <c r="P94">
        <v>2001</v>
      </c>
      <c r="Q94" t="s">
        <v>366</v>
      </c>
      <c r="V94" s="10">
        <f>GraphEcoli!$B$40*'E coli'!J94+GraphEcoli!$B$41</f>
        <v>0.64300025227126323</v>
      </c>
      <c r="W94" s="10">
        <f>GraphEcoli!$E$40*'E coli'!J94+GraphEcoli!$E$41</f>
        <v>0.62903350339363318</v>
      </c>
      <c r="X94" s="10"/>
    </row>
    <row r="95" spans="1:24" x14ac:dyDescent="0.2">
      <c r="A95" s="1" t="s">
        <v>1329</v>
      </c>
      <c r="B95" s="1" t="s">
        <v>1330</v>
      </c>
      <c r="C95" t="s">
        <v>1341</v>
      </c>
      <c r="D95" t="s">
        <v>1034</v>
      </c>
      <c r="E95" t="s">
        <v>45</v>
      </c>
      <c r="F95" s="1" t="s">
        <v>1148</v>
      </c>
      <c r="G95" s="1" t="s">
        <v>1277</v>
      </c>
      <c r="I95" s="4">
        <v>3.9</v>
      </c>
      <c r="J95" s="23">
        <v>58</v>
      </c>
      <c r="K95" s="11">
        <v>1.6</v>
      </c>
      <c r="L95" s="4">
        <v>5.3</v>
      </c>
      <c r="M95" s="12">
        <f t="shared" si="3"/>
        <v>0.20411998265592479</v>
      </c>
      <c r="N95" s="11">
        <f>GraphEcoli!B$10-('E coli'!J95-GraphEcoli!$B$6)/GraphEcoli!$B$5</f>
        <v>0.45490804682436869</v>
      </c>
      <c r="O95" s="1" t="s">
        <v>1149</v>
      </c>
      <c r="P95">
        <v>2001</v>
      </c>
      <c r="Q95" t="s">
        <v>366</v>
      </c>
      <c r="V95" s="10">
        <f>GraphEcoli!$B$40*'E coli'!J95+GraphEcoli!$B$41</f>
        <v>0.45490804682436892</v>
      </c>
      <c r="W95" s="10">
        <f>GraphEcoli!$E$40*'E coli'!J95+GraphEcoli!$E$41</f>
        <v>0.45395388418010096</v>
      </c>
      <c r="X95" s="10"/>
    </row>
    <row r="96" spans="1:24" x14ac:dyDescent="0.2">
      <c r="A96" s="1" t="s">
        <v>1329</v>
      </c>
      <c r="B96" s="1" t="s">
        <v>1330</v>
      </c>
      <c r="C96" t="s">
        <v>1341</v>
      </c>
      <c r="D96" t="s">
        <v>1034</v>
      </c>
      <c r="E96" t="s">
        <v>45</v>
      </c>
      <c r="F96" s="1" t="s">
        <v>1148</v>
      </c>
      <c r="G96" s="1" t="s">
        <v>1277</v>
      </c>
      <c r="I96" s="4">
        <v>3.9</v>
      </c>
      <c r="J96" s="23">
        <v>60</v>
      </c>
      <c r="K96" s="11">
        <v>0.7</v>
      </c>
      <c r="L96" s="4">
        <v>5.3</v>
      </c>
      <c r="M96" s="12">
        <f t="shared" si="3"/>
        <v>-0.15490195998574319</v>
      </c>
      <c r="N96" s="11">
        <f>GraphEcoli!B$10-('E coli'!J96-GraphEcoli!$B$6)/GraphEcoli!$B$5</f>
        <v>0.26681584137747383</v>
      </c>
      <c r="O96" s="1" t="s">
        <v>1149</v>
      </c>
      <c r="P96">
        <v>2001</v>
      </c>
      <c r="Q96" t="s">
        <v>366</v>
      </c>
      <c r="V96" s="10">
        <f>GraphEcoli!$B$40*'E coli'!J96+GraphEcoli!$B$41</f>
        <v>0.26681584137747372</v>
      </c>
      <c r="W96" s="10">
        <f>GraphEcoli!$E$40*'E coli'!J96+GraphEcoli!$E$41</f>
        <v>0.27887426496656786</v>
      </c>
      <c r="X96" s="10"/>
    </row>
    <row r="97" spans="1:24" x14ac:dyDescent="0.2">
      <c r="A97" s="1" t="s">
        <v>1329</v>
      </c>
      <c r="B97" s="1" t="s">
        <v>1330</v>
      </c>
      <c r="C97" t="s">
        <v>1341</v>
      </c>
      <c r="D97" t="s">
        <v>1034</v>
      </c>
      <c r="E97" t="s">
        <v>45</v>
      </c>
      <c r="F97" s="1" t="s">
        <v>1148</v>
      </c>
      <c r="G97" s="1" t="s">
        <v>1277</v>
      </c>
      <c r="I97" s="4">
        <v>3.9</v>
      </c>
      <c r="J97" s="23">
        <v>56</v>
      </c>
      <c r="K97" s="11">
        <v>6.1</v>
      </c>
      <c r="L97" s="4">
        <v>5.7</v>
      </c>
      <c r="M97" s="12">
        <f t="shared" si="3"/>
        <v>0.78532983501076703</v>
      </c>
      <c r="N97" s="11">
        <f>GraphEcoli!B$10-('E coli'!J97-GraphEcoli!$B$6)/GraphEcoli!$B$5</f>
        <v>0.64300025227126367</v>
      </c>
      <c r="O97" s="1" t="s">
        <v>1149</v>
      </c>
      <c r="P97">
        <v>2001</v>
      </c>
      <c r="Q97" t="s">
        <v>1042</v>
      </c>
      <c r="V97" s="10">
        <f>GraphEcoli!$B$40*'E coli'!J97+GraphEcoli!$B$41</f>
        <v>0.64300025227126323</v>
      </c>
      <c r="W97" s="10">
        <f>GraphEcoli!$E$40*'E coli'!J97+GraphEcoli!$E$41</f>
        <v>0.62903350339363318</v>
      </c>
      <c r="X97" s="10"/>
    </row>
    <row r="98" spans="1:24" x14ac:dyDescent="0.2">
      <c r="A98" s="1" t="s">
        <v>1329</v>
      </c>
      <c r="B98" s="1" t="s">
        <v>1330</v>
      </c>
      <c r="C98" t="s">
        <v>1341</v>
      </c>
      <c r="D98" t="s">
        <v>1034</v>
      </c>
      <c r="E98" t="s">
        <v>45</v>
      </c>
      <c r="F98" s="1" t="s">
        <v>1148</v>
      </c>
      <c r="G98" s="1" t="s">
        <v>1277</v>
      </c>
      <c r="I98" s="4">
        <v>3.9</v>
      </c>
      <c r="J98" s="23">
        <v>58</v>
      </c>
      <c r="K98" s="11">
        <v>2.7</v>
      </c>
      <c r="L98" s="4">
        <v>5.7</v>
      </c>
      <c r="M98" s="12">
        <f t="shared" si="3"/>
        <v>0.43136376415898736</v>
      </c>
      <c r="N98" s="11">
        <f>GraphEcoli!B$10-('E coli'!J98-GraphEcoli!$B$6)/GraphEcoli!$B$5</f>
        <v>0.45490804682436869</v>
      </c>
      <c r="O98" s="1" t="s">
        <v>1149</v>
      </c>
      <c r="P98">
        <v>2001</v>
      </c>
      <c r="Q98" t="s">
        <v>1042</v>
      </c>
      <c r="V98" s="10">
        <f>GraphEcoli!$B$40*'E coli'!J98+GraphEcoli!$B$41</f>
        <v>0.45490804682436892</v>
      </c>
      <c r="W98" s="10">
        <f>GraphEcoli!$E$40*'E coli'!J98+GraphEcoli!$E$41</f>
        <v>0.45395388418010096</v>
      </c>
      <c r="X98" s="10"/>
    </row>
    <row r="99" spans="1:24" x14ac:dyDescent="0.2">
      <c r="A99" s="1" t="s">
        <v>1329</v>
      </c>
      <c r="B99" s="1" t="s">
        <v>1330</v>
      </c>
      <c r="C99" t="s">
        <v>1341</v>
      </c>
      <c r="D99" t="s">
        <v>1034</v>
      </c>
      <c r="E99" t="s">
        <v>45</v>
      </c>
      <c r="F99" s="1" t="s">
        <v>1148</v>
      </c>
      <c r="G99" s="1" t="s">
        <v>1277</v>
      </c>
      <c r="I99" s="4">
        <v>3.9</v>
      </c>
      <c r="J99" s="23">
        <v>60</v>
      </c>
      <c r="K99" s="11">
        <v>1.2</v>
      </c>
      <c r="L99" s="4">
        <v>5.7</v>
      </c>
      <c r="M99" s="12">
        <f t="shared" si="3"/>
        <v>7.9181246047624818E-2</v>
      </c>
      <c r="N99" s="11">
        <f>GraphEcoli!B$10-('E coli'!J99-GraphEcoli!$B$6)/GraphEcoli!$B$5</f>
        <v>0.26681584137747383</v>
      </c>
      <c r="O99" s="1" t="s">
        <v>1149</v>
      </c>
      <c r="P99">
        <v>2001</v>
      </c>
      <c r="Q99" t="s">
        <v>1042</v>
      </c>
      <c r="V99" s="10">
        <f>GraphEcoli!$B$40*'E coli'!J99+GraphEcoli!$B$41</f>
        <v>0.26681584137747372</v>
      </c>
      <c r="W99" s="10">
        <f>GraphEcoli!$E$40*'E coli'!J99+GraphEcoli!$E$41</f>
        <v>0.27887426496656786</v>
      </c>
      <c r="X99" s="10"/>
    </row>
    <row r="100" spans="1:24" x14ac:dyDescent="0.2">
      <c r="A100" s="1" t="s">
        <v>1329</v>
      </c>
      <c r="B100" s="1" t="s">
        <v>1330</v>
      </c>
      <c r="C100" t="s">
        <v>1341</v>
      </c>
      <c r="D100" t="s">
        <v>1034</v>
      </c>
      <c r="E100" t="s">
        <v>45</v>
      </c>
      <c r="F100" s="1" t="s">
        <v>1147</v>
      </c>
      <c r="G100" s="1" t="s">
        <v>1277</v>
      </c>
      <c r="I100" s="4">
        <v>3.9</v>
      </c>
      <c r="J100" s="23">
        <v>56</v>
      </c>
      <c r="K100" s="11">
        <v>7.5</v>
      </c>
      <c r="L100" s="4">
        <v>4.8</v>
      </c>
      <c r="M100" s="12">
        <f t="shared" si="3"/>
        <v>0.87506126339170009</v>
      </c>
      <c r="N100" s="11">
        <f>GraphEcoli!B$10-('E coli'!J100-GraphEcoli!$B$6)/GraphEcoli!$B$5</f>
        <v>0.64300025227126367</v>
      </c>
      <c r="O100" s="1" t="s">
        <v>1149</v>
      </c>
      <c r="P100">
        <v>2001</v>
      </c>
      <c r="Q100" t="s">
        <v>366</v>
      </c>
      <c r="V100" s="10">
        <f>GraphEcoli!$B$40*'E coli'!J100+GraphEcoli!$B$41</f>
        <v>0.64300025227126323</v>
      </c>
      <c r="W100" s="10">
        <f>GraphEcoli!$E$40*'E coli'!J100+GraphEcoli!$E$41</f>
        <v>0.62903350339363318</v>
      </c>
      <c r="X100" s="10"/>
    </row>
    <row r="101" spans="1:24" x14ac:dyDescent="0.2">
      <c r="A101" s="1" t="s">
        <v>1329</v>
      </c>
      <c r="B101" s="1" t="s">
        <v>1330</v>
      </c>
      <c r="C101" t="s">
        <v>1341</v>
      </c>
      <c r="D101" t="s">
        <v>1034</v>
      </c>
      <c r="E101" t="s">
        <v>45</v>
      </c>
      <c r="F101" s="1" t="s">
        <v>1147</v>
      </c>
      <c r="G101" s="1" t="s">
        <v>1277</v>
      </c>
      <c r="I101" s="4">
        <v>3.9</v>
      </c>
      <c r="J101" s="23">
        <v>58</v>
      </c>
      <c r="K101" s="11">
        <v>3.2</v>
      </c>
      <c r="L101" s="4">
        <v>4.8</v>
      </c>
      <c r="M101" s="12">
        <f t="shared" si="3"/>
        <v>0.50514997831990605</v>
      </c>
      <c r="N101" s="11">
        <f>GraphEcoli!B$10-('E coli'!J101-GraphEcoli!$B$6)/GraphEcoli!$B$5</f>
        <v>0.45490804682436869</v>
      </c>
      <c r="O101" s="1" t="s">
        <v>1149</v>
      </c>
      <c r="P101">
        <v>2001</v>
      </c>
      <c r="Q101" t="s">
        <v>366</v>
      </c>
      <c r="V101" s="10">
        <f>GraphEcoli!$B$40*'E coli'!J101+GraphEcoli!$B$41</f>
        <v>0.45490804682436892</v>
      </c>
      <c r="W101" s="10">
        <f>GraphEcoli!$E$40*'E coli'!J101+GraphEcoli!$E$41</f>
        <v>0.45395388418010096</v>
      </c>
      <c r="X101" s="10"/>
    </row>
    <row r="102" spans="1:24" x14ac:dyDescent="0.2">
      <c r="A102" s="1" t="s">
        <v>1329</v>
      </c>
      <c r="B102" s="1" t="s">
        <v>1330</v>
      </c>
      <c r="C102" t="s">
        <v>1341</v>
      </c>
      <c r="D102" t="s">
        <v>1034</v>
      </c>
      <c r="E102" t="s">
        <v>45</v>
      </c>
      <c r="F102" s="1" t="s">
        <v>1147</v>
      </c>
      <c r="G102" s="1" t="s">
        <v>1277</v>
      </c>
      <c r="I102" s="4">
        <v>3.9</v>
      </c>
      <c r="J102" s="23">
        <v>60</v>
      </c>
      <c r="K102" s="11">
        <v>1.1000000000000001</v>
      </c>
      <c r="L102" s="4">
        <v>4.8</v>
      </c>
      <c r="M102" s="12">
        <f t="shared" si="3"/>
        <v>4.1392685158225077E-2</v>
      </c>
      <c r="N102" s="11">
        <f>GraphEcoli!B$10-('E coli'!J102-GraphEcoli!$B$6)/GraphEcoli!$B$5</f>
        <v>0.26681584137747383</v>
      </c>
      <c r="O102" s="1" t="s">
        <v>1149</v>
      </c>
      <c r="P102">
        <v>2001</v>
      </c>
      <c r="Q102" t="s">
        <v>366</v>
      </c>
      <c r="V102" s="10">
        <f>GraphEcoli!$B$40*'E coli'!J102+GraphEcoli!$B$41</f>
        <v>0.26681584137747372</v>
      </c>
      <c r="W102" s="10">
        <f>GraphEcoli!$E$40*'E coli'!J102+GraphEcoli!$E$41</f>
        <v>0.27887426496656786</v>
      </c>
      <c r="X102" s="10"/>
    </row>
    <row r="103" spans="1:24" x14ac:dyDescent="0.2">
      <c r="A103" s="1" t="s">
        <v>1329</v>
      </c>
      <c r="B103" s="1" t="s">
        <v>1330</v>
      </c>
      <c r="C103" t="s">
        <v>1341</v>
      </c>
      <c r="D103" t="s">
        <v>1034</v>
      </c>
      <c r="E103" t="s">
        <v>45</v>
      </c>
      <c r="F103" s="1" t="s">
        <v>1147</v>
      </c>
      <c r="G103" s="1" t="s">
        <v>1277</v>
      </c>
      <c r="I103" s="4">
        <v>3.9</v>
      </c>
      <c r="J103" s="23">
        <v>56</v>
      </c>
      <c r="K103" s="11">
        <v>11</v>
      </c>
      <c r="L103" s="4">
        <v>4.9000000000000004</v>
      </c>
      <c r="M103" s="12">
        <f t="shared" si="3"/>
        <v>1.0413926851582251</v>
      </c>
      <c r="N103" s="11">
        <f>GraphEcoli!B$10-('E coli'!J103-GraphEcoli!$B$6)/GraphEcoli!$B$5</f>
        <v>0.64300025227126367</v>
      </c>
      <c r="O103" s="1" t="s">
        <v>1149</v>
      </c>
      <c r="P103">
        <v>2001</v>
      </c>
      <c r="Q103" t="s">
        <v>1042</v>
      </c>
      <c r="V103" s="10">
        <f>GraphEcoli!$B$40*'E coli'!J103+GraphEcoli!$B$41</f>
        <v>0.64300025227126323</v>
      </c>
      <c r="W103" s="10">
        <f>GraphEcoli!$E$40*'E coli'!J103+GraphEcoli!$E$41</f>
        <v>0.62903350339363318</v>
      </c>
      <c r="X103" s="10"/>
    </row>
    <row r="104" spans="1:24" x14ac:dyDescent="0.2">
      <c r="A104" s="1" t="s">
        <v>1329</v>
      </c>
      <c r="B104" s="1" t="s">
        <v>1330</v>
      </c>
      <c r="C104" t="s">
        <v>1341</v>
      </c>
      <c r="D104" t="s">
        <v>1034</v>
      </c>
      <c r="E104" t="s">
        <v>45</v>
      </c>
      <c r="F104" s="1" t="s">
        <v>1147</v>
      </c>
      <c r="G104" s="1" t="s">
        <v>1277</v>
      </c>
      <c r="I104" s="4">
        <v>3.9</v>
      </c>
      <c r="J104" s="23">
        <v>58</v>
      </c>
      <c r="K104" s="11">
        <v>5</v>
      </c>
      <c r="L104" s="4">
        <v>4.9000000000000004</v>
      </c>
      <c r="M104" s="12">
        <f t="shared" si="3"/>
        <v>0.69897000433601886</v>
      </c>
      <c r="N104" s="11">
        <f>GraphEcoli!B$10-('E coli'!J104-GraphEcoli!$B$6)/GraphEcoli!$B$5</f>
        <v>0.45490804682436869</v>
      </c>
      <c r="O104" s="1" t="s">
        <v>1149</v>
      </c>
      <c r="P104">
        <v>2001</v>
      </c>
      <c r="Q104" t="s">
        <v>1042</v>
      </c>
      <c r="V104" s="10">
        <f>GraphEcoli!$B$40*'E coli'!J104+GraphEcoli!$B$41</f>
        <v>0.45490804682436892</v>
      </c>
      <c r="W104" s="10">
        <f>GraphEcoli!$E$40*'E coli'!J104+GraphEcoli!$E$41</f>
        <v>0.45395388418010096</v>
      </c>
      <c r="X104" s="10"/>
    </row>
    <row r="105" spans="1:24" x14ac:dyDescent="0.2">
      <c r="A105" s="1" t="s">
        <v>1329</v>
      </c>
      <c r="B105" s="1" t="s">
        <v>1330</v>
      </c>
      <c r="C105" t="s">
        <v>1341</v>
      </c>
      <c r="D105" t="s">
        <v>1034</v>
      </c>
      <c r="E105" t="s">
        <v>45</v>
      </c>
      <c r="F105" s="1" t="s">
        <v>1147</v>
      </c>
      <c r="G105" s="1" t="s">
        <v>1277</v>
      </c>
      <c r="I105" s="4">
        <v>3.9</v>
      </c>
      <c r="J105" s="23">
        <v>60</v>
      </c>
      <c r="K105" s="11">
        <v>1.7</v>
      </c>
      <c r="L105" s="4">
        <v>4.9000000000000004</v>
      </c>
      <c r="M105" s="12">
        <f t="shared" ref="M105:M136" si="4">LOG(K105)+$L$401</f>
        <v>0.23044892137827391</v>
      </c>
      <c r="N105" s="11">
        <f>GraphEcoli!B$10-('E coli'!J105-GraphEcoli!$B$6)/GraphEcoli!$B$5</f>
        <v>0.26681584137747383</v>
      </c>
      <c r="O105" s="1" t="s">
        <v>1149</v>
      </c>
      <c r="P105">
        <v>2001</v>
      </c>
      <c r="Q105" t="s">
        <v>1042</v>
      </c>
      <c r="V105" s="10">
        <f>GraphEcoli!$B$40*'E coli'!J105+GraphEcoli!$B$41</f>
        <v>0.26681584137747372</v>
      </c>
      <c r="W105" s="10">
        <f>GraphEcoli!$E$40*'E coli'!J105+GraphEcoli!$E$41</f>
        <v>0.27887426496656786</v>
      </c>
      <c r="X105" s="10"/>
    </row>
    <row r="106" spans="1:24" hidden="1" x14ac:dyDescent="0.2">
      <c r="A106" s="1" t="s">
        <v>1329</v>
      </c>
      <c r="B106" s="1" t="s">
        <v>1330</v>
      </c>
      <c r="C106" t="s">
        <v>1341</v>
      </c>
      <c r="E106" t="s">
        <v>11</v>
      </c>
      <c r="F106" s="1" t="s">
        <v>1262</v>
      </c>
      <c r="G106" s="1" t="s">
        <v>1263</v>
      </c>
      <c r="J106" s="23">
        <v>54.5</v>
      </c>
      <c r="K106" s="11">
        <v>39.799999999999997</v>
      </c>
      <c r="M106" s="12">
        <f t="shared" si="4"/>
        <v>1.5998830720736879</v>
      </c>
      <c r="N106" s="11">
        <f>GraphEcoli!B$10-('E coli'!J106-GraphEcoli!$B$6)/GraphEcoli!$B$5</f>
        <v>0.78406940635643485</v>
      </c>
      <c r="O106" s="1" t="s">
        <v>1093</v>
      </c>
      <c r="P106">
        <v>1997</v>
      </c>
      <c r="V106" s="10">
        <f>GraphEcoli!$B$40*'E coli'!J106+GraphEcoli!$B$41</f>
        <v>0.78406940635643441</v>
      </c>
      <c r="W106" s="10">
        <f>GraphEcoli!$E$40*'E coli'!J106+GraphEcoli!$E$41</f>
        <v>0.76034321780378278</v>
      </c>
      <c r="X106" s="10"/>
    </row>
    <row r="107" spans="1:24" hidden="1" x14ac:dyDescent="0.2">
      <c r="A107" s="1" t="s">
        <v>1329</v>
      </c>
      <c r="B107" s="1" t="s">
        <v>1330</v>
      </c>
      <c r="C107" t="s">
        <v>1341</v>
      </c>
      <c r="E107" t="s">
        <v>11</v>
      </c>
      <c r="F107" s="1" t="s">
        <v>1262</v>
      </c>
      <c r="G107" s="1" t="s">
        <v>1263</v>
      </c>
      <c r="J107" s="23">
        <v>64.3</v>
      </c>
      <c r="K107" s="11">
        <v>0.16</v>
      </c>
      <c r="M107" s="12">
        <f t="shared" si="4"/>
        <v>-0.79588001734407521</v>
      </c>
      <c r="N107" s="11">
        <f>GraphEcoli!B$10-('E coli'!J107-GraphEcoli!$B$6)/GraphEcoli!$B$5</f>
        <v>-0.13758240033334979</v>
      </c>
      <c r="O107" s="1" t="s">
        <v>1093</v>
      </c>
      <c r="P107">
        <v>1997</v>
      </c>
      <c r="V107" s="10">
        <f>GraphEcoli!$B$40*'E coli'!J107+GraphEcoli!$B$41</f>
        <v>-0.13758240033334967</v>
      </c>
      <c r="W107" s="10">
        <f>GraphEcoli!$E$40*'E coli'!J107+GraphEcoli!$E$41</f>
        <v>-9.7546916342526657E-2</v>
      </c>
      <c r="X107" s="10"/>
    </row>
    <row r="108" spans="1:24" hidden="1" x14ac:dyDescent="0.2">
      <c r="A108" s="1" t="s">
        <v>1329</v>
      </c>
      <c r="B108" s="1" t="s">
        <v>1330</v>
      </c>
      <c r="C108" t="s">
        <v>1341</v>
      </c>
      <c r="E108" t="s">
        <v>11</v>
      </c>
      <c r="F108" s="1" t="s">
        <v>1262</v>
      </c>
      <c r="G108" s="1" t="s">
        <v>1263</v>
      </c>
      <c r="J108" s="23">
        <v>62.8</v>
      </c>
      <c r="K108" s="11">
        <v>0.47</v>
      </c>
      <c r="M108" s="12">
        <f t="shared" si="4"/>
        <v>-0.32790214206428259</v>
      </c>
      <c r="N108" s="11">
        <f>GraphEcoli!B$10-('E coli'!J108-GraphEcoli!$B$6)/GraphEcoli!$B$5</f>
        <v>3.486753751821281E-3</v>
      </c>
      <c r="O108" s="1" t="s">
        <v>1093</v>
      </c>
      <c r="P108">
        <v>1997</v>
      </c>
      <c r="V108" s="10">
        <f>GraphEcoli!$B$40*'E coli'!J108+GraphEcoli!$B$41</f>
        <v>3.486753751821503E-3</v>
      </c>
      <c r="W108" s="10">
        <f>GraphEcoli!$E$40*'E coli'!J108+GraphEcoli!$E$41</f>
        <v>3.3762798067622057E-2</v>
      </c>
      <c r="X108" s="10"/>
    </row>
    <row r="109" spans="1:24" hidden="1" x14ac:dyDescent="0.2">
      <c r="A109" s="1" t="s">
        <v>1329</v>
      </c>
      <c r="B109" s="1" t="s">
        <v>1330</v>
      </c>
      <c r="C109" t="s">
        <v>1341</v>
      </c>
      <c r="E109" t="s">
        <v>11</v>
      </c>
      <c r="F109" s="1" t="s">
        <v>1262</v>
      </c>
      <c r="G109" s="1" t="s">
        <v>1263</v>
      </c>
      <c r="J109" s="23">
        <v>60</v>
      </c>
      <c r="K109" s="11">
        <v>0.47</v>
      </c>
      <c r="M109" s="12">
        <f t="shared" si="4"/>
        <v>-0.32790214206428259</v>
      </c>
      <c r="N109" s="11">
        <f>GraphEcoli!B$10-('E coli'!J109-GraphEcoli!$B$6)/GraphEcoli!$B$5</f>
        <v>0.26681584137747383</v>
      </c>
      <c r="O109" s="1" t="s">
        <v>1093</v>
      </c>
      <c r="P109">
        <v>1997</v>
      </c>
      <c r="V109" s="10">
        <f>GraphEcoli!$B$40*'E coli'!J109+GraphEcoli!$B$41</f>
        <v>0.26681584137747372</v>
      </c>
      <c r="W109" s="10">
        <f>GraphEcoli!$E$40*'E coli'!J109+GraphEcoli!$E$41</f>
        <v>0.27887426496656786</v>
      </c>
      <c r="X109" s="10"/>
    </row>
    <row r="110" spans="1:24" hidden="1" x14ac:dyDescent="0.2">
      <c r="A110" s="1" t="s">
        <v>1329</v>
      </c>
      <c r="B110" s="1" t="s">
        <v>1330</v>
      </c>
      <c r="C110" t="s">
        <v>1341</v>
      </c>
      <c r="E110" t="s">
        <v>11</v>
      </c>
      <c r="F110" s="1" t="s">
        <v>1262</v>
      </c>
      <c r="G110" s="1" t="s">
        <v>1263</v>
      </c>
      <c r="J110" s="23">
        <v>57.2</v>
      </c>
      <c r="K110" s="11">
        <v>2.8</v>
      </c>
      <c r="M110" s="12">
        <f t="shared" si="4"/>
        <v>0.44715803134221921</v>
      </c>
      <c r="N110" s="11">
        <f>GraphEcoli!B$10-('E coli'!J110-GraphEcoli!$B$6)/GraphEcoli!$B$5</f>
        <v>0.53014492900312638</v>
      </c>
      <c r="O110" s="1" t="s">
        <v>1093</v>
      </c>
      <c r="P110">
        <v>1997</v>
      </c>
      <c r="V110" s="10">
        <f>GraphEcoli!$B$40*'E coli'!J110+GraphEcoli!$B$41</f>
        <v>0.53014492900312682</v>
      </c>
      <c r="W110" s="10">
        <f>GraphEcoli!$E$40*'E coli'!J110+GraphEcoli!$E$41</f>
        <v>0.52398573186551367</v>
      </c>
      <c r="X110" s="10"/>
    </row>
    <row r="111" spans="1:24" hidden="1" x14ac:dyDescent="0.2">
      <c r="A111" s="1" t="s">
        <v>1329</v>
      </c>
      <c r="B111" s="1" t="s">
        <v>1330</v>
      </c>
      <c r="C111" t="s">
        <v>1341</v>
      </c>
      <c r="E111" t="s">
        <v>11</v>
      </c>
      <c r="F111" s="1" t="s">
        <v>1262</v>
      </c>
      <c r="G111" s="1" t="s">
        <v>1263</v>
      </c>
      <c r="J111" s="23">
        <v>55</v>
      </c>
      <c r="K111" s="11">
        <v>17.86</v>
      </c>
      <c r="M111" s="12">
        <f t="shared" si="4"/>
        <v>1.2518814545525276</v>
      </c>
      <c r="N111" s="11">
        <f>GraphEcoli!B$10-('E coli'!J111-GraphEcoli!$B$6)/GraphEcoli!$B$5</f>
        <v>0.73704635499471105</v>
      </c>
      <c r="O111" s="1" t="s">
        <v>1110</v>
      </c>
      <c r="P111">
        <v>2001</v>
      </c>
      <c r="V111" s="10">
        <f>GraphEcoli!$B$40*'E coli'!J111+GraphEcoli!$B$41</f>
        <v>0.73704635499471127</v>
      </c>
      <c r="W111" s="10">
        <f>GraphEcoli!$E$40*'E coli'!J111+GraphEcoli!$E$41</f>
        <v>0.71657331300039928</v>
      </c>
      <c r="X111" s="10"/>
    </row>
    <row r="112" spans="1:24" hidden="1" x14ac:dyDescent="0.2">
      <c r="A112" s="1" t="s">
        <v>1329</v>
      </c>
      <c r="B112" s="1" t="s">
        <v>1330</v>
      </c>
      <c r="C112" t="s">
        <v>1341</v>
      </c>
      <c r="E112" t="s">
        <v>11</v>
      </c>
      <c r="F112" s="1" t="s">
        <v>1262</v>
      </c>
      <c r="G112" s="1" t="s">
        <v>1263</v>
      </c>
      <c r="J112" s="23">
        <v>55</v>
      </c>
      <c r="K112" s="11">
        <v>18.48</v>
      </c>
      <c r="M112" s="12">
        <f t="shared" si="4"/>
        <v>1.266701966884088</v>
      </c>
      <c r="N112" s="11">
        <f>GraphEcoli!B$10-('E coli'!J112-GraphEcoli!$B$6)/GraphEcoli!$B$5</f>
        <v>0.73704635499471105</v>
      </c>
      <c r="O112" s="1" t="s">
        <v>1110</v>
      </c>
      <c r="P112">
        <v>2001</v>
      </c>
      <c r="V112" s="10">
        <f>GraphEcoli!$B$40*'E coli'!J112+GraphEcoli!$B$41</f>
        <v>0.73704635499471127</v>
      </c>
      <c r="W112" s="10">
        <f>GraphEcoli!$E$40*'E coli'!J112+GraphEcoli!$E$41</f>
        <v>0.71657331300039928</v>
      </c>
      <c r="X112" s="10"/>
    </row>
    <row r="113" spans="1:24" hidden="1" x14ac:dyDescent="0.2">
      <c r="A113" s="1" t="s">
        <v>1329</v>
      </c>
      <c r="B113" s="1" t="s">
        <v>1330</v>
      </c>
      <c r="C113" t="s">
        <v>1341</v>
      </c>
      <c r="E113" t="s">
        <v>11</v>
      </c>
      <c r="F113" s="1" t="s">
        <v>1262</v>
      </c>
      <c r="G113" s="1" t="s">
        <v>1263</v>
      </c>
      <c r="J113" s="23">
        <v>57.5</v>
      </c>
      <c r="K113" s="11">
        <v>6.21</v>
      </c>
      <c r="M113" s="12">
        <f t="shared" si="4"/>
        <v>0.7930916001765802</v>
      </c>
      <c r="N113" s="11">
        <f>GraphEcoli!B$10-('E coli'!J113-GraphEcoli!$B$6)/GraphEcoli!$B$5</f>
        <v>0.50193109818609249</v>
      </c>
      <c r="O113" s="1" t="s">
        <v>1110</v>
      </c>
      <c r="P113">
        <v>2001</v>
      </c>
      <c r="V113" s="10">
        <f>GraphEcoli!$B$40*'E coli'!J113+GraphEcoli!$B$41</f>
        <v>0.50193109818609294</v>
      </c>
      <c r="W113" s="10">
        <f>GraphEcoli!$E$40*'E coli'!J113+GraphEcoli!$E$41</f>
        <v>0.49772378898348357</v>
      </c>
      <c r="X113" s="10"/>
    </row>
    <row r="114" spans="1:24" hidden="1" x14ac:dyDescent="0.2">
      <c r="A114" s="1" t="s">
        <v>1329</v>
      </c>
      <c r="B114" s="1" t="s">
        <v>1330</v>
      </c>
      <c r="C114" t="s">
        <v>1341</v>
      </c>
      <c r="E114" t="s">
        <v>11</v>
      </c>
      <c r="F114" s="1" t="s">
        <v>1262</v>
      </c>
      <c r="G114" s="1" t="s">
        <v>1263</v>
      </c>
      <c r="J114" s="23">
        <v>57.5</v>
      </c>
      <c r="K114" s="11">
        <v>6.21</v>
      </c>
      <c r="M114" s="12">
        <f t="shared" si="4"/>
        <v>0.7930916001765802</v>
      </c>
      <c r="N114" s="11">
        <f>GraphEcoli!B$10-('E coli'!J114-GraphEcoli!$B$6)/GraphEcoli!$B$5</f>
        <v>0.50193109818609249</v>
      </c>
      <c r="O114" s="1" t="s">
        <v>1110</v>
      </c>
      <c r="P114">
        <v>2001</v>
      </c>
      <c r="V114" s="10">
        <f>GraphEcoli!$B$40*'E coli'!J114+GraphEcoli!$B$41</f>
        <v>0.50193109818609294</v>
      </c>
      <c r="W114" s="10">
        <f>GraphEcoli!$E$40*'E coli'!J114+GraphEcoli!$E$41</f>
        <v>0.49772378898348357</v>
      </c>
      <c r="X114" s="10"/>
    </row>
    <row r="115" spans="1:24" hidden="1" x14ac:dyDescent="0.2">
      <c r="A115" s="1" t="s">
        <v>1329</v>
      </c>
      <c r="B115" s="1" t="s">
        <v>1330</v>
      </c>
      <c r="C115" t="s">
        <v>1341</v>
      </c>
      <c r="E115" t="s">
        <v>11</v>
      </c>
      <c r="F115" s="1" t="s">
        <v>1262</v>
      </c>
      <c r="G115" s="1" t="s">
        <v>1263</v>
      </c>
      <c r="J115" s="23">
        <v>60</v>
      </c>
      <c r="K115" s="11">
        <v>2.19</v>
      </c>
      <c r="M115" s="12">
        <f t="shared" si="4"/>
        <v>0.34044411484011833</v>
      </c>
      <c r="N115" s="11">
        <f>GraphEcoli!B$10-('E coli'!J115-GraphEcoli!$B$6)/GraphEcoli!$B$5</f>
        <v>0.26681584137747383</v>
      </c>
      <c r="O115" s="1" t="s">
        <v>1110</v>
      </c>
      <c r="P115">
        <v>2001</v>
      </c>
      <c r="V115" s="10">
        <f>GraphEcoli!$B$40*'E coli'!J115+GraphEcoli!$B$41</f>
        <v>0.26681584137747372</v>
      </c>
      <c r="W115" s="10">
        <f>GraphEcoli!$E$40*'E coli'!J115+GraphEcoli!$E$41</f>
        <v>0.27887426496656786</v>
      </c>
      <c r="X115" s="10"/>
    </row>
    <row r="116" spans="1:24" hidden="1" x14ac:dyDescent="0.2">
      <c r="A116" s="1" t="s">
        <v>1329</v>
      </c>
      <c r="B116" s="1" t="s">
        <v>1330</v>
      </c>
      <c r="C116" t="s">
        <v>1341</v>
      </c>
      <c r="E116" t="s">
        <v>11</v>
      </c>
      <c r="F116" s="1" t="s">
        <v>1262</v>
      </c>
      <c r="G116" s="1" t="s">
        <v>1263</v>
      </c>
      <c r="J116" s="23">
        <v>60</v>
      </c>
      <c r="K116" s="11">
        <v>2.58</v>
      </c>
      <c r="M116" s="12">
        <f t="shared" si="4"/>
        <v>0.41161970596323016</v>
      </c>
      <c r="N116" s="11">
        <f>GraphEcoli!B$10-('E coli'!J116-GraphEcoli!$B$6)/GraphEcoli!$B$5</f>
        <v>0.26681584137747383</v>
      </c>
      <c r="O116" s="1" t="s">
        <v>1110</v>
      </c>
      <c r="P116">
        <v>2001</v>
      </c>
      <c r="V116" s="10">
        <f>GraphEcoli!$B$40*'E coli'!J116+GraphEcoli!$B$41</f>
        <v>0.26681584137747372</v>
      </c>
      <c r="W116" s="10">
        <f>GraphEcoli!$E$40*'E coli'!J116+GraphEcoli!$E$41</f>
        <v>0.27887426496656786</v>
      </c>
      <c r="X116" s="10"/>
    </row>
    <row r="117" spans="1:24" hidden="1" x14ac:dyDescent="0.2">
      <c r="A117" s="1" t="s">
        <v>1329</v>
      </c>
      <c r="B117" s="1" t="s">
        <v>1330</v>
      </c>
      <c r="C117" t="s">
        <v>1341</v>
      </c>
      <c r="E117" t="s">
        <v>11</v>
      </c>
      <c r="F117" s="1" t="s">
        <v>1262</v>
      </c>
      <c r="G117" s="1" t="s">
        <v>1263</v>
      </c>
      <c r="J117" s="23">
        <v>62.5</v>
      </c>
      <c r="K117" s="11">
        <v>1.52</v>
      </c>
      <c r="M117" s="12">
        <f t="shared" si="4"/>
        <v>0.18184358794477254</v>
      </c>
      <c r="N117" s="11">
        <f>GraphEcoli!B$10-('E coli'!J117-GraphEcoli!$B$6)/GraphEcoli!$B$5</f>
        <v>3.1700584568855272E-2</v>
      </c>
      <c r="O117" s="1" t="s">
        <v>1110</v>
      </c>
      <c r="P117">
        <v>2001</v>
      </c>
      <c r="V117" s="10">
        <f>GraphEcoli!$B$40*'E coli'!J117+GraphEcoli!$B$41</f>
        <v>3.1700584568855383E-2</v>
      </c>
      <c r="W117" s="10">
        <f>GraphEcoli!$E$40*'E coli'!J117+GraphEcoli!$E$41</f>
        <v>6.0024740949652156E-2</v>
      </c>
      <c r="X117" s="10"/>
    </row>
    <row r="118" spans="1:24" hidden="1" x14ac:dyDescent="0.2">
      <c r="A118" s="1" t="s">
        <v>1329</v>
      </c>
      <c r="B118" s="1" t="s">
        <v>1330</v>
      </c>
      <c r="C118" t="s">
        <v>1341</v>
      </c>
      <c r="E118" t="s">
        <v>11</v>
      </c>
      <c r="F118" s="1" t="s">
        <v>1262</v>
      </c>
      <c r="G118" s="1" t="s">
        <v>1263</v>
      </c>
      <c r="J118" s="23">
        <v>62.5</v>
      </c>
      <c r="K118" s="11">
        <v>1.9</v>
      </c>
      <c r="M118" s="12">
        <f t="shared" si="4"/>
        <v>0.27875360095282892</v>
      </c>
      <c r="N118" s="11">
        <f>GraphEcoli!B$10-('E coli'!J118-GraphEcoli!$B$6)/GraphEcoli!$B$5</f>
        <v>3.1700584568855272E-2</v>
      </c>
      <c r="O118" s="1" t="s">
        <v>1110</v>
      </c>
      <c r="P118">
        <v>2001</v>
      </c>
      <c r="V118" s="10">
        <f>GraphEcoli!$B$40*'E coli'!J118+GraphEcoli!$B$41</f>
        <v>3.1700584568855383E-2</v>
      </c>
      <c r="W118" s="10">
        <f>GraphEcoli!$E$40*'E coli'!J118+GraphEcoli!$E$41</f>
        <v>6.0024740949652156E-2</v>
      </c>
      <c r="X118" s="10"/>
    </row>
    <row r="119" spans="1:24" hidden="1" x14ac:dyDescent="0.2">
      <c r="A119" s="1" t="s">
        <v>1329</v>
      </c>
      <c r="B119" s="1" t="s">
        <v>1330</v>
      </c>
      <c r="C119" t="s">
        <v>1341</v>
      </c>
      <c r="E119" t="s">
        <v>11</v>
      </c>
      <c r="F119" s="1" t="s">
        <v>1262</v>
      </c>
      <c r="G119" s="1" t="s">
        <v>1263</v>
      </c>
      <c r="J119" s="23">
        <v>65</v>
      </c>
      <c r="K119" s="11">
        <v>0.82</v>
      </c>
      <c r="M119" s="12">
        <f t="shared" si="4"/>
        <v>-8.6186147616283335E-2</v>
      </c>
      <c r="N119" s="11">
        <f>GraphEcoli!B$10-('E coli'!J119-GraphEcoli!$B$6)/GraphEcoli!$B$5</f>
        <v>-0.20341467223976334</v>
      </c>
      <c r="O119" s="1" t="s">
        <v>1110</v>
      </c>
      <c r="P119">
        <v>2001</v>
      </c>
      <c r="V119" s="10">
        <f>GraphEcoli!$B$40*'E coli'!J119+GraphEcoli!$B$41</f>
        <v>-0.20341467223976295</v>
      </c>
      <c r="W119" s="10">
        <f>GraphEcoli!$E$40*'E coli'!J119+GraphEcoli!$E$41</f>
        <v>-0.15882478306726355</v>
      </c>
      <c r="X119" s="10"/>
    </row>
    <row r="120" spans="1:24" hidden="1" x14ac:dyDescent="0.2">
      <c r="A120" s="1" t="s">
        <v>1329</v>
      </c>
      <c r="B120" s="1" t="s">
        <v>1330</v>
      </c>
      <c r="C120" t="s">
        <v>1341</v>
      </c>
      <c r="E120" t="s">
        <v>11</v>
      </c>
      <c r="F120" s="1" t="s">
        <v>1262</v>
      </c>
      <c r="G120" s="1" t="s">
        <v>1263</v>
      </c>
      <c r="J120" s="23">
        <v>65</v>
      </c>
      <c r="K120" s="11">
        <v>0.79</v>
      </c>
      <c r="M120" s="12">
        <f t="shared" si="4"/>
        <v>-0.10237290870955855</v>
      </c>
      <c r="N120" s="11">
        <f>GraphEcoli!B$10-('E coli'!J120-GraphEcoli!$B$6)/GraphEcoli!$B$5</f>
        <v>-0.20341467223976334</v>
      </c>
      <c r="O120" s="1" t="s">
        <v>1110</v>
      </c>
      <c r="P120">
        <v>2001</v>
      </c>
      <c r="V120" s="10">
        <f>GraphEcoli!$B$40*'E coli'!J120+GraphEcoli!$B$41</f>
        <v>-0.20341467223976295</v>
      </c>
      <c r="W120" s="10">
        <f>GraphEcoli!$E$40*'E coli'!J120+GraphEcoli!$E$41</f>
        <v>-0.15882478306726355</v>
      </c>
      <c r="X120" s="10"/>
    </row>
    <row r="121" spans="1:24" hidden="1" x14ac:dyDescent="0.2">
      <c r="A121" s="1" t="s">
        <v>1329</v>
      </c>
      <c r="B121" s="1" t="s">
        <v>1330</v>
      </c>
      <c r="C121" t="s">
        <v>1341</v>
      </c>
      <c r="E121" t="s">
        <v>11</v>
      </c>
      <c r="F121" s="1" t="s">
        <v>1262</v>
      </c>
      <c r="G121" s="1" t="s">
        <v>1263</v>
      </c>
      <c r="J121" s="23">
        <v>55</v>
      </c>
      <c r="K121" s="11">
        <v>11.13</v>
      </c>
      <c r="M121" s="12">
        <f t="shared" si="4"/>
        <v>1.0464951643347082</v>
      </c>
      <c r="N121" s="11">
        <f>GraphEcoli!B$10-('E coli'!J121-GraphEcoli!$B$6)/GraphEcoli!$B$5</f>
        <v>0.73704635499471105</v>
      </c>
      <c r="O121" s="1" t="s">
        <v>1110</v>
      </c>
      <c r="P121">
        <v>2003</v>
      </c>
      <c r="V121" s="10">
        <f>GraphEcoli!$B$40*'E coli'!J121+GraphEcoli!$B$41</f>
        <v>0.73704635499471127</v>
      </c>
      <c r="W121" s="10">
        <f>GraphEcoli!$E$40*'E coli'!J121+GraphEcoli!$E$41</f>
        <v>0.71657331300039928</v>
      </c>
      <c r="X121" s="10"/>
    </row>
    <row r="122" spans="1:24" hidden="1" x14ac:dyDescent="0.2">
      <c r="A122" s="1" t="s">
        <v>1329</v>
      </c>
      <c r="B122" s="1" t="s">
        <v>1330</v>
      </c>
      <c r="C122" t="s">
        <v>1341</v>
      </c>
      <c r="E122" t="s">
        <v>11</v>
      </c>
      <c r="F122" s="1" t="s">
        <v>1262</v>
      </c>
      <c r="G122" s="1" t="s">
        <v>1263</v>
      </c>
      <c r="J122" s="23">
        <v>57.5</v>
      </c>
      <c r="K122" s="11">
        <v>2.64</v>
      </c>
      <c r="M122" s="12">
        <f t="shared" si="4"/>
        <v>0.42160392686983106</v>
      </c>
      <c r="N122" s="11">
        <f>GraphEcoli!B$10-('E coli'!J122-GraphEcoli!$B$6)/GraphEcoli!$B$5</f>
        <v>0.50193109818609249</v>
      </c>
      <c r="O122" s="1" t="s">
        <v>1110</v>
      </c>
      <c r="P122">
        <v>2003</v>
      </c>
      <c r="V122" s="10">
        <f>GraphEcoli!$B$40*'E coli'!J122+GraphEcoli!$B$41</f>
        <v>0.50193109818609294</v>
      </c>
      <c r="W122" s="10">
        <f>GraphEcoli!$E$40*'E coli'!J122+GraphEcoli!$E$41</f>
        <v>0.49772378898348357</v>
      </c>
      <c r="X122" s="10"/>
    </row>
    <row r="123" spans="1:24" hidden="1" x14ac:dyDescent="0.2">
      <c r="A123" s="1" t="s">
        <v>1329</v>
      </c>
      <c r="B123" s="1" t="s">
        <v>1330</v>
      </c>
      <c r="C123" t="s">
        <v>1341</v>
      </c>
      <c r="E123" t="s">
        <v>11</v>
      </c>
      <c r="F123" s="1" t="s">
        <v>1262</v>
      </c>
      <c r="G123" s="1" t="s">
        <v>1263</v>
      </c>
      <c r="J123" s="23">
        <v>60</v>
      </c>
      <c r="K123" s="11">
        <v>1.71</v>
      </c>
      <c r="M123" s="12">
        <f t="shared" si="4"/>
        <v>0.23299611039215382</v>
      </c>
      <c r="N123" s="11">
        <f>GraphEcoli!B$10-('E coli'!J123-GraphEcoli!$B$6)/GraphEcoli!$B$5</f>
        <v>0.26681584137747383</v>
      </c>
      <c r="O123" s="1" t="s">
        <v>1110</v>
      </c>
      <c r="P123">
        <v>2003</v>
      </c>
      <c r="V123" s="10">
        <f>GraphEcoli!$B$40*'E coli'!J123+GraphEcoli!$B$41</f>
        <v>0.26681584137747372</v>
      </c>
      <c r="W123" s="10">
        <f>GraphEcoli!$E$40*'E coli'!J123+GraphEcoli!$E$41</f>
        <v>0.27887426496656786</v>
      </c>
      <c r="X123" s="10"/>
    </row>
    <row r="124" spans="1:24" hidden="1" x14ac:dyDescent="0.2">
      <c r="A124" s="1" t="s">
        <v>1329</v>
      </c>
      <c r="B124" s="1" t="s">
        <v>1330</v>
      </c>
      <c r="C124" t="s">
        <v>1341</v>
      </c>
      <c r="E124" t="s">
        <v>11</v>
      </c>
      <c r="F124" s="1" t="s">
        <v>1262</v>
      </c>
      <c r="G124" s="1" t="s">
        <v>1263</v>
      </c>
      <c r="J124" s="23">
        <v>62.5</v>
      </c>
      <c r="K124" s="11">
        <v>1.03</v>
      </c>
      <c r="M124" s="12">
        <f t="shared" si="4"/>
        <v>1.2837224705172217E-2</v>
      </c>
      <c r="N124" s="11">
        <f>GraphEcoli!B$10-('E coli'!J124-GraphEcoli!$B$6)/GraphEcoli!$B$5</f>
        <v>3.1700584568855272E-2</v>
      </c>
      <c r="O124" s="1" t="s">
        <v>1110</v>
      </c>
      <c r="P124">
        <v>2003</v>
      </c>
      <c r="V124" s="10">
        <f>GraphEcoli!$B$40*'E coli'!J124+GraphEcoli!$B$41</f>
        <v>3.1700584568855383E-2</v>
      </c>
      <c r="W124" s="10">
        <f>GraphEcoli!$E$40*'E coli'!J124+GraphEcoli!$E$41</f>
        <v>6.0024740949652156E-2</v>
      </c>
      <c r="X124" s="10"/>
    </row>
    <row r="125" spans="1:24" hidden="1" x14ac:dyDescent="0.2">
      <c r="A125" s="1" t="s">
        <v>1329</v>
      </c>
      <c r="B125" s="1" t="s">
        <v>1330</v>
      </c>
      <c r="C125" t="s">
        <v>1341</v>
      </c>
      <c r="E125" t="s">
        <v>11</v>
      </c>
      <c r="F125" s="1" t="s">
        <v>1262</v>
      </c>
      <c r="G125" s="1" t="s">
        <v>1263</v>
      </c>
      <c r="J125" s="23">
        <v>65</v>
      </c>
      <c r="K125" s="11">
        <v>0.75</v>
      </c>
      <c r="M125" s="12">
        <f t="shared" si="4"/>
        <v>-0.12493873660829995</v>
      </c>
      <c r="N125" s="11">
        <f>GraphEcoli!B$10-('E coli'!J125-GraphEcoli!$B$6)/GraphEcoli!$B$5</f>
        <v>-0.20341467223976334</v>
      </c>
      <c r="O125" s="1" t="s">
        <v>1110</v>
      </c>
      <c r="P125">
        <v>2003</v>
      </c>
      <c r="V125" s="10">
        <f>GraphEcoli!$B$40*'E coli'!J125+GraphEcoli!$B$41</f>
        <v>-0.20341467223976295</v>
      </c>
      <c r="W125" s="10">
        <f>GraphEcoli!$E$40*'E coli'!J125+GraphEcoli!$E$41</f>
        <v>-0.15882478306726355</v>
      </c>
      <c r="X125" s="10"/>
    </row>
    <row r="126" spans="1:24" hidden="1" x14ac:dyDescent="0.2">
      <c r="A126" s="1" t="s">
        <v>1329</v>
      </c>
      <c r="B126" s="1" t="s">
        <v>1330</v>
      </c>
      <c r="C126" s="1" t="s">
        <v>1341</v>
      </c>
      <c r="D126" s="1"/>
      <c r="E126" s="1" t="s">
        <v>11</v>
      </c>
      <c r="F126" t="s">
        <v>1262</v>
      </c>
      <c r="G126" s="1" t="s">
        <v>1263</v>
      </c>
      <c r="H126" s="27"/>
      <c r="J126" s="23">
        <v>54.4</v>
      </c>
      <c r="K126" s="11">
        <v>39.799999999999997</v>
      </c>
      <c r="M126" s="12">
        <f t="shared" si="4"/>
        <v>1.5998830720736879</v>
      </c>
      <c r="N126" s="11">
        <f>GraphEcoli!B$10-('E coli'!J126-GraphEcoli!$B$6)/GraphEcoli!$B$5</f>
        <v>0.7934740166287797</v>
      </c>
      <c r="O126" s="2" t="s">
        <v>1226</v>
      </c>
      <c r="P126">
        <v>1996</v>
      </c>
      <c r="V126" s="10">
        <f>GraphEcoli!$B$40*'E coli'!J126+GraphEcoli!$B$41</f>
        <v>0.79347401662877992</v>
      </c>
      <c r="W126" s="10">
        <f>GraphEcoli!$E$40*'E coli'!J126+GraphEcoli!$E$41</f>
        <v>0.76909719876445948</v>
      </c>
      <c r="X126" s="10"/>
    </row>
    <row r="127" spans="1:24" hidden="1" x14ac:dyDescent="0.2">
      <c r="A127" s="1" t="s">
        <v>1329</v>
      </c>
      <c r="B127" s="1" t="s">
        <v>1330</v>
      </c>
      <c r="C127" s="1" t="s">
        <v>1341</v>
      </c>
      <c r="D127" s="1"/>
      <c r="E127" s="1" t="s">
        <v>11</v>
      </c>
      <c r="F127" t="s">
        <v>1262</v>
      </c>
      <c r="G127" s="1" t="s">
        <v>1263</v>
      </c>
      <c r="H127" s="27"/>
      <c r="J127" s="23">
        <v>57.2</v>
      </c>
      <c r="K127" s="11">
        <v>4.5</v>
      </c>
      <c r="M127" s="12">
        <f t="shared" si="4"/>
        <v>0.65321251377534373</v>
      </c>
      <c r="N127" s="11">
        <f>GraphEcoli!B$10-('E coli'!J127-GraphEcoli!$B$6)/GraphEcoli!$B$5</f>
        <v>0.53014492900312638</v>
      </c>
      <c r="O127" s="2" t="s">
        <v>1226</v>
      </c>
      <c r="P127">
        <v>1996</v>
      </c>
      <c r="V127" s="10">
        <f>GraphEcoli!$B$40*'E coli'!J127+GraphEcoli!$B$41</f>
        <v>0.53014492900312682</v>
      </c>
      <c r="W127" s="10">
        <f>GraphEcoli!$E$40*'E coli'!J127+GraphEcoli!$E$41</f>
        <v>0.52398573186551367</v>
      </c>
      <c r="X127" s="10"/>
    </row>
    <row r="128" spans="1:24" hidden="1" x14ac:dyDescent="0.2">
      <c r="A128" s="1" t="s">
        <v>1329</v>
      </c>
      <c r="B128" s="1" t="s">
        <v>1330</v>
      </c>
      <c r="C128" s="1" t="s">
        <v>1341</v>
      </c>
      <c r="D128" s="1"/>
      <c r="E128" s="1" t="s">
        <v>11</v>
      </c>
      <c r="F128" t="s">
        <v>1262</v>
      </c>
      <c r="G128" s="1" t="s">
        <v>1263</v>
      </c>
      <c r="H128" s="27"/>
      <c r="J128" s="23">
        <v>58.9</v>
      </c>
      <c r="K128" s="11">
        <v>1.2</v>
      </c>
      <c r="M128" s="12">
        <f t="shared" si="4"/>
        <v>7.9181246047624818E-2</v>
      </c>
      <c r="N128" s="11">
        <f>GraphEcoli!B$10-('E coli'!J128-GraphEcoli!$B$6)/GraphEcoli!$B$5</f>
        <v>0.37026655437326617</v>
      </c>
      <c r="O128" s="2" t="s">
        <v>1226</v>
      </c>
      <c r="P128">
        <v>1996</v>
      </c>
      <c r="V128" s="10">
        <f>GraphEcoli!$B$40*'E coli'!J128+GraphEcoli!$B$41</f>
        <v>0.37026655437326639</v>
      </c>
      <c r="W128" s="10">
        <f>GraphEcoli!$E$40*'E coli'!J128+GraphEcoli!$E$41</f>
        <v>0.37516805553401067</v>
      </c>
      <c r="X128" s="10"/>
    </row>
    <row r="129" spans="1:24" hidden="1" x14ac:dyDescent="0.2">
      <c r="A129" s="1" t="s">
        <v>1329</v>
      </c>
      <c r="B129" s="1" t="s">
        <v>1330</v>
      </c>
      <c r="C129" s="1" t="s">
        <v>1341</v>
      </c>
      <c r="D129" s="1"/>
      <c r="E129" s="1" t="s">
        <v>11</v>
      </c>
      <c r="F129" t="s">
        <v>1262</v>
      </c>
      <c r="G129" s="1" t="s">
        <v>1263</v>
      </c>
      <c r="H129" s="27"/>
      <c r="J129" s="23">
        <v>60</v>
      </c>
      <c r="K129" s="11">
        <v>0.75</v>
      </c>
      <c r="M129" s="12">
        <f t="shared" si="4"/>
        <v>-0.12493873660829995</v>
      </c>
      <c r="N129" s="11">
        <f>GraphEcoli!B$10-('E coli'!J129-GraphEcoli!$B$6)/GraphEcoli!$B$5</f>
        <v>0.26681584137747383</v>
      </c>
      <c r="O129" s="2" t="s">
        <v>1226</v>
      </c>
      <c r="P129">
        <v>1996</v>
      </c>
      <c r="V129" s="10">
        <f>GraphEcoli!$B$40*'E coli'!J129+GraphEcoli!$B$41</f>
        <v>0.26681584137747372</v>
      </c>
      <c r="W129" s="10">
        <f>GraphEcoli!$E$40*'E coli'!J129+GraphEcoli!$E$41</f>
        <v>0.27887426496656786</v>
      </c>
      <c r="X129" s="10"/>
    </row>
    <row r="130" spans="1:24" hidden="1" x14ac:dyDescent="0.2">
      <c r="A130" s="1" t="s">
        <v>1329</v>
      </c>
      <c r="B130" s="1" t="s">
        <v>1330</v>
      </c>
      <c r="C130" s="1" t="s">
        <v>1341</v>
      </c>
      <c r="D130" s="1"/>
      <c r="E130" s="1" t="s">
        <v>11</v>
      </c>
      <c r="F130" t="s">
        <v>1262</v>
      </c>
      <c r="G130" s="1" t="s">
        <v>1263</v>
      </c>
      <c r="H130" s="27"/>
      <c r="J130" s="23">
        <v>62.8</v>
      </c>
      <c r="K130" s="11">
        <v>0.4</v>
      </c>
      <c r="M130" s="12">
        <f t="shared" si="4"/>
        <v>-0.3979400086720376</v>
      </c>
      <c r="N130" s="11">
        <f>GraphEcoli!B$10-('E coli'!J130-GraphEcoli!$B$6)/GraphEcoli!$B$5</f>
        <v>3.486753751821281E-3</v>
      </c>
      <c r="O130" s="2" t="s">
        <v>1226</v>
      </c>
      <c r="P130">
        <v>1996</v>
      </c>
      <c r="V130" s="10">
        <f>GraphEcoli!$B$40*'E coli'!J130+GraphEcoli!$B$41</f>
        <v>3.486753751821503E-3</v>
      </c>
      <c r="W130" s="10">
        <f>GraphEcoli!$E$40*'E coli'!J130+GraphEcoli!$E$41</f>
        <v>3.3762798067622057E-2</v>
      </c>
      <c r="X130" s="10"/>
    </row>
    <row r="131" spans="1:24" hidden="1" x14ac:dyDescent="0.2">
      <c r="A131" s="1" t="s">
        <v>1329</v>
      </c>
      <c r="B131" s="1" t="s">
        <v>1330</v>
      </c>
      <c r="C131" s="1" t="s">
        <v>1341</v>
      </c>
      <c r="D131" s="1"/>
      <c r="E131" s="1" t="s">
        <v>11</v>
      </c>
      <c r="F131" t="s">
        <v>1262</v>
      </c>
      <c r="G131" s="1" t="s">
        <v>1263</v>
      </c>
      <c r="H131" s="27"/>
      <c r="J131" s="23">
        <v>64.3</v>
      </c>
      <c r="K131" s="11">
        <v>0.16</v>
      </c>
      <c r="M131" s="12">
        <f t="shared" si="4"/>
        <v>-0.79588001734407521</v>
      </c>
      <c r="N131" s="11">
        <f>GraphEcoli!B$10-('E coli'!J131-GraphEcoli!$B$6)/GraphEcoli!$B$5</f>
        <v>-0.13758240033334979</v>
      </c>
      <c r="O131" s="2" t="s">
        <v>1226</v>
      </c>
      <c r="P131">
        <v>1996</v>
      </c>
      <c r="V131" s="10">
        <f>GraphEcoli!$B$40*'E coli'!J131+GraphEcoli!$B$41</f>
        <v>-0.13758240033334967</v>
      </c>
      <c r="W131" s="10">
        <f>GraphEcoli!$E$40*'E coli'!J131+GraphEcoli!$E$41</f>
        <v>-9.7546916342526657E-2</v>
      </c>
      <c r="X131" s="10"/>
    </row>
    <row r="132" spans="1:24" hidden="1" x14ac:dyDescent="0.2">
      <c r="A132" s="1" t="s">
        <v>1329</v>
      </c>
      <c r="B132" s="1" t="s">
        <v>1330</v>
      </c>
      <c r="C132" t="s">
        <v>1341</v>
      </c>
      <c r="D132" t="s">
        <v>1111</v>
      </c>
      <c r="E132" t="s">
        <v>11</v>
      </c>
      <c r="F132" s="1" t="s">
        <v>1262</v>
      </c>
      <c r="G132" s="1" t="s">
        <v>1263</v>
      </c>
      <c r="J132" s="23">
        <v>54.4</v>
      </c>
      <c r="K132" s="11">
        <v>31.8</v>
      </c>
      <c r="M132" s="12">
        <f t="shared" si="4"/>
        <v>1.5024271199844328</v>
      </c>
      <c r="N132" s="11">
        <f>GraphEcoli!B$10-('E coli'!J132-GraphEcoli!$B$6)/GraphEcoli!$B$5</f>
        <v>0.7934740166287797</v>
      </c>
      <c r="O132" s="1" t="s">
        <v>890</v>
      </c>
      <c r="P132">
        <v>1998</v>
      </c>
      <c r="Q132" t="s">
        <v>1122</v>
      </c>
      <c r="V132" s="10">
        <f>GraphEcoli!$B$40*'E coli'!J132+GraphEcoli!$B$41</f>
        <v>0.79347401662877992</v>
      </c>
      <c r="W132" s="10">
        <f>GraphEcoli!$E$40*'E coli'!J132+GraphEcoli!$E$41</f>
        <v>0.76909719876445948</v>
      </c>
      <c r="X132" s="10"/>
    </row>
    <row r="133" spans="1:24" hidden="1" x14ac:dyDescent="0.2">
      <c r="A133" s="1" t="s">
        <v>1329</v>
      </c>
      <c r="B133" s="1" t="s">
        <v>1330</v>
      </c>
      <c r="C133" t="s">
        <v>1341</v>
      </c>
      <c r="D133" t="s">
        <v>1111</v>
      </c>
      <c r="E133" t="s">
        <v>11</v>
      </c>
      <c r="F133" s="1" t="s">
        <v>1262</v>
      </c>
      <c r="G133" s="1" t="s">
        <v>1263</v>
      </c>
      <c r="J133" s="23">
        <v>58.9</v>
      </c>
      <c r="K133" s="11">
        <v>7.6</v>
      </c>
      <c r="M133" s="12">
        <f t="shared" si="4"/>
        <v>0.88081359228079137</v>
      </c>
      <c r="N133" s="11">
        <f>GraphEcoli!B$10-('E coli'!J133-GraphEcoli!$B$6)/GraphEcoli!$B$5</f>
        <v>0.37026655437326617</v>
      </c>
      <c r="O133" s="1" t="s">
        <v>890</v>
      </c>
      <c r="P133">
        <v>1998</v>
      </c>
      <c r="Q133" t="s">
        <v>1122</v>
      </c>
      <c r="V133" s="10">
        <f>GraphEcoli!$B$40*'E coli'!J133+GraphEcoli!$B$41</f>
        <v>0.37026655437326639</v>
      </c>
      <c r="W133" s="10">
        <f>GraphEcoli!$E$40*'E coli'!J133+GraphEcoli!$E$41</f>
        <v>0.37516805553401067</v>
      </c>
      <c r="X133" s="10"/>
    </row>
    <row r="134" spans="1:24" hidden="1" x14ac:dyDescent="0.2">
      <c r="A134" s="1" t="s">
        <v>1329</v>
      </c>
      <c r="B134" s="1" t="s">
        <v>1330</v>
      </c>
      <c r="C134" t="s">
        <v>1341</v>
      </c>
      <c r="D134" t="s">
        <v>1111</v>
      </c>
      <c r="E134" t="s">
        <v>11</v>
      </c>
      <c r="F134" s="1" t="s">
        <v>1262</v>
      </c>
      <c r="G134" s="1" t="s">
        <v>1263</v>
      </c>
      <c r="J134" s="23">
        <v>62.8</v>
      </c>
      <c r="K134" s="11">
        <v>0.45</v>
      </c>
      <c r="M134" s="12">
        <f t="shared" si="4"/>
        <v>-0.34678748622465633</v>
      </c>
      <c r="N134" s="11">
        <f>GraphEcoli!B$10-('E coli'!J134-GraphEcoli!$B$6)/GraphEcoli!$B$5</f>
        <v>3.486753751821281E-3</v>
      </c>
      <c r="O134" s="1" t="s">
        <v>890</v>
      </c>
      <c r="P134">
        <v>1998</v>
      </c>
      <c r="Q134" t="s">
        <v>1122</v>
      </c>
      <c r="V134" s="10">
        <f>GraphEcoli!$B$40*'E coli'!J134+GraphEcoli!$B$41</f>
        <v>3.486753751821503E-3</v>
      </c>
      <c r="W134" s="10">
        <f>GraphEcoli!$E$40*'E coli'!J134+GraphEcoli!$E$41</f>
        <v>3.3762798067622057E-2</v>
      </c>
      <c r="X134" s="10"/>
    </row>
    <row r="135" spans="1:24" hidden="1" x14ac:dyDescent="0.2">
      <c r="A135" s="1" t="s">
        <v>1329</v>
      </c>
      <c r="B135" s="1" t="s">
        <v>1330</v>
      </c>
      <c r="C135" t="s">
        <v>1341</v>
      </c>
      <c r="D135" t="s">
        <v>1111</v>
      </c>
      <c r="E135" t="s">
        <v>11</v>
      </c>
      <c r="F135" s="1" t="s">
        <v>1262</v>
      </c>
      <c r="G135" s="1" t="s">
        <v>1263</v>
      </c>
      <c r="J135" s="23">
        <v>65.599999999999994</v>
      </c>
      <c r="K135" s="11">
        <v>0.19</v>
      </c>
      <c r="M135" s="12">
        <f t="shared" si="4"/>
        <v>-0.72124639904717103</v>
      </c>
      <c r="N135" s="11">
        <f>GraphEcoli!B$10-('E coli'!J135-GraphEcoli!$B$6)/GraphEcoli!$B$5</f>
        <v>-0.25984233387383127</v>
      </c>
      <c r="O135" s="1" t="s">
        <v>890</v>
      </c>
      <c r="P135">
        <v>1998</v>
      </c>
      <c r="Q135" t="s">
        <v>1122</v>
      </c>
      <c r="V135" s="10">
        <f>GraphEcoli!$B$40*'E coli'!J135+GraphEcoli!$B$41</f>
        <v>-0.25984233387383071</v>
      </c>
      <c r="W135" s="10">
        <f>GraphEcoli!$E$40*'E coli'!J135+GraphEcoli!$E$41</f>
        <v>-0.21134866883132286</v>
      </c>
      <c r="X135" s="10"/>
    </row>
    <row r="136" spans="1:24" hidden="1" x14ac:dyDescent="0.2">
      <c r="A136" s="1" t="s">
        <v>1329</v>
      </c>
      <c r="B136" s="1" t="s">
        <v>1330</v>
      </c>
      <c r="C136" t="s">
        <v>1341</v>
      </c>
      <c r="D136" t="s">
        <v>1112</v>
      </c>
      <c r="E136" t="s">
        <v>11</v>
      </c>
      <c r="F136" s="1" t="s">
        <v>1262</v>
      </c>
      <c r="G136" s="1" t="s">
        <v>1263</v>
      </c>
      <c r="J136" s="23">
        <v>54.4</v>
      </c>
      <c r="K136" s="11">
        <v>17.399999999999999</v>
      </c>
      <c r="M136" s="12">
        <f t="shared" si="4"/>
        <v>1.2405492482825997</v>
      </c>
      <c r="N136" s="11">
        <f>GraphEcoli!B$10-('E coli'!J136-GraphEcoli!$B$6)/GraphEcoli!$B$5</f>
        <v>0.7934740166287797</v>
      </c>
      <c r="O136" s="1" t="s">
        <v>890</v>
      </c>
      <c r="P136">
        <v>1998</v>
      </c>
      <c r="Q136" t="s">
        <v>1122</v>
      </c>
      <c r="V136" s="10">
        <f>GraphEcoli!$B$40*'E coli'!J136+GraphEcoli!$B$41</f>
        <v>0.79347401662877992</v>
      </c>
      <c r="W136" s="10">
        <f>GraphEcoli!$E$40*'E coli'!J136+GraphEcoli!$E$41</f>
        <v>0.76909719876445948</v>
      </c>
      <c r="X136" s="10"/>
    </row>
    <row r="137" spans="1:24" hidden="1" x14ac:dyDescent="0.2">
      <c r="A137" s="1" t="s">
        <v>1329</v>
      </c>
      <c r="B137" s="1" t="s">
        <v>1330</v>
      </c>
      <c r="C137" t="s">
        <v>1341</v>
      </c>
      <c r="D137" t="s">
        <v>1112</v>
      </c>
      <c r="E137" t="s">
        <v>11</v>
      </c>
      <c r="F137" s="1" t="s">
        <v>1262</v>
      </c>
      <c r="G137" s="1" t="s">
        <v>1263</v>
      </c>
      <c r="J137" s="23">
        <v>58.9</v>
      </c>
      <c r="K137" s="11">
        <v>4</v>
      </c>
      <c r="M137" s="12">
        <f t="shared" ref="M137:M168" si="5">LOG(K137)+$L$401</f>
        <v>0.6020599913279624</v>
      </c>
      <c r="N137" s="11">
        <f>GraphEcoli!B$10-('E coli'!J137-GraphEcoli!$B$6)/GraphEcoli!$B$5</f>
        <v>0.37026655437326617</v>
      </c>
      <c r="O137" s="1" t="s">
        <v>890</v>
      </c>
      <c r="P137">
        <v>1998</v>
      </c>
      <c r="Q137" t="s">
        <v>1122</v>
      </c>
      <c r="V137" s="10">
        <f>GraphEcoli!$B$40*'E coli'!J137+GraphEcoli!$B$41</f>
        <v>0.37026655437326639</v>
      </c>
      <c r="W137" s="10">
        <f>GraphEcoli!$E$40*'E coli'!J137+GraphEcoli!$E$41</f>
        <v>0.37516805553401067</v>
      </c>
      <c r="X137" s="10"/>
    </row>
    <row r="138" spans="1:24" hidden="1" x14ac:dyDescent="0.2">
      <c r="A138" s="1" t="s">
        <v>1329</v>
      </c>
      <c r="B138" s="1" t="s">
        <v>1330</v>
      </c>
      <c r="C138" t="s">
        <v>1341</v>
      </c>
      <c r="D138" t="s">
        <v>1112</v>
      </c>
      <c r="E138" t="s">
        <v>11</v>
      </c>
      <c r="F138" s="1" t="s">
        <v>1262</v>
      </c>
      <c r="G138" s="1" t="s">
        <v>1263</v>
      </c>
      <c r="J138" s="23">
        <v>62.8</v>
      </c>
      <c r="K138" s="11">
        <v>0.47</v>
      </c>
      <c r="M138" s="12">
        <f t="shared" si="5"/>
        <v>-0.32790214206428259</v>
      </c>
      <c r="N138" s="11">
        <f>GraphEcoli!B$10-('E coli'!J138-GraphEcoli!$B$6)/GraphEcoli!$B$5</f>
        <v>3.486753751821281E-3</v>
      </c>
      <c r="O138" s="1" t="s">
        <v>890</v>
      </c>
      <c r="P138">
        <v>1998</v>
      </c>
      <c r="Q138" t="s">
        <v>1122</v>
      </c>
      <c r="V138" s="10">
        <f>GraphEcoli!$B$40*'E coli'!J138+GraphEcoli!$B$41</f>
        <v>3.486753751821503E-3</v>
      </c>
      <c r="W138" s="10">
        <f>GraphEcoli!$E$40*'E coli'!J138+GraphEcoli!$E$41</f>
        <v>3.3762798067622057E-2</v>
      </c>
      <c r="X138" s="10"/>
    </row>
    <row r="139" spans="1:24" hidden="1" x14ac:dyDescent="0.2">
      <c r="A139" s="1" t="s">
        <v>1329</v>
      </c>
      <c r="B139" s="1" t="s">
        <v>1330</v>
      </c>
      <c r="C139" t="s">
        <v>1341</v>
      </c>
      <c r="D139" t="s">
        <v>1112</v>
      </c>
      <c r="E139" t="s">
        <v>11</v>
      </c>
      <c r="F139" s="1" t="s">
        <v>1262</v>
      </c>
      <c r="G139" s="1" t="s">
        <v>1263</v>
      </c>
      <c r="J139" s="23">
        <v>65.599999999999994</v>
      </c>
      <c r="K139" s="11">
        <v>0.19</v>
      </c>
      <c r="M139" s="12">
        <f t="shared" si="5"/>
        <v>-0.72124639904717103</v>
      </c>
      <c r="N139" s="11">
        <f>GraphEcoli!B$10-('E coli'!J139-GraphEcoli!$B$6)/GraphEcoli!$B$5</f>
        <v>-0.25984233387383127</v>
      </c>
      <c r="O139" s="1" t="s">
        <v>890</v>
      </c>
      <c r="P139">
        <v>1998</v>
      </c>
      <c r="Q139" t="s">
        <v>1122</v>
      </c>
      <c r="V139" s="10">
        <f>GraphEcoli!$B$40*'E coli'!J139+GraphEcoli!$B$41</f>
        <v>-0.25984233387383071</v>
      </c>
      <c r="W139" s="10">
        <f>GraphEcoli!$E$40*'E coli'!J139+GraphEcoli!$E$41</f>
        <v>-0.21134866883132286</v>
      </c>
      <c r="X139" s="10"/>
    </row>
    <row r="140" spans="1:24" hidden="1" x14ac:dyDescent="0.2">
      <c r="A140" s="1" t="s">
        <v>1329</v>
      </c>
      <c r="B140" s="1" t="s">
        <v>1330</v>
      </c>
      <c r="C140" t="s">
        <v>1341</v>
      </c>
      <c r="D140" t="s">
        <v>1113</v>
      </c>
      <c r="E140" t="s">
        <v>11</v>
      </c>
      <c r="F140" s="1" t="s">
        <v>1262</v>
      </c>
      <c r="G140" s="1" t="s">
        <v>1263</v>
      </c>
      <c r="J140" s="23">
        <v>54.4</v>
      </c>
      <c r="K140" s="11">
        <v>30.5</v>
      </c>
      <c r="M140" s="12">
        <f t="shared" si="5"/>
        <v>1.4842998393467859</v>
      </c>
      <c r="N140" s="11">
        <f>GraphEcoli!B$10-('E coli'!J140-GraphEcoli!$B$6)/GraphEcoli!$B$5</f>
        <v>0.7934740166287797</v>
      </c>
      <c r="O140" s="1" t="s">
        <v>890</v>
      </c>
      <c r="P140">
        <v>1998</v>
      </c>
      <c r="Q140" t="s">
        <v>1122</v>
      </c>
      <c r="V140" s="10">
        <f>GraphEcoli!$B$40*'E coli'!J140+GraphEcoli!$B$41</f>
        <v>0.79347401662877992</v>
      </c>
      <c r="W140" s="10">
        <f>GraphEcoli!$E$40*'E coli'!J140+GraphEcoli!$E$41</f>
        <v>0.76909719876445948</v>
      </c>
      <c r="X140" s="10"/>
    </row>
    <row r="141" spans="1:24" hidden="1" x14ac:dyDescent="0.2">
      <c r="A141" s="1" t="s">
        <v>1329</v>
      </c>
      <c r="B141" s="1" t="s">
        <v>1330</v>
      </c>
      <c r="C141" t="s">
        <v>1341</v>
      </c>
      <c r="D141" t="s">
        <v>1113</v>
      </c>
      <c r="E141" t="s">
        <v>11</v>
      </c>
      <c r="F141" s="1" t="s">
        <v>1262</v>
      </c>
      <c r="G141" s="1" t="s">
        <v>1263</v>
      </c>
      <c r="J141" s="23">
        <v>58.9</v>
      </c>
      <c r="K141" s="11">
        <v>4.7</v>
      </c>
      <c r="M141" s="12">
        <f t="shared" si="5"/>
        <v>0.67209785793571752</v>
      </c>
      <c r="N141" s="11">
        <f>GraphEcoli!B$10-('E coli'!J141-GraphEcoli!$B$6)/GraphEcoli!$B$5</f>
        <v>0.37026655437326617</v>
      </c>
      <c r="O141" s="1" t="s">
        <v>890</v>
      </c>
      <c r="P141">
        <v>1998</v>
      </c>
      <c r="Q141" t="s">
        <v>1122</v>
      </c>
      <c r="V141" s="10">
        <f>GraphEcoli!$B$40*'E coli'!J141+GraphEcoli!$B$41</f>
        <v>0.37026655437326639</v>
      </c>
      <c r="W141" s="10">
        <f>GraphEcoli!$E$40*'E coli'!J141+GraphEcoli!$E$41</f>
        <v>0.37516805553401067</v>
      </c>
      <c r="X141" s="10"/>
    </row>
    <row r="142" spans="1:24" hidden="1" x14ac:dyDescent="0.2">
      <c r="A142" s="1" t="s">
        <v>1329</v>
      </c>
      <c r="B142" s="1" t="s">
        <v>1330</v>
      </c>
      <c r="C142" t="s">
        <v>1341</v>
      </c>
      <c r="D142" t="s">
        <v>1113</v>
      </c>
      <c r="E142" t="s">
        <v>11</v>
      </c>
      <c r="F142" s="1" t="s">
        <v>1262</v>
      </c>
      <c r="G142" s="1" t="s">
        <v>1263</v>
      </c>
      <c r="J142" s="23">
        <v>62.8</v>
      </c>
      <c r="K142" s="11">
        <v>0.61</v>
      </c>
      <c r="M142" s="12">
        <f t="shared" si="5"/>
        <v>-0.21467016498923297</v>
      </c>
      <c r="N142" s="11">
        <f>GraphEcoli!B$10-('E coli'!J142-GraphEcoli!$B$6)/GraphEcoli!$B$5</f>
        <v>3.486753751821281E-3</v>
      </c>
      <c r="O142" s="1" t="s">
        <v>890</v>
      </c>
      <c r="P142">
        <v>1998</v>
      </c>
      <c r="Q142" t="s">
        <v>1122</v>
      </c>
      <c r="V142" s="10">
        <f>GraphEcoli!$B$40*'E coli'!J142+GraphEcoli!$B$41</f>
        <v>3.486753751821503E-3</v>
      </c>
      <c r="W142" s="10">
        <f>GraphEcoli!$E$40*'E coli'!J142+GraphEcoli!$E$41</f>
        <v>3.3762798067622057E-2</v>
      </c>
      <c r="X142" s="10"/>
    </row>
    <row r="143" spans="1:24" hidden="1" x14ac:dyDescent="0.2">
      <c r="A143" s="1" t="s">
        <v>1329</v>
      </c>
      <c r="B143" s="1" t="s">
        <v>1330</v>
      </c>
      <c r="C143" t="s">
        <v>1341</v>
      </c>
      <c r="D143" t="s">
        <v>1113</v>
      </c>
      <c r="E143" t="s">
        <v>11</v>
      </c>
      <c r="F143" s="1" t="s">
        <v>1262</v>
      </c>
      <c r="G143" s="1" t="s">
        <v>1263</v>
      </c>
      <c r="J143" s="23">
        <v>65.599999999999994</v>
      </c>
      <c r="K143" s="11">
        <v>0.17</v>
      </c>
      <c r="M143" s="12">
        <f t="shared" si="5"/>
        <v>-0.769551078621726</v>
      </c>
      <c r="N143" s="11">
        <f>GraphEcoli!B$10-('E coli'!J143-GraphEcoli!$B$6)/GraphEcoli!$B$5</f>
        <v>-0.25984233387383127</v>
      </c>
      <c r="O143" s="1" t="s">
        <v>890</v>
      </c>
      <c r="P143">
        <v>1998</v>
      </c>
      <c r="Q143" t="s">
        <v>1122</v>
      </c>
      <c r="V143" s="10">
        <f>GraphEcoli!$B$40*'E coli'!J143+GraphEcoli!$B$41</f>
        <v>-0.25984233387383071</v>
      </c>
      <c r="W143" s="10">
        <f>GraphEcoli!$E$40*'E coli'!J143+GraphEcoli!$E$41</f>
        <v>-0.21134866883132286</v>
      </c>
      <c r="X143" s="10"/>
    </row>
    <row r="144" spans="1:24" hidden="1" x14ac:dyDescent="0.2">
      <c r="A144" s="1" t="s">
        <v>1329</v>
      </c>
      <c r="B144" s="1" t="s">
        <v>1330</v>
      </c>
      <c r="C144" t="s">
        <v>1341</v>
      </c>
      <c r="D144" t="s">
        <v>1114</v>
      </c>
      <c r="E144" t="s">
        <v>11</v>
      </c>
      <c r="F144" s="1" t="s">
        <v>1262</v>
      </c>
      <c r="G144" s="1" t="s">
        <v>1263</v>
      </c>
      <c r="J144" s="23">
        <v>54.4</v>
      </c>
      <c r="K144" s="11">
        <v>24.7</v>
      </c>
      <c r="M144" s="12">
        <f t="shared" si="5"/>
        <v>1.3926969532596658</v>
      </c>
      <c r="N144" s="11">
        <f>GraphEcoli!B$10-('E coli'!J144-GraphEcoli!$B$6)/GraphEcoli!$B$5</f>
        <v>0.7934740166287797</v>
      </c>
      <c r="O144" s="1" t="s">
        <v>890</v>
      </c>
      <c r="P144">
        <v>1998</v>
      </c>
      <c r="Q144" t="s">
        <v>1122</v>
      </c>
      <c r="V144" s="10">
        <f>GraphEcoli!$B$40*'E coli'!J144+GraphEcoli!$B$41</f>
        <v>0.79347401662877992</v>
      </c>
      <c r="W144" s="10">
        <f>GraphEcoli!$E$40*'E coli'!J144+GraphEcoli!$E$41</f>
        <v>0.76909719876445948</v>
      </c>
      <c r="X144" s="10"/>
    </row>
    <row r="145" spans="1:24" hidden="1" x14ac:dyDescent="0.2">
      <c r="A145" s="1" t="s">
        <v>1329</v>
      </c>
      <c r="B145" s="1" t="s">
        <v>1330</v>
      </c>
      <c r="C145" t="s">
        <v>1341</v>
      </c>
      <c r="D145" t="s">
        <v>1114</v>
      </c>
      <c r="E145" t="s">
        <v>11</v>
      </c>
      <c r="F145" s="1" t="s">
        <v>1262</v>
      </c>
      <c r="G145" s="1" t="s">
        <v>1263</v>
      </c>
      <c r="J145" s="23">
        <v>58.9</v>
      </c>
      <c r="K145" s="11">
        <v>4.4000000000000004</v>
      </c>
      <c r="M145" s="12">
        <f t="shared" si="5"/>
        <v>0.64345267648618742</v>
      </c>
      <c r="N145" s="11">
        <f>GraphEcoli!B$10-('E coli'!J145-GraphEcoli!$B$6)/GraphEcoli!$B$5</f>
        <v>0.37026655437326617</v>
      </c>
      <c r="O145" s="1" t="s">
        <v>890</v>
      </c>
      <c r="P145">
        <v>1998</v>
      </c>
      <c r="Q145" t="s">
        <v>1122</v>
      </c>
      <c r="V145" s="10">
        <f>GraphEcoli!$B$40*'E coli'!J145+GraphEcoli!$B$41</f>
        <v>0.37026655437326639</v>
      </c>
      <c r="W145" s="10">
        <f>GraphEcoli!$E$40*'E coli'!J145+GraphEcoli!$E$41</f>
        <v>0.37516805553401067</v>
      </c>
      <c r="X145" s="10"/>
    </row>
    <row r="146" spans="1:24" hidden="1" x14ac:dyDescent="0.2">
      <c r="A146" s="1" t="s">
        <v>1329</v>
      </c>
      <c r="B146" s="1" t="s">
        <v>1330</v>
      </c>
      <c r="C146" t="s">
        <v>1341</v>
      </c>
      <c r="D146" t="s">
        <v>1114</v>
      </c>
      <c r="E146" t="s">
        <v>11</v>
      </c>
      <c r="F146" s="1" t="s">
        <v>1262</v>
      </c>
      <c r="G146" s="1" t="s">
        <v>1263</v>
      </c>
      <c r="J146" s="23">
        <v>62.8</v>
      </c>
      <c r="K146" s="11">
        <v>0.48</v>
      </c>
      <c r="M146" s="12">
        <f t="shared" si="5"/>
        <v>-0.31875876262441277</v>
      </c>
      <c r="N146" s="11">
        <f>GraphEcoli!B$10-('E coli'!J146-GraphEcoli!$B$6)/GraphEcoli!$B$5</f>
        <v>3.486753751821281E-3</v>
      </c>
      <c r="O146" s="1" t="s">
        <v>890</v>
      </c>
      <c r="P146">
        <v>1998</v>
      </c>
      <c r="Q146" t="s">
        <v>1122</v>
      </c>
      <c r="V146" s="10">
        <f>GraphEcoli!$B$40*'E coli'!J146+GraphEcoli!$B$41</f>
        <v>3.486753751821503E-3</v>
      </c>
      <c r="W146" s="10">
        <f>GraphEcoli!$E$40*'E coli'!J146+GraphEcoli!$E$41</f>
        <v>3.3762798067622057E-2</v>
      </c>
      <c r="X146" s="10"/>
    </row>
    <row r="147" spans="1:24" hidden="1" x14ac:dyDescent="0.2">
      <c r="A147" s="1" t="s">
        <v>1329</v>
      </c>
      <c r="B147" s="1" t="s">
        <v>1330</v>
      </c>
      <c r="C147" t="s">
        <v>1341</v>
      </c>
      <c r="D147" t="s">
        <v>1114</v>
      </c>
      <c r="E147" t="s">
        <v>11</v>
      </c>
      <c r="F147" s="1" t="s">
        <v>1262</v>
      </c>
      <c r="G147" s="1" t="s">
        <v>1263</v>
      </c>
      <c r="J147" s="23">
        <v>65.599999999999994</v>
      </c>
      <c r="K147" s="11">
        <v>0.17</v>
      </c>
      <c r="M147" s="12">
        <f t="shared" si="5"/>
        <v>-0.769551078621726</v>
      </c>
      <c r="N147" s="11">
        <f>GraphEcoli!B$10-('E coli'!J147-GraphEcoli!$B$6)/GraphEcoli!$B$5</f>
        <v>-0.25984233387383127</v>
      </c>
      <c r="O147" s="1" t="s">
        <v>890</v>
      </c>
      <c r="P147">
        <v>1998</v>
      </c>
      <c r="Q147" t="s">
        <v>1122</v>
      </c>
      <c r="V147" s="10">
        <f>GraphEcoli!$B$40*'E coli'!J147+GraphEcoli!$B$41</f>
        <v>-0.25984233387383071</v>
      </c>
      <c r="W147" s="10">
        <f>GraphEcoli!$E$40*'E coli'!J147+GraphEcoli!$E$41</f>
        <v>-0.21134866883132286</v>
      </c>
      <c r="X147" s="10"/>
    </row>
    <row r="148" spans="1:24" hidden="1" x14ac:dyDescent="0.2">
      <c r="A148" s="1" t="s">
        <v>1329</v>
      </c>
      <c r="B148" s="1" t="s">
        <v>1330</v>
      </c>
      <c r="C148" t="s">
        <v>1341</v>
      </c>
      <c r="D148" t="s">
        <v>1115</v>
      </c>
      <c r="E148" t="s">
        <v>11</v>
      </c>
      <c r="F148" s="1" t="s">
        <v>1262</v>
      </c>
      <c r="G148" s="1" t="s">
        <v>1263</v>
      </c>
      <c r="J148" s="23">
        <v>54.4</v>
      </c>
      <c r="K148" s="11">
        <v>31.1</v>
      </c>
      <c r="M148" s="12">
        <f t="shared" si="5"/>
        <v>1.4927603890268375</v>
      </c>
      <c r="N148" s="11">
        <f>GraphEcoli!B$10-('E coli'!J148-GraphEcoli!$B$6)/GraphEcoli!$B$5</f>
        <v>0.7934740166287797</v>
      </c>
      <c r="O148" s="1" t="s">
        <v>890</v>
      </c>
      <c r="P148">
        <v>1998</v>
      </c>
      <c r="Q148" t="s">
        <v>1122</v>
      </c>
      <c r="V148" s="10">
        <f>GraphEcoli!$B$40*'E coli'!J148+GraphEcoli!$B$41</f>
        <v>0.79347401662877992</v>
      </c>
      <c r="W148" s="10">
        <f>GraphEcoli!$E$40*'E coli'!J148+GraphEcoli!$E$41</f>
        <v>0.76909719876445948</v>
      </c>
      <c r="X148" s="10"/>
    </row>
    <row r="149" spans="1:24" hidden="1" x14ac:dyDescent="0.2">
      <c r="A149" s="1" t="s">
        <v>1329</v>
      </c>
      <c r="B149" s="1" t="s">
        <v>1330</v>
      </c>
      <c r="C149" t="s">
        <v>1341</v>
      </c>
      <c r="D149" t="s">
        <v>1115</v>
      </c>
      <c r="E149" t="s">
        <v>11</v>
      </c>
      <c r="F149" s="1" t="s">
        <v>1262</v>
      </c>
      <c r="G149" s="1" t="s">
        <v>1263</v>
      </c>
      <c r="J149" s="23">
        <v>58.9</v>
      </c>
      <c r="K149" s="11">
        <v>3.9</v>
      </c>
      <c r="M149" s="12">
        <f t="shared" si="5"/>
        <v>0.59106460702649921</v>
      </c>
      <c r="N149" s="11">
        <f>GraphEcoli!B$10-('E coli'!J149-GraphEcoli!$B$6)/GraphEcoli!$B$5</f>
        <v>0.37026655437326617</v>
      </c>
      <c r="O149" s="1" t="s">
        <v>890</v>
      </c>
      <c r="P149">
        <v>1998</v>
      </c>
      <c r="Q149" t="s">
        <v>1122</v>
      </c>
      <c r="V149" s="10">
        <f>GraphEcoli!$B$40*'E coli'!J149+GraphEcoli!$B$41</f>
        <v>0.37026655437326639</v>
      </c>
      <c r="W149" s="10">
        <f>GraphEcoli!$E$40*'E coli'!J149+GraphEcoli!$E$41</f>
        <v>0.37516805553401067</v>
      </c>
      <c r="X149" s="10"/>
    </row>
    <row r="150" spans="1:24" hidden="1" x14ac:dyDescent="0.2">
      <c r="A150" s="1" t="s">
        <v>1329</v>
      </c>
      <c r="B150" s="1" t="s">
        <v>1330</v>
      </c>
      <c r="C150" t="s">
        <v>1341</v>
      </c>
      <c r="D150" t="s">
        <v>1115</v>
      </c>
      <c r="E150" t="s">
        <v>11</v>
      </c>
      <c r="F150" s="1" t="s">
        <v>1262</v>
      </c>
      <c r="G150" s="1" t="s">
        <v>1263</v>
      </c>
      <c r="J150" s="23">
        <v>62.8</v>
      </c>
      <c r="K150" s="11">
        <v>0.44</v>
      </c>
      <c r="M150" s="12">
        <f t="shared" si="5"/>
        <v>-0.35654732351381258</v>
      </c>
      <c r="N150" s="11">
        <f>GraphEcoli!B$10-('E coli'!J150-GraphEcoli!$B$6)/GraphEcoli!$B$5</f>
        <v>3.486753751821281E-3</v>
      </c>
      <c r="O150" s="1" t="s">
        <v>890</v>
      </c>
      <c r="P150">
        <v>1998</v>
      </c>
      <c r="Q150" t="s">
        <v>1122</v>
      </c>
      <c r="V150" s="10">
        <f>GraphEcoli!$B$40*'E coli'!J150+GraphEcoli!$B$41</f>
        <v>3.486753751821503E-3</v>
      </c>
      <c r="W150" s="10">
        <f>GraphEcoli!$E$40*'E coli'!J150+GraphEcoli!$E$41</f>
        <v>3.3762798067622057E-2</v>
      </c>
      <c r="X150" s="10"/>
    </row>
    <row r="151" spans="1:24" hidden="1" x14ac:dyDescent="0.2">
      <c r="A151" s="1" t="s">
        <v>1329</v>
      </c>
      <c r="B151" s="1" t="s">
        <v>1330</v>
      </c>
      <c r="C151" t="s">
        <v>1341</v>
      </c>
      <c r="D151" t="s">
        <v>1115</v>
      </c>
      <c r="E151" t="s">
        <v>11</v>
      </c>
      <c r="F151" s="1" t="s">
        <v>1262</v>
      </c>
      <c r="G151" s="1" t="s">
        <v>1263</v>
      </c>
      <c r="J151" s="23">
        <v>65.599999999999994</v>
      </c>
      <c r="K151" s="11">
        <v>0.18</v>
      </c>
      <c r="M151" s="12">
        <f t="shared" si="5"/>
        <v>-0.74472749489669399</v>
      </c>
      <c r="N151" s="11">
        <f>GraphEcoli!B$10-('E coli'!J151-GraphEcoli!$B$6)/GraphEcoli!$B$5</f>
        <v>-0.25984233387383127</v>
      </c>
      <c r="O151" s="1" t="s">
        <v>890</v>
      </c>
      <c r="P151">
        <v>1998</v>
      </c>
      <c r="Q151" t="s">
        <v>1122</v>
      </c>
      <c r="V151" s="10">
        <f>GraphEcoli!$B$40*'E coli'!J151+GraphEcoli!$B$41</f>
        <v>-0.25984233387383071</v>
      </c>
      <c r="W151" s="10">
        <f>GraphEcoli!$E$40*'E coli'!J151+GraphEcoli!$E$41</f>
        <v>-0.21134866883132286</v>
      </c>
      <c r="X151" s="10"/>
    </row>
    <row r="152" spans="1:24" hidden="1" x14ac:dyDescent="0.2">
      <c r="A152" s="1" t="s">
        <v>1329</v>
      </c>
      <c r="B152" s="1" t="s">
        <v>1330</v>
      </c>
      <c r="C152" t="s">
        <v>1341</v>
      </c>
      <c r="D152" t="s">
        <v>1116</v>
      </c>
      <c r="E152" t="s">
        <v>11</v>
      </c>
      <c r="F152" s="1" t="s">
        <v>1262</v>
      </c>
      <c r="G152" s="1" t="s">
        <v>1263</v>
      </c>
      <c r="J152" s="23">
        <v>54.4</v>
      </c>
      <c r="K152" s="11">
        <v>29.9</v>
      </c>
      <c r="M152" s="12">
        <f t="shared" si="5"/>
        <v>1.4756711883244296</v>
      </c>
      <c r="N152" s="11">
        <f>GraphEcoli!B$10-('E coli'!J152-GraphEcoli!$B$6)/GraphEcoli!$B$5</f>
        <v>0.7934740166287797</v>
      </c>
      <c r="O152" s="1" t="s">
        <v>890</v>
      </c>
      <c r="P152">
        <v>1998</v>
      </c>
      <c r="Q152" t="s">
        <v>1122</v>
      </c>
      <c r="V152" s="10">
        <f>GraphEcoli!$B$40*'E coli'!J152+GraphEcoli!$B$41</f>
        <v>0.79347401662877992</v>
      </c>
      <c r="W152" s="10">
        <f>GraphEcoli!$E$40*'E coli'!J152+GraphEcoli!$E$41</f>
        <v>0.76909719876445948</v>
      </c>
      <c r="X152" s="10"/>
    </row>
    <row r="153" spans="1:24" hidden="1" x14ac:dyDescent="0.2">
      <c r="A153" s="1" t="s">
        <v>1329</v>
      </c>
      <c r="B153" s="1" t="s">
        <v>1330</v>
      </c>
      <c r="C153" t="s">
        <v>1341</v>
      </c>
      <c r="D153" t="s">
        <v>1116</v>
      </c>
      <c r="E153" t="s">
        <v>11</v>
      </c>
      <c r="F153" s="1" t="s">
        <v>1262</v>
      </c>
      <c r="G153" s="1" t="s">
        <v>1263</v>
      </c>
      <c r="J153" s="23">
        <v>58.9</v>
      </c>
      <c r="K153" s="11">
        <v>3.7</v>
      </c>
      <c r="M153" s="12">
        <f t="shared" si="5"/>
        <v>0.56820172406699498</v>
      </c>
      <c r="N153" s="11">
        <f>GraphEcoli!B$10-('E coli'!J153-GraphEcoli!$B$6)/GraphEcoli!$B$5</f>
        <v>0.37026655437326617</v>
      </c>
      <c r="O153" s="1" t="s">
        <v>890</v>
      </c>
      <c r="P153">
        <v>1998</v>
      </c>
      <c r="Q153" t="s">
        <v>1122</v>
      </c>
      <c r="V153" s="10">
        <f>GraphEcoli!$B$40*'E coli'!J153+GraphEcoli!$B$41</f>
        <v>0.37026655437326639</v>
      </c>
      <c r="W153" s="10">
        <f>GraphEcoli!$E$40*'E coli'!J153+GraphEcoli!$E$41</f>
        <v>0.37516805553401067</v>
      </c>
      <c r="X153" s="10"/>
    </row>
    <row r="154" spans="1:24" hidden="1" x14ac:dyDescent="0.2">
      <c r="A154" s="1" t="s">
        <v>1329</v>
      </c>
      <c r="B154" s="1" t="s">
        <v>1330</v>
      </c>
      <c r="C154" t="s">
        <v>1341</v>
      </c>
      <c r="D154" t="s">
        <v>1116</v>
      </c>
      <c r="E154" t="s">
        <v>11</v>
      </c>
      <c r="F154" s="1" t="s">
        <v>1262</v>
      </c>
      <c r="G154" s="1" t="s">
        <v>1263</v>
      </c>
      <c r="J154" s="23">
        <v>62.8</v>
      </c>
      <c r="K154" s="11">
        <v>0.56999999999999995</v>
      </c>
      <c r="M154" s="12">
        <f t="shared" si="5"/>
        <v>-0.24412514432750865</v>
      </c>
      <c r="N154" s="11">
        <f>GraphEcoli!B$10-('E coli'!J154-GraphEcoli!$B$6)/GraphEcoli!$B$5</f>
        <v>3.486753751821281E-3</v>
      </c>
      <c r="O154" s="1" t="s">
        <v>890</v>
      </c>
      <c r="P154">
        <v>1998</v>
      </c>
      <c r="Q154" t="s">
        <v>1122</v>
      </c>
      <c r="V154" s="10">
        <f>GraphEcoli!$B$40*'E coli'!J154+GraphEcoli!$B$41</f>
        <v>3.486753751821503E-3</v>
      </c>
      <c r="W154" s="10">
        <f>GraphEcoli!$E$40*'E coli'!J154+GraphEcoli!$E$41</f>
        <v>3.3762798067622057E-2</v>
      </c>
      <c r="X154" s="10"/>
    </row>
    <row r="155" spans="1:24" hidden="1" x14ac:dyDescent="0.2">
      <c r="A155" s="1" t="s">
        <v>1329</v>
      </c>
      <c r="B155" s="1" t="s">
        <v>1330</v>
      </c>
      <c r="C155" t="s">
        <v>1341</v>
      </c>
      <c r="D155" t="s">
        <v>1116</v>
      </c>
      <c r="E155" t="s">
        <v>11</v>
      </c>
      <c r="F155" s="1" t="s">
        <v>1262</v>
      </c>
      <c r="G155" s="1" t="s">
        <v>1263</v>
      </c>
      <c r="J155" s="23">
        <v>65.599999999999994</v>
      </c>
      <c r="K155" s="11">
        <v>0.17</v>
      </c>
      <c r="M155" s="12">
        <f t="shared" si="5"/>
        <v>-0.769551078621726</v>
      </c>
      <c r="N155" s="11">
        <f>GraphEcoli!B$10-('E coli'!J155-GraphEcoli!$B$6)/GraphEcoli!$B$5</f>
        <v>-0.25984233387383127</v>
      </c>
      <c r="O155" s="1" t="s">
        <v>890</v>
      </c>
      <c r="P155">
        <v>1998</v>
      </c>
      <c r="Q155" t="s">
        <v>1122</v>
      </c>
      <c r="V155" s="10">
        <f>GraphEcoli!$B$40*'E coli'!J155+GraphEcoli!$B$41</f>
        <v>-0.25984233387383071</v>
      </c>
      <c r="W155" s="10">
        <f>GraphEcoli!$E$40*'E coli'!J155+GraphEcoli!$E$41</f>
        <v>-0.21134866883132286</v>
      </c>
      <c r="X155" s="10"/>
    </row>
    <row r="156" spans="1:24" hidden="1" x14ac:dyDescent="0.2">
      <c r="A156" s="1" t="s">
        <v>1329</v>
      </c>
      <c r="B156" s="1" t="s">
        <v>1330</v>
      </c>
      <c r="C156" t="s">
        <v>1341</v>
      </c>
      <c r="D156" t="s">
        <v>1117</v>
      </c>
      <c r="E156" t="s">
        <v>11</v>
      </c>
      <c r="F156" s="1" t="s">
        <v>1262</v>
      </c>
      <c r="G156" s="1" t="s">
        <v>1263</v>
      </c>
      <c r="J156" s="23">
        <v>54.4</v>
      </c>
      <c r="K156" s="11">
        <v>35.4</v>
      </c>
      <c r="M156" s="12">
        <f t="shared" si="5"/>
        <v>1.5490032620257879</v>
      </c>
      <c r="N156" s="11">
        <f>GraphEcoli!B$10-('E coli'!J156-GraphEcoli!$B$6)/GraphEcoli!$B$5</f>
        <v>0.7934740166287797</v>
      </c>
      <c r="O156" s="1" t="s">
        <v>890</v>
      </c>
      <c r="P156">
        <v>1998</v>
      </c>
      <c r="Q156" t="s">
        <v>1122</v>
      </c>
      <c r="V156" s="10">
        <f>GraphEcoli!$B$40*'E coli'!J156+GraphEcoli!$B$41</f>
        <v>0.79347401662877992</v>
      </c>
      <c r="W156" s="10">
        <f>GraphEcoli!$E$40*'E coli'!J156+GraphEcoli!$E$41</f>
        <v>0.76909719876445948</v>
      </c>
      <c r="X156" s="10"/>
    </row>
    <row r="157" spans="1:24" hidden="1" x14ac:dyDescent="0.2">
      <c r="A157" s="1" t="s">
        <v>1329</v>
      </c>
      <c r="B157" s="1" t="s">
        <v>1330</v>
      </c>
      <c r="C157" t="s">
        <v>1341</v>
      </c>
      <c r="D157" t="s">
        <v>1117</v>
      </c>
      <c r="E157" t="s">
        <v>11</v>
      </c>
      <c r="F157" s="1" t="s">
        <v>1262</v>
      </c>
      <c r="G157" s="1" t="s">
        <v>1263</v>
      </c>
      <c r="J157" s="23">
        <v>58.9</v>
      </c>
      <c r="K157" s="11">
        <v>4.2</v>
      </c>
      <c r="M157" s="12">
        <f t="shared" si="5"/>
        <v>0.62324929039790045</v>
      </c>
      <c r="N157" s="11">
        <f>GraphEcoli!B$10-('E coli'!J157-GraphEcoli!$B$6)/GraphEcoli!$B$5</f>
        <v>0.37026655437326617</v>
      </c>
      <c r="O157" s="1" t="s">
        <v>890</v>
      </c>
      <c r="P157">
        <v>1998</v>
      </c>
      <c r="Q157" t="s">
        <v>1122</v>
      </c>
      <c r="V157" s="10">
        <f>GraphEcoli!$B$40*'E coli'!J157+GraphEcoli!$B$41</f>
        <v>0.37026655437326639</v>
      </c>
      <c r="W157" s="10">
        <f>GraphEcoli!$E$40*'E coli'!J157+GraphEcoli!$E$41</f>
        <v>0.37516805553401067</v>
      </c>
      <c r="X157" s="10"/>
    </row>
    <row r="158" spans="1:24" hidden="1" x14ac:dyDescent="0.2">
      <c r="A158" s="1" t="s">
        <v>1329</v>
      </c>
      <c r="B158" s="1" t="s">
        <v>1330</v>
      </c>
      <c r="C158" t="s">
        <v>1341</v>
      </c>
      <c r="D158" t="s">
        <v>1117</v>
      </c>
      <c r="E158" t="s">
        <v>11</v>
      </c>
      <c r="F158" s="1" t="s">
        <v>1262</v>
      </c>
      <c r="G158" s="1" t="s">
        <v>1263</v>
      </c>
      <c r="J158" s="23">
        <v>62.8</v>
      </c>
      <c r="K158" s="11">
        <v>0.53</v>
      </c>
      <c r="M158" s="12">
        <f t="shared" si="5"/>
        <v>-0.27572413039921095</v>
      </c>
      <c r="N158" s="11">
        <f>GraphEcoli!B$10-('E coli'!J158-GraphEcoli!$B$6)/GraphEcoli!$B$5</f>
        <v>3.486753751821281E-3</v>
      </c>
      <c r="O158" s="1" t="s">
        <v>890</v>
      </c>
      <c r="P158">
        <v>1998</v>
      </c>
      <c r="Q158" t="s">
        <v>1122</v>
      </c>
      <c r="V158" s="10">
        <f>GraphEcoli!$B$40*'E coli'!J158+GraphEcoli!$B$41</f>
        <v>3.486753751821503E-3</v>
      </c>
      <c r="W158" s="10">
        <f>GraphEcoli!$E$40*'E coli'!J158+GraphEcoli!$E$41</f>
        <v>3.3762798067622057E-2</v>
      </c>
      <c r="X158" s="10"/>
    </row>
    <row r="159" spans="1:24" hidden="1" x14ac:dyDescent="0.2">
      <c r="A159" s="1" t="s">
        <v>1329</v>
      </c>
      <c r="B159" s="1" t="s">
        <v>1330</v>
      </c>
      <c r="C159" t="s">
        <v>1341</v>
      </c>
      <c r="D159" t="s">
        <v>1117</v>
      </c>
      <c r="E159" t="s">
        <v>11</v>
      </c>
      <c r="F159" s="1" t="s">
        <v>1262</v>
      </c>
      <c r="G159" s="1" t="s">
        <v>1263</v>
      </c>
      <c r="J159" s="23">
        <v>65.599999999999994</v>
      </c>
      <c r="K159" s="11">
        <v>0.16</v>
      </c>
      <c r="M159" s="12">
        <f t="shared" si="5"/>
        <v>-0.79588001734407521</v>
      </c>
      <c r="N159" s="11">
        <f>GraphEcoli!B$10-('E coli'!J159-GraphEcoli!$B$6)/GraphEcoli!$B$5</f>
        <v>-0.25984233387383127</v>
      </c>
      <c r="O159" s="1" t="s">
        <v>890</v>
      </c>
      <c r="P159">
        <v>1998</v>
      </c>
      <c r="Q159" t="s">
        <v>1122</v>
      </c>
      <c r="V159" s="10">
        <f>GraphEcoli!$B$40*'E coli'!J159+GraphEcoli!$B$41</f>
        <v>-0.25984233387383071</v>
      </c>
      <c r="W159" s="10">
        <f>GraphEcoli!$E$40*'E coli'!J159+GraphEcoli!$E$41</f>
        <v>-0.21134866883132286</v>
      </c>
      <c r="X159" s="10"/>
    </row>
    <row r="160" spans="1:24" hidden="1" x14ac:dyDescent="0.2">
      <c r="A160" s="1" t="s">
        <v>1329</v>
      </c>
      <c r="B160" s="1" t="s">
        <v>1330</v>
      </c>
      <c r="C160" t="s">
        <v>1341</v>
      </c>
      <c r="D160" t="s">
        <v>1118</v>
      </c>
      <c r="E160" t="s">
        <v>11</v>
      </c>
      <c r="F160" s="1" t="s">
        <v>1262</v>
      </c>
      <c r="G160" s="1" t="s">
        <v>1263</v>
      </c>
      <c r="J160" s="23">
        <v>54.4</v>
      </c>
      <c r="K160" s="11">
        <v>18.3</v>
      </c>
      <c r="M160" s="12">
        <f t="shared" si="5"/>
        <v>1.2624510897304295</v>
      </c>
      <c r="N160" s="11">
        <f>GraphEcoli!B$10-('E coli'!J160-GraphEcoli!$B$6)/GraphEcoli!$B$5</f>
        <v>0.7934740166287797</v>
      </c>
      <c r="O160" s="1" t="s">
        <v>890</v>
      </c>
      <c r="P160">
        <v>1998</v>
      </c>
      <c r="Q160" t="s">
        <v>1122</v>
      </c>
      <c r="V160" s="10">
        <f>GraphEcoli!$B$40*'E coli'!J160+GraphEcoli!$B$41</f>
        <v>0.79347401662877992</v>
      </c>
      <c r="W160" s="10">
        <f>GraphEcoli!$E$40*'E coli'!J160+GraphEcoli!$E$41</f>
        <v>0.76909719876445948</v>
      </c>
      <c r="X160" s="10"/>
    </row>
    <row r="161" spans="1:24" hidden="1" x14ac:dyDescent="0.2">
      <c r="A161" s="1" t="s">
        <v>1329</v>
      </c>
      <c r="B161" s="1" t="s">
        <v>1330</v>
      </c>
      <c r="C161" t="s">
        <v>1341</v>
      </c>
      <c r="D161" t="s">
        <v>1118</v>
      </c>
      <c r="E161" t="s">
        <v>11</v>
      </c>
      <c r="F161" s="1" t="s">
        <v>1262</v>
      </c>
      <c r="G161" s="1" t="s">
        <v>1263</v>
      </c>
      <c r="J161" s="23">
        <v>58.9</v>
      </c>
      <c r="K161" s="11">
        <v>3.6</v>
      </c>
      <c r="M161" s="12">
        <f t="shared" si="5"/>
        <v>0.55630250076728727</v>
      </c>
      <c r="N161" s="11">
        <f>GraphEcoli!B$10-('E coli'!J161-GraphEcoli!$B$6)/GraphEcoli!$B$5</f>
        <v>0.37026655437326617</v>
      </c>
      <c r="O161" s="1" t="s">
        <v>890</v>
      </c>
      <c r="P161">
        <v>1998</v>
      </c>
      <c r="Q161" t="s">
        <v>1122</v>
      </c>
      <c r="V161" s="10">
        <f>GraphEcoli!$B$40*'E coli'!J161+GraphEcoli!$B$41</f>
        <v>0.37026655437326639</v>
      </c>
      <c r="W161" s="10">
        <f>GraphEcoli!$E$40*'E coli'!J161+GraphEcoli!$E$41</f>
        <v>0.37516805553401067</v>
      </c>
      <c r="X161" s="10"/>
    </row>
    <row r="162" spans="1:24" hidden="1" x14ac:dyDescent="0.2">
      <c r="A162" s="1" t="s">
        <v>1329</v>
      </c>
      <c r="B162" s="1" t="s">
        <v>1330</v>
      </c>
      <c r="C162" t="s">
        <v>1341</v>
      </c>
      <c r="D162" t="s">
        <v>1118</v>
      </c>
      <c r="E162" t="s">
        <v>11</v>
      </c>
      <c r="F162" s="1" t="s">
        <v>1262</v>
      </c>
      <c r="G162" s="1" t="s">
        <v>1263</v>
      </c>
      <c r="J162" s="23">
        <v>62.8</v>
      </c>
      <c r="K162" s="11">
        <v>0.51</v>
      </c>
      <c r="M162" s="12">
        <f t="shared" si="5"/>
        <v>-0.29242982390206362</v>
      </c>
      <c r="N162" s="11">
        <f>GraphEcoli!B$10-('E coli'!J162-GraphEcoli!$B$6)/GraphEcoli!$B$5</f>
        <v>3.486753751821281E-3</v>
      </c>
      <c r="O162" s="1" t="s">
        <v>890</v>
      </c>
      <c r="P162">
        <v>1998</v>
      </c>
      <c r="Q162" t="s">
        <v>1122</v>
      </c>
      <c r="V162" s="10">
        <f>GraphEcoli!$B$40*'E coli'!J162+GraphEcoli!$B$41</f>
        <v>3.486753751821503E-3</v>
      </c>
      <c r="W162" s="10">
        <f>GraphEcoli!$E$40*'E coli'!J162+GraphEcoli!$E$41</f>
        <v>3.3762798067622057E-2</v>
      </c>
      <c r="X162" s="10"/>
    </row>
    <row r="163" spans="1:24" hidden="1" x14ac:dyDescent="0.2">
      <c r="A163" s="1" t="s">
        <v>1329</v>
      </c>
      <c r="B163" s="1" t="s">
        <v>1330</v>
      </c>
      <c r="C163" t="s">
        <v>1341</v>
      </c>
      <c r="D163" t="s">
        <v>1118</v>
      </c>
      <c r="E163" t="s">
        <v>11</v>
      </c>
      <c r="F163" s="1" t="s">
        <v>1262</v>
      </c>
      <c r="G163" s="1" t="s">
        <v>1263</v>
      </c>
      <c r="J163" s="23">
        <v>65.599999999999994</v>
      </c>
      <c r="K163" s="11">
        <v>0.17</v>
      </c>
      <c r="M163" s="12">
        <f t="shared" si="5"/>
        <v>-0.769551078621726</v>
      </c>
      <c r="N163" s="11">
        <f>GraphEcoli!B$10-('E coli'!J163-GraphEcoli!$B$6)/GraphEcoli!$B$5</f>
        <v>-0.25984233387383127</v>
      </c>
      <c r="O163" s="1" t="s">
        <v>890</v>
      </c>
      <c r="P163">
        <v>1998</v>
      </c>
      <c r="Q163" t="s">
        <v>1122</v>
      </c>
      <c r="V163" s="10">
        <f>GraphEcoli!$B$40*'E coli'!J163+GraphEcoli!$B$41</f>
        <v>-0.25984233387383071</v>
      </c>
      <c r="W163" s="10">
        <f>GraphEcoli!$E$40*'E coli'!J163+GraphEcoli!$E$41</f>
        <v>-0.21134866883132286</v>
      </c>
      <c r="X163" s="10"/>
    </row>
    <row r="164" spans="1:24" hidden="1" x14ac:dyDescent="0.2">
      <c r="A164" s="1" t="s">
        <v>1329</v>
      </c>
      <c r="B164" s="1" t="s">
        <v>1330</v>
      </c>
      <c r="C164" t="s">
        <v>1341</v>
      </c>
      <c r="D164" t="s">
        <v>1119</v>
      </c>
      <c r="E164" t="s">
        <v>11</v>
      </c>
      <c r="F164" s="1" t="s">
        <v>1262</v>
      </c>
      <c r="G164" s="1" t="s">
        <v>1263</v>
      </c>
      <c r="J164" s="23">
        <v>54.4</v>
      </c>
      <c r="K164" s="11">
        <v>22.2</v>
      </c>
      <c r="M164" s="12">
        <f t="shared" si="5"/>
        <v>1.3463529744506386</v>
      </c>
      <c r="N164" s="11">
        <f>GraphEcoli!B$10-('E coli'!J164-GraphEcoli!$B$6)/GraphEcoli!$B$5</f>
        <v>0.7934740166287797</v>
      </c>
      <c r="O164" s="1" t="s">
        <v>890</v>
      </c>
      <c r="P164">
        <v>1998</v>
      </c>
      <c r="Q164" t="s">
        <v>1122</v>
      </c>
      <c r="V164" s="10">
        <f>GraphEcoli!$B$40*'E coli'!J164+GraphEcoli!$B$41</f>
        <v>0.79347401662877992</v>
      </c>
      <c r="W164" s="10">
        <f>GraphEcoli!$E$40*'E coli'!J164+GraphEcoli!$E$41</f>
        <v>0.76909719876445948</v>
      </c>
      <c r="X164" s="10"/>
    </row>
    <row r="165" spans="1:24" hidden="1" x14ac:dyDescent="0.2">
      <c r="A165" s="1" t="s">
        <v>1329</v>
      </c>
      <c r="B165" s="1" t="s">
        <v>1330</v>
      </c>
      <c r="C165" t="s">
        <v>1341</v>
      </c>
      <c r="D165" t="s">
        <v>1119</v>
      </c>
      <c r="E165" t="s">
        <v>11</v>
      </c>
      <c r="F165" s="1" t="s">
        <v>1262</v>
      </c>
      <c r="G165" s="1" t="s">
        <v>1263</v>
      </c>
      <c r="J165" s="23">
        <v>58.9</v>
      </c>
      <c r="K165" s="11">
        <v>3.3</v>
      </c>
      <c r="M165" s="12">
        <f t="shared" si="5"/>
        <v>0.51851393987788741</v>
      </c>
      <c r="N165" s="11">
        <f>GraphEcoli!B$10-('E coli'!J165-GraphEcoli!$B$6)/GraphEcoli!$B$5</f>
        <v>0.37026655437326617</v>
      </c>
      <c r="O165" s="1" t="s">
        <v>890</v>
      </c>
      <c r="P165">
        <v>1998</v>
      </c>
      <c r="Q165" t="s">
        <v>1122</v>
      </c>
      <c r="V165" s="10">
        <f>GraphEcoli!$B$40*'E coli'!J165+GraphEcoli!$B$41</f>
        <v>0.37026655437326639</v>
      </c>
      <c r="W165" s="10">
        <f>GraphEcoli!$E$40*'E coli'!J165+GraphEcoli!$E$41</f>
        <v>0.37516805553401067</v>
      </c>
      <c r="X165" s="10"/>
    </row>
    <row r="166" spans="1:24" hidden="1" x14ac:dyDescent="0.2">
      <c r="A166" s="1" t="s">
        <v>1329</v>
      </c>
      <c r="B166" s="1" t="s">
        <v>1330</v>
      </c>
      <c r="C166" t="s">
        <v>1341</v>
      </c>
      <c r="D166" t="s">
        <v>1119</v>
      </c>
      <c r="E166" t="s">
        <v>11</v>
      </c>
      <c r="F166" s="1" t="s">
        <v>1262</v>
      </c>
      <c r="G166" s="1" t="s">
        <v>1263</v>
      </c>
      <c r="J166" s="23">
        <v>62.8</v>
      </c>
      <c r="K166" s="11">
        <v>0.46</v>
      </c>
      <c r="M166" s="12">
        <f t="shared" si="5"/>
        <v>-0.33724216831842591</v>
      </c>
      <c r="N166" s="11">
        <f>GraphEcoli!B$10-('E coli'!J166-GraphEcoli!$B$6)/GraphEcoli!$B$5</f>
        <v>3.486753751821281E-3</v>
      </c>
      <c r="O166" s="1" t="s">
        <v>890</v>
      </c>
      <c r="P166">
        <v>1998</v>
      </c>
      <c r="Q166" t="s">
        <v>1122</v>
      </c>
      <c r="V166" s="10">
        <f>GraphEcoli!$B$40*'E coli'!J166+GraphEcoli!$B$41</f>
        <v>3.486753751821503E-3</v>
      </c>
      <c r="W166" s="10">
        <f>GraphEcoli!$E$40*'E coli'!J166+GraphEcoli!$E$41</f>
        <v>3.3762798067622057E-2</v>
      </c>
      <c r="X166" s="10"/>
    </row>
    <row r="167" spans="1:24" hidden="1" x14ac:dyDescent="0.2">
      <c r="A167" s="1" t="s">
        <v>1329</v>
      </c>
      <c r="B167" s="1" t="s">
        <v>1330</v>
      </c>
      <c r="C167" t="s">
        <v>1341</v>
      </c>
      <c r="D167" t="s">
        <v>1119</v>
      </c>
      <c r="E167" t="s">
        <v>11</v>
      </c>
      <c r="F167" s="1" t="s">
        <v>1262</v>
      </c>
      <c r="G167" s="1" t="s">
        <v>1263</v>
      </c>
      <c r="J167" s="23">
        <v>65.599999999999994</v>
      </c>
      <c r="K167" s="11">
        <v>0.21</v>
      </c>
      <c r="M167" s="12">
        <f t="shared" si="5"/>
        <v>-0.6777807052660807</v>
      </c>
      <c r="N167" s="11">
        <f>GraphEcoli!B$10-('E coli'!J167-GraphEcoli!$B$6)/GraphEcoli!$B$5</f>
        <v>-0.25984233387383127</v>
      </c>
      <c r="O167" s="1" t="s">
        <v>890</v>
      </c>
      <c r="P167">
        <v>1998</v>
      </c>
      <c r="Q167" t="s">
        <v>1122</v>
      </c>
      <c r="V167" s="10">
        <f>GraphEcoli!$B$40*'E coli'!J167+GraphEcoli!$B$41</f>
        <v>-0.25984233387383071</v>
      </c>
      <c r="W167" s="10">
        <f>GraphEcoli!$E$40*'E coli'!J167+GraphEcoli!$E$41</f>
        <v>-0.21134866883132286</v>
      </c>
      <c r="X167" s="10"/>
    </row>
    <row r="168" spans="1:24" hidden="1" x14ac:dyDescent="0.2">
      <c r="A168" s="1" t="s">
        <v>1329</v>
      </c>
      <c r="B168" s="1" t="s">
        <v>1330</v>
      </c>
      <c r="C168" t="s">
        <v>1341</v>
      </c>
      <c r="D168" t="s">
        <v>1120</v>
      </c>
      <c r="E168" t="s">
        <v>11</v>
      </c>
      <c r="F168" s="1" t="s">
        <v>1262</v>
      </c>
      <c r="G168" s="1" t="s">
        <v>1263</v>
      </c>
      <c r="J168" s="23">
        <v>54.4</v>
      </c>
      <c r="K168" s="11">
        <v>29.6</v>
      </c>
      <c r="M168" s="12">
        <f t="shared" si="5"/>
        <v>1.4712917110589385</v>
      </c>
      <c r="N168" s="11">
        <f>GraphEcoli!B$10-('E coli'!J168-GraphEcoli!$B$6)/GraphEcoli!$B$5</f>
        <v>0.7934740166287797</v>
      </c>
      <c r="O168" s="1" t="s">
        <v>890</v>
      </c>
      <c r="P168">
        <v>1998</v>
      </c>
      <c r="Q168" t="s">
        <v>1122</v>
      </c>
      <c r="V168" s="10">
        <f>GraphEcoli!$B$40*'E coli'!J168+GraphEcoli!$B$41</f>
        <v>0.79347401662877992</v>
      </c>
      <c r="W168" s="10">
        <f>GraphEcoli!$E$40*'E coli'!J168+GraphEcoli!$E$41</f>
        <v>0.76909719876445948</v>
      </c>
      <c r="X168" s="10"/>
    </row>
    <row r="169" spans="1:24" hidden="1" x14ac:dyDescent="0.2">
      <c r="A169" s="1" t="s">
        <v>1329</v>
      </c>
      <c r="B169" s="1" t="s">
        <v>1330</v>
      </c>
      <c r="C169" t="s">
        <v>1341</v>
      </c>
      <c r="D169" t="s">
        <v>1120</v>
      </c>
      <c r="E169" t="s">
        <v>11</v>
      </c>
      <c r="F169" s="1" t="s">
        <v>1262</v>
      </c>
      <c r="G169" s="1" t="s">
        <v>1263</v>
      </c>
      <c r="J169" s="23">
        <v>58.9</v>
      </c>
      <c r="K169" s="11">
        <v>3.9</v>
      </c>
      <c r="M169" s="12">
        <f t="shared" ref="M169:M200" si="6">LOG(K169)+$L$401</f>
        <v>0.59106460702649921</v>
      </c>
      <c r="N169" s="11">
        <f>GraphEcoli!B$10-('E coli'!J169-GraphEcoli!$B$6)/GraphEcoli!$B$5</f>
        <v>0.37026655437326617</v>
      </c>
      <c r="O169" s="1" t="s">
        <v>890</v>
      </c>
      <c r="P169">
        <v>1998</v>
      </c>
      <c r="Q169" t="s">
        <v>1122</v>
      </c>
      <c r="V169" s="10">
        <f>GraphEcoli!$B$40*'E coli'!J169+GraphEcoli!$B$41</f>
        <v>0.37026655437326639</v>
      </c>
      <c r="W169" s="10">
        <f>GraphEcoli!$E$40*'E coli'!J169+GraphEcoli!$E$41</f>
        <v>0.37516805553401067</v>
      </c>
      <c r="X169" s="10"/>
    </row>
    <row r="170" spans="1:24" hidden="1" x14ac:dyDescent="0.2">
      <c r="A170" s="1" t="s">
        <v>1329</v>
      </c>
      <c r="B170" s="1" t="s">
        <v>1330</v>
      </c>
      <c r="C170" t="s">
        <v>1341</v>
      </c>
      <c r="D170" t="s">
        <v>1120</v>
      </c>
      <c r="E170" t="s">
        <v>11</v>
      </c>
      <c r="F170" s="1" t="s">
        <v>1262</v>
      </c>
      <c r="G170" s="1" t="s">
        <v>1263</v>
      </c>
      <c r="J170" s="23">
        <v>62.8</v>
      </c>
      <c r="K170" s="11">
        <v>0.56000000000000005</v>
      </c>
      <c r="M170" s="12">
        <f t="shared" si="6"/>
        <v>-0.25181197299379954</v>
      </c>
      <c r="N170" s="11">
        <f>GraphEcoli!B$10-('E coli'!J170-GraphEcoli!$B$6)/GraphEcoli!$B$5</f>
        <v>3.486753751821281E-3</v>
      </c>
      <c r="O170" s="1" t="s">
        <v>890</v>
      </c>
      <c r="P170">
        <v>1998</v>
      </c>
      <c r="Q170" t="s">
        <v>1122</v>
      </c>
      <c r="V170" s="10">
        <f>GraphEcoli!$B$40*'E coli'!J170+GraphEcoli!$B$41</f>
        <v>3.486753751821503E-3</v>
      </c>
      <c r="W170" s="10">
        <f>GraphEcoli!$E$40*'E coli'!J170+GraphEcoli!$E$41</f>
        <v>3.3762798067622057E-2</v>
      </c>
      <c r="X170" s="10"/>
    </row>
    <row r="171" spans="1:24" hidden="1" x14ac:dyDescent="0.2">
      <c r="A171" s="1" t="s">
        <v>1329</v>
      </c>
      <c r="B171" s="1" t="s">
        <v>1330</v>
      </c>
      <c r="C171" t="s">
        <v>1341</v>
      </c>
      <c r="D171" t="s">
        <v>1120</v>
      </c>
      <c r="E171" t="s">
        <v>11</v>
      </c>
      <c r="F171" s="1" t="s">
        <v>1262</v>
      </c>
      <c r="G171" s="1" t="s">
        <v>1263</v>
      </c>
      <c r="J171" s="23">
        <v>65.599999999999994</v>
      </c>
      <c r="K171" s="11">
        <v>0.2</v>
      </c>
      <c r="M171" s="12">
        <f t="shared" si="6"/>
        <v>-0.69897000433601875</v>
      </c>
      <c r="N171" s="11">
        <f>GraphEcoli!B$10-('E coli'!J171-GraphEcoli!$B$6)/GraphEcoli!$B$5</f>
        <v>-0.25984233387383127</v>
      </c>
      <c r="O171" s="1" t="s">
        <v>890</v>
      </c>
      <c r="P171">
        <v>1998</v>
      </c>
      <c r="Q171" t="s">
        <v>1122</v>
      </c>
      <c r="V171" s="10">
        <f>GraphEcoli!$B$40*'E coli'!J171+GraphEcoli!$B$41</f>
        <v>-0.25984233387383071</v>
      </c>
      <c r="W171" s="10">
        <f>GraphEcoli!$E$40*'E coli'!J171+GraphEcoli!$E$41</f>
        <v>-0.21134866883132286</v>
      </c>
      <c r="X171" s="10"/>
    </row>
    <row r="172" spans="1:24" hidden="1" x14ac:dyDescent="0.2">
      <c r="A172" s="1" t="s">
        <v>1329</v>
      </c>
      <c r="B172" s="1" t="s">
        <v>1330</v>
      </c>
      <c r="C172" t="s">
        <v>1341</v>
      </c>
      <c r="D172" t="s">
        <v>1111</v>
      </c>
      <c r="E172" t="s">
        <v>11</v>
      </c>
      <c r="F172" s="1" t="s">
        <v>1262</v>
      </c>
      <c r="G172" s="1" t="s">
        <v>1263</v>
      </c>
      <c r="J172" s="23">
        <v>54.4</v>
      </c>
      <c r="K172" s="11">
        <v>139.19999999999999</v>
      </c>
      <c r="M172" s="12">
        <f t="shared" si="6"/>
        <v>2.1436392352745433</v>
      </c>
      <c r="N172" s="11">
        <f>GraphEcoli!B$10-('E coli'!J172-GraphEcoli!$B$6)/GraphEcoli!$B$5</f>
        <v>0.7934740166287797</v>
      </c>
      <c r="O172" s="1" t="s">
        <v>890</v>
      </c>
      <c r="P172">
        <v>1998</v>
      </c>
      <c r="Q172" t="s">
        <v>1123</v>
      </c>
      <c r="V172" s="10">
        <f>GraphEcoli!$B$40*'E coli'!J172+GraphEcoli!$B$41</f>
        <v>0.79347401662877992</v>
      </c>
      <c r="W172" s="10">
        <f>GraphEcoli!$E$40*'E coli'!J172+GraphEcoli!$E$41</f>
        <v>0.76909719876445948</v>
      </c>
      <c r="X172" s="10"/>
    </row>
    <row r="173" spans="1:24" hidden="1" x14ac:dyDescent="0.2">
      <c r="A173" s="1" t="s">
        <v>1329</v>
      </c>
      <c r="B173" s="1" t="s">
        <v>1330</v>
      </c>
      <c r="C173" t="s">
        <v>1341</v>
      </c>
      <c r="D173" t="s">
        <v>1111</v>
      </c>
      <c r="E173" t="s">
        <v>11</v>
      </c>
      <c r="F173" s="1" t="s">
        <v>1262</v>
      </c>
      <c r="G173" s="1" t="s">
        <v>1263</v>
      </c>
      <c r="J173" s="23">
        <v>58.9</v>
      </c>
      <c r="K173" s="11">
        <v>15</v>
      </c>
      <c r="M173" s="12">
        <f t="shared" si="6"/>
        <v>1.1760912590556813</v>
      </c>
      <c r="N173" s="11">
        <f>GraphEcoli!B$10-('E coli'!J173-GraphEcoli!$B$6)/GraphEcoli!$B$5</f>
        <v>0.37026655437326617</v>
      </c>
      <c r="O173" s="1" t="s">
        <v>890</v>
      </c>
      <c r="P173">
        <v>1998</v>
      </c>
      <c r="Q173" t="s">
        <v>1123</v>
      </c>
      <c r="V173" s="10">
        <f>GraphEcoli!$B$40*'E coli'!J173+GraphEcoli!$B$41</f>
        <v>0.37026655437326639</v>
      </c>
      <c r="W173" s="10">
        <f>GraphEcoli!$E$40*'E coli'!J173+GraphEcoli!$E$41</f>
        <v>0.37516805553401067</v>
      </c>
      <c r="X173" s="10"/>
    </row>
    <row r="174" spans="1:24" hidden="1" x14ac:dyDescent="0.2">
      <c r="A174" s="1" t="s">
        <v>1329</v>
      </c>
      <c r="B174" s="1" t="s">
        <v>1330</v>
      </c>
      <c r="C174" t="s">
        <v>1341</v>
      </c>
      <c r="D174" t="s">
        <v>1111</v>
      </c>
      <c r="E174" t="s">
        <v>11</v>
      </c>
      <c r="F174" s="1" t="s">
        <v>1262</v>
      </c>
      <c r="G174" s="1" t="s">
        <v>1263</v>
      </c>
      <c r="J174" s="23">
        <v>62.8</v>
      </c>
      <c r="K174" s="11">
        <v>0.56000000000000005</v>
      </c>
      <c r="M174" s="12">
        <f t="shared" si="6"/>
        <v>-0.25181197299379954</v>
      </c>
      <c r="N174" s="11">
        <f>GraphEcoli!B$10-('E coli'!J174-GraphEcoli!$B$6)/GraphEcoli!$B$5</f>
        <v>3.486753751821281E-3</v>
      </c>
      <c r="O174" s="1" t="s">
        <v>890</v>
      </c>
      <c r="P174">
        <v>1998</v>
      </c>
      <c r="Q174" t="s">
        <v>1123</v>
      </c>
      <c r="V174" s="10">
        <f>GraphEcoli!$B$40*'E coli'!J174+GraphEcoli!$B$41</f>
        <v>3.486753751821503E-3</v>
      </c>
      <c r="W174" s="10">
        <f>GraphEcoli!$E$40*'E coli'!J174+GraphEcoli!$E$41</f>
        <v>3.3762798067622057E-2</v>
      </c>
      <c r="X174" s="10"/>
    </row>
    <row r="175" spans="1:24" hidden="1" x14ac:dyDescent="0.2">
      <c r="A175" s="1" t="s">
        <v>1329</v>
      </c>
      <c r="B175" s="1" t="s">
        <v>1330</v>
      </c>
      <c r="C175" t="s">
        <v>1341</v>
      </c>
      <c r="D175" t="s">
        <v>1111</v>
      </c>
      <c r="E175" t="s">
        <v>11</v>
      </c>
      <c r="F175" s="1" t="s">
        <v>1262</v>
      </c>
      <c r="G175" s="1" t="s">
        <v>1263</v>
      </c>
      <c r="J175" s="23">
        <v>65.599999999999994</v>
      </c>
      <c r="K175" s="11">
        <v>0.3</v>
      </c>
      <c r="M175" s="12">
        <f t="shared" si="6"/>
        <v>-0.52287874528033762</v>
      </c>
      <c r="N175" s="11">
        <f>GraphEcoli!B$10-('E coli'!J175-GraphEcoli!$B$6)/GraphEcoli!$B$5</f>
        <v>-0.25984233387383127</v>
      </c>
      <c r="O175" s="1" t="s">
        <v>890</v>
      </c>
      <c r="P175">
        <v>1998</v>
      </c>
      <c r="Q175" t="s">
        <v>1123</v>
      </c>
      <c r="V175" s="10">
        <f>GraphEcoli!$B$40*'E coli'!J175+GraphEcoli!$B$41</f>
        <v>-0.25984233387383071</v>
      </c>
      <c r="W175" s="10">
        <f>GraphEcoli!$E$40*'E coli'!J175+GraphEcoli!$E$41</f>
        <v>-0.21134866883132286</v>
      </c>
      <c r="X175" s="10"/>
    </row>
    <row r="176" spans="1:24" hidden="1" x14ac:dyDescent="0.2">
      <c r="A176" s="1" t="s">
        <v>1329</v>
      </c>
      <c r="B176" s="1" t="s">
        <v>1330</v>
      </c>
      <c r="C176" t="s">
        <v>1341</v>
      </c>
      <c r="D176" t="s">
        <v>1112</v>
      </c>
      <c r="E176" t="s">
        <v>11</v>
      </c>
      <c r="F176" s="1" t="s">
        <v>1262</v>
      </c>
      <c r="G176" s="1" t="s">
        <v>1263</v>
      </c>
      <c r="J176" s="23">
        <v>54.4</v>
      </c>
      <c r="K176" s="11">
        <v>115.1</v>
      </c>
      <c r="M176" s="12">
        <f t="shared" si="6"/>
        <v>2.0610753236297916</v>
      </c>
      <c r="N176" s="11">
        <f>GraphEcoli!B$10-('E coli'!J176-GraphEcoli!$B$6)/GraphEcoli!$B$5</f>
        <v>0.7934740166287797</v>
      </c>
      <c r="O176" s="1" t="s">
        <v>890</v>
      </c>
      <c r="P176">
        <v>1998</v>
      </c>
      <c r="Q176" t="s">
        <v>1123</v>
      </c>
      <c r="V176" s="10">
        <f>GraphEcoli!$B$40*'E coli'!J176+GraphEcoli!$B$41</f>
        <v>0.79347401662877992</v>
      </c>
      <c r="W176" s="10">
        <f>GraphEcoli!$E$40*'E coli'!J176+GraphEcoli!$E$41</f>
        <v>0.76909719876445948</v>
      </c>
      <c r="X176" s="10"/>
    </row>
    <row r="177" spans="1:24" hidden="1" x14ac:dyDescent="0.2">
      <c r="A177" s="1" t="s">
        <v>1329</v>
      </c>
      <c r="B177" s="1" t="s">
        <v>1330</v>
      </c>
      <c r="C177" t="s">
        <v>1341</v>
      </c>
      <c r="D177" t="s">
        <v>1112</v>
      </c>
      <c r="E177" t="s">
        <v>11</v>
      </c>
      <c r="F177" s="1" t="s">
        <v>1262</v>
      </c>
      <c r="G177" s="1" t="s">
        <v>1263</v>
      </c>
      <c r="J177" s="23">
        <v>58.9</v>
      </c>
      <c r="K177" s="11">
        <v>4.7</v>
      </c>
      <c r="M177" s="12">
        <f t="shared" si="6"/>
        <v>0.67209785793571752</v>
      </c>
      <c r="N177" s="11">
        <f>GraphEcoli!B$10-('E coli'!J177-GraphEcoli!$B$6)/GraphEcoli!$B$5</f>
        <v>0.37026655437326617</v>
      </c>
      <c r="O177" s="1" t="s">
        <v>890</v>
      </c>
      <c r="P177">
        <v>1998</v>
      </c>
      <c r="Q177" t="s">
        <v>1123</v>
      </c>
      <c r="V177" s="10">
        <f>GraphEcoli!$B$40*'E coli'!J177+GraphEcoli!$B$41</f>
        <v>0.37026655437326639</v>
      </c>
      <c r="W177" s="10">
        <f>GraphEcoli!$E$40*'E coli'!J177+GraphEcoli!$E$41</f>
        <v>0.37516805553401067</v>
      </c>
      <c r="X177" s="10"/>
    </row>
    <row r="178" spans="1:24" hidden="1" x14ac:dyDescent="0.2">
      <c r="A178" s="1" t="s">
        <v>1329</v>
      </c>
      <c r="B178" s="1" t="s">
        <v>1330</v>
      </c>
      <c r="C178" t="s">
        <v>1341</v>
      </c>
      <c r="D178" t="s">
        <v>1112</v>
      </c>
      <c r="E178" t="s">
        <v>11</v>
      </c>
      <c r="F178" s="1" t="s">
        <v>1262</v>
      </c>
      <c r="G178" s="1" t="s">
        <v>1263</v>
      </c>
      <c r="J178" s="23">
        <v>62.8</v>
      </c>
      <c r="K178" s="11">
        <v>0.7</v>
      </c>
      <c r="M178" s="12">
        <f t="shared" si="6"/>
        <v>-0.15490195998574319</v>
      </c>
      <c r="N178" s="11">
        <f>GraphEcoli!B$10-('E coli'!J178-GraphEcoli!$B$6)/GraphEcoli!$B$5</f>
        <v>3.486753751821281E-3</v>
      </c>
      <c r="O178" s="1" t="s">
        <v>890</v>
      </c>
      <c r="P178">
        <v>1998</v>
      </c>
      <c r="Q178" t="s">
        <v>1123</v>
      </c>
      <c r="V178" s="10">
        <f>GraphEcoli!$B$40*'E coli'!J178+GraphEcoli!$B$41</f>
        <v>3.486753751821503E-3</v>
      </c>
      <c r="W178" s="10">
        <f>GraphEcoli!$E$40*'E coli'!J178+GraphEcoli!$E$41</f>
        <v>3.3762798067622057E-2</v>
      </c>
      <c r="X178" s="10"/>
    </row>
    <row r="179" spans="1:24" hidden="1" x14ac:dyDescent="0.2">
      <c r="A179" s="1" t="s">
        <v>1329</v>
      </c>
      <c r="B179" s="1" t="s">
        <v>1330</v>
      </c>
      <c r="C179" t="s">
        <v>1341</v>
      </c>
      <c r="D179" t="s">
        <v>1112</v>
      </c>
      <c r="E179" t="s">
        <v>11</v>
      </c>
      <c r="F179" s="1" t="s">
        <v>1262</v>
      </c>
      <c r="G179" s="1" t="s">
        <v>1263</v>
      </c>
      <c r="J179" s="23">
        <v>65.599999999999994</v>
      </c>
      <c r="K179" s="11">
        <v>0.3</v>
      </c>
      <c r="M179" s="12">
        <f t="shared" si="6"/>
        <v>-0.52287874528033762</v>
      </c>
      <c r="N179" s="11">
        <f>GraphEcoli!B$10-('E coli'!J179-GraphEcoli!$B$6)/GraphEcoli!$B$5</f>
        <v>-0.25984233387383127</v>
      </c>
      <c r="O179" s="1" t="s">
        <v>890</v>
      </c>
      <c r="P179">
        <v>1998</v>
      </c>
      <c r="Q179" t="s">
        <v>1123</v>
      </c>
      <c r="V179" s="10">
        <f>GraphEcoli!$B$40*'E coli'!J179+GraphEcoli!$B$41</f>
        <v>-0.25984233387383071</v>
      </c>
      <c r="W179" s="10">
        <f>GraphEcoli!$E$40*'E coli'!J179+GraphEcoli!$E$41</f>
        <v>-0.21134866883132286</v>
      </c>
      <c r="X179" s="10"/>
    </row>
    <row r="180" spans="1:24" hidden="1" x14ac:dyDescent="0.2">
      <c r="A180" s="1" t="s">
        <v>1329</v>
      </c>
      <c r="B180" s="1" t="s">
        <v>1330</v>
      </c>
      <c r="C180" t="s">
        <v>1341</v>
      </c>
      <c r="D180" t="s">
        <v>1113</v>
      </c>
      <c r="E180" t="s">
        <v>11</v>
      </c>
      <c r="F180" s="1" t="s">
        <v>1262</v>
      </c>
      <c r="G180" s="1" t="s">
        <v>1263</v>
      </c>
      <c r="J180" s="23">
        <v>54.4</v>
      </c>
      <c r="K180" s="11">
        <v>104</v>
      </c>
      <c r="M180" s="12">
        <f t="shared" si="6"/>
        <v>2.0170333392987803</v>
      </c>
      <c r="N180" s="11">
        <f>GraphEcoli!B$10-('E coli'!J180-GraphEcoli!$B$6)/GraphEcoli!$B$5</f>
        <v>0.7934740166287797</v>
      </c>
      <c r="O180" s="1" t="s">
        <v>890</v>
      </c>
      <c r="P180">
        <v>1998</v>
      </c>
      <c r="Q180" t="s">
        <v>1123</v>
      </c>
      <c r="V180" s="10">
        <f>GraphEcoli!$B$40*'E coli'!J180+GraphEcoli!$B$41</f>
        <v>0.79347401662877992</v>
      </c>
      <c r="W180" s="10">
        <f>GraphEcoli!$E$40*'E coli'!J180+GraphEcoli!$E$41</f>
        <v>0.76909719876445948</v>
      </c>
      <c r="X180" s="10"/>
    </row>
    <row r="181" spans="1:24" hidden="1" x14ac:dyDescent="0.2">
      <c r="A181" s="1" t="s">
        <v>1329</v>
      </c>
      <c r="B181" s="1" t="s">
        <v>1330</v>
      </c>
      <c r="C181" t="s">
        <v>1341</v>
      </c>
      <c r="D181" t="s">
        <v>1113</v>
      </c>
      <c r="E181" t="s">
        <v>11</v>
      </c>
      <c r="F181" s="1" t="s">
        <v>1262</v>
      </c>
      <c r="G181" s="1" t="s">
        <v>1263</v>
      </c>
      <c r="J181" s="23">
        <v>58.9</v>
      </c>
      <c r="K181" s="11">
        <v>5.6</v>
      </c>
      <c r="M181" s="12">
        <f t="shared" si="6"/>
        <v>0.74818802700620035</v>
      </c>
      <c r="N181" s="11">
        <f>GraphEcoli!B$10-('E coli'!J181-GraphEcoli!$B$6)/GraphEcoli!$B$5</f>
        <v>0.37026655437326617</v>
      </c>
      <c r="O181" s="1" t="s">
        <v>890</v>
      </c>
      <c r="P181">
        <v>1998</v>
      </c>
      <c r="Q181" t="s">
        <v>1123</v>
      </c>
      <c r="V181" s="10">
        <f>GraphEcoli!$B$40*'E coli'!J181+GraphEcoli!$B$41</f>
        <v>0.37026655437326639</v>
      </c>
      <c r="W181" s="10">
        <f>GraphEcoli!$E$40*'E coli'!J181+GraphEcoli!$E$41</f>
        <v>0.37516805553401067</v>
      </c>
      <c r="X181" s="10"/>
    </row>
    <row r="182" spans="1:24" hidden="1" x14ac:dyDescent="0.2">
      <c r="A182" s="1" t="s">
        <v>1329</v>
      </c>
      <c r="B182" s="1" t="s">
        <v>1330</v>
      </c>
      <c r="C182" t="s">
        <v>1341</v>
      </c>
      <c r="D182" t="s">
        <v>1113</v>
      </c>
      <c r="E182" t="s">
        <v>11</v>
      </c>
      <c r="F182" s="1" t="s">
        <v>1262</v>
      </c>
      <c r="G182" s="1" t="s">
        <v>1263</v>
      </c>
      <c r="J182" s="23">
        <v>62.8</v>
      </c>
      <c r="K182" s="11">
        <v>0.63</v>
      </c>
      <c r="M182" s="12">
        <f t="shared" si="6"/>
        <v>-0.20065945054641829</v>
      </c>
      <c r="N182" s="11">
        <f>GraphEcoli!B$10-('E coli'!J182-GraphEcoli!$B$6)/GraphEcoli!$B$5</f>
        <v>3.486753751821281E-3</v>
      </c>
      <c r="O182" s="1" t="s">
        <v>890</v>
      </c>
      <c r="P182">
        <v>1998</v>
      </c>
      <c r="Q182" t="s">
        <v>1123</v>
      </c>
      <c r="V182" s="10">
        <f>GraphEcoli!$B$40*'E coli'!J182+GraphEcoli!$B$41</f>
        <v>3.486753751821503E-3</v>
      </c>
      <c r="W182" s="10">
        <f>GraphEcoli!$E$40*'E coli'!J182+GraphEcoli!$E$41</f>
        <v>3.3762798067622057E-2</v>
      </c>
      <c r="X182" s="10"/>
    </row>
    <row r="183" spans="1:24" hidden="1" x14ac:dyDescent="0.2">
      <c r="A183" s="1" t="s">
        <v>1329</v>
      </c>
      <c r="B183" s="1" t="s">
        <v>1330</v>
      </c>
      <c r="C183" t="s">
        <v>1341</v>
      </c>
      <c r="D183" t="s">
        <v>1113</v>
      </c>
      <c r="E183" t="s">
        <v>11</v>
      </c>
      <c r="F183" s="1" t="s">
        <v>1262</v>
      </c>
      <c r="G183" s="1" t="s">
        <v>1263</v>
      </c>
      <c r="J183" s="23">
        <v>65.599999999999994</v>
      </c>
      <c r="K183" s="11">
        <v>0.21</v>
      </c>
      <c r="M183" s="12">
        <f t="shared" si="6"/>
        <v>-0.6777807052660807</v>
      </c>
      <c r="N183" s="11">
        <f>GraphEcoli!B$10-('E coli'!J183-GraphEcoli!$B$6)/GraphEcoli!$B$5</f>
        <v>-0.25984233387383127</v>
      </c>
      <c r="O183" s="1" t="s">
        <v>890</v>
      </c>
      <c r="P183">
        <v>1998</v>
      </c>
      <c r="Q183" t="s">
        <v>1123</v>
      </c>
      <c r="V183" s="10">
        <f>GraphEcoli!$B$40*'E coli'!J183+GraphEcoli!$B$41</f>
        <v>-0.25984233387383071</v>
      </c>
      <c r="W183" s="10">
        <f>GraphEcoli!$E$40*'E coli'!J183+GraphEcoli!$E$41</f>
        <v>-0.21134866883132286</v>
      </c>
      <c r="X183" s="10"/>
    </row>
    <row r="184" spans="1:24" hidden="1" x14ac:dyDescent="0.2">
      <c r="A184" s="1" t="s">
        <v>1329</v>
      </c>
      <c r="B184" s="1" t="s">
        <v>1330</v>
      </c>
      <c r="C184" t="s">
        <v>1341</v>
      </c>
      <c r="D184" t="s">
        <v>1114</v>
      </c>
      <c r="E184" t="s">
        <v>11</v>
      </c>
      <c r="F184" s="1" t="s">
        <v>1262</v>
      </c>
      <c r="G184" s="1" t="s">
        <v>1263</v>
      </c>
      <c r="J184" s="23">
        <v>54.4</v>
      </c>
      <c r="K184" s="11">
        <v>103.9</v>
      </c>
      <c r="M184" s="12">
        <f t="shared" si="6"/>
        <v>2.0166155475571776</v>
      </c>
      <c r="N184" s="11">
        <f>GraphEcoli!B$10-('E coli'!J184-GraphEcoli!$B$6)/GraphEcoli!$B$5</f>
        <v>0.7934740166287797</v>
      </c>
      <c r="O184" s="1" t="s">
        <v>890</v>
      </c>
      <c r="P184">
        <v>1998</v>
      </c>
      <c r="Q184" t="s">
        <v>1123</v>
      </c>
      <c r="V184" s="10">
        <f>GraphEcoli!$B$40*'E coli'!J184+GraphEcoli!$B$41</f>
        <v>0.79347401662877992</v>
      </c>
      <c r="W184" s="10">
        <f>GraphEcoli!$E$40*'E coli'!J184+GraphEcoli!$E$41</f>
        <v>0.76909719876445948</v>
      </c>
      <c r="X184" s="10"/>
    </row>
    <row r="185" spans="1:24" hidden="1" x14ac:dyDescent="0.2">
      <c r="A185" s="1" t="s">
        <v>1329</v>
      </c>
      <c r="B185" s="1" t="s">
        <v>1330</v>
      </c>
      <c r="C185" t="s">
        <v>1341</v>
      </c>
      <c r="D185" t="s">
        <v>1114</v>
      </c>
      <c r="E185" t="s">
        <v>11</v>
      </c>
      <c r="F185" s="1" t="s">
        <v>1262</v>
      </c>
      <c r="G185" s="1" t="s">
        <v>1263</v>
      </c>
      <c r="J185" s="23">
        <v>58.9</v>
      </c>
      <c r="K185" s="11">
        <v>10</v>
      </c>
      <c r="M185" s="12">
        <f t="shared" si="6"/>
        <v>1</v>
      </c>
      <c r="N185" s="11">
        <f>GraphEcoli!B$10-('E coli'!J185-GraphEcoli!$B$6)/GraphEcoli!$B$5</f>
        <v>0.37026655437326617</v>
      </c>
      <c r="O185" s="1" t="s">
        <v>890</v>
      </c>
      <c r="P185">
        <v>1998</v>
      </c>
      <c r="Q185" t="s">
        <v>1123</v>
      </c>
      <c r="V185" s="10">
        <f>GraphEcoli!$B$40*'E coli'!J185+GraphEcoli!$B$41</f>
        <v>0.37026655437326639</v>
      </c>
      <c r="W185" s="10">
        <f>GraphEcoli!$E$40*'E coli'!J185+GraphEcoli!$E$41</f>
        <v>0.37516805553401067</v>
      </c>
      <c r="X185" s="10"/>
    </row>
    <row r="186" spans="1:24" hidden="1" x14ac:dyDescent="0.2">
      <c r="A186" s="1" t="s">
        <v>1329</v>
      </c>
      <c r="B186" s="1" t="s">
        <v>1330</v>
      </c>
      <c r="C186" t="s">
        <v>1341</v>
      </c>
      <c r="D186" t="s">
        <v>1114</v>
      </c>
      <c r="E186" t="s">
        <v>11</v>
      </c>
      <c r="F186" s="1" t="s">
        <v>1262</v>
      </c>
      <c r="G186" s="1" t="s">
        <v>1263</v>
      </c>
      <c r="J186" s="23">
        <v>62.8</v>
      </c>
      <c r="K186" s="11">
        <v>0.81</v>
      </c>
      <c r="M186" s="12">
        <f t="shared" si="6"/>
        <v>-9.1514981121350217E-2</v>
      </c>
      <c r="N186" s="11">
        <f>GraphEcoli!B$10-('E coli'!J186-GraphEcoli!$B$6)/GraphEcoli!$B$5</f>
        <v>3.486753751821281E-3</v>
      </c>
      <c r="O186" s="1" t="s">
        <v>890</v>
      </c>
      <c r="P186">
        <v>1998</v>
      </c>
      <c r="Q186" t="s">
        <v>1123</v>
      </c>
      <c r="V186" s="10">
        <f>GraphEcoli!$B$40*'E coli'!J186+GraphEcoli!$B$41</f>
        <v>3.486753751821503E-3</v>
      </c>
      <c r="W186" s="10">
        <f>GraphEcoli!$E$40*'E coli'!J186+GraphEcoli!$E$41</f>
        <v>3.3762798067622057E-2</v>
      </c>
      <c r="X186" s="10"/>
    </row>
    <row r="187" spans="1:24" hidden="1" x14ac:dyDescent="0.2">
      <c r="A187" s="1" t="s">
        <v>1329</v>
      </c>
      <c r="B187" s="1" t="s">
        <v>1330</v>
      </c>
      <c r="C187" t="s">
        <v>1341</v>
      </c>
      <c r="D187" t="s">
        <v>1114</v>
      </c>
      <c r="E187" t="s">
        <v>11</v>
      </c>
      <c r="F187" s="1" t="s">
        <v>1262</v>
      </c>
      <c r="G187" s="1" t="s">
        <v>1263</v>
      </c>
      <c r="J187" s="23">
        <v>65.599999999999994</v>
      </c>
      <c r="K187" s="11">
        <v>0.21</v>
      </c>
      <c r="M187" s="12">
        <f t="shared" si="6"/>
        <v>-0.6777807052660807</v>
      </c>
      <c r="N187" s="11">
        <f>GraphEcoli!B$10-('E coli'!J187-GraphEcoli!$B$6)/GraphEcoli!$B$5</f>
        <v>-0.25984233387383127</v>
      </c>
      <c r="O187" s="1" t="s">
        <v>890</v>
      </c>
      <c r="P187">
        <v>1998</v>
      </c>
      <c r="Q187" t="s">
        <v>1123</v>
      </c>
      <c r="V187" s="10">
        <f>GraphEcoli!$B$40*'E coli'!J187+GraphEcoli!$B$41</f>
        <v>-0.25984233387383071</v>
      </c>
      <c r="W187" s="10">
        <f>GraphEcoli!$E$40*'E coli'!J187+GraphEcoli!$E$41</f>
        <v>-0.21134866883132286</v>
      </c>
      <c r="X187" s="10"/>
    </row>
    <row r="188" spans="1:24" hidden="1" x14ac:dyDescent="0.2">
      <c r="A188" s="1" t="s">
        <v>1329</v>
      </c>
      <c r="B188" s="1" t="s">
        <v>1330</v>
      </c>
      <c r="C188" t="s">
        <v>1341</v>
      </c>
      <c r="D188" t="s">
        <v>1115</v>
      </c>
      <c r="E188" t="s">
        <v>11</v>
      </c>
      <c r="F188" s="1" t="s">
        <v>1262</v>
      </c>
      <c r="G188" s="1" t="s">
        <v>1263</v>
      </c>
      <c r="J188" s="23">
        <v>54.4</v>
      </c>
      <c r="K188" s="11">
        <v>135</v>
      </c>
      <c r="M188" s="12">
        <f t="shared" si="6"/>
        <v>2.1303337684950061</v>
      </c>
      <c r="N188" s="11">
        <f>GraphEcoli!B$10-('E coli'!J188-GraphEcoli!$B$6)/GraphEcoli!$B$5</f>
        <v>0.7934740166287797</v>
      </c>
      <c r="O188" s="1" t="s">
        <v>890</v>
      </c>
      <c r="P188">
        <v>1998</v>
      </c>
      <c r="Q188" t="s">
        <v>1123</v>
      </c>
      <c r="V188" s="10">
        <f>GraphEcoli!$B$40*'E coli'!J188+GraphEcoli!$B$41</f>
        <v>0.79347401662877992</v>
      </c>
      <c r="W188" s="10">
        <f>GraphEcoli!$E$40*'E coli'!J188+GraphEcoli!$E$41</f>
        <v>0.76909719876445948</v>
      </c>
      <c r="X188" s="10"/>
    </row>
    <row r="189" spans="1:24" hidden="1" x14ac:dyDescent="0.2">
      <c r="A189" s="1" t="s">
        <v>1329</v>
      </c>
      <c r="B189" s="1" t="s">
        <v>1330</v>
      </c>
      <c r="C189" t="s">
        <v>1341</v>
      </c>
      <c r="D189" t="s">
        <v>1115</v>
      </c>
      <c r="E189" t="s">
        <v>11</v>
      </c>
      <c r="F189" s="1" t="s">
        <v>1262</v>
      </c>
      <c r="G189" s="1" t="s">
        <v>1263</v>
      </c>
      <c r="J189" s="23">
        <v>58.9</v>
      </c>
      <c r="K189" s="11">
        <v>5.3</v>
      </c>
      <c r="M189" s="12">
        <f t="shared" si="6"/>
        <v>0.72427586960078905</v>
      </c>
      <c r="N189" s="11">
        <f>GraphEcoli!B$10-('E coli'!J189-GraphEcoli!$B$6)/GraphEcoli!$B$5</f>
        <v>0.37026655437326617</v>
      </c>
      <c r="O189" s="1" t="s">
        <v>890</v>
      </c>
      <c r="P189">
        <v>1998</v>
      </c>
      <c r="Q189" t="s">
        <v>1123</v>
      </c>
      <c r="V189" s="10">
        <f>GraphEcoli!$B$40*'E coli'!J189+GraphEcoli!$B$41</f>
        <v>0.37026655437326639</v>
      </c>
      <c r="W189" s="10">
        <f>GraphEcoli!$E$40*'E coli'!J189+GraphEcoli!$E$41</f>
        <v>0.37516805553401067</v>
      </c>
      <c r="X189" s="10"/>
    </row>
    <row r="190" spans="1:24" hidden="1" x14ac:dyDescent="0.2">
      <c r="A190" s="1" t="s">
        <v>1329</v>
      </c>
      <c r="B190" s="1" t="s">
        <v>1330</v>
      </c>
      <c r="C190" t="s">
        <v>1341</v>
      </c>
      <c r="D190" t="s">
        <v>1115</v>
      </c>
      <c r="E190" t="s">
        <v>11</v>
      </c>
      <c r="F190" s="1" t="s">
        <v>1262</v>
      </c>
      <c r="G190" s="1" t="s">
        <v>1263</v>
      </c>
      <c r="J190" s="23">
        <v>62.8</v>
      </c>
      <c r="K190" s="11">
        <v>0.57999999999999996</v>
      </c>
      <c r="M190" s="12">
        <f t="shared" si="6"/>
        <v>-0.23657200643706275</v>
      </c>
      <c r="N190" s="11">
        <f>GraphEcoli!B$10-('E coli'!J190-GraphEcoli!$B$6)/GraphEcoli!$B$5</f>
        <v>3.486753751821281E-3</v>
      </c>
      <c r="O190" s="1" t="s">
        <v>890</v>
      </c>
      <c r="P190">
        <v>1998</v>
      </c>
      <c r="Q190" t="s">
        <v>1123</v>
      </c>
      <c r="V190" s="10">
        <f>GraphEcoli!$B$40*'E coli'!J190+GraphEcoli!$B$41</f>
        <v>3.486753751821503E-3</v>
      </c>
      <c r="W190" s="10">
        <f>GraphEcoli!$E$40*'E coli'!J190+GraphEcoli!$E$41</f>
        <v>3.3762798067622057E-2</v>
      </c>
      <c r="X190" s="10"/>
    </row>
    <row r="191" spans="1:24" hidden="1" x14ac:dyDescent="0.2">
      <c r="A191" s="1" t="s">
        <v>1329</v>
      </c>
      <c r="B191" s="1" t="s">
        <v>1330</v>
      </c>
      <c r="C191" t="s">
        <v>1341</v>
      </c>
      <c r="D191" t="s">
        <v>1115</v>
      </c>
      <c r="E191" t="s">
        <v>11</v>
      </c>
      <c r="F191" s="1" t="s">
        <v>1262</v>
      </c>
      <c r="G191" s="1" t="s">
        <v>1263</v>
      </c>
      <c r="J191" s="23">
        <v>65.599999999999994</v>
      </c>
      <c r="K191" s="11">
        <v>0.18</v>
      </c>
      <c r="M191" s="12">
        <f t="shared" si="6"/>
        <v>-0.74472749489669399</v>
      </c>
      <c r="N191" s="11">
        <f>GraphEcoli!B$10-('E coli'!J191-GraphEcoli!$B$6)/GraphEcoli!$B$5</f>
        <v>-0.25984233387383127</v>
      </c>
      <c r="O191" s="1" t="s">
        <v>890</v>
      </c>
      <c r="P191">
        <v>1998</v>
      </c>
      <c r="Q191" t="s">
        <v>1123</v>
      </c>
      <c r="V191" s="10">
        <f>GraphEcoli!$B$40*'E coli'!J191+GraphEcoli!$B$41</f>
        <v>-0.25984233387383071</v>
      </c>
      <c r="W191" s="10">
        <f>GraphEcoli!$E$40*'E coli'!J191+GraphEcoli!$E$41</f>
        <v>-0.21134866883132286</v>
      </c>
      <c r="X191" s="10"/>
    </row>
    <row r="192" spans="1:24" hidden="1" x14ac:dyDescent="0.2">
      <c r="A192" s="1" t="s">
        <v>1329</v>
      </c>
      <c r="B192" s="1" t="s">
        <v>1330</v>
      </c>
      <c r="C192" t="s">
        <v>1341</v>
      </c>
      <c r="D192" t="s">
        <v>1116</v>
      </c>
      <c r="E192" t="s">
        <v>11</v>
      </c>
      <c r="F192" s="1" t="s">
        <v>1262</v>
      </c>
      <c r="G192" s="1" t="s">
        <v>1263</v>
      </c>
      <c r="J192" s="23">
        <v>54.4</v>
      </c>
      <c r="K192" s="11">
        <v>72.7</v>
      </c>
      <c r="M192" s="12">
        <f t="shared" si="6"/>
        <v>1.8615344108590379</v>
      </c>
      <c r="N192" s="11">
        <f>GraphEcoli!B$10-('E coli'!J192-GraphEcoli!$B$6)/GraphEcoli!$B$5</f>
        <v>0.7934740166287797</v>
      </c>
      <c r="O192" s="1" t="s">
        <v>890</v>
      </c>
      <c r="P192">
        <v>1998</v>
      </c>
      <c r="Q192" t="s">
        <v>1123</v>
      </c>
      <c r="V192" s="10">
        <f>GraphEcoli!$B$40*'E coli'!J192+GraphEcoli!$B$41</f>
        <v>0.79347401662877992</v>
      </c>
      <c r="W192" s="10">
        <f>GraphEcoli!$E$40*'E coli'!J192+GraphEcoli!$E$41</f>
        <v>0.76909719876445948</v>
      </c>
      <c r="X192" s="10"/>
    </row>
    <row r="193" spans="1:24" hidden="1" x14ac:dyDescent="0.2">
      <c r="A193" s="1" t="s">
        <v>1329</v>
      </c>
      <c r="B193" s="1" t="s">
        <v>1330</v>
      </c>
      <c r="C193" t="s">
        <v>1341</v>
      </c>
      <c r="D193" t="s">
        <v>1116</v>
      </c>
      <c r="E193" t="s">
        <v>11</v>
      </c>
      <c r="F193" s="1" t="s">
        <v>1262</v>
      </c>
      <c r="G193" s="1" t="s">
        <v>1263</v>
      </c>
      <c r="J193" s="23">
        <v>58.9</v>
      </c>
      <c r="K193" s="11">
        <v>4.7</v>
      </c>
      <c r="M193" s="12">
        <f t="shared" si="6"/>
        <v>0.67209785793571752</v>
      </c>
      <c r="N193" s="11">
        <f>GraphEcoli!B$10-('E coli'!J193-GraphEcoli!$B$6)/GraphEcoli!$B$5</f>
        <v>0.37026655437326617</v>
      </c>
      <c r="O193" s="1" t="s">
        <v>890</v>
      </c>
      <c r="P193">
        <v>1998</v>
      </c>
      <c r="Q193" t="s">
        <v>1123</v>
      </c>
      <c r="V193" s="10">
        <f>GraphEcoli!$B$40*'E coli'!J193+GraphEcoli!$B$41</f>
        <v>0.37026655437326639</v>
      </c>
      <c r="W193" s="10">
        <f>GraphEcoli!$E$40*'E coli'!J193+GraphEcoli!$E$41</f>
        <v>0.37516805553401067</v>
      </c>
      <c r="X193" s="10"/>
    </row>
    <row r="194" spans="1:24" hidden="1" x14ac:dyDescent="0.2">
      <c r="A194" s="1" t="s">
        <v>1329</v>
      </c>
      <c r="B194" s="1" t="s">
        <v>1330</v>
      </c>
      <c r="C194" t="s">
        <v>1341</v>
      </c>
      <c r="D194" t="s">
        <v>1116</v>
      </c>
      <c r="E194" t="s">
        <v>11</v>
      </c>
      <c r="F194" s="1" t="s">
        <v>1262</v>
      </c>
      <c r="G194" s="1" t="s">
        <v>1263</v>
      </c>
      <c r="J194" s="23">
        <v>62.8</v>
      </c>
      <c r="K194" s="11">
        <v>0.62</v>
      </c>
      <c r="M194" s="12">
        <f t="shared" si="6"/>
        <v>-0.20760831050174613</v>
      </c>
      <c r="N194" s="11">
        <f>GraphEcoli!B$10-('E coli'!J194-GraphEcoli!$B$6)/GraphEcoli!$B$5</f>
        <v>3.486753751821281E-3</v>
      </c>
      <c r="O194" s="1" t="s">
        <v>890</v>
      </c>
      <c r="P194">
        <v>1998</v>
      </c>
      <c r="Q194" t="s">
        <v>1123</v>
      </c>
      <c r="V194" s="10">
        <f>GraphEcoli!$B$40*'E coli'!J194+GraphEcoli!$B$41</f>
        <v>3.486753751821503E-3</v>
      </c>
      <c r="W194" s="10">
        <f>GraphEcoli!$E$40*'E coli'!J194+GraphEcoli!$E$41</f>
        <v>3.3762798067622057E-2</v>
      </c>
      <c r="X194" s="10"/>
    </row>
    <row r="195" spans="1:24" hidden="1" x14ac:dyDescent="0.2">
      <c r="A195" s="1" t="s">
        <v>1329</v>
      </c>
      <c r="B195" s="1" t="s">
        <v>1330</v>
      </c>
      <c r="C195" t="s">
        <v>1341</v>
      </c>
      <c r="D195" t="s">
        <v>1116</v>
      </c>
      <c r="E195" t="s">
        <v>11</v>
      </c>
      <c r="F195" s="1" t="s">
        <v>1262</v>
      </c>
      <c r="G195" s="1" t="s">
        <v>1263</v>
      </c>
      <c r="J195" s="23">
        <v>65.599999999999994</v>
      </c>
      <c r="K195" s="11">
        <v>0.19</v>
      </c>
      <c r="M195" s="12">
        <f t="shared" si="6"/>
        <v>-0.72124639904717103</v>
      </c>
      <c r="N195" s="11">
        <f>GraphEcoli!B$10-('E coli'!J195-GraphEcoli!$B$6)/GraphEcoli!$B$5</f>
        <v>-0.25984233387383127</v>
      </c>
      <c r="O195" s="1" t="s">
        <v>890</v>
      </c>
      <c r="P195">
        <v>1998</v>
      </c>
      <c r="Q195" t="s">
        <v>1123</v>
      </c>
      <c r="V195" s="10">
        <f>GraphEcoli!$B$40*'E coli'!J195+GraphEcoli!$B$41</f>
        <v>-0.25984233387383071</v>
      </c>
      <c r="W195" s="10">
        <f>GraphEcoli!$E$40*'E coli'!J195+GraphEcoli!$E$41</f>
        <v>-0.21134866883132286</v>
      </c>
      <c r="X195" s="10"/>
    </row>
    <row r="196" spans="1:24" hidden="1" x14ac:dyDescent="0.2">
      <c r="A196" s="1" t="s">
        <v>1329</v>
      </c>
      <c r="B196" s="1" t="s">
        <v>1330</v>
      </c>
      <c r="C196" t="s">
        <v>1341</v>
      </c>
      <c r="D196" t="s">
        <v>1117</v>
      </c>
      <c r="E196" t="s">
        <v>11</v>
      </c>
      <c r="F196" s="1" t="s">
        <v>1262</v>
      </c>
      <c r="G196" s="1" t="s">
        <v>1263</v>
      </c>
      <c r="J196" s="23">
        <v>54.4</v>
      </c>
      <c r="K196" s="11">
        <v>132</v>
      </c>
      <c r="M196" s="12">
        <f t="shared" si="6"/>
        <v>2.12057393120585</v>
      </c>
      <c r="N196" s="11">
        <f>GraphEcoli!B$10-('E coli'!J196-GraphEcoli!$B$6)/GraphEcoli!$B$5</f>
        <v>0.7934740166287797</v>
      </c>
      <c r="O196" s="1" t="s">
        <v>890</v>
      </c>
      <c r="P196">
        <v>1998</v>
      </c>
      <c r="Q196" t="s">
        <v>1123</v>
      </c>
      <c r="V196" s="10">
        <f>GraphEcoli!$B$40*'E coli'!J196+GraphEcoli!$B$41</f>
        <v>0.79347401662877992</v>
      </c>
      <c r="W196" s="10">
        <f>GraphEcoli!$E$40*'E coli'!J196+GraphEcoli!$E$41</f>
        <v>0.76909719876445948</v>
      </c>
      <c r="X196" s="10"/>
    </row>
    <row r="197" spans="1:24" hidden="1" x14ac:dyDescent="0.2">
      <c r="A197" s="1" t="s">
        <v>1329</v>
      </c>
      <c r="B197" s="1" t="s">
        <v>1330</v>
      </c>
      <c r="C197" t="s">
        <v>1341</v>
      </c>
      <c r="D197" t="s">
        <v>1117</v>
      </c>
      <c r="E197" t="s">
        <v>11</v>
      </c>
      <c r="F197" s="1" t="s">
        <v>1262</v>
      </c>
      <c r="G197" s="1" t="s">
        <v>1263</v>
      </c>
      <c r="J197" s="23">
        <v>58.9</v>
      </c>
      <c r="K197" s="11">
        <v>6.5</v>
      </c>
      <c r="M197" s="12">
        <f t="shared" si="6"/>
        <v>0.81291335664285558</v>
      </c>
      <c r="N197" s="11">
        <f>GraphEcoli!B$10-('E coli'!J197-GraphEcoli!$B$6)/GraphEcoli!$B$5</f>
        <v>0.37026655437326617</v>
      </c>
      <c r="O197" s="1" t="s">
        <v>890</v>
      </c>
      <c r="P197">
        <v>1998</v>
      </c>
      <c r="Q197" t="s">
        <v>1123</v>
      </c>
      <c r="V197" s="10">
        <f>GraphEcoli!$B$40*'E coli'!J197+GraphEcoli!$B$41</f>
        <v>0.37026655437326639</v>
      </c>
      <c r="W197" s="10">
        <f>GraphEcoli!$E$40*'E coli'!J197+GraphEcoli!$E$41</f>
        <v>0.37516805553401067</v>
      </c>
      <c r="X197" s="10"/>
    </row>
    <row r="198" spans="1:24" hidden="1" x14ac:dyDescent="0.2">
      <c r="A198" s="1" t="s">
        <v>1329</v>
      </c>
      <c r="B198" s="1" t="s">
        <v>1330</v>
      </c>
      <c r="C198" t="s">
        <v>1341</v>
      </c>
      <c r="D198" t="s">
        <v>1117</v>
      </c>
      <c r="E198" t="s">
        <v>11</v>
      </c>
      <c r="F198" s="1" t="s">
        <v>1262</v>
      </c>
      <c r="G198" s="1" t="s">
        <v>1263</v>
      </c>
      <c r="J198" s="23">
        <v>62.8</v>
      </c>
      <c r="K198" s="11">
        <v>1.04</v>
      </c>
      <c r="M198" s="12">
        <f t="shared" si="6"/>
        <v>1.703333929878037E-2</v>
      </c>
      <c r="N198" s="11">
        <f>GraphEcoli!B$10-('E coli'!J198-GraphEcoli!$B$6)/GraphEcoli!$B$5</f>
        <v>3.486753751821281E-3</v>
      </c>
      <c r="O198" s="1" t="s">
        <v>890</v>
      </c>
      <c r="P198">
        <v>1998</v>
      </c>
      <c r="Q198" t="s">
        <v>1123</v>
      </c>
      <c r="V198" s="10">
        <f>GraphEcoli!$B$40*'E coli'!J198+GraphEcoli!$B$41</f>
        <v>3.486753751821503E-3</v>
      </c>
      <c r="W198" s="10">
        <f>GraphEcoli!$E$40*'E coli'!J198+GraphEcoli!$E$41</f>
        <v>3.3762798067622057E-2</v>
      </c>
      <c r="X198" s="10"/>
    </row>
    <row r="199" spans="1:24" hidden="1" x14ac:dyDescent="0.2">
      <c r="A199" s="1" t="s">
        <v>1329</v>
      </c>
      <c r="B199" s="1" t="s">
        <v>1330</v>
      </c>
      <c r="C199" t="s">
        <v>1341</v>
      </c>
      <c r="D199" t="s">
        <v>1117</v>
      </c>
      <c r="E199" t="s">
        <v>11</v>
      </c>
      <c r="F199" s="1" t="s">
        <v>1262</v>
      </c>
      <c r="G199" s="1" t="s">
        <v>1263</v>
      </c>
      <c r="J199" s="23">
        <v>65.599999999999994</v>
      </c>
      <c r="K199" s="11">
        <v>0.31</v>
      </c>
      <c r="M199" s="12">
        <f t="shared" si="6"/>
        <v>-0.50863830616572736</v>
      </c>
      <c r="N199" s="11">
        <f>GraphEcoli!B$10-('E coli'!J199-GraphEcoli!$B$6)/GraphEcoli!$B$5</f>
        <v>-0.25984233387383127</v>
      </c>
      <c r="O199" s="1" t="s">
        <v>890</v>
      </c>
      <c r="P199">
        <v>1998</v>
      </c>
      <c r="Q199" t="s">
        <v>1123</v>
      </c>
      <c r="V199" s="10">
        <f>GraphEcoli!$B$40*'E coli'!J199+GraphEcoli!$B$41</f>
        <v>-0.25984233387383071</v>
      </c>
      <c r="W199" s="10">
        <f>GraphEcoli!$E$40*'E coli'!J199+GraphEcoli!$E$41</f>
        <v>-0.21134866883132286</v>
      </c>
      <c r="X199" s="10"/>
    </row>
    <row r="200" spans="1:24" hidden="1" x14ac:dyDescent="0.2">
      <c r="A200" s="1" t="s">
        <v>1329</v>
      </c>
      <c r="B200" s="1" t="s">
        <v>1330</v>
      </c>
      <c r="C200" t="s">
        <v>1341</v>
      </c>
      <c r="D200" t="s">
        <v>1118</v>
      </c>
      <c r="E200" t="s">
        <v>11</v>
      </c>
      <c r="F200" s="1" t="s">
        <v>1262</v>
      </c>
      <c r="G200" s="1" t="s">
        <v>1263</v>
      </c>
      <c r="J200" s="23">
        <v>54.4</v>
      </c>
      <c r="K200" s="11">
        <v>76.2</v>
      </c>
      <c r="M200" s="12">
        <f t="shared" si="6"/>
        <v>1.8819549713396004</v>
      </c>
      <c r="N200" s="11">
        <f>GraphEcoli!B$10-('E coli'!J200-GraphEcoli!$B$6)/GraphEcoli!$B$5</f>
        <v>0.7934740166287797</v>
      </c>
      <c r="O200" s="1" t="s">
        <v>890</v>
      </c>
      <c r="P200">
        <v>1998</v>
      </c>
      <c r="Q200" t="s">
        <v>1123</v>
      </c>
      <c r="V200" s="10">
        <f>GraphEcoli!$B$40*'E coli'!J200+GraphEcoli!$B$41</f>
        <v>0.79347401662877992</v>
      </c>
      <c r="W200" s="10">
        <f>GraphEcoli!$E$40*'E coli'!J200+GraphEcoli!$E$41</f>
        <v>0.76909719876445948</v>
      </c>
      <c r="X200" s="10"/>
    </row>
    <row r="201" spans="1:24" hidden="1" x14ac:dyDescent="0.2">
      <c r="A201" s="1" t="s">
        <v>1329</v>
      </c>
      <c r="B201" s="1" t="s">
        <v>1330</v>
      </c>
      <c r="C201" t="s">
        <v>1341</v>
      </c>
      <c r="D201" t="s">
        <v>1118</v>
      </c>
      <c r="E201" t="s">
        <v>11</v>
      </c>
      <c r="F201" s="1" t="s">
        <v>1262</v>
      </c>
      <c r="G201" s="1" t="s">
        <v>1263</v>
      </c>
      <c r="J201" s="23">
        <v>58.9</v>
      </c>
      <c r="K201" s="11">
        <v>4.9000000000000004</v>
      </c>
      <c r="M201" s="12">
        <f t="shared" ref="M201:M232" si="7">LOG(K201)+$L$401</f>
        <v>0.69019608002851374</v>
      </c>
      <c r="N201" s="11">
        <f>GraphEcoli!B$10-('E coli'!J201-GraphEcoli!$B$6)/GraphEcoli!$B$5</f>
        <v>0.37026655437326617</v>
      </c>
      <c r="O201" s="1" t="s">
        <v>890</v>
      </c>
      <c r="P201">
        <v>1998</v>
      </c>
      <c r="Q201" t="s">
        <v>1123</v>
      </c>
      <c r="V201" s="10">
        <f>GraphEcoli!$B$40*'E coli'!J201+GraphEcoli!$B$41</f>
        <v>0.37026655437326639</v>
      </c>
      <c r="W201" s="10">
        <f>GraphEcoli!$E$40*'E coli'!J201+GraphEcoli!$E$41</f>
        <v>0.37516805553401067</v>
      </c>
      <c r="X201" s="10"/>
    </row>
    <row r="202" spans="1:24" hidden="1" x14ac:dyDescent="0.2">
      <c r="A202" s="1" t="s">
        <v>1329</v>
      </c>
      <c r="B202" s="1" t="s">
        <v>1330</v>
      </c>
      <c r="C202" t="s">
        <v>1341</v>
      </c>
      <c r="D202" t="s">
        <v>1118</v>
      </c>
      <c r="E202" t="s">
        <v>11</v>
      </c>
      <c r="F202" s="1" t="s">
        <v>1262</v>
      </c>
      <c r="G202" s="1" t="s">
        <v>1263</v>
      </c>
      <c r="J202" s="23">
        <v>62.8</v>
      </c>
      <c r="K202" s="11">
        <v>0.69</v>
      </c>
      <c r="M202" s="12">
        <f t="shared" si="7"/>
        <v>-0.16115090926274472</v>
      </c>
      <c r="N202" s="11">
        <f>GraphEcoli!B$10-('E coli'!J202-GraphEcoli!$B$6)/GraphEcoli!$B$5</f>
        <v>3.486753751821281E-3</v>
      </c>
      <c r="O202" s="1" t="s">
        <v>890</v>
      </c>
      <c r="P202">
        <v>1998</v>
      </c>
      <c r="Q202" t="s">
        <v>1123</v>
      </c>
      <c r="V202" s="10">
        <f>GraphEcoli!$B$40*'E coli'!J202+GraphEcoli!$B$41</f>
        <v>3.486753751821503E-3</v>
      </c>
      <c r="W202" s="10">
        <f>GraphEcoli!$E$40*'E coli'!J202+GraphEcoli!$E$41</f>
        <v>3.3762798067622057E-2</v>
      </c>
      <c r="X202" s="10"/>
    </row>
    <row r="203" spans="1:24" hidden="1" x14ac:dyDescent="0.2">
      <c r="A203" s="1" t="s">
        <v>1329</v>
      </c>
      <c r="B203" s="1" t="s">
        <v>1330</v>
      </c>
      <c r="C203" t="s">
        <v>1341</v>
      </c>
      <c r="D203" t="s">
        <v>1118</v>
      </c>
      <c r="E203" t="s">
        <v>11</v>
      </c>
      <c r="F203" s="1" t="s">
        <v>1262</v>
      </c>
      <c r="G203" s="1" t="s">
        <v>1263</v>
      </c>
      <c r="J203" s="23">
        <v>65.599999999999994</v>
      </c>
      <c r="K203" s="11">
        <v>0.21</v>
      </c>
      <c r="M203" s="12">
        <f t="shared" si="7"/>
        <v>-0.6777807052660807</v>
      </c>
      <c r="N203" s="11">
        <f>GraphEcoli!B$10-('E coli'!J203-GraphEcoli!$B$6)/GraphEcoli!$B$5</f>
        <v>-0.25984233387383127</v>
      </c>
      <c r="O203" s="1" t="s">
        <v>890</v>
      </c>
      <c r="P203">
        <v>1998</v>
      </c>
      <c r="Q203" t="s">
        <v>1123</v>
      </c>
      <c r="V203" s="10">
        <f>GraphEcoli!$B$40*'E coli'!J203+GraphEcoli!$B$41</f>
        <v>-0.25984233387383071</v>
      </c>
      <c r="W203" s="10">
        <f>GraphEcoli!$E$40*'E coli'!J203+GraphEcoli!$E$41</f>
        <v>-0.21134866883132286</v>
      </c>
      <c r="X203" s="10"/>
    </row>
    <row r="204" spans="1:24" hidden="1" x14ac:dyDescent="0.2">
      <c r="A204" s="1" t="s">
        <v>1329</v>
      </c>
      <c r="B204" s="1" t="s">
        <v>1330</v>
      </c>
      <c r="C204" t="s">
        <v>1341</v>
      </c>
      <c r="D204" t="s">
        <v>1119</v>
      </c>
      <c r="E204" t="s">
        <v>11</v>
      </c>
      <c r="F204" s="1" t="s">
        <v>1262</v>
      </c>
      <c r="G204" s="1" t="s">
        <v>1263</v>
      </c>
      <c r="J204" s="23">
        <v>54.4</v>
      </c>
      <c r="K204" s="11">
        <v>107.7</v>
      </c>
      <c r="M204" s="12">
        <f t="shared" si="7"/>
        <v>2.0322157032979815</v>
      </c>
      <c r="N204" s="11">
        <f>GraphEcoli!B$10-('E coli'!J204-GraphEcoli!$B$6)/GraphEcoli!$B$5</f>
        <v>0.7934740166287797</v>
      </c>
      <c r="O204" s="1" t="s">
        <v>890</v>
      </c>
      <c r="P204">
        <v>1998</v>
      </c>
      <c r="Q204" t="s">
        <v>1123</v>
      </c>
      <c r="V204" s="10">
        <f>GraphEcoli!$B$40*'E coli'!J204+GraphEcoli!$B$41</f>
        <v>0.79347401662877992</v>
      </c>
      <c r="W204" s="10">
        <f>GraphEcoli!$E$40*'E coli'!J204+GraphEcoli!$E$41</f>
        <v>0.76909719876445948</v>
      </c>
      <c r="X204" s="10"/>
    </row>
    <row r="205" spans="1:24" hidden="1" x14ac:dyDescent="0.2">
      <c r="A205" s="1" t="s">
        <v>1329</v>
      </c>
      <c r="B205" s="1" t="s">
        <v>1330</v>
      </c>
      <c r="C205" t="s">
        <v>1341</v>
      </c>
      <c r="D205" t="s">
        <v>1119</v>
      </c>
      <c r="E205" t="s">
        <v>11</v>
      </c>
      <c r="F205" s="1" t="s">
        <v>1262</v>
      </c>
      <c r="G205" s="1" t="s">
        <v>1263</v>
      </c>
      <c r="J205" s="23">
        <v>58.9</v>
      </c>
      <c r="K205" s="11">
        <v>4.9000000000000004</v>
      </c>
      <c r="M205" s="12">
        <f t="shared" si="7"/>
        <v>0.69019608002851374</v>
      </c>
      <c r="N205" s="11">
        <f>GraphEcoli!B$10-('E coli'!J205-GraphEcoli!$B$6)/GraphEcoli!$B$5</f>
        <v>0.37026655437326617</v>
      </c>
      <c r="O205" s="1" t="s">
        <v>890</v>
      </c>
      <c r="P205">
        <v>1998</v>
      </c>
      <c r="Q205" t="s">
        <v>1123</v>
      </c>
      <c r="V205" s="10">
        <f>GraphEcoli!$B$40*'E coli'!J205+GraphEcoli!$B$41</f>
        <v>0.37026655437326639</v>
      </c>
      <c r="W205" s="10">
        <f>GraphEcoli!$E$40*'E coli'!J205+GraphEcoli!$E$41</f>
        <v>0.37516805553401067</v>
      </c>
      <c r="X205" s="10"/>
    </row>
    <row r="206" spans="1:24" hidden="1" x14ac:dyDescent="0.2">
      <c r="A206" s="1" t="s">
        <v>1329</v>
      </c>
      <c r="B206" s="1" t="s">
        <v>1330</v>
      </c>
      <c r="C206" t="s">
        <v>1341</v>
      </c>
      <c r="D206" t="s">
        <v>1119</v>
      </c>
      <c r="E206" t="s">
        <v>11</v>
      </c>
      <c r="F206" s="1" t="s">
        <v>1262</v>
      </c>
      <c r="G206" s="1" t="s">
        <v>1263</v>
      </c>
      <c r="J206" s="23">
        <v>62.8</v>
      </c>
      <c r="K206" s="11">
        <v>1.1399999999999999</v>
      </c>
      <c r="M206" s="12">
        <f t="shared" si="7"/>
        <v>5.6904851336472557E-2</v>
      </c>
      <c r="N206" s="11">
        <f>GraphEcoli!B$10-('E coli'!J206-GraphEcoli!$B$6)/GraphEcoli!$B$5</f>
        <v>3.486753751821281E-3</v>
      </c>
      <c r="O206" s="1" t="s">
        <v>890</v>
      </c>
      <c r="P206">
        <v>1998</v>
      </c>
      <c r="Q206" t="s">
        <v>1123</v>
      </c>
      <c r="V206" s="10">
        <f>GraphEcoli!$B$40*'E coli'!J206+GraphEcoli!$B$41</f>
        <v>3.486753751821503E-3</v>
      </c>
      <c r="W206" s="10">
        <f>GraphEcoli!$E$40*'E coli'!J206+GraphEcoli!$E$41</f>
        <v>3.3762798067622057E-2</v>
      </c>
      <c r="X206" s="10"/>
    </row>
    <row r="207" spans="1:24" hidden="1" x14ac:dyDescent="0.2">
      <c r="A207" s="1" t="s">
        <v>1329</v>
      </c>
      <c r="B207" s="1" t="s">
        <v>1330</v>
      </c>
      <c r="C207" t="s">
        <v>1341</v>
      </c>
      <c r="D207" t="s">
        <v>1119</v>
      </c>
      <c r="E207" t="s">
        <v>11</v>
      </c>
      <c r="F207" s="1" t="s">
        <v>1262</v>
      </c>
      <c r="G207" s="1" t="s">
        <v>1263</v>
      </c>
      <c r="J207" s="23">
        <v>65.599999999999994</v>
      </c>
      <c r="K207" s="11">
        <v>0.28999999999999998</v>
      </c>
      <c r="M207" s="12">
        <f t="shared" si="7"/>
        <v>-0.53760200210104392</v>
      </c>
      <c r="N207" s="11">
        <f>GraphEcoli!B$10-('E coli'!J207-GraphEcoli!$B$6)/GraphEcoli!$B$5</f>
        <v>-0.25984233387383127</v>
      </c>
      <c r="O207" s="1" t="s">
        <v>890</v>
      </c>
      <c r="P207">
        <v>1998</v>
      </c>
      <c r="Q207" t="s">
        <v>1123</v>
      </c>
      <c r="V207" s="10">
        <f>GraphEcoli!$B$40*'E coli'!J207+GraphEcoli!$B$41</f>
        <v>-0.25984233387383071</v>
      </c>
      <c r="W207" s="10">
        <f>GraphEcoli!$E$40*'E coli'!J207+GraphEcoli!$E$41</f>
        <v>-0.21134866883132286</v>
      </c>
      <c r="X207" s="10"/>
    </row>
    <row r="208" spans="1:24" hidden="1" x14ac:dyDescent="0.2">
      <c r="A208" s="1" t="s">
        <v>1329</v>
      </c>
      <c r="B208" s="1" t="s">
        <v>1330</v>
      </c>
      <c r="C208" t="s">
        <v>1341</v>
      </c>
      <c r="D208" t="s">
        <v>1120</v>
      </c>
      <c r="E208" t="s">
        <v>11</v>
      </c>
      <c r="F208" s="1" t="s">
        <v>1262</v>
      </c>
      <c r="G208" s="1" t="s">
        <v>1263</v>
      </c>
      <c r="J208" s="23">
        <v>54.4</v>
      </c>
      <c r="K208" s="11">
        <v>108.9</v>
      </c>
      <c r="M208" s="12">
        <f t="shared" si="7"/>
        <v>2.037027879755775</v>
      </c>
      <c r="N208" s="11">
        <f>GraphEcoli!B$10-('E coli'!J208-GraphEcoli!$B$6)/GraphEcoli!$B$5</f>
        <v>0.7934740166287797</v>
      </c>
      <c r="O208" s="1" t="s">
        <v>890</v>
      </c>
      <c r="P208">
        <v>1998</v>
      </c>
      <c r="Q208" t="s">
        <v>1123</v>
      </c>
      <c r="V208" s="10">
        <f>GraphEcoli!$B$40*'E coli'!J208+GraphEcoli!$B$41</f>
        <v>0.79347401662877992</v>
      </c>
      <c r="W208" s="10">
        <f>GraphEcoli!$E$40*'E coli'!J208+GraphEcoli!$E$41</f>
        <v>0.76909719876445948</v>
      </c>
      <c r="X208" s="10"/>
    </row>
    <row r="209" spans="1:24" hidden="1" x14ac:dyDescent="0.2">
      <c r="A209" s="1" t="s">
        <v>1329</v>
      </c>
      <c r="B209" s="1" t="s">
        <v>1330</v>
      </c>
      <c r="C209" t="s">
        <v>1341</v>
      </c>
      <c r="D209" t="s">
        <v>1120</v>
      </c>
      <c r="E209" t="s">
        <v>11</v>
      </c>
      <c r="F209" s="1" t="s">
        <v>1262</v>
      </c>
      <c r="G209" s="1" t="s">
        <v>1263</v>
      </c>
      <c r="J209" s="23">
        <v>58.9</v>
      </c>
      <c r="K209" s="11">
        <v>6.2</v>
      </c>
      <c r="M209" s="12">
        <f t="shared" si="7"/>
        <v>0.79239168949825389</v>
      </c>
      <c r="N209" s="11">
        <f>GraphEcoli!B$10-('E coli'!J209-GraphEcoli!$B$6)/GraphEcoli!$B$5</f>
        <v>0.37026655437326617</v>
      </c>
      <c r="O209" s="1" t="s">
        <v>890</v>
      </c>
      <c r="P209">
        <v>1998</v>
      </c>
      <c r="Q209" t="s">
        <v>1123</v>
      </c>
      <c r="V209" s="10">
        <f>GraphEcoli!$B$40*'E coli'!J209+GraphEcoli!$B$41</f>
        <v>0.37026655437326639</v>
      </c>
      <c r="W209" s="10">
        <f>GraphEcoli!$E$40*'E coli'!J209+GraphEcoli!$E$41</f>
        <v>0.37516805553401067</v>
      </c>
      <c r="X209" s="10"/>
    </row>
    <row r="210" spans="1:24" hidden="1" x14ac:dyDescent="0.2">
      <c r="A210" s="1" t="s">
        <v>1329</v>
      </c>
      <c r="B210" s="1" t="s">
        <v>1330</v>
      </c>
      <c r="C210" t="s">
        <v>1341</v>
      </c>
      <c r="D210" t="s">
        <v>1120</v>
      </c>
      <c r="E210" t="s">
        <v>11</v>
      </c>
      <c r="F210" s="1" t="s">
        <v>1262</v>
      </c>
      <c r="G210" s="1" t="s">
        <v>1263</v>
      </c>
      <c r="J210" s="23">
        <v>62.8</v>
      </c>
      <c r="K210" s="11">
        <v>0.99</v>
      </c>
      <c r="M210" s="12">
        <f t="shared" si="7"/>
        <v>-4.3648054024500883E-3</v>
      </c>
      <c r="N210" s="11">
        <f>GraphEcoli!B$10-('E coli'!J210-GraphEcoli!$B$6)/GraphEcoli!$B$5</f>
        <v>3.486753751821281E-3</v>
      </c>
      <c r="O210" s="1" t="s">
        <v>890</v>
      </c>
      <c r="P210">
        <v>1998</v>
      </c>
      <c r="Q210" t="s">
        <v>1123</v>
      </c>
      <c r="V210" s="10">
        <f>GraphEcoli!$B$40*'E coli'!J210+GraphEcoli!$B$41</f>
        <v>3.486753751821503E-3</v>
      </c>
      <c r="W210" s="10">
        <f>GraphEcoli!$E$40*'E coli'!J210+GraphEcoli!$E$41</f>
        <v>3.3762798067622057E-2</v>
      </c>
      <c r="X210" s="10"/>
    </row>
    <row r="211" spans="1:24" hidden="1" x14ac:dyDescent="0.2">
      <c r="A211" s="1" t="s">
        <v>1329</v>
      </c>
      <c r="B211" s="1" t="s">
        <v>1330</v>
      </c>
      <c r="C211" t="s">
        <v>1341</v>
      </c>
      <c r="D211" t="s">
        <v>1120</v>
      </c>
      <c r="E211" t="s">
        <v>11</v>
      </c>
      <c r="F211" s="1" t="s">
        <v>1262</v>
      </c>
      <c r="G211" s="1" t="s">
        <v>1263</v>
      </c>
      <c r="J211" s="23">
        <v>65.599999999999994</v>
      </c>
      <c r="K211" s="11">
        <v>0.3</v>
      </c>
      <c r="M211" s="12">
        <f t="shared" si="7"/>
        <v>-0.52287874528033762</v>
      </c>
      <c r="N211" s="11">
        <f>GraphEcoli!B$10-('E coli'!J211-GraphEcoli!$B$6)/GraphEcoli!$B$5</f>
        <v>-0.25984233387383127</v>
      </c>
      <c r="O211" s="1" t="s">
        <v>890</v>
      </c>
      <c r="P211">
        <v>1998</v>
      </c>
      <c r="Q211" t="s">
        <v>1123</v>
      </c>
      <c r="V211" s="10">
        <f>GraphEcoli!$B$40*'E coli'!J211+GraphEcoli!$B$41</f>
        <v>-0.25984233387383071</v>
      </c>
      <c r="W211" s="10">
        <f>GraphEcoli!$E$40*'E coli'!J211+GraphEcoli!$E$41</f>
        <v>-0.21134866883132286</v>
      </c>
      <c r="X211" s="10"/>
    </row>
    <row r="212" spans="1:24" hidden="1" x14ac:dyDescent="0.2">
      <c r="A212" s="1" t="s">
        <v>1329</v>
      </c>
      <c r="B212" s="1" t="s">
        <v>1330</v>
      </c>
      <c r="C212" t="s">
        <v>1341</v>
      </c>
      <c r="E212" t="s">
        <v>11</v>
      </c>
      <c r="F212" s="1" t="s">
        <v>1262</v>
      </c>
      <c r="G212" s="1" t="s">
        <v>1220</v>
      </c>
      <c r="I212" s="4">
        <v>5</v>
      </c>
      <c r="J212" s="23">
        <v>54</v>
      </c>
      <c r="K212" s="11">
        <v>9.1999999999999993</v>
      </c>
      <c r="M212" s="12">
        <f t="shared" si="7"/>
        <v>0.96378782734555524</v>
      </c>
      <c r="N212" s="11">
        <f>GraphEcoli!B$10-('E coli'!J212-GraphEcoli!$B$6)/GraphEcoli!$B$5</f>
        <v>0.83109245771815843</v>
      </c>
      <c r="O212" s="1" t="s">
        <v>1093</v>
      </c>
      <c r="P212">
        <v>1997</v>
      </c>
      <c r="V212" s="10">
        <f>GraphEcoli!$B$40*'E coli'!J212+GraphEcoli!$B$41</f>
        <v>0.83109245771815843</v>
      </c>
      <c r="W212" s="10">
        <f>GraphEcoli!$E$40*'E coli'!J212+GraphEcoli!$E$41</f>
        <v>0.80411312260716539</v>
      </c>
      <c r="X212" s="10"/>
    </row>
    <row r="213" spans="1:24" hidden="1" x14ac:dyDescent="0.2">
      <c r="A213" s="1" t="s">
        <v>1329</v>
      </c>
      <c r="B213" s="1" t="s">
        <v>1330</v>
      </c>
      <c r="C213" t="s">
        <v>1341</v>
      </c>
      <c r="E213" t="s">
        <v>11</v>
      </c>
      <c r="F213" s="1" t="s">
        <v>1262</v>
      </c>
      <c r="G213" s="1" t="s">
        <v>1220</v>
      </c>
      <c r="I213" s="4">
        <v>5</v>
      </c>
      <c r="J213" s="23">
        <v>54</v>
      </c>
      <c r="K213" s="11">
        <v>15</v>
      </c>
      <c r="M213" s="12">
        <f t="shared" si="7"/>
        <v>1.1760912590556813</v>
      </c>
      <c r="N213" s="11">
        <f>GraphEcoli!B$10-('E coli'!J213-GraphEcoli!$B$6)/GraphEcoli!$B$5</f>
        <v>0.83109245771815843</v>
      </c>
      <c r="O213" s="1" t="s">
        <v>1093</v>
      </c>
      <c r="P213">
        <v>1997</v>
      </c>
      <c r="V213" s="10">
        <f>GraphEcoli!$B$40*'E coli'!J213+GraphEcoli!$B$41</f>
        <v>0.83109245771815843</v>
      </c>
      <c r="W213" s="10">
        <f>GraphEcoli!$E$40*'E coli'!J213+GraphEcoli!$E$41</f>
        <v>0.80411312260716539</v>
      </c>
      <c r="X213" s="10"/>
    </row>
    <row r="214" spans="1:24" hidden="1" x14ac:dyDescent="0.2">
      <c r="A214" s="1" t="s">
        <v>1329</v>
      </c>
      <c r="B214" s="1" t="s">
        <v>1330</v>
      </c>
      <c r="C214" t="s">
        <v>1341</v>
      </c>
      <c r="E214" t="s">
        <v>11</v>
      </c>
      <c r="F214" s="1" t="s">
        <v>1262</v>
      </c>
      <c r="G214" s="1" t="s">
        <v>1155</v>
      </c>
      <c r="J214" s="23">
        <v>55</v>
      </c>
      <c r="K214" s="11">
        <v>11.16</v>
      </c>
      <c r="M214" s="12">
        <f t="shared" si="7"/>
        <v>1.0476641946015599</v>
      </c>
      <c r="N214" s="11">
        <f>GraphEcoli!B$10-('E coli'!J214-GraphEcoli!$B$6)/GraphEcoli!$B$5</f>
        <v>0.73704635499471105</v>
      </c>
      <c r="O214" s="1" t="s">
        <v>1110</v>
      </c>
      <c r="P214">
        <v>2003</v>
      </c>
      <c r="V214" s="10">
        <f>GraphEcoli!$B$40*'E coli'!J214+GraphEcoli!$B$41</f>
        <v>0.73704635499471127</v>
      </c>
      <c r="W214" s="10">
        <f>GraphEcoli!$E$40*'E coli'!J214+GraphEcoli!$E$41</f>
        <v>0.71657331300039928</v>
      </c>
      <c r="X214" s="10"/>
    </row>
    <row r="215" spans="1:24" hidden="1" x14ac:dyDescent="0.2">
      <c r="A215" s="1" t="s">
        <v>1329</v>
      </c>
      <c r="B215" s="1" t="s">
        <v>1330</v>
      </c>
      <c r="C215" t="s">
        <v>1341</v>
      </c>
      <c r="E215" t="s">
        <v>11</v>
      </c>
      <c r="F215" s="1" t="s">
        <v>1262</v>
      </c>
      <c r="G215" s="1" t="s">
        <v>1155</v>
      </c>
      <c r="J215" s="23">
        <v>57.5</v>
      </c>
      <c r="K215" s="11">
        <v>2.71</v>
      </c>
      <c r="M215" s="12">
        <f t="shared" si="7"/>
        <v>0.43296929087440572</v>
      </c>
      <c r="N215" s="11">
        <f>GraphEcoli!B$10-('E coli'!J215-GraphEcoli!$B$6)/GraphEcoli!$B$5</f>
        <v>0.50193109818609249</v>
      </c>
      <c r="O215" s="1" t="s">
        <v>1110</v>
      </c>
      <c r="P215">
        <v>2003</v>
      </c>
      <c r="V215" s="10">
        <f>GraphEcoli!$B$40*'E coli'!J215+GraphEcoli!$B$41</f>
        <v>0.50193109818609294</v>
      </c>
      <c r="W215" s="10">
        <f>GraphEcoli!$E$40*'E coli'!J215+GraphEcoli!$E$41</f>
        <v>0.49772378898348357</v>
      </c>
      <c r="X215" s="10"/>
    </row>
    <row r="216" spans="1:24" hidden="1" x14ac:dyDescent="0.2">
      <c r="A216" s="1" t="s">
        <v>1329</v>
      </c>
      <c r="B216" s="1" t="s">
        <v>1330</v>
      </c>
      <c r="C216" t="s">
        <v>1341</v>
      </c>
      <c r="E216" t="s">
        <v>11</v>
      </c>
      <c r="F216" s="1" t="s">
        <v>1262</v>
      </c>
      <c r="G216" s="1" t="s">
        <v>1155</v>
      </c>
      <c r="J216" s="23">
        <v>60</v>
      </c>
      <c r="K216" s="11">
        <v>1.69</v>
      </c>
      <c r="M216" s="12">
        <f t="shared" si="7"/>
        <v>0.22788670461367352</v>
      </c>
      <c r="N216" s="11">
        <f>GraphEcoli!B$10-('E coli'!J216-GraphEcoli!$B$6)/GraphEcoli!$B$5</f>
        <v>0.26681584137747383</v>
      </c>
      <c r="O216" s="1" t="s">
        <v>1110</v>
      </c>
      <c r="P216">
        <v>2003</v>
      </c>
      <c r="V216" s="10">
        <f>GraphEcoli!$B$40*'E coli'!J216+GraphEcoli!$B$41</f>
        <v>0.26681584137747372</v>
      </c>
      <c r="W216" s="10">
        <f>GraphEcoli!$E$40*'E coli'!J216+GraphEcoli!$E$41</f>
        <v>0.27887426496656786</v>
      </c>
      <c r="X216" s="10"/>
    </row>
    <row r="217" spans="1:24" hidden="1" x14ac:dyDescent="0.2">
      <c r="A217" s="1" t="s">
        <v>1329</v>
      </c>
      <c r="B217" s="1" t="s">
        <v>1330</v>
      </c>
      <c r="C217" t="s">
        <v>1341</v>
      </c>
      <c r="E217" t="s">
        <v>11</v>
      </c>
      <c r="F217" s="1" t="s">
        <v>1262</v>
      </c>
      <c r="G217" s="1" t="s">
        <v>1155</v>
      </c>
      <c r="J217" s="23">
        <v>62.5</v>
      </c>
      <c r="K217" s="11">
        <v>1.01</v>
      </c>
      <c r="M217" s="12">
        <f t="shared" si="7"/>
        <v>4.3213737826425782E-3</v>
      </c>
      <c r="N217" s="11">
        <f>GraphEcoli!B$10-('E coli'!J217-GraphEcoli!$B$6)/GraphEcoli!$B$5</f>
        <v>3.1700584568855272E-2</v>
      </c>
      <c r="O217" s="1" t="s">
        <v>1110</v>
      </c>
      <c r="P217">
        <v>2003</v>
      </c>
      <c r="V217" s="10">
        <f>GraphEcoli!$B$40*'E coli'!J217+GraphEcoli!$B$41</f>
        <v>3.1700584568855383E-2</v>
      </c>
      <c r="W217" s="10">
        <f>GraphEcoli!$E$40*'E coli'!J217+GraphEcoli!$E$41</f>
        <v>6.0024740949652156E-2</v>
      </c>
      <c r="X217" s="10"/>
    </row>
    <row r="218" spans="1:24" hidden="1" x14ac:dyDescent="0.2">
      <c r="A218" s="1" t="s">
        <v>1329</v>
      </c>
      <c r="B218" s="1" t="s">
        <v>1330</v>
      </c>
      <c r="C218" t="s">
        <v>1341</v>
      </c>
      <c r="E218" t="s">
        <v>11</v>
      </c>
      <c r="F218" s="1" t="s">
        <v>1262</v>
      </c>
      <c r="G218" s="1" t="s">
        <v>1155</v>
      </c>
      <c r="J218" s="23">
        <v>65</v>
      </c>
      <c r="K218" s="11">
        <v>0.73</v>
      </c>
      <c r="M218" s="12">
        <f t="shared" si="7"/>
        <v>-0.13667713987954411</v>
      </c>
      <c r="N218" s="11">
        <f>GraphEcoli!B$10-('E coli'!J218-GraphEcoli!$B$6)/GraphEcoli!$B$5</f>
        <v>-0.20341467223976334</v>
      </c>
      <c r="O218" s="1" t="s">
        <v>1110</v>
      </c>
      <c r="P218">
        <v>2003</v>
      </c>
      <c r="V218" s="10">
        <f>GraphEcoli!$B$40*'E coli'!J218+GraphEcoli!$B$41</f>
        <v>-0.20341467223976295</v>
      </c>
      <c r="W218" s="10">
        <f>GraphEcoli!$E$40*'E coli'!J218+GraphEcoli!$E$41</f>
        <v>-0.15882478306726355</v>
      </c>
      <c r="X218" s="10"/>
    </row>
    <row r="219" spans="1:24" hidden="1" x14ac:dyDescent="0.2">
      <c r="A219" s="1" t="s">
        <v>1329</v>
      </c>
      <c r="B219" s="1" t="s">
        <v>1330</v>
      </c>
      <c r="C219" t="s">
        <v>1341</v>
      </c>
      <c r="E219" t="s">
        <v>11</v>
      </c>
      <c r="F219" s="1" t="s">
        <v>1262</v>
      </c>
      <c r="G219" s="1" t="s">
        <v>1156</v>
      </c>
      <c r="J219" s="23">
        <v>55</v>
      </c>
      <c r="K219" s="11">
        <v>10.91</v>
      </c>
      <c r="M219" s="12">
        <f t="shared" si="7"/>
        <v>1.0378247505883418</v>
      </c>
      <c r="N219" s="11">
        <f>GraphEcoli!B$10-('E coli'!J219-GraphEcoli!$B$6)/GraphEcoli!$B$5</f>
        <v>0.73704635499471105</v>
      </c>
      <c r="O219" s="1" t="s">
        <v>1110</v>
      </c>
      <c r="P219">
        <v>2003</v>
      </c>
      <c r="V219" s="10">
        <f>GraphEcoli!$B$40*'E coli'!J219+GraphEcoli!$B$41</f>
        <v>0.73704635499471127</v>
      </c>
      <c r="W219" s="10">
        <f>GraphEcoli!$E$40*'E coli'!J219+GraphEcoli!$E$41</f>
        <v>0.71657331300039928</v>
      </c>
      <c r="X219" s="10"/>
    </row>
    <row r="220" spans="1:24" hidden="1" x14ac:dyDescent="0.2">
      <c r="A220" s="1" t="s">
        <v>1329</v>
      </c>
      <c r="B220" s="1" t="s">
        <v>1330</v>
      </c>
      <c r="C220" t="s">
        <v>1341</v>
      </c>
      <c r="E220" t="s">
        <v>11</v>
      </c>
      <c r="F220" s="1" t="s">
        <v>1262</v>
      </c>
      <c r="G220" s="1" t="s">
        <v>1156</v>
      </c>
      <c r="J220" s="23">
        <v>57.5</v>
      </c>
      <c r="K220" s="11">
        <v>2.5499999999999998</v>
      </c>
      <c r="M220" s="12">
        <f t="shared" si="7"/>
        <v>0.40654018043395512</v>
      </c>
      <c r="N220" s="11">
        <f>GraphEcoli!B$10-('E coli'!J220-GraphEcoli!$B$6)/GraphEcoli!$B$5</f>
        <v>0.50193109818609249</v>
      </c>
      <c r="O220" s="1" t="s">
        <v>1110</v>
      </c>
      <c r="P220">
        <v>2003</v>
      </c>
      <c r="V220" s="10">
        <f>GraphEcoli!$B$40*'E coli'!J220+GraphEcoli!$B$41</f>
        <v>0.50193109818609294</v>
      </c>
      <c r="W220" s="10">
        <f>GraphEcoli!$E$40*'E coli'!J220+GraphEcoli!$E$41</f>
        <v>0.49772378898348357</v>
      </c>
      <c r="X220" s="10"/>
    </row>
    <row r="221" spans="1:24" hidden="1" x14ac:dyDescent="0.2">
      <c r="A221" s="1" t="s">
        <v>1329</v>
      </c>
      <c r="B221" s="1" t="s">
        <v>1330</v>
      </c>
      <c r="C221" t="s">
        <v>1341</v>
      </c>
      <c r="E221" t="s">
        <v>11</v>
      </c>
      <c r="F221" s="1" t="s">
        <v>1262</v>
      </c>
      <c r="G221" s="1" t="s">
        <v>1156</v>
      </c>
      <c r="J221" s="23">
        <v>60</v>
      </c>
      <c r="K221" s="11">
        <v>1.65</v>
      </c>
      <c r="M221" s="12">
        <f t="shared" si="7"/>
        <v>0.21748394421390627</v>
      </c>
      <c r="N221" s="11">
        <f>GraphEcoli!B$10-('E coli'!J221-GraphEcoli!$B$6)/GraphEcoli!$B$5</f>
        <v>0.26681584137747383</v>
      </c>
      <c r="O221" s="1" t="s">
        <v>1110</v>
      </c>
      <c r="P221">
        <v>2003</v>
      </c>
      <c r="V221" s="10">
        <f>GraphEcoli!$B$40*'E coli'!J221+GraphEcoli!$B$41</f>
        <v>0.26681584137747372</v>
      </c>
      <c r="W221" s="10">
        <f>GraphEcoli!$E$40*'E coli'!J221+GraphEcoli!$E$41</f>
        <v>0.27887426496656786</v>
      </c>
      <c r="X221" s="10"/>
    </row>
    <row r="222" spans="1:24" hidden="1" x14ac:dyDescent="0.2">
      <c r="A222" s="1" t="s">
        <v>1329</v>
      </c>
      <c r="B222" s="1" t="s">
        <v>1330</v>
      </c>
      <c r="C222" t="s">
        <v>1341</v>
      </c>
      <c r="E222" t="s">
        <v>11</v>
      </c>
      <c r="F222" s="1" t="s">
        <v>1262</v>
      </c>
      <c r="G222" s="1" t="s">
        <v>1156</v>
      </c>
      <c r="J222" s="23">
        <v>62.5</v>
      </c>
      <c r="K222" s="11">
        <v>0.97</v>
      </c>
      <c r="M222" s="12">
        <f t="shared" si="7"/>
        <v>-1.322826573375516E-2</v>
      </c>
      <c r="N222" s="11">
        <f>GraphEcoli!B$10-('E coli'!J222-GraphEcoli!$B$6)/GraphEcoli!$B$5</f>
        <v>3.1700584568855272E-2</v>
      </c>
      <c r="O222" s="1" t="s">
        <v>1110</v>
      </c>
      <c r="P222">
        <v>2003</v>
      </c>
      <c r="V222" s="10">
        <f>GraphEcoli!$B$40*'E coli'!J222+GraphEcoli!$B$41</f>
        <v>3.1700584568855383E-2</v>
      </c>
      <c r="W222" s="10">
        <f>GraphEcoli!$E$40*'E coli'!J222+GraphEcoli!$E$41</f>
        <v>6.0024740949652156E-2</v>
      </c>
      <c r="X222" s="10"/>
    </row>
    <row r="223" spans="1:24" hidden="1" x14ac:dyDescent="0.2">
      <c r="A223" s="1" t="s">
        <v>1329</v>
      </c>
      <c r="B223" s="1" t="s">
        <v>1330</v>
      </c>
      <c r="C223" t="s">
        <v>1341</v>
      </c>
      <c r="E223" t="s">
        <v>11</v>
      </c>
      <c r="F223" s="1" t="s">
        <v>1262</v>
      </c>
      <c r="G223" s="1" t="s">
        <v>1156</v>
      </c>
      <c r="J223" s="23">
        <v>65</v>
      </c>
      <c r="K223" s="11">
        <v>0.71</v>
      </c>
      <c r="M223" s="12">
        <f t="shared" si="7"/>
        <v>-0.14874165128092473</v>
      </c>
      <c r="N223" s="11">
        <f>GraphEcoli!B$10-('E coli'!J223-GraphEcoli!$B$6)/GraphEcoli!$B$5</f>
        <v>-0.20341467223976334</v>
      </c>
      <c r="O223" s="1" t="s">
        <v>1110</v>
      </c>
      <c r="P223">
        <v>2003</v>
      </c>
      <c r="V223" s="10">
        <f>GraphEcoli!$B$40*'E coli'!J223+GraphEcoli!$B$41</f>
        <v>-0.20341467223976295</v>
      </c>
      <c r="W223" s="10">
        <f>GraphEcoli!$E$40*'E coli'!J223+GraphEcoli!$E$41</f>
        <v>-0.15882478306726355</v>
      </c>
      <c r="X223" s="10"/>
    </row>
    <row r="224" spans="1:24" hidden="1" x14ac:dyDescent="0.2">
      <c r="A224" s="1" t="s">
        <v>1329</v>
      </c>
      <c r="B224" s="1" t="s">
        <v>1330</v>
      </c>
      <c r="C224" t="s">
        <v>1341</v>
      </c>
      <c r="E224" t="s">
        <v>11</v>
      </c>
      <c r="F224" s="1" t="s">
        <v>1262</v>
      </c>
      <c r="G224" s="1" t="s">
        <v>1157</v>
      </c>
      <c r="J224" s="23">
        <v>55</v>
      </c>
      <c r="K224" s="11">
        <v>11.02</v>
      </c>
      <c r="M224" s="12">
        <f t="shared" si="7"/>
        <v>1.0421815945157662</v>
      </c>
      <c r="N224" s="11">
        <f>GraphEcoli!B$10-('E coli'!J224-GraphEcoli!$B$6)/GraphEcoli!$B$5</f>
        <v>0.73704635499471105</v>
      </c>
      <c r="O224" s="1" t="s">
        <v>1110</v>
      </c>
      <c r="P224">
        <v>2003</v>
      </c>
      <c r="V224" s="10">
        <f>GraphEcoli!$B$40*'E coli'!J224+GraphEcoli!$B$41</f>
        <v>0.73704635499471127</v>
      </c>
      <c r="W224" s="10">
        <f>GraphEcoli!$E$40*'E coli'!J224+GraphEcoli!$E$41</f>
        <v>0.71657331300039928</v>
      </c>
      <c r="X224" s="10"/>
    </row>
    <row r="225" spans="1:24" hidden="1" x14ac:dyDescent="0.2">
      <c r="A225" s="1" t="s">
        <v>1329</v>
      </c>
      <c r="B225" s="1" t="s">
        <v>1330</v>
      </c>
      <c r="C225" t="s">
        <v>1341</v>
      </c>
      <c r="E225" t="s">
        <v>11</v>
      </c>
      <c r="F225" s="1" t="s">
        <v>1262</v>
      </c>
      <c r="G225" s="1" t="s">
        <v>1157</v>
      </c>
      <c r="J225" s="23">
        <v>57.5</v>
      </c>
      <c r="K225" s="11">
        <v>2.61</v>
      </c>
      <c r="M225" s="12">
        <f t="shared" si="7"/>
        <v>0.41664050733828095</v>
      </c>
      <c r="N225" s="11">
        <f>GraphEcoli!B$10-('E coli'!J225-GraphEcoli!$B$6)/GraphEcoli!$B$5</f>
        <v>0.50193109818609249</v>
      </c>
      <c r="O225" s="1" t="s">
        <v>1110</v>
      </c>
      <c r="P225">
        <v>2003</v>
      </c>
      <c r="V225" s="10">
        <f>GraphEcoli!$B$40*'E coli'!J225+GraphEcoli!$B$41</f>
        <v>0.50193109818609294</v>
      </c>
      <c r="W225" s="10">
        <f>GraphEcoli!$E$40*'E coli'!J225+GraphEcoli!$E$41</f>
        <v>0.49772378898348357</v>
      </c>
      <c r="X225" s="10"/>
    </row>
    <row r="226" spans="1:24" hidden="1" x14ac:dyDescent="0.2">
      <c r="A226" s="1" t="s">
        <v>1329</v>
      </c>
      <c r="B226" s="1" t="s">
        <v>1330</v>
      </c>
      <c r="C226" t="s">
        <v>1341</v>
      </c>
      <c r="E226" t="s">
        <v>11</v>
      </c>
      <c r="F226" s="1" t="s">
        <v>1262</v>
      </c>
      <c r="G226" s="1" t="s">
        <v>1157</v>
      </c>
      <c r="J226" s="23">
        <v>60</v>
      </c>
      <c r="K226" s="11">
        <v>1.72</v>
      </c>
      <c r="M226" s="12">
        <f t="shared" si="7"/>
        <v>0.2355284469075489</v>
      </c>
      <c r="N226" s="11">
        <f>GraphEcoli!B$10-('E coli'!J226-GraphEcoli!$B$6)/GraphEcoli!$B$5</f>
        <v>0.26681584137747383</v>
      </c>
      <c r="O226" s="1" t="s">
        <v>1110</v>
      </c>
      <c r="P226">
        <v>2003</v>
      </c>
      <c r="V226" s="10">
        <f>GraphEcoli!$B$40*'E coli'!J226+GraphEcoli!$B$41</f>
        <v>0.26681584137747372</v>
      </c>
      <c r="W226" s="10">
        <f>GraphEcoli!$E$40*'E coli'!J226+GraphEcoli!$E$41</f>
        <v>0.27887426496656786</v>
      </c>
      <c r="X226" s="10"/>
    </row>
    <row r="227" spans="1:24" hidden="1" x14ac:dyDescent="0.2">
      <c r="A227" s="1" t="s">
        <v>1329</v>
      </c>
      <c r="B227" s="1" t="s">
        <v>1330</v>
      </c>
      <c r="C227" t="s">
        <v>1341</v>
      </c>
      <c r="E227" t="s">
        <v>11</v>
      </c>
      <c r="F227" s="1" t="s">
        <v>1262</v>
      </c>
      <c r="G227" s="1" t="s">
        <v>1157</v>
      </c>
      <c r="J227" s="23">
        <v>62.5</v>
      </c>
      <c r="K227" s="11">
        <v>1.03</v>
      </c>
      <c r="M227" s="12">
        <f t="shared" si="7"/>
        <v>1.2837224705172217E-2</v>
      </c>
      <c r="N227" s="11">
        <f>GraphEcoli!B$10-('E coli'!J227-GraphEcoli!$B$6)/GraphEcoli!$B$5</f>
        <v>3.1700584568855272E-2</v>
      </c>
      <c r="O227" s="1" t="s">
        <v>1110</v>
      </c>
      <c r="P227">
        <v>2003</v>
      </c>
      <c r="V227" s="10">
        <f>GraphEcoli!$B$40*'E coli'!J227+GraphEcoli!$B$41</f>
        <v>3.1700584568855383E-2</v>
      </c>
      <c r="W227" s="10">
        <f>GraphEcoli!$E$40*'E coli'!J227+GraphEcoli!$E$41</f>
        <v>6.0024740949652156E-2</v>
      </c>
      <c r="X227" s="10"/>
    </row>
    <row r="228" spans="1:24" hidden="1" x14ac:dyDescent="0.2">
      <c r="A228" s="1" t="s">
        <v>1329</v>
      </c>
      <c r="B228" s="1" t="s">
        <v>1330</v>
      </c>
      <c r="C228" t="s">
        <v>1341</v>
      </c>
      <c r="E228" t="s">
        <v>11</v>
      </c>
      <c r="F228" s="1" t="s">
        <v>1262</v>
      </c>
      <c r="G228" s="1" t="s">
        <v>1157</v>
      </c>
      <c r="J228" s="23">
        <v>65</v>
      </c>
      <c r="K228" s="11">
        <v>0.73</v>
      </c>
      <c r="M228" s="12">
        <f t="shared" si="7"/>
        <v>-0.13667713987954411</v>
      </c>
      <c r="N228" s="11">
        <f>GraphEcoli!B$10-('E coli'!J228-GraphEcoli!$B$6)/GraphEcoli!$B$5</f>
        <v>-0.20341467223976334</v>
      </c>
      <c r="O228" s="1" t="s">
        <v>1110</v>
      </c>
      <c r="P228">
        <v>2003</v>
      </c>
      <c r="V228" s="10">
        <f>GraphEcoli!$B$40*'E coli'!J228+GraphEcoli!$B$41</f>
        <v>-0.20341467223976295</v>
      </c>
      <c r="W228" s="10">
        <f>GraphEcoli!$E$40*'E coli'!J228+GraphEcoli!$E$41</f>
        <v>-0.15882478306726355</v>
      </c>
      <c r="X228" s="10"/>
    </row>
    <row r="229" spans="1:24" hidden="1" x14ac:dyDescent="0.2">
      <c r="A229" s="1" t="s">
        <v>1329</v>
      </c>
      <c r="B229" s="1" t="s">
        <v>1330</v>
      </c>
      <c r="C229" s="1" t="s">
        <v>1341</v>
      </c>
      <c r="D229" s="1"/>
      <c r="E229" s="1" t="s">
        <v>11</v>
      </c>
      <c r="F229" t="s">
        <v>1262</v>
      </c>
      <c r="G229" s="1" t="s">
        <v>558</v>
      </c>
      <c r="H229" s="27"/>
      <c r="J229" s="23">
        <v>55</v>
      </c>
      <c r="K229" s="11">
        <v>22.47</v>
      </c>
      <c r="M229" s="12">
        <f t="shared" si="7"/>
        <v>1.3516030724191288</v>
      </c>
      <c r="N229" s="11">
        <f>GraphEcoli!B$10-('E coli'!J229-GraphEcoli!$B$6)/GraphEcoli!$B$5</f>
        <v>0.73704635499471105</v>
      </c>
      <c r="O229" s="1" t="s">
        <v>567</v>
      </c>
      <c r="P229">
        <v>2001</v>
      </c>
      <c r="V229" s="10">
        <f>GraphEcoli!$B$40*'E coli'!J229+GraphEcoli!$B$41</f>
        <v>0.73704635499471127</v>
      </c>
      <c r="W229" s="10">
        <f>GraphEcoli!$E$40*'E coli'!J229+GraphEcoli!$E$41</f>
        <v>0.71657331300039928</v>
      </c>
      <c r="X229" s="10"/>
    </row>
    <row r="230" spans="1:24" hidden="1" x14ac:dyDescent="0.2">
      <c r="A230" s="1" t="s">
        <v>1329</v>
      </c>
      <c r="B230" s="1" t="s">
        <v>1330</v>
      </c>
      <c r="C230" s="1" t="s">
        <v>1341</v>
      </c>
      <c r="D230" s="1"/>
      <c r="E230" s="1" t="s">
        <v>11</v>
      </c>
      <c r="F230" t="s">
        <v>1262</v>
      </c>
      <c r="G230" s="1" t="s">
        <v>558</v>
      </c>
      <c r="H230" s="27"/>
      <c r="J230" s="23">
        <v>58</v>
      </c>
      <c r="K230" s="11">
        <v>2.0499999999999998</v>
      </c>
      <c r="M230" s="12">
        <f t="shared" si="7"/>
        <v>0.31175386105575426</v>
      </c>
      <c r="N230" s="11">
        <f>GraphEcoli!B$10-('E coli'!J230-GraphEcoli!$B$6)/GraphEcoli!$B$5</f>
        <v>0.45490804682436869</v>
      </c>
      <c r="O230" s="1" t="s">
        <v>567</v>
      </c>
      <c r="P230">
        <v>2001</v>
      </c>
      <c r="V230" s="10">
        <f>GraphEcoli!$B$40*'E coli'!J230+GraphEcoli!$B$41</f>
        <v>0.45490804682436892</v>
      </c>
      <c r="W230" s="10">
        <f>GraphEcoli!$E$40*'E coli'!J230+GraphEcoli!$E$41</f>
        <v>0.45395388418010096</v>
      </c>
      <c r="X230" s="10"/>
    </row>
    <row r="231" spans="1:24" hidden="1" x14ac:dyDescent="0.2">
      <c r="A231" s="1" t="s">
        <v>1329</v>
      </c>
      <c r="B231" s="1" t="s">
        <v>1330</v>
      </c>
      <c r="C231" s="1" t="s">
        <v>1341</v>
      </c>
      <c r="D231" s="1"/>
      <c r="E231" s="1" t="s">
        <v>11</v>
      </c>
      <c r="F231" t="s">
        <v>1262</v>
      </c>
      <c r="G231" s="1" t="s">
        <v>558</v>
      </c>
      <c r="H231" s="27"/>
      <c r="J231" s="23">
        <v>61</v>
      </c>
      <c r="K231" s="11">
        <v>0.32</v>
      </c>
      <c r="M231" s="12">
        <f t="shared" si="7"/>
        <v>-0.49485002168009401</v>
      </c>
      <c r="N231" s="11">
        <f>GraphEcoli!B$10-('E coli'!J231-GraphEcoli!$B$6)/GraphEcoli!$B$5</f>
        <v>0.17276973865402645</v>
      </c>
      <c r="O231" s="1" t="s">
        <v>567</v>
      </c>
      <c r="P231">
        <v>2001</v>
      </c>
      <c r="V231" s="10">
        <f>GraphEcoli!$B$40*'E coli'!J231+GraphEcoli!$B$41</f>
        <v>0.17276973865402656</v>
      </c>
      <c r="W231" s="10">
        <f>GraphEcoli!$E$40*'E coli'!J231+GraphEcoli!$E$41</f>
        <v>0.19133445535980176</v>
      </c>
      <c r="X231" s="10"/>
    </row>
    <row r="232" spans="1:24" hidden="1" x14ac:dyDescent="0.2">
      <c r="A232" s="1" t="s">
        <v>1329</v>
      </c>
      <c r="B232" s="1" t="s">
        <v>1330</v>
      </c>
      <c r="C232" s="1" t="s">
        <v>1341</v>
      </c>
      <c r="D232" s="1"/>
      <c r="E232" s="1" t="s">
        <v>11</v>
      </c>
      <c r="F232" t="s">
        <v>1262</v>
      </c>
      <c r="G232" s="1" t="s">
        <v>558</v>
      </c>
      <c r="H232" s="27"/>
      <c r="J232" s="23">
        <v>63</v>
      </c>
      <c r="K232" s="11">
        <v>0.18</v>
      </c>
      <c r="M232" s="12">
        <f t="shared" si="7"/>
        <v>-0.74472749489669399</v>
      </c>
      <c r="N232" s="11">
        <f>GraphEcoli!B$10-('E coli'!J232-GraphEcoli!$B$6)/GraphEcoli!$B$5</f>
        <v>-1.5322466792868417E-2</v>
      </c>
      <c r="O232" s="1" t="s">
        <v>567</v>
      </c>
      <c r="P232">
        <v>2001</v>
      </c>
      <c r="V232" s="10">
        <f>GraphEcoli!$B$40*'E coli'!J232+GraphEcoli!$B$41</f>
        <v>-1.5322466792868639E-2</v>
      </c>
      <c r="W232" s="10">
        <f>GraphEcoli!$E$40*'E coli'!J232+GraphEcoli!$E$41</f>
        <v>1.6254836146268659E-2</v>
      </c>
      <c r="X232" s="10"/>
    </row>
    <row r="233" spans="1:24" hidden="1" x14ac:dyDescent="0.2">
      <c r="A233" s="1" t="s">
        <v>1329</v>
      </c>
      <c r="B233" s="1" t="s">
        <v>1330</v>
      </c>
      <c r="C233" s="1" t="s">
        <v>1341</v>
      </c>
      <c r="D233" s="1"/>
      <c r="E233" s="1" t="s">
        <v>11</v>
      </c>
      <c r="F233" t="s">
        <v>1262</v>
      </c>
      <c r="G233" s="1" t="s">
        <v>564</v>
      </c>
      <c r="H233" s="27"/>
      <c r="J233" s="23">
        <v>55</v>
      </c>
      <c r="K233" s="11">
        <v>20.079999999999998</v>
      </c>
      <c r="M233" s="12">
        <f t="shared" ref="M233:M277" si="8">LOG(K233)+$L$401</f>
        <v>1.3027637084729817</v>
      </c>
      <c r="N233" s="11">
        <f>GraphEcoli!B$10-('E coli'!J233-GraphEcoli!$B$6)/GraphEcoli!$B$5</f>
        <v>0.73704635499471105</v>
      </c>
      <c r="O233" s="1" t="s">
        <v>567</v>
      </c>
      <c r="P233">
        <v>2001</v>
      </c>
      <c r="V233" s="10">
        <f>GraphEcoli!$B$40*'E coli'!J233+GraphEcoli!$B$41</f>
        <v>0.73704635499471127</v>
      </c>
      <c r="W233" s="10">
        <f>GraphEcoli!$E$40*'E coli'!J233+GraphEcoli!$E$41</f>
        <v>0.71657331300039928</v>
      </c>
      <c r="X233" s="10"/>
    </row>
    <row r="234" spans="1:24" hidden="1" x14ac:dyDescent="0.2">
      <c r="A234" s="1" t="s">
        <v>1329</v>
      </c>
      <c r="B234" s="1" t="s">
        <v>1330</v>
      </c>
      <c r="C234" s="1" t="s">
        <v>1341</v>
      </c>
      <c r="D234" s="1"/>
      <c r="E234" s="1" t="s">
        <v>11</v>
      </c>
      <c r="F234" t="s">
        <v>1262</v>
      </c>
      <c r="G234" s="1" t="s">
        <v>564</v>
      </c>
      <c r="H234" s="27"/>
      <c r="J234" s="23">
        <v>58</v>
      </c>
      <c r="K234" s="11">
        <v>1.22</v>
      </c>
      <c r="M234" s="12">
        <f t="shared" si="8"/>
        <v>8.6359830674748214E-2</v>
      </c>
      <c r="N234" s="11">
        <f>GraphEcoli!B$10-('E coli'!J234-GraphEcoli!$B$6)/GraphEcoli!$B$5</f>
        <v>0.45490804682436869</v>
      </c>
      <c r="O234" s="1" t="s">
        <v>567</v>
      </c>
      <c r="P234">
        <v>2001</v>
      </c>
      <c r="V234" s="10">
        <f>GraphEcoli!$B$40*'E coli'!J234+GraphEcoli!$B$41</f>
        <v>0.45490804682436892</v>
      </c>
      <c r="W234" s="10">
        <f>GraphEcoli!$E$40*'E coli'!J234+GraphEcoli!$E$41</f>
        <v>0.45395388418010096</v>
      </c>
      <c r="X234" s="10"/>
    </row>
    <row r="235" spans="1:24" hidden="1" x14ac:dyDescent="0.2">
      <c r="A235" s="1" t="s">
        <v>1329</v>
      </c>
      <c r="B235" s="1" t="s">
        <v>1330</v>
      </c>
      <c r="C235" s="1" t="s">
        <v>1341</v>
      </c>
      <c r="D235" s="1"/>
      <c r="E235" s="1" t="s">
        <v>11</v>
      </c>
      <c r="F235" t="s">
        <v>1262</v>
      </c>
      <c r="G235" s="1" t="s">
        <v>564</v>
      </c>
      <c r="H235" s="27"/>
      <c r="J235" s="23">
        <v>61</v>
      </c>
      <c r="K235" s="11">
        <v>0.32</v>
      </c>
      <c r="M235" s="12">
        <f t="shared" si="8"/>
        <v>-0.49485002168009401</v>
      </c>
      <c r="N235" s="11">
        <f>GraphEcoli!B$10-('E coli'!J235-GraphEcoli!$B$6)/GraphEcoli!$B$5</f>
        <v>0.17276973865402645</v>
      </c>
      <c r="O235" s="1" t="s">
        <v>567</v>
      </c>
      <c r="P235">
        <v>2001</v>
      </c>
      <c r="V235" s="10">
        <f>GraphEcoli!$B$40*'E coli'!J235+GraphEcoli!$B$41</f>
        <v>0.17276973865402656</v>
      </c>
      <c r="W235" s="10">
        <f>GraphEcoli!$E$40*'E coli'!J235+GraphEcoli!$E$41</f>
        <v>0.19133445535980176</v>
      </c>
      <c r="X235" s="10"/>
    </row>
    <row r="236" spans="1:24" hidden="1" x14ac:dyDescent="0.2">
      <c r="A236" s="1" t="s">
        <v>1329</v>
      </c>
      <c r="B236" s="1" t="s">
        <v>1330</v>
      </c>
      <c r="C236" s="1" t="s">
        <v>1341</v>
      </c>
      <c r="D236" s="1"/>
      <c r="E236" s="1" t="s">
        <v>11</v>
      </c>
      <c r="F236" t="s">
        <v>1262</v>
      </c>
      <c r="G236" s="1" t="s">
        <v>564</v>
      </c>
      <c r="H236" s="27"/>
      <c r="J236" s="23">
        <v>63</v>
      </c>
      <c r="K236" s="11">
        <v>0.16</v>
      </c>
      <c r="M236" s="12">
        <f t="shared" si="8"/>
        <v>-0.79588001734407521</v>
      </c>
      <c r="N236" s="11">
        <f>GraphEcoli!B$10-('E coli'!J236-GraphEcoli!$B$6)/GraphEcoli!$B$5</f>
        <v>-1.5322466792868417E-2</v>
      </c>
      <c r="O236" s="1" t="s">
        <v>567</v>
      </c>
      <c r="P236">
        <v>2001</v>
      </c>
      <c r="V236" s="10">
        <f>GraphEcoli!$B$40*'E coli'!J236+GraphEcoli!$B$41</f>
        <v>-1.5322466792868639E-2</v>
      </c>
      <c r="W236" s="10">
        <f>GraphEcoli!$E$40*'E coli'!J236+GraphEcoli!$E$41</f>
        <v>1.6254836146268659E-2</v>
      </c>
      <c r="X236" s="10"/>
    </row>
    <row r="237" spans="1:24" hidden="1" x14ac:dyDescent="0.2">
      <c r="A237" s="1" t="s">
        <v>1329</v>
      </c>
      <c r="B237" s="1" t="s">
        <v>1330</v>
      </c>
      <c r="C237" s="1" t="s">
        <v>1341</v>
      </c>
      <c r="E237" s="1" t="s">
        <v>11</v>
      </c>
      <c r="F237" s="1" t="s">
        <v>1262</v>
      </c>
      <c r="H237" s="10"/>
      <c r="J237" s="23">
        <v>62.8</v>
      </c>
      <c r="K237" s="11">
        <v>0.47</v>
      </c>
      <c r="L237" s="4">
        <v>4.6500000000000004</v>
      </c>
      <c r="M237" s="12">
        <f t="shared" si="8"/>
        <v>-0.32790214206428259</v>
      </c>
      <c r="N237" s="11">
        <f>GraphEcoli!B$10-('E coli'!J237-GraphEcoli!$B$6)/GraphEcoli!$B$5</f>
        <v>3.486753751821281E-3</v>
      </c>
      <c r="O237" s="1" t="s">
        <v>294</v>
      </c>
      <c r="P237">
        <v>2000</v>
      </c>
      <c r="V237" s="10">
        <f>GraphEcoli!$B$40*'E coli'!J237+GraphEcoli!$B$41</f>
        <v>3.486753751821503E-3</v>
      </c>
      <c r="W237" s="10">
        <f>GraphEcoli!$E$40*'E coli'!J237+GraphEcoli!$E$41</f>
        <v>3.3762798067622057E-2</v>
      </c>
      <c r="X237" s="10"/>
    </row>
    <row r="238" spans="1:24" hidden="1" x14ac:dyDescent="0.2">
      <c r="A238" s="1" t="s">
        <v>1329</v>
      </c>
      <c r="B238" s="1" t="s">
        <v>1330</v>
      </c>
      <c r="C238" t="s">
        <v>1341</v>
      </c>
      <c r="E238" t="s">
        <v>11</v>
      </c>
      <c r="F238" s="1" t="s">
        <v>1267</v>
      </c>
      <c r="G238" s="19"/>
      <c r="J238" s="23">
        <v>55</v>
      </c>
      <c r="K238" s="11">
        <v>9.74</v>
      </c>
      <c r="M238" s="12">
        <f t="shared" si="8"/>
        <v>0.9885589568786155</v>
      </c>
      <c r="N238" s="11">
        <f>GraphEcoli!B$10-('E coli'!J238-GraphEcoli!$B$6)/GraphEcoli!$B$5</f>
        <v>0.73704635499471105</v>
      </c>
      <c r="O238" s="1" t="s">
        <v>1093</v>
      </c>
      <c r="P238">
        <v>1997</v>
      </c>
      <c r="V238" s="10">
        <f>GraphEcoli!$B$40*'E coli'!J238+GraphEcoli!$B$41</f>
        <v>0.73704635499471127</v>
      </c>
      <c r="W238" s="10">
        <f>GraphEcoli!$E$40*'E coli'!J238+GraphEcoli!$E$41</f>
        <v>0.71657331300039928</v>
      </c>
      <c r="X238" s="10"/>
    </row>
    <row r="239" spans="1:24" hidden="1" x14ac:dyDescent="0.2">
      <c r="A239" s="1" t="s">
        <v>1329</v>
      </c>
      <c r="B239" s="1" t="s">
        <v>1330</v>
      </c>
      <c r="C239" t="s">
        <v>1341</v>
      </c>
      <c r="E239" t="s">
        <v>11</v>
      </c>
      <c r="F239" s="1" t="s">
        <v>11</v>
      </c>
      <c r="J239" s="23">
        <v>60</v>
      </c>
      <c r="K239" s="11">
        <v>1.8</v>
      </c>
      <c r="M239" s="12">
        <f t="shared" si="8"/>
        <v>0.25527250510330607</v>
      </c>
      <c r="N239" s="11">
        <f>GraphEcoli!B$10-('E coli'!J239-GraphEcoli!$B$6)/GraphEcoli!$B$5</f>
        <v>0.26681584137747383</v>
      </c>
      <c r="O239" s="1" t="s">
        <v>848</v>
      </c>
      <c r="P239">
        <v>2000</v>
      </c>
      <c r="V239" s="10">
        <f>GraphEcoli!$B$40*'E coli'!J239+GraphEcoli!$B$41</f>
        <v>0.26681584137747372</v>
      </c>
      <c r="W239" s="10">
        <f>GraphEcoli!$E$40*'E coli'!J239+GraphEcoli!$E$41</f>
        <v>0.27887426496656786</v>
      </c>
      <c r="X239" s="10"/>
    </row>
    <row r="240" spans="1:24" hidden="1" x14ac:dyDescent="0.2">
      <c r="A240" s="1" t="s">
        <v>1329</v>
      </c>
      <c r="B240" s="1" t="s">
        <v>1330</v>
      </c>
      <c r="C240" t="s">
        <v>1341</v>
      </c>
      <c r="D240" t="s">
        <v>1083</v>
      </c>
      <c r="E240" t="s">
        <v>11</v>
      </c>
      <c r="F240" s="1" t="s">
        <v>1040</v>
      </c>
      <c r="G240" s="1" t="s">
        <v>1041</v>
      </c>
      <c r="J240" s="23">
        <v>55</v>
      </c>
      <c r="K240" s="11">
        <v>35.090000000000003</v>
      </c>
      <c r="M240" s="12">
        <f t="shared" si="8"/>
        <v>1.5451833682154061</v>
      </c>
      <c r="N240" s="11">
        <f>GraphEcoli!B$10-('E coli'!J240-GraphEcoli!$B$6)/GraphEcoli!$B$5</f>
        <v>0.73704635499471105</v>
      </c>
      <c r="O240" s="1" t="s">
        <v>1045</v>
      </c>
      <c r="P240">
        <v>2000</v>
      </c>
      <c r="Q240" t="s">
        <v>1042</v>
      </c>
      <c r="V240" s="10">
        <f>GraphEcoli!$B$40*'E coli'!J240+GraphEcoli!$B$41</f>
        <v>0.73704635499471127</v>
      </c>
      <c r="W240" s="10">
        <f>GraphEcoli!$E$40*'E coli'!J240+GraphEcoli!$E$41</f>
        <v>0.71657331300039928</v>
      </c>
      <c r="X240" s="10"/>
    </row>
    <row r="241" spans="1:24" hidden="1" x14ac:dyDescent="0.2">
      <c r="A241" s="1" t="s">
        <v>1329</v>
      </c>
      <c r="B241" s="1" t="s">
        <v>1330</v>
      </c>
      <c r="C241" t="s">
        <v>1341</v>
      </c>
      <c r="D241" t="s">
        <v>1083</v>
      </c>
      <c r="E241" t="s">
        <v>11</v>
      </c>
      <c r="F241" s="1" t="s">
        <v>1040</v>
      </c>
      <c r="G241" s="1" t="s">
        <v>1041</v>
      </c>
      <c r="J241" s="23">
        <v>55</v>
      </c>
      <c r="K241" s="11">
        <v>39.520000000000003</v>
      </c>
      <c r="M241" s="12">
        <f t="shared" si="8"/>
        <v>1.5968169359155906</v>
      </c>
      <c r="N241" s="11">
        <f>GraphEcoli!B$10-('E coli'!J241-GraphEcoli!$B$6)/GraphEcoli!$B$5</f>
        <v>0.73704635499471105</v>
      </c>
      <c r="O241" s="1" t="s">
        <v>1045</v>
      </c>
      <c r="P241">
        <v>2000</v>
      </c>
      <c r="Q241" t="s">
        <v>1043</v>
      </c>
      <c r="V241" s="10">
        <f>GraphEcoli!$B$40*'E coli'!J241+GraphEcoli!$B$41</f>
        <v>0.73704635499471127</v>
      </c>
      <c r="W241" s="10">
        <f>GraphEcoli!$E$40*'E coli'!J241+GraphEcoli!$E$41</f>
        <v>0.71657331300039928</v>
      </c>
      <c r="X241" s="10"/>
    </row>
    <row r="242" spans="1:24" hidden="1" x14ac:dyDescent="0.2">
      <c r="A242" s="1" t="s">
        <v>1329</v>
      </c>
      <c r="B242" s="1" t="s">
        <v>1330</v>
      </c>
      <c r="C242" t="s">
        <v>1341</v>
      </c>
      <c r="D242" t="s">
        <v>1083</v>
      </c>
      <c r="E242" t="s">
        <v>11</v>
      </c>
      <c r="F242" s="1" t="s">
        <v>1040</v>
      </c>
      <c r="G242" s="1" t="s">
        <v>1041</v>
      </c>
      <c r="J242" s="23">
        <v>55</v>
      </c>
      <c r="K242" s="11">
        <v>39.25</v>
      </c>
      <c r="M242" s="12">
        <f t="shared" si="8"/>
        <v>1.5938396610812713</v>
      </c>
      <c r="N242" s="11">
        <f>GraphEcoli!B$10-('E coli'!J242-GraphEcoli!$B$6)/GraphEcoli!$B$5</f>
        <v>0.73704635499471105</v>
      </c>
      <c r="O242" s="1" t="s">
        <v>1045</v>
      </c>
      <c r="P242">
        <v>2000</v>
      </c>
      <c r="Q242" t="s">
        <v>1042</v>
      </c>
      <c r="V242" s="10">
        <f>GraphEcoli!$B$40*'E coli'!J242+GraphEcoli!$B$41</f>
        <v>0.73704635499471127</v>
      </c>
      <c r="W242" s="10">
        <f>GraphEcoli!$E$40*'E coli'!J242+GraphEcoli!$E$41</f>
        <v>0.71657331300039928</v>
      </c>
      <c r="X242" s="10"/>
    </row>
    <row r="243" spans="1:24" hidden="1" x14ac:dyDescent="0.2">
      <c r="A243" s="1" t="s">
        <v>1329</v>
      </c>
      <c r="B243" s="1" t="s">
        <v>1330</v>
      </c>
      <c r="C243" t="s">
        <v>1341</v>
      </c>
      <c r="D243" t="s">
        <v>1083</v>
      </c>
      <c r="E243" t="s">
        <v>11</v>
      </c>
      <c r="F243" s="1" t="s">
        <v>1040</v>
      </c>
      <c r="G243" s="1" t="s">
        <v>1041</v>
      </c>
      <c r="J243" s="23">
        <v>55</v>
      </c>
      <c r="K243" s="11">
        <v>46.21</v>
      </c>
      <c r="M243" s="12">
        <f t="shared" si="8"/>
        <v>1.6647359685187051</v>
      </c>
      <c r="N243" s="11">
        <f>GraphEcoli!B$10-('E coli'!J243-GraphEcoli!$B$6)/GraphEcoli!$B$5</f>
        <v>0.73704635499471105</v>
      </c>
      <c r="O243" s="1" t="s">
        <v>1045</v>
      </c>
      <c r="P243">
        <v>2000</v>
      </c>
      <c r="Q243" t="s">
        <v>1043</v>
      </c>
      <c r="V243" s="10">
        <f>GraphEcoli!$B$40*'E coli'!J243+GraphEcoli!$B$41</f>
        <v>0.73704635499471127</v>
      </c>
      <c r="W243" s="10">
        <f>GraphEcoli!$E$40*'E coli'!J243+GraphEcoli!$E$41</f>
        <v>0.71657331300039928</v>
      </c>
      <c r="X243" s="10"/>
    </row>
    <row r="244" spans="1:24" hidden="1" x14ac:dyDescent="0.2">
      <c r="A244" s="1" t="s">
        <v>1329</v>
      </c>
      <c r="B244" s="1" t="s">
        <v>1330</v>
      </c>
      <c r="C244" t="s">
        <v>1341</v>
      </c>
      <c r="D244" t="s">
        <v>1083</v>
      </c>
      <c r="E244" t="s">
        <v>11</v>
      </c>
      <c r="F244" s="1" t="s">
        <v>1040</v>
      </c>
      <c r="G244" s="1" t="s">
        <v>1041</v>
      </c>
      <c r="J244" s="23">
        <v>58</v>
      </c>
      <c r="K244" s="11">
        <v>10.97</v>
      </c>
      <c r="M244" s="12">
        <f t="shared" si="8"/>
        <v>1.0402066275747111</v>
      </c>
      <c r="N244" s="11">
        <f>GraphEcoli!B$10-('E coli'!J244-GraphEcoli!$B$6)/GraphEcoli!$B$5</f>
        <v>0.45490804682436869</v>
      </c>
      <c r="O244" s="1" t="s">
        <v>1045</v>
      </c>
      <c r="P244">
        <v>2000</v>
      </c>
      <c r="Q244" t="s">
        <v>1042</v>
      </c>
      <c r="V244" s="10">
        <f>GraphEcoli!$B$40*'E coli'!J244+GraphEcoli!$B$41</f>
        <v>0.45490804682436892</v>
      </c>
      <c r="W244" s="10">
        <f>GraphEcoli!$E$40*'E coli'!J244+GraphEcoli!$E$41</f>
        <v>0.45395388418010096</v>
      </c>
      <c r="X244" s="10"/>
    </row>
    <row r="245" spans="1:24" hidden="1" x14ac:dyDescent="0.2">
      <c r="A245" s="1" t="s">
        <v>1329</v>
      </c>
      <c r="B245" s="1" t="s">
        <v>1330</v>
      </c>
      <c r="C245" t="s">
        <v>1341</v>
      </c>
      <c r="D245" t="s">
        <v>1083</v>
      </c>
      <c r="E245" t="s">
        <v>11</v>
      </c>
      <c r="F245" s="1" t="s">
        <v>1040</v>
      </c>
      <c r="G245" s="1" t="s">
        <v>1041</v>
      </c>
      <c r="J245" s="23">
        <v>58</v>
      </c>
      <c r="K245" s="11">
        <v>17.21</v>
      </c>
      <c r="M245" s="12">
        <f t="shared" si="8"/>
        <v>1.2357808703275603</v>
      </c>
      <c r="N245" s="11">
        <f>GraphEcoli!B$10-('E coli'!J245-GraphEcoli!$B$6)/GraphEcoli!$B$5</f>
        <v>0.45490804682436869</v>
      </c>
      <c r="O245" s="1" t="s">
        <v>1045</v>
      </c>
      <c r="P245">
        <v>2000</v>
      </c>
      <c r="Q245" t="s">
        <v>1043</v>
      </c>
      <c r="V245" s="10">
        <f>GraphEcoli!$B$40*'E coli'!J245+GraphEcoli!$B$41</f>
        <v>0.45490804682436892</v>
      </c>
      <c r="W245" s="10">
        <f>GraphEcoli!$E$40*'E coli'!J245+GraphEcoli!$E$41</f>
        <v>0.45395388418010096</v>
      </c>
      <c r="X245" s="10"/>
    </row>
    <row r="246" spans="1:24" hidden="1" x14ac:dyDescent="0.2">
      <c r="A246" s="1" t="s">
        <v>1329</v>
      </c>
      <c r="B246" s="1" t="s">
        <v>1330</v>
      </c>
      <c r="C246" t="s">
        <v>1341</v>
      </c>
      <c r="D246" t="s">
        <v>1083</v>
      </c>
      <c r="E246" t="s">
        <v>11</v>
      </c>
      <c r="F246" s="1" t="s">
        <v>1040</v>
      </c>
      <c r="G246" s="1" t="s">
        <v>1041</v>
      </c>
      <c r="J246" s="23">
        <v>58</v>
      </c>
      <c r="K246" s="11">
        <v>14.81</v>
      </c>
      <c r="M246" s="12">
        <f t="shared" si="8"/>
        <v>1.1705550585212086</v>
      </c>
      <c r="N246" s="11">
        <f>GraphEcoli!B$10-('E coli'!J246-GraphEcoli!$B$6)/GraphEcoli!$B$5</f>
        <v>0.45490804682436869</v>
      </c>
      <c r="O246" s="1" t="s">
        <v>1045</v>
      </c>
      <c r="P246">
        <v>2000</v>
      </c>
      <c r="Q246" t="s">
        <v>1042</v>
      </c>
      <c r="V246" s="10">
        <f>GraphEcoli!$B$40*'E coli'!J246+GraphEcoli!$B$41</f>
        <v>0.45490804682436892</v>
      </c>
      <c r="W246" s="10">
        <f>GraphEcoli!$E$40*'E coli'!J246+GraphEcoli!$E$41</f>
        <v>0.45395388418010096</v>
      </c>
      <c r="X246" s="10"/>
    </row>
    <row r="247" spans="1:24" hidden="1" x14ac:dyDescent="0.2">
      <c r="A247" s="1" t="s">
        <v>1329</v>
      </c>
      <c r="B247" s="1" t="s">
        <v>1330</v>
      </c>
      <c r="C247" t="s">
        <v>1341</v>
      </c>
      <c r="D247" t="s">
        <v>1083</v>
      </c>
      <c r="E247" t="s">
        <v>11</v>
      </c>
      <c r="F247" s="1" t="s">
        <v>1040</v>
      </c>
      <c r="G247" s="1" t="s">
        <v>1041</v>
      </c>
      <c r="J247" s="23">
        <v>58</v>
      </c>
      <c r="K247" s="11">
        <v>18.39</v>
      </c>
      <c r="M247" s="12">
        <f t="shared" si="8"/>
        <v>1.2645817292380774</v>
      </c>
      <c r="N247" s="11">
        <f>GraphEcoli!B$10-('E coli'!J247-GraphEcoli!$B$6)/GraphEcoli!$B$5</f>
        <v>0.45490804682436869</v>
      </c>
      <c r="O247" s="1" t="s">
        <v>1045</v>
      </c>
      <c r="P247">
        <v>2000</v>
      </c>
      <c r="Q247" t="s">
        <v>1043</v>
      </c>
      <c r="V247" s="10">
        <f>GraphEcoli!$B$40*'E coli'!J247+GraphEcoli!$B$41</f>
        <v>0.45490804682436892</v>
      </c>
      <c r="W247" s="10">
        <f>GraphEcoli!$E$40*'E coli'!J247+GraphEcoli!$E$41</f>
        <v>0.45395388418010096</v>
      </c>
      <c r="X247" s="10"/>
    </row>
    <row r="248" spans="1:24" hidden="1" x14ac:dyDescent="0.2">
      <c r="A248" s="1" t="s">
        <v>1329</v>
      </c>
      <c r="B248" s="1" t="s">
        <v>1330</v>
      </c>
      <c r="C248" t="s">
        <v>1341</v>
      </c>
      <c r="D248" t="s">
        <v>1083</v>
      </c>
      <c r="E248" t="s">
        <v>11</v>
      </c>
      <c r="F248" s="1" t="s">
        <v>1040</v>
      </c>
      <c r="G248" s="1" t="s">
        <v>1041</v>
      </c>
      <c r="J248" s="23">
        <v>60</v>
      </c>
      <c r="K248" s="11">
        <v>3.62</v>
      </c>
      <c r="M248" s="12">
        <f t="shared" si="8"/>
        <v>0.55870857053316569</v>
      </c>
      <c r="N248" s="11">
        <f>GraphEcoli!B$10-('E coli'!J248-GraphEcoli!$B$6)/GraphEcoli!$B$5</f>
        <v>0.26681584137747383</v>
      </c>
      <c r="O248" s="1" t="s">
        <v>1045</v>
      </c>
      <c r="P248">
        <v>2000</v>
      </c>
      <c r="Q248" t="s">
        <v>1042</v>
      </c>
      <c r="V248" s="10">
        <f>GraphEcoli!$B$40*'E coli'!J248+GraphEcoli!$B$41</f>
        <v>0.26681584137747372</v>
      </c>
      <c r="W248" s="10">
        <f>GraphEcoli!$E$40*'E coli'!J248+GraphEcoli!$E$41</f>
        <v>0.27887426496656786</v>
      </c>
      <c r="X248" s="10"/>
    </row>
    <row r="249" spans="1:24" hidden="1" x14ac:dyDescent="0.2">
      <c r="A249" s="1" t="s">
        <v>1329</v>
      </c>
      <c r="B249" s="1" t="s">
        <v>1330</v>
      </c>
      <c r="C249" t="s">
        <v>1341</v>
      </c>
      <c r="D249" t="s">
        <v>1083</v>
      </c>
      <c r="E249" t="s">
        <v>11</v>
      </c>
      <c r="F249" s="1" t="s">
        <v>1040</v>
      </c>
      <c r="G249" s="1" t="s">
        <v>1041</v>
      </c>
      <c r="J249" s="23">
        <v>60</v>
      </c>
      <c r="K249" s="11">
        <v>5.87</v>
      </c>
      <c r="M249" s="12">
        <f t="shared" si="8"/>
        <v>0.76863810124761445</v>
      </c>
      <c r="N249" s="11">
        <f>GraphEcoli!B$10-('E coli'!J249-GraphEcoli!$B$6)/GraphEcoli!$B$5</f>
        <v>0.26681584137747383</v>
      </c>
      <c r="O249" s="1" t="s">
        <v>1045</v>
      </c>
      <c r="P249">
        <v>2000</v>
      </c>
      <c r="Q249" t="s">
        <v>1043</v>
      </c>
      <c r="V249" s="10">
        <f>GraphEcoli!$B$40*'E coli'!J249+GraphEcoli!$B$41</f>
        <v>0.26681584137747372</v>
      </c>
      <c r="W249" s="10">
        <f>GraphEcoli!$E$40*'E coli'!J249+GraphEcoli!$E$41</f>
        <v>0.27887426496656786</v>
      </c>
      <c r="X249" s="10"/>
    </row>
    <row r="250" spans="1:24" hidden="1" x14ac:dyDescent="0.2">
      <c r="A250" s="1" t="s">
        <v>1329</v>
      </c>
      <c r="B250" s="1" t="s">
        <v>1330</v>
      </c>
      <c r="C250" t="s">
        <v>1341</v>
      </c>
      <c r="D250" t="s">
        <v>1083</v>
      </c>
      <c r="E250" t="s">
        <v>11</v>
      </c>
      <c r="F250" s="1" t="s">
        <v>1040</v>
      </c>
      <c r="G250" s="1" t="s">
        <v>1041</v>
      </c>
      <c r="J250" s="23">
        <v>60</v>
      </c>
      <c r="K250" s="11">
        <v>5.36</v>
      </c>
      <c r="M250" s="12">
        <f t="shared" si="8"/>
        <v>0.7291647896927701</v>
      </c>
      <c r="N250" s="11">
        <f>GraphEcoli!B$10-('E coli'!J250-GraphEcoli!$B$6)/GraphEcoli!$B$5</f>
        <v>0.26681584137747383</v>
      </c>
      <c r="O250" s="1" t="s">
        <v>1045</v>
      </c>
      <c r="P250">
        <v>2000</v>
      </c>
      <c r="Q250" t="s">
        <v>1042</v>
      </c>
      <c r="V250" s="10">
        <f>GraphEcoli!$B$40*'E coli'!J250+GraphEcoli!$B$41</f>
        <v>0.26681584137747372</v>
      </c>
      <c r="W250" s="10">
        <f>GraphEcoli!$E$40*'E coli'!J250+GraphEcoli!$E$41</f>
        <v>0.27887426496656786</v>
      </c>
      <c r="X250" s="10"/>
    </row>
    <row r="251" spans="1:24" hidden="1" x14ac:dyDescent="0.2">
      <c r="A251" s="1" t="s">
        <v>1329</v>
      </c>
      <c r="B251" s="1" t="s">
        <v>1330</v>
      </c>
      <c r="C251" t="s">
        <v>1341</v>
      </c>
      <c r="D251" t="s">
        <v>1083</v>
      </c>
      <c r="E251" t="s">
        <v>11</v>
      </c>
      <c r="F251" s="1" t="s">
        <v>1040</v>
      </c>
      <c r="G251" s="1" t="s">
        <v>1041</v>
      </c>
      <c r="J251" s="23">
        <v>60</v>
      </c>
      <c r="K251" s="11">
        <v>6.73</v>
      </c>
      <c r="M251" s="12">
        <f t="shared" si="8"/>
        <v>0.82801506422397686</v>
      </c>
      <c r="N251" s="11">
        <f>GraphEcoli!B$10-('E coli'!J251-GraphEcoli!$B$6)/GraphEcoli!$B$5</f>
        <v>0.26681584137747383</v>
      </c>
      <c r="O251" s="1" t="s">
        <v>1045</v>
      </c>
      <c r="P251">
        <v>2000</v>
      </c>
      <c r="Q251" t="s">
        <v>1043</v>
      </c>
      <c r="V251" s="10">
        <f>GraphEcoli!$B$40*'E coli'!J251+GraphEcoli!$B$41</f>
        <v>0.26681584137747372</v>
      </c>
      <c r="W251" s="10">
        <f>GraphEcoli!$E$40*'E coli'!J251+GraphEcoli!$E$41</f>
        <v>0.27887426496656786</v>
      </c>
      <c r="X251" s="10"/>
    </row>
    <row r="252" spans="1:24" hidden="1" x14ac:dyDescent="0.2">
      <c r="A252" s="1" t="s">
        <v>1329</v>
      </c>
      <c r="B252" s="1" t="s">
        <v>1330</v>
      </c>
      <c r="C252" t="s">
        <v>1341</v>
      </c>
      <c r="D252" t="s">
        <v>1083</v>
      </c>
      <c r="E252" t="s">
        <v>11</v>
      </c>
      <c r="F252" s="1" t="s">
        <v>1040</v>
      </c>
      <c r="G252" s="1" t="s">
        <v>1041</v>
      </c>
      <c r="J252" s="23">
        <v>62</v>
      </c>
      <c r="K252" s="11">
        <v>1.33</v>
      </c>
      <c r="M252" s="12">
        <f t="shared" si="8"/>
        <v>0.12385164096708581</v>
      </c>
      <c r="N252" s="11">
        <f>GraphEcoli!B$10-('E coli'!J252-GraphEcoli!$B$6)/GraphEcoli!$B$5</f>
        <v>7.8723635930578961E-2</v>
      </c>
      <c r="O252" s="1" t="s">
        <v>1045</v>
      </c>
      <c r="P252">
        <v>2000</v>
      </c>
      <c r="Q252" t="s">
        <v>1042</v>
      </c>
      <c r="V252" s="10">
        <f>GraphEcoli!$B$40*'E coli'!J252+GraphEcoli!$B$41</f>
        <v>7.8723635930579405E-2</v>
      </c>
      <c r="W252" s="10">
        <f>GraphEcoli!$E$40*'E coli'!J252+GraphEcoli!$E$41</f>
        <v>0.10379464575303476</v>
      </c>
      <c r="X252" s="10"/>
    </row>
    <row r="253" spans="1:24" hidden="1" x14ac:dyDescent="0.2">
      <c r="A253" s="1" t="s">
        <v>1329</v>
      </c>
      <c r="B253" s="1" t="s">
        <v>1330</v>
      </c>
      <c r="C253" t="s">
        <v>1341</v>
      </c>
      <c r="D253" t="s">
        <v>1083</v>
      </c>
      <c r="E253" t="s">
        <v>11</v>
      </c>
      <c r="F253" s="1" t="s">
        <v>1040</v>
      </c>
      <c r="G253" s="1" t="s">
        <v>1041</v>
      </c>
      <c r="J253" s="23">
        <v>62</v>
      </c>
      <c r="K253" s="11">
        <v>2.2999999999999998</v>
      </c>
      <c r="M253" s="12">
        <f t="shared" si="8"/>
        <v>0.36172783601759284</v>
      </c>
      <c r="N253" s="11">
        <f>GraphEcoli!B$10-('E coli'!J253-GraphEcoli!$B$6)/GraphEcoli!$B$5</f>
        <v>7.8723635930578961E-2</v>
      </c>
      <c r="O253" s="1" t="s">
        <v>1045</v>
      </c>
      <c r="P253">
        <v>2000</v>
      </c>
      <c r="Q253" t="s">
        <v>1043</v>
      </c>
      <c r="V253" s="10">
        <f>GraphEcoli!$B$40*'E coli'!J253+GraphEcoli!$B$41</f>
        <v>7.8723635930579405E-2</v>
      </c>
      <c r="W253" s="10">
        <f>GraphEcoli!$E$40*'E coli'!J253+GraphEcoli!$E$41</f>
        <v>0.10379464575303476</v>
      </c>
      <c r="X253" s="10"/>
    </row>
    <row r="254" spans="1:24" hidden="1" x14ac:dyDescent="0.2">
      <c r="A254" s="1" t="s">
        <v>1329</v>
      </c>
      <c r="B254" s="1" t="s">
        <v>1330</v>
      </c>
      <c r="C254" t="s">
        <v>1341</v>
      </c>
      <c r="D254" t="s">
        <v>1083</v>
      </c>
      <c r="E254" t="s">
        <v>11</v>
      </c>
      <c r="F254" s="1" t="s">
        <v>1040</v>
      </c>
      <c r="G254" s="1" t="s">
        <v>1041</v>
      </c>
      <c r="J254" s="23">
        <v>62</v>
      </c>
      <c r="K254" s="11">
        <v>1.89</v>
      </c>
      <c r="M254" s="12">
        <f t="shared" si="8"/>
        <v>0.27646180417324412</v>
      </c>
      <c r="N254" s="11">
        <f>GraphEcoli!B$10-('E coli'!J254-GraphEcoli!$B$6)/GraphEcoli!$B$5</f>
        <v>7.8723635930578961E-2</v>
      </c>
      <c r="O254" s="1" t="s">
        <v>1045</v>
      </c>
      <c r="P254">
        <v>2000</v>
      </c>
      <c r="Q254" t="s">
        <v>1042</v>
      </c>
      <c r="V254" s="10">
        <f>GraphEcoli!$B$40*'E coli'!J254+GraphEcoli!$B$41</f>
        <v>7.8723635930579405E-2</v>
      </c>
      <c r="W254" s="10">
        <f>GraphEcoli!$E$40*'E coli'!J254+GraphEcoli!$E$41</f>
        <v>0.10379464575303476</v>
      </c>
      <c r="X254" s="10"/>
    </row>
    <row r="255" spans="1:24" hidden="1" x14ac:dyDescent="0.2">
      <c r="A255" s="1" t="s">
        <v>1329</v>
      </c>
      <c r="B255" s="1" t="s">
        <v>1330</v>
      </c>
      <c r="C255" t="s">
        <v>1341</v>
      </c>
      <c r="D255" t="s">
        <v>1083</v>
      </c>
      <c r="E255" t="s">
        <v>11</v>
      </c>
      <c r="F255" s="1" t="s">
        <v>1040</v>
      </c>
      <c r="G255" s="1" t="s">
        <v>1041</v>
      </c>
      <c r="J255" s="23">
        <v>62</v>
      </c>
      <c r="K255" s="11">
        <v>2.48</v>
      </c>
      <c r="M255" s="12">
        <f t="shared" si="8"/>
        <v>0.39445168082621629</v>
      </c>
      <c r="N255" s="11">
        <f>GraphEcoli!B$10-('E coli'!J255-GraphEcoli!$B$6)/GraphEcoli!$B$5</f>
        <v>7.8723635930578961E-2</v>
      </c>
      <c r="O255" s="1" t="s">
        <v>1045</v>
      </c>
      <c r="P255">
        <v>2000</v>
      </c>
      <c r="Q255" t="s">
        <v>1043</v>
      </c>
      <c r="V255" s="10">
        <f>GraphEcoli!$B$40*'E coli'!J255+GraphEcoli!$B$41</f>
        <v>7.8723635930579405E-2</v>
      </c>
      <c r="W255" s="10">
        <f>GraphEcoli!$E$40*'E coli'!J255+GraphEcoli!$E$41</f>
        <v>0.10379464575303476</v>
      </c>
      <c r="X255" s="10"/>
    </row>
    <row r="256" spans="1:24" hidden="1" x14ac:dyDescent="0.2">
      <c r="A256" s="1" t="s">
        <v>1329</v>
      </c>
      <c r="B256" s="1" t="s">
        <v>1330</v>
      </c>
      <c r="C256" t="s">
        <v>1341</v>
      </c>
      <c r="D256" t="s">
        <v>1083</v>
      </c>
      <c r="E256" t="s">
        <v>11</v>
      </c>
      <c r="F256" s="1" t="s">
        <v>1040</v>
      </c>
      <c r="G256" t="s">
        <v>1044</v>
      </c>
      <c r="I256" s="4">
        <v>4.5</v>
      </c>
      <c r="J256" s="23">
        <v>55</v>
      </c>
      <c r="K256" s="11">
        <v>17.62</v>
      </c>
      <c r="M256" s="12">
        <f t="shared" si="8"/>
        <v>1.2460059040760292</v>
      </c>
      <c r="N256" s="11">
        <f>GraphEcoli!B$10-('E coli'!J256-GraphEcoli!$B$6)/GraphEcoli!$B$5</f>
        <v>0.73704635499471105</v>
      </c>
      <c r="O256" s="1" t="s">
        <v>1045</v>
      </c>
      <c r="P256">
        <v>2000</v>
      </c>
      <c r="Q256" t="s">
        <v>1042</v>
      </c>
      <c r="V256" s="10">
        <f>GraphEcoli!$B$40*'E coli'!J256+GraphEcoli!$B$41</f>
        <v>0.73704635499471127</v>
      </c>
      <c r="W256" s="10">
        <f>GraphEcoli!$E$40*'E coli'!J256+GraphEcoli!$E$41</f>
        <v>0.71657331300039928</v>
      </c>
      <c r="X256" s="10"/>
    </row>
    <row r="257" spans="1:24" hidden="1" x14ac:dyDescent="0.2">
      <c r="A257" s="1" t="s">
        <v>1329</v>
      </c>
      <c r="B257" s="1" t="s">
        <v>1330</v>
      </c>
      <c r="C257" t="s">
        <v>1341</v>
      </c>
      <c r="D257" t="s">
        <v>1083</v>
      </c>
      <c r="E257" t="s">
        <v>11</v>
      </c>
      <c r="F257" s="1" t="s">
        <v>1040</v>
      </c>
      <c r="G257" t="s">
        <v>1044</v>
      </c>
      <c r="I257" s="4">
        <v>4.5</v>
      </c>
      <c r="J257" s="23">
        <v>55</v>
      </c>
      <c r="K257" s="11">
        <v>16.010000000000002</v>
      </c>
      <c r="M257" s="12">
        <f t="shared" si="8"/>
        <v>1.2043913319192998</v>
      </c>
      <c r="N257" s="11">
        <f>GraphEcoli!B$10-('E coli'!J257-GraphEcoli!$B$6)/GraphEcoli!$B$5</f>
        <v>0.73704635499471105</v>
      </c>
      <c r="O257" s="1" t="s">
        <v>1045</v>
      </c>
      <c r="P257">
        <v>2000</v>
      </c>
      <c r="Q257" t="s">
        <v>1043</v>
      </c>
      <c r="V257" s="10">
        <f>GraphEcoli!$B$40*'E coli'!J257+GraphEcoli!$B$41</f>
        <v>0.73704635499471127</v>
      </c>
      <c r="W257" s="10">
        <f>GraphEcoli!$E$40*'E coli'!J257+GraphEcoli!$E$41</f>
        <v>0.71657331300039928</v>
      </c>
      <c r="X257" s="10"/>
    </row>
    <row r="258" spans="1:24" hidden="1" x14ac:dyDescent="0.2">
      <c r="A258" s="1" t="s">
        <v>1329</v>
      </c>
      <c r="B258" s="1" t="s">
        <v>1330</v>
      </c>
      <c r="C258" t="s">
        <v>1341</v>
      </c>
      <c r="D258" t="s">
        <v>1083</v>
      </c>
      <c r="E258" t="s">
        <v>11</v>
      </c>
      <c r="F258" s="1" t="s">
        <v>1040</v>
      </c>
      <c r="G258" t="s">
        <v>1044</v>
      </c>
      <c r="I258" s="4">
        <v>4.5</v>
      </c>
      <c r="J258" s="23">
        <v>58</v>
      </c>
      <c r="K258" s="11">
        <v>4.51</v>
      </c>
      <c r="M258" s="12">
        <f t="shared" si="8"/>
        <v>0.65417654187796048</v>
      </c>
      <c r="N258" s="11">
        <f>GraphEcoli!B$10-('E coli'!J258-GraphEcoli!$B$6)/GraphEcoli!$B$5</f>
        <v>0.45490804682436869</v>
      </c>
      <c r="O258" s="1" t="s">
        <v>1045</v>
      </c>
      <c r="P258">
        <v>2000</v>
      </c>
      <c r="Q258" t="s">
        <v>1042</v>
      </c>
      <c r="V258" s="10">
        <f>GraphEcoli!$B$40*'E coli'!J258+GraphEcoli!$B$41</f>
        <v>0.45490804682436892</v>
      </c>
      <c r="W258" s="10">
        <f>GraphEcoli!$E$40*'E coli'!J258+GraphEcoli!$E$41</f>
        <v>0.45395388418010096</v>
      </c>
      <c r="X258" s="10"/>
    </row>
    <row r="259" spans="1:24" hidden="1" x14ac:dyDescent="0.2">
      <c r="A259" s="1" t="s">
        <v>1329</v>
      </c>
      <c r="B259" s="1" t="s">
        <v>1330</v>
      </c>
      <c r="C259" t="s">
        <v>1341</v>
      </c>
      <c r="D259" t="s">
        <v>1083</v>
      </c>
      <c r="E259" t="s">
        <v>11</v>
      </c>
      <c r="F259" s="1" t="s">
        <v>1040</v>
      </c>
      <c r="G259" t="s">
        <v>1044</v>
      </c>
      <c r="I259" s="4">
        <v>4.5</v>
      </c>
      <c r="J259" s="23">
        <v>58</v>
      </c>
      <c r="K259" s="11">
        <v>4.0999999999999996</v>
      </c>
      <c r="M259" s="12">
        <f t="shared" si="8"/>
        <v>0.61278385671973545</v>
      </c>
      <c r="N259" s="11">
        <f>GraphEcoli!B$10-('E coli'!J259-GraphEcoli!$B$6)/GraphEcoli!$B$5</f>
        <v>0.45490804682436869</v>
      </c>
      <c r="O259" s="1" t="s">
        <v>1045</v>
      </c>
      <c r="P259">
        <v>2000</v>
      </c>
      <c r="Q259" t="s">
        <v>1043</v>
      </c>
      <c r="V259" s="10">
        <f>GraphEcoli!$B$40*'E coli'!J259+GraphEcoli!$B$41</f>
        <v>0.45490804682436892</v>
      </c>
      <c r="W259" s="10">
        <f>GraphEcoli!$E$40*'E coli'!J259+GraphEcoli!$E$41</f>
        <v>0.45395388418010096</v>
      </c>
      <c r="X259" s="10"/>
    </row>
    <row r="260" spans="1:24" hidden="1" x14ac:dyDescent="0.2">
      <c r="A260" s="1" t="s">
        <v>1329</v>
      </c>
      <c r="B260" s="1" t="s">
        <v>1330</v>
      </c>
      <c r="C260" t="s">
        <v>1341</v>
      </c>
      <c r="D260" t="s">
        <v>1083</v>
      </c>
      <c r="E260" t="s">
        <v>11</v>
      </c>
      <c r="F260" s="1" t="s">
        <v>1040</v>
      </c>
      <c r="G260" t="s">
        <v>1044</v>
      </c>
      <c r="I260" s="4">
        <v>4.5</v>
      </c>
      <c r="J260" s="23">
        <v>60</v>
      </c>
      <c r="K260" s="11">
        <v>4.37</v>
      </c>
      <c r="M260" s="12">
        <f t="shared" si="8"/>
        <v>0.64048143697042181</v>
      </c>
      <c r="N260" s="11">
        <f>GraphEcoli!B$10-('E coli'!J260-GraphEcoli!$B$6)/GraphEcoli!$B$5</f>
        <v>0.26681584137747383</v>
      </c>
      <c r="O260" s="1" t="s">
        <v>1045</v>
      </c>
      <c r="P260">
        <v>2000</v>
      </c>
      <c r="Q260" t="s">
        <v>1042</v>
      </c>
      <c r="V260" s="10">
        <f>GraphEcoli!$B$40*'E coli'!J260+GraphEcoli!$B$41</f>
        <v>0.26681584137747372</v>
      </c>
      <c r="W260" s="10">
        <f>GraphEcoli!$E$40*'E coli'!J260+GraphEcoli!$E$41</f>
        <v>0.27887426496656786</v>
      </c>
      <c r="X260" s="10"/>
    </row>
    <row r="261" spans="1:24" hidden="1" x14ac:dyDescent="0.2">
      <c r="A261" s="1" t="s">
        <v>1329</v>
      </c>
      <c r="B261" s="1" t="s">
        <v>1330</v>
      </c>
      <c r="C261" t="s">
        <v>1341</v>
      </c>
      <c r="D261" t="s">
        <v>1083</v>
      </c>
      <c r="E261" t="s">
        <v>11</v>
      </c>
      <c r="F261" s="1" t="s">
        <v>1040</v>
      </c>
      <c r="G261" t="s">
        <v>1044</v>
      </c>
      <c r="I261" s="4">
        <v>4.5</v>
      </c>
      <c r="J261" s="23">
        <v>60</v>
      </c>
      <c r="K261" s="11">
        <v>6.12</v>
      </c>
      <c r="M261" s="12">
        <f t="shared" si="8"/>
        <v>0.78675142214556115</v>
      </c>
      <c r="N261" s="11">
        <f>GraphEcoli!B$10-('E coli'!J261-GraphEcoli!$B$6)/GraphEcoli!$B$5</f>
        <v>0.26681584137747383</v>
      </c>
      <c r="O261" s="1" t="s">
        <v>1045</v>
      </c>
      <c r="P261">
        <v>2000</v>
      </c>
      <c r="Q261" t="s">
        <v>1043</v>
      </c>
      <c r="V261" s="10">
        <f>GraphEcoli!$B$40*'E coli'!J261+GraphEcoli!$B$41</f>
        <v>0.26681584137747372</v>
      </c>
      <c r="W261" s="10">
        <f>GraphEcoli!$E$40*'E coli'!J261+GraphEcoli!$E$41</f>
        <v>0.27887426496656786</v>
      </c>
      <c r="X261" s="10"/>
    </row>
    <row r="262" spans="1:24" hidden="1" x14ac:dyDescent="0.2">
      <c r="A262" s="1" t="s">
        <v>1329</v>
      </c>
      <c r="B262" s="1" t="s">
        <v>1330</v>
      </c>
      <c r="C262" t="s">
        <v>1341</v>
      </c>
      <c r="D262" t="s">
        <v>1083</v>
      </c>
      <c r="E262" t="s">
        <v>11</v>
      </c>
      <c r="F262" s="1" t="s">
        <v>1040</v>
      </c>
      <c r="G262" t="s">
        <v>1044</v>
      </c>
      <c r="I262" s="4">
        <v>4.5</v>
      </c>
      <c r="J262" s="23">
        <v>62</v>
      </c>
      <c r="K262" s="11">
        <v>1.25</v>
      </c>
      <c r="M262" s="12">
        <f t="shared" si="8"/>
        <v>9.691001300805642E-2</v>
      </c>
      <c r="N262" s="11">
        <f>GraphEcoli!B$10-('E coli'!J262-GraphEcoli!$B$6)/GraphEcoli!$B$5</f>
        <v>7.8723635930578961E-2</v>
      </c>
      <c r="O262" s="1" t="s">
        <v>1045</v>
      </c>
      <c r="P262">
        <v>2000</v>
      </c>
      <c r="Q262" t="s">
        <v>1042</v>
      </c>
      <c r="V262" s="10">
        <f>GraphEcoli!$B$40*'E coli'!J262+GraphEcoli!$B$41</f>
        <v>7.8723635930579405E-2</v>
      </c>
      <c r="W262" s="10">
        <f>GraphEcoli!$E$40*'E coli'!J262+GraphEcoli!$E$41</f>
        <v>0.10379464575303476</v>
      </c>
      <c r="X262" s="10"/>
    </row>
    <row r="263" spans="1:24" hidden="1" x14ac:dyDescent="0.2">
      <c r="A263" s="1" t="s">
        <v>1329</v>
      </c>
      <c r="B263" s="1" t="s">
        <v>1330</v>
      </c>
      <c r="C263" t="s">
        <v>1341</v>
      </c>
      <c r="D263" t="s">
        <v>1083</v>
      </c>
      <c r="E263" t="s">
        <v>11</v>
      </c>
      <c r="F263" s="1" t="s">
        <v>1040</v>
      </c>
      <c r="G263" t="s">
        <v>1044</v>
      </c>
      <c r="I263" s="4">
        <v>4.5</v>
      </c>
      <c r="J263" s="23">
        <v>62</v>
      </c>
      <c r="K263" s="11">
        <v>1.1599999999999999</v>
      </c>
      <c r="M263" s="12">
        <f t="shared" si="8"/>
        <v>6.445798922691845E-2</v>
      </c>
      <c r="N263" s="11">
        <f>GraphEcoli!B$10-('E coli'!J263-GraphEcoli!$B$6)/GraphEcoli!$B$5</f>
        <v>7.8723635930578961E-2</v>
      </c>
      <c r="O263" s="1" t="s">
        <v>1045</v>
      </c>
      <c r="P263">
        <v>2000</v>
      </c>
      <c r="Q263" t="s">
        <v>1043</v>
      </c>
      <c r="V263" s="10">
        <f>GraphEcoli!$B$40*'E coli'!J263+GraphEcoli!$B$41</f>
        <v>7.8723635930579405E-2</v>
      </c>
      <c r="W263" s="10">
        <f>GraphEcoli!$E$40*'E coli'!J263+GraphEcoli!$E$41</f>
        <v>0.10379464575303476</v>
      </c>
      <c r="X263" s="10"/>
    </row>
    <row r="264" spans="1:24" hidden="1" x14ac:dyDescent="0.2">
      <c r="A264" s="1" t="s">
        <v>1329</v>
      </c>
      <c r="B264" s="1" t="s">
        <v>1330</v>
      </c>
      <c r="C264" t="s">
        <v>1341</v>
      </c>
      <c r="D264" t="s">
        <v>1083</v>
      </c>
      <c r="E264" t="s">
        <v>11</v>
      </c>
      <c r="F264" s="1" t="s">
        <v>1040</v>
      </c>
      <c r="G264" t="s">
        <v>1044</v>
      </c>
      <c r="I264" s="4">
        <v>4.8</v>
      </c>
      <c r="J264" s="23">
        <v>55</v>
      </c>
      <c r="K264" s="11">
        <v>22.1</v>
      </c>
      <c r="M264" s="12">
        <f t="shared" si="8"/>
        <v>1.3443922736851108</v>
      </c>
      <c r="N264" s="11">
        <f>GraphEcoli!B$10-('E coli'!J264-GraphEcoli!$B$6)/GraphEcoli!$B$5</f>
        <v>0.73704635499471105</v>
      </c>
      <c r="O264" s="1" t="s">
        <v>1045</v>
      </c>
      <c r="P264">
        <v>2000</v>
      </c>
      <c r="Q264" t="s">
        <v>1042</v>
      </c>
      <c r="V264" s="10">
        <f>GraphEcoli!$B$40*'E coli'!J264+GraphEcoli!$B$41</f>
        <v>0.73704635499471127</v>
      </c>
      <c r="W264" s="10">
        <f>GraphEcoli!$E$40*'E coli'!J264+GraphEcoli!$E$41</f>
        <v>0.71657331300039928</v>
      </c>
      <c r="X264" s="10"/>
    </row>
    <row r="265" spans="1:24" hidden="1" x14ac:dyDescent="0.2">
      <c r="A265" s="1" t="s">
        <v>1329</v>
      </c>
      <c r="B265" s="1" t="s">
        <v>1330</v>
      </c>
      <c r="C265" t="s">
        <v>1341</v>
      </c>
      <c r="D265" t="s">
        <v>1083</v>
      </c>
      <c r="E265" t="s">
        <v>11</v>
      </c>
      <c r="F265" s="1" t="s">
        <v>1040</v>
      </c>
      <c r="G265" t="s">
        <v>1044</v>
      </c>
      <c r="I265" s="4">
        <v>4.8</v>
      </c>
      <c r="J265" s="23">
        <v>55</v>
      </c>
      <c r="K265" s="11">
        <v>62.02</v>
      </c>
      <c r="M265" s="12">
        <f t="shared" si="8"/>
        <v>1.7925317619013077</v>
      </c>
      <c r="N265" s="11">
        <f>GraphEcoli!B$10-('E coli'!J265-GraphEcoli!$B$6)/GraphEcoli!$B$5</f>
        <v>0.73704635499471105</v>
      </c>
      <c r="O265" s="1" t="s">
        <v>1045</v>
      </c>
      <c r="P265">
        <v>2000</v>
      </c>
      <c r="Q265" t="s">
        <v>1043</v>
      </c>
      <c r="V265" s="10">
        <f>GraphEcoli!$B$40*'E coli'!J265+GraphEcoli!$B$41</f>
        <v>0.73704635499471127</v>
      </c>
      <c r="W265" s="10">
        <f>GraphEcoli!$E$40*'E coli'!J265+GraphEcoli!$E$41</f>
        <v>0.71657331300039928</v>
      </c>
      <c r="X265" s="10"/>
    </row>
    <row r="266" spans="1:24" hidden="1" x14ac:dyDescent="0.2">
      <c r="A266" s="1" t="s">
        <v>1329</v>
      </c>
      <c r="B266" s="1" t="s">
        <v>1330</v>
      </c>
      <c r="C266" t="s">
        <v>1341</v>
      </c>
      <c r="D266" t="s">
        <v>1083</v>
      </c>
      <c r="E266" t="s">
        <v>11</v>
      </c>
      <c r="F266" s="1" t="s">
        <v>1040</v>
      </c>
      <c r="G266" t="s">
        <v>1044</v>
      </c>
      <c r="I266" s="4">
        <v>4.8</v>
      </c>
      <c r="J266" s="23">
        <v>58</v>
      </c>
      <c r="K266" s="11">
        <v>5.22</v>
      </c>
      <c r="M266" s="12">
        <f t="shared" si="8"/>
        <v>0.71767050300226209</v>
      </c>
      <c r="N266" s="11">
        <f>GraphEcoli!B$10-('E coli'!J266-GraphEcoli!$B$6)/GraphEcoli!$B$5</f>
        <v>0.45490804682436869</v>
      </c>
      <c r="O266" s="1" t="s">
        <v>1045</v>
      </c>
      <c r="P266">
        <v>2000</v>
      </c>
      <c r="Q266" t="s">
        <v>1042</v>
      </c>
      <c r="V266" s="10">
        <f>GraphEcoli!$B$40*'E coli'!J266+GraphEcoli!$B$41</f>
        <v>0.45490804682436892</v>
      </c>
      <c r="W266" s="10">
        <f>GraphEcoli!$E$40*'E coli'!J266+GraphEcoli!$E$41</f>
        <v>0.45395388418010096</v>
      </c>
      <c r="X266" s="10"/>
    </row>
    <row r="267" spans="1:24" hidden="1" x14ac:dyDescent="0.2">
      <c r="A267" s="1" t="s">
        <v>1329</v>
      </c>
      <c r="B267" s="1" t="s">
        <v>1330</v>
      </c>
      <c r="C267" t="s">
        <v>1341</v>
      </c>
      <c r="D267" t="s">
        <v>1083</v>
      </c>
      <c r="E267" t="s">
        <v>11</v>
      </c>
      <c r="F267" s="1" t="s">
        <v>1040</v>
      </c>
      <c r="G267" t="s">
        <v>1044</v>
      </c>
      <c r="I267" s="4">
        <v>4.8</v>
      </c>
      <c r="J267" s="23">
        <v>58</v>
      </c>
      <c r="K267" s="11">
        <v>14.35</v>
      </c>
      <c r="M267" s="12">
        <f t="shared" si="8"/>
        <v>1.1568519010700111</v>
      </c>
      <c r="N267" s="11">
        <f>GraphEcoli!B$10-('E coli'!J267-GraphEcoli!$B$6)/GraphEcoli!$B$5</f>
        <v>0.45490804682436869</v>
      </c>
      <c r="O267" s="1" t="s">
        <v>1045</v>
      </c>
      <c r="P267">
        <v>2000</v>
      </c>
      <c r="Q267" t="s">
        <v>1043</v>
      </c>
      <c r="V267" s="10">
        <f>GraphEcoli!$B$40*'E coli'!J267+GraphEcoli!$B$41</f>
        <v>0.45490804682436892</v>
      </c>
      <c r="W267" s="10">
        <f>GraphEcoli!$E$40*'E coli'!J267+GraphEcoli!$E$41</f>
        <v>0.45395388418010096</v>
      </c>
      <c r="X267" s="10"/>
    </row>
    <row r="268" spans="1:24" hidden="1" x14ac:dyDescent="0.2">
      <c r="A268" s="1" t="s">
        <v>1329</v>
      </c>
      <c r="B268" s="1" t="s">
        <v>1330</v>
      </c>
      <c r="C268" t="s">
        <v>1341</v>
      </c>
      <c r="D268" t="s">
        <v>1083</v>
      </c>
      <c r="E268" t="s">
        <v>11</v>
      </c>
      <c r="F268" s="1" t="s">
        <v>1040</v>
      </c>
      <c r="G268" t="s">
        <v>1044</v>
      </c>
      <c r="I268" s="4">
        <v>4.8</v>
      </c>
      <c r="J268" s="23">
        <v>60</v>
      </c>
      <c r="K268" s="11">
        <v>3.62</v>
      </c>
      <c r="M268" s="12">
        <f t="shared" si="8"/>
        <v>0.55870857053316569</v>
      </c>
      <c r="N268" s="11">
        <f>GraphEcoli!B$10-('E coli'!J268-GraphEcoli!$B$6)/GraphEcoli!$B$5</f>
        <v>0.26681584137747383</v>
      </c>
      <c r="O268" s="1" t="s">
        <v>1045</v>
      </c>
      <c r="P268">
        <v>2000</v>
      </c>
      <c r="Q268" t="s">
        <v>1042</v>
      </c>
      <c r="V268" s="10">
        <f>GraphEcoli!$B$40*'E coli'!J268+GraphEcoli!$B$41</f>
        <v>0.26681584137747372</v>
      </c>
      <c r="W268" s="10">
        <f>GraphEcoli!$E$40*'E coli'!J268+GraphEcoli!$E$41</f>
        <v>0.27887426496656786</v>
      </c>
      <c r="X268" s="10"/>
    </row>
    <row r="269" spans="1:24" hidden="1" x14ac:dyDescent="0.2">
      <c r="A269" s="1" t="s">
        <v>1329</v>
      </c>
      <c r="B269" s="1" t="s">
        <v>1330</v>
      </c>
      <c r="C269" t="s">
        <v>1341</v>
      </c>
      <c r="D269" t="s">
        <v>1083</v>
      </c>
      <c r="E269" t="s">
        <v>11</v>
      </c>
      <c r="F269" s="1" t="s">
        <v>1040</v>
      </c>
      <c r="G269" t="s">
        <v>1044</v>
      </c>
      <c r="I269" s="4">
        <v>4.8</v>
      </c>
      <c r="J269" s="23">
        <v>60</v>
      </c>
      <c r="K269" s="11">
        <v>5.87</v>
      </c>
      <c r="M269" s="12">
        <f t="shared" si="8"/>
        <v>0.76863810124761445</v>
      </c>
      <c r="N269" s="11">
        <f>GraphEcoli!B$10-('E coli'!J269-GraphEcoli!$B$6)/GraphEcoli!$B$5</f>
        <v>0.26681584137747383</v>
      </c>
      <c r="O269" s="1" t="s">
        <v>1045</v>
      </c>
      <c r="P269">
        <v>2000</v>
      </c>
      <c r="Q269" t="s">
        <v>1043</v>
      </c>
      <c r="V269" s="10">
        <f>GraphEcoli!$B$40*'E coli'!J269+GraphEcoli!$B$41</f>
        <v>0.26681584137747372</v>
      </c>
      <c r="W269" s="10">
        <f>GraphEcoli!$E$40*'E coli'!J269+GraphEcoli!$E$41</f>
        <v>0.27887426496656786</v>
      </c>
      <c r="X269" s="10"/>
    </row>
    <row r="270" spans="1:24" hidden="1" x14ac:dyDescent="0.2">
      <c r="A270" s="1" t="s">
        <v>1329</v>
      </c>
      <c r="B270" s="1" t="s">
        <v>1330</v>
      </c>
      <c r="C270" t="s">
        <v>1341</v>
      </c>
      <c r="D270" t="s">
        <v>1083</v>
      </c>
      <c r="E270" t="s">
        <v>11</v>
      </c>
      <c r="F270" s="1" t="s">
        <v>1040</v>
      </c>
      <c r="G270" t="s">
        <v>1044</v>
      </c>
      <c r="I270" s="4">
        <v>4.8</v>
      </c>
      <c r="J270" s="23">
        <v>62</v>
      </c>
      <c r="K270" s="11">
        <v>1.64</v>
      </c>
      <c r="M270" s="12">
        <f t="shared" si="8"/>
        <v>0.21484384804769785</v>
      </c>
      <c r="N270" s="11">
        <f>GraphEcoli!B$10-('E coli'!J270-GraphEcoli!$B$6)/GraphEcoli!$B$5</f>
        <v>7.8723635930578961E-2</v>
      </c>
      <c r="O270" s="1" t="s">
        <v>1045</v>
      </c>
      <c r="P270">
        <v>2000</v>
      </c>
      <c r="Q270" t="s">
        <v>1042</v>
      </c>
      <c r="V270" s="10">
        <f>GraphEcoli!$B$40*'E coli'!J270+GraphEcoli!$B$41</f>
        <v>7.8723635930579405E-2</v>
      </c>
      <c r="W270" s="10">
        <f>GraphEcoli!$E$40*'E coli'!J270+GraphEcoli!$E$41</f>
        <v>0.10379464575303476</v>
      </c>
      <c r="X270" s="10"/>
    </row>
    <row r="271" spans="1:24" hidden="1" x14ac:dyDescent="0.2">
      <c r="A271" s="1" t="s">
        <v>1329</v>
      </c>
      <c r="B271" s="1" t="s">
        <v>1330</v>
      </c>
      <c r="C271" t="s">
        <v>1341</v>
      </c>
      <c r="D271" t="s">
        <v>1083</v>
      </c>
      <c r="E271" t="s">
        <v>11</v>
      </c>
      <c r="F271" s="1" t="s">
        <v>1040</v>
      </c>
      <c r="G271" t="s">
        <v>1044</v>
      </c>
      <c r="I271" s="4">
        <v>4.8</v>
      </c>
      <c r="J271" s="23">
        <v>62</v>
      </c>
      <c r="K271" s="11">
        <v>2.5299999999999998</v>
      </c>
      <c r="M271" s="12">
        <f t="shared" si="8"/>
        <v>0.40312052117581787</v>
      </c>
      <c r="N271" s="11">
        <f>GraphEcoli!B$10-('E coli'!J271-GraphEcoli!$B$6)/GraphEcoli!$B$5</f>
        <v>7.8723635930578961E-2</v>
      </c>
      <c r="O271" s="1" t="s">
        <v>1045</v>
      </c>
      <c r="P271">
        <v>2000</v>
      </c>
      <c r="Q271" t="s">
        <v>1043</v>
      </c>
      <c r="V271" s="10">
        <f>GraphEcoli!$B$40*'E coli'!J271+GraphEcoli!$B$41</f>
        <v>7.8723635930579405E-2</v>
      </c>
      <c r="W271" s="10">
        <f>GraphEcoli!$E$40*'E coli'!J271+GraphEcoli!$E$41</f>
        <v>0.10379464575303476</v>
      </c>
      <c r="X271" s="10"/>
    </row>
    <row r="272" spans="1:24" hidden="1" x14ac:dyDescent="0.2">
      <c r="A272" s="1" t="s">
        <v>1329</v>
      </c>
      <c r="B272" s="1" t="s">
        <v>1330</v>
      </c>
      <c r="C272" t="s">
        <v>1341</v>
      </c>
      <c r="E272" t="s">
        <v>11</v>
      </c>
      <c r="F272" s="1" t="s">
        <v>143</v>
      </c>
      <c r="G272" s="1" t="s">
        <v>1044</v>
      </c>
      <c r="J272" s="23">
        <v>55</v>
      </c>
      <c r="K272" s="11">
        <v>11.3</v>
      </c>
      <c r="M272" s="12">
        <f t="shared" si="8"/>
        <v>1.0530784434834197</v>
      </c>
      <c r="N272" s="11">
        <f>GraphEcoli!B$10-('E coli'!J272-GraphEcoli!$B$6)/GraphEcoli!$B$5</f>
        <v>0.73704635499471105</v>
      </c>
      <c r="O272" s="1" t="s">
        <v>1093</v>
      </c>
      <c r="P272">
        <v>1997</v>
      </c>
      <c r="V272" s="10">
        <f>GraphEcoli!$B$40*'E coli'!J272+GraphEcoli!$B$41</f>
        <v>0.73704635499471127</v>
      </c>
      <c r="W272" s="10">
        <f>GraphEcoli!$E$40*'E coli'!J272+GraphEcoli!$E$41</f>
        <v>0.71657331300039928</v>
      </c>
      <c r="X272" s="10"/>
    </row>
    <row r="273" spans="1:24" hidden="1" x14ac:dyDescent="0.2">
      <c r="A273" s="1" t="s">
        <v>1329</v>
      </c>
      <c r="B273" s="1" t="s">
        <v>1330</v>
      </c>
      <c r="C273" t="s">
        <v>1341</v>
      </c>
      <c r="E273" t="s">
        <v>11</v>
      </c>
      <c r="F273" s="1" t="s">
        <v>846</v>
      </c>
      <c r="J273" s="23">
        <v>60</v>
      </c>
      <c r="K273" s="11">
        <v>1.7</v>
      </c>
      <c r="M273" s="12">
        <f t="shared" si="8"/>
        <v>0.23044892137827391</v>
      </c>
      <c r="N273" s="11">
        <f>GraphEcoli!B$10-('E coli'!J273-GraphEcoli!$B$6)/GraphEcoli!$B$5</f>
        <v>0.26681584137747383</v>
      </c>
      <c r="O273" s="1" t="s">
        <v>848</v>
      </c>
      <c r="P273">
        <v>2000</v>
      </c>
      <c r="V273" s="10">
        <f>GraphEcoli!$B$40*'E coli'!J273+GraphEcoli!$B$41</f>
        <v>0.26681584137747372</v>
      </c>
      <c r="W273" s="10">
        <f>GraphEcoli!$E$40*'E coli'!J273+GraphEcoli!$E$41</f>
        <v>0.27887426496656786</v>
      </c>
      <c r="X273" s="10"/>
    </row>
    <row r="274" spans="1:24" hidden="1" x14ac:dyDescent="0.2">
      <c r="A274" s="1" t="s">
        <v>1329</v>
      </c>
      <c r="B274" s="1" t="s">
        <v>1330</v>
      </c>
      <c r="C274" t="s">
        <v>1341</v>
      </c>
      <c r="E274" t="s">
        <v>11</v>
      </c>
      <c r="F274" s="1" t="s">
        <v>847</v>
      </c>
      <c r="J274" s="23">
        <v>60</v>
      </c>
      <c r="K274" s="11">
        <v>1.9</v>
      </c>
      <c r="M274" s="12">
        <f t="shared" si="8"/>
        <v>0.27875360095282892</v>
      </c>
      <c r="N274" s="11">
        <f>GraphEcoli!B$10-('E coli'!J274-GraphEcoli!$B$6)/GraphEcoli!$B$5</f>
        <v>0.26681584137747383</v>
      </c>
      <c r="O274" s="1" t="s">
        <v>848</v>
      </c>
      <c r="P274">
        <v>2000</v>
      </c>
      <c r="V274" s="10">
        <f>GraphEcoli!$B$40*'E coli'!J274+GraphEcoli!$B$41</f>
        <v>0.26681584137747372</v>
      </c>
      <c r="W274" s="10">
        <f>GraphEcoli!$E$40*'E coli'!J274+GraphEcoli!$E$41</f>
        <v>0.27887426496656786</v>
      </c>
      <c r="X274" s="10"/>
    </row>
    <row r="275" spans="1:24" hidden="1" x14ac:dyDescent="0.2">
      <c r="A275" s="1" t="s">
        <v>1329</v>
      </c>
      <c r="B275" s="1" t="s">
        <v>1330</v>
      </c>
      <c r="C275" t="s">
        <v>1341</v>
      </c>
      <c r="E275" t="s">
        <v>11</v>
      </c>
      <c r="F275" s="1" t="s">
        <v>576</v>
      </c>
      <c r="G275" s="1" t="s">
        <v>1263</v>
      </c>
      <c r="J275" s="23">
        <v>60</v>
      </c>
      <c r="K275" s="11">
        <v>10</v>
      </c>
      <c r="M275" s="12">
        <f t="shared" si="8"/>
        <v>1</v>
      </c>
      <c r="N275" s="11">
        <f>GraphEcoli!B$10-('E coli'!J275-GraphEcoli!$B$6)/GraphEcoli!$B$5</f>
        <v>0.26681584137747383</v>
      </c>
      <c r="O275" s="1" t="s">
        <v>848</v>
      </c>
      <c r="P275">
        <v>2000</v>
      </c>
      <c r="V275" s="10">
        <f>GraphEcoli!$B$40*'E coli'!J275+GraphEcoli!$B$41</f>
        <v>0.26681584137747372</v>
      </c>
      <c r="W275" s="10">
        <f>GraphEcoli!$E$40*'E coli'!J275+GraphEcoli!$E$41</f>
        <v>0.27887426496656786</v>
      </c>
      <c r="X275" s="10"/>
    </row>
    <row r="276" spans="1:24" hidden="1" x14ac:dyDescent="0.2">
      <c r="A276" s="1" t="s">
        <v>1329</v>
      </c>
      <c r="B276" s="1" t="s">
        <v>1330</v>
      </c>
      <c r="C276" t="s">
        <v>1341</v>
      </c>
      <c r="E276" t="s">
        <v>11</v>
      </c>
      <c r="F276" s="1" t="s">
        <v>576</v>
      </c>
      <c r="G276" s="1" t="s">
        <v>1263</v>
      </c>
      <c r="J276" s="23">
        <v>65</v>
      </c>
      <c r="K276" s="11">
        <v>1.7</v>
      </c>
      <c r="M276" s="12">
        <f t="shared" si="8"/>
        <v>0.23044892137827391</v>
      </c>
      <c r="N276" s="11">
        <f>GraphEcoli!B$10-('E coli'!J276-GraphEcoli!$B$6)/GraphEcoli!$B$5</f>
        <v>-0.20341467223976334</v>
      </c>
      <c r="O276" s="1" t="s">
        <v>848</v>
      </c>
      <c r="P276">
        <v>2000</v>
      </c>
      <c r="V276" s="10">
        <f>GraphEcoli!$B$40*'E coli'!J276+GraphEcoli!$B$41</f>
        <v>-0.20341467223976295</v>
      </c>
      <c r="W276" s="10">
        <f>GraphEcoli!$E$40*'E coli'!J276+GraphEcoli!$E$41</f>
        <v>-0.15882478306726355</v>
      </c>
    </row>
    <row r="277" spans="1:24" hidden="1" x14ac:dyDescent="0.2">
      <c r="A277" s="1" t="s">
        <v>1329</v>
      </c>
      <c r="B277" s="1" t="s">
        <v>1330</v>
      </c>
      <c r="C277" t="s">
        <v>1341</v>
      </c>
      <c r="E277" t="s">
        <v>11</v>
      </c>
      <c r="F277" s="1" t="s">
        <v>576</v>
      </c>
      <c r="G277" s="1" t="s">
        <v>1263</v>
      </c>
      <c r="J277" s="23">
        <v>65</v>
      </c>
      <c r="K277" s="11">
        <v>2.1</v>
      </c>
      <c r="M277" s="12">
        <f t="shared" si="8"/>
        <v>0.3222192947339193</v>
      </c>
      <c r="N277" s="11">
        <f>GraphEcoli!B$10-('E coli'!J277-GraphEcoli!$B$6)/GraphEcoli!$B$5</f>
        <v>-0.20341467223976334</v>
      </c>
      <c r="O277" s="1" t="s">
        <v>848</v>
      </c>
      <c r="P277">
        <v>2000</v>
      </c>
      <c r="V277" s="10">
        <f>GraphEcoli!$B$40*'E coli'!J277+GraphEcoli!$B$41</f>
        <v>-0.20341467223976295</v>
      </c>
      <c r="W277" s="10">
        <f>GraphEcoli!$E$40*'E coli'!J277+GraphEcoli!$E$41</f>
        <v>-0.15882478306726355</v>
      </c>
    </row>
    <row r="278" spans="1:24" hidden="1" x14ac:dyDescent="0.2">
      <c r="A278" s="1" t="s">
        <v>1329</v>
      </c>
      <c r="B278" s="1" t="s">
        <v>1330</v>
      </c>
      <c r="C278" t="s">
        <v>1341</v>
      </c>
      <c r="E278" t="s">
        <v>11</v>
      </c>
      <c r="F278" s="1" t="s">
        <v>576</v>
      </c>
      <c r="G278" s="19"/>
      <c r="J278" s="23">
        <v>60</v>
      </c>
      <c r="K278" s="11">
        <v>0.57999999999999996</v>
      </c>
      <c r="M278" s="12">
        <f t="shared" ref="M278:M313" si="9">LOG(K278)+$L$401</f>
        <v>-0.23657200643706275</v>
      </c>
      <c r="N278" s="11">
        <f>GraphEcoli!B$10-('E coli'!J278-GraphEcoli!$B$6)/GraphEcoli!$B$5</f>
        <v>0.26681584137747383</v>
      </c>
      <c r="O278" s="1" t="s">
        <v>1093</v>
      </c>
      <c r="P278">
        <v>1997</v>
      </c>
      <c r="V278" s="10">
        <f>GraphEcoli!$B$40*'E coli'!J278+GraphEcoli!$B$41</f>
        <v>0.26681584137747372</v>
      </c>
      <c r="W278" s="10">
        <f>GraphEcoli!$E$40*'E coli'!J278+GraphEcoli!$E$41</f>
        <v>0.27887426496656786</v>
      </c>
    </row>
    <row r="279" spans="1:24" hidden="1" x14ac:dyDescent="0.2">
      <c r="A279" s="1" t="s">
        <v>1329</v>
      </c>
      <c r="B279" s="1" t="s">
        <v>1330</v>
      </c>
      <c r="C279" t="s">
        <v>1341</v>
      </c>
      <c r="D279" t="s">
        <v>1023</v>
      </c>
      <c r="E279" t="s">
        <v>44</v>
      </c>
      <c r="F279" s="1" t="s">
        <v>367</v>
      </c>
      <c r="J279" s="23">
        <v>55</v>
      </c>
      <c r="K279" s="11">
        <v>15.4</v>
      </c>
      <c r="M279" s="12">
        <f t="shared" si="9"/>
        <v>1.1875207208364631</v>
      </c>
      <c r="N279" s="11">
        <f>GraphEcoli!B$10-('E coli'!J279-GraphEcoli!$B$6)/GraphEcoli!$B$5</f>
        <v>0.73704635499471105</v>
      </c>
      <c r="O279" s="1" t="s">
        <v>1036</v>
      </c>
      <c r="P279">
        <v>2002</v>
      </c>
      <c r="V279" s="10">
        <f>GraphEcoli!$B$40*'E coli'!J279+GraphEcoli!$B$41</f>
        <v>0.73704635499471127</v>
      </c>
      <c r="W279" s="10">
        <f>GraphEcoli!$E$40*'E coli'!J279+GraphEcoli!$E$41</f>
        <v>0.71657331300039928</v>
      </c>
    </row>
    <row r="280" spans="1:24" hidden="1" x14ac:dyDescent="0.2">
      <c r="A280" s="1" t="s">
        <v>1329</v>
      </c>
      <c r="B280" s="1" t="s">
        <v>1330</v>
      </c>
      <c r="C280" t="s">
        <v>1341</v>
      </c>
      <c r="D280" t="s">
        <v>1023</v>
      </c>
      <c r="E280" t="s">
        <v>44</v>
      </c>
      <c r="F280" s="1" t="s">
        <v>367</v>
      </c>
      <c r="J280" s="23">
        <v>60</v>
      </c>
      <c r="K280" s="11">
        <v>1.51</v>
      </c>
      <c r="M280" s="12">
        <f t="shared" si="9"/>
        <v>0.17897694729316943</v>
      </c>
      <c r="N280" s="11">
        <f>GraphEcoli!B$10-('E coli'!J280-GraphEcoli!$B$6)/GraphEcoli!$B$5</f>
        <v>0.26681584137747383</v>
      </c>
      <c r="O280" s="1" t="s">
        <v>1036</v>
      </c>
      <c r="P280">
        <v>2002</v>
      </c>
      <c r="V280" s="10">
        <f>GraphEcoli!$B$40*'E coli'!J280+GraphEcoli!$B$41</f>
        <v>0.26681584137747372</v>
      </c>
      <c r="W280" s="10">
        <f>GraphEcoli!$E$40*'E coli'!J280+GraphEcoli!$E$41</f>
        <v>0.27887426496656786</v>
      </c>
    </row>
    <row r="281" spans="1:24" hidden="1" x14ac:dyDescent="0.2">
      <c r="A281" s="1" t="s">
        <v>1329</v>
      </c>
      <c r="B281" s="1" t="s">
        <v>1330</v>
      </c>
      <c r="C281" t="s">
        <v>1341</v>
      </c>
      <c r="D281">
        <v>933</v>
      </c>
      <c r="E281" t="s">
        <v>44</v>
      </c>
      <c r="F281" s="1" t="s">
        <v>367</v>
      </c>
      <c r="J281" s="23">
        <v>55</v>
      </c>
      <c r="K281" s="11">
        <v>15.4</v>
      </c>
      <c r="M281" s="12">
        <f t="shared" si="9"/>
        <v>1.1875207208364631</v>
      </c>
      <c r="N281" s="11">
        <f>GraphEcoli!B$10-('E coli'!J281-GraphEcoli!$B$6)/GraphEcoli!$B$5</f>
        <v>0.73704635499471105</v>
      </c>
      <c r="O281" s="1" t="s">
        <v>1036</v>
      </c>
      <c r="P281">
        <v>2002</v>
      </c>
      <c r="V281" s="10">
        <f>GraphEcoli!$B$40*'E coli'!J281+GraphEcoli!$B$41</f>
        <v>0.73704635499471127</v>
      </c>
      <c r="W281" s="10">
        <f>GraphEcoli!$E$40*'E coli'!J281+GraphEcoli!$E$41</f>
        <v>0.71657331300039928</v>
      </c>
    </row>
    <row r="282" spans="1:24" hidden="1" x14ac:dyDescent="0.2">
      <c r="A282" s="1" t="s">
        <v>1329</v>
      </c>
      <c r="B282" s="1" t="s">
        <v>1330</v>
      </c>
      <c r="C282" t="s">
        <v>1341</v>
      </c>
      <c r="D282">
        <v>933</v>
      </c>
      <c r="E282" t="s">
        <v>44</v>
      </c>
      <c r="F282" s="1" t="s">
        <v>367</v>
      </c>
      <c r="J282" s="23">
        <v>60</v>
      </c>
      <c r="K282" s="11">
        <v>1.49</v>
      </c>
      <c r="M282" s="12">
        <f t="shared" si="9"/>
        <v>0.17318626841227402</v>
      </c>
      <c r="N282" s="11">
        <f>GraphEcoli!B$10-('E coli'!J282-GraphEcoli!$B$6)/GraphEcoli!$B$5</f>
        <v>0.26681584137747383</v>
      </c>
      <c r="O282" s="1" t="s">
        <v>1036</v>
      </c>
      <c r="P282">
        <v>2002</v>
      </c>
      <c r="V282" s="10">
        <f>GraphEcoli!$B$40*'E coli'!J282+GraphEcoli!$B$41</f>
        <v>0.26681584137747372</v>
      </c>
      <c r="W282" s="10">
        <f>GraphEcoli!$E$40*'E coli'!J282+GraphEcoli!$E$41</f>
        <v>0.27887426496656786</v>
      </c>
    </row>
    <row r="283" spans="1:24" hidden="1" x14ac:dyDescent="0.2">
      <c r="A283" s="1" t="s">
        <v>1329</v>
      </c>
      <c r="B283" s="1" t="s">
        <v>1330</v>
      </c>
      <c r="C283" t="s">
        <v>1341</v>
      </c>
      <c r="D283" t="s">
        <v>1024</v>
      </c>
      <c r="E283" t="s">
        <v>44</v>
      </c>
      <c r="F283" s="1" t="s">
        <v>367</v>
      </c>
      <c r="J283" s="23">
        <v>55</v>
      </c>
      <c r="K283" s="11">
        <v>16.600000000000001</v>
      </c>
      <c r="M283" s="12">
        <f t="shared" si="9"/>
        <v>1.2201080880400552</v>
      </c>
      <c r="N283" s="11">
        <f>GraphEcoli!B$10-('E coli'!J283-GraphEcoli!$B$6)/GraphEcoli!$B$5</f>
        <v>0.73704635499471105</v>
      </c>
      <c r="O283" s="1" t="s">
        <v>1036</v>
      </c>
      <c r="P283">
        <v>2002</v>
      </c>
      <c r="V283" s="10">
        <f>GraphEcoli!$B$40*'E coli'!J283+GraphEcoli!$B$41</f>
        <v>0.73704635499471127</v>
      </c>
      <c r="W283" s="10">
        <f>GraphEcoli!$E$40*'E coli'!J283+GraphEcoli!$E$41</f>
        <v>0.71657331300039928</v>
      </c>
    </row>
    <row r="284" spans="1:24" hidden="1" x14ac:dyDescent="0.2">
      <c r="A284" s="1" t="s">
        <v>1329</v>
      </c>
      <c r="B284" s="1" t="s">
        <v>1330</v>
      </c>
      <c r="C284" t="s">
        <v>1341</v>
      </c>
      <c r="D284" t="s">
        <v>1024</v>
      </c>
      <c r="E284" t="s">
        <v>44</v>
      </c>
      <c r="F284" s="1" t="s">
        <v>367</v>
      </c>
      <c r="J284" s="23">
        <v>60</v>
      </c>
      <c r="K284" s="11">
        <v>1.45</v>
      </c>
      <c r="M284" s="12">
        <f t="shared" si="9"/>
        <v>0.16136800223497488</v>
      </c>
      <c r="N284" s="11">
        <f>GraphEcoli!B$10-('E coli'!J284-GraphEcoli!$B$6)/GraphEcoli!$B$5</f>
        <v>0.26681584137747383</v>
      </c>
      <c r="O284" s="1" t="s">
        <v>1036</v>
      </c>
      <c r="P284">
        <v>2002</v>
      </c>
      <c r="V284" s="10">
        <f>GraphEcoli!$B$40*'E coli'!J284+GraphEcoli!$B$41</f>
        <v>0.26681584137747372</v>
      </c>
      <c r="W284" s="10">
        <f>GraphEcoli!$E$40*'E coli'!J284+GraphEcoli!$E$41</f>
        <v>0.27887426496656786</v>
      </c>
    </row>
    <row r="285" spans="1:24" hidden="1" x14ac:dyDescent="0.2">
      <c r="A285" s="1" t="s">
        <v>1329</v>
      </c>
      <c r="B285" s="1" t="s">
        <v>1330</v>
      </c>
      <c r="C285" t="s">
        <v>1341</v>
      </c>
      <c r="D285" t="s">
        <v>1025</v>
      </c>
      <c r="E285" t="s">
        <v>44</v>
      </c>
      <c r="F285" s="1" t="s">
        <v>367</v>
      </c>
      <c r="J285" s="23">
        <v>55</v>
      </c>
      <c r="K285" s="11">
        <v>16.8</v>
      </c>
      <c r="M285" s="12">
        <f t="shared" si="9"/>
        <v>1.2253092817258628</v>
      </c>
      <c r="N285" s="11">
        <f>GraphEcoli!B$10-('E coli'!J285-GraphEcoli!$B$6)/GraphEcoli!$B$5</f>
        <v>0.73704635499471105</v>
      </c>
      <c r="O285" s="1" t="s">
        <v>1036</v>
      </c>
      <c r="P285">
        <v>2002</v>
      </c>
      <c r="V285" s="10">
        <f>GraphEcoli!$B$40*'E coli'!J285+GraphEcoli!$B$41</f>
        <v>0.73704635499471127</v>
      </c>
      <c r="W285" s="10">
        <f>GraphEcoli!$E$40*'E coli'!J285+GraphEcoli!$E$41</f>
        <v>0.71657331300039928</v>
      </c>
    </row>
    <row r="286" spans="1:24" hidden="1" x14ac:dyDescent="0.2">
      <c r="A286" s="1" t="s">
        <v>1329</v>
      </c>
      <c r="B286" s="1" t="s">
        <v>1330</v>
      </c>
      <c r="C286" t="s">
        <v>1341</v>
      </c>
      <c r="D286" t="s">
        <v>1025</v>
      </c>
      <c r="E286" t="s">
        <v>44</v>
      </c>
      <c r="F286" s="1" t="s">
        <v>367</v>
      </c>
      <c r="J286" s="23">
        <v>60</v>
      </c>
      <c r="K286" s="11">
        <v>1.08</v>
      </c>
      <c r="M286" s="12">
        <f t="shared" si="9"/>
        <v>3.342375548694973E-2</v>
      </c>
      <c r="N286" s="11">
        <f>GraphEcoli!B$10-('E coli'!J286-GraphEcoli!$B$6)/GraphEcoli!$B$5</f>
        <v>0.26681584137747383</v>
      </c>
      <c r="O286" s="1" t="s">
        <v>1036</v>
      </c>
      <c r="P286">
        <v>2002</v>
      </c>
      <c r="V286" s="10">
        <f>GraphEcoli!$B$40*'E coli'!J286+GraphEcoli!$B$41</f>
        <v>0.26681584137747372</v>
      </c>
      <c r="W286" s="10">
        <f>GraphEcoli!$E$40*'E coli'!J286+GraphEcoli!$E$41</f>
        <v>0.27887426496656786</v>
      </c>
    </row>
    <row r="287" spans="1:24" hidden="1" x14ac:dyDescent="0.2">
      <c r="A287" s="1" t="s">
        <v>1329</v>
      </c>
      <c r="B287" s="1" t="s">
        <v>1330</v>
      </c>
      <c r="C287" t="s">
        <v>1341</v>
      </c>
      <c r="D287" t="s">
        <v>1026</v>
      </c>
      <c r="E287" t="s">
        <v>44</v>
      </c>
      <c r="F287" s="1" t="s">
        <v>367</v>
      </c>
      <c r="J287" s="23">
        <v>55</v>
      </c>
      <c r="K287" s="11">
        <v>19.5</v>
      </c>
      <c r="M287" s="12">
        <f t="shared" si="9"/>
        <v>1.2900346113625181</v>
      </c>
      <c r="N287" s="11">
        <f>GraphEcoli!B$10-('E coli'!J287-GraphEcoli!$B$6)/GraphEcoli!$B$5</f>
        <v>0.73704635499471105</v>
      </c>
      <c r="O287" s="1" t="s">
        <v>1036</v>
      </c>
      <c r="P287">
        <v>2002</v>
      </c>
      <c r="V287" s="10">
        <f>GraphEcoli!$B$40*'E coli'!J287+GraphEcoli!$B$41</f>
        <v>0.73704635499471127</v>
      </c>
      <c r="W287" s="10">
        <f>GraphEcoli!$E$40*'E coli'!J287+GraphEcoli!$E$41</f>
        <v>0.71657331300039928</v>
      </c>
    </row>
    <row r="288" spans="1:24" hidden="1" x14ac:dyDescent="0.2">
      <c r="A288" s="1" t="s">
        <v>1329</v>
      </c>
      <c r="B288" s="1" t="s">
        <v>1330</v>
      </c>
      <c r="C288" t="s">
        <v>1341</v>
      </c>
      <c r="D288" t="s">
        <v>1026</v>
      </c>
      <c r="E288" t="s">
        <v>44</v>
      </c>
      <c r="F288" s="1" t="s">
        <v>367</v>
      </c>
      <c r="J288" s="23">
        <v>60</v>
      </c>
      <c r="K288" s="11">
        <v>1.75</v>
      </c>
      <c r="M288" s="12">
        <f t="shared" si="9"/>
        <v>0.24303804868629444</v>
      </c>
      <c r="N288" s="11">
        <f>GraphEcoli!B$10-('E coli'!J288-GraphEcoli!$B$6)/GraphEcoli!$B$5</f>
        <v>0.26681584137747383</v>
      </c>
      <c r="O288" s="1" t="s">
        <v>1036</v>
      </c>
      <c r="P288">
        <v>2002</v>
      </c>
      <c r="V288" s="10">
        <f>GraphEcoli!$B$40*'E coli'!J288+GraphEcoli!$B$41</f>
        <v>0.26681584137747372</v>
      </c>
      <c r="W288" s="10">
        <f>GraphEcoli!$E$40*'E coli'!J288+GraphEcoli!$E$41</f>
        <v>0.27887426496656786</v>
      </c>
    </row>
    <row r="289" spans="1:23" hidden="1" x14ac:dyDescent="0.2">
      <c r="A289" s="1" t="s">
        <v>1329</v>
      </c>
      <c r="B289" s="1" t="s">
        <v>1330</v>
      </c>
      <c r="C289" t="s">
        <v>1341</v>
      </c>
      <c r="D289" t="s">
        <v>1027</v>
      </c>
      <c r="E289" t="s">
        <v>44</v>
      </c>
      <c r="F289" s="1" t="s">
        <v>367</v>
      </c>
      <c r="J289" s="23">
        <v>55</v>
      </c>
      <c r="K289" s="11">
        <v>5.7</v>
      </c>
      <c r="M289" s="12">
        <f t="shared" si="9"/>
        <v>0.75587485567249146</v>
      </c>
      <c r="N289" s="11">
        <f>GraphEcoli!B$10-('E coli'!J289-GraphEcoli!$B$6)/GraphEcoli!$B$5</f>
        <v>0.73704635499471105</v>
      </c>
      <c r="O289" s="1" t="s">
        <v>1036</v>
      </c>
      <c r="P289">
        <v>2002</v>
      </c>
      <c r="V289" s="10">
        <f>GraphEcoli!$B$40*'E coli'!J289+GraphEcoli!$B$41</f>
        <v>0.73704635499471127</v>
      </c>
      <c r="W289" s="10">
        <f>GraphEcoli!$E$40*'E coli'!J289+GraphEcoli!$E$41</f>
        <v>0.71657331300039928</v>
      </c>
    </row>
    <row r="290" spans="1:23" hidden="1" x14ac:dyDescent="0.2">
      <c r="A290" s="1" t="s">
        <v>1329</v>
      </c>
      <c r="B290" s="1" t="s">
        <v>1330</v>
      </c>
      <c r="C290" t="s">
        <v>1341</v>
      </c>
      <c r="D290" t="s">
        <v>1027</v>
      </c>
      <c r="E290" t="s">
        <v>44</v>
      </c>
      <c r="F290" s="1" t="s">
        <v>367</v>
      </c>
      <c r="J290" s="23">
        <v>60</v>
      </c>
      <c r="K290" s="11">
        <v>1.1100000000000001</v>
      </c>
      <c r="M290" s="12">
        <f t="shared" si="9"/>
        <v>4.5322978786657475E-2</v>
      </c>
      <c r="N290" s="11">
        <f>GraphEcoli!B$10-('E coli'!J290-GraphEcoli!$B$6)/GraphEcoli!$B$5</f>
        <v>0.26681584137747383</v>
      </c>
      <c r="O290" s="1" t="s">
        <v>1036</v>
      </c>
      <c r="P290">
        <v>2002</v>
      </c>
      <c r="V290" s="10">
        <f>GraphEcoli!$B$40*'E coli'!J290+GraphEcoli!$B$41</f>
        <v>0.26681584137747372</v>
      </c>
      <c r="W290" s="10">
        <f>GraphEcoli!$E$40*'E coli'!J290+GraphEcoli!$E$41</f>
        <v>0.27887426496656786</v>
      </c>
    </row>
    <row r="291" spans="1:23" hidden="1" x14ac:dyDescent="0.2">
      <c r="A291" s="1" t="s">
        <v>1329</v>
      </c>
      <c r="B291" s="1" t="s">
        <v>1330</v>
      </c>
      <c r="C291" t="s">
        <v>1341</v>
      </c>
      <c r="D291" t="s">
        <v>1028</v>
      </c>
      <c r="E291" t="s">
        <v>44</v>
      </c>
      <c r="F291" s="1" t="s">
        <v>367</v>
      </c>
      <c r="J291" s="23">
        <v>55</v>
      </c>
      <c r="K291" s="11">
        <v>14</v>
      </c>
      <c r="M291" s="12">
        <f t="shared" si="9"/>
        <v>1.146128035678238</v>
      </c>
      <c r="N291" s="11">
        <f>GraphEcoli!B$10-('E coli'!J291-GraphEcoli!$B$6)/GraphEcoli!$B$5</f>
        <v>0.73704635499471105</v>
      </c>
      <c r="O291" s="1" t="s">
        <v>1036</v>
      </c>
      <c r="P291">
        <v>2002</v>
      </c>
      <c r="V291" s="10">
        <f>GraphEcoli!$B$40*'E coli'!J291+GraphEcoli!$B$41</f>
        <v>0.73704635499471127</v>
      </c>
      <c r="W291" s="10">
        <f>GraphEcoli!$E$40*'E coli'!J291+GraphEcoli!$E$41</f>
        <v>0.71657331300039928</v>
      </c>
    </row>
    <row r="292" spans="1:23" hidden="1" x14ac:dyDescent="0.2">
      <c r="A292" s="1" t="s">
        <v>1329</v>
      </c>
      <c r="B292" s="1" t="s">
        <v>1330</v>
      </c>
      <c r="C292" t="s">
        <v>1341</v>
      </c>
      <c r="D292" t="s">
        <v>1028</v>
      </c>
      <c r="E292" t="s">
        <v>44</v>
      </c>
      <c r="F292" s="1" t="s">
        <v>367</v>
      </c>
      <c r="J292" s="23">
        <v>60</v>
      </c>
      <c r="K292" s="11">
        <v>0.75</v>
      </c>
      <c r="M292" s="12">
        <f t="shared" si="9"/>
        <v>-0.12493873660829995</v>
      </c>
      <c r="N292" s="11">
        <f>GraphEcoli!B$10-('E coli'!J292-GraphEcoli!$B$6)/GraphEcoli!$B$5</f>
        <v>0.26681584137747383</v>
      </c>
      <c r="O292" s="1" t="s">
        <v>1036</v>
      </c>
      <c r="P292">
        <v>2002</v>
      </c>
      <c r="V292" s="10">
        <f>GraphEcoli!$B$40*'E coli'!J292+GraphEcoli!$B$41</f>
        <v>0.26681584137747372</v>
      </c>
      <c r="W292" s="10">
        <f>GraphEcoli!$E$40*'E coli'!J292+GraphEcoli!$E$41</f>
        <v>0.27887426496656786</v>
      </c>
    </row>
    <row r="293" spans="1:23" hidden="1" x14ac:dyDescent="0.2">
      <c r="A293" s="1" t="s">
        <v>1329</v>
      </c>
      <c r="B293" s="1" t="s">
        <v>1330</v>
      </c>
      <c r="C293" t="s">
        <v>1341</v>
      </c>
      <c r="D293">
        <v>45750</v>
      </c>
      <c r="E293" t="s">
        <v>44</v>
      </c>
      <c r="F293" s="1" t="s">
        <v>367</v>
      </c>
      <c r="J293" s="23">
        <v>55</v>
      </c>
      <c r="K293" s="11">
        <v>17.2</v>
      </c>
      <c r="M293" s="12">
        <f t="shared" si="9"/>
        <v>1.2355284469075489</v>
      </c>
      <c r="N293" s="11">
        <f>GraphEcoli!B$10-('E coli'!J293-GraphEcoli!$B$6)/GraphEcoli!$B$5</f>
        <v>0.73704635499471105</v>
      </c>
      <c r="O293" s="1" t="s">
        <v>1036</v>
      </c>
      <c r="P293">
        <v>2002</v>
      </c>
      <c r="V293" s="10">
        <f>GraphEcoli!$B$40*'E coli'!J293+GraphEcoli!$B$41</f>
        <v>0.73704635499471127</v>
      </c>
      <c r="W293" s="10">
        <f>GraphEcoli!$E$40*'E coli'!J293+GraphEcoli!$E$41</f>
        <v>0.71657331300039928</v>
      </c>
    </row>
    <row r="294" spans="1:23" hidden="1" x14ac:dyDescent="0.2">
      <c r="A294" s="1" t="s">
        <v>1329</v>
      </c>
      <c r="B294" s="1" t="s">
        <v>1330</v>
      </c>
      <c r="C294" t="s">
        <v>1341</v>
      </c>
      <c r="D294">
        <v>45750</v>
      </c>
      <c r="E294" t="s">
        <v>44</v>
      </c>
      <c r="F294" s="1" t="s">
        <v>367</v>
      </c>
      <c r="J294" s="23">
        <v>60</v>
      </c>
      <c r="K294" s="11">
        <v>1.78</v>
      </c>
      <c r="M294" s="12">
        <f t="shared" si="9"/>
        <v>0.250420002308894</v>
      </c>
      <c r="N294" s="11">
        <f>GraphEcoli!B$10-('E coli'!J294-GraphEcoli!$B$6)/GraphEcoli!$B$5</f>
        <v>0.26681584137747383</v>
      </c>
      <c r="O294" s="1" t="s">
        <v>1036</v>
      </c>
      <c r="P294">
        <v>2002</v>
      </c>
      <c r="V294" s="10">
        <f>GraphEcoli!$B$40*'E coli'!J294+GraphEcoli!$B$41</f>
        <v>0.26681584137747372</v>
      </c>
      <c r="W294" s="10">
        <f>GraphEcoli!$E$40*'E coli'!J294+GraphEcoli!$E$41</f>
        <v>0.27887426496656786</v>
      </c>
    </row>
    <row r="295" spans="1:23" hidden="1" x14ac:dyDescent="0.2">
      <c r="A295" s="1" t="s">
        <v>1329</v>
      </c>
      <c r="B295" s="1" t="s">
        <v>1330</v>
      </c>
      <c r="C295" t="s">
        <v>1341</v>
      </c>
      <c r="D295" t="s">
        <v>1029</v>
      </c>
      <c r="E295" t="s">
        <v>44</v>
      </c>
      <c r="F295" s="1" t="s">
        <v>367</v>
      </c>
      <c r="J295" s="23">
        <v>55</v>
      </c>
      <c r="K295" s="11">
        <v>20.2</v>
      </c>
      <c r="M295" s="12">
        <f t="shared" si="9"/>
        <v>1.3053513694466237</v>
      </c>
      <c r="N295" s="11">
        <f>GraphEcoli!B$10-('E coli'!J295-GraphEcoli!$B$6)/GraphEcoli!$B$5</f>
        <v>0.73704635499471105</v>
      </c>
      <c r="O295" s="1" t="s">
        <v>1036</v>
      </c>
      <c r="P295">
        <v>2002</v>
      </c>
      <c r="V295" s="10">
        <f>GraphEcoli!$B$40*'E coli'!J295+GraphEcoli!$B$41</f>
        <v>0.73704635499471127</v>
      </c>
      <c r="W295" s="10">
        <f>GraphEcoli!$E$40*'E coli'!J295+GraphEcoli!$E$41</f>
        <v>0.71657331300039928</v>
      </c>
    </row>
    <row r="296" spans="1:23" hidden="1" x14ac:dyDescent="0.2">
      <c r="A296" s="1" t="s">
        <v>1329</v>
      </c>
      <c r="B296" s="1" t="s">
        <v>1330</v>
      </c>
      <c r="C296" t="s">
        <v>1341</v>
      </c>
      <c r="D296" t="s">
        <v>1029</v>
      </c>
      <c r="E296" t="s">
        <v>44</v>
      </c>
      <c r="F296" s="1" t="s">
        <v>367</v>
      </c>
      <c r="J296" s="23">
        <v>60</v>
      </c>
      <c r="K296" s="11">
        <v>1.7</v>
      </c>
      <c r="M296" s="12">
        <f t="shared" si="9"/>
        <v>0.23044892137827391</v>
      </c>
      <c r="N296" s="11">
        <f>GraphEcoli!B$10-('E coli'!J296-GraphEcoli!$B$6)/GraphEcoli!$B$5</f>
        <v>0.26681584137747383</v>
      </c>
      <c r="O296" s="1" t="s">
        <v>1036</v>
      </c>
      <c r="P296">
        <v>2002</v>
      </c>
      <c r="V296" s="10">
        <f>GraphEcoli!$B$40*'E coli'!J296+GraphEcoli!$B$41</f>
        <v>0.26681584137747372</v>
      </c>
      <c r="W296" s="10">
        <f>GraphEcoli!$E$40*'E coli'!J296+GraphEcoli!$E$41</f>
        <v>0.27887426496656786</v>
      </c>
    </row>
    <row r="297" spans="1:23" hidden="1" x14ac:dyDescent="0.2">
      <c r="A297" s="1" t="s">
        <v>1329</v>
      </c>
      <c r="B297" s="1" t="s">
        <v>1330</v>
      </c>
      <c r="C297" t="s">
        <v>1341</v>
      </c>
      <c r="D297" t="s">
        <v>1030</v>
      </c>
      <c r="E297" t="s">
        <v>44</v>
      </c>
      <c r="F297" s="1" t="s">
        <v>367</v>
      </c>
      <c r="J297" s="23">
        <v>55</v>
      </c>
      <c r="K297" s="11">
        <v>10.5</v>
      </c>
      <c r="M297" s="12">
        <f t="shared" si="9"/>
        <v>1.0211892990699381</v>
      </c>
      <c r="N297" s="11">
        <f>GraphEcoli!B$10-('E coli'!J297-GraphEcoli!$B$6)/GraphEcoli!$B$5</f>
        <v>0.73704635499471105</v>
      </c>
      <c r="O297" s="1" t="s">
        <v>1036</v>
      </c>
      <c r="P297">
        <v>2002</v>
      </c>
      <c r="V297" s="10">
        <f>GraphEcoli!$B$40*'E coli'!J297+GraphEcoli!$B$41</f>
        <v>0.73704635499471127</v>
      </c>
      <c r="W297" s="10">
        <f>GraphEcoli!$E$40*'E coli'!J297+GraphEcoli!$E$41</f>
        <v>0.71657331300039928</v>
      </c>
    </row>
    <row r="298" spans="1:23" hidden="1" x14ac:dyDescent="0.2">
      <c r="A298" s="1" t="s">
        <v>1329</v>
      </c>
      <c r="B298" s="1" t="s">
        <v>1330</v>
      </c>
      <c r="C298" t="s">
        <v>1341</v>
      </c>
      <c r="D298" t="s">
        <v>1030</v>
      </c>
      <c r="E298" t="s">
        <v>44</v>
      </c>
      <c r="F298" s="1" t="s">
        <v>367</v>
      </c>
      <c r="J298" s="23">
        <v>60</v>
      </c>
      <c r="K298" s="11">
        <v>1.48</v>
      </c>
      <c r="M298" s="12">
        <f t="shared" si="9"/>
        <v>0.17026171539495738</v>
      </c>
      <c r="N298" s="11">
        <f>GraphEcoli!B$10-('E coli'!J298-GraphEcoli!$B$6)/GraphEcoli!$B$5</f>
        <v>0.26681584137747383</v>
      </c>
      <c r="O298" s="1" t="s">
        <v>1036</v>
      </c>
      <c r="P298">
        <v>2002</v>
      </c>
      <c r="V298" s="10">
        <f>GraphEcoli!$B$40*'E coli'!J298+GraphEcoli!$B$41</f>
        <v>0.26681584137747372</v>
      </c>
      <c r="W298" s="10">
        <f>GraphEcoli!$E$40*'E coli'!J298+GraphEcoli!$E$41</f>
        <v>0.27887426496656786</v>
      </c>
    </row>
    <row r="299" spans="1:23" hidden="1" x14ac:dyDescent="0.2">
      <c r="A299" s="1" t="s">
        <v>1329</v>
      </c>
      <c r="B299" s="1" t="s">
        <v>1330</v>
      </c>
      <c r="C299" t="s">
        <v>1341</v>
      </c>
      <c r="D299" t="s">
        <v>1031</v>
      </c>
      <c r="E299" t="s">
        <v>44</v>
      </c>
      <c r="F299" s="1" t="s">
        <v>367</v>
      </c>
      <c r="J299" s="23">
        <v>55</v>
      </c>
      <c r="K299" s="11">
        <v>9.1</v>
      </c>
      <c r="M299" s="12">
        <f t="shared" si="9"/>
        <v>0.95904139232109353</v>
      </c>
      <c r="N299" s="11">
        <f>GraphEcoli!B$10-('E coli'!J299-GraphEcoli!$B$6)/GraphEcoli!$B$5</f>
        <v>0.73704635499471105</v>
      </c>
      <c r="O299" s="1" t="s">
        <v>1036</v>
      </c>
      <c r="P299">
        <v>2002</v>
      </c>
      <c r="V299" s="10">
        <f>GraphEcoli!$B$40*'E coli'!J299+GraphEcoli!$B$41</f>
        <v>0.73704635499471127</v>
      </c>
      <c r="W299" s="10">
        <f>GraphEcoli!$E$40*'E coli'!J299+GraphEcoli!$E$41</f>
        <v>0.71657331300039928</v>
      </c>
    </row>
    <row r="300" spans="1:23" hidden="1" x14ac:dyDescent="0.2">
      <c r="A300" s="1" t="s">
        <v>1329</v>
      </c>
      <c r="B300" s="1" t="s">
        <v>1330</v>
      </c>
      <c r="C300" t="s">
        <v>1341</v>
      </c>
      <c r="D300" t="s">
        <v>1031</v>
      </c>
      <c r="E300" t="s">
        <v>44</v>
      </c>
      <c r="F300" s="1" t="s">
        <v>367</v>
      </c>
      <c r="J300" s="23">
        <v>60</v>
      </c>
      <c r="K300" s="11">
        <v>0.94</v>
      </c>
      <c r="M300" s="12">
        <f t="shared" si="9"/>
        <v>-2.6872146400301365E-2</v>
      </c>
      <c r="N300" s="11">
        <f>GraphEcoli!B$10-('E coli'!J300-GraphEcoli!$B$6)/GraphEcoli!$B$5</f>
        <v>0.26681584137747383</v>
      </c>
      <c r="O300" s="1" t="s">
        <v>1036</v>
      </c>
      <c r="P300">
        <v>2002</v>
      </c>
      <c r="V300" s="10">
        <f>GraphEcoli!$B$40*'E coli'!J300+GraphEcoli!$B$41</f>
        <v>0.26681584137747372</v>
      </c>
      <c r="W300" s="10">
        <f>GraphEcoli!$E$40*'E coli'!J300+GraphEcoli!$E$41</f>
        <v>0.27887426496656786</v>
      </c>
    </row>
    <row r="301" spans="1:23" hidden="1" x14ac:dyDescent="0.2">
      <c r="A301" s="1" t="s">
        <v>1329</v>
      </c>
      <c r="B301" s="1" t="s">
        <v>1330</v>
      </c>
      <c r="C301" t="s">
        <v>1341</v>
      </c>
      <c r="D301" t="s">
        <v>1032</v>
      </c>
      <c r="E301" t="s">
        <v>44</v>
      </c>
      <c r="F301" s="1" t="s">
        <v>367</v>
      </c>
      <c r="J301" s="23">
        <v>55</v>
      </c>
      <c r="K301" s="11">
        <v>8.8000000000000007</v>
      </c>
      <c r="M301" s="12">
        <f t="shared" si="9"/>
        <v>0.94448267215016868</v>
      </c>
      <c r="N301" s="11">
        <f>GraphEcoli!B$10-('E coli'!J301-GraphEcoli!$B$6)/GraphEcoli!$B$5</f>
        <v>0.73704635499471105</v>
      </c>
      <c r="O301" s="1" t="s">
        <v>1036</v>
      </c>
      <c r="P301">
        <v>2002</v>
      </c>
      <c r="V301" s="10">
        <f>GraphEcoli!$B$40*'E coli'!J301+GraphEcoli!$B$41</f>
        <v>0.73704635499471127</v>
      </c>
      <c r="W301" s="10">
        <f>GraphEcoli!$E$40*'E coli'!J301+GraphEcoli!$E$41</f>
        <v>0.71657331300039928</v>
      </c>
    </row>
    <row r="302" spans="1:23" hidden="1" x14ac:dyDescent="0.2">
      <c r="A302" s="1" t="s">
        <v>1329</v>
      </c>
      <c r="B302" s="1" t="s">
        <v>1330</v>
      </c>
      <c r="C302" t="s">
        <v>1341</v>
      </c>
      <c r="D302" t="s">
        <v>1032</v>
      </c>
      <c r="E302" t="s">
        <v>44</v>
      </c>
      <c r="F302" s="1" t="s">
        <v>367</v>
      </c>
      <c r="J302" s="23">
        <v>60</v>
      </c>
      <c r="K302" s="11">
        <v>0.69</v>
      </c>
      <c r="M302" s="12">
        <f t="shared" si="9"/>
        <v>-0.16115090926274472</v>
      </c>
      <c r="N302" s="11">
        <f>GraphEcoli!B$10-('E coli'!J302-GraphEcoli!$B$6)/GraphEcoli!$B$5</f>
        <v>0.26681584137747383</v>
      </c>
      <c r="O302" s="1" t="s">
        <v>1036</v>
      </c>
      <c r="P302">
        <v>2002</v>
      </c>
      <c r="V302" s="10">
        <f>GraphEcoli!$B$40*'E coli'!J302+GraphEcoli!$B$41</f>
        <v>0.26681584137747372</v>
      </c>
      <c r="W302" s="10">
        <f>GraphEcoli!$E$40*'E coli'!J302+GraphEcoli!$E$41</f>
        <v>0.27887426496656786</v>
      </c>
    </row>
    <row r="303" spans="1:23" hidden="1" x14ac:dyDescent="0.2">
      <c r="A303" s="1" t="s">
        <v>1329</v>
      </c>
      <c r="B303" s="1" t="s">
        <v>1330</v>
      </c>
      <c r="C303" t="s">
        <v>1341</v>
      </c>
      <c r="D303">
        <v>932</v>
      </c>
      <c r="E303" t="s">
        <v>44</v>
      </c>
      <c r="F303" s="1" t="s">
        <v>367</v>
      </c>
      <c r="J303" s="23">
        <v>55</v>
      </c>
      <c r="K303" s="11">
        <v>2.6</v>
      </c>
      <c r="M303" s="12">
        <f t="shared" si="9"/>
        <v>0.41497334797081797</v>
      </c>
      <c r="N303" s="11">
        <f>GraphEcoli!B$10-('E coli'!J303-GraphEcoli!$B$6)/GraphEcoli!$B$5</f>
        <v>0.73704635499471105</v>
      </c>
      <c r="O303" s="1" t="s">
        <v>1036</v>
      </c>
      <c r="P303">
        <v>2002</v>
      </c>
      <c r="V303" s="10">
        <f>GraphEcoli!$B$40*'E coli'!J303+GraphEcoli!$B$41</f>
        <v>0.73704635499471127</v>
      </c>
      <c r="W303" s="10">
        <f>GraphEcoli!$E$40*'E coli'!J303+GraphEcoli!$E$41</f>
        <v>0.71657331300039928</v>
      </c>
    </row>
    <row r="304" spans="1:23" hidden="1" x14ac:dyDescent="0.2">
      <c r="A304" s="1" t="s">
        <v>1329</v>
      </c>
      <c r="B304" s="1" t="s">
        <v>1330</v>
      </c>
      <c r="C304" t="s">
        <v>1341</v>
      </c>
      <c r="D304">
        <v>932</v>
      </c>
      <c r="E304" t="s">
        <v>44</v>
      </c>
      <c r="F304" s="1" t="s">
        <v>367</v>
      </c>
      <c r="J304" s="23">
        <v>60</v>
      </c>
      <c r="K304" s="11">
        <v>0.84</v>
      </c>
      <c r="M304" s="12">
        <f t="shared" si="9"/>
        <v>-7.5720713938118356E-2</v>
      </c>
      <c r="N304" s="11">
        <f>GraphEcoli!B$10-('E coli'!J304-GraphEcoli!$B$6)/GraphEcoli!$B$5</f>
        <v>0.26681584137747383</v>
      </c>
      <c r="O304" s="1" t="s">
        <v>1036</v>
      </c>
      <c r="P304">
        <v>2002</v>
      </c>
      <c r="V304" s="10">
        <f>GraphEcoli!$B$40*'E coli'!J304+GraphEcoli!$B$41</f>
        <v>0.26681584137747372</v>
      </c>
      <c r="W304" s="10">
        <f>GraphEcoli!$E$40*'E coli'!J304+GraphEcoli!$E$41</f>
        <v>0.27887426496656786</v>
      </c>
    </row>
    <row r="305" spans="1:24" hidden="1" x14ac:dyDescent="0.2">
      <c r="A305" s="1" t="s">
        <v>1329</v>
      </c>
      <c r="B305" s="1" t="s">
        <v>1330</v>
      </c>
      <c r="C305" t="s">
        <v>1341</v>
      </c>
      <c r="D305" t="s">
        <v>1033</v>
      </c>
      <c r="E305" t="s">
        <v>44</v>
      </c>
      <c r="F305" s="1" t="s">
        <v>367</v>
      </c>
      <c r="J305" s="23">
        <v>55</v>
      </c>
      <c r="K305" s="11">
        <v>5.6</v>
      </c>
      <c r="M305" s="12">
        <f t="shared" si="9"/>
        <v>0.74818802700620035</v>
      </c>
      <c r="N305" s="11">
        <f>GraphEcoli!B$10-('E coli'!J305-GraphEcoli!$B$6)/GraphEcoli!$B$5</f>
        <v>0.73704635499471105</v>
      </c>
      <c r="O305" s="1" t="s">
        <v>1036</v>
      </c>
      <c r="P305">
        <v>2002</v>
      </c>
      <c r="V305" s="10">
        <f>GraphEcoli!$B$40*'E coli'!J305+GraphEcoli!$B$41</f>
        <v>0.73704635499471127</v>
      </c>
      <c r="W305" s="10">
        <f>GraphEcoli!$E$40*'E coli'!J305+GraphEcoli!$E$41</f>
        <v>0.71657331300039928</v>
      </c>
    </row>
    <row r="306" spans="1:24" hidden="1" x14ac:dyDescent="0.2">
      <c r="A306" s="1" t="s">
        <v>1329</v>
      </c>
      <c r="B306" s="1" t="s">
        <v>1330</v>
      </c>
      <c r="C306" t="s">
        <v>1341</v>
      </c>
      <c r="D306" t="s">
        <v>1033</v>
      </c>
      <c r="E306" t="s">
        <v>44</v>
      </c>
      <c r="F306" s="1" t="s">
        <v>367</v>
      </c>
      <c r="J306" s="23">
        <v>60</v>
      </c>
      <c r="K306" s="11">
        <v>0.91</v>
      </c>
      <c r="M306" s="12">
        <f t="shared" si="9"/>
        <v>-4.0958607678906384E-2</v>
      </c>
      <c r="N306" s="11">
        <f>GraphEcoli!B$10-('E coli'!J306-GraphEcoli!$B$6)/GraphEcoli!$B$5</f>
        <v>0.26681584137747383</v>
      </c>
      <c r="O306" s="1" t="s">
        <v>1036</v>
      </c>
      <c r="P306">
        <v>2002</v>
      </c>
      <c r="V306" s="10">
        <f>GraphEcoli!$B$40*'E coli'!J306+GraphEcoli!$B$41</f>
        <v>0.26681584137747372</v>
      </c>
      <c r="W306" s="10">
        <f>GraphEcoli!$E$40*'E coli'!J306+GraphEcoli!$E$41</f>
        <v>0.27887426496656786</v>
      </c>
    </row>
    <row r="307" spans="1:24" hidden="1" x14ac:dyDescent="0.2">
      <c r="A307" s="1" t="s">
        <v>1329</v>
      </c>
      <c r="B307" s="1" t="s">
        <v>1330</v>
      </c>
      <c r="C307" t="s">
        <v>1341</v>
      </c>
      <c r="D307">
        <v>43890</v>
      </c>
      <c r="E307" t="s">
        <v>44</v>
      </c>
      <c r="F307" s="1" t="s">
        <v>367</v>
      </c>
      <c r="J307" s="23">
        <v>55</v>
      </c>
      <c r="K307" s="11">
        <v>10.199999999999999</v>
      </c>
      <c r="M307" s="12">
        <f t="shared" si="9"/>
        <v>1.0086001717619175</v>
      </c>
      <c r="N307" s="11">
        <f>GraphEcoli!B$10-('E coli'!J307-GraphEcoli!$B$6)/GraphEcoli!$B$5</f>
        <v>0.73704635499471105</v>
      </c>
      <c r="O307" s="1" t="s">
        <v>1036</v>
      </c>
      <c r="P307">
        <v>2002</v>
      </c>
      <c r="V307" s="10">
        <f>GraphEcoli!$B$40*'E coli'!J307+GraphEcoli!$B$41</f>
        <v>0.73704635499471127</v>
      </c>
      <c r="W307" s="10">
        <f>GraphEcoli!$E$40*'E coli'!J307+GraphEcoli!$E$41</f>
        <v>0.71657331300039928</v>
      </c>
    </row>
    <row r="308" spans="1:24" hidden="1" x14ac:dyDescent="0.2">
      <c r="A308" s="1" t="s">
        <v>1329</v>
      </c>
      <c r="B308" s="1" t="s">
        <v>1330</v>
      </c>
      <c r="C308" t="s">
        <v>1341</v>
      </c>
      <c r="D308">
        <v>43890</v>
      </c>
      <c r="E308" t="s">
        <v>44</v>
      </c>
      <c r="F308" s="1" t="s">
        <v>367</v>
      </c>
      <c r="J308" s="23">
        <v>60</v>
      </c>
      <c r="K308" s="11">
        <v>1.33</v>
      </c>
      <c r="M308" s="12">
        <f t="shared" si="9"/>
        <v>0.12385164096708581</v>
      </c>
      <c r="N308" s="11">
        <f>GraphEcoli!B$10-('E coli'!J308-GraphEcoli!$B$6)/GraphEcoli!$B$5</f>
        <v>0.26681584137747383</v>
      </c>
      <c r="O308" s="1" t="s">
        <v>1036</v>
      </c>
      <c r="P308">
        <v>2002</v>
      </c>
      <c r="V308" s="10">
        <f>GraphEcoli!$B$40*'E coli'!J308+GraphEcoli!$B$41</f>
        <v>0.26681584137747372</v>
      </c>
      <c r="W308" s="10">
        <f>GraphEcoli!$E$40*'E coli'!J308+GraphEcoli!$E$41</f>
        <v>0.27887426496656786</v>
      </c>
    </row>
    <row r="309" spans="1:24" hidden="1" x14ac:dyDescent="0.2">
      <c r="A309" s="1" t="s">
        <v>1329</v>
      </c>
      <c r="B309" s="1" t="s">
        <v>1330</v>
      </c>
      <c r="C309" t="s">
        <v>1341</v>
      </c>
      <c r="D309" t="s">
        <v>1034</v>
      </c>
      <c r="E309" t="s">
        <v>44</v>
      </c>
      <c r="F309" s="1" t="s">
        <v>367</v>
      </c>
      <c r="J309" s="23">
        <v>55</v>
      </c>
      <c r="K309" s="11">
        <v>18</v>
      </c>
      <c r="M309" s="12">
        <f t="shared" si="9"/>
        <v>1.255272505103306</v>
      </c>
      <c r="N309" s="11">
        <f>GraphEcoli!B$10-('E coli'!J309-GraphEcoli!$B$6)/GraphEcoli!$B$5</f>
        <v>0.73704635499471105</v>
      </c>
      <c r="O309" s="1" t="s">
        <v>1036</v>
      </c>
      <c r="P309">
        <v>2002</v>
      </c>
      <c r="V309" s="10">
        <f>GraphEcoli!$B$40*'E coli'!J309+GraphEcoli!$B$41</f>
        <v>0.73704635499471127</v>
      </c>
      <c r="W309" s="10"/>
      <c r="X309" s="10">
        <f>GraphEcoli!$H$40*'E coli'!J309+GraphEcoli!$H$41</f>
        <v>1.1369519774578247</v>
      </c>
    </row>
    <row r="310" spans="1:24" hidden="1" x14ac:dyDescent="0.2">
      <c r="A310" s="1" t="s">
        <v>1329</v>
      </c>
      <c r="B310" s="1" t="s">
        <v>1330</v>
      </c>
      <c r="C310" t="s">
        <v>1341</v>
      </c>
      <c r="D310" t="s">
        <v>1034</v>
      </c>
      <c r="E310" t="s">
        <v>44</v>
      </c>
      <c r="F310" s="1" t="s">
        <v>367</v>
      </c>
      <c r="J310" s="23">
        <v>60</v>
      </c>
      <c r="K310" s="11">
        <v>2.13</v>
      </c>
      <c r="M310" s="12">
        <f t="shared" si="9"/>
        <v>0.32837960343873768</v>
      </c>
      <c r="N310" s="11">
        <f>GraphEcoli!B$10-('E coli'!J310-GraphEcoli!$B$6)/GraphEcoli!$B$5</f>
        <v>0.26681584137747383</v>
      </c>
      <c r="O310" s="1" t="s">
        <v>1036</v>
      </c>
      <c r="P310">
        <v>2002</v>
      </c>
      <c r="V310" s="10">
        <f>GraphEcoli!$B$40*'E coli'!J310+GraphEcoli!$B$41</f>
        <v>0.26681584137747372</v>
      </c>
      <c r="W310" s="10"/>
      <c r="X310" s="10">
        <f>GraphEcoli!$H$40*'E coli'!J310+GraphEcoli!$H$41</f>
        <v>0.24862501441419482</v>
      </c>
    </row>
    <row r="311" spans="1:24" hidden="1" x14ac:dyDescent="0.2">
      <c r="A311" s="1" t="s">
        <v>1329</v>
      </c>
      <c r="B311" s="1" t="s">
        <v>1330</v>
      </c>
      <c r="C311" t="s">
        <v>1341</v>
      </c>
      <c r="D311" t="s">
        <v>1035</v>
      </c>
      <c r="E311" t="s">
        <v>44</v>
      </c>
      <c r="F311" s="1" t="s">
        <v>367</v>
      </c>
      <c r="J311" s="23">
        <v>55</v>
      </c>
      <c r="K311" s="11">
        <v>21.5</v>
      </c>
      <c r="M311" s="12">
        <f t="shared" si="9"/>
        <v>1.3324384599156054</v>
      </c>
      <c r="N311" s="11">
        <f>GraphEcoli!B$10-('E coli'!J311-GraphEcoli!$B$6)/GraphEcoli!$B$5</f>
        <v>0.73704635499471105</v>
      </c>
      <c r="O311" s="1" t="s">
        <v>1036</v>
      </c>
      <c r="P311">
        <v>2002</v>
      </c>
      <c r="V311" s="10">
        <f>GraphEcoli!$B$40*'E coli'!J311+GraphEcoli!$B$41</f>
        <v>0.73704635499471127</v>
      </c>
      <c r="W311" s="10"/>
      <c r="X311" s="10">
        <f>GraphEcoli!$H$40*'E coli'!J311+GraphEcoli!$H$41</f>
        <v>1.1369519774578247</v>
      </c>
    </row>
    <row r="312" spans="1:24" hidden="1" x14ac:dyDescent="0.2">
      <c r="A312" s="1" t="s">
        <v>1329</v>
      </c>
      <c r="B312" s="1" t="s">
        <v>1330</v>
      </c>
      <c r="C312" t="s">
        <v>1341</v>
      </c>
      <c r="D312" t="s">
        <v>1035</v>
      </c>
      <c r="E312" t="s">
        <v>44</v>
      </c>
      <c r="F312" s="1" t="s">
        <v>367</v>
      </c>
      <c r="J312" s="23">
        <v>60</v>
      </c>
      <c r="K312" s="11">
        <v>2.11</v>
      </c>
      <c r="M312" s="12">
        <f t="shared" si="9"/>
        <v>0.32428245529769262</v>
      </c>
      <c r="N312" s="11">
        <f>GraphEcoli!B$10-('E coli'!J312-GraphEcoli!$B$6)/GraphEcoli!$B$5</f>
        <v>0.26681584137747383</v>
      </c>
      <c r="O312" s="1" t="s">
        <v>1036</v>
      </c>
      <c r="P312">
        <v>2002</v>
      </c>
      <c r="V312" s="10">
        <f>GraphEcoli!$B$40*'E coli'!J312+GraphEcoli!$B$41</f>
        <v>0.26681584137747372</v>
      </c>
      <c r="W312" s="10"/>
      <c r="X312" s="10">
        <f>GraphEcoli!$H$40*'E coli'!J312+GraphEcoli!$H$41</f>
        <v>0.24862501441419482</v>
      </c>
    </row>
    <row r="313" spans="1:24" hidden="1" x14ac:dyDescent="0.2">
      <c r="A313" s="1" t="s">
        <v>1329</v>
      </c>
      <c r="B313" s="1" t="s">
        <v>1330</v>
      </c>
      <c r="C313" t="s">
        <v>1341</v>
      </c>
      <c r="E313" t="s">
        <v>44</v>
      </c>
      <c r="F313" s="1" t="s">
        <v>845</v>
      </c>
      <c r="J313" s="23">
        <v>60</v>
      </c>
      <c r="K313" s="11">
        <v>1.7</v>
      </c>
      <c r="M313" s="12">
        <f t="shared" si="9"/>
        <v>0.23044892137827391</v>
      </c>
      <c r="N313" s="11">
        <f>GraphEcoli!B$10-('E coli'!J313-GraphEcoli!$B$6)/GraphEcoli!$B$5</f>
        <v>0.26681584137747383</v>
      </c>
      <c r="O313" s="1" t="s">
        <v>848</v>
      </c>
      <c r="P313">
        <v>2000</v>
      </c>
      <c r="V313" s="10">
        <f>GraphEcoli!$B$40*'E coli'!J313+GraphEcoli!$B$41</f>
        <v>0.26681584137747372</v>
      </c>
      <c r="W313" s="10"/>
      <c r="X313" s="10">
        <f>GraphEcoli!$H$40*'E coli'!J313+GraphEcoli!$H$41</f>
        <v>0.24862501441419482</v>
      </c>
    </row>
    <row r="314" spans="1:24" hidden="1" x14ac:dyDescent="0.2">
      <c r="A314" s="1" t="s">
        <v>1329</v>
      </c>
      <c r="B314" s="1" t="s">
        <v>1330</v>
      </c>
      <c r="C314" s="1">
        <v>234</v>
      </c>
      <c r="D314" s="1"/>
      <c r="E314" s="1" t="s">
        <v>44</v>
      </c>
      <c r="F314" s="1" t="s">
        <v>1252</v>
      </c>
      <c r="G314" s="1"/>
      <c r="H314" s="27"/>
      <c r="I314" s="4">
        <v>7</v>
      </c>
      <c r="J314" s="23">
        <v>60</v>
      </c>
      <c r="K314" s="11">
        <v>1.2</v>
      </c>
      <c r="L314" s="4">
        <v>5.3</v>
      </c>
      <c r="M314" s="12">
        <f t="shared" ref="M314:M350" si="10">LOG(K314)</f>
        <v>7.9181246047624818E-2</v>
      </c>
      <c r="N314" s="11">
        <f>GraphEcoli!B$10-('E coli'!J314-GraphEcoli!$B$6)/GraphEcoli!$B$5</f>
        <v>0.26681584137747383</v>
      </c>
      <c r="O314" s="1" t="s">
        <v>1013</v>
      </c>
      <c r="V314" s="10">
        <f>GraphEcoli!$B$40*'E coli'!J314+GraphEcoli!$B$41</f>
        <v>0.26681584137747372</v>
      </c>
      <c r="W314" s="10"/>
      <c r="X314" s="10">
        <f>GraphEcoli!$H$40*'E coli'!J314+GraphEcoli!$H$41</f>
        <v>0.24862501441419482</v>
      </c>
    </row>
    <row r="315" spans="1:24" hidden="1" x14ac:dyDescent="0.2">
      <c r="A315" s="1" t="s">
        <v>1329</v>
      </c>
      <c r="B315" s="1" t="s">
        <v>1330</v>
      </c>
      <c r="C315" s="1">
        <v>234</v>
      </c>
      <c r="D315" s="1"/>
      <c r="E315" s="1" t="s">
        <v>44</v>
      </c>
      <c r="F315" s="1" t="s">
        <v>1252</v>
      </c>
      <c r="G315" s="1"/>
      <c r="H315" s="27"/>
      <c r="I315" s="4">
        <v>7</v>
      </c>
      <c r="J315" s="23">
        <v>62</v>
      </c>
      <c r="K315" s="11">
        <v>0.5</v>
      </c>
      <c r="L315" s="4">
        <v>5.3</v>
      </c>
      <c r="M315" s="12">
        <f t="shared" si="10"/>
        <v>-0.3010299956639812</v>
      </c>
      <c r="N315" s="11">
        <f>GraphEcoli!B$10-('E coli'!J315-GraphEcoli!$B$6)/GraphEcoli!$B$5</f>
        <v>7.8723635930578961E-2</v>
      </c>
      <c r="O315" s="1" t="s">
        <v>1013</v>
      </c>
      <c r="V315" s="10">
        <f>GraphEcoli!$B$40*'E coli'!J315+GraphEcoli!$B$41</f>
        <v>7.8723635930579405E-2</v>
      </c>
      <c r="W315" s="10"/>
      <c r="X315" s="10">
        <f>GraphEcoli!$H$40*'E coli'!J315+GraphEcoli!$H$41</f>
        <v>-0.10670577080325572</v>
      </c>
    </row>
    <row r="316" spans="1:24" hidden="1" x14ac:dyDescent="0.2">
      <c r="A316" s="1" t="s">
        <v>1329</v>
      </c>
      <c r="B316" s="1" t="s">
        <v>1330</v>
      </c>
      <c r="C316" s="1">
        <v>234</v>
      </c>
      <c r="D316" s="1"/>
      <c r="E316" s="1" t="s">
        <v>44</v>
      </c>
      <c r="F316" s="1" t="s">
        <v>1252</v>
      </c>
      <c r="G316" s="1"/>
      <c r="H316" s="27"/>
      <c r="I316" s="4">
        <v>7</v>
      </c>
      <c r="J316" s="23">
        <v>64</v>
      </c>
      <c r="K316" s="11">
        <v>0.2</v>
      </c>
      <c r="L316" s="4">
        <v>5.3</v>
      </c>
      <c r="M316" s="12">
        <f t="shared" si="10"/>
        <v>-0.69897000433601875</v>
      </c>
      <c r="N316" s="11">
        <f>GraphEcoli!B$10-('E coli'!J316-GraphEcoli!$B$6)/GraphEcoli!$B$5</f>
        <v>-0.10936856951631591</v>
      </c>
      <c r="O316" s="1" t="s">
        <v>1013</v>
      </c>
      <c r="V316" s="10">
        <f>GraphEcoli!$B$40*'E coli'!J316+GraphEcoli!$B$41</f>
        <v>-0.10936856951631579</v>
      </c>
      <c r="W316" s="10"/>
      <c r="X316" s="10">
        <f>GraphEcoli!$H$40*'E coli'!J316+GraphEcoli!$H$41</f>
        <v>-0.46203655602070803</v>
      </c>
    </row>
    <row r="317" spans="1:24" hidden="1" x14ac:dyDescent="0.2">
      <c r="A317" s="1" t="s">
        <v>1329</v>
      </c>
      <c r="B317" s="1" t="s">
        <v>1330</v>
      </c>
      <c r="C317" s="2"/>
      <c r="D317" s="2"/>
      <c r="E317" s="1" t="s">
        <v>44</v>
      </c>
      <c r="F317" s="1" t="s">
        <v>584</v>
      </c>
      <c r="G317" s="19" t="s">
        <v>724</v>
      </c>
      <c r="H317" s="28">
        <v>0.9</v>
      </c>
      <c r="I317" s="5">
        <v>6.9</v>
      </c>
      <c r="J317" s="35">
        <v>57.2</v>
      </c>
      <c r="K317" s="9">
        <v>7.2</v>
      </c>
      <c r="L317" s="5"/>
      <c r="M317" s="12">
        <f t="shared" si="10"/>
        <v>0.85733249643126852</v>
      </c>
      <c r="N317" s="11">
        <f>GraphEcoli!B$10-('E coli'!J317-GraphEcoli!$B$6)/GraphEcoli!$B$5</f>
        <v>0.53014492900312638</v>
      </c>
      <c r="O317" s="1" t="s">
        <v>586</v>
      </c>
      <c r="P317">
        <v>1970</v>
      </c>
      <c r="V317" s="10">
        <f>GraphEcoli!$B$40*'E coli'!J317+GraphEcoli!$B$41</f>
        <v>0.53014492900312682</v>
      </c>
      <c r="W317" s="10"/>
      <c r="X317" s="10">
        <f>GraphEcoli!$H$40*'E coli'!J317+GraphEcoli!$H$41</f>
        <v>0.74608811371862771</v>
      </c>
    </row>
    <row r="318" spans="1:24" hidden="1" x14ac:dyDescent="0.2">
      <c r="A318" s="1" t="s">
        <v>1329</v>
      </c>
      <c r="B318" s="1" t="s">
        <v>1330</v>
      </c>
      <c r="C318" s="2"/>
      <c r="D318" s="2"/>
      <c r="E318" s="1" t="s">
        <v>44</v>
      </c>
      <c r="F318" s="1" t="s">
        <v>584</v>
      </c>
      <c r="G318" s="19" t="s">
        <v>724</v>
      </c>
      <c r="H318" s="28">
        <v>0.9</v>
      </c>
      <c r="I318" s="5">
        <v>6.9</v>
      </c>
      <c r="J318" s="35">
        <v>57.2</v>
      </c>
      <c r="K318" s="9">
        <v>8.5</v>
      </c>
      <c r="L318" s="5"/>
      <c r="M318" s="12">
        <f t="shared" si="10"/>
        <v>0.92941892571429274</v>
      </c>
      <c r="N318" s="11">
        <f>GraphEcoli!B$10-('E coli'!J318-GraphEcoli!$B$6)/GraphEcoli!$B$5</f>
        <v>0.53014492900312638</v>
      </c>
      <c r="O318" s="1" t="s">
        <v>586</v>
      </c>
      <c r="P318">
        <v>1970</v>
      </c>
      <c r="V318" s="10">
        <f>GraphEcoli!$B$40*'E coli'!J318+GraphEcoli!$B$41</f>
        <v>0.53014492900312682</v>
      </c>
      <c r="W318" s="10"/>
      <c r="X318" s="10">
        <f>GraphEcoli!$H$40*'E coli'!J318+GraphEcoli!$H$41</f>
        <v>0.74608811371862771</v>
      </c>
    </row>
    <row r="319" spans="1:24" hidden="1" x14ac:dyDescent="0.2">
      <c r="A319" s="1" t="s">
        <v>1329</v>
      </c>
      <c r="B319" s="1" t="s">
        <v>1330</v>
      </c>
      <c r="C319" s="2"/>
      <c r="D319" s="2"/>
      <c r="E319" s="1" t="s">
        <v>44</v>
      </c>
      <c r="F319" s="1" t="s">
        <v>584</v>
      </c>
      <c r="G319" s="19" t="s">
        <v>723</v>
      </c>
      <c r="H319" s="28">
        <v>0.99</v>
      </c>
      <c r="I319" s="5">
        <v>6.9</v>
      </c>
      <c r="J319" s="35">
        <v>57.2</v>
      </c>
      <c r="K319" s="9">
        <v>0.5</v>
      </c>
      <c r="L319" s="5"/>
      <c r="M319" s="12">
        <f t="shared" si="10"/>
        <v>-0.3010299956639812</v>
      </c>
      <c r="N319" s="11">
        <f>GraphEcoli!B$10-('E coli'!J319-GraphEcoli!$B$6)/GraphEcoli!$B$5</f>
        <v>0.53014492900312638</v>
      </c>
      <c r="O319" s="1" t="s">
        <v>586</v>
      </c>
      <c r="P319">
        <v>1970</v>
      </c>
      <c r="V319" s="10">
        <f>GraphEcoli!$B$40*'E coli'!J319+GraphEcoli!$B$41</f>
        <v>0.53014492900312682</v>
      </c>
      <c r="W319" s="10"/>
      <c r="X319" s="10">
        <f>GraphEcoli!$H$40*'E coli'!J319+GraphEcoli!$H$41</f>
        <v>0.74608811371862771</v>
      </c>
    </row>
    <row r="320" spans="1:24" hidden="1" x14ac:dyDescent="0.2">
      <c r="A320" s="1" t="s">
        <v>1329</v>
      </c>
      <c r="B320" s="1" t="s">
        <v>1330</v>
      </c>
      <c r="C320" s="2"/>
      <c r="D320" s="2"/>
      <c r="E320" s="1" t="s">
        <v>44</v>
      </c>
      <c r="F320" s="1" t="s">
        <v>584</v>
      </c>
      <c r="G320" s="19" t="s">
        <v>723</v>
      </c>
      <c r="H320" s="28">
        <v>0.99</v>
      </c>
      <c r="I320" s="5">
        <v>6.9</v>
      </c>
      <c r="J320" s="35">
        <v>57.2</v>
      </c>
      <c r="K320" s="9">
        <v>1.2</v>
      </c>
      <c r="L320" s="5"/>
      <c r="M320" s="12">
        <f t="shared" si="10"/>
        <v>7.9181246047624818E-2</v>
      </c>
      <c r="N320" s="11">
        <f>GraphEcoli!B$10-('E coli'!J320-GraphEcoli!$B$6)/GraphEcoli!$B$5</f>
        <v>0.53014492900312638</v>
      </c>
      <c r="O320" s="1" t="s">
        <v>586</v>
      </c>
      <c r="P320">
        <v>1970</v>
      </c>
      <c r="V320" s="10">
        <f>GraphEcoli!$B$40*'E coli'!J320+GraphEcoli!$B$41</f>
        <v>0.53014492900312682</v>
      </c>
      <c r="W320" s="10"/>
      <c r="X320" s="10">
        <f>GraphEcoli!$H$40*'E coli'!J320+GraphEcoli!$H$41</f>
        <v>0.74608811371862771</v>
      </c>
    </row>
    <row r="321" spans="1:24" hidden="1" x14ac:dyDescent="0.2">
      <c r="A321" s="1" t="s">
        <v>1329</v>
      </c>
      <c r="B321" s="1" t="s">
        <v>1330</v>
      </c>
      <c r="C321" s="2"/>
      <c r="D321" s="2"/>
      <c r="E321" s="1" t="s">
        <v>44</v>
      </c>
      <c r="F321" s="1" t="s">
        <v>584</v>
      </c>
      <c r="G321" s="19" t="s">
        <v>725</v>
      </c>
      <c r="H321" s="28">
        <v>0.75</v>
      </c>
      <c r="I321" s="5">
        <v>6.9</v>
      </c>
      <c r="J321" s="35">
        <v>57.2</v>
      </c>
      <c r="K321" s="9">
        <v>12</v>
      </c>
      <c r="L321" s="5"/>
      <c r="M321" s="12">
        <f t="shared" si="10"/>
        <v>1.0791812460476249</v>
      </c>
      <c r="N321" s="11">
        <f>GraphEcoli!B$10-('E coli'!J321-GraphEcoli!$B$6)/GraphEcoli!$B$5</f>
        <v>0.53014492900312638</v>
      </c>
      <c r="O321" s="1" t="s">
        <v>586</v>
      </c>
      <c r="P321">
        <v>1970</v>
      </c>
      <c r="V321" s="10">
        <f>GraphEcoli!$B$40*'E coli'!J321+GraphEcoli!$B$41</f>
        <v>0.53014492900312682</v>
      </c>
      <c r="W321" s="10"/>
      <c r="X321" s="10">
        <f>GraphEcoli!$H$40*'E coli'!J321+GraphEcoli!$H$41</f>
        <v>0.74608811371862771</v>
      </c>
    </row>
    <row r="322" spans="1:24" hidden="1" x14ac:dyDescent="0.2">
      <c r="A322" s="1" t="s">
        <v>1329</v>
      </c>
      <c r="B322" s="1" t="s">
        <v>1330</v>
      </c>
      <c r="C322" s="2"/>
      <c r="D322" s="2"/>
      <c r="E322" s="1" t="s">
        <v>44</v>
      </c>
      <c r="F322" s="1" t="s">
        <v>584</v>
      </c>
      <c r="G322" s="19" t="s">
        <v>725</v>
      </c>
      <c r="H322" s="28">
        <v>0.75</v>
      </c>
      <c r="I322" s="5">
        <v>6.9</v>
      </c>
      <c r="J322" s="35">
        <v>57.2</v>
      </c>
      <c r="K322" s="9">
        <v>14</v>
      </c>
      <c r="L322" s="5"/>
      <c r="M322" s="12">
        <f t="shared" si="10"/>
        <v>1.146128035678238</v>
      </c>
      <c r="N322" s="11">
        <f>GraphEcoli!B$10-('E coli'!J322-GraphEcoli!$B$6)/GraphEcoli!$B$5</f>
        <v>0.53014492900312638</v>
      </c>
      <c r="O322" s="1" t="s">
        <v>586</v>
      </c>
      <c r="P322">
        <v>1970</v>
      </c>
      <c r="V322" s="10">
        <f>GraphEcoli!$B$40*'E coli'!J322+GraphEcoli!$B$41</f>
        <v>0.53014492900312682</v>
      </c>
      <c r="W322" s="10"/>
      <c r="X322" s="10">
        <f>GraphEcoli!$H$40*'E coli'!J322+GraphEcoli!$H$41</f>
        <v>0.74608811371862771</v>
      </c>
    </row>
    <row r="323" spans="1:24" hidden="1" x14ac:dyDescent="0.2">
      <c r="A323" s="1" t="s">
        <v>1329</v>
      </c>
      <c r="B323" s="1" t="s">
        <v>1330</v>
      </c>
      <c r="C323" s="2"/>
      <c r="D323" s="2"/>
      <c r="E323" s="1" t="s">
        <v>44</v>
      </c>
      <c r="F323" s="1" t="s">
        <v>584</v>
      </c>
      <c r="G323" s="19" t="s">
        <v>718</v>
      </c>
      <c r="H323" s="28">
        <v>0.99</v>
      </c>
      <c r="I323" s="5">
        <v>6.9</v>
      </c>
      <c r="J323" s="35">
        <v>57.2</v>
      </c>
      <c r="K323" s="9">
        <v>0.8</v>
      </c>
      <c r="L323" s="5"/>
      <c r="M323" s="12">
        <f t="shared" si="10"/>
        <v>-9.6910013008056392E-2</v>
      </c>
      <c r="N323" s="11">
        <f>GraphEcoli!B$10-('E coli'!J323-GraphEcoli!$B$6)/GraphEcoli!$B$5</f>
        <v>0.53014492900312638</v>
      </c>
      <c r="O323" s="1" t="s">
        <v>586</v>
      </c>
      <c r="P323">
        <v>1970</v>
      </c>
      <c r="V323" s="10">
        <f>GraphEcoli!$B$40*'E coli'!J323+GraphEcoli!$B$41</f>
        <v>0.53014492900312682</v>
      </c>
      <c r="W323" s="10"/>
      <c r="X323" s="10">
        <f>GraphEcoli!$H$40*'E coli'!J323+GraphEcoli!$H$41</f>
        <v>0.74608811371862771</v>
      </c>
    </row>
    <row r="324" spans="1:24" hidden="1" x14ac:dyDescent="0.2">
      <c r="A324" s="1" t="s">
        <v>1329</v>
      </c>
      <c r="B324" s="1" t="s">
        <v>1330</v>
      </c>
      <c r="C324" s="2"/>
      <c r="D324" s="2"/>
      <c r="E324" s="1" t="s">
        <v>44</v>
      </c>
      <c r="F324" s="1" t="s">
        <v>584</v>
      </c>
      <c r="G324" s="19" t="s">
        <v>718</v>
      </c>
      <c r="H324" s="28">
        <v>0.99</v>
      </c>
      <c r="I324" s="5">
        <v>6.9</v>
      </c>
      <c r="J324" s="35">
        <v>57.2</v>
      </c>
      <c r="K324" s="9">
        <v>1.5</v>
      </c>
      <c r="L324" s="5"/>
      <c r="M324" s="12">
        <f t="shared" si="10"/>
        <v>0.17609125905568124</v>
      </c>
      <c r="N324" s="11">
        <f>GraphEcoli!B$10-('E coli'!J324-GraphEcoli!$B$6)/GraphEcoli!$B$5</f>
        <v>0.53014492900312638</v>
      </c>
      <c r="O324" s="1" t="s">
        <v>586</v>
      </c>
      <c r="P324">
        <v>1970</v>
      </c>
      <c r="V324" s="10">
        <f>GraphEcoli!$B$40*'E coli'!J324+GraphEcoli!$B$41</f>
        <v>0.53014492900312682</v>
      </c>
      <c r="W324" s="10"/>
      <c r="X324" s="10">
        <f>GraphEcoli!$H$40*'E coli'!J324+GraphEcoli!$H$41</f>
        <v>0.74608811371862771</v>
      </c>
    </row>
    <row r="325" spans="1:24" hidden="1" x14ac:dyDescent="0.2">
      <c r="A325" s="1" t="s">
        <v>1329</v>
      </c>
      <c r="B325" s="1" t="s">
        <v>1330</v>
      </c>
      <c r="C325" s="2"/>
      <c r="D325" s="2"/>
      <c r="E325" s="1" t="s">
        <v>44</v>
      </c>
      <c r="F325" s="1" t="s">
        <v>584</v>
      </c>
      <c r="G325" s="19" t="s">
        <v>719</v>
      </c>
      <c r="H325" s="28">
        <v>0.96</v>
      </c>
      <c r="I325" s="5">
        <v>6.9</v>
      </c>
      <c r="J325" s="35">
        <v>57.2</v>
      </c>
      <c r="K325" s="9">
        <v>8.5</v>
      </c>
      <c r="L325" s="5"/>
      <c r="M325" s="12">
        <f t="shared" si="10"/>
        <v>0.92941892571429274</v>
      </c>
      <c r="N325" s="11">
        <f>GraphEcoli!B$10-('E coli'!J325-GraphEcoli!$B$6)/GraphEcoli!$B$5</f>
        <v>0.53014492900312638</v>
      </c>
      <c r="O325" s="1" t="s">
        <v>586</v>
      </c>
      <c r="P325">
        <v>1970</v>
      </c>
      <c r="V325" s="10">
        <f>GraphEcoli!$B$40*'E coli'!J325+GraphEcoli!$B$41</f>
        <v>0.53014492900312682</v>
      </c>
      <c r="W325" s="10"/>
      <c r="X325" s="10">
        <f>GraphEcoli!$H$40*'E coli'!J325+GraphEcoli!$H$41</f>
        <v>0.74608811371862771</v>
      </c>
    </row>
    <row r="326" spans="1:24" hidden="1" x14ac:dyDescent="0.2">
      <c r="A326" s="1" t="s">
        <v>1329</v>
      </c>
      <c r="B326" s="1" t="s">
        <v>1330</v>
      </c>
      <c r="C326" s="2"/>
      <c r="D326" s="2"/>
      <c r="E326" s="1" t="s">
        <v>44</v>
      </c>
      <c r="F326" s="1" t="s">
        <v>584</v>
      </c>
      <c r="G326" s="19" t="s">
        <v>719</v>
      </c>
      <c r="H326" s="28">
        <v>0.96</v>
      </c>
      <c r="I326" s="5">
        <v>6.9</v>
      </c>
      <c r="J326" s="35">
        <v>57.2</v>
      </c>
      <c r="K326" s="9">
        <v>12</v>
      </c>
      <c r="L326" s="5"/>
      <c r="M326" s="12">
        <f t="shared" si="10"/>
        <v>1.0791812460476249</v>
      </c>
      <c r="N326" s="11">
        <f>GraphEcoli!B$10-('E coli'!J326-GraphEcoli!$B$6)/GraphEcoli!$B$5</f>
        <v>0.53014492900312638</v>
      </c>
      <c r="O326" s="1" t="s">
        <v>586</v>
      </c>
      <c r="P326">
        <v>1970</v>
      </c>
      <c r="V326" s="10">
        <f>GraphEcoli!$B$40*'E coli'!J326+GraphEcoli!$B$41</f>
        <v>0.53014492900312682</v>
      </c>
      <c r="W326" s="10"/>
      <c r="X326" s="10">
        <f>GraphEcoli!$H$40*'E coli'!J326+GraphEcoli!$H$41</f>
        <v>0.74608811371862771</v>
      </c>
    </row>
    <row r="327" spans="1:24" hidden="1" x14ac:dyDescent="0.2">
      <c r="A327" s="1" t="s">
        <v>1329</v>
      </c>
      <c r="B327" s="1" t="s">
        <v>1330</v>
      </c>
      <c r="C327" s="2"/>
      <c r="D327" s="2"/>
      <c r="E327" s="1" t="s">
        <v>44</v>
      </c>
      <c r="F327" s="1" t="s">
        <v>584</v>
      </c>
      <c r="G327" s="19" t="s">
        <v>720</v>
      </c>
      <c r="H327" s="28">
        <v>0.93</v>
      </c>
      <c r="I327" s="5">
        <v>6.9</v>
      </c>
      <c r="J327" s="35">
        <v>57.2</v>
      </c>
      <c r="K327" s="9">
        <v>30</v>
      </c>
      <c r="L327" s="5"/>
      <c r="M327" s="12">
        <f t="shared" si="10"/>
        <v>1.4771212547196624</v>
      </c>
      <c r="N327" s="11">
        <f>GraphEcoli!B$10-('E coli'!J327-GraphEcoli!$B$6)/GraphEcoli!$B$5</f>
        <v>0.53014492900312638</v>
      </c>
      <c r="O327" s="1" t="s">
        <v>586</v>
      </c>
      <c r="P327">
        <v>1970</v>
      </c>
      <c r="V327" s="10">
        <f>GraphEcoli!$B$40*'E coli'!J327+GraphEcoli!$B$41</f>
        <v>0.53014492900312682</v>
      </c>
      <c r="W327" s="10"/>
      <c r="X327" s="10">
        <f>GraphEcoli!$H$40*'E coli'!J327+GraphEcoli!$H$41</f>
        <v>0.74608811371862771</v>
      </c>
    </row>
    <row r="328" spans="1:24" hidden="1" x14ac:dyDescent="0.2">
      <c r="A328" s="1" t="s">
        <v>1329</v>
      </c>
      <c r="B328" s="1" t="s">
        <v>1330</v>
      </c>
      <c r="C328" s="2"/>
      <c r="D328" s="2"/>
      <c r="E328" s="1" t="s">
        <v>44</v>
      </c>
      <c r="F328" s="1" t="s">
        <v>584</v>
      </c>
      <c r="G328" s="19" t="s">
        <v>720</v>
      </c>
      <c r="H328" s="28">
        <v>0.93</v>
      </c>
      <c r="I328" s="5">
        <v>6.9</v>
      </c>
      <c r="J328" s="35">
        <v>57.2</v>
      </c>
      <c r="K328" s="9">
        <v>38</v>
      </c>
      <c r="L328" s="5"/>
      <c r="M328" s="12">
        <f t="shared" si="10"/>
        <v>1.5797835966168101</v>
      </c>
      <c r="N328" s="11">
        <f>GraphEcoli!B$10-('E coli'!J328-GraphEcoli!$B$6)/GraphEcoli!$B$5</f>
        <v>0.53014492900312638</v>
      </c>
      <c r="O328" s="1" t="s">
        <v>586</v>
      </c>
      <c r="P328">
        <v>1970</v>
      </c>
      <c r="V328" s="10">
        <f>GraphEcoli!$B$40*'E coli'!J328+GraphEcoli!$B$41</f>
        <v>0.53014492900312682</v>
      </c>
      <c r="W328" s="10"/>
      <c r="X328" s="10">
        <f>GraphEcoli!$H$40*'E coli'!J328+GraphEcoli!$H$41</f>
        <v>0.74608811371862771</v>
      </c>
    </row>
    <row r="329" spans="1:24" hidden="1" x14ac:dyDescent="0.2">
      <c r="A329" s="1" t="s">
        <v>1329</v>
      </c>
      <c r="B329" s="1" t="s">
        <v>1330</v>
      </c>
      <c r="C329" s="2"/>
      <c r="D329" s="2"/>
      <c r="E329" s="1" t="s">
        <v>44</v>
      </c>
      <c r="F329" s="1" t="s">
        <v>584</v>
      </c>
      <c r="G329" s="19" t="s">
        <v>721</v>
      </c>
      <c r="H329" s="28">
        <v>0.9</v>
      </c>
      <c r="I329" s="5">
        <v>6.9</v>
      </c>
      <c r="J329" s="35">
        <v>57.2</v>
      </c>
      <c r="K329" s="9">
        <v>35</v>
      </c>
      <c r="L329" s="5"/>
      <c r="M329" s="12">
        <f t="shared" si="10"/>
        <v>1.5440680443502757</v>
      </c>
      <c r="N329" s="11">
        <f>GraphEcoli!B$10-('E coli'!J329-GraphEcoli!$B$6)/GraphEcoli!$B$5</f>
        <v>0.53014492900312638</v>
      </c>
      <c r="O329" s="1" t="s">
        <v>586</v>
      </c>
      <c r="P329">
        <v>1970</v>
      </c>
      <c r="V329" s="10">
        <f>GraphEcoli!$B$40*'E coli'!J329+GraphEcoli!$B$41</f>
        <v>0.53014492900312682</v>
      </c>
      <c r="W329" s="10"/>
      <c r="X329" s="10">
        <f>GraphEcoli!$H$40*'E coli'!J329+GraphEcoli!$H$41</f>
        <v>0.74608811371862771</v>
      </c>
    </row>
    <row r="330" spans="1:24" hidden="1" x14ac:dyDescent="0.2">
      <c r="A330" s="1" t="s">
        <v>1329</v>
      </c>
      <c r="B330" s="1" t="s">
        <v>1330</v>
      </c>
      <c r="C330" s="2"/>
      <c r="D330" s="2"/>
      <c r="E330" s="1" t="s">
        <v>44</v>
      </c>
      <c r="F330" s="1" t="s">
        <v>584</v>
      </c>
      <c r="G330" s="19" t="s">
        <v>721</v>
      </c>
      <c r="H330" s="28">
        <v>0.9</v>
      </c>
      <c r="I330" s="5">
        <v>6.9</v>
      </c>
      <c r="J330" s="35">
        <v>57.2</v>
      </c>
      <c r="K330" s="9">
        <v>60</v>
      </c>
      <c r="L330" s="5"/>
      <c r="M330" s="12">
        <f t="shared" si="10"/>
        <v>1.7781512503836436</v>
      </c>
      <c r="N330" s="11">
        <f>GraphEcoli!B$10-('E coli'!J330-GraphEcoli!$B$6)/GraphEcoli!$B$5</f>
        <v>0.53014492900312638</v>
      </c>
      <c r="O330" s="1" t="s">
        <v>586</v>
      </c>
      <c r="P330">
        <v>1970</v>
      </c>
      <c r="V330" s="10">
        <f>GraphEcoli!$B$40*'E coli'!J330+GraphEcoli!$B$41</f>
        <v>0.53014492900312682</v>
      </c>
      <c r="W330" s="10"/>
      <c r="X330" s="10">
        <f>GraphEcoli!$H$40*'E coli'!J330+GraphEcoli!$H$41</f>
        <v>0.74608811371862771</v>
      </c>
    </row>
    <row r="331" spans="1:24" hidden="1" x14ac:dyDescent="0.2">
      <c r="A331" s="1" t="s">
        <v>1329</v>
      </c>
      <c r="B331" s="1" t="s">
        <v>1330</v>
      </c>
      <c r="C331" s="2"/>
      <c r="D331" s="2"/>
      <c r="E331" s="1" t="s">
        <v>44</v>
      </c>
      <c r="F331" s="1" t="s">
        <v>584</v>
      </c>
      <c r="G331" s="19" t="s">
        <v>722</v>
      </c>
      <c r="H331" s="28">
        <v>0.87</v>
      </c>
      <c r="I331" s="5">
        <v>6.9</v>
      </c>
      <c r="J331" s="35">
        <v>57.2</v>
      </c>
      <c r="K331" s="9">
        <v>30</v>
      </c>
      <c r="L331" s="5"/>
      <c r="M331" s="12">
        <f t="shared" si="10"/>
        <v>1.4771212547196624</v>
      </c>
      <c r="N331" s="11">
        <f>GraphEcoli!B$10-('E coli'!J331-GraphEcoli!$B$6)/GraphEcoli!$B$5</f>
        <v>0.53014492900312638</v>
      </c>
      <c r="O331" s="1" t="s">
        <v>586</v>
      </c>
      <c r="P331">
        <v>1970</v>
      </c>
      <c r="V331" s="10">
        <f>GraphEcoli!$B$40*'E coli'!J331+GraphEcoli!$B$41</f>
        <v>0.53014492900312682</v>
      </c>
      <c r="W331" s="10"/>
      <c r="X331" s="10">
        <f>GraphEcoli!$H$40*'E coli'!J331+GraphEcoli!$H$41</f>
        <v>0.74608811371862771</v>
      </c>
    </row>
    <row r="332" spans="1:24" hidden="1" x14ac:dyDescent="0.2">
      <c r="A332" s="1" t="s">
        <v>1329</v>
      </c>
      <c r="B332" s="1" t="s">
        <v>1330</v>
      </c>
      <c r="C332" s="2"/>
      <c r="D332" s="2"/>
      <c r="E332" s="1" t="s">
        <v>44</v>
      </c>
      <c r="F332" s="1" t="s">
        <v>584</v>
      </c>
      <c r="G332" s="19" t="s">
        <v>722</v>
      </c>
      <c r="H332" s="28">
        <v>0.87</v>
      </c>
      <c r="I332" s="5">
        <v>6.9</v>
      </c>
      <c r="J332" s="35">
        <v>57.2</v>
      </c>
      <c r="K332" s="9">
        <v>70</v>
      </c>
      <c r="L332" s="5"/>
      <c r="M332" s="12">
        <f t="shared" si="10"/>
        <v>1.8450980400142569</v>
      </c>
      <c r="N332" s="11">
        <f>GraphEcoli!B$10-('E coli'!J332-GraphEcoli!$B$6)/GraphEcoli!$B$5</f>
        <v>0.53014492900312638</v>
      </c>
      <c r="O332" s="1" t="s">
        <v>586</v>
      </c>
      <c r="P332">
        <v>1970</v>
      </c>
      <c r="V332" s="10">
        <f>GraphEcoli!$B$40*'E coli'!J332+GraphEcoli!$B$41</f>
        <v>0.53014492900312682</v>
      </c>
      <c r="W332" s="10"/>
      <c r="X332" s="10">
        <f>GraphEcoli!$H$40*'E coli'!J332+GraphEcoli!$H$41</f>
        <v>0.74608811371862771</v>
      </c>
    </row>
    <row r="333" spans="1:24" hidden="1" x14ac:dyDescent="0.2">
      <c r="A333" s="1" t="s">
        <v>1329</v>
      </c>
      <c r="B333" s="1" t="s">
        <v>1330</v>
      </c>
      <c r="C333" s="1" t="s">
        <v>1423</v>
      </c>
      <c r="D333" s="1" t="s">
        <v>1422</v>
      </c>
      <c r="E333" s="1" t="s">
        <v>44</v>
      </c>
      <c r="F333" s="1" t="s">
        <v>1247</v>
      </c>
      <c r="G333" s="19" t="s">
        <v>54</v>
      </c>
      <c r="H333" s="28"/>
      <c r="I333" s="5">
        <v>7</v>
      </c>
      <c r="J333" s="35">
        <v>60</v>
      </c>
      <c r="K333" s="9">
        <v>2.64</v>
      </c>
      <c r="L333" s="5"/>
      <c r="M333" s="12">
        <f t="shared" si="10"/>
        <v>0.42160392686983106</v>
      </c>
      <c r="N333" s="11">
        <f>GraphEcoli!B$10-('E coli'!J333-GraphEcoli!$B$6)/GraphEcoli!$B$5</f>
        <v>0.26681584137747383</v>
      </c>
      <c r="O333" s="2" t="s">
        <v>1226</v>
      </c>
      <c r="P333">
        <v>1996</v>
      </c>
      <c r="Q333" t="s">
        <v>1434</v>
      </c>
      <c r="V333" s="10">
        <f>GraphEcoli!$B$40*'E coli'!J333+GraphEcoli!$B$41</f>
        <v>0.26681584137747372</v>
      </c>
      <c r="W333" s="10"/>
      <c r="X333" s="10">
        <f>GraphEcoli!$H$40*'E coli'!J333+GraphEcoli!$H$41</f>
        <v>0.24862501441419482</v>
      </c>
    </row>
    <row r="334" spans="1:24" hidden="1" x14ac:dyDescent="0.2">
      <c r="A334" s="1" t="s">
        <v>1329</v>
      </c>
      <c r="B334" s="1" t="s">
        <v>1330</v>
      </c>
      <c r="C334" s="1" t="s">
        <v>1423</v>
      </c>
      <c r="D334" s="1" t="s">
        <v>1424</v>
      </c>
      <c r="E334" s="1" t="s">
        <v>44</v>
      </c>
      <c r="F334" s="1" t="s">
        <v>1247</v>
      </c>
      <c r="G334" s="19" t="s">
        <v>1433</v>
      </c>
      <c r="H334" s="28"/>
      <c r="I334" s="5">
        <v>7</v>
      </c>
      <c r="J334" s="35">
        <v>60</v>
      </c>
      <c r="K334" s="9">
        <v>0.77</v>
      </c>
      <c r="L334" s="5"/>
      <c r="M334" s="12">
        <f t="shared" si="10"/>
        <v>-0.11350927482751812</v>
      </c>
      <c r="N334" s="11">
        <f>GraphEcoli!B$10-('E coli'!J334-GraphEcoli!$B$6)/GraphEcoli!$B$5</f>
        <v>0.26681584137747383</v>
      </c>
      <c r="O334" s="2" t="s">
        <v>1226</v>
      </c>
      <c r="P334">
        <v>1996</v>
      </c>
      <c r="Q334" t="s">
        <v>1434</v>
      </c>
      <c r="V334" s="10">
        <f>GraphEcoli!$B$40*'E coli'!J334+GraphEcoli!$B$41</f>
        <v>0.26681584137747372</v>
      </c>
      <c r="W334" s="10"/>
      <c r="X334" s="10">
        <f>GraphEcoli!$H$40*'E coli'!J334+GraphEcoli!$H$41</f>
        <v>0.24862501441419482</v>
      </c>
    </row>
    <row r="335" spans="1:24" hidden="1" x14ac:dyDescent="0.2">
      <c r="A335" s="1" t="s">
        <v>1329</v>
      </c>
      <c r="B335" s="1" t="s">
        <v>1330</v>
      </c>
      <c r="C335" s="1" t="s">
        <v>1423</v>
      </c>
      <c r="D335" s="1" t="s">
        <v>1424</v>
      </c>
      <c r="E335" s="1" t="s">
        <v>44</v>
      </c>
      <c r="F335" s="1" t="s">
        <v>1247</v>
      </c>
      <c r="G335" s="19" t="s">
        <v>1433</v>
      </c>
      <c r="H335" s="28"/>
      <c r="I335" s="5">
        <v>7</v>
      </c>
      <c r="J335" s="35">
        <v>60</v>
      </c>
      <c r="K335" s="9">
        <v>1.08</v>
      </c>
      <c r="L335" s="7"/>
      <c r="M335" s="12">
        <f t="shared" si="10"/>
        <v>3.342375548694973E-2</v>
      </c>
      <c r="N335" s="11">
        <f>GraphEcoli!B$10-('E coli'!J335-GraphEcoli!$B$6)/GraphEcoli!$B$5</f>
        <v>0.26681584137747383</v>
      </c>
      <c r="O335" s="2" t="s">
        <v>1226</v>
      </c>
      <c r="P335">
        <v>1996</v>
      </c>
      <c r="Q335" t="s">
        <v>1435</v>
      </c>
      <c r="V335" s="10">
        <f>GraphEcoli!$B$40*'E coli'!J335+GraphEcoli!$B$41</f>
        <v>0.26681584137747372</v>
      </c>
      <c r="W335" s="10"/>
      <c r="X335" s="10">
        <f>GraphEcoli!$H$40*'E coli'!J335+GraphEcoli!$H$41</f>
        <v>0.24862501441419482</v>
      </c>
    </row>
    <row r="336" spans="1:24" hidden="1" x14ac:dyDescent="0.2">
      <c r="A336" s="1" t="s">
        <v>1329</v>
      </c>
      <c r="B336" s="1" t="s">
        <v>1330</v>
      </c>
      <c r="C336" s="1" t="s">
        <v>1423</v>
      </c>
      <c r="D336" s="1" t="s">
        <v>1424</v>
      </c>
      <c r="E336" s="1" t="s">
        <v>44</v>
      </c>
      <c r="F336" s="1" t="s">
        <v>1247</v>
      </c>
      <c r="G336" s="19" t="s">
        <v>1433</v>
      </c>
      <c r="H336" s="28"/>
      <c r="I336" s="5">
        <v>7</v>
      </c>
      <c r="J336" s="35">
        <v>60</v>
      </c>
      <c r="K336" s="9">
        <v>2.13</v>
      </c>
      <c r="L336" s="7"/>
      <c r="M336" s="12">
        <f t="shared" si="10"/>
        <v>0.32837960343873768</v>
      </c>
      <c r="N336" s="11">
        <f>GraphEcoli!B$10-('E coli'!J336-GraphEcoli!$B$6)/GraphEcoli!$B$5</f>
        <v>0.26681584137747383</v>
      </c>
      <c r="O336" s="2" t="s">
        <v>1226</v>
      </c>
      <c r="P336">
        <v>1996</v>
      </c>
      <c r="Q336" t="s">
        <v>1436</v>
      </c>
      <c r="V336" s="10">
        <f>GraphEcoli!$B$40*'E coli'!J336+GraphEcoli!$B$41</f>
        <v>0.26681584137747372</v>
      </c>
      <c r="W336" s="10"/>
      <c r="X336" s="10">
        <f>GraphEcoli!$H$40*'E coli'!J336+GraphEcoli!$H$41</f>
        <v>0.24862501441419482</v>
      </c>
    </row>
    <row r="337" spans="1:24" hidden="1" x14ac:dyDescent="0.2">
      <c r="A337" s="1" t="s">
        <v>1329</v>
      </c>
      <c r="B337" s="1" t="s">
        <v>1330</v>
      </c>
      <c r="C337" s="1" t="s">
        <v>1423</v>
      </c>
      <c r="D337" s="1" t="s">
        <v>1422</v>
      </c>
      <c r="E337" s="1" t="s">
        <v>44</v>
      </c>
      <c r="F337" s="1" t="s">
        <v>1247</v>
      </c>
      <c r="G337" s="19" t="s">
        <v>1432</v>
      </c>
      <c r="H337" s="28"/>
      <c r="I337" s="5">
        <v>7</v>
      </c>
      <c r="J337" s="35">
        <v>60</v>
      </c>
      <c r="K337" s="9">
        <v>1.71</v>
      </c>
      <c r="L337" s="5"/>
      <c r="M337" s="12">
        <f t="shared" si="10"/>
        <v>0.23299611039215382</v>
      </c>
      <c r="N337" s="11">
        <f>GraphEcoli!B$10-('E coli'!J337-GraphEcoli!$B$6)/GraphEcoli!$B$5</f>
        <v>0.26681584137747383</v>
      </c>
      <c r="O337" s="2" t="s">
        <v>1226</v>
      </c>
      <c r="P337">
        <v>1996</v>
      </c>
      <c r="Q337" t="s">
        <v>1435</v>
      </c>
      <c r="V337" s="10">
        <f>GraphEcoli!$B$40*'E coli'!J337+GraphEcoli!$B$41</f>
        <v>0.26681584137747372</v>
      </c>
      <c r="W337" s="10"/>
      <c r="X337" s="10">
        <f>GraphEcoli!$H$40*'E coli'!J337+GraphEcoli!$H$41</f>
        <v>0.24862501441419482</v>
      </c>
    </row>
    <row r="338" spans="1:24" hidden="1" x14ac:dyDescent="0.2">
      <c r="A338" s="1" t="s">
        <v>1329</v>
      </c>
      <c r="B338" s="1" t="s">
        <v>1330</v>
      </c>
      <c r="C338" s="1" t="s">
        <v>1423</v>
      </c>
      <c r="D338" s="1" t="s">
        <v>1422</v>
      </c>
      <c r="E338" s="1" t="s">
        <v>44</v>
      </c>
      <c r="F338" s="1" t="s">
        <v>1247</v>
      </c>
      <c r="G338" s="19" t="s">
        <v>1432</v>
      </c>
      <c r="H338" s="28"/>
      <c r="I338" s="5">
        <v>7</v>
      </c>
      <c r="J338" s="35">
        <v>60</v>
      </c>
      <c r="K338" s="9">
        <v>2.2400000000000002</v>
      </c>
      <c r="L338" s="5"/>
      <c r="M338" s="12">
        <f t="shared" si="10"/>
        <v>0.35024801833416286</v>
      </c>
      <c r="N338" s="11">
        <f>GraphEcoli!B$10-('E coli'!J338-GraphEcoli!$B$6)/GraphEcoli!$B$5</f>
        <v>0.26681584137747383</v>
      </c>
      <c r="O338" s="2" t="s">
        <v>1226</v>
      </c>
      <c r="P338">
        <v>1996</v>
      </c>
      <c r="Q338" t="s">
        <v>1436</v>
      </c>
      <c r="V338" s="10">
        <f>GraphEcoli!$B$40*'E coli'!J338+GraphEcoli!$B$41</f>
        <v>0.26681584137747372</v>
      </c>
      <c r="W338" s="10"/>
      <c r="X338" s="10">
        <f>GraphEcoli!$H$40*'E coli'!J338+GraphEcoli!$H$41</f>
        <v>0.24862501441419482</v>
      </c>
    </row>
    <row r="339" spans="1:24" hidden="1" x14ac:dyDescent="0.2">
      <c r="A339" s="1" t="s">
        <v>1329</v>
      </c>
      <c r="B339" s="1" t="s">
        <v>1330</v>
      </c>
      <c r="C339" s="1" t="s">
        <v>1423</v>
      </c>
      <c r="D339" s="1" t="s">
        <v>1424</v>
      </c>
      <c r="E339" s="1" t="s">
        <v>44</v>
      </c>
      <c r="F339" s="1" t="s">
        <v>1247</v>
      </c>
      <c r="G339" s="1"/>
      <c r="H339" s="27"/>
      <c r="I339" s="5">
        <v>7</v>
      </c>
      <c r="J339" s="35">
        <v>60</v>
      </c>
      <c r="K339" s="9">
        <v>0.72</v>
      </c>
      <c r="L339" s="5"/>
      <c r="M339" s="12">
        <f t="shared" si="10"/>
        <v>-0.14266750356873156</v>
      </c>
      <c r="N339" s="11">
        <f>GraphEcoli!B$10-('E coli'!J339-GraphEcoli!$B$6)/GraphEcoli!$B$5</f>
        <v>0.26681584137747383</v>
      </c>
      <c r="O339" s="2" t="s">
        <v>1226</v>
      </c>
      <c r="P339">
        <v>1996</v>
      </c>
      <c r="Q339" t="s">
        <v>1434</v>
      </c>
      <c r="V339" s="10">
        <f>GraphEcoli!$B$40*'E coli'!J339+GraphEcoli!$B$41</f>
        <v>0.26681584137747372</v>
      </c>
      <c r="W339" s="10"/>
      <c r="X339" s="10">
        <f>GraphEcoli!$H$40*'E coli'!J339+GraphEcoli!$H$41</f>
        <v>0.24862501441419482</v>
      </c>
    </row>
    <row r="340" spans="1:24" hidden="1" x14ac:dyDescent="0.2">
      <c r="A340" s="1" t="s">
        <v>1329</v>
      </c>
      <c r="B340" s="1" t="s">
        <v>1330</v>
      </c>
      <c r="C340" s="1" t="s">
        <v>1423</v>
      </c>
      <c r="D340" s="1" t="s">
        <v>1424</v>
      </c>
      <c r="E340" s="1" t="s">
        <v>44</v>
      </c>
      <c r="F340" s="1" t="s">
        <v>1247</v>
      </c>
      <c r="G340" s="1"/>
      <c r="H340" s="27"/>
      <c r="I340" s="5">
        <v>7</v>
      </c>
      <c r="J340" s="35">
        <v>60</v>
      </c>
      <c r="K340" s="9">
        <v>0.26</v>
      </c>
      <c r="L340" s="5"/>
      <c r="M340" s="12">
        <f t="shared" si="10"/>
        <v>-0.58502665202918203</v>
      </c>
      <c r="N340" s="11">
        <f>GraphEcoli!B$10-('E coli'!J340-GraphEcoli!$B$6)/GraphEcoli!$B$5</f>
        <v>0.26681584137747383</v>
      </c>
      <c r="O340" s="2" t="s">
        <v>1226</v>
      </c>
      <c r="P340">
        <v>1996</v>
      </c>
      <c r="Q340" t="s">
        <v>1435</v>
      </c>
      <c r="V340" s="10">
        <f>GraphEcoli!$B$40*'E coli'!J340+GraphEcoli!$B$41</f>
        <v>0.26681584137747372</v>
      </c>
      <c r="W340" s="10"/>
      <c r="X340" s="10">
        <f>GraphEcoli!$H$40*'E coli'!J340+GraphEcoli!$H$41</f>
        <v>0.24862501441419482</v>
      </c>
    </row>
    <row r="341" spans="1:24" hidden="1" x14ac:dyDescent="0.2">
      <c r="A341" s="1" t="s">
        <v>1329</v>
      </c>
      <c r="B341" s="1" t="s">
        <v>1330</v>
      </c>
      <c r="C341" s="1" t="s">
        <v>1423</v>
      </c>
      <c r="D341" s="1" t="s">
        <v>1424</v>
      </c>
      <c r="E341" s="1" t="s">
        <v>44</v>
      </c>
      <c r="F341" s="1" t="s">
        <v>1247</v>
      </c>
      <c r="G341" s="1"/>
      <c r="H341" s="27"/>
      <c r="I341" s="5">
        <v>7</v>
      </c>
      <c r="J341" s="35">
        <v>60</v>
      </c>
      <c r="K341" s="9">
        <v>1.03</v>
      </c>
      <c r="L341" s="5"/>
      <c r="M341" s="12">
        <f t="shared" si="10"/>
        <v>1.2837224705172217E-2</v>
      </c>
      <c r="N341" s="11">
        <f>GraphEcoli!B$10-('E coli'!J341-GraphEcoli!$B$6)/GraphEcoli!$B$5</f>
        <v>0.26681584137747383</v>
      </c>
      <c r="O341" s="2" t="s">
        <v>1226</v>
      </c>
      <c r="P341">
        <v>1996</v>
      </c>
      <c r="Q341" t="s">
        <v>1436</v>
      </c>
      <c r="V341" s="10">
        <f>GraphEcoli!$B$40*'E coli'!J341+GraphEcoli!$B$41</f>
        <v>0.26681584137747372</v>
      </c>
      <c r="W341" s="10"/>
      <c r="X341" s="10">
        <f>GraphEcoli!$H$40*'E coli'!J341+GraphEcoli!$H$41</f>
        <v>0.24862501441419482</v>
      </c>
    </row>
    <row r="342" spans="1:24" hidden="1" x14ac:dyDescent="0.2">
      <c r="A342" s="1" t="s">
        <v>1329</v>
      </c>
      <c r="B342" s="1" t="s">
        <v>1330</v>
      </c>
      <c r="C342" s="1" t="s">
        <v>1420</v>
      </c>
      <c r="D342" s="1"/>
      <c r="E342" s="1" t="s">
        <v>44</v>
      </c>
      <c r="F342" s="1" t="s">
        <v>49</v>
      </c>
      <c r="G342" s="19" t="s">
        <v>50</v>
      </c>
      <c r="H342" s="28"/>
      <c r="I342" s="5">
        <v>6.9</v>
      </c>
      <c r="J342" s="35">
        <v>57.2</v>
      </c>
      <c r="K342" s="9">
        <v>0.9</v>
      </c>
      <c r="L342" s="5"/>
      <c r="M342" s="12">
        <f t="shared" si="10"/>
        <v>-4.5757490560675115E-2</v>
      </c>
      <c r="N342" s="11">
        <f>GraphEcoli!B$10-('E coli'!J342-GraphEcoli!$B$6)/GraphEcoli!$B$5</f>
        <v>0.53014492900312638</v>
      </c>
      <c r="O342" s="2" t="s">
        <v>1226</v>
      </c>
      <c r="P342">
        <v>1996</v>
      </c>
      <c r="V342" s="10">
        <f>GraphEcoli!$B$40*'E coli'!J342+GraphEcoli!$B$41</f>
        <v>0.53014492900312682</v>
      </c>
      <c r="W342" s="10"/>
      <c r="X342" s="10">
        <f>GraphEcoli!$H$40*'E coli'!J342+GraphEcoli!$H$41</f>
        <v>0.74608811371862771</v>
      </c>
    </row>
    <row r="343" spans="1:24" hidden="1" x14ac:dyDescent="0.2">
      <c r="A343" s="1" t="s">
        <v>1329</v>
      </c>
      <c r="B343" s="1" t="s">
        <v>1330</v>
      </c>
      <c r="C343" s="1" t="s">
        <v>1420</v>
      </c>
      <c r="D343" s="1"/>
      <c r="E343" s="1" t="s">
        <v>44</v>
      </c>
      <c r="F343" s="1" t="s">
        <v>49</v>
      </c>
      <c r="G343" s="19" t="s">
        <v>50</v>
      </c>
      <c r="H343" s="28"/>
      <c r="I343" s="5">
        <v>6.9</v>
      </c>
      <c r="J343" s="35">
        <v>57.2</v>
      </c>
      <c r="K343" s="9">
        <v>8.1</v>
      </c>
      <c r="L343" s="5"/>
      <c r="M343" s="12">
        <f t="shared" si="10"/>
        <v>0.90848501887864974</v>
      </c>
      <c r="N343" s="11">
        <f>GraphEcoli!B$10-('E coli'!J343-GraphEcoli!$B$6)/GraphEcoli!$B$5</f>
        <v>0.53014492900312638</v>
      </c>
      <c r="O343" s="2" t="s">
        <v>1226</v>
      </c>
      <c r="P343">
        <v>1996</v>
      </c>
      <c r="V343" s="10">
        <f>GraphEcoli!$B$40*'E coli'!J343+GraphEcoli!$B$41</f>
        <v>0.53014492900312682</v>
      </c>
      <c r="W343" s="10"/>
      <c r="X343" s="10">
        <f>GraphEcoli!$H$40*'E coli'!J343+GraphEcoli!$H$41</f>
        <v>0.74608811371862771</v>
      </c>
    </row>
    <row r="344" spans="1:24" hidden="1" x14ac:dyDescent="0.2">
      <c r="A344" s="1" t="s">
        <v>1329</v>
      </c>
      <c r="B344" s="1" t="s">
        <v>1330</v>
      </c>
      <c r="C344" s="1" t="s">
        <v>1420</v>
      </c>
      <c r="D344" s="1"/>
      <c r="E344" s="1" t="s">
        <v>44</v>
      </c>
      <c r="F344" s="1" t="s">
        <v>49</v>
      </c>
      <c r="G344" s="19" t="s">
        <v>50</v>
      </c>
      <c r="H344" s="28"/>
      <c r="I344" s="5">
        <v>6.9</v>
      </c>
      <c r="J344" s="35">
        <v>57.2</v>
      </c>
      <c r="K344" s="9">
        <v>13</v>
      </c>
      <c r="L344" s="5"/>
      <c r="M344" s="12">
        <f t="shared" si="10"/>
        <v>1.1139433523068367</v>
      </c>
      <c r="N344" s="11">
        <f>GraphEcoli!B$10-('E coli'!J344-GraphEcoli!$B$6)/GraphEcoli!$B$5</f>
        <v>0.53014492900312638</v>
      </c>
      <c r="O344" s="2" t="s">
        <v>1226</v>
      </c>
      <c r="P344">
        <v>1996</v>
      </c>
      <c r="V344" s="10">
        <f>GraphEcoli!$B$40*'E coli'!J344+GraphEcoli!$B$41</f>
        <v>0.53014492900312682</v>
      </c>
      <c r="W344" s="10"/>
      <c r="X344" s="10">
        <f>GraphEcoli!$H$40*'E coli'!J344+GraphEcoli!$H$41</f>
        <v>0.74608811371862771</v>
      </c>
    </row>
    <row r="345" spans="1:24" hidden="1" x14ac:dyDescent="0.2">
      <c r="A345" s="1" t="s">
        <v>1329</v>
      </c>
      <c r="B345" s="1" t="s">
        <v>1330</v>
      </c>
      <c r="C345" s="1" t="s">
        <v>1339</v>
      </c>
      <c r="D345" s="1"/>
      <c r="E345" s="1" t="s">
        <v>44</v>
      </c>
      <c r="F345" s="1" t="s">
        <v>49</v>
      </c>
      <c r="G345" s="19" t="s">
        <v>53</v>
      </c>
      <c r="H345" s="28"/>
      <c r="I345" s="5">
        <v>6.9</v>
      </c>
      <c r="J345" s="35">
        <v>57.2</v>
      </c>
      <c r="K345" s="9">
        <v>1.2</v>
      </c>
      <c r="L345" s="5"/>
      <c r="M345" s="12">
        <f t="shared" si="10"/>
        <v>7.9181246047624818E-2</v>
      </c>
      <c r="N345" s="11">
        <f>GraphEcoli!B$10-('E coli'!J345-GraphEcoli!$B$6)/GraphEcoli!$B$5</f>
        <v>0.53014492900312638</v>
      </c>
      <c r="O345" s="2" t="s">
        <v>1226</v>
      </c>
      <c r="P345">
        <v>1996</v>
      </c>
      <c r="V345" s="10">
        <f>GraphEcoli!$B$40*'E coli'!J345+GraphEcoli!$B$41</f>
        <v>0.53014492900312682</v>
      </c>
      <c r="W345" s="10"/>
      <c r="X345" s="10">
        <f>GraphEcoli!$H$40*'E coli'!J345+GraphEcoli!$H$41</f>
        <v>0.74608811371862771</v>
      </c>
    </row>
    <row r="346" spans="1:24" hidden="1" x14ac:dyDescent="0.2">
      <c r="A346" s="1" t="s">
        <v>1329</v>
      </c>
      <c r="B346" s="1" t="s">
        <v>1330</v>
      </c>
      <c r="C346" s="1" t="s">
        <v>1339</v>
      </c>
      <c r="D346" s="1"/>
      <c r="E346" s="1" t="s">
        <v>44</v>
      </c>
      <c r="F346" s="1" t="s">
        <v>49</v>
      </c>
      <c r="G346" s="19" t="s">
        <v>53</v>
      </c>
      <c r="H346" s="28"/>
      <c r="I346" s="5">
        <v>6.9</v>
      </c>
      <c r="J346" s="35">
        <v>57.2</v>
      </c>
      <c r="K346" s="9">
        <v>46.5</v>
      </c>
      <c r="L346" s="5"/>
      <c r="M346" s="12">
        <f t="shared" si="10"/>
        <v>1.667452952889954</v>
      </c>
      <c r="N346" s="11">
        <f>GraphEcoli!B$10-('E coli'!J346-GraphEcoli!$B$6)/GraphEcoli!$B$5</f>
        <v>0.53014492900312638</v>
      </c>
      <c r="O346" s="2" t="s">
        <v>1226</v>
      </c>
      <c r="P346">
        <v>1996</v>
      </c>
      <c r="V346" s="10">
        <f>GraphEcoli!$B$40*'E coli'!J346+GraphEcoli!$B$41</f>
        <v>0.53014492900312682</v>
      </c>
      <c r="W346" s="10"/>
      <c r="X346" s="10">
        <f>GraphEcoli!$H$40*'E coli'!J346+GraphEcoli!$H$41</f>
        <v>0.74608811371862771</v>
      </c>
    </row>
    <row r="347" spans="1:24" hidden="1" x14ac:dyDescent="0.2">
      <c r="A347" s="1" t="s">
        <v>1329</v>
      </c>
      <c r="B347" s="1" t="s">
        <v>1330</v>
      </c>
      <c r="C347" s="2" t="s">
        <v>1331</v>
      </c>
      <c r="D347" s="2"/>
      <c r="E347" s="1" t="s">
        <v>44</v>
      </c>
      <c r="F347" s="1" t="s">
        <v>51</v>
      </c>
      <c r="G347" s="19" t="s">
        <v>52</v>
      </c>
      <c r="H347" s="28"/>
      <c r="I347" s="5">
        <v>7.6</v>
      </c>
      <c r="J347" s="35">
        <v>55</v>
      </c>
      <c r="K347" s="9">
        <v>3</v>
      </c>
      <c r="L347" s="5"/>
      <c r="M347" s="12">
        <f t="shared" si="10"/>
        <v>0.47712125471966244</v>
      </c>
      <c r="N347" s="11">
        <f>GraphEcoli!B$10-('E coli'!J347-GraphEcoli!$B$6)/GraphEcoli!$B$5</f>
        <v>0.73704635499471105</v>
      </c>
      <c r="O347" s="2" t="s">
        <v>1226</v>
      </c>
      <c r="P347">
        <v>1996</v>
      </c>
      <c r="V347" s="10">
        <f>GraphEcoli!$B$40*'E coli'!J347+GraphEcoli!$B$41</f>
        <v>0.73704635499471127</v>
      </c>
      <c r="W347" s="10"/>
      <c r="X347" s="10">
        <f>GraphEcoli!$H$40*'E coli'!J347+GraphEcoli!$H$41</f>
        <v>1.1369519774578247</v>
      </c>
    </row>
    <row r="348" spans="1:24" hidden="1" x14ac:dyDescent="0.2">
      <c r="A348" s="1" t="s">
        <v>1329</v>
      </c>
      <c r="B348" s="1" t="s">
        <v>1330</v>
      </c>
      <c r="C348" s="2" t="s">
        <v>1331</v>
      </c>
      <c r="D348" s="2"/>
      <c r="E348" s="1" t="s">
        <v>44</v>
      </c>
      <c r="F348" s="1" t="s">
        <v>51</v>
      </c>
      <c r="G348" s="19" t="s">
        <v>52</v>
      </c>
      <c r="H348" s="28"/>
      <c r="I348" s="5">
        <v>7.6</v>
      </c>
      <c r="J348" s="35">
        <v>55</v>
      </c>
      <c r="K348" s="9">
        <v>2.9</v>
      </c>
      <c r="L348" s="5"/>
      <c r="M348" s="12">
        <f t="shared" si="10"/>
        <v>0.46239799789895608</v>
      </c>
      <c r="N348" s="11">
        <f>GraphEcoli!B$10-('E coli'!J348-GraphEcoli!$B$6)/GraphEcoli!$B$5</f>
        <v>0.73704635499471105</v>
      </c>
      <c r="O348" s="2" t="s">
        <v>1226</v>
      </c>
      <c r="P348">
        <v>1996</v>
      </c>
      <c r="Q348" t="s">
        <v>1332</v>
      </c>
      <c r="V348" s="10">
        <f>GraphEcoli!$B$40*'E coli'!J348+GraphEcoli!$B$41</f>
        <v>0.73704635499471127</v>
      </c>
      <c r="W348" s="10"/>
      <c r="X348" s="10">
        <f>GraphEcoli!$H$40*'E coli'!J348+GraphEcoli!$H$41</f>
        <v>1.1369519774578247</v>
      </c>
    </row>
    <row r="349" spans="1:24" hidden="1" x14ac:dyDescent="0.2">
      <c r="A349" s="1" t="s">
        <v>1329</v>
      </c>
      <c r="B349" s="1" t="s">
        <v>1330</v>
      </c>
      <c r="C349" s="2" t="s">
        <v>1331</v>
      </c>
      <c r="D349" s="2"/>
      <c r="E349" s="1" t="s">
        <v>44</v>
      </c>
      <c r="F349" s="1" t="s">
        <v>51</v>
      </c>
      <c r="G349" s="19" t="s">
        <v>52</v>
      </c>
      <c r="H349" s="28"/>
      <c r="I349" s="5">
        <v>7.6</v>
      </c>
      <c r="J349" s="35">
        <v>60</v>
      </c>
      <c r="K349" s="9">
        <v>1.3</v>
      </c>
      <c r="L349" s="5"/>
      <c r="M349" s="12">
        <f t="shared" si="10"/>
        <v>0.11394335230683679</v>
      </c>
      <c r="N349" s="11">
        <f>GraphEcoli!B$10-('E coli'!J349-GraphEcoli!$B$6)/GraphEcoli!$B$5</f>
        <v>0.26681584137747383</v>
      </c>
      <c r="O349" s="2" t="s">
        <v>1226</v>
      </c>
      <c r="P349">
        <v>1996</v>
      </c>
      <c r="V349" s="10">
        <f>GraphEcoli!$B$40*'E coli'!J349+GraphEcoli!$B$41</f>
        <v>0.26681584137747372</v>
      </c>
      <c r="W349" s="10"/>
      <c r="X349" s="10">
        <f>GraphEcoli!$H$40*'E coli'!J349+GraphEcoli!$H$41</f>
        <v>0.24862501441419482</v>
      </c>
    </row>
    <row r="350" spans="1:24" hidden="1" x14ac:dyDescent="0.2">
      <c r="A350" s="1" t="s">
        <v>1329</v>
      </c>
      <c r="B350" s="1" t="s">
        <v>1330</v>
      </c>
      <c r="C350" s="2" t="s">
        <v>1331</v>
      </c>
      <c r="D350" s="2"/>
      <c r="E350" s="1" t="s">
        <v>44</v>
      </c>
      <c r="F350" s="1" t="s">
        <v>51</v>
      </c>
      <c r="G350" s="19" t="s">
        <v>52</v>
      </c>
      <c r="H350" s="28"/>
      <c r="I350" s="5">
        <v>7.6</v>
      </c>
      <c r="J350" s="35">
        <v>60</v>
      </c>
      <c r="K350" s="9">
        <v>1.9</v>
      </c>
      <c r="L350" s="5"/>
      <c r="M350" s="12">
        <f t="shared" si="10"/>
        <v>0.27875360095282892</v>
      </c>
      <c r="N350" s="11">
        <f>GraphEcoli!B$10-('E coli'!J350-GraphEcoli!$B$6)/GraphEcoli!$B$5</f>
        <v>0.26681584137747383</v>
      </c>
      <c r="O350" s="2" t="s">
        <v>1226</v>
      </c>
      <c r="P350">
        <v>1996</v>
      </c>
      <c r="Q350" t="s">
        <v>1332</v>
      </c>
      <c r="V350" s="10">
        <f>GraphEcoli!$B$40*'E coli'!J350+GraphEcoli!$B$41</f>
        <v>0.26681584137747372</v>
      </c>
      <c r="W350" s="10"/>
      <c r="X350" s="10">
        <f>GraphEcoli!$H$40*'E coli'!J350+GraphEcoli!$H$41</f>
        <v>0.24862501441419482</v>
      </c>
    </row>
    <row r="351" spans="1:24" hidden="1" x14ac:dyDescent="0.2">
      <c r="A351" s="1" t="s">
        <v>1329</v>
      </c>
      <c r="B351" s="1" t="s">
        <v>1330</v>
      </c>
      <c r="C351" t="s">
        <v>1341</v>
      </c>
      <c r="D351" t="s">
        <v>1097</v>
      </c>
      <c r="E351" t="s">
        <v>44</v>
      </c>
      <c r="F351" s="1" t="s">
        <v>69</v>
      </c>
      <c r="G351" s="19" t="s">
        <v>1098</v>
      </c>
      <c r="I351" s="4">
        <v>4.3</v>
      </c>
      <c r="J351" s="23">
        <v>62.5</v>
      </c>
      <c r="K351" s="11">
        <f>19/60</f>
        <v>0.31666666666666665</v>
      </c>
      <c r="M351" s="12">
        <f t="shared" ref="M351:M381" si="11">LOG(K351)+$L$401</f>
        <v>-0.49939764943081472</v>
      </c>
      <c r="N351" s="11">
        <f>GraphEcoli!B$10-('E coli'!J351-GraphEcoli!$B$6)/GraphEcoli!$B$5</f>
        <v>3.1700584568855272E-2</v>
      </c>
      <c r="O351" s="1" t="s">
        <v>1093</v>
      </c>
      <c r="P351">
        <v>1997</v>
      </c>
      <c r="V351" s="10">
        <f>GraphEcoli!$B$40*'E coli'!J351+GraphEcoli!$B$41</f>
        <v>3.1700584568855383E-2</v>
      </c>
      <c r="W351" s="10"/>
      <c r="X351" s="10">
        <f>GraphEcoli!$H$40*'E coli'!J351+GraphEcoli!$H$41</f>
        <v>-0.19553846710761924</v>
      </c>
    </row>
    <row r="352" spans="1:24" hidden="1" x14ac:dyDescent="0.2">
      <c r="A352" s="1" t="s">
        <v>1329</v>
      </c>
      <c r="B352" s="1" t="s">
        <v>1330</v>
      </c>
      <c r="C352" t="s">
        <v>1341</v>
      </c>
      <c r="D352" t="s">
        <v>1101</v>
      </c>
      <c r="E352" t="s">
        <v>44</v>
      </c>
      <c r="F352" s="1" t="s">
        <v>69</v>
      </c>
      <c r="G352" s="19" t="s">
        <v>1098</v>
      </c>
      <c r="I352" s="4">
        <v>4.3</v>
      </c>
      <c r="J352" s="23">
        <v>62.5</v>
      </c>
      <c r="K352" s="11">
        <f>34/60</f>
        <v>0.56666666666666665</v>
      </c>
      <c r="M352" s="12">
        <f t="shared" si="11"/>
        <v>-0.24667233334138852</v>
      </c>
      <c r="N352" s="11">
        <f>GraphEcoli!B$10-('E coli'!J352-GraphEcoli!$B$6)/GraphEcoli!$B$5</f>
        <v>3.1700584568855272E-2</v>
      </c>
      <c r="O352" s="1" t="s">
        <v>1093</v>
      </c>
      <c r="P352">
        <v>1997</v>
      </c>
      <c r="V352" s="10">
        <f>GraphEcoli!$B$40*'E coli'!J352+GraphEcoli!$B$41</f>
        <v>3.1700584568855383E-2</v>
      </c>
      <c r="W352" s="10"/>
      <c r="X352" s="10">
        <f>GraphEcoli!$H$40*'E coli'!J352+GraphEcoli!$H$41</f>
        <v>-0.19553846710761924</v>
      </c>
    </row>
    <row r="353" spans="1:24" hidden="1" x14ac:dyDescent="0.2">
      <c r="A353" s="1" t="s">
        <v>1329</v>
      </c>
      <c r="B353" s="1" t="s">
        <v>1330</v>
      </c>
      <c r="C353" t="s">
        <v>1341</v>
      </c>
      <c r="D353" t="s">
        <v>1102</v>
      </c>
      <c r="E353" t="s">
        <v>44</v>
      </c>
      <c r="F353" s="1" t="s">
        <v>69</v>
      </c>
      <c r="G353" s="19" t="s">
        <v>1098</v>
      </c>
      <c r="I353" s="4">
        <v>4.3</v>
      </c>
      <c r="J353" s="23">
        <v>62.5</v>
      </c>
      <c r="K353" s="11">
        <f>15/60</f>
        <v>0.25</v>
      </c>
      <c r="M353" s="12">
        <f t="shared" si="11"/>
        <v>-0.6020599913279624</v>
      </c>
      <c r="N353" s="11">
        <f>GraphEcoli!B$10-('E coli'!J353-GraphEcoli!$B$6)/GraphEcoli!$B$5</f>
        <v>3.1700584568855272E-2</v>
      </c>
      <c r="O353" s="1" t="s">
        <v>1093</v>
      </c>
      <c r="P353">
        <v>1997</v>
      </c>
      <c r="V353" s="10">
        <f>GraphEcoli!$B$40*'E coli'!J353+GraphEcoli!$B$41</f>
        <v>3.1700584568855383E-2</v>
      </c>
      <c r="W353" s="10"/>
      <c r="X353" s="10">
        <f>GraphEcoli!$H$40*'E coli'!J353+GraphEcoli!$H$41</f>
        <v>-0.19553846710761924</v>
      </c>
    </row>
    <row r="354" spans="1:24" hidden="1" x14ac:dyDescent="0.2">
      <c r="A354" s="1" t="s">
        <v>1329</v>
      </c>
      <c r="B354" s="1" t="s">
        <v>1330</v>
      </c>
      <c r="C354" t="s">
        <v>1341</v>
      </c>
      <c r="D354" t="s">
        <v>1103</v>
      </c>
      <c r="E354" t="s">
        <v>44</v>
      </c>
      <c r="F354" s="1" t="s">
        <v>69</v>
      </c>
      <c r="G354" s="19" t="s">
        <v>1098</v>
      </c>
      <c r="I354" s="4">
        <v>4.3</v>
      </c>
      <c r="J354" s="23">
        <v>62.5</v>
      </c>
      <c r="K354" s="11">
        <f>33/60</f>
        <v>0.55000000000000004</v>
      </c>
      <c r="M354" s="12">
        <f t="shared" si="11"/>
        <v>-0.25963731050575611</v>
      </c>
      <c r="N354" s="11">
        <f>GraphEcoli!B$10-('E coli'!J354-GraphEcoli!$B$6)/GraphEcoli!$B$5</f>
        <v>3.1700584568855272E-2</v>
      </c>
      <c r="O354" s="1" t="s">
        <v>1093</v>
      </c>
      <c r="P354">
        <v>1997</v>
      </c>
      <c r="V354" s="10">
        <f>GraphEcoli!$B$40*'E coli'!J354+GraphEcoli!$B$41</f>
        <v>3.1700584568855383E-2</v>
      </c>
      <c r="X354" s="10">
        <f>GraphEcoli!$H$40*'E coli'!J354+GraphEcoli!$H$41</f>
        <v>-0.19553846710761924</v>
      </c>
    </row>
    <row r="355" spans="1:24" hidden="1" x14ac:dyDescent="0.2">
      <c r="A355" s="1" t="s">
        <v>1329</v>
      </c>
      <c r="B355" s="1" t="s">
        <v>1330</v>
      </c>
      <c r="C355" t="s">
        <v>1341</v>
      </c>
      <c r="D355" t="s">
        <v>1101</v>
      </c>
      <c r="E355" t="s">
        <v>44</v>
      </c>
      <c r="F355" s="1" t="s">
        <v>69</v>
      </c>
      <c r="G355" s="19" t="s">
        <v>1098</v>
      </c>
      <c r="I355" s="4">
        <v>6.8</v>
      </c>
      <c r="J355" s="23">
        <v>64.5</v>
      </c>
      <c r="K355" s="11">
        <f>3.5/60</f>
        <v>5.8333333333333334E-2</v>
      </c>
      <c r="M355" s="12">
        <f t="shared" si="11"/>
        <v>-1.234083206033368</v>
      </c>
      <c r="N355" s="11">
        <f>GraphEcoli!B$10-('E coli'!J355-GraphEcoli!$B$6)/GraphEcoli!$B$5</f>
        <v>-0.15639162087803959</v>
      </c>
      <c r="O355" s="1" t="s">
        <v>1093</v>
      </c>
      <c r="P355">
        <v>1997</v>
      </c>
      <c r="Q355" t="s">
        <v>1104</v>
      </c>
      <c r="V355" s="10">
        <f>GraphEcoli!$B$40*'E coli'!J355+GraphEcoli!$B$41</f>
        <v>-0.15639162087803982</v>
      </c>
      <c r="X355" s="10">
        <f>GraphEcoli!$H$40*'E coli'!J355+GraphEcoli!$H$41</f>
        <v>-0.55086925232507156</v>
      </c>
    </row>
    <row r="356" spans="1:24" hidden="1" x14ac:dyDescent="0.2">
      <c r="A356" s="1" t="s">
        <v>1329</v>
      </c>
      <c r="B356" s="1" t="s">
        <v>1330</v>
      </c>
      <c r="C356" t="s">
        <v>1341</v>
      </c>
      <c r="D356" t="s">
        <v>1101</v>
      </c>
      <c r="E356" t="s">
        <v>44</v>
      </c>
      <c r="F356" s="1" t="s">
        <v>69</v>
      </c>
      <c r="G356" s="19" t="s">
        <v>1098</v>
      </c>
      <c r="I356" s="4">
        <v>6.8</v>
      </c>
      <c r="J356" s="23">
        <v>59.5</v>
      </c>
      <c r="K356" s="11">
        <f>60/60</f>
        <v>1</v>
      </c>
      <c r="M356" s="12">
        <f t="shared" si="11"/>
        <v>0</v>
      </c>
      <c r="N356" s="11">
        <f>GraphEcoli!B$10-('E coli'!J356-GraphEcoli!$B$6)/GraphEcoli!$B$5</f>
        <v>0.31383889273919763</v>
      </c>
      <c r="O356" s="1" t="s">
        <v>1093</v>
      </c>
      <c r="P356">
        <v>1997</v>
      </c>
      <c r="Q356" t="s">
        <v>1104</v>
      </c>
      <c r="V356" s="10">
        <f>GraphEcoli!$B$40*'E coli'!J356+GraphEcoli!$B$41</f>
        <v>0.31383889273919774</v>
      </c>
      <c r="X356" s="10">
        <f>GraphEcoli!$H$40*'E coli'!J356+GraphEcoli!$H$41</f>
        <v>0.33745771071855835</v>
      </c>
    </row>
    <row r="357" spans="1:24" hidden="1" x14ac:dyDescent="0.2">
      <c r="A357" s="1" t="s">
        <v>1329</v>
      </c>
      <c r="B357" s="1" t="s">
        <v>1330</v>
      </c>
      <c r="C357" t="s">
        <v>1341</v>
      </c>
      <c r="D357" t="s">
        <v>1101</v>
      </c>
      <c r="E357" t="s">
        <v>44</v>
      </c>
      <c r="F357" s="1" t="s">
        <v>69</v>
      </c>
      <c r="G357" s="19" t="s">
        <v>1098</v>
      </c>
      <c r="I357" s="4">
        <v>6.8</v>
      </c>
      <c r="J357" s="23">
        <v>64.5</v>
      </c>
      <c r="K357" s="11">
        <f>5.6/60</f>
        <v>9.3333333333333324E-2</v>
      </c>
      <c r="M357" s="12">
        <f t="shared" si="11"/>
        <v>-1.0299632233774432</v>
      </c>
      <c r="N357" s="11">
        <f>GraphEcoli!B$10-('E coli'!J357-GraphEcoli!$B$6)/GraphEcoli!$B$5</f>
        <v>-0.15639162087803959</v>
      </c>
      <c r="O357" s="1" t="s">
        <v>1093</v>
      </c>
      <c r="P357">
        <v>1997</v>
      </c>
      <c r="Q357" t="s">
        <v>1105</v>
      </c>
      <c r="V357" s="10">
        <f>GraphEcoli!$B$40*'E coli'!J357+GraphEcoli!$B$41</f>
        <v>-0.15639162087803982</v>
      </c>
      <c r="X357" s="10">
        <f>GraphEcoli!$H$40*'E coli'!J357+GraphEcoli!$H$41</f>
        <v>-0.55086925232507156</v>
      </c>
    </row>
    <row r="358" spans="1:24" hidden="1" x14ac:dyDescent="0.2">
      <c r="A358" s="1" t="s">
        <v>1329</v>
      </c>
      <c r="B358" s="1" t="s">
        <v>1330</v>
      </c>
      <c r="C358" t="s">
        <v>1341</v>
      </c>
      <c r="D358" t="s">
        <v>1101</v>
      </c>
      <c r="E358" t="s">
        <v>44</v>
      </c>
      <c r="F358" s="1" t="s">
        <v>69</v>
      </c>
      <c r="G358" s="19" t="s">
        <v>1098</v>
      </c>
      <c r="I358" s="4">
        <v>6.8</v>
      </c>
      <c r="J358" s="23">
        <v>59.5</v>
      </c>
      <c r="K358" s="11">
        <f>81/60</f>
        <v>1.35</v>
      </c>
      <c r="M358" s="12">
        <f t="shared" si="11"/>
        <v>0.13033376849500614</v>
      </c>
      <c r="N358" s="11">
        <f>GraphEcoli!B$10-('E coli'!J358-GraphEcoli!$B$6)/GraphEcoli!$B$5</f>
        <v>0.31383889273919763</v>
      </c>
      <c r="O358" s="1" t="s">
        <v>1093</v>
      </c>
      <c r="P358">
        <v>1997</v>
      </c>
      <c r="Q358" t="s">
        <v>1105</v>
      </c>
      <c r="V358" s="10">
        <f>GraphEcoli!$B$40*'E coli'!J358+GraphEcoli!$B$41</f>
        <v>0.31383889273919774</v>
      </c>
      <c r="X358" s="10">
        <f>GraphEcoli!$H$40*'E coli'!J358+GraphEcoli!$H$41</f>
        <v>0.33745771071855835</v>
      </c>
    </row>
    <row r="359" spans="1:24" hidden="1" x14ac:dyDescent="0.2">
      <c r="A359" s="1" t="s">
        <v>1329</v>
      </c>
      <c r="B359" s="1" t="s">
        <v>1330</v>
      </c>
      <c r="C359" t="s">
        <v>1341</v>
      </c>
      <c r="D359" t="s">
        <v>1101</v>
      </c>
      <c r="E359" t="s">
        <v>44</v>
      </c>
      <c r="F359" s="1" t="s">
        <v>69</v>
      </c>
      <c r="G359" s="19" t="s">
        <v>1098</v>
      </c>
      <c r="I359" s="4">
        <v>7</v>
      </c>
      <c r="J359" s="23">
        <v>59.5</v>
      </c>
      <c r="K359" s="11">
        <f>42/60</f>
        <v>0.7</v>
      </c>
      <c r="M359" s="12">
        <f t="shared" si="11"/>
        <v>-0.15490195998574319</v>
      </c>
      <c r="N359" s="11">
        <f>GraphEcoli!B$10-('E coli'!J359-GraphEcoli!$B$6)/GraphEcoli!$B$5</f>
        <v>0.31383889273919763</v>
      </c>
      <c r="O359" s="1" t="s">
        <v>1093</v>
      </c>
      <c r="P359">
        <v>1997</v>
      </c>
      <c r="Q359" t="s">
        <v>1104</v>
      </c>
      <c r="V359" s="10">
        <f>GraphEcoli!$B$40*'E coli'!J359+GraphEcoli!$B$41</f>
        <v>0.31383889273919774</v>
      </c>
      <c r="X359" s="10">
        <f>GraphEcoli!$H$40*'E coli'!J359+GraphEcoli!$H$41</f>
        <v>0.33745771071855835</v>
      </c>
    </row>
    <row r="360" spans="1:24" hidden="1" x14ac:dyDescent="0.2">
      <c r="A360" s="1" t="s">
        <v>1329</v>
      </c>
      <c r="B360" s="1" t="s">
        <v>1330</v>
      </c>
      <c r="C360" t="s">
        <v>1341</v>
      </c>
      <c r="D360" t="s">
        <v>1101</v>
      </c>
      <c r="E360" t="s">
        <v>44</v>
      </c>
      <c r="F360" s="1" t="s">
        <v>69</v>
      </c>
      <c r="G360" s="19" t="s">
        <v>1098</v>
      </c>
      <c r="I360" s="4">
        <v>7</v>
      </c>
      <c r="J360" s="23">
        <v>59.5</v>
      </c>
      <c r="K360" s="11">
        <f>82/60</f>
        <v>1.3666666666666667</v>
      </c>
      <c r="M360" s="12">
        <f t="shared" si="11"/>
        <v>0.13566260200007307</v>
      </c>
      <c r="N360" s="11">
        <f>GraphEcoli!B$10-('E coli'!J360-GraphEcoli!$B$6)/GraphEcoli!$B$5</f>
        <v>0.31383889273919763</v>
      </c>
      <c r="O360" s="1" t="s">
        <v>1093</v>
      </c>
      <c r="P360">
        <v>1997</v>
      </c>
      <c r="Q360" t="s">
        <v>1105</v>
      </c>
      <c r="V360" s="10">
        <f>GraphEcoli!$B$40*'E coli'!J360+GraphEcoli!$B$41</f>
        <v>0.31383889273919774</v>
      </c>
      <c r="X360" s="10">
        <f>GraphEcoli!$H$40*'E coli'!J360+GraphEcoli!$H$41</f>
        <v>0.33745771071855835</v>
      </c>
    </row>
    <row r="361" spans="1:24" hidden="1" x14ac:dyDescent="0.2">
      <c r="A361" s="1" t="s">
        <v>1329</v>
      </c>
      <c r="B361" s="1" t="s">
        <v>1330</v>
      </c>
      <c r="C361" t="s">
        <v>1341</v>
      </c>
      <c r="D361" t="s">
        <v>1101</v>
      </c>
      <c r="E361" t="s">
        <v>44</v>
      </c>
      <c r="F361" s="1" t="s">
        <v>69</v>
      </c>
      <c r="G361" s="19" t="s">
        <v>1203</v>
      </c>
      <c r="I361" s="4">
        <v>4.8</v>
      </c>
      <c r="J361" s="23">
        <v>62.5</v>
      </c>
      <c r="K361" s="11">
        <f>34.8/60</f>
        <v>0.57999999999999996</v>
      </c>
      <c r="M361" s="12">
        <f t="shared" si="11"/>
        <v>-0.23657200643706275</v>
      </c>
      <c r="N361" s="11">
        <f>GraphEcoli!B$10-('E coli'!J361-GraphEcoli!$B$6)/GraphEcoli!$B$5</f>
        <v>3.1700584568855272E-2</v>
      </c>
      <c r="O361" s="1" t="s">
        <v>1093</v>
      </c>
      <c r="P361">
        <v>1997</v>
      </c>
      <c r="V361" s="10">
        <f>GraphEcoli!$B$40*'E coli'!J361+GraphEcoli!$B$41</f>
        <v>3.1700584568855383E-2</v>
      </c>
      <c r="X361" s="10">
        <f>GraphEcoli!$H$40*'E coli'!J361+GraphEcoli!$H$41</f>
        <v>-0.19553846710761924</v>
      </c>
    </row>
    <row r="362" spans="1:24" hidden="1" x14ac:dyDescent="0.2">
      <c r="A362" s="1" t="s">
        <v>1329</v>
      </c>
      <c r="B362" s="1" t="s">
        <v>1330</v>
      </c>
      <c r="C362" t="s">
        <v>1341</v>
      </c>
      <c r="D362" t="s">
        <v>1101</v>
      </c>
      <c r="E362" t="s">
        <v>44</v>
      </c>
      <c r="F362" s="1" t="s">
        <v>69</v>
      </c>
      <c r="G362" s="19" t="s">
        <v>1211</v>
      </c>
      <c r="I362" s="4">
        <v>4.8</v>
      </c>
      <c r="J362" s="23">
        <v>62.5</v>
      </c>
      <c r="K362" s="11">
        <f>48.8/60</f>
        <v>0.81333333333333324</v>
      </c>
      <c r="M362" s="12">
        <f t="shared" si="11"/>
        <v>-8.9731428380933065E-2</v>
      </c>
      <c r="N362" s="11">
        <f>GraphEcoli!B$10-('E coli'!J362-GraphEcoli!$B$6)/GraphEcoli!$B$5</f>
        <v>3.1700584568855272E-2</v>
      </c>
      <c r="O362" s="1" t="s">
        <v>1093</v>
      </c>
      <c r="P362">
        <v>1997</v>
      </c>
      <c r="V362" s="10">
        <f>GraphEcoli!$B$40*'E coli'!J362+GraphEcoli!$B$41</f>
        <v>3.1700584568855383E-2</v>
      </c>
      <c r="X362" s="10">
        <f>GraphEcoli!$H$40*'E coli'!J362+GraphEcoli!$H$41</f>
        <v>-0.19553846710761924</v>
      </c>
    </row>
    <row r="363" spans="1:24" hidden="1" x14ac:dyDescent="0.2">
      <c r="A363" s="1" t="s">
        <v>1329</v>
      </c>
      <c r="B363" s="1" t="s">
        <v>1330</v>
      </c>
      <c r="C363" t="s">
        <v>1341</v>
      </c>
      <c r="D363" t="s">
        <v>1101</v>
      </c>
      <c r="E363" t="s">
        <v>44</v>
      </c>
      <c r="F363" s="1" t="s">
        <v>69</v>
      </c>
      <c r="G363" s="19" t="s">
        <v>1214</v>
      </c>
      <c r="I363" s="4">
        <v>4.8</v>
      </c>
      <c r="J363" s="23">
        <v>62.5</v>
      </c>
      <c r="K363" s="11">
        <f>42/60</f>
        <v>0.7</v>
      </c>
      <c r="M363" s="12">
        <f t="shared" si="11"/>
        <v>-0.15490195998574319</v>
      </c>
      <c r="N363" s="11">
        <f>GraphEcoli!B$10-('E coli'!J363-GraphEcoli!$B$6)/GraphEcoli!$B$5</f>
        <v>3.1700584568855272E-2</v>
      </c>
      <c r="O363" s="1" t="s">
        <v>1093</v>
      </c>
      <c r="P363">
        <v>1997</v>
      </c>
      <c r="V363" s="10">
        <f>GraphEcoli!$B$40*'E coli'!J363+GraphEcoli!$B$41</f>
        <v>3.1700584568855383E-2</v>
      </c>
      <c r="X363" s="10">
        <f>GraphEcoli!$H$40*'E coli'!J363+GraphEcoli!$H$41</f>
        <v>-0.19553846710761924</v>
      </c>
    </row>
    <row r="364" spans="1:24" hidden="1" x14ac:dyDescent="0.2">
      <c r="A364" s="1" t="s">
        <v>1329</v>
      </c>
      <c r="B364" s="1" t="s">
        <v>1330</v>
      </c>
      <c r="C364" t="s">
        <v>1341</v>
      </c>
      <c r="D364" t="s">
        <v>1101</v>
      </c>
      <c r="E364" t="s">
        <v>44</v>
      </c>
      <c r="F364" s="1" t="s">
        <v>69</v>
      </c>
      <c r="G364" s="19" t="s">
        <v>1202</v>
      </c>
      <c r="I364" s="4">
        <v>4.9000000000000004</v>
      </c>
      <c r="J364" s="23">
        <v>62.5</v>
      </c>
      <c r="K364" s="11">
        <f>30.4/60</f>
        <v>0.5066666666666666</v>
      </c>
      <c r="M364" s="12">
        <f t="shared" si="11"/>
        <v>-0.29527766677488992</v>
      </c>
      <c r="N364" s="11">
        <f>GraphEcoli!B$10-('E coli'!J364-GraphEcoli!$B$6)/GraphEcoli!$B$5</f>
        <v>3.1700584568855272E-2</v>
      </c>
      <c r="O364" s="1" t="s">
        <v>1093</v>
      </c>
      <c r="P364">
        <v>1997</v>
      </c>
      <c r="V364" s="10">
        <f>GraphEcoli!$B$40*'E coli'!J364+GraphEcoli!$B$41</f>
        <v>3.1700584568855383E-2</v>
      </c>
      <c r="X364" s="10">
        <f>GraphEcoli!$H$40*'E coli'!J364+GraphEcoli!$H$41</f>
        <v>-0.19553846710761924</v>
      </c>
    </row>
    <row r="365" spans="1:24" hidden="1" x14ac:dyDescent="0.2">
      <c r="A365" s="1" t="s">
        <v>1329</v>
      </c>
      <c r="B365" s="1" t="s">
        <v>1330</v>
      </c>
      <c r="C365" t="s">
        <v>1341</v>
      </c>
      <c r="D365" t="s">
        <v>1101</v>
      </c>
      <c r="E365" t="s">
        <v>44</v>
      </c>
      <c r="F365" s="1" t="s">
        <v>69</v>
      </c>
      <c r="G365" s="19" t="s">
        <v>1212</v>
      </c>
      <c r="I365" s="4">
        <v>4.8</v>
      </c>
      <c r="J365" s="23">
        <v>62.5</v>
      </c>
      <c r="K365" s="11">
        <f>61.5/60</f>
        <v>1.0249999999999999</v>
      </c>
      <c r="M365" s="12">
        <f t="shared" si="11"/>
        <v>1.0723865391773066E-2</v>
      </c>
      <c r="N365" s="11">
        <f>GraphEcoli!B$10-('E coli'!J365-GraphEcoli!$B$6)/GraphEcoli!$B$5</f>
        <v>3.1700584568855272E-2</v>
      </c>
      <c r="O365" s="1" t="s">
        <v>1093</v>
      </c>
      <c r="P365">
        <v>1997</v>
      </c>
      <c r="V365" s="10">
        <f>GraphEcoli!$B$40*'E coli'!J365+GraphEcoli!$B$41</f>
        <v>3.1700584568855383E-2</v>
      </c>
      <c r="X365" s="10">
        <f>GraphEcoli!$H$40*'E coli'!J365+GraphEcoli!$H$41</f>
        <v>-0.19553846710761924</v>
      </c>
    </row>
    <row r="366" spans="1:24" hidden="1" x14ac:dyDescent="0.2">
      <c r="A366" s="1" t="s">
        <v>1329</v>
      </c>
      <c r="B366" s="1" t="s">
        <v>1330</v>
      </c>
      <c r="C366" t="s">
        <v>1341</v>
      </c>
      <c r="D366" t="s">
        <v>1101</v>
      </c>
      <c r="E366" t="s">
        <v>44</v>
      </c>
      <c r="F366" s="1" t="s">
        <v>69</v>
      </c>
      <c r="G366" s="19" t="s">
        <v>1215</v>
      </c>
      <c r="I366" s="4">
        <v>4.8</v>
      </c>
      <c r="J366" s="23">
        <v>62.5</v>
      </c>
      <c r="K366" s="11">
        <f>148/60</f>
        <v>2.4666666666666668</v>
      </c>
      <c r="M366" s="12">
        <f t="shared" si="11"/>
        <v>0.3921104650113138</v>
      </c>
      <c r="N366" s="11">
        <f>GraphEcoli!B$10-('E coli'!J366-GraphEcoli!$B$6)/GraphEcoli!$B$5</f>
        <v>3.1700584568855272E-2</v>
      </c>
      <c r="O366" s="1" t="s">
        <v>1093</v>
      </c>
      <c r="P366">
        <v>1997</v>
      </c>
      <c r="V366" s="10">
        <f>GraphEcoli!$B$40*'E coli'!J366+GraphEcoli!$B$41</f>
        <v>3.1700584568855383E-2</v>
      </c>
      <c r="X366" s="10">
        <f>GraphEcoli!$H$40*'E coli'!J366+GraphEcoli!$H$41</f>
        <v>-0.19553846710761924</v>
      </c>
    </row>
    <row r="367" spans="1:24" hidden="1" x14ac:dyDescent="0.2">
      <c r="A367" s="1" t="s">
        <v>1329</v>
      </c>
      <c r="B367" s="1" t="s">
        <v>1330</v>
      </c>
      <c r="C367" t="s">
        <v>1341</v>
      </c>
      <c r="D367" t="s">
        <v>1101</v>
      </c>
      <c r="E367" t="s">
        <v>44</v>
      </c>
      <c r="F367" s="1" t="s">
        <v>69</v>
      </c>
      <c r="G367" s="19" t="s">
        <v>1204</v>
      </c>
      <c r="I367" s="4">
        <v>4.5999999999999996</v>
      </c>
      <c r="J367" s="23">
        <v>62.5</v>
      </c>
      <c r="K367" s="11">
        <f>40/60</f>
        <v>0.66666666666666663</v>
      </c>
      <c r="M367" s="12">
        <f t="shared" si="11"/>
        <v>-0.17609125905568127</v>
      </c>
      <c r="N367" s="11">
        <f>GraphEcoli!B$10-('E coli'!J367-GraphEcoli!$B$6)/GraphEcoli!$B$5</f>
        <v>3.1700584568855272E-2</v>
      </c>
      <c r="O367" s="1" t="s">
        <v>1093</v>
      </c>
      <c r="P367">
        <v>1997</v>
      </c>
      <c r="V367" s="10">
        <f>GraphEcoli!$B$40*'E coli'!J367+GraphEcoli!$B$41</f>
        <v>3.1700584568855383E-2</v>
      </c>
      <c r="X367" s="10">
        <f>GraphEcoli!$H$40*'E coli'!J367+GraphEcoli!$H$41</f>
        <v>-0.19553846710761924</v>
      </c>
    </row>
    <row r="368" spans="1:24" hidden="1" x14ac:dyDescent="0.2">
      <c r="A368" s="1" t="s">
        <v>1329</v>
      </c>
      <c r="B368" s="1" t="s">
        <v>1330</v>
      </c>
      <c r="C368" t="s">
        <v>1341</v>
      </c>
      <c r="D368" t="s">
        <v>1101</v>
      </c>
      <c r="E368" t="s">
        <v>44</v>
      </c>
      <c r="F368" s="1" t="s">
        <v>69</v>
      </c>
      <c r="G368" s="19" t="s">
        <v>1213</v>
      </c>
      <c r="I368" s="4">
        <v>4.5</v>
      </c>
      <c r="J368" s="23">
        <v>62.5</v>
      </c>
      <c r="K368" s="11">
        <f>47.3/60</f>
        <v>0.78833333333333333</v>
      </c>
      <c r="M368" s="12">
        <f t="shared" si="11"/>
        <v>-0.10329010964583207</v>
      </c>
      <c r="N368" s="11">
        <f>GraphEcoli!B$10-('E coli'!J368-GraphEcoli!$B$6)/GraphEcoli!$B$5</f>
        <v>3.1700584568855272E-2</v>
      </c>
      <c r="O368" s="1" t="s">
        <v>1093</v>
      </c>
      <c r="P368">
        <v>1997</v>
      </c>
      <c r="V368" s="10">
        <f>GraphEcoli!$B$40*'E coli'!J368+GraphEcoli!$B$41</f>
        <v>3.1700584568855383E-2</v>
      </c>
      <c r="X368" s="10">
        <f>GraphEcoli!$H$40*'E coli'!J368+GraphEcoli!$H$41</f>
        <v>-0.19553846710761924</v>
      </c>
    </row>
    <row r="369" spans="1:24" hidden="1" x14ac:dyDescent="0.2">
      <c r="A369" s="1" t="s">
        <v>1329</v>
      </c>
      <c r="B369" s="1" t="s">
        <v>1330</v>
      </c>
      <c r="C369" t="s">
        <v>1341</v>
      </c>
      <c r="D369" t="s">
        <v>1101</v>
      </c>
      <c r="E369" t="s">
        <v>44</v>
      </c>
      <c r="F369" s="1" t="s">
        <v>69</v>
      </c>
      <c r="G369" s="19" t="s">
        <v>1216</v>
      </c>
      <c r="I369" s="4">
        <v>4.4000000000000004</v>
      </c>
      <c r="J369" s="23">
        <v>62.5</v>
      </c>
      <c r="K369" s="11">
        <f>36/60</f>
        <v>0.6</v>
      </c>
      <c r="M369" s="12">
        <f t="shared" si="11"/>
        <v>-0.22184874961635639</v>
      </c>
      <c r="N369" s="11">
        <f>GraphEcoli!B$10-('E coli'!J369-GraphEcoli!$B$6)/GraphEcoli!$B$5</f>
        <v>3.1700584568855272E-2</v>
      </c>
      <c r="O369" s="1" t="s">
        <v>1093</v>
      </c>
      <c r="P369">
        <v>1997</v>
      </c>
      <c r="V369" s="10">
        <f>GraphEcoli!$B$40*'E coli'!J369+GraphEcoli!$B$41</f>
        <v>3.1700584568855383E-2</v>
      </c>
      <c r="X369" s="10">
        <f>GraphEcoli!$H$40*'E coli'!J369+GraphEcoli!$H$41</f>
        <v>-0.19553846710761924</v>
      </c>
    </row>
    <row r="370" spans="1:24" hidden="1" x14ac:dyDescent="0.2">
      <c r="A370" s="1" t="s">
        <v>1329</v>
      </c>
      <c r="B370" s="1" t="s">
        <v>1330</v>
      </c>
      <c r="C370" t="s">
        <v>1341</v>
      </c>
      <c r="D370" t="s">
        <v>1097</v>
      </c>
      <c r="E370" t="s">
        <v>44</v>
      </c>
      <c r="F370" s="1" t="s">
        <v>69</v>
      </c>
      <c r="G370" s="19" t="s">
        <v>1099</v>
      </c>
      <c r="I370" s="4">
        <v>5.0999999999999996</v>
      </c>
      <c r="J370" s="23">
        <v>62.5</v>
      </c>
      <c r="K370" s="11">
        <f>62/60</f>
        <v>1.0333333333333334</v>
      </c>
      <c r="M370" s="12">
        <f t="shared" si="11"/>
        <v>1.4240439114610285E-2</v>
      </c>
      <c r="N370" s="11">
        <f>GraphEcoli!B$10-('E coli'!J370-GraphEcoli!$B$6)/GraphEcoli!$B$5</f>
        <v>3.1700584568855272E-2</v>
      </c>
      <c r="O370" s="1" t="s">
        <v>1093</v>
      </c>
      <c r="P370">
        <v>1997</v>
      </c>
      <c r="V370" s="10">
        <f>GraphEcoli!$B$40*'E coli'!J370+GraphEcoli!$B$41</f>
        <v>3.1700584568855383E-2</v>
      </c>
      <c r="X370" s="10">
        <f>GraphEcoli!$H$40*'E coli'!J370+GraphEcoli!$H$41</f>
        <v>-0.19553846710761924</v>
      </c>
    </row>
    <row r="371" spans="1:24" hidden="1" x14ac:dyDescent="0.2">
      <c r="A371" s="1" t="s">
        <v>1329</v>
      </c>
      <c r="B371" s="1" t="s">
        <v>1330</v>
      </c>
      <c r="C371" t="s">
        <v>1341</v>
      </c>
      <c r="D371" t="s">
        <v>1101</v>
      </c>
      <c r="E371" t="s">
        <v>44</v>
      </c>
      <c r="F371" s="1" t="s">
        <v>69</v>
      </c>
      <c r="G371" s="19" t="s">
        <v>1099</v>
      </c>
      <c r="I371" s="4">
        <v>5.0999999999999996</v>
      </c>
      <c r="J371" s="23">
        <v>62.5</v>
      </c>
      <c r="K371" s="11">
        <f>112/60</f>
        <v>1.8666666666666667</v>
      </c>
      <c r="M371" s="12">
        <f t="shared" si="11"/>
        <v>0.27106677228653797</v>
      </c>
      <c r="N371" s="11">
        <f>GraphEcoli!B$10-('E coli'!J371-GraphEcoli!$B$6)/GraphEcoli!$B$5</f>
        <v>3.1700584568855272E-2</v>
      </c>
      <c r="O371" s="1" t="s">
        <v>1093</v>
      </c>
      <c r="P371">
        <v>1997</v>
      </c>
      <c r="V371" s="10">
        <f>GraphEcoli!$B$40*'E coli'!J371+GraphEcoli!$B$41</f>
        <v>3.1700584568855383E-2</v>
      </c>
      <c r="X371" s="10">
        <f>GraphEcoli!$H$40*'E coli'!J371+GraphEcoli!$H$41</f>
        <v>-0.19553846710761924</v>
      </c>
    </row>
    <row r="372" spans="1:24" hidden="1" x14ac:dyDescent="0.2">
      <c r="A372" s="1" t="s">
        <v>1329</v>
      </c>
      <c r="B372" s="1" t="s">
        <v>1330</v>
      </c>
      <c r="C372" t="s">
        <v>1341</v>
      </c>
      <c r="D372" t="s">
        <v>1102</v>
      </c>
      <c r="E372" t="s">
        <v>44</v>
      </c>
      <c r="F372" s="1" t="s">
        <v>69</v>
      </c>
      <c r="G372" s="19" t="s">
        <v>1099</v>
      </c>
      <c r="I372" s="4">
        <v>5.0999999999999996</v>
      </c>
      <c r="J372" s="23">
        <v>62.5</v>
      </c>
      <c r="K372" s="11">
        <f>80/60</f>
        <v>1.3333333333333333</v>
      </c>
      <c r="M372" s="12">
        <f t="shared" si="11"/>
        <v>0.12493873660829993</v>
      </c>
      <c r="N372" s="11">
        <f>GraphEcoli!B$10-('E coli'!J372-GraphEcoli!$B$6)/GraphEcoli!$B$5</f>
        <v>3.1700584568855272E-2</v>
      </c>
      <c r="O372" s="1" t="s">
        <v>1093</v>
      </c>
      <c r="P372">
        <v>1997</v>
      </c>
      <c r="V372" s="10">
        <f>GraphEcoli!$B$40*'E coli'!J372+GraphEcoli!$B$41</f>
        <v>3.1700584568855383E-2</v>
      </c>
      <c r="X372" s="10">
        <f>GraphEcoli!$H$40*'E coli'!J372+GraphEcoli!$H$41</f>
        <v>-0.19553846710761924</v>
      </c>
    </row>
    <row r="373" spans="1:24" hidden="1" x14ac:dyDescent="0.2">
      <c r="A373" s="1" t="s">
        <v>1329</v>
      </c>
      <c r="B373" s="1" t="s">
        <v>1330</v>
      </c>
      <c r="C373" t="s">
        <v>1341</v>
      </c>
      <c r="D373" t="s">
        <v>1103</v>
      </c>
      <c r="E373" t="s">
        <v>44</v>
      </c>
      <c r="F373" s="1" t="s">
        <v>69</v>
      </c>
      <c r="G373" s="19" t="s">
        <v>1099</v>
      </c>
      <c r="I373" s="4">
        <v>5.0999999999999996</v>
      </c>
      <c r="J373" s="23">
        <v>62.5</v>
      </c>
      <c r="K373" s="11">
        <f>59/60</f>
        <v>0.98333333333333328</v>
      </c>
      <c r="M373" s="12">
        <f t="shared" si="11"/>
        <v>-7.2992387414994656E-3</v>
      </c>
      <c r="N373" s="11">
        <f>GraphEcoli!B$10-('E coli'!J373-GraphEcoli!$B$6)/GraphEcoli!$B$5</f>
        <v>3.1700584568855272E-2</v>
      </c>
      <c r="O373" s="1" t="s">
        <v>1093</v>
      </c>
      <c r="P373">
        <v>1997</v>
      </c>
      <c r="V373" s="10">
        <f>GraphEcoli!$B$40*'E coli'!J373+GraphEcoli!$B$41</f>
        <v>3.1700584568855383E-2</v>
      </c>
      <c r="X373" s="10">
        <f>GraphEcoli!$H$40*'E coli'!J373+GraphEcoli!$H$41</f>
        <v>-0.19553846710761924</v>
      </c>
    </row>
    <row r="374" spans="1:24" hidden="1" x14ac:dyDescent="0.2">
      <c r="A374" s="1" t="s">
        <v>1329</v>
      </c>
      <c r="B374" s="1" t="s">
        <v>1330</v>
      </c>
      <c r="C374" t="s">
        <v>1341</v>
      </c>
      <c r="D374" t="s">
        <v>1097</v>
      </c>
      <c r="E374" t="s">
        <v>44</v>
      </c>
      <c r="F374" s="1" t="s">
        <v>69</v>
      </c>
      <c r="G374" s="19" t="s">
        <v>1100</v>
      </c>
      <c r="I374" s="4">
        <v>4.3</v>
      </c>
      <c r="J374" s="23">
        <v>62.5</v>
      </c>
      <c r="K374" s="11">
        <f>140/60</f>
        <v>2.3333333333333335</v>
      </c>
      <c r="M374" s="12">
        <f t="shared" si="11"/>
        <v>0.36797678529459443</v>
      </c>
      <c r="N374" s="11">
        <f>GraphEcoli!B$10-('E coli'!J374-GraphEcoli!$B$6)/GraphEcoli!$B$5</f>
        <v>3.1700584568855272E-2</v>
      </c>
      <c r="O374" s="1" t="s">
        <v>1093</v>
      </c>
      <c r="P374">
        <v>1997</v>
      </c>
      <c r="V374" s="10">
        <f>GraphEcoli!$B$40*'E coli'!J374+GraphEcoli!$B$41</f>
        <v>3.1700584568855383E-2</v>
      </c>
      <c r="X374" s="10">
        <f>GraphEcoli!$H$40*'E coli'!J374+GraphEcoli!$H$41</f>
        <v>-0.19553846710761924</v>
      </c>
    </row>
    <row r="375" spans="1:24" hidden="1" x14ac:dyDescent="0.2">
      <c r="A375" s="1" t="s">
        <v>1329</v>
      </c>
      <c r="B375" s="1" t="s">
        <v>1330</v>
      </c>
      <c r="C375" t="s">
        <v>1341</v>
      </c>
      <c r="D375" t="s">
        <v>1101</v>
      </c>
      <c r="E375" t="s">
        <v>44</v>
      </c>
      <c r="F375" s="1" t="s">
        <v>69</v>
      </c>
      <c r="G375" s="19" t="s">
        <v>1100</v>
      </c>
      <c r="I375" s="4">
        <v>4.3</v>
      </c>
      <c r="J375" s="23">
        <v>62.5</v>
      </c>
      <c r="K375" s="11">
        <f>158/60</f>
        <v>2.6333333333333333</v>
      </c>
      <c r="M375" s="12">
        <f t="shared" si="11"/>
        <v>0.420505836570779</v>
      </c>
      <c r="N375" s="11">
        <f>GraphEcoli!B$10-('E coli'!J375-GraphEcoli!$B$6)/GraphEcoli!$B$5</f>
        <v>3.1700584568855272E-2</v>
      </c>
      <c r="O375" s="1" t="s">
        <v>1093</v>
      </c>
      <c r="P375">
        <v>1997</v>
      </c>
      <c r="V375" s="10">
        <f>GraphEcoli!$B$40*'E coli'!J375+GraphEcoli!$B$41</f>
        <v>3.1700584568855383E-2</v>
      </c>
      <c r="X375" s="10">
        <f>GraphEcoli!$H$40*'E coli'!J375+GraphEcoli!$H$41</f>
        <v>-0.19553846710761924</v>
      </c>
    </row>
    <row r="376" spans="1:24" hidden="1" x14ac:dyDescent="0.2">
      <c r="A376" s="1" t="s">
        <v>1329</v>
      </c>
      <c r="B376" s="1" t="s">
        <v>1330</v>
      </c>
      <c r="C376" t="s">
        <v>1341</v>
      </c>
      <c r="D376" t="s">
        <v>1102</v>
      </c>
      <c r="E376" t="s">
        <v>44</v>
      </c>
      <c r="F376" s="1" t="s">
        <v>69</v>
      </c>
      <c r="G376" s="19" t="s">
        <v>1100</v>
      </c>
      <c r="I376" s="4">
        <v>4.3</v>
      </c>
      <c r="J376" s="23">
        <v>62.5</v>
      </c>
      <c r="K376" s="11">
        <f>108/60</f>
        <v>1.8</v>
      </c>
      <c r="M376" s="12">
        <f t="shared" si="11"/>
        <v>0.25527250510330607</v>
      </c>
      <c r="N376" s="11">
        <f>GraphEcoli!B$10-('E coli'!J376-GraphEcoli!$B$6)/GraphEcoli!$B$5</f>
        <v>3.1700584568855272E-2</v>
      </c>
      <c r="O376" s="1" t="s">
        <v>1093</v>
      </c>
      <c r="P376">
        <v>1997</v>
      </c>
      <c r="V376" s="10">
        <f>GraphEcoli!$B$40*'E coli'!J376+GraphEcoli!$B$41</f>
        <v>3.1700584568855383E-2</v>
      </c>
      <c r="X376" s="10">
        <f>GraphEcoli!$H$40*'E coli'!J376+GraphEcoli!$H$41</f>
        <v>-0.19553846710761924</v>
      </c>
    </row>
    <row r="377" spans="1:24" hidden="1" x14ac:dyDescent="0.2">
      <c r="A377" s="1" t="s">
        <v>1329</v>
      </c>
      <c r="B377" s="1" t="s">
        <v>1330</v>
      </c>
      <c r="C377" t="s">
        <v>1341</v>
      </c>
      <c r="D377" t="s">
        <v>1103</v>
      </c>
      <c r="E377" t="s">
        <v>44</v>
      </c>
      <c r="F377" s="1" t="s">
        <v>69</v>
      </c>
      <c r="G377" s="19" t="s">
        <v>1100</v>
      </c>
      <c r="I377" s="4">
        <v>4.3</v>
      </c>
      <c r="J377" s="23">
        <v>62.5</v>
      </c>
      <c r="K377" s="11">
        <f>114/60</f>
        <v>1.9</v>
      </c>
      <c r="M377" s="12">
        <f t="shared" si="11"/>
        <v>0.27875360095282892</v>
      </c>
      <c r="N377" s="11">
        <f>GraphEcoli!B$10-('E coli'!J377-GraphEcoli!$B$6)/GraphEcoli!$B$5</f>
        <v>3.1700584568855272E-2</v>
      </c>
      <c r="O377" s="1" t="s">
        <v>1093</v>
      </c>
      <c r="P377">
        <v>1997</v>
      </c>
      <c r="V377" s="10">
        <f>GraphEcoli!$B$40*'E coli'!J377+GraphEcoli!$B$41</f>
        <v>3.1700584568855383E-2</v>
      </c>
      <c r="X377" s="10">
        <f>GraphEcoli!$H$40*'E coli'!J377+GraphEcoli!$H$41</f>
        <v>-0.19553846710761924</v>
      </c>
    </row>
    <row r="378" spans="1:24" hidden="1" x14ac:dyDescent="0.2">
      <c r="A378" s="1" t="s">
        <v>1329</v>
      </c>
      <c r="B378" s="1" t="s">
        <v>1330</v>
      </c>
      <c r="C378" t="s">
        <v>1341</v>
      </c>
      <c r="E378" t="s">
        <v>44</v>
      </c>
      <c r="F378" s="1" t="s">
        <v>69</v>
      </c>
      <c r="G378" s="19"/>
      <c r="I378" s="4">
        <v>7.3</v>
      </c>
      <c r="J378" s="23">
        <v>55</v>
      </c>
      <c r="K378" s="11">
        <v>1</v>
      </c>
      <c r="M378" s="12">
        <f t="shared" si="11"/>
        <v>0</v>
      </c>
      <c r="N378" s="11">
        <f>GraphEcoli!B$10-('E coli'!J378-GraphEcoli!$B$6)/GraphEcoli!$B$5</f>
        <v>0.73704635499471105</v>
      </c>
      <c r="O378" s="1" t="s">
        <v>1093</v>
      </c>
      <c r="P378">
        <v>1997</v>
      </c>
      <c r="V378" s="10">
        <f>GraphEcoli!$B$40*'E coli'!J378+GraphEcoli!$B$41</f>
        <v>0.73704635499471127</v>
      </c>
      <c r="X378" s="10">
        <f>GraphEcoli!$H$40*'E coli'!J378+GraphEcoli!$H$41</f>
        <v>1.1369519774578247</v>
      </c>
    </row>
    <row r="379" spans="1:24" hidden="1" x14ac:dyDescent="0.2">
      <c r="A379" s="1" t="s">
        <v>1329</v>
      </c>
      <c r="B379" s="1" t="s">
        <v>1330</v>
      </c>
      <c r="C379" t="s">
        <v>1341</v>
      </c>
      <c r="E379" t="s">
        <v>44</v>
      </c>
      <c r="F379" s="1" t="s">
        <v>69</v>
      </c>
      <c r="G379" s="19"/>
      <c r="I379" s="4">
        <v>7.3</v>
      </c>
      <c r="J379" s="23">
        <v>55</v>
      </c>
      <c r="K379" s="11">
        <v>25.6</v>
      </c>
      <c r="M379" s="12">
        <f t="shared" si="11"/>
        <v>1.4082399653118496</v>
      </c>
      <c r="N379" s="11">
        <f>GraphEcoli!B$10-('E coli'!J379-GraphEcoli!$B$6)/GraphEcoli!$B$5</f>
        <v>0.73704635499471105</v>
      </c>
      <c r="O379" s="1" t="s">
        <v>1093</v>
      </c>
      <c r="P379">
        <v>1997</v>
      </c>
      <c r="V379" s="10">
        <f>GraphEcoli!$B$40*'E coli'!J379+GraphEcoli!$B$41</f>
        <v>0.73704635499471127</v>
      </c>
      <c r="X379" s="10">
        <f>GraphEcoli!$H$40*'E coli'!J379+GraphEcoli!$H$41</f>
        <v>1.1369519774578247</v>
      </c>
    </row>
    <row r="380" spans="1:24" hidden="1" x14ac:dyDescent="0.2">
      <c r="A380" s="1" t="s">
        <v>1329</v>
      </c>
      <c r="B380" s="1" t="s">
        <v>1330</v>
      </c>
      <c r="C380" t="s">
        <v>1341</v>
      </c>
      <c r="E380" t="s">
        <v>44</v>
      </c>
      <c r="F380" s="1" t="s">
        <v>69</v>
      </c>
      <c r="G380" s="19"/>
      <c r="I380" s="4">
        <v>7.3</v>
      </c>
      <c r="J380" s="23">
        <v>55</v>
      </c>
      <c r="K380" s="11">
        <v>8</v>
      </c>
      <c r="M380" s="12">
        <f t="shared" si="11"/>
        <v>0.90308998699194354</v>
      </c>
      <c r="N380" s="11">
        <f>GraphEcoli!B$10-('E coli'!J380-GraphEcoli!$B$6)/GraphEcoli!$B$5</f>
        <v>0.73704635499471105</v>
      </c>
      <c r="O380" s="1" t="s">
        <v>1093</v>
      </c>
      <c r="P380">
        <v>1997</v>
      </c>
      <c r="V380" s="10">
        <f>GraphEcoli!$B$40*'E coli'!J380+GraphEcoli!$B$41</f>
        <v>0.73704635499471127</v>
      </c>
      <c r="X380" s="10">
        <f>GraphEcoli!$H$40*'E coli'!J380+GraphEcoli!$H$41</f>
        <v>1.1369519774578247</v>
      </c>
    </row>
    <row r="381" spans="1:24" hidden="1" x14ac:dyDescent="0.2">
      <c r="A381" s="1" t="s">
        <v>1329</v>
      </c>
      <c r="B381" s="1" t="s">
        <v>1330</v>
      </c>
      <c r="C381" t="s">
        <v>1341</v>
      </c>
      <c r="E381" t="s">
        <v>44</v>
      </c>
      <c r="F381" s="1" t="s">
        <v>69</v>
      </c>
      <c r="G381" s="19"/>
      <c r="I381" s="4">
        <v>7.3</v>
      </c>
      <c r="J381" s="23">
        <v>55</v>
      </c>
      <c r="K381" s="11">
        <v>22.2</v>
      </c>
      <c r="M381" s="12">
        <f t="shared" si="11"/>
        <v>1.3463529744506386</v>
      </c>
      <c r="N381" s="11">
        <f>GraphEcoli!B$10-('E coli'!J381-GraphEcoli!$B$6)/GraphEcoli!$B$5</f>
        <v>0.73704635499471105</v>
      </c>
      <c r="O381" s="1" t="s">
        <v>1093</v>
      </c>
      <c r="P381">
        <v>1997</v>
      </c>
      <c r="V381" s="10">
        <f>GraphEcoli!$B$40*'E coli'!J381+GraphEcoli!$B$41</f>
        <v>0.73704635499471127</v>
      </c>
      <c r="X381" s="10">
        <f>GraphEcoli!$H$40*'E coli'!J381+GraphEcoli!$H$41</f>
        <v>1.1369519774578247</v>
      </c>
    </row>
    <row r="382" spans="1:24" hidden="1" x14ac:dyDescent="0.2">
      <c r="A382" s="1" t="s">
        <v>1329</v>
      </c>
      <c r="B382" s="1" t="s">
        <v>1330</v>
      </c>
      <c r="F382" s="1" t="s">
        <v>293</v>
      </c>
      <c r="J382" s="23">
        <v>65</v>
      </c>
      <c r="K382" s="11">
        <v>0.1</v>
      </c>
      <c r="M382" s="12">
        <f>LOG(K382)</f>
        <v>-1</v>
      </c>
      <c r="N382" s="11">
        <f>GraphEcoli!B$10-('E coli'!J382-GraphEcoli!$B$6)/GraphEcoli!$B$5</f>
        <v>-0.20341467223976334</v>
      </c>
      <c r="O382" s="1" t="s">
        <v>308</v>
      </c>
      <c r="P382">
        <v>2000</v>
      </c>
      <c r="V382" s="10">
        <f>GraphEcoli!$B$40*'E coli'!J382+GraphEcoli!$B$41</f>
        <v>-0.20341467223976295</v>
      </c>
      <c r="X382" s="10">
        <f>GraphEcoli!$H$40*'E coli'!J382+GraphEcoli!$H$41</f>
        <v>-0.6397019486294333</v>
      </c>
    </row>
    <row r="383" spans="1:24" hidden="1" x14ac:dyDescent="0.2">
      <c r="A383" s="1" t="s">
        <v>1329</v>
      </c>
      <c r="B383" s="1" t="s">
        <v>1330</v>
      </c>
      <c r="C383" t="s">
        <v>1341</v>
      </c>
      <c r="F383" s="1" t="s">
        <v>293</v>
      </c>
      <c r="J383" s="23">
        <v>60</v>
      </c>
      <c r="K383" s="11">
        <v>1.6</v>
      </c>
      <c r="M383" s="12">
        <f>LOG(K383)+$L$401</f>
        <v>0.20411998265592479</v>
      </c>
      <c r="N383" s="11">
        <f>GraphEcoli!B$10-('E coli'!J383-GraphEcoli!$B$6)/GraphEcoli!$B$5</f>
        <v>0.26681584137747383</v>
      </c>
      <c r="O383" s="1" t="s">
        <v>848</v>
      </c>
      <c r="P383">
        <v>2000</v>
      </c>
      <c r="V383" s="10">
        <f>GraphEcoli!$B$40*'E coli'!J383+GraphEcoli!$B$41</f>
        <v>0.26681584137747372</v>
      </c>
      <c r="X383" s="10">
        <f>GraphEcoli!$H$40*'E coli'!J383+GraphEcoli!$H$41</f>
        <v>0.24862501441419482</v>
      </c>
    </row>
    <row r="384" spans="1:24" hidden="1" x14ac:dyDescent="0.2">
      <c r="N384" s="11">
        <f>GraphEcoli!B$10-('E coli'!J384-GraphEcoli!$B$6)/GraphEcoli!$B$5</f>
        <v>5.9095820047843199</v>
      </c>
    </row>
    <row r="385" spans="14:14" hidden="1" x14ac:dyDescent="0.2">
      <c r="N385" s="11">
        <f>GraphEcoli!B$10-('E coli'!J385-GraphEcoli!$B$6)/GraphEcoli!$B$5</f>
        <v>5.9095820047843199</v>
      </c>
    </row>
    <row r="386" spans="14:14" hidden="1" x14ac:dyDescent="0.2">
      <c r="N386" s="11">
        <f>GraphEcoli!B$10-('E coli'!J386-GraphEcoli!$B$6)/GraphEcoli!$B$5</f>
        <v>5.9095820047843199</v>
      </c>
    </row>
    <row r="387" spans="14:14" hidden="1" x14ac:dyDescent="0.2">
      <c r="N387" s="11">
        <f>GraphEcoli!B$10-('E coli'!J387-GraphEcoli!$B$6)/GraphEcoli!$B$5</f>
        <v>5.9095820047843199</v>
      </c>
    </row>
    <row r="388" spans="14:14" hidden="1" x14ac:dyDescent="0.2">
      <c r="N388" s="11">
        <f>GraphEcoli!B$10-('E coli'!J388-GraphEcoli!$B$6)/GraphEcoli!$B$5</f>
        <v>5.9095820047843199</v>
      </c>
    </row>
    <row r="389" spans="14:14" hidden="1" x14ac:dyDescent="0.2">
      <c r="N389" s="11">
        <f>GraphEcoli!B$10-('E coli'!J389-GraphEcoli!$B$6)/GraphEcoli!$B$5</f>
        <v>5.9095820047843199</v>
      </c>
    </row>
    <row r="390" spans="14:14" hidden="1" x14ac:dyDescent="0.2">
      <c r="N390" s="11">
        <f>GraphEcoli!B$10-('E coli'!J390-GraphEcoli!$B$6)/GraphEcoli!$B$5</f>
        <v>5.9095820047843199</v>
      </c>
    </row>
    <row r="391" spans="14:14" hidden="1" x14ac:dyDescent="0.2">
      <c r="N391" s="11">
        <f>GraphEcoli!B$10-('E coli'!J391-GraphEcoli!$B$6)/GraphEcoli!$B$5</f>
        <v>5.9095820047843199</v>
      </c>
    </row>
    <row r="392" spans="14:14" hidden="1" x14ac:dyDescent="0.2">
      <c r="N392" s="11">
        <f>GraphEcoli!B$10-('E coli'!J392-GraphEcoli!$B$6)/GraphEcoli!$B$5</f>
        <v>5.9095820047843199</v>
      </c>
    </row>
    <row r="393" spans="14:14" hidden="1" x14ac:dyDescent="0.2">
      <c r="N393" s="11">
        <f>GraphEcoli!B$10-('E coli'!J393-GraphEcoli!$B$6)/GraphEcoli!$B$5</f>
        <v>5.9095820047843199</v>
      </c>
    </row>
    <row r="394" spans="14:14" hidden="1" x14ac:dyDescent="0.2">
      <c r="N394" s="11">
        <f>GraphEcoli!B$10-('E coli'!J394-GraphEcoli!$B$6)/GraphEcoli!$B$5</f>
        <v>5.9095820047843199</v>
      </c>
    </row>
    <row r="395" spans="14:14" hidden="1" x14ac:dyDescent="0.2">
      <c r="N395" s="11">
        <f>GraphEcoli!B$10-('E coli'!J395-GraphEcoli!$B$6)/GraphEcoli!$B$5</f>
        <v>5.9095820047843199</v>
      </c>
    </row>
    <row r="396" spans="14:14" hidden="1" x14ac:dyDescent="0.2">
      <c r="N396" s="11">
        <f>GraphEcoli!B$10-('E coli'!J396-GraphEcoli!$B$6)/GraphEcoli!$B$5</f>
        <v>5.9095820047843199</v>
      </c>
    </row>
    <row r="397" spans="14:14" hidden="1" x14ac:dyDescent="0.2">
      <c r="N397" s="11">
        <f>GraphEcoli!B$10-('E coli'!J397-GraphEcoli!$B$6)/GraphEcoli!$B$5</f>
        <v>5.9095820047843199</v>
      </c>
    </row>
    <row r="398" spans="14:14" hidden="1" x14ac:dyDescent="0.2">
      <c r="N398" s="11">
        <f>GraphEcoli!B$10-('E coli'!J398-GraphEcoli!$B$6)/GraphEcoli!$B$5</f>
        <v>5.9095820047843199</v>
      </c>
    </row>
    <row r="399" spans="14:14" hidden="1" x14ac:dyDescent="0.2">
      <c r="N399" s="11">
        <f>GraphEcoli!B$10-('E coli'!J399-GraphEcoli!$B$6)/GraphEcoli!$B$5</f>
        <v>5.9095820047843199</v>
      </c>
    </row>
    <row r="400" spans="14:14" hidden="1" x14ac:dyDescent="0.2">
      <c r="N400" s="11">
        <f>GraphEcoli!B$10-('E coli'!J400-GraphEcoli!$B$6)/GraphEcoli!$B$5</f>
        <v>5.9095820047843199</v>
      </c>
    </row>
    <row r="401" spans="11:14" hidden="1" x14ac:dyDescent="0.2">
      <c r="K401" s="11" t="s">
        <v>1343</v>
      </c>
      <c r="L401" s="4">
        <f>GraphEcoli!$B$54</f>
        <v>0</v>
      </c>
      <c r="N401" s="11">
        <f>GraphEcoli!B$10-('E coli'!J401-GraphEcoli!$B$6)/GraphEcoli!$B$5</f>
        <v>5.9095820047843199</v>
      </c>
    </row>
  </sheetData>
  <autoFilter ref="A1:Q401">
    <filterColumn colId="4">
      <filters>
        <filter val="Liquids"/>
      </filters>
    </filterColumn>
    <filterColumn colId="6">
      <filters>
        <filter val="cider"/>
        <filter val="juice"/>
      </filters>
    </filterColumn>
  </autoFilter>
  <phoneticPr fontId="0" type="noConversion"/>
  <pageMargins left="0.75" right="0.75" top="1" bottom="1" header="0.5" footer="0.5"/>
  <pageSetup paperSize="9" orientation="portrait"/>
  <headerFooter alignWithMargins="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56"/>
  <sheetViews>
    <sheetView topLeftCell="A4" workbookViewId="0">
      <selection activeCell="B47" sqref="B47"/>
    </sheetView>
  </sheetViews>
  <sheetFormatPr defaultRowHeight="12.75" x14ac:dyDescent="0.2"/>
  <sheetData>
    <row r="1" spans="1:4" ht="18" x14ac:dyDescent="0.25">
      <c r="A1" s="3" t="s">
        <v>1358</v>
      </c>
    </row>
    <row r="4" spans="1:4" x14ac:dyDescent="0.2">
      <c r="A4" t="s">
        <v>1346</v>
      </c>
      <c r="B4" t="s">
        <v>1349</v>
      </c>
    </row>
    <row r="5" spans="1:4" x14ac:dyDescent="0.2">
      <c r="A5" t="s">
        <v>1347</v>
      </c>
      <c r="B5" s="10">
        <f>-1/SLOPE('E coli'!M2:M383,'E coli'!J2:J383)</f>
        <v>10.633082828967472</v>
      </c>
      <c r="C5" s="10">
        <f>SLOPE('E coli'!M2:M275,'E coli'!J2:J275)</f>
        <v>-8.5352677815330902E-2</v>
      </c>
      <c r="D5" t="s">
        <v>201</v>
      </c>
    </row>
    <row r="6" spans="1:4" x14ac:dyDescent="0.2">
      <c r="A6" t="s">
        <v>1350</v>
      </c>
      <c r="B6">
        <v>70</v>
      </c>
    </row>
    <row r="7" spans="1:4" x14ac:dyDescent="0.2">
      <c r="A7" t="s">
        <v>1353</v>
      </c>
      <c r="B7" s="10">
        <f>TINV(0.05,COUNT('E coli'!M2:M383)-2)</f>
        <v>1.9662263966111726</v>
      </c>
    </row>
    <row r="8" spans="1:4" x14ac:dyDescent="0.2">
      <c r="A8" t="s">
        <v>1355</v>
      </c>
      <c r="B8" s="10">
        <f>SUMXMY2('E coli'!M2:M383,'E coli'!N2:N383)</f>
        <v>145.50629447485326</v>
      </c>
    </row>
    <row r="9" spans="1:4" x14ac:dyDescent="0.2">
      <c r="A9" t="s">
        <v>1354</v>
      </c>
      <c r="B9" s="10">
        <f>SQRT(B8/(COUNT('E coli'!M2:M383)-2))</f>
        <v>0.61879827185409453</v>
      </c>
    </row>
    <row r="10" spans="1:4" x14ac:dyDescent="0.2">
      <c r="A10" t="s">
        <v>1351</v>
      </c>
      <c r="B10" s="10">
        <f>INTERCEPT('E coli'!M2:M383,'E coli'!J2:J383)-B6/B5</f>
        <v>-0.67364518585700051</v>
      </c>
      <c r="C10" s="10">
        <f>INTERCEPT('E coli'!M2:M275,'E coli'!J2:J275)</f>
        <v>5.3970621845053204</v>
      </c>
      <c r="D10" t="s">
        <v>202</v>
      </c>
    </row>
    <row r="11" spans="1:4" x14ac:dyDescent="0.2">
      <c r="A11" t="s">
        <v>135</v>
      </c>
      <c r="B11" s="10">
        <f>B10+B7*B9</f>
        <v>0.54305231043989655</v>
      </c>
    </row>
    <row r="13" spans="1:4" x14ac:dyDescent="0.2">
      <c r="A13" t="s">
        <v>1348</v>
      </c>
      <c r="B13" t="s">
        <v>1344</v>
      </c>
      <c r="C13" t="s">
        <v>1352</v>
      </c>
    </row>
    <row r="14" spans="1:4" x14ac:dyDescent="0.2">
      <c r="A14">
        <v>45</v>
      </c>
      <c r="B14" s="10">
        <f t="shared" ref="B14:B34" si="0">$B$10-(A14-$B$6)/$B$5</f>
        <v>1.6775073822291855</v>
      </c>
      <c r="C14" s="10">
        <f t="shared" ref="C14:C34" si="1">B14+$B$7*$B$9</f>
        <v>2.8942048785260823</v>
      </c>
    </row>
    <row r="15" spans="1:4" x14ac:dyDescent="0.2">
      <c r="A15">
        <f>A14+5</f>
        <v>50</v>
      </c>
      <c r="B15" s="10">
        <f t="shared" si="0"/>
        <v>1.2072768686119482</v>
      </c>
      <c r="C15" s="10">
        <f t="shared" si="1"/>
        <v>2.4239743649088452</v>
      </c>
    </row>
    <row r="16" spans="1:4" x14ac:dyDescent="0.2">
      <c r="A16">
        <v>55</v>
      </c>
      <c r="B16" s="10">
        <f t="shared" si="0"/>
        <v>0.73704635499471105</v>
      </c>
      <c r="C16" s="10">
        <f t="shared" si="1"/>
        <v>1.9537438512916081</v>
      </c>
    </row>
    <row r="17" spans="1:3" x14ac:dyDescent="0.2">
      <c r="A17">
        <f t="shared" ref="A17:A34" si="2">A16+5</f>
        <v>60</v>
      </c>
      <c r="B17" s="10">
        <f t="shared" si="0"/>
        <v>0.26681584137747383</v>
      </c>
      <c r="C17" s="10">
        <f t="shared" si="1"/>
        <v>1.483513337674371</v>
      </c>
    </row>
    <row r="18" spans="1:3" x14ac:dyDescent="0.2">
      <c r="A18">
        <f t="shared" si="2"/>
        <v>65</v>
      </c>
      <c r="B18" s="10">
        <f t="shared" si="0"/>
        <v>-0.20341467223976334</v>
      </c>
      <c r="C18" s="10">
        <f t="shared" si="1"/>
        <v>1.0132828240571337</v>
      </c>
    </row>
    <row r="19" spans="1:3" x14ac:dyDescent="0.2">
      <c r="A19">
        <f t="shared" si="2"/>
        <v>70</v>
      </c>
      <c r="B19" s="10">
        <f t="shared" si="0"/>
        <v>-0.67364518585700051</v>
      </c>
      <c r="C19" s="10">
        <f t="shared" si="1"/>
        <v>0.54305231043989655</v>
      </c>
    </row>
    <row r="20" spans="1:3" x14ac:dyDescent="0.2">
      <c r="A20">
        <f t="shared" si="2"/>
        <v>75</v>
      </c>
      <c r="B20" s="10">
        <f t="shared" si="0"/>
        <v>-1.1438756994742376</v>
      </c>
      <c r="C20" s="10">
        <f t="shared" si="1"/>
        <v>7.2821796822659435E-2</v>
      </c>
    </row>
    <row r="21" spans="1:3" x14ac:dyDescent="0.2">
      <c r="A21">
        <f t="shared" si="2"/>
        <v>80</v>
      </c>
      <c r="B21" s="10">
        <f t="shared" si="0"/>
        <v>-1.6141062130914747</v>
      </c>
      <c r="C21" s="10">
        <f t="shared" si="1"/>
        <v>-0.39740871679457768</v>
      </c>
    </row>
    <row r="22" spans="1:3" x14ac:dyDescent="0.2">
      <c r="A22">
        <f t="shared" si="2"/>
        <v>85</v>
      </c>
      <c r="B22" s="10">
        <f t="shared" si="0"/>
        <v>-2.0843367267087123</v>
      </c>
      <c r="C22" s="10">
        <f t="shared" si="1"/>
        <v>-0.86763923041181523</v>
      </c>
    </row>
    <row r="23" spans="1:3" x14ac:dyDescent="0.2">
      <c r="A23">
        <f t="shared" si="2"/>
        <v>90</v>
      </c>
      <c r="B23" s="10">
        <f t="shared" si="0"/>
        <v>-2.554567240325949</v>
      </c>
      <c r="C23" s="10">
        <f t="shared" si="1"/>
        <v>-1.3378697440290519</v>
      </c>
    </row>
    <row r="24" spans="1:3" x14ac:dyDescent="0.2">
      <c r="A24">
        <f t="shared" si="2"/>
        <v>95</v>
      </c>
      <c r="B24" s="10">
        <f t="shared" si="0"/>
        <v>-3.0247977539431865</v>
      </c>
      <c r="C24" s="10">
        <f t="shared" si="1"/>
        <v>-1.8081002576462895</v>
      </c>
    </row>
    <row r="25" spans="1:3" x14ac:dyDescent="0.2">
      <c r="A25">
        <f t="shared" si="2"/>
        <v>100</v>
      </c>
      <c r="B25" s="10">
        <f t="shared" si="0"/>
        <v>-3.4950282675604236</v>
      </c>
      <c r="C25" s="10">
        <f t="shared" si="1"/>
        <v>-2.2783307712635263</v>
      </c>
    </row>
    <row r="26" spans="1:3" x14ac:dyDescent="0.2">
      <c r="A26">
        <f t="shared" si="2"/>
        <v>105</v>
      </c>
      <c r="B26" s="10">
        <f t="shared" si="0"/>
        <v>-3.9652587811776607</v>
      </c>
      <c r="C26" s="10">
        <f t="shared" si="1"/>
        <v>-2.7485612848807639</v>
      </c>
    </row>
    <row r="27" spans="1:3" x14ac:dyDescent="0.2">
      <c r="A27">
        <f t="shared" si="2"/>
        <v>110</v>
      </c>
      <c r="B27" s="10">
        <f t="shared" si="0"/>
        <v>-4.4354892947948983</v>
      </c>
      <c r="C27" s="10">
        <f t="shared" si="1"/>
        <v>-3.2187917984980015</v>
      </c>
    </row>
    <row r="28" spans="1:3" x14ac:dyDescent="0.2">
      <c r="A28">
        <f t="shared" si="2"/>
        <v>115</v>
      </c>
      <c r="B28" s="10">
        <f t="shared" si="0"/>
        <v>-4.905719808412135</v>
      </c>
      <c r="C28" s="10">
        <f t="shared" si="1"/>
        <v>-3.6890223121152381</v>
      </c>
    </row>
    <row r="29" spans="1:3" x14ac:dyDescent="0.2">
      <c r="A29">
        <f t="shared" si="2"/>
        <v>120</v>
      </c>
      <c r="B29" s="10">
        <f t="shared" si="0"/>
        <v>-5.3759503220293725</v>
      </c>
      <c r="C29" s="10">
        <f t="shared" si="1"/>
        <v>-4.1592528257324757</v>
      </c>
    </row>
    <row r="30" spans="1:3" x14ac:dyDescent="0.2">
      <c r="A30">
        <f t="shared" si="2"/>
        <v>125</v>
      </c>
      <c r="B30" s="10">
        <f t="shared" si="0"/>
        <v>-5.8461808356466101</v>
      </c>
      <c r="C30" s="10">
        <f t="shared" si="1"/>
        <v>-4.6294833393497132</v>
      </c>
    </row>
    <row r="31" spans="1:3" x14ac:dyDescent="0.2">
      <c r="A31">
        <f t="shared" si="2"/>
        <v>130</v>
      </c>
      <c r="B31" s="10">
        <f t="shared" si="0"/>
        <v>-6.3164113492638467</v>
      </c>
      <c r="C31" s="10">
        <f t="shared" si="1"/>
        <v>-5.0997138529669499</v>
      </c>
    </row>
    <row r="32" spans="1:3" x14ac:dyDescent="0.2">
      <c r="A32">
        <f t="shared" si="2"/>
        <v>135</v>
      </c>
      <c r="B32" s="10">
        <f t="shared" si="0"/>
        <v>-6.7866418628810843</v>
      </c>
      <c r="C32" s="10">
        <f t="shared" si="1"/>
        <v>-5.5699443665841875</v>
      </c>
    </row>
    <row r="33" spans="1:8" x14ac:dyDescent="0.2">
      <c r="A33">
        <f t="shared" si="2"/>
        <v>140</v>
      </c>
      <c r="B33" s="10">
        <f t="shared" si="0"/>
        <v>-7.256872376498321</v>
      </c>
      <c r="C33" s="10">
        <f t="shared" si="1"/>
        <v>-6.0401748802014241</v>
      </c>
    </row>
    <row r="34" spans="1:8" x14ac:dyDescent="0.2">
      <c r="A34">
        <f t="shared" si="2"/>
        <v>145</v>
      </c>
      <c r="B34" s="10">
        <f t="shared" si="0"/>
        <v>-7.7271028901155585</v>
      </c>
      <c r="C34" s="10">
        <f t="shared" si="1"/>
        <v>-6.5104053938186617</v>
      </c>
    </row>
    <row r="37" spans="1:8" x14ac:dyDescent="0.2">
      <c r="A37" s="24" t="s">
        <v>249</v>
      </c>
    </row>
    <row r="39" spans="1:8" x14ac:dyDescent="0.2">
      <c r="A39" t="s">
        <v>250</v>
      </c>
      <c r="D39" t="s">
        <v>253</v>
      </c>
      <c r="G39" t="s">
        <v>254</v>
      </c>
    </row>
    <row r="40" spans="1:8" x14ac:dyDescent="0.2">
      <c r="A40" t="s">
        <v>251</v>
      </c>
      <c r="B40" s="10">
        <f>SLOPE('E coli'!$M2:$M383,'E coli'!$J2:$J383)</f>
        <v>-9.4046102723447433E-2</v>
      </c>
      <c r="D40" t="s">
        <v>251</v>
      </c>
      <c r="E40" s="10">
        <f>SLOPE('E coli'!$M2:$M308,'E coli'!$J2:$J308)</f>
        <v>-8.7539809606766328E-2</v>
      </c>
      <c r="G40" t="s">
        <v>251</v>
      </c>
      <c r="H40" s="10">
        <f>SLOPE('E coli'!$M309:$M383,'E coli'!$J309:$J383)</f>
        <v>-0.1776653926087258</v>
      </c>
    </row>
    <row r="41" spans="1:8" x14ac:dyDescent="0.2">
      <c r="A41" t="s">
        <v>202</v>
      </c>
      <c r="B41" s="10">
        <f>INTERCEPT('E coli'!$M$2:$M$383,'E coli'!$J$2:$J$383)</f>
        <v>5.9095820047843199</v>
      </c>
      <c r="D41" t="s">
        <v>252</v>
      </c>
      <c r="E41" s="10">
        <f>INTERCEPT('E coli'!$M$2:$M$308,'E coli'!$J$2:$J$308)</f>
        <v>5.5312628413725475</v>
      </c>
      <c r="G41" t="s">
        <v>252</v>
      </c>
      <c r="H41" s="10">
        <f>INTERCEPT('E coli'!$M$309:$M$383,'E coli'!$J$309:$J$383)</f>
        <v>10.908548570937743</v>
      </c>
    </row>
    <row r="42" spans="1:8" x14ac:dyDescent="0.2">
      <c r="A42" t="s">
        <v>259</v>
      </c>
      <c r="B42" s="10">
        <f>SUMXMY2('E coli'!$M$2:$M$383,'E coli'!V$2:V$383)</f>
        <v>145.50629447485318</v>
      </c>
      <c r="D42" t="s">
        <v>259</v>
      </c>
      <c r="E42" s="10">
        <f>SUMXMY2('E coli'!$M$2:$M$308,'E coli'!$W$2:$W$308)</f>
        <v>124.23082337605437</v>
      </c>
      <c r="G42" t="s">
        <v>259</v>
      </c>
      <c r="H42" s="10">
        <f>SUMXMY2('E coli'!$M$309:$M$383,'E coli'!$X$309:$X$383)</f>
        <v>16.963151766458076</v>
      </c>
    </row>
    <row r="43" spans="1:8" x14ac:dyDescent="0.2">
      <c r="D43" t="s">
        <v>260</v>
      </c>
      <c r="E43" s="10">
        <f>E42+H42</f>
        <v>141.19397514251244</v>
      </c>
    </row>
    <row r="45" spans="1:8" x14ac:dyDescent="0.2">
      <c r="A45" t="s">
        <v>262</v>
      </c>
      <c r="B45">
        <f>COUNT('E coli'!M$2:M$383)</f>
        <v>382</v>
      </c>
    </row>
    <row r="46" spans="1:8" x14ac:dyDescent="0.2">
      <c r="A46" t="s">
        <v>261</v>
      </c>
      <c r="B46" s="10">
        <f>((B42-E43)/2)/(E43/(B45-4))</f>
        <v>5.7724017826522687</v>
      </c>
    </row>
    <row r="47" spans="1:8" x14ac:dyDescent="0.2">
      <c r="A47" t="s">
        <v>283</v>
      </c>
      <c r="B47" s="10">
        <f>FINV(0.05,2,B45-4)</f>
        <v>3.0196000419535767</v>
      </c>
    </row>
    <row r="48" spans="1:8" x14ac:dyDescent="0.2">
      <c r="A48" t="s">
        <v>255</v>
      </c>
      <c r="B48" s="10">
        <f>(B42/(B45-2))/(E43/(B45-4))</f>
        <v>1.0251179041192224</v>
      </c>
    </row>
    <row r="49" spans="1:2" x14ac:dyDescent="0.2">
      <c r="A49" t="s">
        <v>282</v>
      </c>
      <c r="B49" s="10">
        <f>FINV(0.05,B45-2,B45-4)</f>
        <v>1.1843754241258095</v>
      </c>
    </row>
    <row r="51" spans="1:2" x14ac:dyDescent="0.2">
      <c r="A51" s="24" t="s">
        <v>783</v>
      </c>
    </row>
    <row r="53" spans="1:2" x14ac:dyDescent="0.2">
      <c r="A53" t="s">
        <v>897</v>
      </c>
    </row>
    <row r="54" spans="1:2" x14ac:dyDescent="0.2">
      <c r="A54" t="s">
        <v>898</v>
      </c>
      <c r="B54">
        <v>0</v>
      </c>
    </row>
    <row r="56" spans="1:2" x14ac:dyDescent="0.2">
      <c r="A56" t="s">
        <v>784</v>
      </c>
    </row>
  </sheetData>
  <phoneticPr fontId="0" type="noConversion"/>
  <pageMargins left="0.75" right="0.75" top="1" bottom="1" header="0.5" footer="0.5"/>
  <pageSetup paperSize="9" orientation="portrait"/>
  <headerFooter alignWithMargins="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U976"/>
  <sheetViews>
    <sheetView topLeftCell="C1" workbookViewId="0">
      <pane ySplit="1" topLeftCell="A945" activePane="bottomLeft" state="frozen"/>
      <selection pane="bottomLeft" activeCell="M943" sqref="M943:M968"/>
    </sheetView>
  </sheetViews>
  <sheetFormatPr defaultRowHeight="12.75" x14ac:dyDescent="0.2"/>
  <cols>
    <col min="1" max="1" width="16.42578125" customWidth="1"/>
    <col min="2" max="2" width="15.5703125" customWidth="1"/>
    <col min="3" max="3" width="11" customWidth="1"/>
    <col min="4" max="4" width="16.28515625" customWidth="1"/>
    <col min="5" max="5" width="15.42578125" customWidth="1"/>
    <col min="6" max="7" width="11.5703125" customWidth="1"/>
    <col min="8" max="8" width="8.5703125" style="4" customWidth="1"/>
    <col min="9" max="9" width="10.28515625" style="4" customWidth="1"/>
    <col min="10" max="10" width="9.140625" style="11" customWidth="1"/>
    <col min="11" max="12" width="9.140625" style="4" customWidth="1"/>
    <col min="13" max="13" width="15" style="4" customWidth="1"/>
    <col min="16" max="16" width="16.85546875" customWidth="1"/>
    <col min="20" max="20" width="11" customWidth="1"/>
  </cols>
  <sheetData>
    <row r="1" spans="1:21" s="18" customFormat="1" ht="15" x14ac:dyDescent="0.25">
      <c r="A1" s="14" t="s">
        <v>1221</v>
      </c>
      <c r="B1" s="14" t="s">
        <v>64</v>
      </c>
      <c r="C1" s="14" t="s">
        <v>65</v>
      </c>
      <c r="D1" s="14" t="s">
        <v>39</v>
      </c>
      <c r="E1" s="14" t="s">
        <v>1222</v>
      </c>
      <c r="F1" s="14" t="s">
        <v>1255</v>
      </c>
      <c r="G1" s="14" t="s">
        <v>509</v>
      </c>
      <c r="H1" s="15" t="s">
        <v>1230</v>
      </c>
      <c r="I1" s="15" t="s">
        <v>1229</v>
      </c>
      <c r="J1" s="20" t="s">
        <v>1232</v>
      </c>
      <c r="K1" s="15" t="s">
        <v>1231</v>
      </c>
      <c r="L1" s="15" t="s">
        <v>1343</v>
      </c>
      <c r="M1" s="17" t="s">
        <v>1344</v>
      </c>
      <c r="N1" s="14" t="s">
        <v>1223</v>
      </c>
      <c r="O1" s="14" t="s">
        <v>1224</v>
      </c>
      <c r="P1" s="14" t="s">
        <v>1225</v>
      </c>
      <c r="R1" s="18" t="s">
        <v>255</v>
      </c>
      <c r="S1" s="18" t="s">
        <v>905</v>
      </c>
      <c r="T1" s="18" t="s">
        <v>913</v>
      </c>
      <c r="U1" s="18" t="s">
        <v>906</v>
      </c>
    </row>
    <row r="2" spans="1:21" x14ac:dyDescent="0.2">
      <c r="A2" s="1" t="s">
        <v>1440</v>
      </c>
      <c r="B2" s="1" t="s">
        <v>1443</v>
      </c>
      <c r="C2">
        <v>1151</v>
      </c>
      <c r="D2" s="1" t="s">
        <v>42</v>
      </c>
      <c r="E2" s="1" t="s">
        <v>604</v>
      </c>
      <c r="F2" s="1" t="s">
        <v>605</v>
      </c>
      <c r="G2" s="1"/>
      <c r="I2" s="4">
        <v>68</v>
      </c>
      <c r="J2" s="11">
        <f>11.3/60</f>
        <v>0.18833333333333335</v>
      </c>
      <c r="L2" s="12">
        <f t="shared" ref="L2:L33" si="0">LOG(J2)</f>
        <v>-0.72507280690022391</v>
      </c>
      <c r="M2" s="11">
        <f>GraphListeria!$B$10-(Listeria!I2-GraphListeria!$B$6)/GraphListeria!$B$5</f>
        <v>-0.7796885728467664</v>
      </c>
      <c r="N2" s="1" t="s">
        <v>606</v>
      </c>
      <c r="O2">
        <v>1998</v>
      </c>
      <c r="S2" s="10">
        <f>GraphListeria!$B$43*Listeria!I2+GraphListeria!$B$44</f>
        <v>-0.72051427792684386</v>
      </c>
      <c r="U2" s="10">
        <f>GraphListeria!$H$43*Listeria!I2+GraphListeria!$H$44</f>
        <v>-0.77968857284676574</v>
      </c>
    </row>
    <row r="3" spans="1:21" x14ac:dyDescent="0.2">
      <c r="A3" s="1" t="s">
        <v>1440</v>
      </c>
      <c r="B3" s="1" t="s">
        <v>1443</v>
      </c>
      <c r="C3" t="s">
        <v>57</v>
      </c>
      <c r="D3" s="1" t="s">
        <v>42</v>
      </c>
      <c r="E3" s="1" t="s">
        <v>604</v>
      </c>
      <c r="F3" s="1" t="s">
        <v>605</v>
      </c>
      <c r="G3" s="1"/>
      <c r="I3" s="4">
        <v>68</v>
      </c>
      <c r="J3" s="11">
        <f>6.45/60</f>
        <v>0.1075</v>
      </c>
      <c r="L3" s="12">
        <f t="shared" si="0"/>
        <v>-0.96859153574837586</v>
      </c>
      <c r="M3" s="11">
        <f>GraphListeria!$B$10-(Listeria!I3-GraphListeria!$B$6)/GraphListeria!$B$5</f>
        <v>-0.7796885728467664</v>
      </c>
      <c r="N3" s="1" t="s">
        <v>606</v>
      </c>
      <c r="O3">
        <v>1998</v>
      </c>
      <c r="S3" s="10">
        <f>GraphListeria!$B$43*Listeria!I3+GraphListeria!$B$44</f>
        <v>-0.72051427792684386</v>
      </c>
      <c r="U3" s="10">
        <f>GraphListeria!$H$43*Listeria!I3+GraphListeria!$H$44</f>
        <v>-0.77968857284676574</v>
      </c>
    </row>
    <row r="4" spans="1:21" x14ac:dyDescent="0.2">
      <c r="A4" s="1" t="s">
        <v>1440</v>
      </c>
      <c r="B4" s="1" t="s">
        <v>1443</v>
      </c>
      <c r="C4">
        <v>1151</v>
      </c>
      <c r="D4" s="1" t="s">
        <v>42</v>
      </c>
      <c r="E4" s="1" t="s">
        <v>604</v>
      </c>
      <c r="F4" s="1" t="s">
        <v>605</v>
      </c>
      <c r="G4" s="1"/>
      <c r="I4" s="4">
        <v>52</v>
      </c>
      <c r="J4" s="11">
        <f>2678.46/60</f>
        <v>44.640999999999998</v>
      </c>
      <c r="K4" s="4">
        <v>6.71</v>
      </c>
      <c r="L4" s="12">
        <f t="shared" si="0"/>
        <v>1.6497339146395933</v>
      </c>
      <c r="M4" s="11">
        <f>GraphListeria!$B$10-(Listeria!I4-GraphListeria!$B$6)/GraphListeria!$B$5</f>
        <v>1.4921555134547138</v>
      </c>
      <c r="N4" s="1" t="s">
        <v>606</v>
      </c>
      <c r="O4">
        <v>1998</v>
      </c>
      <c r="S4" s="10">
        <f>GraphListeria!$B$43*Listeria!I4+GraphListeria!$B$44</f>
        <v>1.4886976741139497</v>
      </c>
      <c r="U4" s="10">
        <f>GraphListeria!$H$43*Listeria!I4+GraphListeria!$H$44</f>
        <v>1.4921555134547138</v>
      </c>
    </row>
    <row r="5" spans="1:21" x14ac:dyDescent="0.2">
      <c r="A5" s="1" t="s">
        <v>1440</v>
      </c>
      <c r="B5" s="1" t="s">
        <v>1443</v>
      </c>
      <c r="C5" t="s">
        <v>57</v>
      </c>
      <c r="D5" s="1" t="s">
        <v>42</v>
      </c>
      <c r="E5" s="1" t="s">
        <v>604</v>
      </c>
      <c r="F5" s="1" t="s">
        <v>605</v>
      </c>
      <c r="G5" s="1"/>
      <c r="I5" s="4">
        <v>52</v>
      </c>
      <c r="J5" s="11">
        <f>1420.99/60</f>
        <v>23.683166666666668</v>
      </c>
      <c r="K5" s="4">
        <v>6.67</v>
      </c>
      <c r="L5" s="12">
        <f t="shared" si="0"/>
        <v>1.3744397712735232</v>
      </c>
      <c r="M5" s="11">
        <f>GraphListeria!$B$10-(Listeria!I5-GraphListeria!$B$6)/GraphListeria!$B$5</f>
        <v>1.4921555134547138</v>
      </c>
      <c r="N5" s="1" t="s">
        <v>606</v>
      </c>
      <c r="O5">
        <v>1998</v>
      </c>
      <c r="S5" s="10">
        <f>GraphListeria!$B$43*Listeria!I5+GraphListeria!$B$44</f>
        <v>1.4886976741139497</v>
      </c>
      <c r="U5" s="10">
        <f>GraphListeria!$H$43*Listeria!I5+GraphListeria!$H$44</f>
        <v>1.4921555134547138</v>
      </c>
    </row>
    <row r="6" spans="1:21" x14ac:dyDescent="0.2">
      <c r="A6" s="1" t="s">
        <v>1440</v>
      </c>
      <c r="B6" s="1" t="s">
        <v>1443</v>
      </c>
      <c r="C6">
        <v>1151</v>
      </c>
      <c r="D6" s="1" t="s">
        <v>42</v>
      </c>
      <c r="E6" s="1" t="s">
        <v>604</v>
      </c>
      <c r="F6" s="1" t="s">
        <v>605</v>
      </c>
      <c r="G6" s="1"/>
      <c r="I6" s="4">
        <v>56</v>
      </c>
      <c r="J6" s="11">
        <f>394.72/60</f>
        <v>6.5786666666666669</v>
      </c>
      <c r="K6" s="4">
        <v>6.71</v>
      </c>
      <c r="L6" s="12">
        <f t="shared" si="0"/>
        <v>0.81813788176201718</v>
      </c>
      <c r="M6" s="11">
        <f>GraphListeria!$B$10-(Listeria!I6-GraphListeria!$B$6)/GraphListeria!$B$5</f>
        <v>0.92419449187934366</v>
      </c>
      <c r="N6" s="1" t="s">
        <v>606</v>
      </c>
      <c r="O6">
        <v>1998</v>
      </c>
      <c r="S6" s="10">
        <f>GraphListeria!$B$43*Listeria!I6+GraphListeria!$B$44</f>
        <v>0.93639468610375154</v>
      </c>
      <c r="U6" s="10">
        <f>GraphListeria!$H$43*Listeria!I6+GraphListeria!$H$44</f>
        <v>0.92419449187934344</v>
      </c>
    </row>
    <row r="7" spans="1:21" x14ac:dyDescent="0.2">
      <c r="A7" s="1" t="s">
        <v>1440</v>
      </c>
      <c r="B7" s="1" t="s">
        <v>1443</v>
      </c>
      <c r="C7" t="s">
        <v>57</v>
      </c>
      <c r="D7" s="1" t="s">
        <v>42</v>
      </c>
      <c r="E7" s="1" t="s">
        <v>604</v>
      </c>
      <c r="F7" s="1" t="s">
        <v>605</v>
      </c>
      <c r="G7" s="1"/>
      <c r="I7" s="4">
        <v>56</v>
      </c>
      <c r="J7" s="11">
        <f>247.79/60</f>
        <v>4.129833333333333</v>
      </c>
      <c r="K7" s="4">
        <v>6.67</v>
      </c>
      <c r="L7" s="12">
        <f t="shared" si="0"/>
        <v>0.61593252529461151</v>
      </c>
      <c r="M7" s="11">
        <f>GraphListeria!$B$10-(Listeria!I7-GraphListeria!$B$6)/GraphListeria!$B$5</f>
        <v>0.92419449187934366</v>
      </c>
      <c r="N7" s="1" t="s">
        <v>606</v>
      </c>
      <c r="O7">
        <v>1998</v>
      </c>
      <c r="S7" s="10">
        <f>GraphListeria!$B$43*Listeria!I7+GraphListeria!$B$44</f>
        <v>0.93639468610375154</v>
      </c>
      <c r="U7" s="10">
        <f>GraphListeria!$H$43*Listeria!I7+GraphListeria!$H$44</f>
        <v>0.92419449187934344</v>
      </c>
    </row>
    <row r="8" spans="1:21" x14ac:dyDescent="0.2">
      <c r="A8" s="1" t="s">
        <v>1440</v>
      </c>
      <c r="B8" s="1" t="s">
        <v>1443</v>
      </c>
      <c r="C8">
        <v>1151</v>
      </c>
      <c r="D8" s="1" t="s">
        <v>42</v>
      </c>
      <c r="E8" s="1" t="s">
        <v>604</v>
      </c>
      <c r="F8" s="1" t="s">
        <v>605</v>
      </c>
      <c r="G8" s="1"/>
      <c r="I8" s="4">
        <v>60</v>
      </c>
      <c r="J8" s="11">
        <f>74.59/60</f>
        <v>1.2431666666666668</v>
      </c>
      <c r="K8" s="4">
        <v>6.71</v>
      </c>
      <c r="L8" s="12">
        <f t="shared" si="0"/>
        <v>9.4529356768286055E-2</v>
      </c>
      <c r="M8" s="11">
        <f>GraphListeria!$B$10-(Listeria!I8-GraphListeria!$B$6)/GraphListeria!$B$5</f>
        <v>0.35623347030397379</v>
      </c>
      <c r="N8" s="1" t="s">
        <v>606</v>
      </c>
      <c r="O8">
        <v>1998</v>
      </c>
      <c r="S8" s="10">
        <f>GraphListeria!$B$43*Listeria!I8+GraphListeria!$B$44</f>
        <v>0.38409169809355426</v>
      </c>
      <c r="U8" s="10">
        <f>GraphListeria!$H$43*Listeria!I8+GraphListeria!$H$44</f>
        <v>0.35623347030397312</v>
      </c>
    </row>
    <row r="9" spans="1:21" x14ac:dyDescent="0.2">
      <c r="A9" s="1" t="s">
        <v>1440</v>
      </c>
      <c r="B9" s="1" t="s">
        <v>1443</v>
      </c>
      <c r="C9" t="s">
        <v>57</v>
      </c>
      <c r="D9" s="1" t="s">
        <v>42</v>
      </c>
      <c r="E9" s="1" t="s">
        <v>604</v>
      </c>
      <c r="F9" s="1" t="s">
        <v>605</v>
      </c>
      <c r="G9" s="1"/>
      <c r="I9" s="4">
        <v>60</v>
      </c>
      <c r="J9" s="11">
        <f>33.02/60</f>
        <v>0.55033333333333334</v>
      </c>
      <c r="K9" s="4">
        <v>6.67</v>
      </c>
      <c r="L9" s="12">
        <f t="shared" si="0"/>
        <v>-0.2593741814568688</v>
      </c>
      <c r="M9" s="11">
        <f>GraphListeria!$B$10-(Listeria!I9-GraphListeria!$B$6)/GraphListeria!$B$5</f>
        <v>0.35623347030397379</v>
      </c>
      <c r="N9" s="1" t="s">
        <v>606</v>
      </c>
      <c r="O9">
        <v>1998</v>
      </c>
      <c r="S9" s="10">
        <f>GraphListeria!$B$43*Listeria!I9+GraphListeria!$B$44</f>
        <v>0.38409169809355426</v>
      </c>
      <c r="U9" s="10">
        <f>GraphListeria!$H$43*Listeria!I9+GraphListeria!$H$44</f>
        <v>0.35623347030397312</v>
      </c>
    </row>
    <row r="10" spans="1:21" x14ac:dyDescent="0.2">
      <c r="A10" s="1" t="s">
        <v>1440</v>
      </c>
      <c r="B10" s="1" t="s">
        <v>1443</v>
      </c>
      <c r="C10">
        <v>1151</v>
      </c>
      <c r="D10" s="1" t="s">
        <v>42</v>
      </c>
      <c r="E10" s="1" t="s">
        <v>604</v>
      </c>
      <c r="F10" s="1" t="s">
        <v>605</v>
      </c>
      <c r="G10" s="1"/>
      <c r="I10" s="4">
        <v>64</v>
      </c>
      <c r="J10" s="11">
        <f>25.23/60</f>
        <v>0.42049999999999998</v>
      </c>
      <c r="K10" s="4">
        <v>6.71</v>
      </c>
      <c r="L10" s="12">
        <f t="shared" si="0"/>
        <v>-0.37623399986606904</v>
      </c>
      <c r="M10" s="11">
        <f>GraphListeria!$B$10-(Listeria!I10-GraphListeria!$B$6)/GraphListeria!$B$5</f>
        <v>-0.21172755127139631</v>
      </c>
      <c r="N10" s="1" t="s">
        <v>606</v>
      </c>
      <c r="O10">
        <v>1998</v>
      </c>
      <c r="S10" s="10">
        <f>GraphListeria!$B$43*Listeria!I10+GraphListeria!$B$44</f>
        <v>-0.1682112899166448</v>
      </c>
      <c r="U10" s="10">
        <f>GraphListeria!$H$43*Listeria!I10+GraphListeria!$H$44</f>
        <v>-0.21172755127139631</v>
      </c>
    </row>
    <row r="11" spans="1:21" x14ac:dyDescent="0.2">
      <c r="A11" s="1" t="s">
        <v>1440</v>
      </c>
      <c r="B11" s="1" t="s">
        <v>1443</v>
      </c>
      <c r="C11" t="s">
        <v>57</v>
      </c>
      <c r="D11" s="1" t="s">
        <v>42</v>
      </c>
      <c r="E11" s="1" t="s">
        <v>604</v>
      </c>
      <c r="F11" s="1" t="s">
        <v>605</v>
      </c>
      <c r="G11" s="1"/>
      <c r="I11" s="4">
        <v>64</v>
      </c>
      <c r="J11" s="11">
        <f>11.63/60</f>
        <v>0.19383333333333336</v>
      </c>
      <c r="K11" s="4">
        <v>6.67</v>
      </c>
      <c r="L11" s="12">
        <f t="shared" si="0"/>
        <v>-0.71257153565519515</v>
      </c>
      <c r="M11" s="11">
        <f>GraphListeria!$B$10-(Listeria!I11-GraphListeria!$B$6)/GraphListeria!$B$5</f>
        <v>-0.21172755127139631</v>
      </c>
      <c r="N11" s="1" t="s">
        <v>606</v>
      </c>
      <c r="O11">
        <v>1998</v>
      </c>
      <c r="S11" s="10">
        <f>GraphListeria!$B$43*Listeria!I11+GraphListeria!$B$44</f>
        <v>-0.1682112899166448</v>
      </c>
      <c r="U11" s="10">
        <f>GraphListeria!$H$43*Listeria!I11+GraphListeria!$H$44</f>
        <v>-0.21172755127139631</v>
      </c>
    </row>
    <row r="12" spans="1:21" x14ac:dyDescent="0.2">
      <c r="A12" s="1" t="s">
        <v>1440</v>
      </c>
      <c r="B12" s="1" t="s">
        <v>1443</v>
      </c>
      <c r="C12">
        <v>1151</v>
      </c>
      <c r="D12" s="1" t="s">
        <v>42</v>
      </c>
      <c r="E12" s="1" t="s">
        <v>1334</v>
      </c>
      <c r="F12" s="1" t="s">
        <v>602</v>
      </c>
      <c r="G12" s="1"/>
      <c r="I12" s="4">
        <v>68</v>
      </c>
      <c r="J12" s="11">
        <f>9.14/60</f>
        <v>0.15233333333333335</v>
      </c>
      <c r="L12" s="12">
        <f t="shared" si="0"/>
        <v>-0.81720505464981219</v>
      </c>
      <c r="M12" s="11">
        <f>GraphListeria!$B$10-(Listeria!I12-GraphListeria!$B$6)/GraphListeria!$B$5</f>
        <v>-0.7796885728467664</v>
      </c>
      <c r="N12" s="1" t="s">
        <v>606</v>
      </c>
      <c r="O12">
        <v>1998</v>
      </c>
      <c r="S12" s="10">
        <f>GraphListeria!$B$43*Listeria!I12+GraphListeria!$B$44</f>
        <v>-0.72051427792684386</v>
      </c>
      <c r="U12" s="10">
        <f>GraphListeria!$H$43*Listeria!I12+GraphListeria!$H$44</f>
        <v>-0.77968857284676574</v>
      </c>
    </row>
    <row r="13" spans="1:21" x14ac:dyDescent="0.2">
      <c r="A13" s="1" t="s">
        <v>1440</v>
      </c>
      <c r="B13" s="1" t="s">
        <v>1443</v>
      </c>
      <c r="C13" t="s">
        <v>57</v>
      </c>
      <c r="D13" s="1" t="s">
        <v>42</v>
      </c>
      <c r="E13" s="1" t="s">
        <v>1334</v>
      </c>
      <c r="F13" s="1" t="s">
        <v>602</v>
      </c>
      <c r="G13" s="1"/>
      <c r="I13" s="4">
        <v>68</v>
      </c>
      <c r="J13" s="11">
        <f>7.72/60</f>
        <v>0.12866666666666665</v>
      </c>
      <c r="L13" s="12">
        <f t="shared" si="0"/>
        <v>-0.89053395004790759</v>
      </c>
      <c r="M13" s="11">
        <f>GraphListeria!$B$10-(Listeria!I13-GraphListeria!$B$6)/GraphListeria!$B$5</f>
        <v>-0.7796885728467664</v>
      </c>
      <c r="N13" s="1" t="s">
        <v>606</v>
      </c>
      <c r="O13">
        <v>1998</v>
      </c>
      <c r="S13" s="10">
        <f>GraphListeria!$B$43*Listeria!I13+GraphListeria!$B$44</f>
        <v>-0.72051427792684386</v>
      </c>
      <c r="U13" s="10">
        <f>GraphListeria!$H$43*Listeria!I13+GraphListeria!$H$44</f>
        <v>-0.77968857284676574</v>
      </c>
    </row>
    <row r="14" spans="1:21" x14ac:dyDescent="0.2">
      <c r="A14" s="1" t="s">
        <v>1440</v>
      </c>
      <c r="B14" s="1" t="s">
        <v>1443</v>
      </c>
      <c r="C14">
        <v>1151</v>
      </c>
      <c r="D14" s="1" t="s">
        <v>42</v>
      </c>
      <c r="E14" s="1" t="s">
        <v>1334</v>
      </c>
      <c r="F14" s="1" t="s">
        <v>602</v>
      </c>
      <c r="G14" s="1"/>
      <c r="I14" s="4">
        <v>52</v>
      </c>
      <c r="J14" s="11">
        <f>6304.63/60</f>
        <v>105.07716666666667</v>
      </c>
      <c r="K14" s="4">
        <v>5.32</v>
      </c>
      <c r="L14" s="12">
        <f t="shared" si="0"/>
        <v>2.0215083538207161</v>
      </c>
      <c r="M14" s="11">
        <f>GraphListeria!$B$10-(Listeria!I14-GraphListeria!$B$6)/GraphListeria!$B$5</f>
        <v>1.4921555134547138</v>
      </c>
      <c r="N14" s="1" t="s">
        <v>606</v>
      </c>
      <c r="O14">
        <v>1998</v>
      </c>
      <c r="S14" s="10">
        <f>GraphListeria!$B$43*Listeria!I14+GraphListeria!$B$44</f>
        <v>1.4886976741139497</v>
      </c>
      <c r="U14" s="10">
        <f>GraphListeria!$H$43*Listeria!I14+GraphListeria!$H$44</f>
        <v>1.4921555134547138</v>
      </c>
    </row>
    <row r="15" spans="1:21" x14ac:dyDescent="0.2">
      <c r="A15" s="1" t="s">
        <v>1440</v>
      </c>
      <c r="B15" s="1" t="s">
        <v>1443</v>
      </c>
      <c r="C15" t="s">
        <v>57</v>
      </c>
      <c r="D15" s="1" t="s">
        <v>42</v>
      </c>
      <c r="E15" s="1" t="s">
        <v>1334</v>
      </c>
      <c r="F15" s="1" t="s">
        <v>602</v>
      </c>
      <c r="G15" s="1"/>
      <c r="I15" s="4">
        <v>52</v>
      </c>
      <c r="J15" s="11">
        <f>2597.82/60</f>
        <v>43.297000000000004</v>
      </c>
      <c r="K15" s="4">
        <v>6.2</v>
      </c>
      <c r="L15" s="12">
        <f t="shared" si="0"/>
        <v>1.6364578056239816</v>
      </c>
      <c r="M15" s="11">
        <f>GraphListeria!$B$10-(Listeria!I15-GraphListeria!$B$6)/GraphListeria!$B$5</f>
        <v>1.4921555134547138</v>
      </c>
      <c r="N15" s="1" t="s">
        <v>606</v>
      </c>
      <c r="O15">
        <v>1998</v>
      </c>
      <c r="S15" s="10">
        <f>GraphListeria!$B$43*Listeria!I15+GraphListeria!$B$44</f>
        <v>1.4886976741139497</v>
      </c>
      <c r="U15" s="10">
        <f>GraphListeria!$H$43*Listeria!I15+GraphListeria!$H$44</f>
        <v>1.4921555134547138</v>
      </c>
    </row>
    <row r="16" spans="1:21" x14ac:dyDescent="0.2">
      <c r="A16" s="1" t="s">
        <v>1440</v>
      </c>
      <c r="B16" s="1" t="s">
        <v>1443</v>
      </c>
      <c r="C16">
        <v>1151</v>
      </c>
      <c r="D16" s="1" t="s">
        <v>42</v>
      </c>
      <c r="E16" s="1" t="s">
        <v>1334</v>
      </c>
      <c r="F16" s="1" t="s">
        <v>602</v>
      </c>
      <c r="G16" s="1"/>
      <c r="I16" s="4">
        <v>56</v>
      </c>
      <c r="J16" s="11">
        <f>1387.11/60</f>
        <v>23.118499999999997</v>
      </c>
      <c r="K16" s="4">
        <v>5.32</v>
      </c>
      <c r="L16" s="12">
        <f t="shared" si="0"/>
        <v>1.3639596522893143</v>
      </c>
      <c r="M16" s="11">
        <f>GraphListeria!$B$10-(Listeria!I16-GraphListeria!$B$6)/GraphListeria!$B$5</f>
        <v>0.92419449187934366</v>
      </c>
      <c r="N16" s="1" t="s">
        <v>606</v>
      </c>
      <c r="O16">
        <v>1998</v>
      </c>
      <c r="S16" s="10">
        <f>GraphListeria!$B$43*Listeria!I16+GraphListeria!$B$44</f>
        <v>0.93639468610375154</v>
      </c>
      <c r="U16" s="10">
        <f>GraphListeria!$H$43*Listeria!I16+GraphListeria!$H$44</f>
        <v>0.92419449187934344</v>
      </c>
    </row>
    <row r="17" spans="1:21" x14ac:dyDescent="0.2">
      <c r="A17" s="1" t="s">
        <v>1440</v>
      </c>
      <c r="B17" s="1" t="s">
        <v>1443</v>
      </c>
      <c r="C17" t="s">
        <v>57</v>
      </c>
      <c r="D17" s="1" t="s">
        <v>42</v>
      </c>
      <c r="E17" s="1" t="s">
        <v>1334</v>
      </c>
      <c r="F17" s="1" t="s">
        <v>602</v>
      </c>
      <c r="G17" s="1"/>
      <c r="I17" s="4">
        <v>56</v>
      </c>
      <c r="J17" s="11">
        <f>302.55/60</f>
        <v>5.0425000000000004</v>
      </c>
      <c r="K17" s="4">
        <v>6.2</v>
      </c>
      <c r="L17" s="12">
        <f t="shared" si="0"/>
        <v>0.70264590688480311</v>
      </c>
      <c r="M17" s="11">
        <f>GraphListeria!$B$10-(Listeria!I17-GraphListeria!$B$6)/GraphListeria!$B$5</f>
        <v>0.92419449187934366</v>
      </c>
      <c r="N17" s="1" t="s">
        <v>606</v>
      </c>
      <c r="O17">
        <v>1998</v>
      </c>
      <c r="S17" s="10">
        <f>GraphListeria!$B$43*Listeria!I17+GraphListeria!$B$44</f>
        <v>0.93639468610375154</v>
      </c>
      <c r="U17" s="10">
        <f>GraphListeria!$H$43*Listeria!I17+GraphListeria!$H$44</f>
        <v>0.92419449187934344</v>
      </c>
    </row>
    <row r="18" spans="1:21" x14ac:dyDescent="0.2">
      <c r="A18" s="1" t="s">
        <v>1440</v>
      </c>
      <c r="B18" s="1" t="s">
        <v>1443</v>
      </c>
      <c r="C18">
        <v>1151</v>
      </c>
      <c r="D18" s="1" t="s">
        <v>42</v>
      </c>
      <c r="E18" s="1" t="s">
        <v>1334</v>
      </c>
      <c r="F18" s="1" t="s">
        <v>602</v>
      </c>
      <c r="G18" s="1"/>
      <c r="I18" s="4">
        <v>60</v>
      </c>
      <c r="J18" s="11">
        <f>94.94/60</f>
        <v>1.5823333333333334</v>
      </c>
      <c r="K18" s="4">
        <v>5.32</v>
      </c>
      <c r="L18" s="12">
        <f t="shared" si="0"/>
        <v>0.19929797699869761</v>
      </c>
      <c r="M18" s="11">
        <f>GraphListeria!$B$10-(Listeria!I18-GraphListeria!$B$6)/GraphListeria!$B$5</f>
        <v>0.35623347030397379</v>
      </c>
      <c r="N18" s="1" t="s">
        <v>606</v>
      </c>
      <c r="O18">
        <v>1998</v>
      </c>
      <c r="S18" s="10">
        <f>GraphListeria!$B$43*Listeria!I18+GraphListeria!$B$44</f>
        <v>0.38409169809355426</v>
      </c>
      <c r="U18" s="10">
        <f>GraphListeria!$H$43*Listeria!I18+GraphListeria!$H$44</f>
        <v>0.35623347030397312</v>
      </c>
    </row>
    <row r="19" spans="1:21" x14ac:dyDescent="0.2">
      <c r="A19" s="1" t="s">
        <v>1440</v>
      </c>
      <c r="B19" s="1" t="s">
        <v>1443</v>
      </c>
      <c r="C19" t="s">
        <v>57</v>
      </c>
      <c r="D19" s="1" t="s">
        <v>42</v>
      </c>
      <c r="E19" s="1" t="s">
        <v>1334</v>
      </c>
      <c r="F19" s="1" t="s">
        <v>602</v>
      </c>
      <c r="G19" s="1"/>
      <c r="I19" s="4">
        <v>60</v>
      </c>
      <c r="J19" s="11">
        <f>46.89/60</f>
        <v>0.78149999999999997</v>
      </c>
      <c r="K19" s="4">
        <v>6.2</v>
      </c>
      <c r="L19" s="12">
        <f t="shared" si="0"/>
        <v>-0.10707101764479431</v>
      </c>
      <c r="M19" s="11">
        <f>GraphListeria!$B$10-(Listeria!I19-GraphListeria!$B$6)/GraphListeria!$B$5</f>
        <v>0.35623347030397379</v>
      </c>
      <c r="N19" s="1" t="s">
        <v>606</v>
      </c>
      <c r="O19">
        <v>1998</v>
      </c>
      <c r="S19" s="10">
        <f>GraphListeria!$B$43*Listeria!I19+GraphListeria!$B$44</f>
        <v>0.38409169809355426</v>
      </c>
      <c r="U19" s="10">
        <f>GraphListeria!$H$43*Listeria!I19+GraphListeria!$H$44</f>
        <v>0.35623347030397312</v>
      </c>
    </row>
    <row r="20" spans="1:21" x14ac:dyDescent="0.2">
      <c r="A20" s="1" t="s">
        <v>1440</v>
      </c>
      <c r="B20" s="1" t="s">
        <v>1443</v>
      </c>
      <c r="C20">
        <v>1151</v>
      </c>
      <c r="D20" s="1" t="s">
        <v>42</v>
      </c>
      <c r="E20" s="1" t="s">
        <v>1334</v>
      </c>
      <c r="F20" s="1" t="s">
        <v>602</v>
      </c>
      <c r="G20" s="1"/>
      <c r="I20" s="4">
        <v>64</v>
      </c>
      <c r="J20" s="11">
        <f>19.88/60</f>
        <v>0.33133333333333331</v>
      </c>
      <c r="K20" s="4">
        <v>5.32</v>
      </c>
      <c r="L20" s="12">
        <f t="shared" si="0"/>
        <v>-0.47973487032234913</v>
      </c>
      <c r="M20" s="11">
        <f>GraphListeria!$B$10-(Listeria!I20-GraphListeria!$B$6)/GraphListeria!$B$5</f>
        <v>-0.21172755127139631</v>
      </c>
      <c r="N20" s="1" t="s">
        <v>606</v>
      </c>
      <c r="O20">
        <v>1998</v>
      </c>
      <c r="S20" s="10">
        <f>GraphListeria!$B$43*Listeria!I20+GraphListeria!$B$44</f>
        <v>-0.1682112899166448</v>
      </c>
      <c r="U20" s="10">
        <f>GraphListeria!$H$43*Listeria!I20+GraphListeria!$H$44</f>
        <v>-0.21172755127139631</v>
      </c>
    </row>
    <row r="21" spans="1:21" x14ac:dyDescent="0.2">
      <c r="A21" s="1" t="s">
        <v>1440</v>
      </c>
      <c r="B21" s="1" t="s">
        <v>1443</v>
      </c>
      <c r="C21" t="s">
        <v>57</v>
      </c>
      <c r="D21" s="1" t="s">
        <v>42</v>
      </c>
      <c r="E21" s="1" t="s">
        <v>1334</v>
      </c>
      <c r="F21" s="1" t="s">
        <v>602</v>
      </c>
      <c r="G21" s="1"/>
      <c r="I21" s="4">
        <v>64</v>
      </c>
      <c r="J21" s="11">
        <f>11.86/60</f>
        <v>0.19766666666666666</v>
      </c>
      <c r="K21" s="4">
        <v>6.2</v>
      </c>
      <c r="L21" s="12">
        <f t="shared" si="0"/>
        <v>-0.7040665613553998</v>
      </c>
      <c r="M21" s="11">
        <f>GraphListeria!$B$10-(Listeria!I21-GraphListeria!$B$6)/GraphListeria!$B$5</f>
        <v>-0.21172755127139631</v>
      </c>
      <c r="N21" s="1" t="s">
        <v>606</v>
      </c>
      <c r="O21">
        <v>1998</v>
      </c>
      <c r="S21" s="10">
        <f>GraphListeria!$B$43*Listeria!I21+GraphListeria!$B$44</f>
        <v>-0.1682112899166448</v>
      </c>
      <c r="U21" s="10">
        <f>GraphListeria!$H$43*Listeria!I21+GraphListeria!$H$44</f>
        <v>-0.21172755127139631</v>
      </c>
    </row>
    <row r="22" spans="1:21" x14ac:dyDescent="0.2">
      <c r="A22" s="1" t="s">
        <v>1440</v>
      </c>
      <c r="B22" s="1" t="s">
        <v>1443</v>
      </c>
      <c r="C22" s="1"/>
      <c r="D22" s="1" t="s">
        <v>42</v>
      </c>
      <c r="E22" s="1" t="s">
        <v>1334</v>
      </c>
      <c r="F22" s="1" t="s">
        <v>1274</v>
      </c>
      <c r="G22" s="1"/>
      <c r="H22" s="5"/>
      <c r="I22" s="5">
        <v>52.2</v>
      </c>
      <c r="J22" s="9">
        <v>28.5</v>
      </c>
      <c r="K22" s="5">
        <v>6.8</v>
      </c>
      <c r="L22" s="12">
        <f t="shared" si="0"/>
        <v>1.4548448600085102</v>
      </c>
      <c r="M22" s="11">
        <f>GraphListeria!$B$10-(Listeria!I22-GraphListeria!$B$6)/GraphListeria!$B$5</f>
        <v>1.4637574623759448</v>
      </c>
      <c r="N22" s="2" t="s">
        <v>1226</v>
      </c>
      <c r="O22">
        <v>1996</v>
      </c>
      <c r="S22" s="10">
        <f>GraphListeria!$B$43*Listeria!I22+GraphListeria!$B$44</f>
        <v>1.46108252471344</v>
      </c>
      <c r="U22" s="10">
        <f>GraphListeria!$H$43*Listeria!I22+GraphListeria!$H$44</f>
        <v>1.4637574623759448</v>
      </c>
    </row>
    <row r="23" spans="1:21" x14ac:dyDescent="0.2">
      <c r="A23" s="1" t="s">
        <v>1440</v>
      </c>
      <c r="B23" s="1" t="s">
        <v>1443</v>
      </c>
      <c r="D23" s="1" t="s">
        <v>42</v>
      </c>
      <c r="E23" s="1" t="s">
        <v>1334</v>
      </c>
      <c r="F23" s="1" t="s">
        <v>1274</v>
      </c>
      <c r="G23" s="1"/>
      <c r="I23" s="4">
        <v>57.8</v>
      </c>
      <c r="J23" s="11">
        <v>3.97</v>
      </c>
      <c r="K23" s="5">
        <v>6.8</v>
      </c>
      <c r="L23" s="12">
        <f t="shared" si="0"/>
        <v>0.59879050676311507</v>
      </c>
      <c r="M23" s="11">
        <f>GraphListeria!$B$10-(Listeria!I23-GraphListeria!$B$6)/GraphListeria!$B$5</f>
        <v>0.66861203217042764</v>
      </c>
      <c r="N23" s="2" t="s">
        <v>1226</v>
      </c>
      <c r="O23">
        <v>1996</v>
      </c>
      <c r="S23" s="10">
        <f>GraphListeria!$B$43*Listeria!I23+GraphListeria!$B$44</f>
        <v>0.68785834149916258</v>
      </c>
      <c r="U23" s="10">
        <f>GraphListeria!$H$43*Listeria!I23+GraphListeria!$H$44</f>
        <v>0.66861203217042764</v>
      </c>
    </row>
    <row r="24" spans="1:21" x14ac:dyDescent="0.2">
      <c r="A24" s="1" t="s">
        <v>1440</v>
      </c>
      <c r="B24" s="1" t="s">
        <v>1443</v>
      </c>
      <c r="D24" s="1" t="s">
        <v>42</v>
      </c>
      <c r="E24" s="1" t="s">
        <v>1334</v>
      </c>
      <c r="F24" s="1" t="s">
        <v>1274</v>
      </c>
      <c r="G24" s="1"/>
      <c r="I24" s="4">
        <v>63.3</v>
      </c>
      <c r="J24" s="11">
        <f>30.6/60</f>
        <v>0.51</v>
      </c>
      <c r="K24" s="5">
        <v>6.8</v>
      </c>
      <c r="L24" s="12">
        <f t="shared" si="0"/>
        <v>-0.29242982390206362</v>
      </c>
      <c r="M24" s="11">
        <f>GraphListeria!$B$10-(Listeria!I24-GraphListeria!$B$6)/GraphListeria!$B$5</f>
        <v>-0.11233437249570621</v>
      </c>
      <c r="N24" s="2" t="s">
        <v>1226</v>
      </c>
      <c r="O24">
        <v>1996</v>
      </c>
      <c r="S24" s="10">
        <f>GraphListeria!$B$43*Listeria!I24+GraphListeria!$B$44</f>
        <v>-7.1558267014859567E-2</v>
      </c>
      <c r="U24" s="10">
        <f>GraphListeria!$H$43*Listeria!I24+GraphListeria!$H$44</f>
        <v>-0.11233437249570599</v>
      </c>
    </row>
    <row r="25" spans="1:21" x14ac:dyDescent="0.2">
      <c r="A25" s="1" t="s">
        <v>1440</v>
      </c>
      <c r="B25" s="1" t="s">
        <v>1443</v>
      </c>
      <c r="D25" s="1" t="s">
        <v>42</v>
      </c>
      <c r="E25" s="1" t="s">
        <v>1334</v>
      </c>
      <c r="F25" s="1" t="s">
        <v>1274</v>
      </c>
      <c r="G25" s="1"/>
      <c r="I25" s="4">
        <v>66.099999999999994</v>
      </c>
      <c r="J25" s="11">
        <f>14.6/60</f>
        <v>0.24333333333333332</v>
      </c>
      <c r="K25" s="5">
        <v>6.8</v>
      </c>
      <c r="L25" s="12">
        <f t="shared" si="0"/>
        <v>-0.6137983945992066</v>
      </c>
      <c r="M25" s="11">
        <f>GraphListeria!$B$10-(Listeria!I25-GraphListeria!$B$6)/GraphListeria!$B$5</f>
        <v>-0.50990708759846481</v>
      </c>
      <c r="N25" s="2" t="s">
        <v>1226</v>
      </c>
      <c r="O25">
        <v>1996</v>
      </c>
      <c r="S25" s="10">
        <f>GraphListeria!$B$43*Listeria!I25+GraphListeria!$B$44</f>
        <v>-0.45817035862199873</v>
      </c>
      <c r="U25" s="10">
        <f>GraphListeria!$H$43*Listeria!I25+GraphListeria!$H$44</f>
        <v>-0.50990708759846548</v>
      </c>
    </row>
    <row r="26" spans="1:21" x14ac:dyDescent="0.2">
      <c r="A26" s="1" t="s">
        <v>1440</v>
      </c>
      <c r="B26" s="1" t="s">
        <v>1443</v>
      </c>
      <c r="D26" s="1" t="s">
        <v>42</v>
      </c>
      <c r="E26" s="1" t="s">
        <v>1334</v>
      </c>
      <c r="F26" s="1" t="s">
        <v>1274</v>
      </c>
      <c r="G26" s="1"/>
      <c r="I26" s="4">
        <v>68.900000000000006</v>
      </c>
      <c r="J26" s="11">
        <f>6/60</f>
        <v>0.1</v>
      </c>
      <c r="K26" s="5">
        <v>6.8</v>
      </c>
      <c r="L26" s="12">
        <f t="shared" si="0"/>
        <v>-1</v>
      </c>
      <c r="M26" s="11">
        <f>GraphListeria!$B$10-(Listeria!I26-GraphListeria!$B$6)/GraphListeria!$B$5</f>
        <v>-0.90747980270122541</v>
      </c>
      <c r="N26" s="2" t="s">
        <v>1226</v>
      </c>
      <c r="O26">
        <v>1996</v>
      </c>
      <c r="S26" s="10">
        <f>GraphListeria!$B$43*Listeria!I26+GraphListeria!$B$44</f>
        <v>-0.84478245022913789</v>
      </c>
      <c r="U26" s="10">
        <f>GraphListeria!$H$43*Listeria!I26+GraphListeria!$H$44</f>
        <v>-0.90747980270122497</v>
      </c>
    </row>
    <row r="27" spans="1:21" x14ac:dyDescent="0.2">
      <c r="A27" s="1" t="s">
        <v>1440</v>
      </c>
      <c r="B27" s="1" t="s">
        <v>1443</v>
      </c>
      <c r="C27" s="1"/>
      <c r="D27" s="1" t="s">
        <v>42</v>
      </c>
      <c r="E27" s="1" t="s">
        <v>1334</v>
      </c>
      <c r="F27" s="1" t="s">
        <v>8</v>
      </c>
      <c r="G27" s="1"/>
      <c r="H27" s="5"/>
      <c r="I27" s="5">
        <v>52.2</v>
      </c>
      <c r="J27" s="9">
        <v>29.68</v>
      </c>
      <c r="K27" s="5">
        <v>7.1</v>
      </c>
      <c r="L27" s="12">
        <f t="shared" si="0"/>
        <v>1.4724638966069894</v>
      </c>
      <c r="M27" s="11">
        <f>GraphListeria!$B$10-(Listeria!I27-GraphListeria!$B$6)/GraphListeria!$B$5</f>
        <v>1.4637574623759448</v>
      </c>
      <c r="N27" s="2" t="s">
        <v>1226</v>
      </c>
      <c r="O27">
        <v>1996</v>
      </c>
      <c r="S27" s="10">
        <f>GraphListeria!$B$43*Listeria!I27+GraphListeria!$B$44</f>
        <v>1.46108252471344</v>
      </c>
      <c r="U27" s="10">
        <f>GraphListeria!$H$43*Listeria!I27+GraphListeria!$H$44</f>
        <v>1.4637574623759448</v>
      </c>
    </row>
    <row r="28" spans="1:21" x14ac:dyDescent="0.2">
      <c r="A28" s="1" t="s">
        <v>1440</v>
      </c>
      <c r="B28" s="1" t="s">
        <v>1443</v>
      </c>
      <c r="D28" s="1" t="s">
        <v>42</v>
      </c>
      <c r="E28" s="1" t="s">
        <v>1334</v>
      </c>
      <c r="F28" s="1" t="s">
        <v>8</v>
      </c>
      <c r="G28" s="1"/>
      <c r="I28" s="4">
        <v>57.8</v>
      </c>
      <c r="J28" s="11">
        <v>4.34</v>
      </c>
      <c r="K28" s="5">
        <v>7.1</v>
      </c>
      <c r="L28" s="12">
        <f t="shared" si="0"/>
        <v>0.63748972951251071</v>
      </c>
      <c r="M28" s="11">
        <f>GraphListeria!$B$10-(Listeria!I28-GraphListeria!$B$6)/GraphListeria!$B$5</f>
        <v>0.66861203217042764</v>
      </c>
      <c r="N28" s="2" t="s">
        <v>1226</v>
      </c>
      <c r="O28">
        <v>1996</v>
      </c>
      <c r="S28" s="10">
        <f>GraphListeria!$B$43*Listeria!I28+GraphListeria!$B$44</f>
        <v>0.68785834149916258</v>
      </c>
      <c r="U28" s="10">
        <f>GraphListeria!$H$43*Listeria!I28+GraphListeria!$H$44</f>
        <v>0.66861203217042764</v>
      </c>
    </row>
    <row r="29" spans="1:21" x14ac:dyDescent="0.2">
      <c r="A29" s="1" t="s">
        <v>1440</v>
      </c>
      <c r="B29" s="1" t="s">
        <v>1443</v>
      </c>
      <c r="D29" s="1" t="s">
        <v>42</v>
      </c>
      <c r="E29" s="1" t="s">
        <v>1334</v>
      </c>
      <c r="F29" s="1" t="s">
        <v>8</v>
      </c>
      <c r="G29" s="1"/>
      <c r="I29" s="4">
        <v>63.3</v>
      </c>
      <c r="J29" s="11">
        <f>28.6/60</f>
        <v>0.47666666666666668</v>
      </c>
      <c r="K29" s="5">
        <v>7.1</v>
      </c>
      <c r="L29" s="12">
        <f t="shared" si="0"/>
        <v>-0.32178521725460063</v>
      </c>
      <c r="M29" s="11">
        <f>GraphListeria!$B$10-(Listeria!I29-GraphListeria!$B$6)/GraphListeria!$B$5</f>
        <v>-0.11233437249570621</v>
      </c>
      <c r="N29" s="2" t="s">
        <v>1226</v>
      </c>
      <c r="O29">
        <v>1996</v>
      </c>
      <c r="S29" s="10">
        <f>GraphListeria!$B$43*Listeria!I29+GraphListeria!$B$44</f>
        <v>-7.1558267014859567E-2</v>
      </c>
      <c r="U29" s="10">
        <f>GraphListeria!$H$43*Listeria!I29+GraphListeria!$H$44</f>
        <v>-0.11233437249570599</v>
      </c>
    </row>
    <row r="30" spans="1:21" x14ac:dyDescent="0.2">
      <c r="A30" s="1" t="s">
        <v>1440</v>
      </c>
      <c r="B30" s="1" t="s">
        <v>1443</v>
      </c>
      <c r="D30" s="1" t="s">
        <v>42</v>
      </c>
      <c r="E30" s="1" t="s">
        <v>1334</v>
      </c>
      <c r="F30" s="1" t="s">
        <v>8</v>
      </c>
      <c r="G30" s="1"/>
      <c r="I30" s="4">
        <v>66.099999999999994</v>
      </c>
      <c r="J30" s="11">
        <f>17.6/60</f>
        <v>0.29333333333333333</v>
      </c>
      <c r="K30" s="5">
        <v>7.1</v>
      </c>
      <c r="L30" s="12">
        <f t="shared" si="0"/>
        <v>-0.53263858256949381</v>
      </c>
      <c r="M30" s="11">
        <f>GraphListeria!$B$10-(Listeria!I30-GraphListeria!$B$6)/GraphListeria!$B$5</f>
        <v>-0.50990708759846481</v>
      </c>
      <c r="N30" s="2" t="s">
        <v>1226</v>
      </c>
      <c r="O30">
        <v>1996</v>
      </c>
      <c r="S30" s="10">
        <f>GraphListeria!$B$43*Listeria!I30+GraphListeria!$B$44</f>
        <v>-0.45817035862199873</v>
      </c>
      <c r="U30" s="10">
        <f>GraphListeria!$H$43*Listeria!I30+GraphListeria!$H$44</f>
        <v>-0.50990708759846548</v>
      </c>
    </row>
    <row r="31" spans="1:21" x14ac:dyDescent="0.2">
      <c r="A31" s="1" t="s">
        <v>1440</v>
      </c>
      <c r="B31" s="1" t="s">
        <v>1443</v>
      </c>
      <c r="D31" s="1" t="s">
        <v>42</v>
      </c>
      <c r="E31" s="1" t="s">
        <v>1334</v>
      </c>
      <c r="F31" s="1" t="s">
        <v>8</v>
      </c>
      <c r="G31" s="1"/>
      <c r="I31" s="4">
        <v>68.900000000000006</v>
      </c>
      <c r="J31" s="11">
        <f>7.8/60</f>
        <v>0.13</v>
      </c>
      <c r="K31" s="5">
        <v>7.1</v>
      </c>
      <c r="L31" s="12">
        <f t="shared" si="0"/>
        <v>-0.88605664769316317</v>
      </c>
      <c r="M31" s="11">
        <f>GraphListeria!$B$10-(Listeria!I31-GraphListeria!$B$6)/GraphListeria!$B$5</f>
        <v>-0.90747980270122541</v>
      </c>
      <c r="N31" s="2" t="s">
        <v>1226</v>
      </c>
      <c r="O31">
        <v>1996</v>
      </c>
      <c r="S31" s="10">
        <f>GraphListeria!$B$43*Listeria!I31+GraphListeria!$B$44</f>
        <v>-0.84478245022913789</v>
      </c>
      <c r="U31" s="10">
        <f>GraphListeria!$H$43*Listeria!I31+GraphListeria!$H$44</f>
        <v>-0.90747980270122497</v>
      </c>
    </row>
    <row r="32" spans="1:21" x14ac:dyDescent="0.2">
      <c r="A32" s="1" t="s">
        <v>1440</v>
      </c>
      <c r="B32" s="1" t="s">
        <v>1443</v>
      </c>
      <c r="C32">
        <v>1151</v>
      </c>
      <c r="D32" s="1" t="s">
        <v>42</v>
      </c>
      <c r="E32" s="1" t="s">
        <v>1334</v>
      </c>
      <c r="F32" s="1" t="s">
        <v>603</v>
      </c>
      <c r="G32" s="1"/>
      <c r="I32" s="4">
        <v>68</v>
      </c>
      <c r="J32" s="11">
        <f>7.86/60</f>
        <v>0.13100000000000001</v>
      </c>
      <c r="L32" s="12">
        <f t="shared" si="0"/>
        <v>-0.88272870434423567</v>
      </c>
      <c r="M32" s="11">
        <f>GraphListeria!$B$10-(Listeria!I32-GraphListeria!$B$6)/GraphListeria!$B$5</f>
        <v>-0.7796885728467664</v>
      </c>
      <c r="N32" s="1" t="s">
        <v>606</v>
      </c>
      <c r="O32">
        <v>1998</v>
      </c>
      <c r="S32" s="10">
        <f>GraphListeria!$B$43*Listeria!I32+GraphListeria!$B$44</f>
        <v>-0.72051427792684386</v>
      </c>
      <c r="U32" s="10">
        <f>GraphListeria!$H$43*Listeria!I32+GraphListeria!$H$44</f>
        <v>-0.77968857284676574</v>
      </c>
    </row>
    <row r="33" spans="1:21" x14ac:dyDescent="0.2">
      <c r="A33" s="1" t="s">
        <v>1440</v>
      </c>
      <c r="B33" s="1" t="s">
        <v>1443</v>
      </c>
      <c r="C33" t="s">
        <v>57</v>
      </c>
      <c r="D33" s="1" t="s">
        <v>42</v>
      </c>
      <c r="E33" s="1" t="s">
        <v>1334</v>
      </c>
      <c r="F33" s="1" t="s">
        <v>603</v>
      </c>
      <c r="G33" s="1"/>
      <c r="I33" s="4">
        <v>68</v>
      </c>
      <c r="J33" s="11">
        <f>9.46/60</f>
        <v>0.15766666666666668</v>
      </c>
      <c r="L33" s="12">
        <f t="shared" si="0"/>
        <v>-0.80226011398185082</v>
      </c>
      <c r="M33" s="11">
        <f>GraphListeria!$B$10-(Listeria!I33-GraphListeria!$B$6)/GraphListeria!$B$5</f>
        <v>-0.7796885728467664</v>
      </c>
      <c r="N33" s="1" t="s">
        <v>606</v>
      </c>
      <c r="O33">
        <v>1998</v>
      </c>
      <c r="S33" s="10">
        <f>GraphListeria!$B$43*Listeria!I33+GraphListeria!$B$44</f>
        <v>-0.72051427792684386</v>
      </c>
      <c r="U33" s="10">
        <f>GraphListeria!$H$43*Listeria!I33+GraphListeria!$H$44</f>
        <v>-0.77968857284676574</v>
      </c>
    </row>
    <row r="34" spans="1:21" x14ac:dyDescent="0.2">
      <c r="A34" s="1" t="s">
        <v>1440</v>
      </c>
      <c r="B34" s="1" t="s">
        <v>1443</v>
      </c>
      <c r="C34">
        <v>1151</v>
      </c>
      <c r="D34" s="1" t="s">
        <v>42</v>
      </c>
      <c r="E34" s="1" t="s">
        <v>1334</v>
      </c>
      <c r="F34" s="1" t="s">
        <v>603</v>
      </c>
      <c r="G34" s="1"/>
      <c r="I34" s="4">
        <v>52</v>
      </c>
      <c r="J34" s="11">
        <f>4302.97/60</f>
        <v>71.716166666666666</v>
      </c>
      <c r="K34" s="4">
        <v>5.83</v>
      </c>
      <c r="L34" s="12">
        <f t="shared" ref="L34:L65" si="1">LOG(J34)</f>
        <v>1.855617067839308</v>
      </c>
      <c r="M34" s="11">
        <f>GraphListeria!$B$10-(Listeria!I34-GraphListeria!$B$6)/GraphListeria!$B$5</f>
        <v>1.4921555134547138</v>
      </c>
      <c r="N34" s="1" t="s">
        <v>606</v>
      </c>
      <c r="O34">
        <v>1998</v>
      </c>
      <c r="S34" s="10">
        <f>GraphListeria!$B$43*Listeria!I34+GraphListeria!$B$44</f>
        <v>1.4886976741139497</v>
      </c>
      <c r="U34" s="10">
        <f>GraphListeria!$H$43*Listeria!I34+GraphListeria!$H$44</f>
        <v>1.4921555134547138</v>
      </c>
    </row>
    <row r="35" spans="1:21" x14ac:dyDescent="0.2">
      <c r="A35" s="1" t="s">
        <v>1440</v>
      </c>
      <c r="B35" s="1" t="s">
        <v>1443</v>
      </c>
      <c r="C35" t="s">
        <v>57</v>
      </c>
      <c r="D35" s="1" t="s">
        <v>42</v>
      </c>
      <c r="E35" s="1" t="s">
        <v>1334</v>
      </c>
      <c r="F35" s="1" t="s">
        <v>603</v>
      </c>
      <c r="G35" s="1"/>
      <c r="I35" s="4">
        <v>52</v>
      </c>
      <c r="J35" s="11">
        <f>3483.3/60</f>
        <v>58.055</v>
      </c>
      <c r="K35" s="4">
        <v>6.08</v>
      </c>
      <c r="L35" s="12">
        <f t="shared" si="1"/>
        <v>1.7638396293958254</v>
      </c>
      <c r="M35" s="11">
        <f>GraphListeria!$B$10-(Listeria!I35-GraphListeria!$B$6)/GraphListeria!$B$5</f>
        <v>1.4921555134547138</v>
      </c>
      <c r="N35" s="1" t="s">
        <v>606</v>
      </c>
      <c r="O35">
        <v>1998</v>
      </c>
      <c r="S35" s="10">
        <f>GraphListeria!$B$43*Listeria!I35+GraphListeria!$B$44</f>
        <v>1.4886976741139497</v>
      </c>
      <c r="U35" s="10">
        <f>GraphListeria!$H$43*Listeria!I35+GraphListeria!$H$44</f>
        <v>1.4921555134547138</v>
      </c>
    </row>
    <row r="36" spans="1:21" x14ac:dyDescent="0.2">
      <c r="A36" s="1" t="s">
        <v>1440</v>
      </c>
      <c r="B36" s="1" t="s">
        <v>1443</v>
      </c>
      <c r="C36">
        <v>1151</v>
      </c>
      <c r="D36" s="1" t="s">
        <v>42</v>
      </c>
      <c r="E36" s="1" t="s">
        <v>1334</v>
      </c>
      <c r="F36" s="1" t="s">
        <v>603</v>
      </c>
      <c r="G36" s="1"/>
      <c r="I36" s="4">
        <v>56</v>
      </c>
      <c r="J36" s="11">
        <f>512.63/60</f>
        <v>8.5438333333333336</v>
      </c>
      <c r="K36" s="4">
        <v>5.83</v>
      </c>
      <c r="L36" s="12">
        <f t="shared" si="1"/>
        <v>0.93165276787740758</v>
      </c>
      <c r="M36" s="11">
        <f>GraphListeria!$B$10-(Listeria!I36-GraphListeria!$B$6)/GraphListeria!$B$5</f>
        <v>0.92419449187934366</v>
      </c>
      <c r="N36" s="1" t="s">
        <v>606</v>
      </c>
      <c r="O36">
        <v>1998</v>
      </c>
      <c r="S36" s="10">
        <f>GraphListeria!$B$43*Listeria!I36+GraphListeria!$B$44</f>
        <v>0.93639468610375154</v>
      </c>
      <c r="U36" s="10">
        <f>GraphListeria!$H$43*Listeria!I36+GraphListeria!$H$44</f>
        <v>0.92419449187934344</v>
      </c>
    </row>
    <row r="37" spans="1:21" x14ac:dyDescent="0.2">
      <c r="A37" s="1" t="s">
        <v>1440</v>
      </c>
      <c r="B37" s="1" t="s">
        <v>1443</v>
      </c>
      <c r="C37" t="s">
        <v>57</v>
      </c>
      <c r="D37" s="1" t="s">
        <v>42</v>
      </c>
      <c r="E37" s="1" t="s">
        <v>1334</v>
      </c>
      <c r="F37" s="1" t="s">
        <v>603</v>
      </c>
      <c r="G37" s="1"/>
      <c r="I37" s="4">
        <v>56</v>
      </c>
      <c r="J37" s="11">
        <f>363.55/60</f>
        <v>6.059166666666667</v>
      </c>
      <c r="K37" s="4">
        <v>6.08</v>
      </c>
      <c r="L37" s="12">
        <f t="shared" si="1"/>
        <v>0.78241289859624052</v>
      </c>
      <c r="M37" s="11">
        <f>GraphListeria!$B$10-(Listeria!I37-GraphListeria!$B$6)/GraphListeria!$B$5</f>
        <v>0.92419449187934366</v>
      </c>
      <c r="N37" s="1" t="s">
        <v>606</v>
      </c>
      <c r="O37">
        <v>1998</v>
      </c>
      <c r="S37" s="10">
        <f>GraphListeria!$B$43*Listeria!I37+GraphListeria!$B$44</f>
        <v>0.93639468610375154</v>
      </c>
      <c r="U37" s="10">
        <f>GraphListeria!$H$43*Listeria!I37+GraphListeria!$H$44</f>
        <v>0.92419449187934344</v>
      </c>
    </row>
    <row r="38" spans="1:21" x14ac:dyDescent="0.2">
      <c r="A38" s="1" t="s">
        <v>1440</v>
      </c>
      <c r="B38" s="1" t="s">
        <v>1443</v>
      </c>
      <c r="C38">
        <v>1151</v>
      </c>
      <c r="D38" s="1" t="s">
        <v>42</v>
      </c>
      <c r="E38" s="1" t="s">
        <v>1334</v>
      </c>
      <c r="F38" s="1" t="s">
        <v>603</v>
      </c>
      <c r="G38" s="1"/>
      <c r="I38" s="4">
        <v>60</v>
      </c>
      <c r="J38" s="11">
        <f>60.85/60</f>
        <v>1.0141666666666667</v>
      </c>
      <c r="K38" s="4">
        <v>5.83</v>
      </c>
      <c r="L38" s="12">
        <f t="shared" si="1"/>
        <v>6.1093321824401588E-3</v>
      </c>
      <c r="M38" s="11">
        <f>GraphListeria!$B$10-(Listeria!I38-GraphListeria!$B$6)/GraphListeria!$B$5</f>
        <v>0.35623347030397379</v>
      </c>
      <c r="N38" s="1" t="s">
        <v>606</v>
      </c>
      <c r="O38">
        <v>1998</v>
      </c>
      <c r="S38" s="10">
        <f>GraphListeria!$B$43*Listeria!I38+GraphListeria!$B$44</f>
        <v>0.38409169809355426</v>
      </c>
      <c r="U38" s="10">
        <f>GraphListeria!$H$43*Listeria!I38+GraphListeria!$H$44</f>
        <v>0.35623347030397312</v>
      </c>
    </row>
    <row r="39" spans="1:21" x14ac:dyDescent="0.2">
      <c r="A39" s="1" t="s">
        <v>1440</v>
      </c>
      <c r="B39" s="1" t="s">
        <v>1443</v>
      </c>
      <c r="C39" t="s">
        <v>57</v>
      </c>
      <c r="D39" s="1" t="s">
        <v>42</v>
      </c>
      <c r="E39" s="1" t="s">
        <v>1334</v>
      </c>
      <c r="F39" s="1" t="s">
        <v>603</v>
      </c>
      <c r="G39" s="1"/>
      <c r="I39" s="4">
        <v>60</v>
      </c>
      <c r="J39" s="11">
        <f>38.9/60</f>
        <v>0.64833333333333332</v>
      </c>
      <c r="K39" s="4">
        <v>6.08</v>
      </c>
      <c r="L39" s="12">
        <f t="shared" si="1"/>
        <v>-0.1882016490579359</v>
      </c>
      <c r="M39" s="11">
        <f>GraphListeria!$B$10-(Listeria!I39-GraphListeria!$B$6)/GraphListeria!$B$5</f>
        <v>0.35623347030397379</v>
      </c>
      <c r="N39" s="1" t="s">
        <v>606</v>
      </c>
      <c r="O39">
        <v>1998</v>
      </c>
      <c r="S39" s="10">
        <f>GraphListeria!$B$43*Listeria!I39+GraphListeria!$B$44</f>
        <v>0.38409169809355426</v>
      </c>
      <c r="U39" s="10">
        <f>GraphListeria!$H$43*Listeria!I39+GraphListeria!$H$44</f>
        <v>0.35623347030397312</v>
      </c>
    </row>
    <row r="40" spans="1:21" x14ac:dyDescent="0.2">
      <c r="A40" s="1" t="s">
        <v>1440</v>
      </c>
      <c r="B40" s="1" t="s">
        <v>1443</v>
      </c>
      <c r="C40">
        <v>1151</v>
      </c>
      <c r="D40" s="1" t="s">
        <v>42</v>
      </c>
      <c r="E40" s="1" t="s">
        <v>1334</v>
      </c>
      <c r="F40" s="1" t="s">
        <v>603</v>
      </c>
      <c r="G40" s="1"/>
      <c r="I40" s="4">
        <v>64</v>
      </c>
      <c r="J40" s="11">
        <f>20.48/60</f>
        <v>0.34133333333333332</v>
      </c>
      <c r="K40" s="4">
        <v>5.83</v>
      </c>
      <c r="L40" s="12">
        <f t="shared" si="1"/>
        <v>-0.46682129807985051</v>
      </c>
      <c r="M40" s="11">
        <f>GraphListeria!$B$10-(Listeria!I40-GraphListeria!$B$6)/GraphListeria!$B$5</f>
        <v>-0.21172755127139631</v>
      </c>
      <c r="N40" s="1" t="s">
        <v>606</v>
      </c>
      <c r="O40">
        <v>1998</v>
      </c>
      <c r="S40" s="10">
        <f>GraphListeria!$B$43*Listeria!I40+GraphListeria!$B$44</f>
        <v>-0.1682112899166448</v>
      </c>
      <c r="U40" s="10">
        <f>GraphListeria!$H$43*Listeria!I40+GraphListeria!$H$44</f>
        <v>-0.21172755127139631</v>
      </c>
    </row>
    <row r="41" spans="1:21" x14ac:dyDescent="0.2">
      <c r="A41" s="1" t="s">
        <v>1440</v>
      </c>
      <c r="B41" s="1" t="s">
        <v>1443</v>
      </c>
      <c r="C41" t="s">
        <v>57</v>
      </c>
      <c r="D41" s="1" t="s">
        <v>42</v>
      </c>
      <c r="E41" s="1" t="s">
        <v>1334</v>
      </c>
      <c r="F41" s="1" t="s">
        <v>603</v>
      </c>
      <c r="G41" s="1"/>
      <c r="I41" s="4">
        <v>64</v>
      </c>
      <c r="J41" s="11">
        <f>12.67/60</f>
        <v>0.21116666666666667</v>
      </c>
      <c r="K41" s="4">
        <v>6.08</v>
      </c>
      <c r="L41" s="12">
        <f t="shared" si="1"/>
        <v>-0.67537463550020227</v>
      </c>
      <c r="M41" s="11">
        <f>GraphListeria!$B$10-(Listeria!I41-GraphListeria!$B$6)/GraphListeria!$B$5</f>
        <v>-0.21172755127139631</v>
      </c>
      <c r="N41" s="1" t="s">
        <v>606</v>
      </c>
      <c r="O41">
        <v>1998</v>
      </c>
      <c r="S41" s="10">
        <f>GraphListeria!$B$43*Listeria!I41+GraphListeria!$B$44</f>
        <v>-0.1682112899166448</v>
      </c>
      <c r="U41" s="10">
        <f>GraphListeria!$H$43*Listeria!I41+GraphListeria!$H$44</f>
        <v>-0.21172755127139631</v>
      </c>
    </row>
    <row r="42" spans="1:21" x14ac:dyDescent="0.2">
      <c r="A42" s="1" t="s">
        <v>1440</v>
      </c>
      <c r="B42" s="1" t="s">
        <v>1443</v>
      </c>
      <c r="D42" s="1" t="s">
        <v>42</v>
      </c>
      <c r="E42" t="s">
        <v>12</v>
      </c>
      <c r="F42" t="s">
        <v>1336</v>
      </c>
      <c r="I42" s="4">
        <v>57.2</v>
      </c>
      <c r="J42" s="11">
        <f>4067.7/60/5</f>
        <v>13.559000000000001</v>
      </c>
      <c r="L42" s="12">
        <f t="shared" si="1"/>
        <v>1.1322276607333677</v>
      </c>
      <c r="M42" s="11">
        <f>GraphListeria!$B$10-(Listeria!I42-GraphListeria!$B$6)/GraphListeria!$B$5</f>
        <v>0.75380618540673239</v>
      </c>
      <c r="N42" s="2" t="s">
        <v>852</v>
      </c>
      <c r="O42">
        <v>1987</v>
      </c>
      <c r="P42" t="s">
        <v>853</v>
      </c>
      <c r="S42" s="10">
        <f>GraphListeria!$B$43*Listeria!I42+GraphListeria!$B$44</f>
        <v>0.77070378970069164</v>
      </c>
      <c r="U42" s="10">
        <f>GraphListeria!$H$43*Listeria!I42+GraphListeria!$H$44</f>
        <v>0.75380618540673261</v>
      </c>
    </row>
    <row r="43" spans="1:21" x14ac:dyDescent="0.2">
      <c r="A43" s="1" t="s">
        <v>1440</v>
      </c>
      <c r="B43" s="1" t="s">
        <v>1443</v>
      </c>
      <c r="D43" s="1" t="s">
        <v>42</v>
      </c>
      <c r="E43" t="s">
        <v>12</v>
      </c>
      <c r="F43" t="s">
        <v>1336</v>
      </c>
      <c r="I43" s="4">
        <v>62.8</v>
      </c>
      <c r="J43" s="11">
        <f>1211.4/60/5</f>
        <v>4.0380000000000003</v>
      </c>
      <c r="L43" s="12">
        <f t="shared" si="1"/>
        <v>0.60616631460762049</v>
      </c>
      <c r="M43" s="11">
        <f>GraphListeria!$B$10-(Listeria!I43-GraphListeria!$B$6)/GraphListeria!$B$5</f>
        <v>-4.1339244798784813E-2</v>
      </c>
      <c r="N43" s="2" t="s">
        <v>852</v>
      </c>
      <c r="O43">
        <v>1987</v>
      </c>
      <c r="P43" t="s">
        <v>853</v>
      </c>
      <c r="S43" s="10">
        <f>GraphListeria!$B$43*Listeria!I43+GraphListeria!$B$44</f>
        <v>-2.5203935135849065E-3</v>
      </c>
      <c r="U43" s="10">
        <f>GraphListeria!$H$43*Listeria!I43+GraphListeria!$H$44</f>
        <v>-4.1339244798784591E-2</v>
      </c>
    </row>
    <row r="44" spans="1:21" x14ac:dyDescent="0.2">
      <c r="A44" s="1" t="s">
        <v>1440</v>
      </c>
      <c r="B44" s="1" t="s">
        <v>1443</v>
      </c>
      <c r="D44" s="1" t="s">
        <v>42</v>
      </c>
      <c r="E44" s="1" t="s">
        <v>12</v>
      </c>
      <c r="F44" s="1" t="s">
        <v>1336</v>
      </c>
      <c r="G44" s="1"/>
      <c r="I44" s="4">
        <v>68.3</v>
      </c>
      <c r="J44" s="11">
        <f>231/60/5</f>
        <v>0.77</v>
      </c>
      <c r="L44" s="12">
        <f t="shared" si="1"/>
        <v>-0.11350927482751812</v>
      </c>
      <c r="M44" s="11">
        <f>GraphListeria!$B$10-(Listeria!I44-GraphListeria!$B$6)/GraphListeria!$B$5</f>
        <v>-0.82228564946491867</v>
      </c>
      <c r="N44" s="2" t="s">
        <v>852</v>
      </c>
      <c r="O44">
        <v>1987</v>
      </c>
      <c r="P44" t="s">
        <v>853</v>
      </c>
      <c r="S44" s="10">
        <f>GraphListeria!$B$43*Listeria!I44+GraphListeria!$B$44</f>
        <v>-0.76193700202760795</v>
      </c>
      <c r="U44" s="10">
        <f>GraphListeria!$H$43*Listeria!I44+GraphListeria!$H$44</f>
        <v>-0.82228564946491822</v>
      </c>
    </row>
    <row r="45" spans="1:21" x14ac:dyDescent="0.2">
      <c r="A45" s="1" t="s">
        <v>1440</v>
      </c>
      <c r="B45" s="1" t="s">
        <v>1443</v>
      </c>
      <c r="D45" s="1" t="s">
        <v>42</v>
      </c>
      <c r="E45" s="1" t="s">
        <v>12</v>
      </c>
      <c r="F45" s="1" t="s">
        <v>1336</v>
      </c>
      <c r="G45" s="1"/>
      <c r="I45" s="4">
        <v>73.900000000000006</v>
      </c>
      <c r="J45" s="11">
        <f>31.5/60/5</f>
        <v>0.10500000000000001</v>
      </c>
      <c r="L45" s="12">
        <f t="shared" si="1"/>
        <v>-0.97881070093006184</v>
      </c>
      <c r="M45" s="11">
        <f>GraphListeria!$B$10-(Listeria!I45-GraphListeria!$B$6)/GraphListeria!$B$5</f>
        <v>-1.6174310796704379</v>
      </c>
      <c r="N45" s="2" t="s">
        <v>852</v>
      </c>
      <c r="O45">
        <v>1987</v>
      </c>
      <c r="P45" t="s">
        <v>853</v>
      </c>
      <c r="S45" s="10">
        <f>GraphListeria!$B$43*Listeria!I45+GraphListeria!$B$44</f>
        <v>-1.5351611852418863</v>
      </c>
      <c r="U45" s="10">
        <f>GraphListeria!$H$43*Listeria!I45+GraphListeria!$H$44</f>
        <v>-1.6174310796704372</v>
      </c>
    </row>
    <row r="46" spans="1:21" x14ac:dyDescent="0.2">
      <c r="A46" s="1" t="s">
        <v>1440</v>
      </c>
      <c r="B46" s="1" t="s">
        <v>1443</v>
      </c>
      <c r="D46" s="1" t="s">
        <v>42</v>
      </c>
      <c r="E46" s="1" t="s">
        <v>12</v>
      </c>
      <c r="F46" s="1" t="s">
        <v>1336</v>
      </c>
      <c r="G46" s="1"/>
      <c r="I46" s="4">
        <v>79.400000000000006</v>
      </c>
      <c r="J46" s="11">
        <f>2.6/60/5</f>
        <v>8.6666666666666663E-3</v>
      </c>
      <c r="L46" s="12">
        <f t="shared" si="1"/>
        <v>-2.0621479067488444</v>
      </c>
      <c r="M46" s="11">
        <f>GraphListeria!$B$10-(Listeria!I46-GraphListeria!$B$6)/GraphListeria!$B$5</f>
        <v>-2.3983774843365717</v>
      </c>
      <c r="N46" s="2" t="s">
        <v>852</v>
      </c>
      <c r="O46">
        <v>1987</v>
      </c>
      <c r="P46" t="s">
        <v>853</v>
      </c>
      <c r="S46" s="10">
        <f>GraphListeria!$B$43*Listeria!I46+GraphListeria!$B$44</f>
        <v>-2.2945777937559093</v>
      </c>
      <c r="U46" s="10">
        <f>GraphListeria!$H$43*Listeria!I46+GraphListeria!$H$44</f>
        <v>-2.3983774843365708</v>
      </c>
    </row>
    <row r="47" spans="1:21" x14ac:dyDescent="0.2">
      <c r="A47" s="1" t="s">
        <v>1440</v>
      </c>
      <c r="B47" s="1" t="s">
        <v>1443</v>
      </c>
      <c r="D47" s="1" t="s">
        <v>42</v>
      </c>
      <c r="E47" s="1" t="s">
        <v>12</v>
      </c>
      <c r="F47" s="1" t="s">
        <v>1336</v>
      </c>
      <c r="G47" s="1"/>
      <c r="I47" s="4">
        <v>60</v>
      </c>
      <c r="J47" s="11">
        <f>(5*2.4+2.04)/5</f>
        <v>2.8079999999999998</v>
      </c>
      <c r="L47" s="12">
        <f t="shared" si="1"/>
        <v>0.44839710345776762</v>
      </c>
      <c r="M47" s="11">
        <f>GraphListeria!$B$10-(Listeria!I47-GraphListeria!$B$6)/GraphListeria!$B$5</f>
        <v>0.35623347030397379</v>
      </c>
      <c r="N47" s="1" t="s">
        <v>882</v>
      </c>
      <c r="O47">
        <v>1992</v>
      </c>
      <c r="P47" t="s">
        <v>894</v>
      </c>
      <c r="S47" s="10">
        <f>GraphListeria!$B$43*Listeria!I47+GraphListeria!$B$44</f>
        <v>0.38409169809355426</v>
      </c>
      <c r="U47" s="10">
        <f>GraphListeria!$H$43*Listeria!I47+GraphListeria!$H$44</f>
        <v>0.35623347030397312</v>
      </c>
    </row>
    <row r="48" spans="1:21" x14ac:dyDescent="0.2">
      <c r="A48" s="1" t="s">
        <v>1440</v>
      </c>
      <c r="B48" s="1" t="s">
        <v>1443</v>
      </c>
      <c r="D48" s="1" t="s">
        <v>42</v>
      </c>
      <c r="E48" s="1" t="s">
        <v>12</v>
      </c>
      <c r="F48" s="1" t="s">
        <v>1336</v>
      </c>
      <c r="G48" s="1"/>
      <c r="I48" s="4">
        <v>60</v>
      </c>
      <c r="J48" s="11">
        <f>(5*2.21+4.49)/5</f>
        <v>3.1080000000000001</v>
      </c>
      <c r="L48" s="12">
        <f t="shared" si="1"/>
        <v>0.49248101012887668</v>
      </c>
      <c r="M48" s="11">
        <f>GraphListeria!$B$10-(Listeria!I48-GraphListeria!$B$6)/GraphListeria!$B$5</f>
        <v>0.35623347030397379</v>
      </c>
      <c r="N48" s="1" t="s">
        <v>882</v>
      </c>
      <c r="O48">
        <v>1992</v>
      </c>
      <c r="P48" t="s">
        <v>894</v>
      </c>
      <c r="S48" s="10">
        <f>GraphListeria!$B$43*Listeria!I48+GraphListeria!$B$44</f>
        <v>0.38409169809355426</v>
      </c>
      <c r="U48" s="10">
        <f>GraphListeria!$H$43*Listeria!I48+GraphListeria!$H$44</f>
        <v>0.35623347030397312</v>
      </c>
    </row>
    <row r="49" spans="1:21" x14ac:dyDescent="0.2">
      <c r="A49" s="1" t="s">
        <v>1440</v>
      </c>
      <c r="B49" s="1" t="s">
        <v>1443</v>
      </c>
      <c r="D49" s="1" t="s">
        <v>42</v>
      </c>
      <c r="E49" s="1" t="s">
        <v>12</v>
      </c>
      <c r="F49" s="1" t="s">
        <v>1336</v>
      </c>
      <c r="G49" s="1"/>
      <c r="I49" s="4">
        <v>60</v>
      </c>
      <c r="J49" s="11">
        <f>(5*2.97+4.6)/5</f>
        <v>3.8900000000000006</v>
      </c>
      <c r="L49" s="12">
        <f t="shared" si="1"/>
        <v>0.58994960132570784</v>
      </c>
      <c r="M49" s="11">
        <f>GraphListeria!$B$10-(Listeria!I49-GraphListeria!$B$6)/GraphListeria!$B$5</f>
        <v>0.35623347030397379</v>
      </c>
      <c r="N49" s="1" t="s">
        <v>882</v>
      </c>
      <c r="O49">
        <v>1992</v>
      </c>
      <c r="P49" t="s">
        <v>894</v>
      </c>
      <c r="S49" s="10">
        <f>GraphListeria!$B$43*Listeria!I49+GraphListeria!$B$44</f>
        <v>0.38409169809355426</v>
      </c>
      <c r="U49" s="10">
        <f>GraphListeria!$H$43*Listeria!I49+GraphListeria!$H$44</f>
        <v>0.35623347030397312</v>
      </c>
    </row>
    <row r="50" spans="1:21" x14ac:dyDescent="0.2">
      <c r="A50" s="1" t="s">
        <v>1440</v>
      </c>
      <c r="B50" s="1" t="s">
        <v>1443</v>
      </c>
      <c r="D50" s="1" t="s">
        <v>42</v>
      </c>
      <c r="E50" s="1" t="s">
        <v>12</v>
      </c>
      <c r="F50" s="1" t="s">
        <v>1336</v>
      </c>
      <c r="G50" s="1"/>
      <c r="I50" s="4">
        <v>60</v>
      </c>
      <c r="J50" s="11">
        <f>(5*3.73+4.6)/5</f>
        <v>4.6500000000000004</v>
      </c>
      <c r="L50" s="12">
        <f t="shared" si="1"/>
        <v>0.66745295288995399</v>
      </c>
      <c r="M50" s="11">
        <f>GraphListeria!$B$10-(Listeria!I50-GraphListeria!$B$6)/GraphListeria!$B$5</f>
        <v>0.35623347030397379</v>
      </c>
      <c r="N50" s="1" t="s">
        <v>882</v>
      </c>
      <c r="O50">
        <v>1992</v>
      </c>
      <c r="P50" t="s">
        <v>894</v>
      </c>
      <c r="S50" s="10">
        <f>GraphListeria!$B$43*Listeria!I50+GraphListeria!$B$44</f>
        <v>0.38409169809355426</v>
      </c>
      <c r="U50" s="10">
        <f>GraphListeria!$H$43*Listeria!I50+GraphListeria!$H$44</f>
        <v>0.35623347030397312</v>
      </c>
    </row>
    <row r="51" spans="1:21" x14ac:dyDescent="0.2">
      <c r="A51" s="1" t="s">
        <v>1440</v>
      </c>
      <c r="B51" s="1" t="s">
        <v>1443</v>
      </c>
      <c r="D51" s="1" t="s">
        <v>42</v>
      </c>
      <c r="E51" s="1" t="s">
        <v>12</v>
      </c>
      <c r="F51" s="1" t="s">
        <v>1336</v>
      </c>
      <c r="G51" s="1"/>
      <c r="I51" s="4">
        <v>60</v>
      </c>
      <c r="J51" s="11">
        <f>(5*2.41+5.24)/5</f>
        <v>3.4579999999999997</v>
      </c>
      <c r="L51" s="12">
        <f t="shared" si="1"/>
        <v>0.53882498893790376</v>
      </c>
      <c r="M51" s="11">
        <f>GraphListeria!$B$10-(Listeria!I51-GraphListeria!$B$6)/GraphListeria!$B$5</f>
        <v>0.35623347030397379</v>
      </c>
      <c r="N51" s="1" t="s">
        <v>882</v>
      </c>
      <c r="O51">
        <v>1992</v>
      </c>
      <c r="P51" t="s">
        <v>894</v>
      </c>
      <c r="S51" s="10">
        <f>GraphListeria!$B$43*Listeria!I51+GraphListeria!$B$44</f>
        <v>0.38409169809355426</v>
      </c>
      <c r="U51" s="10">
        <f>GraphListeria!$H$43*Listeria!I51+GraphListeria!$H$44</f>
        <v>0.35623347030397312</v>
      </c>
    </row>
    <row r="52" spans="1:21" x14ac:dyDescent="0.2">
      <c r="A52" s="1" t="s">
        <v>1440</v>
      </c>
      <c r="B52" s="1" t="s">
        <v>1443</v>
      </c>
      <c r="D52" s="1" t="s">
        <v>42</v>
      </c>
      <c r="E52" s="1" t="s">
        <v>12</v>
      </c>
      <c r="F52" s="1" t="s">
        <v>1336</v>
      </c>
      <c r="G52" s="1"/>
      <c r="I52" s="4">
        <v>60</v>
      </c>
      <c r="J52" s="11">
        <f>(5*2.74+4.35)/5</f>
        <v>3.6100000000000003</v>
      </c>
      <c r="L52" s="12">
        <f t="shared" si="1"/>
        <v>0.55750720190565795</v>
      </c>
      <c r="M52" s="11">
        <f>GraphListeria!$B$10-(Listeria!I52-GraphListeria!$B$6)/GraphListeria!$B$5</f>
        <v>0.35623347030397379</v>
      </c>
      <c r="N52" s="1" t="s">
        <v>882</v>
      </c>
      <c r="O52">
        <v>1992</v>
      </c>
      <c r="P52" t="s">
        <v>894</v>
      </c>
      <c r="S52" s="10">
        <f>GraphListeria!$B$43*Listeria!I52+GraphListeria!$B$44</f>
        <v>0.38409169809355426</v>
      </c>
      <c r="U52" s="10">
        <f>GraphListeria!$H$43*Listeria!I52+GraphListeria!$H$44</f>
        <v>0.35623347030397312</v>
      </c>
    </row>
    <row r="53" spans="1:21" x14ac:dyDescent="0.2">
      <c r="A53" s="1" t="s">
        <v>1440</v>
      </c>
      <c r="B53" s="1" t="s">
        <v>1443</v>
      </c>
      <c r="D53" s="1" t="s">
        <v>42</v>
      </c>
      <c r="E53" s="1" t="s">
        <v>12</v>
      </c>
      <c r="F53" s="1" t="s">
        <v>1336</v>
      </c>
      <c r="G53" s="1"/>
      <c r="I53" s="4">
        <v>60</v>
      </c>
      <c r="J53" s="11">
        <f>(5*2.13+4.7)/5</f>
        <v>3.0699999999999994</v>
      </c>
      <c r="L53" s="12">
        <f t="shared" si="1"/>
        <v>0.48713837547718641</v>
      </c>
      <c r="M53" s="11">
        <f>GraphListeria!$B$10-(Listeria!I53-GraphListeria!$B$6)/GraphListeria!$B$5</f>
        <v>0.35623347030397379</v>
      </c>
      <c r="N53" s="1" t="s">
        <v>882</v>
      </c>
      <c r="O53">
        <v>1992</v>
      </c>
      <c r="P53" t="s">
        <v>894</v>
      </c>
      <c r="S53" s="10">
        <f>GraphListeria!$B$43*Listeria!I53+GraphListeria!$B$44</f>
        <v>0.38409169809355426</v>
      </c>
      <c r="U53" s="10">
        <f>GraphListeria!$H$43*Listeria!I53+GraphListeria!$H$44</f>
        <v>0.35623347030397312</v>
      </c>
    </row>
    <row r="54" spans="1:21" x14ac:dyDescent="0.2">
      <c r="A54" s="1" t="s">
        <v>1440</v>
      </c>
      <c r="B54" s="1" t="s">
        <v>1443</v>
      </c>
      <c r="D54" s="1" t="s">
        <v>42</v>
      </c>
      <c r="E54" s="1" t="s">
        <v>12</v>
      </c>
      <c r="F54" s="1" t="s">
        <v>1336</v>
      </c>
      <c r="G54" s="1"/>
      <c r="I54" s="4">
        <v>60</v>
      </c>
      <c r="J54" s="11">
        <f>(5*4.79+3.78)/5</f>
        <v>5.5460000000000003</v>
      </c>
      <c r="L54" s="12">
        <f t="shared" si="1"/>
        <v>0.7439798652418429</v>
      </c>
      <c r="M54" s="11">
        <f>GraphListeria!$B$10-(Listeria!I54-GraphListeria!$B$6)/GraphListeria!$B$5</f>
        <v>0.35623347030397379</v>
      </c>
      <c r="N54" s="1" t="s">
        <v>882</v>
      </c>
      <c r="O54">
        <v>1992</v>
      </c>
      <c r="P54" t="s">
        <v>894</v>
      </c>
      <c r="S54" s="10">
        <f>GraphListeria!$B$43*Listeria!I54+GraphListeria!$B$44</f>
        <v>0.38409169809355426</v>
      </c>
      <c r="U54" s="10">
        <f>GraphListeria!$H$43*Listeria!I54+GraphListeria!$H$44</f>
        <v>0.35623347030397312</v>
      </c>
    </row>
    <row r="55" spans="1:21" x14ac:dyDescent="0.2">
      <c r="A55" s="1" t="s">
        <v>1440</v>
      </c>
      <c r="B55" s="1" t="s">
        <v>1443</v>
      </c>
      <c r="D55" s="1" t="s">
        <v>42</v>
      </c>
      <c r="E55" s="1" t="s">
        <v>12</v>
      </c>
      <c r="F55" s="1" t="s">
        <v>1336</v>
      </c>
      <c r="G55" s="1"/>
      <c r="I55" s="4">
        <v>60</v>
      </c>
      <c r="J55" s="11">
        <f>(5*2.53+4.84)/5</f>
        <v>3.4979999999999998</v>
      </c>
      <c r="L55" s="12">
        <f t="shared" si="1"/>
        <v>0.54381980514265771</v>
      </c>
      <c r="M55" s="11">
        <f>GraphListeria!$B$10-(Listeria!I55-GraphListeria!$B$6)/GraphListeria!$B$5</f>
        <v>0.35623347030397379</v>
      </c>
      <c r="N55" s="1" t="s">
        <v>882</v>
      </c>
      <c r="O55">
        <v>1992</v>
      </c>
      <c r="P55" t="s">
        <v>894</v>
      </c>
      <c r="S55" s="10">
        <f>GraphListeria!$B$43*Listeria!I55+GraphListeria!$B$44</f>
        <v>0.38409169809355426</v>
      </c>
      <c r="U55" s="10">
        <f>GraphListeria!$H$43*Listeria!I55+GraphListeria!$H$44</f>
        <v>0.35623347030397312</v>
      </c>
    </row>
    <row r="56" spans="1:21" x14ac:dyDescent="0.2">
      <c r="A56" s="1" t="s">
        <v>1440</v>
      </c>
      <c r="B56" s="1" t="s">
        <v>1443</v>
      </c>
      <c r="C56" t="s">
        <v>427</v>
      </c>
      <c r="D56" s="1" t="s">
        <v>42</v>
      </c>
      <c r="E56" s="1" t="s">
        <v>1240</v>
      </c>
      <c r="F56" s="1" t="s">
        <v>705</v>
      </c>
      <c r="G56" s="1"/>
      <c r="I56" s="4">
        <v>62.7</v>
      </c>
      <c r="J56" s="11">
        <v>0.9</v>
      </c>
      <c r="L56" s="12">
        <f t="shared" si="1"/>
        <v>-4.5757490560675115E-2</v>
      </c>
      <c r="M56" s="11">
        <f>GraphListeria!$B$10-(Listeria!I56-GraphListeria!$B$6)/GraphListeria!$B$5</f>
        <v>-2.7140219259401466E-2</v>
      </c>
      <c r="N56" s="1" t="s">
        <v>706</v>
      </c>
      <c r="O56">
        <v>1986</v>
      </c>
      <c r="S56" s="10">
        <f>GraphListeria!$B$43*Listeria!I56+GraphListeria!$B$44</f>
        <v>1.1287181186668604E-2</v>
      </c>
      <c r="U56" s="10">
        <f>GraphListeria!$H$43*Listeria!I56+GraphListeria!$H$44</f>
        <v>-2.7140219259401022E-2</v>
      </c>
    </row>
    <row r="57" spans="1:21" x14ac:dyDescent="0.2">
      <c r="A57" s="1" t="s">
        <v>1440</v>
      </c>
      <c r="B57" s="1" t="s">
        <v>1443</v>
      </c>
      <c r="C57" t="s">
        <v>57</v>
      </c>
      <c r="D57" s="1" t="s">
        <v>42</v>
      </c>
      <c r="E57" s="1" t="s">
        <v>1240</v>
      </c>
      <c r="F57" s="1" t="s">
        <v>591</v>
      </c>
      <c r="G57" s="1"/>
      <c r="H57" s="4">
        <v>5</v>
      </c>
      <c r="I57" s="4">
        <v>55</v>
      </c>
      <c r="J57" s="11">
        <f>76/4</f>
        <v>19</v>
      </c>
      <c r="L57" s="12">
        <f t="shared" si="1"/>
        <v>1.2787536009528289</v>
      </c>
      <c r="M57" s="11">
        <f>GraphListeria!$B$10-(Listeria!I57-GraphListeria!$B$6)/GraphListeria!$B$5</f>
        <v>1.0661847472731862</v>
      </c>
      <c r="N57" s="1" t="s">
        <v>592</v>
      </c>
      <c r="O57">
        <v>1999</v>
      </c>
      <c r="S57" s="10">
        <f>GraphListeria!$B$43*Listeria!I57+GraphListeria!$B$44</f>
        <v>1.0744704331063017</v>
      </c>
      <c r="U57" s="10">
        <f>GraphListeria!$H$43*Listeria!I57+GraphListeria!$H$44</f>
        <v>1.0661847472731862</v>
      </c>
    </row>
    <row r="58" spans="1:21" x14ac:dyDescent="0.2">
      <c r="A58" s="1" t="s">
        <v>1440</v>
      </c>
      <c r="B58" s="1" t="s">
        <v>1443</v>
      </c>
      <c r="C58" t="s">
        <v>57</v>
      </c>
      <c r="D58" s="1" t="s">
        <v>42</v>
      </c>
      <c r="E58" s="1" t="s">
        <v>1240</v>
      </c>
      <c r="F58" s="1" t="s">
        <v>591</v>
      </c>
      <c r="G58" s="1"/>
      <c r="H58" s="4">
        <v>6</v>
      </c>
      <c r="I58" s="4">
        <v>55</v>
      </c>
      <c r="J58" s="11">
        <f>318/4</f>
        <v>79.5</v>
      </c>
      <c r="L58" s="12">
        <f t="shared" si="1"/>
        <v>1.9003671286564703</v>
      </c>
      <c r="M58" s="11">
        <f>GraphListeria!$B$10-(Listeria!I58-GraphListeria!$B$6)/GraphListeria!$B$5</f>
        <v>1.0661847472731862</v>
      </c>
      <c r="N58" s="1" t="s">
        <v>592</v>
      </c>
      <c r="O58">
        <v>1999</v>
      </c>
      <c r="S58" s="10">
        <f>GraphListeria!$B$43*Listeria!I58+GraphListeria!$B$44</f>
        <v>1.0744704331063017</v>
      </c>
      <c r="U58" s="10">
        <f>GraphListeria!$H$43*Listeria!I58+GraphListeria!$H$44</f>
        <v>1.0661847472731862</v>
      </c>
    </row>
    <row r="59" spans="1:21" x14ac:dyDescent="0.2">
      <c r="A59" s="1" t="s">
        <v>1440</v>
      </c>
      <c r="B59" s="1" t="s">
        <v>1443</v>
      </c>
      <c r="C59" t="s">
        <v>57</v>
      </c>
      <c r="D59" s="1" t="s">
        <v>42</v>
      </c>
      <c r="E59" s="1" t="s">
        <v>1240</v>
      </c>
      <c r="F59" s="1" t="s">
        <v>591</v>
      </c>
      <c r="G59" s="1"/>
      <c r="H59" s="4">
        <v>7</v>
      </c>
      <c r="I59" s="4">
        <v>55</v>
      </c>
      <c r="J59" s="11">
        <f>310/4</f>
        <v>77.5</v>
      </c>
      <c r="L59" s="12">
        <f t="shared" si="1"/>
        <v>1.8893017025063104</v>
      </c>
      <c r="M59" s="11">
        <f>GraphListeria!$B$10-(Listeria!I59-GraphListeria!$B$6)/GraphListeria!$B$5</f>
        <v>1.0661847472731862</v>
      </c>
      <c r="N59" s="1" t="s">
        <v>592</v>
      </c>
      <c r="O59">
        <v>1999</v>
      </c>
      <c r="S59" s="10">
        <f>GraphListeria!$B$43*Listeria!I59+GraphListeria!$B$44</f>
        <v>1.0744704331063017</v>
      </c>
      <c r="U59" s="10">
        <f>GraphListeria!$H$43*Listeria!I59+GraphListeria!$H$44</f>
        <v>1.0661847472731862</v>
      </c>
    </row>
    <row r="60" spans="1:21" x14ac:dyDescent="0.2">
      <c r="A60" s="1" t="s">
        <v>1440</v>
      </c>
      <c r="B60" s="1" t="s">
        <v>1443</v>
      </c>
      <c r="C60" t="s">
        <v>57</v>
      </c>
      <c r="D60" s="1" t="s">
        <v>42</v>
      </c>
      <c r="E60" s="1" t="s">
        <v>1240</v>
      </c>
      <c r="F60" s="1" t="s">
        <v>591</v>
      </c>
      <c r="G60" s="1"/>
      <c r="H60" s="4">
        <v>5</v>
      </c>
      <c r="I60" s="4">
        <v>60</v>
      </c>
      <c r="J60" s="11">
        <f>9.6/4</f>
        <v>2.4</v>
      </c>
      <c r="L60" s="12">
        <f t="shared" si="1"/>
        <v>0.38021124171160603</v>
      </c>
      <c r="M60" s="11">
        <f>GraphListeria!$B$10-(Listeria!I60-GraphListeria!$B$6)/GraphListeria!$B$5</f>
        <v>0.35623347030397379</v>
      </c>
      <c r="N60" s="1" t="s">
        <v>592</v>
      </c>
      <c r="O60">
        <v>1999</v>
      </c>
      <c r="S60" s="10">
        <f>GraphListeria!$B$43*Listeria!I60+GraphListeria!$B$44</f>
        <v>0.38409169809355426</v>
      </c>
      <c r="U60" s="10">
        <f>GraphListeria!$H$43*Listeria!I60+GraphListeria!$H$44</f>
        <v>0.35623347030397312</v>
      </c>
    </row>
    <row r="61" spans="1:21" x14ac:dyDescent="0.2">
      <c r="A61" s="1" t="s">
        <v>1440</v>
      </c>
      <c r="B61" s="1" t="s">
        <v>1443</v>
      </c>
      <c r="C61" t="s">
        <v>57</v>
      </c>
      <c r="D61" s="1" t="s">
        <v>42</v>
      </c>
      <c r="E61" s="1" t="s">
        <v>1240</v>
      </c>
      <c r="F61" s="1" t="s">
        <v>591</v>
      </c>
      <c r="G61" s="1"/>
      <c r="H61" s="4">
        <v>6</v>
      </c>
      <c r="I61" s="4">
        <v>60</v>
      </c>
      <c r="J61" s="11">
        <f>9.7/4</f>
        <v>2.4249999999999998</v>
      </c>
      <c r="L61" s="12">
        <f t="shared" si="1"/>
        <v>0.38471174293828242</v>
      </c>
      <c r="M61" s="11">
        <f>GraphListeria!$B$10-(Listeria!I61-GraphListeria!$B$6)/GraphListeria!$B$5</f>
        <v>0.35623347030397379</v>
      </c>
      <c r="N61" s="1" t="s">
        <v>592</v>
      </c>
      <c r="O61">
        <v>1999</v>
      </c>
      <c r="S61" s="10">
        <f>GraphListeria!$B$43*Listeria!I61+GraphListeria!$B$44</f>
        <v>0.38409169809355426</v>
      </c>
      <c r="U61" s="10">
        <f>GraphListeria!$H$43*Listeria!I61+GraphListeria!$H$44</f>
        <v>0.35623347030397312</v>
      </c>
    </row>
    <row r="62" spans="1:21" x14ac:dyDescent="0.2">
      <c r="A62" s="1" t="s">
        <v>1440</v>
      </c>
      <c r="B62" s="1" t="s">
        <v>1443</v>
      </c>
      <c r="C62" t="s">
        <v>57</v>
      </c>
      <c r="D62" s="1" t="s">
        <v>42</v>
      </c>
      <c r="E62" s="1" t="s">
        <v>1240</v>
      </c>
      <c r="F62" s="1" t="s">
        <v>591</v>
      </c>
      <c r="G62" s="1"/>
      <c r="H62" s="4">
        <v>7</v>
      </c>
      <c r="I62" s="4">
        <v>60</v>
      </c>
      <c r="J62" s="11">
        <f>11.9/4</f>
        <v>2.9750000000000001</v>
      </c>
      <c r="L62" s="12">
        <f t="shared" si="1"/>
        <v>0.47348697006456836</v>
      </c>
      <c r="M62" s="11">
        <f>GraphListeria!$B$10-(Listeria!I62-GraphListeria!$B$6)/GraphListeria!$B$5</f>
        <v>0.35623347030397379</v>
      </c>
      <c r="N62" s="1" t="s">
        <v>592</v>
      </c>
      <c r="O62">
        <v>1999</v>
      </c>
      <c r="S62" s="10">
        <f>GraphListeria!$B$43*Listeria!I62+GraphListeria!$B$44</f>
        <v>0.38409169809355426</v>
      </c>
      <c r="U62" s="10">
        <f>GraphListeria!$H$43*Listeria!I62+GraphListeria!$H$44</f>
        <v>0.35623347030397312</v>
      </c>
    </row>
    <row r="63" spans="1:21" x14ac:dyDescent="0.2">
      <c r="A63" s="1" t="s">
        <v>1440</v>
      </c>
      <c r="B63" s="1" t="s">
        <v>1443</v>
      </c>
      <c r="C63" t="s">
        <v>57</v>
      </c>
      <c r="D63" s="1" t="s">
        <v>42</v>
      </c>
      <c r="E63" s="1" t="s">
        <v>1240</v>
      </c>
      <c r="F63" s="1" t="s">
        <v>591</v>
      </c>
      <c r="G63" s="1"/>
      <c r="H63" s="4">
        <v>5</v>
      </c>
      <c r="I63" s="4">
        <v>65</v>
      </c>
      <c r="J63" s="11">
        <f>1.3/4</f>
        <v>0.32500000000000001</v>
      </c>
      <c r="L63" s="12">
        <f t="shared" si="1"/>
        <v>-0.48811663902112562</v>
      </c>
      <c r="M63" s="11">
        <f>GraphListeria!$B$10-(Listeria!I63-GraphListeria!$B$6)/GraphListeria!$B$5</f>
        <v>-0.35371780666523878</v>
      </c>
      <c r="N63" s="1" t="s">
        <v>592</v>
      </c>
      <c r="O63">
        <v>1999</v>
      </c>
      <c r="S63" s="10">
        <f>GraphListeria!$B$43*Listeria!I63+GraphListeria!$B$44</f>
        <v>-0.30628703691919412</v>
      </c>
      <c r="U63" s="10">
        <f>GraphListeria!$H$43*Listeria!I63+GraphListeria!$H$44</f>
        <v>-0.35371780666523911</v>
      </c>
    </row>
    <row r="64" spans="1:21" x14ac:dyDescent="0.2">
      <c r="A64" s="1" t="s">
        <v>1440</v>
      </c>
      <c r="B64" s="1" t="s">
        <v>1443</v>
      </c>
      <c r="C64" t="s">
        <v>57</v>
      </c>
      <c r="D64" s="1" t="s">
        <v>42</v>
      </c>
      <c r="E64" s="1" t="s">
        <v>1240</v>
      </c>
      <c r="F64" s="1" t="s">
        <v>591</v>
      </c>
      <c r="G64" s="1"/>
      <c r="H64" s="4">
        <v>6</v>
      </c>
      <c r="I64" s="4">
        <v>65</v>
      </c>
      <c r="J64" s="11">
        <f>1.6/4</f>
        <v>0.4</v>
      </c>
      <c r="L64" s="12">
        <f t="shared" si="1"/>
        <v>-0.3979400086720376</v>
      </c>
      <c r="M64" s="11">
        <f>GraphListeria!$B$10-(Listeria!I64-GraphListeria!$B$6)/GraphListeria!$B$5</f>
        <v>-0.35371780666523878</v>
      </c>
      <c r="N64" s="1" t="s">
        <v>592</v>
      </c>
      <c r="O64">
        <v>1999</v>
      </c>
      <c r="S64" s="10">
        <f>GraphListeria!$B$43*Listeria!I64+GraphListeria!$B$44</f>
        <v>-0.30628703691919412</v>
      </c>
      <c r="U64" s="10">
        <f>GraphListeria!$H$43*Listeria!I64+GraphListeria!$H$44</f>
        <v>-0.35371780666523911</v>
      </c>
    </row>
    <row r="65" spans="1:21" x14ac:dyDescent="0.2">
      <c r="A65" s="1" t="s">
        <v>1440</v>
      </c>
      <c r="B65" s="1" t="s">
        <v>1443</v>
      </c>
      <c r="C65" t="s">
        <v>57</v>
      </c>
      <c r="D65" s="1" t="s">
        <v>42</v>
      </c>
      <c r="E65" s="1" t="s">
        <v>1240</v>
      </c>
      <c r="F65" s="1" t="s">
        <v>591</v>
      </c>
      <c r="G65" s="1"/>
      <c r="H65" s="4">
        <v>7</v>
      </c>
      <c r="I65" s="4">
        <v>65</v>
      </c>
      <c r="J65" s="11">
        <f>1.6/4</f>
        <v>0.4</v>
      </c>
      <c r="L65" s="12">
        <f t="shared" si="1"/>
        <v>-0.3979400086720376</v>
      </c>
      <c r="M65" s="11">
        <f>GraphListeria!$B$10-(Listeria!I65-GraphListeria!$B$6)/GraphListeria!$B$5</f>
        <v>-0.35371780666523878</v>
      </c>
      <c r="N65" s="1" t="s">
        <v>592</v>
      </c>
      <c r="O65">
        <v>1999</v>
      </c>
      <c r="S65" s="10">
        <f>GraphListeria!$B$43*Listeria!I65+GraphListeria!$B$44</f>
        <v>-0.30628703691919412</v>
      </c>
      <c r="U65" s="10">
        <f>GraphListeria!$H$43*Listeria!I65+GraphListeria!$H$44</f>
        <v>-0.35371780666523911</v>
      </c>
    </row>
    <row r="66" spans="1:21" x14ac:dyDescent="0.2">
      <c r="A66" s="1" t="s">
        <v>1440</v>
      </c>
      <c r="B66" s="1" t="s">
        <v>1443</v>
      </c>
      <c r="C66" t="s">
        <v>57</v>
      </c>
      <c r="D66" s="1" t="s">
        <v>42</v>
      </c>
      <c r="E66" s="1" t="s">
        <v>1240</v>
      </c>
      <c r="F66" s="1" t="s">
        <v>1441</v>
      </c>
      <c r="G66" s="19"/>
      <c r="H66" s="4">
        <v>5</v>
      </c>
      <c r="I66" s="4">
        <v>55</v>
      </c>
      <c r="J66" s="11">
        <f>73/4</f>
        <v>18.25</v>
      </c>
      <c r="L66" s="12">
        <f t="shared" ref="L66:L129" si="2">LOG(J66)</f>
        <v>1.2612628687924936</v>
      </c>
      <c r="M66" s="11">
        <f>GraphListeria!$B$10-(Listeria!I66-GraphListeria!$B$6)/GraphListeria!$B$5</f>
        <v>1.0661847472731862</v>
      </c>
      <c r="N66" s="1" t="s">
        <v>592</v>
      </c>
      <c r="O66">
        <v>1999</v>
      </c>
      <c r="S66" s="10">
        <f>GraphListeria!$B$43*Listeria!I66+GraphListeria!$B$44</f>
        <v>1.0744704331063017</v>
      </c>
      <c r="U66" s="10">
        <f>GraphListeria!$H$43*Listeria!I66+GraphListeria!$H$44</f>
        <v>1.0661847472731862</v>
      </c>
    </row>
    <row r="67" spans="1:21" x14ac:dyDescent="0.2">
      <c r="A67" s="1" t="s">
        <v>1440</v>
      </c>
      <c r="B67" s="1" t="s">
        <v>1443</v>
      </c>
      <c r="C67" t="s">
        <v>57</v>
      </c>
      <c r="D67" s="1" t="s">
        <v>42</v>
      </c>
      <c r="E67" s="1" t="s">
        <v>1240</v>
      </c>
      <c r="F67" s="1" t="s">
        <v>1441</v>
      </c>
      <c r="G67" s="19"/>
      <c r="H67" s="4">
        <v>6</v>
      </c>
      <c r="I67" s="4">
        <v>55</v>
      </c>
      <c r="J67" s="11">
        <f>331/4</f>
        <v>82.75</v>
      </c>
      <c r="L67" s="12">
        <f t="shared" si="2"/>
        <v>1.9177680024477564</v>
      </c>
      <c r="M67" s="11">
        <f>GraphListeria!$B$10-(Listeria!I67-GraphListeria!$B$6)/GraphListeria!$B$5</f>
        <v>1.0661847472731862</v>
      </c>
      <c r="N67" s="1" t="s">
        <v>592</v>
      </c>
      <c r="O67">
        <v>1999</v>
      </c>
      <c r="S67" s="10">
        <f>GraphListeria!$B$43*Listeria!I67+GraphListeria!$B$44</f>
        <v>1.0744704331063017</v>
      </c>
      <c r="U67" s="10">
        <f>GraphListeria!$H$43*Listeria!I67+GraphListeria!$H$44</f>
        <v>1.0661847472731862</v>
      </c>
    </row>
    <row r="68" spans="1:21" x14ac:dyDescent="0.2">
      <c r="A68" s="1" t="s">
        <v>1440</v>
      </c>
      <c r="B68" s="1" t="s">
        <v>1443</v>
      </c>
      <c r="C68" t="s">
        <v>57</v>
      </c>
      <c r="D68" s="1" t="s">
        <v>42</v>
      </c>
      <c r="E68" s="1" t="s">
        <v>1240</v>
      </c>
      <c r="F68" s="1" t="s">
        <v>1441</v>
      </c>
      <c r="G68" s="19"/>
      <c r="H68" s="4">
        <v>7</v>
      </c>
      <c r="I68" s="4">
        <v>55</v>
      </c>
      <c r="J68" s="11">
        <f>328/4</f>
        <v>82</v>
      </c>
      <c r="L68" s="12">
        <f t="shared" si="2"/>
        <v>1.9138138523837167</v>
      </c>
      <c r="M68" s="11">
        <f>GraphListeria!$B$10-(Listeria!I68-GraphListeria!$B$6)/GraphListeria!$B$5</f>
        <v>1.0661847472731862</v>
      </c>
      <c r="N68" s="1" t="s">
        <v>592</v>
      </c>
      <c r="O68">
        <v>1999</v>
      </c>
      <c r="S68" s="10">
        <f>GraphListeria!$B$43*Listeria!I68+GraphListeria!$B$44</f>
        <v>1.0744704331063017</v>
      </c>
      <c r="U68" s="10">
        <f>GraphListeria!$H$43*Listeria!I68+GraphListeria!$H$44</f>
        <v>1.0661847472731862</v>
      </c>
    </row>
    <row r="69" spans="1:21" x14ac:dyDescent="0.2">
      <c r="A69" s="1" t="s">
        <v>1440</v>
      </c>
      <c r="B69" s="1" t="s">
        <v>1443</v>
      </c>
      <c r="C69" t="s">
        <v>57</v>
      </c>
      <c r="D69" s="1" t="s">
        <v>42</v>
      </c>
      <c r="E69" s="1" t="s">
        <v>1240</v>
      </c>
      <c r="F69" s="1" t="s">
        <v>1441</v>
      </c>
      <c r="G69" s="19"/>
      <c r="H69" s="4">
        <v>5</v>
      </c>
      <c r="I69" s="4">
        <v>60</v>
      </c>
      <c r="J69" s="11">
        <f>10.3/4</f>
        <v>2.5750000000000002</v>
      </c>
      <c r="L69" s="12">
        <f t="shared" si="2"/>
        <v>0.41077723337720984</v>
      </c>
      <c r="M69" s="11">
        <f>GraphListeria!$B$10-(Listeria!I69-GraphListeria!$B$6)/GraphListeria!$B$5</f>
        <v>0.35623347030397379</v>
      </c>
      <c r="N69" s="1" t="s">
        <v>592</v>
      </c>
      <c r="O69">
        <v>1999</v>
      </c>
      <c r="S69" s="10">
        <f>GraphListeria!$B$43*Listeria!I69+GraphListeria!$B$44</f>
        <v>0.38409169809355426</v>
      </c>
      <c r="U69" s="10">
        <f>GraphListeria!$H$43*Listeria!I69+GraphListeria!$H$44</f>
        <v>0.35623347030397312</v>
      </c>
    </row>
    <row r="70" spans="1:21" x14ac:dyDescent="0.2">
      <c r="A70" s="1" t="s">
        <v>1440</v>
      </c>
      <c r="B70" s="1" t="s">
        <v>1443</v>
      </c>
      <c r="C70" t="s">
        <v>57</v>
      </c>
      <c r="D70" s="1" t="s">
        <v>42</v>
      </c>
      <c r="E70" s="1" t="s">
        <v>1240</v>
      </c>
      <c r="F70" s="1" t="s">
        <v>1441</v>
      </c>
      <c r="G70" s="19"/>
      <c r="H70" s="4">
        <v>6</v>
      </c>
      <c r="I70" s="4">
        <v>60</v>
      </c>
      <c r="J70" s="11">
        <f>11.6/4</f>
        <v>2.9</v>
      </c>
      <c r="L70" s="12">
        <f t="shared" si="2"/>
        <v>0.46239799789895608</v>
      </c>
      <c r="M70" s="11">
        <f>GraphListeria!$B$10-(Listeria!I70-GraphListeria!$B$6)/GraphListeria!$B$5</f>
        <v>0.35623347030397379</v>
      </c>
      <c r="N70" s="1" t="s">
        <v>592</v>
      </c>
      <c r="O70">
        <v>1999</v>
      </c>
      <c r="S70" s="10">
        <f>GraphListeria!$B$43*Listeria!I70+GraphListeria!$B$44</f>
        <v>0.38409169809355426</v>
      </c>
      <c r="U70" s="10">
        <f>GraphListeria!$H$43*Listeria!I70+GraphListeria!$H$44</f>
        <v>0.35623347030397312</v>
      </c>
    </row>
    <row r="71" spans="1:21" x14ac:dyDescent="0.2">
      <c r="A71" s="1" t="s">
        <v>1440</v>
      </c>
      <c r="B71" s="1" t="s">
        <v>1443</v>
      </c>
      <c r="C71" t="s">
        <v>57</v>
      </c>
      <c r="D71" s="1" t="s">
        <v>42</v>
      </c>
      <c r="E71" s="1" t="s">
        <v>1240</v>
      </c>
      <c r="F71" s="1" t="s">
        <v>1441</v>
      </c>
      <c r="G71" s="19"/>
      <c r="H71" s="4">
        <v>7</v>
      </c>
      <c r="I71" s="4">
        <v>60</v>
      </c>
      <c r="J71" s="11">
        <f>13.1/4</f>
        <v>3.2749999999999999</v>
      </c>
      <c r="L71" s="12">
        <f t="shared" si="2"/>
        <v>0.51521130432780182</v>
      </c>
      <c r="M71" s="11">
        <f>GraphListeria!$B$10-(Listeria!I71-GraphListeria!$B$6)/GraphListeria!$B$5</f>
        <v>0.35623347030397379</v>
      </c>
      <c r="N71" s="1" t="s">
        <v>592</v>
      </c>
      <c r="O71">
        <v>1999</v>
      </c>
      <c r="S71" s="10">
        <f>GraphListeria!$B$43*Listeria!I71+GraphListeria!$B$44</f>
        <v>0.38409169809355426</v>
      </c>
      <c r="U71" s="10">
        <f>GraphListeria!$H$43*Listeria!I71+GraphListeria!$H$44</f>
        <v>0.35623347030397312</v>
      </c>
    </row>
    <row r="72" spans="1:21" x14ac:dyDescent="0.2">
      <c r="A72" s="1" t="s">
        <v>1440</v>
      </c>
      <c r="B72" s="1" t="s">
        <v>1443</v>
      </c>
      <c r="C72" t="s">
        <v>57</v>
      </c>
      <c r="D72" s="1" t="s">
        <v>42</v>
      </c>
      <c r="E72" s="1" t="s">
        <v>1240</v>
      </c>
      <c r="F72" s="1" t="s">
        <v>1441</v>
      </c>
      <c r="G72" s="19"/>
      <c r="H72" s="4">
        <v>5</v>
      </c>
      <c r="I72" s="4">
        <v>65</v>
      </c>
      <c r="J72" s="11">
        <f>1.7/4</f>
        <v>0.42499999999999999</v>
      </c>
      <c r="L72" s="12">
        <f t="shared" si="2"/>
        <v>-0.37161106994968846</v>
      </c>
      <c r="M72" s="11">
        <f>GraphListeria!$B$10-(Listeria!I72-GraphListeria!$B$6)/GraphListeria!$B$5</f>
        <v>-0.35371780666523878</v>
      </c>
      <c r="N72" s="1" t="s">
        <v>592</v>
      </c>
      <c r="O72">
        <v>1999</v>
      </c>
      <c r="S72" s="10">
        <f>GraphListeria!$B$43*Listeria!I72+GraphListeria!$B$44</f>
        <v>-0.30628703691919412</v>
      </c>
      <c r="U72" s="10">
        <f>GraphListeria!$H$43*Listeria!I72+GraphListeria!$H$44</f>
        <v>-0.35371780666523911</v>
      </c>
    </row>
    <row r="73" spans="1:21" x14ac:dyDescent="0.2">
      <c r="A73" s="1" t="s">
        <v>1440</v>
      </c>
      <c r="B73" s="1" t="s">
        <v>1443</v>
      </c>
      <c r="C73" t="s">
        <v>57</v>
      </c>
      <c r="D73" s="1" t="s">
        <v>42</v>
      </c>
      <c r="E73" s="1" t="s">
        <v>1240</v>
      </c>
      <c r="F73" s="1" t="s">
        <v>1441</v>
      </c>
      <c r="G73" s="19"/>
      <c r="H73" s="4">
        <v>6</v>
      </c>
      <c r="I73" s="4">
        <v>65</v>
      </c>
      <c r="J73" s="11">
        <f>1.4/4</f>
        <v>0.35</v>
      </c>
      <c r="L73" s="12">
        <f t="shared" si="2"/>
        <v>-0.45593195564972439</v>
      </c>
      <c r="M73" s="11">
        <f>GraphListeria!$B$10-(Listeria!I73-GraphListeria!$B$6)/GraphListeria!$B$5</f>
        <v>-0.35371780666523878</v>
      </c>
      <c r="N73" s="1" t="s">
        <v>592</v>
      </c>
      <c r="O73">
        <v>1999</v>
      </c>
      <c r="S73" s="10">
        <f>GraphListeria!$B$43*Listeria!I73+GraphListeria!$B$44</f>
        <v>-0.30628703691919412</v>
      </c>
      <c r="U73" s="10">
        <f>GraphListeria!$H$43*Listeria!I73+GraphListeria!$H$44</f>
        <v>-0.35371780666523911</v>
      </c>
    </row>
    <row r="74" spans="1:21" x14ac:dyDescent="0.2">
      <c r="A74" s="1" t="s">
        <v>1440</v>
      </c>
      <c r="B74" s="1" t="s">
        <v>1443</v>
      </c>
      <c r="C74" t="s">
        <v>57</v>
      </c>
      <c r="D74" s="1" t="s">
        <v>42</v>
      </c>
      <c r="E74" s="1" t="s">
        <v>1240</v>
      </c>
      <c r="F74" s="1" t="s">
        <v>1441</v>
      </c>
      <c r="G74" s="19"/>
      <c r="H74" s="4">
        <v>7</v>
      </c>
      <c r="I74" s="4">
        <v>65</v>
      </c>
      <c r="J74" s="11">
        <f>1.8/4</f>
        <v>0.45</v>
      </c>
      <c r="L74" s="12">
        <f t="shared" si="2"/>
        <v>-0.34678748622465633</v>
      </c>
      <c r="M74" s="11">
        <f>GraphListeria!$B$10-(Listeria!I74-GraphListeria!$B$6)/GraphListeria!$B$5</f>
        <v>-0.35371780666523878</v>
      </c>
      <c r="N74" s="1" t="s">
        <v>592</v>
      </c>
      <c r="O74">
        <v>1999</v>
      </c>
      <c r="S74" s="10">
        <f>GraphListeria!$B$43*Listeria!I74+GraphListeria!$B$44</f>
        <v>-0.30628703691919412</v>
      </c>
      <c r="U74" s="10">
        <f>GraphListeria!$H$43*Listeria!I74+GraphListeria!$H$44</f>
        <v>-0.35371780666523911</v>
      </c>
    </row>
    <row r="75" spans="1:21" x14ac:dyDescent="0.2">
      <c r="A75" s="1" t="s">
        <v>1440</v>
      </c>
      <c r="B75" s="1" t="s">
        <v>1443</v>
      </c>
      <c r="C75" t="s">
        <v>57</v>
      </c>
      <c r="D75" s="1" t="s">
        <v>42</v>
      </c>
      <c r="E75" s="1" t="s">
        <v>1240</v>
      </c>
      <c r="F75" s="1" t="s">
        <v>1442</v>
      </c>
      <c r="G75" s="19"/>
      <c r="H75" s="4">
        <v>5</v>
      </c>
      <c r="I75" s="4">
        <v>55</v>
      </c>
      <c r="J75" s="11">
        <f>74/4</f>
        <v>18.5</v>
      </c>
      <c r="L75" s="12">
        <f t="shared" si="2"/>
        <v>1.2671717284030137</v>
      </c>
      <c r="M75" s="11">
        <f>GraphListeria!$B$10-(Listeria!I75-GraphListeria!$B$6)/GraphListeria!$B$5</f>
        <v>1.0661847472731862</v>
      </c>
      <c r="N75" s="1" t="s">
        <v>592</v>
      </c>
      <c r="O75">
        <v>1999</v>
      </c>
      <c r="S75" s="10">
        <f>GraphListeria!$B$43*Listeria!I75+GraphListeria!$B$44</f>
        <v>1.0744704331063017</v>
      </c>
      <c r="U75" s="10">
        <f>GraphListeria!$H$43*Listeria!I75+GraphListeria!$H$44</f>
        <v>1.0661847472731862</v>
      </c>
    </row>
    <row r="76" spans="1:21" x14ac:dyDescent="0.2">
      <c r="A76" s="1" t="s">
        <v>1440</v>
      </c>
      <c r="B76" s="1" t="s">
        <v>1443</v>
      </c>
      <c r="C76" t="s">
        <v>57</v>
      </c>
      <c r="D76" s="1" t="s">
        <v>42</v>
      </c>
      <c r="E76" s="1" t="s">
        <v>1240</v>
      </c>
      <c r="F76" s="1" t="s">
        <v>1442</v>
      </c>
      <c r="G76" s="19"/>
      <c r="H76" s="4">
        <v>6</v>
      </c>
      <c r="I76" s="4">
        <v>55</v>
      </c>
      <c r="J76" s="11">
        <f>315/4</f>
        <v>78.75</v>
      </c>
      <c r="L76" s="12">
        <f t="shared" si="2"/>
        <v>1.8962505624616381</v>
      </c>
      <c r="M76" s="11">
        <f>GraphListeria!$B$10-(Listeria!I76-GraphListeria!$B$6)/GraphListeria!$B$5</f>
        <v>1.0661847472731862</v>
      </c>
      <c r="N76" s="1" t="s">
        <v>592</v>
      </c>
      <c r="O76">
        <v>1999</v>
      </c>
      <c r="S76" s="10">
        <f>GraphListeria!$B$43*Listeria!I76+GraphListeria!$B$44</f>
        <v>1.0744704331063017</v>
      </c>
      <c r="U76" s="10">
        <f>GraphListeria!$H$43*Listeria!I76+GraphListeria!$H$44</f>
        <v>1.0661847472731862</v>
      </c>
    </row>
    <row r="77" spans="1:21" x14ac:dyDescent="0.2">
      <c r="A77" s="1" t="s">
        <v>1440</v>
      </c>
      <c r="B77" s="1" t="s">
        <v>1443</v>
      </c>
      <c r="C77" t="s">
        <v>57</v>
      </c>
      <c r="D77" s="1" t="s">
        <v>42</v>
      </c>
      <c r="E77" s="1" t="s">
        <v>1240</v>
      </c>
      <c r="F77" s="1" t="s">
        <v>1442</v>
      </c>
      <c r="G77" s="19"/>
      <c r="H77" s="4">
        <v>7</v>
      </c>
      <c r="I77" s="4">
        <v>55</v>
      </c>
      <c r="J77" s="11">
        <f>265/4</f>
        <v>66.25</v>
      </c>
      <c r="L77" s="12">
        <f t="shared" si="2"/>
        <v>1.8211858826088454</v>
      </c>
      <c r="M77" s="11">
        <f>GraphListeria!$B$10-(Listeria!I77-GraphListeria!$B$6)/GraphListeria!$B$5</f>
        <v>1.0661847472731862</v>
      </c>
      <c r="N77" s="1" t="s">
        <v>592</v>
      </c>
      <c r="O77">
        <v>1999</v>
      </c>
      <c r="S77" s="10">
        <f>GraphListeria!$B$43*Listeria!I77+GraphListeria!$B$44</f>
        <v>1.0744704331063017</v>
      </c>
      <c r="U77" s="10">
        <f>GraphListeria!$H$43*Listeria!I77+GraphListeria!$H$44</f>
        <v>1.0661847472731862</v>
      </c>
    </row>
    <row r="78" spans="1:21" x14ac:dyDescent="0.2">
      <c r="A78" s="1" t="s">
        <v>1440</v>
      </c>
      <c r="B78" s="1" t="s">
        <v>1443</v>
      </c>
      <c r="C78" t="s">
        <v>57</v>
      </c>
      <c r="D78" s="1" t="s">
        <v>42</v>
      </c>
      <c r="E78" s="1" t="s">
        <v>1240</v>
      </c>
      <c r="F78" s="1" t="s">
        <v>1442</v>
      </c>
      <c r="G78" s="19"/>
      <c r="H78" s="4">
        <v>5</v>
      </c>
      <c r="I78" s="4">
        <v>60</v>
      </c>
      <c r="J78" s="11">
        <f>10/4</f>
        <v>2.5</v>
      </c>
      <c r="L78" s="12">
        <f t="shared" si="2"/>
        <v>0.3979400086720376</v>
      </c>
      <c r="M78" s="11">
        <f>GraphListeria!$B$10-(Listeria!I78-GraphListeria!$B$6)/GraphListeria!$B$5</f>
        <v>0.35623347030397379</v>
      </c>
      <c r="N78" s="1" t="s">
        <v>592</v>
      </c>
      <c r="O78">
        <v>1999</v>
      </c>
      <c r="S78" s="10">
        <f>GraphListeria!$B$43*Listeria!I78+GraphListeria!$B$44</f>
        <v>0.38409169809355426</v>
      </c>
      <c r="U78" s="10">
        <f>GraphListeria!$H$43*Listeria!I78+GraphListeria!$H$44</f>
        <v>0.35623347030397312</v>
      </c>
    </row>
    <row r="79" spans="1:21" x14ac:dyDescent="0.2">
      <c r="A79" s="1" t="s">
        <v>1440</v>
      </c>
      <c r="B79" s="1" t="s">
        <v>1443</v>
      </c>
      <c r="C79" t="s">
        <v>57</v>
      </c>
      <c r="D79" s="1" t="s">
        <v>42</v>
      </c>
      <c r="E79" s="1" t="s">
        <v>1240</v>
      </c>
      <c r="F79" s="1" t="s">
        <v>1442</v>
      </c>
      <c r="G79" s="19"/>
      <c r="H79" s="4">
        <v>6</v>
      </c>
      <c r="I79" s="4">
        <v>60</v>
      </c>
      <c r="J79" s="11">
        <f>9.2/4</f>
        <v>2.2999999999999998</v>
      </c>
      <c r="L79" s="12">
        <f t="shared" si="2"/>
        <v>0.36172783601759284</v>
      </c>
      <c r="M79" s="11">
        <f>GraphListeria!$B$10-(Listeria!I79-GraphListeria!$B$6)/GraphListeria!$B$5</f>
        <v>0.35623347030397379</v>
      </c>
      <c r="N79" s="1" t="s">
        <v>592</v>
      </c>
      <c r="O79">
        <v>1999</v>
      </c>
      <c r="S79" s="10">
        <f>GraphListeria!$B$43*Listeria!I79+GraphListeria!$B$44</f>
        <v>0.38409169809355426</v>
      </c>
      <c r="U79" s="10">
        <f>GraphListeria!$H$43*Listeria!I79+GraphListeria!$H$44</f>
        <v>0.35623347030397312</v>
      </c>
    </row>
    <row r="80" spans="1:21" x14ac:dyDescent="0.2">
      <c r="A80" s="1" t="s">
        <v>1440</v>
      </c>
      <c r="B80" s="1" t="s">
        <v>1443</v>
      </c>
      <c r="C80" t="s">
        <v>57</v>
      </c>
      <c r="D80" s="1" t="s">
        <v>42</v>
      </c>
      <c r="E80" s="1" t="s">
        <v>1240</v>
      </c>
      <c r="F80" s="1" t="s">
        <v>1442</v>
      </c>
      <c r="G80" s="19"/>
      <c r="H80" s="4">
        <v>7</v>
      </c>
      <c r="I80" s="4">
        <v>60</v>
      </c>
      <c r="J80" s="11">
        <f>14.2/4</f>
        <v>3.55</v>
      </c>
      <c r="L80" s="12">
        <f t="shared" si="2"/>
        <v>0.5502283530550941</v>
      </c>
      <c r="M80" s="11">
        <f>GraphListeria!$B$10-(Listeria!I80-GraphListeria!$B$6)/GraphListeria!$B$5</f>
        <v>0.35623347030397379</v>
      </c>
      <c r="N80" s="1" t="s">
        <v>592</v>
      </c>
      <c r="O80">
        <v>1999</v>
      </c>
      <c r="S80" s="10">
        <f>GraphListeria!$B$43*Listeria!I80+GraphListeria!$B$44</f>
        <v>0.38409169809355426</v>
      </c>
      <c r="U80" s="10">
        <f>GraphListeria!$H$43*Listeria!I80+GraphListeria!$H$44</f>
        <v>0.35623347030397312</v>
      </c>
    </row>
    <row r="81" spans="1:21" x14ac:dyDescent="0.2">
      <c r="A81" s="1" t="s">
        <v>1440</v>
      </c>
      <c r="B81" s="1" t="s">
        <v>1443</v>
      </c>
      <c r="C81" t="s">
        <v>57</v>
      </c>
      <c r="D81" s="1" t="s">
        <v>42</v>
      </c>
      <c r="E81" s="1" t="s">
        <v>1240</v>
      </c>
      <c r="F81" s="1" t="s">
        <v>1442</v>
      </c>
      <c r="G81" s="19"/>
      <c r="H81" s="4">
        <v>5</v>
      </c>
      <c r="I81" s="4">
        <v>65</v>
      </c>
      <c r="J81" s="11">
        <f>1.4/4</f>
        <v>0.35</v>
      </c>
      <c r="L81" s="12">
        <f t="shared" si="2"/>
        <v>-0.45593195564972439</v>
      </c>
      <c r="M81" s="11">
        <f>GraphListeria!$B$10-(Listeria!I81-GraphListeria!$B$6)/GraphListeria!$B$5</f>
        <v>-0.35371780666523878</v>
      </c>
      <c r="N81" s="1" t="s">
        <v>592</v>
      </c>
      <c r="O81">
        <v>1999</v>
      </c>
      <c r="S81" s="10">
        <f>GraphListeria!$B$43*Listeria!I81+GraphListeria!$B$44</f>
        <v>-0.30628703691919412</v>
      </c>
      <c r="U81" s="10">
        <f>GraphListeria!$H$43*Listeria!I81+GraphListeria!$H$44</f>
        <v>-0.35371780666523911</v>
      </c>
    </row>
    <row r="82" spans="1:21" x14ac:dyDescent="0.2">
      <c r="A82" s="1" t="s">
        <v>1440</v>
      </c>
      <c r="B82" s="1" t="s">
        <v>1443</v>
      </c>
      <c r="C82" t="s">
        <v>57</v>
      </c>
      <c r="D82" s="1" t="s">
        <v>42</v>
      </c>
      <c r="E82" s="1" t="s">
        <v>1240</v>
      </c>
      <c r="F82" s="1" t="s">
        <v>1442</v>
      </c>
      <c r="G82" s="19"/>
      <c r="H82" s="4">
        <v>6</v>
      </c>
      <c r="I82" s="4">
        <v>65</v>
      </c>
      <c r="J82" s="11">
        <f>1.5/4</f>
        <v>0.375</v>
      </c>
      <c r="L82" s="12">
        <f t="shared" si="2"/>
        <v>-0.42596873227228116</v>
      </c>
      <c r="M82" s="11">
        <f>GraphListeria!$B$10-(Listeria!I82-GraphListeria!$B$6)/GraphListeria!$B$5</f>
        <v>-0.35371780666523878</v>
      </c>
      <c r="N82" s="1" t="s">
        <v>592</v>
      </c>
      <c r="O82">
        <v>1999</v>
      </c>
      <c r="S82" s="10">
        <f>GraphListeria!$B$43*Listeria!I82+GraphListeria!$B$44</f>
        <v>-0.30628703691919412</v>
      </c>
      <c r="U82" s="10">
        <f>GraphListeria!$H$43*Listeria!I82+GraphListeria!$H$44</f>
        <v>-0.35371780666523911</v>
      </c>
    </row>
    <row r="83" spans="1:21" x14ac:dyDescent="0.2">
      <c r="A83" s="1" t="s">
        <v>1440</v>
      </c>
      <c r="B83" s="1" t="s">
        <v>1443</v>
      </c>
      <c r="C83" t="s">
        <v>57</v>
      </c>
      <c r="D83" s="1" t="s">
        <v>42</v>
      </c>
      <c r="E83" s="1" t="s">
        <v>1240</v>
      </c>
      <c r="F83" s="1" t="s">
        <v>1442</v>
      </c>
      <c r="G83" s="19"/>
      <c r="H83" s="4">
        <v>7</v>
      </c>
      <c r="I83" s="4">
        <v>65</v>
      </c>
      <c r="J83" s="11">
        <f>1.5/4</f>
        <v>0.375</v>
      </c>
      <c r="L83" s="12">
        <f t="shared" si="2"/>
        <v>-0.42596873227228116</v>
      </c>
      <c r="M83" s="11">
        <f>GraphListeria!$B$10-(Listeria!I83-GraphListeria!$B$6)/GraphListeria!$B$5</f>
        <v>-0.35371780666523878</v>
      </c>
      <c r="N83" s="1" t="s">
        <v>592</v>
      </c>
      <c r="O83">
        <v>1999</v>
      </c>
      <c r="S83" s="10">
        <f>GraphListeria!$B$43*Listeria!I83+GraphListeria!$B$44</f>
        <v>-0.30628703691919412</v>
      </c>
      <c r="U83" s="10">
        <f>GraphListeria!$H$43*Listeria!I83+GraphListeria!$H$44</f>
        <v>-0.35371780666523911</v>
      </c>
    </row>
    <row r="84" spans="1:21" x14ac:dyDescent="0.2">
      <c r="A84" s="1" t="s">
        <v>1440</v>
      </c>
      <c r="B84" s="1" t="s">
        <v>1443</v>
      </c>
      <c r="C84" s="1"/>
      <c r="D84" s="1" t="s">
        <v>42</v>
      </c>
      <c r="E84" s="1" t="s">
        <v>1240</v>
      </c>
      <c r="F84" s="1" t="s">
        <v>1274</v>
      </c>
      <c r="G84" s="1"/>
      <c r="H84" s="5"/>
      <c r="I84" s="5">
        <v>52.2</v>
      </c>
      <c r="J84" s="9">
        <v>26.9</v>
      </c>
      <c r="K84" s="5"/>
      <c r="L84" s="12">
        <f t="shared" si="2"/>
        <v>1.4297522800024081</v>
      </c>
      <c r="M84" s="11">
        <f>GraphListeria!$B$10-(Listeria!I84-GraphListeria!$B$6)/GraphListeria!$B$5</f>
        <v>1.4637574623759448</v>
      </c>
      <c r="N84" s="2" t="s">
        <v>1226</v>
      </c>
      <c r="O84">
        <v>1996</v>
      </c>
      <c r="S84" s="10">
        <f>GraphListeria!$B$43*Listeria!I84+GraphListeria!$B$44</f>
        <v>1.46108252471344</v>
      </c>
      <c r="U84" s="10">
        <f>GraphListeria!$H$43*Listeria!I84+GraphListeria!$H$44</f>
        <v>1.4637574623759448</v>
      </c>
    </row>
    <row r="85" spans="1:21" x14ac:dyDescent="0.2">
      <c r="A85" s="1" t="s">
        <v>1440</v>
      </c>
      <c r="B85" s="1" t="s">
        <v>1443</v>
      </c>
      <c r="C85" s="1"/>
      <c r="D85" s="1" t="s">
        <v>42</v>
      </c>
      <c r="E85" s="1" t="s">
        <v>1240</v>
      </c>
      <c r="F85" s="1" t="s">
        <v>1274</v>
      </c>
      <c r="G85" s="1"/>
      <c r="H85" s="5"/>
      <c r="I85" s="5">
        <v>52.2</v>
      </c>
      <c r="J85" s="9">
        <v>29.2</v>
      </c>
      <c r="K85" s="5"/>
      <c r="L85" s="12">
        <f t="shared" si="2"/>
        <v>1.4653828514484182</v>
      </c>
      <c r="M85" s="11">
        <f>GraphListeria!$B$10-(Listeria!I85-GraphListeria!$B$6)/GraphListeria!$B$5</f>
        <v>1.4637574623759448</v>
      </c>
      <c r="N85" s="2" t="s">
        <v>1226</v>
      </c>
      <c r="O85">
        <v>1996</v>
      </c>
      <c r="S85" s="10">
        <f>GraphListeria!$B$43*Listeria!I85+GraphListeria!$B$44</f>
        <v>1.46108252471344</v>
      </c>
      <c r="U85" s="10">
        <f>GraphListeria!$H$43*Listeria!I85+GraphListeria!$H$44</f>
        <v>1.4637574623759448</v>
      </c>
    </row>
    <row r="86" spans="1:21" x14ac:dyDescent="0.2">
      <c r="A86" s="1" t="s">
        <v>1440</v>
      </c>
      <c r="B86" s="1" t="s">
        <v>1443</v>
      </c>
      <c r="C86" s="1"/>
      <c r="D86" s="1" t="s">
        <v>42</v>
      </c>
      <c r="E86" s="1" t="s">
        <v>1240</v>
      </c>
      <c r="F86" s="1" t="s">
        <v>1274</v>
      </c>
      <c r="G86" s="1"/>
      <c r="H86" s="5"/>
      <c r="I86" s="5">
        <v>52.2</v>
      </c>
      <c r="J86" s="9">
        <v>52.8</v>
      </c>
      <c r="K86" s="5"/>
      <c r="L86" s="12">
        <f t="shared" si="2"/>
        <v>1.7226339225338123</v>
      </c>
      <c r="M86" s="11">
        <f>GraphListeria!$B$10-(Listeria!I86-GraphListeria!$B$6)/GraphListeria!$B$5</f>
        <v>1.4637574623759448</v>
      </c>
      <c r="N86" s="2" t="s">
        <v>1226</v>
      </c>
      <c r="O86">
        <v>1996</v>
      </c>
      <c r="S86" s="10">
        <f>GraphListeria!$B$43*Listeria!I86+GraphListeria!$B$44</f>
        <v>1.46108252471344</v>
      </c>
      <c r="U86" s="10">
        <f>GraphListeria!$H$43*Listeria!I86+GraphListeria!$H$44</f>
        <v>1.4637574623759448</v>
      </c>
    </row>
    <row r="87" spans="1:21" x14ac:dyDescent="0.2">
      <c r="A87" s="1" t="s">
        <v>1440</v>
      </c>
      <c r="B87" s="1" t="s">
        <v>1443</v>
      </c>
      <c r="C87" s="1"/>
      <c r="D87" s="1" t="s">
        <v>42</v>
      </c>
      <c r="E87" s="1" t="s">
        <v>1240</v>
      </c>
      <c r="F87" s="1" t="s">
        <v>1274</v>
      </c>
      <c r="G87" s="1"/>
      <c r="H87" s="5"/>
      <c r="I87" s="5">
        <v>52.2</v>
      </c>
      <c r="J87" s="9">
        <v>38.159999999999997</v>
      </c>
      <c r="K87" s="5"/>
      <c r="L87" s="12">
        <f t="shared" si="2"/>
        <v>1.5816083660320575</v>
      </c>
      <c r="M87" s="11">
        <f>GraphListeria!$B$10-(Listeria!I87-GraphListeria!$B$6)/GraphListeria!$B$5</f>
        <v>1.4637574623759448</v>
      </c>
      <c r="N87" s="2" t="s">
        <v>1226</v>
      </c>
      <c r="O87">
        <v>1996</v>
      </c>
      <c r="S87" s="10">
        <f>GraphListeria!$B$43*Listeria!I87+GraphListeria!$B$44</f>
        <v>1.46108252471344</v>
      </c>
      <c r="U87" s="10">
        <f>GraphListeria!$H$43*Listeria!I87+GraphListeria!$H$44</f>
        <v>1.4637574623759448</v>
      </c>
    </row>
    <row r="88" spans="1:21" x14ac:dyDescent="0.2">
      <c r="A88" s="1" t="s">
        <v>1440</v>
      </c>
      <c r="B88" s="1" t="s">
        <v>1443</v>
      </c>
      <c r="D88" s="1" t="s">
        <v>42</v>
      </c>
      <c r="E88" s="1" t="s">
        <v>1240</v>
      </c>
      <c r="F88" s="1" t="s">
        <v>1274</v>
      </c>
      <c r="G88" s="1"/>
      <c r="I88" s="4">
        <v>57.8</v>
      </c>
      <c r="J88" s="11">
        <v>4.49</v>
      </c>
      <c r="L88" s="12">
        <f t="shared" si="2"/>
        <v>0.65224634100332324</v>
      </c>
      <c r="M88" s="11">
        <f>GraphListeria!$B$10-(Listeria!I88-GraphListeria!$B$6)/GraphListeria!$B$5</f>
        <v>0.66861203217042764</v>
      </c>
      <c r="N88" s="2" t="s">
        <v>1226</v>
      </c>
      <c r="O88">
        <v>1996</v>
      </c>
      <c r="S88" s="10">
        <f>GraphListeria!$B$43*Listeria!I88+GraphListeria!$B$44</f>
        <v>0.68785834149916258</v>
      </c>
      <c r="U88" s="10">
        <f>GraphListeria!$H$43*Listeria!I88+GraphListeria!$H$44</f>
        <v>0.66861203217042764</v>
      </c>
    </row>
    <row r="89" spans="1:21" x14ac:dyDescent="0.2">
      <c r="A89" s="1" t="s">
        <v>1440</v>
      </c>
      <c r="B89" s="1" t="s">
        <v>1443</v>
      </c>
      <c r="D89" s="1" t="s">
        <v>42</v>
      </c>
      <c r="E89" s="1" t="s">
        <v>1240</v>
      </c>
      <c r="F89" s="1" t="s">
        <v>1274</v>
      </c>
      <c r="G89" s="1"/>
      <c r="I89" s="4">
        <v>57.8</v>
      </c>
      <c r="J89" s="11">
        <v>5.16</v>
      </c>
      <c r="L89" s="12">
        <f t="shared" si="2"/>
        <v>0.71264970162721142</v>
      </c>
      <c r="M89" s="11">
        <f>GraphListeria!$B$10-(Listeria!I89-GraphListeria!$B$6)/GraphListeria!$B$5</f>
        <v>0.66861203217042764</v>
      </c>
      <c r="N89" s="2" t="s">
        <v>1226</v>
      </c>
      <c r="O89">
        <v>1996</v>
      </c>
      <c r="S89" s="10">
        <f>GraphListeria!$B$43*Listeria!I89+GraphListeria!$B$44</f>
        <v>0.68785834149916258</v>
      </c>
      <c r="U89" s="10">
        <f>GraphListeria!$H$43*Listeria!I89+GraphListeria!$H$44</f>
        <v>0.66861203217042764</v>
      </c>
    </row>
    <row r="90" spans="1:21" x14ac:dyDescent="0.2">
      <c r="A90" s="1" t="s">
        <v>1440</v>
      </c>
      <c r="B90" s="1" t="s">
        <v>1443</v>
      </c>
      <c r="D90" s="1" t="s">
        <v>42</v>
      </c>
      <c r="E90" s="1" t="s">
        <v>1240</v>
      </c>
      <c r="F90" s="1" t="s">
        <v>1274</v>
      </c>
      <c r="G90" s="1"/>
      <c r="I90" s="4">
        <v>57.8</v>
      </c>
      <c r="J90" s="11">
        <v>8.17</v>
      </c>
      <c r="L90" s="12">
        <f t="shared" si="2"/>
        <v>0.9122220565324155</v>
      </c>
      <c r="M90" s="11">
        <f>GraphListeria!$B$10-(Listeria!I90-GraphListeria!$B$6)/GraphListeria!$B$5</f>
        <v>0.66861203217042764</v>
      </c>
      <c r="N90" s="2" t="s">
        <v>1226</v>
      </c>
      <c r="O90">
        <v>1996</v>
      </c>
      <c r="S90" s="10">
        <f>GraphListeria!$B$43*Listeria!I90+GraphListeria!$B$44</f>
        <v>0.68785834149916258</v>
      </c>
      <c r="U90" s="10">
        <f>GraphListeria!$H$43*Listeria!I90+GraphListeria!$H$44</f>
        <v>0.66861203217042764</v>
      </c>
    </row>
    <row r="91" spans="1:21" x14ac:dyDescent="0.2">
      <c r="A91" s="1" t="s">
        <v>1440</v>
      </c>
      <c r="B91" s="1" t="s">
        <v>1443</v>
      </c>
      <c r="D91" s="1" t="s">
        <v>42</v>
      </c>
      <c r="E91" s="1" t="s">
        <v>1240</v>
      </c>
      <c r="F91" s="1" t="s">
        <v>1274</v>
      </c>
      <c r="G91" s="1"/>
      <c r="I91" s="4">
        <v>57.8</v>
      </c>
      <c r="J91" s="11">
        <v>7.42</v>
      </c>
      <c r="L91" s="12">
        <f t="shared" si="2"/>
        <v>0.87040390527902711</v>
      </c>
      <c r="M91" s="11">
        <f>GraphListeria!$B$10-(Listeria!I91-GraphListeria!$B$6)/GraphListeria!$B$5</f>
        <v>0.66861203217042764</v>
      </c>
      <c r="N91" s="2" t="s">
        <v>1226</v>
      </c>
      <c r="O91">
        <v>1996</v>
      </c>
      <c r="S91" s="10">
        <f>GraphListeria!$B$43*Listeria!I91+GraphListeria!$B$44</f>
        <v>0.68785834149916258</v>
      </c>
      <c r="U91" s="10">
        <f>GraphListeria!$H$43*Listeria!I91+GraphListeria!$H$44</f>
        <v>0.66861203217042764</v>
      </c>
    </row>
    <row r="92" spans="1:21" x14ac:dyDescent="0.2">
      <c r="A92" s="1" t="s">
        <v>1440</v>
      </c>
      <c r="B92" s="1" t="s">
        <v>1443</v>
      </c>
      <c r="D92" s="1" t="s">
        <v>42</v>
      </c>
      <c r="E92" s="1" t="s">
        <v>1240</v>
      </c>
      <c r="F92" s="1" t="s">
        <v>1274</v>
      </c>
      <c r="G92" s="1"/>
      <c r="I92" s="4">
        <v>63.3</v>
      </c>
      <c r="J92" s="11">
        <f>13.4/60</f>
        <v>0.22333333333333333</v>
      </c>
      <c r="L92" s="12">
        <f t="shared" si="2"/>
        <v>-0.65104645201883604</v>
      </c>
      <c r="M92" s="11">
        <f>GraphListeria!$B$10-(Listeria!I92-GraphListeria!$B$6)/GraphListeria!$B$5</f>
        <v>-0.11233437249570621</v>
      </c>
      <c r="N92" s="2" t="s">
        <v>1226</v>
      </c>
      <c r="O92">
        <v>1996</v>
      </c>
      <c r="S92" s="10">
        <f>GraphListeria!$B$43*Listeria!I92+GraphListeria!$B$44</f>
        <v>-7.1558267014859567E-2</v>
      </c>
      <c r="U92" s="10">
        <f>GraphListeria!$H$43*Listeria!I92+GraphListeria!$H$44</f>
        <v>-0.11233437249570599</v>
      </c>
    </row>
    <row r="93" spans="1:21" x14ac:dyDescent="0.2">
      <c r="A93" s="1" t="s">
        <v>1440</v>
      </c>
      <c r="B93" s="1" t="s">
        <v>1443</v>
      </c>
      <c r="D93" s="1" t="s">
        <v>42</v>
      </c>
      <c r="E93" s="1" t="s">
        <v>1240</v>
      </c>
      <c r="F93" s="1" t="s">
        <v>1274</v>
      </c>
      <c r="G93" s="1"/>
      <c r="I93" s="4">
        <v>63.3</v>
      </c>
      <c r="J93" s="11">
        <f>28.4/60</f>
        <v>0.47333333333333333</v>
      </c>
      <c r="L93" s="12">
        <f t="shared" si="2"/>
        <v>-0.32483291033660594</v>
      </c>
      <c r="M93" s="11">
        <f>GraphListeria!$B$10-(Listeria!I93-GraphListeria!$B$6)/GraphListeria!$B$5</f>
        <v>-0.11233437249570621</v>
      </c>
      <c r="N93" s="2" t="s">
        <v>1226</v>
      </c>
      <c r="O93">
        <v>1996</v>
      </c>
      <c r="S93" s="10">
        <f>GraphListeria!$B$43*Listeria!I93+GraphListeria!$B$44</f>
        <v>-7.1558267014859567E-2</v>
      </c>
      <c r="U93" s="10">
        <f>GraphListeria!$H$43*Listeria!I93+GraphListeria!$H$44</f>
        <v>-0.11233437249570599</v>
      </c>
    </row>
    <row r="94" spans="1:21" x14ac:dyDescent="0.2">
      <c r="A94" s="1" t="s">
        <v>1440</v>
      </c>
      <c r="B94" s="1" t="s">
        <v>1443</v>
      </c>
      <c r="D94" s="1" t="s">
        <v>42</v>
      </c>
      <c r="E94" s="1" t="s">
        <v>1240</v>
      </c>
      <c r="F94" s="1" t="s">
        <v>1274</v>
      </c>
      <c r="G94" s="1"/>
      <c r="I94" s="4">
        <v>63.3</v>
      </c>
      <c r="J94" s="11">
        <f>33.3/60</f>
        <v>0.55499999999999994</v>
      </c>
      <c r="L94" s="12">
        <f t="shared" si="2"/>
        <v>-0.25570701687732383</v>
      </c>
      <c r="M94" s="11">
        <f>GraphListeria!$B$10-(Listeria!I94-GraphListeria!$B$6)/GraphListeria!$B$5</f>
        <v>-0.11233437249570621</v>
      </c>
      <c r="N94" s="2" t="s">
        <v>1226</v>
      </c>
      <c r="O94">
        <v>1996</v>
      </c>
      <c r="S94" s="10">
        <f>GraphListeria!$B$43*Listeria!I94+GraphListeria!$B$44</f>
        <v>-7.1558267014859567E-2</v>
      </c>
      <c r="U94" s="10">
        <f>GraphListeria!$H$43*Listeria!I94+GraphListeria!$H$44</f>
        <v>-0.11233437249570599</v>
      </c>
    </row>
    <row r="95" spans="1:21" x14ac:dyDescent="0.2">
      <c r="A95" s="1" t="s">
        <v>1440</v>
      </c>
      <c r="B95" s="1" t="s">
        <v>1443</v>
      </c>
      <c r="D95" s="1" t="s">
        <v>42</v>
      </c>
      <c r="E95" s="1" t="s">
        <v>1240</v>
      </c>
      <c r="F95" s="1" t="s">
        <v>1274</v>
      </c>
      <c r="G95" s="1"/>
      <c r="I95" s="4">
        <v>63.3</v>
      </c>
      <c r="J95" s="11">
        <f>33.4/60</f>
        <v>0.55666666666666664</v>
      </c>
      <c r="L95" s="12">
        <f t="shared" si="2"/>
        <v>-0.25440478357207919</v>
      </c>
      <c r="M95" s="11">
        <f>GraphListeria!$B$10-(Listeria!I95-GraphListeria!$B$6)/GraphListeria!$B$5</f>
        <v>-0.11233437249570621</v>
      </c>
      <c r="N95" s="2" t="s">
        <v>1226</v>
      </c>
      <c r="O95">
        <v>1996</v>
      </c>
      <c r="S95" s="10">
        <f>GraphListeria!$B$43*Listeria!I95+GraphListeria!$B$44</f>
        <v>-7.1558267014859567E-2</v>
      </c>
      <c r="U95" s="10">
        <f>GraphListeria!$H$43*Listeria!I95+GraphListeria!$H$44</f>
        <v>-0.11233437249570599</v>
      </c>
    </row>
    <row r="96" spans="1:21" x14ac:dyDescent="0.2">
      <c r="A96" s="1" t="s">
        <v>1440</v>
      </c>
      <c r="B96" s="1" t="s">
        <v>1443</v>
      </c>
      <c r="D96" s="1" t="s">
        <v>42</v>
      </c>
      <c r="E96" s="1" t="s">
        <v>1240</v>
      </c>
      <c r="F96" s="1" t="s">
        <v>1274</v>
      </c>
      <c r="G96" s="1"/>
      <c r="I96" s="4">
        <v>63.3</v>
      </c>
      <c r="J96" s="11">
        <f>29.7/60</f>
        <v>0.495</v>
      </c>
      <c r="L96" s="12">
        <f t="shared" si="2"/>
        <v>-0.3053948010664313</v>
      </c>
      <c r="M96" s="11">
        <f>GraphListeria!$B$10-(Listeria!I96-GraphListeria!$B$6)/GraphListeria!$B$5</f>
        <v>-0.11233437249570621</v>
      </c>
      <c r="N96" s="2" t="s">
        <v>1226</v>
      </c>
      <c r="O96">
        <v>1996</v>
      </c>
      <c r="S96" s="10">
        <f>GraphListeria!$B$43*Listeria!I96+GraphListeria!$B$44</f>
        <v>-7.1558267014859567E-2</v>
      </c>
      <c r="U96" s="10">
        <f>GraphListeria!$H$43*Listeria!I96+GraphListeria!$H$44</f>
        <v>-0.11233437249570599</v>
      </c>
    </row>
    <row r="97" spans="1:21" x14ac:dyDescent="0.2">
      <c r="A97" s="1" t="s">
        <v>1440</v>
      </c>
      <c r="B97" s="1" t="s">
        <v>1443</v>
      </c>
      <c r="D97" s="1" t="s">
        <v>42</v>
      </c>
      <c r="E97" s="1" t="s">
        <v>1240</v>
      </c>
      <c r="F97" s="1" t="s">
        <v>1274</v>
      </c>
      <c r="G97" s="1"/>
      <c r="I97" s="4">
        <v>66.099999999999994</v>
      </c>
      <c r="J97" s="11">
        <f>6.2/60</f>
        <v>0.10333333333333333</v>
      </c>
      <c r="L97" s="12">
        <f t="shared" si="2"/>
        <v>-0.98575956088538974</v>
      </c>
      <c r="M97" s="11">
        <f>GraphListeria!$B$10-(Listeria!I97-GraphListeria!$B$6)/GraphListeria!$B$5</f>
        <v>-0.50990708759846481</v>
      </c>
      <c r="N97" s="2" t="s">
        <v>1226</v>
      </c>
      <c r="O97">
        <v>1996</v>
      </c>
      <c r="S97" s="10">
        <f>GraphListeria!$B$43*Listeria!I97+GraphListeria!$B$44</f>
        <v>-0.45817035862199873</v>
      </c>
      <c r="U97" s="10">
        <f>GraphListeria!$H$43*Listeria!I97+GraphListeria!$H$44</f>
        <v>-0.50990708759846548</v>
      </c>
    </row>
    <row r="98" spans="1:21" x14ac:dyDescent="0.2">
      <c r="A98" s="1" t="s">
        <v>1440</v>
      </c>
      <c r="B98" s="1" t="s">
        <v>1443</v>
      </c>
      <c r="D98" s="1" t="s">
        <v>42</v>
      </c>
      <c r="E98" s="1" t="s">
        <v>1240</v>
      </c>
      <c r="F98" s="1" t="s">
        <v>1274</v>
      </c>
      <c r="G98" s="1"/>
      <c r="I98" s="4">
        <v>66.099999999999994</v>
      </c>
      <c r="J98" s="11">
        <f>10.1/60</f>
        <v>0.16833333333333333</v>
      </c>
      <c r="L98" s="12">
        <f t="shared" si="2"/>
        <v>-0.77382987660100111</v>
      </c>
      <c r="M98" s="11">
        <f>GraphListeria!$B$10-(Listeria!I98-GraphListeria!$B$6)/GraphListeria!$B$5</f>
        <v>-0.50990708759846481</v>
      </c>
      <c r="N98" s="2" t="s">
        <v>1226</v>
      </c>
      <c r="O98">
        <v>1996</v>
      </c>
      <c r="S98" s="10">
        <f>GraphListeria!$B$43*Listeria!I98+GraphListeria!$B$44</f>
        <v>-0.45817035862199873</v>
      </c>
      <c r="U98" s="10">
        <f>GraphListeria!$H$43*Listeria!I98+GraphListeria!$H$44</f>
        <v>-0.50990708759846548</v>
      </c>
    </row>
    <row r="99" spans="1:21" x14ac:dyDescent="0.2">
      <c r="A99" s="1" t="s">
        <v>1440</v>
      </c>
      <c r="B99" s="1" t="s">
        <v>1443</v>
      </c>
      <c r="D99" s="1" t="s">
        <v>42</v>
      </c>
      <c r="E99" s="1" t="s">
        <v>1240</v>
      </c>
      <c r="F99" s="1" t="s">
        <v>1274</v>
      </c>
      <c r="G99" s="1"/>
      <c r="I99" s="4">
        <v>66.099999999999994</v>
      </c>
      <c r="J99" s="11">
        <f>15.1/60</f>
        <v>0.25166666666666665</v>
      </c>
      <c r="L99" s="12">
        <f t="shared" si="2"/>
        <v>-0.59917430309047426</v>
      </c>
      <c r="M99" s="11">
        <f>GraphListeria!$B$10-(Listeria!I99-GraphListeria!$B$6)/GraphListeria!$B$5</f>
        <v>-0.50990708759846481</v>
      </c>
      <c r="N99" s="2" t="s">
        <v>1226</v>
      </c>
      <c r="O99">
        <v>1996</v>
      </c>
      <c r="S99" s="10">
        <f>GraphListeria!$B$43*Listeria!I99+GraphListeria!$B$44</f>
        <v>-0.45817035862199873</v>
      </c>
      <c r="U99" s="10">
        <f>GraphListeria!$H$43*Listeria!I99+GraphListeria!$H$44</f>
        <v>-0.50990708759846548</v>
      </c>
    </row>
    <row r="100" spans="1:21" x14ac:dyDescent="0.2">
      <c r="A100" s="1" t="s">
        <v>1440</v>
      </c>
      <c r="B100" s="1" t="s">
        <v>1443</v>
      </c>
      <c r="D100" s="1" t="s">
        <v>42</v>
      </c>
      <c r="E100" s="1" t="s">
        <v>1240</v>
      </c>
      <c r="F100" s="1" t="s">
        <v>1274</v>
      </c>
      <c r="G100" s="1"/>
      <c r="I100" s="4">
        <v>68.900000000000006</v>
      </c>
      <c r="J100" s="11">
        <f>2.1/60</f>
        <v>3.5000000000000003E-2</v>
      </c>
      <c r="L100" s="12">
        <f t="shared" si="2"/>
        <v>-1.4559319556497243</v>
      </c>
      <c r="M100" s="11">
        <f>GraphListeria!$B$10-(Listeria!I100-GraphListeria!$B$6)/GraphListeria!$B$5</f>
        <v>-0.90747980270122541</v>
      </c>
      <c r="N100" s="2" t="s">
        <v>1226</v>
      </c>
      <c r="O100">
        <v>1996</v>
      </c>
      <c r="S100" s="10">
        <f>GraphListeria!$B$43*Listeria!I100+GraphListeria!$B$44</f>
        <v>-0.84478245022913789</v>
      </c>
      <c r="U100" s="10">
        <f>GraphListeria!$H$43*Listeria!I100+GraphListeria!$H$44</f>
        <v>-0.90747980270122497</v>
      </c>
    </row>
    <row r="101" spans="1:21" x14ac:dyDescent="0.2">
      <c r="A101" s="1" t="s">
        <v>1440</v>
      </c>
      <c r="B101" s="1" t="s">
        <v>1443</v>
      </c>
      <c r="D101" s="1" t="s">
        <v>42</v>
      </c>
      <c r="E101" s="1" t="s">
        <v>1240</v>
      </c>
      <c r="F101" s="1" t="s">
        <v>1274</v>
      </c>
      <c r="G101" s="1"/>
      <c r="I101" s="4">
        <v>68.900000000000006</v>
      </c>
      <c r="J101" s="11">
        <f>4.2/60</f>
        <v>7.0000000000000007E-2</v>
      </c>
      <c r="L101" s="12">
        <f t="shared" si="2"/>
        <v>-1.1549019599857431</v>
      </c>
      <c r="M101" s="11">
        <f>GraphListeria!$B$10-(Listeria!I101-GraphListeria!$B$6)/GraphListeria!$B$5</f>
        <v>-0.90747980270122541</v>
      </c>
      <c r="N101" s="2" t="s">
        <v>1226</v>
      </c>
      <c r="O101">
        <v>1996</v>
      </c>
      <c r="S101" s="10">
        <f>GraphListeria!$B$43*Listeria!I101+GraphListeria!$B$44</f>
        <v>-0.84478245022913789</v>
      </c>
      <c r="U101" s="10">
        <f>GraphListeria!$H$43*Listeria!I101+GraphListeria!$H$44</f>
        <v>-0.90747980270122497</v>
      </c>
    </row>
    <row r="102" spans="1:21" x14ac:dyDescent="0.2">
      <c r="A102" s="1" t="s">
        <v>1440</v>
      </c>
      <c r="B102" s="1" t="s">
        <v>1443</v>
      </c>
      <c r="D102" s="1" t="s">
        <v>42</v>
      </c>
      <c r="E102" s="1" t="s">
        <v>1240</v>
      </c>
      <c r="F102" s="1" t="s">
        <v>1274</v>
      </c>
      <c r="G102" s="1"/>
      <c r="I102" s="4">
        <v>68.900000000000006</v>
      </c>
      <c r="J102" s="11">
        <f>7/60</f>
        <v>0.11666666666666667</v>
      </c>
      <c r="L102" s="12">
        <f t="shared" si="2"/>
        <v>-0.93305321036938682</v>
      </c>
      <c r="M102" s="11">
        <f>GraphListeria!$B$10-(Listeria!I102-GraphListeria!$B$6)/GraphListeria!$B$5</f>
        <v>-0.90747980270122541</v>
      </c>
      <c r="N102" s="2" t="s">
        <v>1226</v>
      </c>
      <c r="O102">
        <v>1996</v>
      </c>
      <c r="S102" s="10">
        <f>GraphListeria!$B$43*Listeria!I102+GraphListeria!$B$44</f>
        <v>-0.84478245022913789</v>
      </c>
      <c r="U102" s="10">
        <f>GraphListeria!$H$43*Listeria!I102+GraphListeria!$H$44</f>
        <v>-0.90747980270122497</v>
      </c>
    </row>
    <row r="103" spans="1:21" x14ac:dyDescent="0.2">
      <c r="A103" s="1" t="s">
        <v>1440</v>
      </c>
      <c r="B103" s="1" t="s">
        <v>1443</v>
      </c>
      <c r="D103" s="1" t="s">
        <v>42</v>
      </c>
      <c r="E103" s="1" t="s">
        <v>1240</v>
      </c>
      <c r="F103" s="1" t="s">
        <v>1274</v>
      </c>
      <c r="G103" s="1"/>
      <c r="I103" s="4">
        <v>68.900000000000006</v>
      </c>
      <c r="J103" s="11">
        <f>7.2/60</f>
        <v>0.12000000000000001</v>
      </c>
      <c r="L103" s="12">
        <f t="shared" si="2"/>
        <v>-0.92081875395237511</v>
      </c>
      <c r="M103" s="11">
        <f>GraphListeria!$B$10-(Listeria!I103-GraphListeria!$B$6)/GraphListeria!$B$5</f>
        <v>-0.90747980270122541</v>
      </c>
      <c r="N103" s="2" t="s">
        <v>1226</v>
      </c>
      <c r="O103">
        <v>1996</v>
      </c>
      <c r="S103" s="10">
        <f>GraphListeria!$B$43*Listeria!I103+GraphListeria!$B$44</f>
        <v>-0.84478245022913789</v>
      </c>
      <c r="U103" s="10">
        <f>GraphListeria!$H$43*Listeria!I103+GraphListeria!$H$44</f>
        <v>-0.90747980270122497</v>
      </c>
    </row>
    <row r="104" spans="1:21" x14ac:dyDescent="0.2">
      <c r="A104" s="1" t="s">
        <v>1440</v>
      </c>
      <c r="B104" s="1" t="s">
        <v>1443</v>
      </c>
      <c r="D104" s="1" t="s">
        <v>42</v>
      </c>
      <c r="E104" s="1" t="s">
        <v>1240</v>
      </c>
      <c r="F104" s="1" t="s">
        <v>1274</v>
      </c>
      <c r="G104" s="1"/>
      <c r="I104" s="4">
        <v>68.900000000000006</v>
      </c>
      <c r="J104" s="11">
        <f>5.3/60</f>
        <v>8.8333333333333333E-2</v>
      </c>
      <c r="L104" s="12">
        <f t="shared" si="2"/>
        <v>-1.0538753807828547</v>
      </c>
      <c r="M104" s="11">
        <f>GraphListeria!$B$10-(Listeria!I104-GraphListeria!$B$6)/GraphListeria!$B$5</f>
        <v>-0.90747980270122541</v>
      </c>
      <c r="N104" s="2" t="s">
        <v>1226</v>
      </c>
      <c r="O104">
        <v>1996</v>
      </c>
      <c r="S104" s="10">
        <f>GraphListeria!$B$43*Listeria!I104+GraphListeria!$B$44</f>
        <v>-0.84478245022913789</v>
      </c>
      <c r="U104" s="10">
        <f>GraphListeria!$H$43*Listeria!I104+GraphListeria!$H$44</f>
        <v>-0.90747980270122497</v>
      </c>
    </row>
    <row r="105" spans="1:21" x14ac:dyDescent="0.2">
      <c r="A105" s="1" t="s">
        <v>1440</v>
      </c>
      <c r="B105" s="1" t="s">
        <v>1443</v>
      </c>
      <c r="D105" s="1" t="s">
        <v>42</v>
      </c>
      <c r="E105" s="1" t="s">
        <v>1240</v>
      </c>
      <c r="F105" s="1" t="s">
        <v>1274</v>
      </c>
      <c r="G105" s="1"/>
      <c r="I105" s="4">
        <v>71.7</v>
      </c>
      <c r="J105" s="11">
        <f>0.8/60</f>
        <v>1.3333333333333334E-2</v>
      </c>
      <c r="L105" s="12">
        <f t="shared" si="2"/>
        <v>-1.8750612633917001</v>
      </c>
      <c r="M105" s="11">
        <f>GraphListeria!$B$10-(Listeria!I105-GraphListeria!$B$6)/GraphListeria!$B$5</f>
        <v>-1.305052517803984</v>
      </c>
      <c r="N105" s="2" t="s">
        <v>1226</v>
      </c>
      <c r="O105">
        <v>1996</v>
      </c>
      <c r="S105" s="10">
        <f>GraphListeria!$B$43*Listeria!I105+GraphListeria!$B$44</f>
        <v>-1.2313945418362771</v>
      </c>
      <c r="U105" s="10">
        <f>GraphListeria!$H$43*Listeria!I105+GraphListeria!$H$44</f>
        <v>-1.3050525178039845</v>
      </c>
    </row>
    <row r="106" spans="1:21" x14ac:dyDescent="0.2">
      <c r="A106" s="1" t="s">
        <v>1440</v>
      </c>
      <c r="B106" s="1" t="s">
        <v>1443</v>
      </c>
      <c r="D106" s="1" t="s">
        <v>42</v>
      </c>
      <c r="E106" s="1" t="s">
        <v>1240</v>
      </c>
      <c r="F106" s="1" t="s">
        <v>1274</v>
      </c>
      <c r="G106" s="1"/>
      <c r="I106" s="4">
        <v>71.7</v>
      </c>
      <c r="J106" s="11">
        <f>1.1/60</f>
        <v>1.8333333333333333E-2</v>
      </c>
      <c r="L106" s="12">
        <f t="shared" si="2"/>
        <v>-1.7367585652254185</v>
      </c>
      <c r="M106" s="11">
        <f>GraphListeria!$B$10-(Listeria!I106-GraphListeria!$B$6)/GraphListeria!$B$5</f>
        <v>-1.305052517803984</v>
      </c>
      <c r="N106" s="2" t="s">
        <v>1226</v>
      </c>
      <c r="O106">
        <v>1996</v>
      </c>
      <c r="S106" s="10">
        <f>GraphListeria!$B$43*Listeria!I106+GraphListeria!$B$44</f>
        <v>-1.2313945418362771</v>
      </c>
      <c r="U106" s="10">
        <f>GraphListeria!$H$43*Listeria!I106+GraphListeria!$H$44</f>
        <v>-1.3050525178039845</v>
      </c>
    </row>
    <row r="107" spans="1:21" x14ac:dyDescent="0.2">
      <c r="A107" s="1" t="s">
        <v>1440</v>
      </c>
      <c r="B107" s="1" t="s">
        <v>1443</v>
      </c>
      <c r="D107" s="1" t="s">
        <v>42</v>
      </c>
      <c r="E107" s="1" t="s">
        <v>1240</v>
      </c>
      <c r="F107" s="1" t="s">
        <v>1274</v>
      </c>
      <c r="G107" s="1"/>
      <c r="I107" s="4">
        <v>71.7</v>
      </c>
      <c r="J107" s="11">
        <f>1.3/60</f>
        <v>2.1666666666666667E-2</v>
      </c>
      <c r="L107" s="12">
        <f t="shared" si="2"/>
        <v>-1.6642078980768069</v>
      </c>
      <c r="M107" s="11">
        <f>GraphListeria!$B$10-(Listeria!I107-GraphListeria!$B$6)/GraphListeria!$B$5</f>
        <v>-1.305052517803984</v>
      </c>
      <c r="N107" s="2" t="s">
        <v>1226</v>
      </c>
      <c r="O107">
        <v>1996</v>
      </c>
      <c r="S107" s="10">
        <f>GraphListeria!$B$43*Listeria!I107+GraphListeria!$B$44</f>
        <v>-1.2313945418362771</v>
      </c>
      <c r="U107" s="10">
        <f>GraphListeria!$H$43*Listeria!I107+GraphListeria!$H$44</f>
        <v>-1.3050525178039845</v>
      </c>
    </row>
    <row r="108" spans="1:21" x14ac:dyDescent="0.2">
      <c r="A108" s="1" t="s">
        <v>1440</v>
      </c>
      <c r="B108" s="1" t="s">
        <v>1443</v>
      </c>
      <c r="D108" s="1" t="s">
        <v>42</v>
      </c>
      <c r="E108" s="1" t="s">
        <v>1240</v>
      </c>
      <c r="F108" s="1" t="s">
        <v>1274</v>
      </c>
      <c r="G108" s="1"/>
      <c r="I108" s="4">
        <v>74.400000000000006</v>
      </c>
      <c r="J108" s="11">
        <f>0.5/60</f>
        <v>8.3333333333333332E-3</v>
      </c>
      <c r="L108" s="12">
        <f t="shared" si="2"/>
        <v>-2.0791812460476247</v>
      </c>
      <c r="M108" s="11">
        <f>GraphListeria!$B$10-(Listeria!I108-GraphListeria!$B$6)/GraphListeria!$B$5</f>
        <v>-1.688426207367359</v>
      </c>
      <c r="N108" s="2" t="s">
        <v>1226</v>
      </c>
      <c r="O108">
        <v>1996</v>
      </c>
      <c r="S108" s="10">
        <f>GraphListeria!$B$43*Listeria!I108+GraphListeria!$B$44</f>
        <v>-1.6041990587431609</v>
      </c>
      <c r="U108" s="10">
        <f>GraphListeria!$H$43*Listeria!I108+GraphListeria!$H$44</f>
        <v>-1.6884262073673586</v>
      </c>
    </row>
    <row r="109" spans="1:21" x14ac:dyDescent="0.2">
      <c r="A109" s="1" t="s">
        <v>1440</v>
      </c>
      <c r="B109" s="1" t="s">
        <v>1443</v>
      </c>
      <c r="D109" s="1" t="s">
        <v>42</v>
      </c>
      <c r="E109" s="1" t="s">
        <v>1240</v>
      </c>
      <c r="F109" s="1" t="s">
        <v>1274</v>
      </c>
      <c r="G109" s="1"/>
      <c r="I109" s="4">
        <v>74.400000000000006</v>
      </c>
      <c r="J109" s="11">
        <f>0.9/60</f>
        <v>1.5000000000000001E-2</v>
      </c>
      <c r="L109" s="12">
        <f t="shared" si="2"/>
        <v>-1.8239087409443187</v>
      </c>
      <c r="M109" s="11">
        <f>GraphListeria!$B$10-(Listeria!I109-GraphListeria!$B$6)/GraphListeria!$B$5</f>
        <v>-1.688426207367359</v>
      </c>
      <c r="N109" s="2" t="s">
        <v>1226</v>
      </c>
      <c r="O109">
        <v>1996</v>
      </c>
      <c r="S109" s="10">
        <f>GraphListeria!$B$43*Listeria!I109+GraphListeria!$B$44</f>
        <v>-1.6041990587431609</v>
      </c>
      <c r="U109" s="10">
        <f>GraphListeria!$H$43*Listeria!I109+GraphListeria!$H$44</f>
        <v>-1.6884262073673586</v>
      </c>
    </row>
    <row r="110" spans="1:21" x14ac:dyDescent="0.2">
      <c r="A110" s="1" t="s">
        <v>1440</v>
      </c>
      <c r="B110" s="1" t="s">
        <v>1443</v>
      </c>
      <c r="C110" s="1"/>
      <c r="D110" s="1" t="s">
        <v>42</v>
      </c>
      <c r="E110" s="1" t="s">
        <v>1240</v>
      </c>
      <c r="F110" s="1" t="s">
        <v>10</v>
      </c>
      <c r="G110" s="1"/>
      <c r="H110" s="5"/>
      <c r="I110" s="5">
        <v>50</v>
      </c>
      <c r="J110" s="9">
        <v>31.67</v>
      </c>
      <c r="K110" s="5"/>
      <c r="L110" s="12">
        <f t="shared" si="2"/>
        <v>1.5006480633719119</v>
      </c>
      <c r="M110" s="11">
        <f>GraphListeria!$B$10-(Listeria!I110-GraphListeria!$B$6)/GraphListeria!$B$5</f>
        <v>1.7761360242423989</v>
      </c>
      <c r="N110" s="2" t="s">
        <v>1226</v>
      </c>
      <c r="O110">
        <v>1996</v>
      </c>
      <c r="S110" s="10">
        <f>GraphListeria!$B$43*Listeria!I110+GraphListeria!$B$44</f>
        <v>1.7648491681190492</v>
      </c>
      <c r="U110" s="10">
        <f>GraphListeria!$H$43*Listeria!I110+GraphListeria!$H$44</f>
        <v>1.7761360242423985</v>
      </c>
    </row>
    <row r="111" spans="1:21" x14ac:dyDescent="0.2">
      <c r="A111" s="1" t="s">
        <v>1440</v>
      </c>
      <c r="B111" s="1" t="s">
        <v>1443</v>
      </c>
      <c r="D111" s="1" t="s">
        <v>42</v>
      </c>
      <c r="E111" t="s">
        <v>1240</v>
      </c>
      <c r="F111" t="s">
        <v>10</v>
      </c>
      <c r="I111" s="4">
        <v>55</v>
      </c>
      <c r="J111" s="11">
        <v>4.5</v>
      </c>
      <c r="L111" s="12">
        <f t="shared" si="2"/>
        <v>0.65321251377534373</v>
      </c>
      <c r="M111" s="11">
        <f>GraphListeria!$B$10-(Listeria!I111-GraphListeria!$B$6)/GraphListeria!$B$5</f>
        <v>1.0661847472731862</v>
      </c>
      <c r="N111" s="2" t="s">
        <v>1226</v>
      </c>
      <c r="O111">
        <v>1996</v>
      </c>
      <c r="S111" s="10">
        <f>GraphListeria!$B$43*Listeria!I111+GraphListeria!$B$44</f>
        <v>1.0744704331063017</v>
      </c>
      <c r="U111" s="10">
        <f>GraphListeria!$H$43*Listeria!I111+GraphListeria!$H$44</f>
        <v>1.0661847472731862</v>
      </c>
    </row>
    <row r="112" spans="1:21" x14ac:dyDescent="0.2">
      <c r="A112" s="1" t="s">
        <v>1440</v>
      </c>
      <c r="B112" s="1" t="s">
        <v>1443</v>
      </c>
      <c r="D112" s="1" t="s">
        <v>42</v>
      </c>
      <c r="E112" s="1" t="s">
        <v>1240</v>
      </c>
      <c r="F112" s="1" t="s">
        <v>10</v>
      </c>
      <c r="G112" s="1"/>
      <c r="I112" s="4">
        <v>60</v>
      </c>
      <c r="J112" s="11">
        <f>57/60</f>
        <v>0.95</v>
      </c>
      <c r="L112" s="12">
        <f t="shared" si="2"/>
        <v>-2.2276394711152253E-2</v>
      </c>
      <c r="M112" s="11">
        <f>GraphListeria!$B$10-(Listeria!I112-GraphListeria!$B$6)/GraphListeria!$B$5</f>
        <v>0.35623347030397379</v>
      </c>
      <c r="N112" s="2" t="s">
        <v>1226</v>
      </c>
      <c r="O112">
        <v>1996</v>
      </c>
      <c r="S112" s="10">
        <f>GraphListeria!$B$43*Listeria!I112+GraphListeria!$B$44</f>
        <v>0.38409169809355426</v>
      </c>
      <c r="U112" s="10">
        <f>GraphListeria!$H$43*Listeria!I112+GraphListeria!$H$44</f>
        <v>0.35623347030397312</v>
      </c>
    </row>
    <row r="113" spans="1:21" x14ac:dyDescent="0.2">
      <c r="A113" s="1" t="s">
        <v>1440</v>
      </c>
      <c r="B113" s="1" t="s">
        <v>1443</v>
      </c>
      <c r="D113" s="1" t="s">
        <v>42</v>
      </c>
      <c r="E113" t="s">
        <v>1240</v>
      </c>
      <c r="F113" t="s">
        <v>10</v>
      </c>
      <c r="I113" s="4">
        <v>62.8</v>
      </c>
      <c r="J113" s="11">
        <f>20/60</f>
        <v>0.33333333333333331</v>
      </c>
      <c r="L113" s="12">
        <f t="shared" si="2"/>
        <v>-0.47712125471966244</v>
      </c>
      <c r="M113" s="11">
        <f>GraphListeria!$B$10-(Listeria!I113-GraphListeria!$B$6)/GraphListeria!$B$5</f>
        <v>-4.1339244798784813E-2</v>
      </c>
      <c r="N113" s="2" t="s">
        <v>1226</v>
      </c>
      <c r="O113">
        <v>1996</v>
      </c>
      <c r="S113" s="10">
        <f>GraphListeria!$B$43*Listeria!I113+GraphListeria!$B$44</f>
        <v>-2.5203935135849065E-3</v>
      </c>
      <c r="U113" s="10">
        <f>GraphListeria!$H$43*Listeria!I113+GraphListeria!$H$44</f>
        <v>-4.1339244798784591E-2</v>
      </c>
    </row>
    <row r="114" spans="1:21" x14ac:dyDescent="0.2">
      <c r="A114" s="1" t="s">
        <v>1440</v>
      </c>
      <c r="B114" s="1" t="s">
        <v>1443</v>
      </c>
      <c r="D114" s="1" t="s">
        <v>42</v>
      </c>
      <c r="E114" s="1" t="s">
        <v>1240</v>
      </c>
      <c r="F114" s="1" t="s">
        <v>10</v>
      </c>
      <c r="G114" s="1"/>
      <c r="I114" s="4">
        <v>65</v>
      </c>
      <c r="J114" s="11">
        <f>6/60</f>
        <v>0.1</v>
      </c>
      <c r="L114" s="12">
        <f t="shared" si="2"/>
        <v>-1</v>
      </c>
      <c r="M114" s="11">
        <f>GraphListeria!$B$10-(Listeria!I114-GraphListeria!$B$6)/GraphListeria!$B$5</f>
        <v>-0.35371780666523878</v>
      </c>
      <c r="N114" s="2" t="s">
        <v>1226</v>
      </c>
      <c r="O114">
        <v>1996</v>
      </c>
      <c r="S114" s="10">
        <f>GraphListeria!$B$43*Listeria!I114+GraphListeria!$B$44</f>
        <v>-0.30628703691919412</v>
      </c>
      <c r="U114" s="10">
        <f>GraphListeria!$H$43*Listeria!I114+GraphListeria!$H$44</f>
        <v>-0.35371780666523911</v>
      </c>
    </row>
    <row r="115" spans="1:21" x14ac:dyDescent="0.2">
      <c r="A115" s="1" t="s">
        <v>1440</v>
      </c>
      <c r="B115" s="1" t="s">
        <v>1443</v>
      </c>
      <c r="D115" s="1" t="s">
        <v>42</v>
      </c>
      <c r="E115" s="1" t="s">
        <v>1240</v>
      </c>
      <c r="F115" s="1" t="s">
        <v>10</v>
      </c>
      <c r="G115" s="1"/>
      <c r="I115" s="4">
        <v>70</v>
      </c>
      <c r="J115" s="11">
        <f>1.4/60</f>
        <v>2.3333333333333331E-2</v>
      </c>
      <c r="L115" s="12">
        <f t="shared" si="2"/>
        <v>-1.6320232147054057</v>
      </c>
      <c r="M115" s="11">
        <f>GraphListeria!$B$10-(Listeria!I115-GraphListeria!$B$6)/GraphListeria!$B$5</f>
        <v>-1.0636690836344513</v>
      </c>
      <c r="N115" s="2" t="s">
        <v>1226</v>
      </c>
      <c r="O115">
        <v>1996</v>
      </c>
      <c r="S115" s="10">
        <f>GraphListeria!$B$43*Listeria!I115+GraphListeria!$B$44</f>
        <v>-0.9966657719319425</v>
      </c>
      <c r="U115" s="10">
        <f>GraphListeria!$H$43*Listeria!I115+GraphListeria!$H$44</f>
        <v>-1.0636690836344513</v>
      </c>
    </row>
    <row r="116" spans="1:21" x14ac:dyDescent="0.2">
      <c r="A116" s="1" t="s">
        <v>1440</v>
      </c>
      <c r="B116" s="1" t="s">
        <v>1443</v>
      </c>
      <c r="D116" s="1" t="s">
        <v>42</v>
      </c>
      <c r="E116" s="1" t="s">
        <v>1240</v>
      </c>
      <c r="F116" s="1" t="s">
        <v>10</v>
      </c>
      <c r="G116" s="1"/>
      <c r="I116" s="4">
        <v>71.7</v>
      </c>
      <c r="J116" s="11">
        <f>0.94/60</f>
        <v>1.5666666666666666E-2</v>
      </c>
      <c r="L116" s="12">
        <f t="shared" si="2"/>
        <v>-1.8050233967839451</v>
      </c>
      <c r="M116" s="11">
        <f>GraphListeria!$B$10-(Listeria!I116-GraphListeria!$B$6)/GraphListeria!$B$5</f>
        <v>-1.305052517803984</v>
      </c>
      <c r="N116" s="2" t="s">
        <v>1226</v>
      </c>
      <c r="O116">
        <v>1996</v>
      </c>
      <c r="S116" s="10">
        <f>GraphListeria!$B$43*Listeria!I116+GraphListeria!$B$44</f>
        <v>-1.2313945418362771</v>
      </c>
      <c r="U116" s="10">
        <f>GraphListeria!$H$43*Listeria!I116+GraphListeria!$H$44</f>
        <v>-1.3050525178039845</v>
      </c>
    </row>
    <row r="117" spans="1:21" x14ac:dyDescent="0.2">
      <c r="A117" s="1" t="s">
        <v>1440</v>
      </c>
      <c r="B117" s="1" t="s">
        <v>1443</v>
      </c>
      <c r="D117" s="1" t="s">
        <v>42</v>
      </c>
      <c r="E117" s="1" t="s">
        <v>1240</v>
      </c>
      <c r="F117" s="1" t="s">
        <v>10</v>
      </c>
      <c r="G117" s="1"/>
      <c r="I117" s="4">
        <v>75</v>
      </c>
      <c r="J117" s="11">
        <f>0.46/60</f>
        <v>7.6666666666666671E-3</v>
      </c>
      <c r="L117" s="12">
        <f t="shared" si="2"/>
        <v>-2.1153934187020695</v>
      </c>
      <c r="M117" s="11">
        <f>GraphListeria!$B$10-(Listeria!I117-GraphListeria!$B$6)/GraphListeria!$B$5</f>
        <v>-1.773620360603664</v>
      </c>
      <c r="N117" s="2" t="s">
        <v>1226</v>
      </c>
      <c r="O117">
        <v>1996</v>
      </c>
      <c r="S117" s="10">
        <f>GraphListeria!$B$43*Listeria!I117+GraphListeria!$B$44</f>
        <v>-1.6870445069446909</v>
      </c>
      <c r="U117" s="10">
        <f>GraphListeria!$H$43*Listeria!I117+GraphListeria!$H$44</f>
        <v>-1.7736203606036636</v>
      </c>
    </row>
    <row r="118" spans="1:21" x14ac:dyDescent="0.2">
      <c r="A118" s="1" t="s">
        <v>1440</v>
      </c>
      <c r="B118" s="1" t="s">
        <v>1443</v>
      </c>
      <c r="C118" t="s">
        <v>427</v>
      </c>
      <c r="D118" s="1" t="s">
        <v>42</v>
      </c>
      <c r="E118" s="1" t="s">
        <v>1240</v>
      </c>
      <c r="F118" s="1" t="s">
        <v>1261</v>
      </c>
      <c r="G118" s="1"/>
      <c r="I118" s="4">
        <v>62.7</v>
      </c>
      <c r="J118" s="11">
        <v>0.9</v>
      </c>
      <c r="L118" s="12">
        <f t="shared" si="2"/>
        <v>-4.5757490560675115E-2</v>
      </c>
      <c r="M118" s="11">
        <f>GraphListeria!$B$10-(Listeria!I118-GraphListeria!$B$6)/GraphListeria!$B$5</f>
        <v>-2.7140219259401466E-2</v>
      </c>
      <c r="N118" s="1" t="s">
        <v>706</v>
      </c>
      <c r="O118">
        <v>1986</v>
      </c>
      <c r="S118" s="10">
        <f>GraphListeria!$B$43*Listeria!I118+GraphListeria!$B$44</f>
        <v>1.1287181186668604E-2</v>
      </c>
      <c r="U118" s="10">
        <f>GraphListeria!$H$43*Listeria!I118+GraphListeria!$H$44</f>
        <v>-2.7140219259401022E-2</v>
      </c>
    </row>
    <row r="119" spans="1:21" x14ac:dyDescent="0.2">
      <c r="A119" s="1" t="s">
        <v>1440</v>
      </c>
      <c r="B119" s="1" t="s">
        <v>1443</v>
      </c>
      <c r="C119" t="s">
        <v>663</v>
      </c>
      <c r="D119" s="1" t="s">
        <v>42</v>
      </c>
      <c r="E119" s="1" t="s">
        <v>1240</v>
      </c>
      <c r="F119" s="1" t="s">
        <v>1261</v>
      </c>
      <c r="G119" s="1"/>
      <c r="I119" s="4">
        <v>61.9</v>
      </c>
      <c r="J119" s="11">
        <v>0.4</v>
      </c>
      <c r="L119" s="12">
        <f t="shared" si="2"/>
        <v>-0.3979400086720376</v>
      </c>
      <c r="M119" s="11">
        <f>GraphListeria!$B$10-(Listeria!I119-GraphListeria!$B$6)/GraphListeria!$B$5</f>
        <v>8.6451985055673086E-2</v>
      </c>
      <c r="N119" s="1" t="s">
        <v>490</v>
      </c>
      <c r="O119">
        <v>2001</v>
      </c>
      <c r="P119" t="s">
        <v>681</v>
      </c>
      <c r="S119" s="10">
        <f>GraphListeria!$B$43*Listeria!I119+GraphListeria!$B$44</f>
        <v>0.12174777878870913</v>
      </c>
      <c r="U119" s="10">
        <f>GraphListeria!$H$43*Listeria!I119+GraphListeria!$H$44</f>
        <v>8.6451985055672864E-2</v>
      </c>
    </row>
    <row r="120" spans="1:21" x14ac:dyDescent="0.2">
      <c r="A120" s="1" t="s">
        <v>1440</v>
      </c>
      <c r="B120" s="1" t="s">
        <v>1443</v>
      </c>
      <c r="C120">
        <v>19115</v>
      </c>
      <c r="D120" s="1" t="s">
        <v>42</v>
      </c>
      <c r="E120" s="1" t="s">
        <v>1240</v>
      </c>
      <c r="F120" s="1" t="s">
        <v>1261</v>
      </c>
      <c r="G120" s="1"/>
      <c r="I120" s="4">
        <v>61.9</v>
      </c>
      <c r="J120" s="11">
        <v>0.1</v>
      </c>
      <c r="L120" s="12">
        <f t="shared" si="2"/>
        <v>-1</v>
      </c>
      <c r="M120" s="11">
        <f>GraphListeria!$B$10-(Listeria!I120-GraphListeria!$B$6)/GraphListeria!$B$5</f>
        <v>8.6451985055673086E-2</v>
      </c>
      <c r="N120" s="1" t="s">
        <v>490</v>
      </c>
      <c r="O120">
        <v>2001</v>
      </c>
      <c r="P120" t="s">
        <v>681</v>
      </c>
      <c r="S120" s="10">
        <f>GraphListeria!$B$43*Listeria!I120+GraphListeria!$B$44</f>
        <v>0.12174777878870913</v>
      </c>
      <c r="U120" s="10">
        <f>GraphListeria!$H$43*Listeria!I120+GraphListeria!$H$44</f>
        <v>8.6451985055672864E-2</v>
      </c>
    </row>
    <row r="121" spans="1:21" x14ac:dyDescent="0.2">
      <c r="A121" s="1" t="s">
        <v>1440</v>
      </c>
      <c r="B121" s="1" t="s">
        <v>1443</v>
      </c>
      <c r="C121" t="s">
        <v>427</v>
      </c>
      <c r="D121" s="1" t="s">
        <v>42</v>
      </c>
      <c r="E121" s="1" t="s">
        <v>1240</v>
      </c>
      <c r="F121" s="1" t="s">
        <v>1261</v>
      </c>
      <c r="G121" s="1"/>
      <c r="I121" s="4">
        <v>61.9</v>
      </c>
      <c r="J121" s="11">
        <v>0.4</v>
      </c>
      <c r="L121" s="12">
        <f t="shared" si="2"/>
        <v>-0.3979400086720376</v>
      </c>
      <c r="M121" s="11">
        <f>GraphListeria!$B$10-(Listeria!I121-GraphListeria!$B$6)/GraphListeria!$B$5</f>
        <v>8.6451985055673086E-2</v>
      </c>
      <c r="N121" s="1" t="s">
        <v>490</v>
      </c>
      <c r="O121">
        <v>2001</v>
      </c>
      <c r="P121" t="s">
        <v>681</v>
      </c>
      <c r="S121" s="10">
        <f>GraphListeria!$B$43*Listeria!I121+GraphListeria!$B$44</f>
        <v>0.12174777878870913</v>
      </c>
      <c r="U121" s="10">
        <f>GraphListeria!$H$43*Listeria!I121+GraphListeria!$H$44</f>
        <v>8.6451985055672864E-2</v>
      </c>
    </row>
    <row r="122" spans="1:21" x14ac:dyDescent="0.2">
      <c r="A122" s="1" t="s">
        <v>1440</v>
      </c>
      <c r="B122" s="1" t="s">
        <v>1443</v>
      </c>
      <c r="C122" t="s">
        <v>427</v>
      </c>
      <c r="D122" s="1" t="s">
        <v>42</v>
      </c>
      <c r="E122" s="1" t="s">
        <v>1240</v>
      </c>
      <c r="F122" s="1" t="s">
        <v>1261</v>
      </c>
      <c r="G122" s="1"/>
      <c r="I122" s="4">
        <v>56</v>
      </c>
      <c r="J122" s="11">
        <v>9</v>
      </c>
      <c r="L122" s="12">
        <f t="shared" si="2"/>
        <v>0.95424250943932487</v>
      </c>
      <c r="M122" s="11">
        <f>GraphListeria!$B$10-(Listeria!I122-GraphListeria!$B$6)/GraphListeria!$B$5</f>
        <v>0.92419449187934366</v>
      </c>
      <c r="N122" s="1" t="s">
        <v>490</v>
      </c>
      <c r="O122">
        <v>2001</v>
      </c>
      <c r="S122" s="10">
        <f>GraphListeria!$B$43*Listeria!I122+GraphListeria!$B$44</f>
        <v>0.93639468610375154</v>
      </c>
      <c r="U122" s="10">
        <f>GraphListeria!$H$43*Listeria!I122+GraphListeria!$H$44</f>
        <v>0.92419449187934344</v>
      </c>
    </row>
    <row r="123" spans="1:21" x14ac:dyDescent="0.2">
      <c r="A123" s="1" t="s">
        <v>1440</v>
      </c>
      <c r="B123" s="1" t="s">
        <v>1443</v>
      </c>
      <c r="C123" t="s">
        <v>427</v>
      </c>
      <c r="D123" s="1" t="s">
        <v>42</v>
      </c>
      <c r="E123" s="1" t="s">
        <v>1240</v>
      </c>
      <c r="F123" s="1" t="s">
        <v>1261</v>
      </c>
      <c r="G123" s="1"/>
      <c r="I123" s="4">
        <v>60</v>
      </c>
      <c r="J123" s="11">
        <v>1</v>
      </c>
      <c r="L123" s="12">
        <f t="shared" si="2"/>
        <v>0</v>
      </c>
      <c r="M123" s="11">
        <f>GraphListeria!$B$10-(Listeria!I123-GraphListeria!$B$6)/GraphListeria!$B$5</f>
        <v>0.35623347030397379</v>
      </c>
      <c r="N123" s="1" t="s">
        <v>490</v>
      </c>
      <c r="O123">
        <v>2001</v>
      </c>
      <c r="S123" s="10">
        <f>GraphListeria!$B$43*Listeria!I123+GraphListeria!$B$44</f>
        <v>0.38409169809355426</v>
      </c>
      <c r="U123" s="10">
        <f>GraphListeria!$H$43*Listeria!I123+GraphListeria!$H$44</f>
        <v>0.35623347030397312</v>
      </c>
    </row>
    <row r="124" spans="1:21" x14ac:dyDescent="0.2">
      <c r="A124" s="1" t="s">
        <v>1440</v>
      </c>
      <c r="B124" s="1" t="s">
        <v>1443</v>
      </c>
      <c r="C124" t="s">
        <v>427</v>
      </c>
      <c r="D124" s="1" t="s">
        <v>42</v>
      </c>
      <c r="E124" s="1" t="s">
        <v>1240</v>
      </c>
      <c r="F124" s="1" t="s">
        <v>1261</v>
      </c>
      <c r="G124" s="1"/>
      <c r="I124" s="4">
        <v>65.849999999999994</v>
      </c>
      <c r="J124" s="11">
        <v>0.1</v>
      </c>
      <c r="L124" s="12">
        <f t="shared" si="2"/>
        <v>-1</v>
      </c>
      <c r="M124" s="11">
        <f>GraphListeria!$B$10-(Listeria!I124-GraphListeria!$B$6)/GraphListeria!$B$5</f>
        <v>-0.47440952375000411</v>
      </c>
      <c r="N124" s="1" t="s">
        <v>490</v>
      </c>
      <c r="O124">
        <v>2001</v>
      </c>
      <c r="S124" s="10">
        <f>GraphListeria!$B$43*Listeria!I124+GraphListeria!$B$44</f>
        <v>-0.42365142187136051</v>
      </c>
      <c r="U124" s="10">
        <f>GraphListeria!$H$43*Listeria!I124+GraphListeria!$H$44</f>
        <v>-0.47440952375000478</v>
      </c>
    </row>
    <row r="125" spans="1:21" x14ac:dyDescent="0.2">
      <c r="A125" s="1" t="s">
        <v>1440</v>
      </c>
      <c r="B125" s="1" t="s">
        <v>1443</v>
      </c>
      <c r="C125" t="s">
        <v>427</v>
      </c>
      <c r="D125" s="1" t="s">
        <v>42</v>
      </c>
      <c r="E125" s="1" t="s">
        <v>1240</v>
      </c>
      <c r="F125" s="1" t="s">
        <v>1261</v>
      </c>
      <c r="G125" s="1"/>
      <c r="I125" s="4">
        <v>61.9</v>
      </c>
      <c r="J125" s="11">
        <v>0.64</v>
      </c>
      <c r="L125" s="12">
        <f t="shared" si="2"/>
        <v>-0.19382002601611281</v>
      </c>
      <c r="M125" s="11">
        <f>GraphListeria!$B$10-(Listeria!I125-GraphListeria!$B$6)/GraphListeria!$B$5</f>
        <v>8.6451985055673086E-2</v>
      </c>
      <c r="N125" s="1" t="s">
        <v>490</v>
      </c>
      <c r="O125">
        <v>2001</v>
      </c>
      <c r="S125" s="10">
        <f>GraphListeria!$B$43*Listeria!I125+GraphListeria!$B$44</f>
        <v>0.12174777878870913</v>
      </c>
      <c r="U125" s="10">
        <f>GraphListeria!$H$43*Listeria!I125+GraphListeria!$H$44</f>
        <v>8.6451985055672864E-2</v>
      </c>
    </row>
    <row r="126" spans="1:21" x14ac:dyDescent="0.2">
      <c r="A126" s="1" t="s">
        <v>1440</v>
      </c>
      <c r="B126" s="1" t="s">
        <v>1443</v>
      </c>
      <c r="C126" t="s">
        <v>427</v>
      </c>
      <c r="D126" s="1" t="s">
        <v>42</v>
      </c>
      <c r="E126" s="1" t="s">
        <v>1240</v>
      </c>
      <c r="F126" s="1" t="s">
        <v>1261</v>
      </c>
      <c r="G126" s="1"/>
      <c r="I126" s="4">
        <v>65.849999999999994</v>
      </c>
      <c r="J126" s="11">
        <v>0.13</v>
      </c>
      <c r="L126" s="12">
        <f t="shared" si="2"/>
        <v>-0.88605664769316317</v>
      </c>
      <c r="M126" s="11">
        <f>GraphListeria!$B$10-(Listeria!I126-GraphListeria!$B$6)/GraphListeria!$B$5</f>
        <v>-0.47440952375000411</v>
      </c>
      <c r="N126" s="1" t="s">
        <v>490</v>
      </c>
      <c r="O126">
        <v>2001</v>
      </c>
      <c r="S126" s="10">
        <f>GraphListeria!$B$43*Listeria!I126+GraphListeria!$B$44</f>
        <v>-0.42365142187136051</v>
      </c>
      <c r="U126" s="10">
        <f>GraphListeria!$H$43*Listeria!I126+GraphListeria!$H$44</f>
        <v>-0.47440952375000478</v>
      </c>
    </row>
    <row r="127" spans="1:21" x14ac:dyDescent="0.2">
      <c r="A127" s="1" t="s">
        <v>1440</v>
      </c>
      <c r="B127" s="1" t="s">
        <v>1443</v>
      </c>
      <c r="C127" t="s">
        <v>427</v>
      </c>
      <c r="D127" s="1" t="s">
        <v>42</v>
      </c>
      <c r="E127" s="1" t="s">
        <v>1240</v>
      </c>
      <c r="F127" s="1" t="s">
        <v>1261</v>
      </c>
      <c r="G127" s="1"/>
      <c r="I127" s="4">
        <v>67.75</v>
      </c>
      <c r="J127" s="11">
        <v>5.8000000000000003E-2</v>
      </c>
      <c r="L127" s="12">
        <f t="shared" si="2"/>
        <v>-1.2365720064370627</v>
      </c>
      <c r="M127" s="11">
        <f>GraphListeria!$B$10-(Listeria!I127-GraphListeria!$B$6)/GraphListeria!$B$5</f>
        <v>-0.7441910089983057</v>
      </c>
      <c r="N127" s="1" t="s">
        <v>490</v>
      </c>
      <c r="O127">
        <v>2001</v>
      </c>
      <c r="S127" s="10">
        <f>GraphListeria!$B$43*Listeria!I127+GraphListeria!$B$44</f>
        <v>-0.68599534117620564</v>
      </c>
      <c r="U127" s="10">
        <f>GraphListeria!$H$43*Listeria!I127+GraphListeria!$H$44</f>
        <v>-0.74419100899830504</v>
      </c>
    </row>
    <row r="128" spans="1:21" x14ac:dyDescent="0.2">
      <c r="A128" s="1" t="s">
        <v>1440</v>
      </c>
      <c r="B128" s="1" t="s">
        <v>1443</v>
      </c>
      <c r="C128" t="s">
        <v>427</v>
      </c>
      <c r="D128" s="1" t="s">
        <v>42</v>
      </c>
      <c r="E128" s="1" t="s">
        <v>1240</v>
      </c>
      <c r="F128" s="1" t="s">
        <v>1261</v>
      </c>
      <c r="G128" s="1"/>
      <c r="I128" s="4">
        <v>69.75</v>
      </c>
      <c r="J128" s="11">
        <v>2.3E-2</v>
      </c>
      <c r="L128" s="12">
        <f t="shared" si="2"/>
        <v>-1.6382721639824072</v>
      </c>
      <c r="M128" s="11">
        <f>GraphListeria!$B$10-(Listeria!I128-GraphListeria!$B$6)/GraphListeria!$B$5</f>
        <v>-1.0281715197859906</v>
      </c>
      <c r="N128" s="1" t="s">
        <v>490</v>
      </c>
      <c r="O128">
        <v>2001</v>
      </c>
      <c r="S128" s="10">
        <f>GraphListeria!$B$43*Listeria!I128+GraphListeria!$B$44</f>
        <v>-0.96214683518130428</v>
      </c>
      <c r="U128" s="10">
        <f>GraphListeria!$H$43*Listeria!I128+GraphListeria!$H$44</f>
        <v>-1.0281715197859906</v>
      </c>
    </row>
    <row r="129" spans="1:21" x14ac:dyDescent="0.2">
      <c r="A129" s="1" t="s">
        <v>1440</v>
      </c>
      <c r="B129" s="1" t="s">
        <v>1443</v>
      </c>
      <c r="C129" t="s">
        <v>58</v>
      </c>
      <c r="D129" s="1" t="s">
        <v>42</v>
      </c>
      <c r="E129" s="1" t="s">
        <v>1240</v>
      </c>
      <c r="F129" s="1" t="s">
        <v>1261</v>
      </c>
      <c r="G129" s="1"/>
      <c r="I129" s="4">
        <v>55</v>
      </c>
      <c r="J129" s="11">
        <v>4.6500000000000004</v>
      </c>
      <c r="L129" s="12">
        <f t="shared" si="2"/>
        <v>0.66745295288995399</v>
      </c>
      <c r="M129" s="11">
        <f>GraphListeria!$B$10-(Listeria!I129-GraphListeria!$B$6)/GraphListeria!$B$5</f>
        <v>1.0661847472731862</v>
      </c>
      <c r="N129" s="1" t="s">
        <v>490</v>
      </c>
      <c r="O129">
        <v>2001</v>
      </c>
      <c r="S129" s="10">
        <f>GraphListeria!$B$43*Listeria!I129+GraphListeria!$B$44</f>
        <v>1.0744704331063017</v>
      </c>
      <c r="U129" s="10">
        <f>GraphListeria!$H$43*Listeria!I129+GraphListeria!$H$44</f>
        <v>1.0661847472731862</v>
      </c>
    </row>
    <row r="130" spans="1:21" x14ac:dyDescent="0.2">
      <c r="A130" s="1" t="s">
        <v>1440</v>
      </c>
      <c r="B130" s="1" t="s">
        <v>1443</v>
      </c>
      <c r="C130" t="s">
        <v>58</v>
      </c>
      <c r="D130" s="1" t="s">
        <v>42</v>
      </c>
      <c r="E130" s="1" t="s">
        <v>1240</v>
      </c>
      <c r="F130" s="1" t="s">
        <v>1261</v>
      </c>
      <c r="G130" s="1"/>
      <c r="I130" s="4">
        <v>60</v>
      </c>
      <c r="J130" s="11">
        <v>1.05</v>
      </c>
      <c r="L130" s="12">
        <f t="shared" ref="L130:L193" si="3">LOG(J130)</f>
        <v>2.1189299069938092E-2</v>
      </c>
      <c r="M130" s="11">
        <f>GraphListeria!$B$10-(Listeria!I130-GraphListeria!$B$6)/GraphListeria!$B$5</f>
        <v>0.35623347030397379</v>
      </c>
      <c r="N130" s="1" t="s">
        <v>490</v>
      </c>
      <c r="O130">
        <v>2001</v>
      </c>
      <c r="S130" s="10">
        <f>GraphListeria!$B$43*Listeria!I130+GraphListeria!$B$44</f>
        <v>0.38409169809355426</v>
      </c>
      <c r="U130" s="10">
        <f>GraphListeria!$H$43*Listeria!I130+GraphListeria!$H$44</f>
        <v>0.35623347030397312</v>
      </c>
    </row>
    <row r="131" spans="1:21" x14ac:dyDescent="0.2">
      <c r="A131" s="1" t="s">
        <v>1440</v>
      </c>
      <c r="B131" s="1" t="s">
        <v>1443</v>
      </c>
      <c r="C131" t="s">
        <v>58</v>
      </c>
      <c r="D131" s="1" t="s">
        <v>42</v>
      </c>
      <c r="E131" s="1" t="s">
        <v>1240</v>
      </c>
      <c r="F131" s="1" t="s">
        <v>1261</v>
      </c>
      <c r="G131" s="1"/>
      <c r="I131" s="4">
        <v>62.8</v>
      </c>
      <c r="J131" s="11">
        <v>0.33</v>
      </c>
      <c r="L131" s="12">
        <f t="shared" si="3"/>
        <v>-0.48148606012211248</v>
      </c>
      <c r="M131" s="11">
        <f>GraphListeria!$B$10-(Listeria!I131-GraphListeria!$B$6)/GraphListeria!$B$5</f>
        <v>-4.1339244798784813E-2</v>
      </c>
      <c r="N131" s="1" t="s">
        <v>490</v>
      </c>
      <c r="O131">
        <v>2001</v>
      </c>
      <c r="S131" s="10">
        <f>GraphListeria!$B$43*Listeria!I131+GraphListeria!$B$44</f>
        <v>-2.5203935135849065E-3</v>
      </c>
      <c r="U131" s="10">
        <f>GraphListeria!$H$43*Listeria!I131+GraphListeria!$H$44</f>
        <v>-4.1339244798784591E-2</v>
      </c>
    </row>
    <row r="132" spans="1:21" x14ac:dyDescent="0.2">
      <c r="A132" s="1" t="s">
        <v>1440</v>
      </c>
      <c r="B132" s="1" t="s">
        <v>1443</v>
      </c>
      <c r="C132" t="s">
        <v>58</v>
      </c>
      <c r="D132" s="1" t="s">
        <v>42</v>
      </c>
      <c r="E132" s="1" t="s">
        <v>1240</v>
      </c>
      <c r="F132" s="1" t="s">
        <v>1261</v>
      </c>
      <c r="G132" s="1"/>
      <c r="I132" s="4">
        <v>65.150000000000006</v>
      </c>
      <c r="J132" s="11">
        <v>0.1</v>
      </c>
      <c r="L132" s="12">
        <f t="shared" si="3"/>
        <v>-1</v>
      </c>
      <c r="M132" s="11">
        <f>GraphListeria!$B$10-(Listeria!I132-GraphListeria!$B$6)/GraphListeria!$B$5</f>
        <v>-0.37501634497431602</v>
      </c>
      <c r="N132" s="1" t="s">
        <v>490</v>
      </c>
      <c r="O132">
        <v>2001</v>
      </c>
      <c r="S132" s="10">
        <f>GraphListeria!$B$43*Listeria!I132+GraphListeria!$B$44</f>
        <v>-0.32699839896957705</v>
      </c>
      <c r="U132" s="10">
        <f>GraphListeria!$H$43*Listeria!I132+GraphListeria!$H$44</f>
        <v>-0.37501634497431624</v>
      </c>
    </row>
    <row r="133" spans="1:21" x14ac:dyDescent="0.2">
      <c r="A133" s="1" t="s">
        <v>1440</v>
      </c>
      <c r="B133" s="1" t="s">
        <v>1443</v>
      </c>
      <c r="C133" t="s">
        <v>58</v>
      </c>
      <c r="D133" s="1" t="s">
        <v>42</v>
      </c>
      <c r="E133" s="1" t="s">
        <v>1240</v>
      </c>
      <c r="F133" s="1" t="s">
        <v>1261</v>
      </c>
      <c r="G133" s="1"/>
      <c r="I133" s="4">
        <v>69.75</v>
      </c>
      <c r="J133" s="11">
        <v>2.3E-2</v>
      </c>
      <c r="L133" s="12">
        <f t="shared" si="3"/>
        <v>-1.6382721639824072</v>
      </c>
      <c r="M133" s="11">
        <f>GraphListeria!$B$10-(Listeria!I133-GraphListeria!$B$6)/GraphListeria!$B$5</f>
        <v>-1.0281715197859906</v>
      </c>
      <c r="N133" s="1" t="s">
        <v>490</v>
      </c>
      <c r="O133">
        <v>2001</v>
      </c>
      <c r="S133" s="10">
        <f>GraphListeria!$B$43*Listeria!I133+GraphListeria!$B$44</f>
        <v>-0.96214683518130428</v>
      </c>
      <c r="U133" s="10">
        <f>GraphListeria!$H$43*Listeria!I133+GraphListeria!$H$44</f>
        <v>-1.0281715197859906</v>
      </c>
    </row>
    <row r="134" spans="1:21" x14ac:dyDescent="0.2">
      <c r="A134" s="1" t="s">
        <v>1440</v>
      </c>
      <c r="B134" s="1" t="s">
        <v>1443</v>
      </c>
      <c r="C134" t="s">
        <v>58</v>
      </c>
      <c r="D134" s="1" t="s">
        <v>42</v>
      </c>
      <c r="E134" s="1" t="s">
        <v>1240</v>
      </c>
      <c r="F134" s="1" t="s">
        <v>1261</v>
      </c>
      <c r="G134" s="1"/>
      <c r="I134" s="4">
        <v>71.7</v>
      </c>
      <c r="J134" s="11">
        <v>1.6E-2</v>
      </c>
      <c r="L134" s="12">
        <f t="shared" si="3"/>
        <v>-1.7958800173440752</v>
      </c>
      <c r="M134" s="11">
        <f>GraphListeria!$B$10-(Listeria!I134-GraphListeria!$B$6)/GraphListeria!$B$5</f>
        <v>-1.305052517803984</v>
      </c>
      <c r="N134" s="1" t="s">
        <v>490</v>
      </c>
      <c r="O134">
        <v>2001</v>
      </c>
      <c r="S134" s="10">
        <f>GraphListeria!$B$43*Listeria!I134+GraphListeria!$B$44</f>
        <v>-1.2313945418362771</v>
      </c>
      <c r="U134" s="10">
        <f>GraphListeria!$H$43*Listeria!I134+GraphListeria!$H$44</f>
        <v>-1.3050525178039845</v>
      </c>
    </row>
    <row r="135" spans="1:21" x14ac:dyDescent="0.2">
      <c r="A135" s="1" t="s">
        <v>1440</v>
      </c>
      <c r="B135" s="1" t="s">
        <v>1443</v>
      </c>
      <c r="D135" s="1" t="s">
        <v>42</v>
      </c>
      <c r="E135" s="1" t="s">
        <v>1240</v>
      </c>
      <c r="F135" s="1" t="s">
        <v>1261</v>
      </c>
      <c r="G135" s="1"/>
      <c r="I135" s="4">
        <v>55</v>
      </c>
      <c r="J135" s="11">
        <v>4.5</v>
      </c>
      <c r="L135" s="12">
        <f t="shared" si="3"/>
        <v>0.65321251377534373</v>
      </c>
      <c r="M135" s="11">
        <f>GraphListeria!$B$10-(Listeria!I135-GraphListeria!$B$6)/GraphListeria!$B$5</f>
        <v>1.0661847472731862</v>
      </c>
      <c r="N135" s="1" t="s">
        <v>490</v>
      </c>
      <c r="O135">
        <v>2001</v>
      </c>
      <c r="S135" s="10">
        <f>GraphListeria!$B$43*Listeria!I135+GraphListeria!$B$44</f>
        <v>1.0744704331063017</v>
      </c>
      <c r="U135" s="10">
        <f>GraphListeria!$H$43*Listeria!I135+GraphListeria!$H$44</f>
        <v>1.0661847472731862</v>
      </c>
    </row>
    <row r="136" spans="1:21" x14ac:dyDescent="0.2">
      <c r="A136" s="1" t="s">
        <v>1440</v>
      </c>
      <c r="B136" s="1" t="s">
        <v>1443</v>
      </c>
      <c r="D136" s="1" t="s">
        <v>42</v>
      </c>
      <c r="E136" s="1" t="s">
        <v>1240</v>
      </c>
      <c r="F136" s="1" t="s">
        <v>1261</v>
      </c>
      <c r="G136" s="1"/>
      <c r="I136" s="4">
        <v>60</v>
      </c>
      <c r="J136" s="11">
        <v>0.95</v>
      </c>
      <c r="L136" s="12">
        <f t="shared" si="3"/>
        <v>-2.2276394711152253E-2</v>
      </c>
      <c r="M136" s="11">
        <f>GraphListeria!$B$10-(Listeria!I136-GraphListeria!$B$6)/GraphListeria!$B$5</f>
        <v>0.35623347030397379</v>
      </c>
      <c r="N136" s="1" t="s">
        <v>490</v>
      </c>
      <c r="O136">
        <v>2001</v>
      </c>
      <c r="S136" s="10">
        <f>GraphListeria!$B$43*Listeria!I136+GraphListeria!$B$44</f>
        <v>0.38409169809355426</v>
      </c>
      <c r="U136" s="10">
        <f>GraphListeria!$H$43*Listeria!I136+GraphListeria!$H$44</f>
        <v>0.35623347030397312</v>
      </c>
    </row>
    <row r="137" spans="1:21" x14ac:dyDescent="0.2">
      <c r="A137" s="1" t="s">
        <v>1440</v>
      </c>
      <c r="B137" s="1" t="s">
        <v>1443</v>
      </c>
      <c r="C137" t="s">
        <v>57</v>
      </c>
      <c r="D137" s="1" t="s">
        <v>42</v>
      </c>
      <c r="E137" s="1" t="s">
        <v>1240</v>
      </c>
      <c r="F137" s="1" t="s">
        <v>1261</v>
      </c>
      <c r="G137" s="1"/>
      <c r="I137" s="4">
        <v>55</v>
      </c>
      <c r="J137" s="11">
        <v>4.3499999999999996</v>
      </c>
      <c r="L137" s="12">
        <f t="shared" si="3"/>
        <v>0.63848925695463732</v>
      </c>
      <c r="M137" s="11">
        <f>GraphListeria!$B$10-(Listeria!I137-GraphListeria!$B$6)/GraphListeria!$B$5</f>
        <v>1.0661847472731862</v>
      </c>
      <c r="N137" s="1" t="s">
        <v>490</v>
      </c>
      <c r="O137">
        <v>2001</v>
      </c>
      <c r="S137" s="10">
        <f>GraphListeria!$B$43*Listeria!I137+GraphListeria!$B$44</f>
        <v>1.0744704331063017</v>
      </c>
      <c r="U137" s="10">
        <f>GraphListeria!$H$43*Listeria!I137+GraphListeria!$H$44</f>
        <v>1.0661847472731862</v>
      </c>
    </row>
    <row r="138" spans="1:21" x14ac:dyDescent="0.2">
      <c r="A138" s="1" t="s">
        <v>1440</v>
      </c>
      <c r="B138" s="1" t="s">
        <v>1443</v>
      </c>
      <c r="C138" t="s">
        <v>57</v>
      </c>
      <c r="D138" s="1" t="s">
        <v>42</v>
      </c>
      <c r="E138" s="1" t="s">
        <v>1240</v>
      </c>
      <c r="F138" s="1" t="s">
        <v>1261</v>
      </c>
      <c r="G138" s="1"/>
      <c r="I138" s="4">
        <v>60</v>
      </c>
      <c r="J138" s="11">
        <v>0.97</v>
      </c>
      <c r="L138" s="12">
        <f t="shared" si="3"/>
        <v>-1.322826573375516E-2</v>
      </c>
      <c r="M138" s="11">
        <f>GraphListeria!$B$10-(Listeria!I138-GraphListeria!$B$6)/GraphListeria!$B$5</f>
        <v>0.35623347030397379</v>
      </c>
      <c r="N138" s="1" t="s">
        <v>490</v>
      </c>
      <c r="O138">
        <v>2001</v>
      </c>
      <c r="S138" s="10">
        <f>GraphListeria!$B$43*Listeria!I138+GraphListeria!$B$44</f>
        <v>0.38409169809355426</v>
      </c>
      <c r="U138" s="10">
        <f>GraphListeria!$H$43*Listeria!I138+GraphListeria!$H$44</f>
        <v>0.35623347030397312</v>
      </c>
    </row>
    <row r="139" spans="1:21" x14ac:dyDescent="0.2">
      <c r="A139" s="1" t="s">
        <v>1440</v>
      </c>
      <c r="B139" s="1" t="s">
        <v>1443</v>
      </c>
      <c r="C139" t="s">
        <v>682</v>
      </c>
      <c r="D139" s="1" t="s">
        <v>42</v>
      </c>
      <c r="E139" s="1" t="s">
        <v>1240</v>
      </c>
      <c r="F139" s="1" t="s">
        <v>1261</v>
      </c>
      <c r="G139" s="1"/>
      <c r="I139" s="4">
        <v>55</v>
      </c>
      <c r="J139" s="11">
        <v>4.0199999999999996</v>
      </c>
      <c r="L139" s="12">
        <f t="shared" si="3"/>
        <v>0.60422605308446997</v>
      </c>
      <c r="M139" s="11">
        <f>GraphListeria!$B$10-(Listeria!I139-GraphListeria!$B$6)/GraphListeria!$B$5</f>
        <v>1.0661847472731862</v>
      </c>
      <c r="N139" s="1" t="s">
        <v>490</v>
      </c>
      <c r="O139">
        <v>2001</v>
      </c>
      <c r="S139" s="10">
        <f>GraphListeria!$B$43*Listeria!I139+GraphListeria!$B$44</f>
        <v>1.0744704331063017</v>
      </c>
      <c r="U139" s="10">
        <f>GraphListeria!$H$43*Listeria!I139+GraphListeria!$H$44</f>
        <v>1.0661847472731862</v>
      </c>
    </row>
    <row r="140" spans="1:21" x14ac:dyDescent="0.2">
      <c r="A140" s="1" t="s">
        <v>1440</v>
      </c>
      <c r="B140" s="1" t="s">
        <v>1443</v>
      </c>
      <c r="C140" t="s">
        <v>682</v>
      </c>
      <c r="D140" s="1" t="s">
        <v>42</v>
      </c>
      <c r="E140" s="1" t="s">
        <v>1240</v>
      </c>
      <c r="F140" s="1" t="s">
        <v>1261</v>
      </c>
      <c r="G140" s="1"/>
      <c r="I140" s="4">
        <v>60</v>
      </c>
      <c r="J140" s="11">
        <v>0.95</v>
      </c>
      <c r="L140" s="12">
        <f t="shared" si="3"/>
        <v>-2.2276394711152253E-2</v>
      </c>
      <c r="M140" s="11">
        <f>GraphListeria!$B$10-(Listeria!I140-GraphListeria!$B$6)/GraphListeria!$B$5</f>
        <v>0.35623347030397379</v>
      </c>
      <c r="N140" s="1" t="s">
        <v>490</v>
      </c>
      <c r="O140">
        <v>2001</v>
      </c>
      <c r="S140" s="10">
        <f>GraphListeria!$B$43*Listeria!I140+GraphListeria!$B$44</f>
        <v>0.38409169809355426</v>
      </c>
      <c r="U140" s="10">
        <f>GraphListeria!$H$43*Listeria!I140+GraphListeria!$H$44</f>
        <v>0.35623347030397312</v>
      </c>
    </row>
    <row r="141" spans="1:21" x14ac:dyDescent="0.2">
      <c r="A141" s="1" t="s">
        <v>1440</v>
      </c>
      <c r="B141" s="1" t="s">
        <v>1443</v>
      </c>
      <c r="C141" s="1"/>
      <c r="D141" s="1" t="s">
        <v>42</v>
      </c>
      <c r="E141" s="1" t="s">
        <v>1240</v>
      </c>
      <c r="F141" s="1" t="s">
        <v>3</v>
      </c>
      <c r="G141" s="1"/>
      <c r="H141" s="5"/>
      <c r="I141" s="5">
        <v>52.2</v>
      </c>
      <c r="J141" s="9">
        <v>43.57</v>
      </c>
      <c r="K141" s="5">
        <v>5.8</v>
      </c>
      <c r="L141" s="12">
        <f t="shared" si="3"/>
        <v>1.6391875599357539</v>
      </c>
      <c r="M141" s="11">
        <f>GraphListeria!$B$10-(Listeria!I141-GraphListeria!$B$6)/GraphListeria!$B$5</f>
        <v>1.4637574623759448</v>
      </c>
      <c r="N141" s="2" t="s">
        <v>1226</v>
      </c>
      <c r="O141">
        <v>1996</v>
      </c>
      <c r="S141" s="10">
        <f>GraphListeria!$B$43*Listeria!I141+GraphListeria!$B$44</f>
        <v>1.46108252471344</v>
      </c>
      <c r="U141" s="10">
        <f>GraphListeria!$H$43*Listeria!I141+GraphListeria!$H$44</f>
        <v>1.4637574623759448</v>
      </c>
    </row>
    <row r="142" spans="1:21" x14ac:dyDescent="0.2">
      <c r="A142" s="1" t="s">
        <v>1440</v>
      </c>
      <c r="B142" s="1" t="s">
        <v>1443</v>
      </c>
      <c r="D142" s="1" t="s">
        <v>42</v>
      </c>
      <c r="E142" s="1" t="s">
        <v>1240</v>
      </c>
      <c r="F142" s="1" t="s">
        <v>3</v>
      </c>
      <c r="G142" s="1"/>
      <c r="I142" s="4">
        <v>57.8</v>
      </c>
      <c r="J142" s="11">
        <v>6.25</v>
      </c>
      <c r="K142" s="5">
        <v>5.8</v>
      </c>
      <c r="L142" s="12">
        <f t="shared" si="3"/>
        <v>0.79588001734407521</v>
      </c>
      <c r="M142" s="11">
        <f>GraphListeria!$B$10-(Listeria!I142-GraphListeria!$B$6)/GraphListeria!$B$5</f>
        <v>0.66861203217042764</v>
      </c>
      <c r="N142" s="2" t="s">
        <v>1226</v>
      </c>
      <c r="O142">
        <v>1996</v>
      </c>
      <c r="S142" s="10">
        <f>GraphListeria!$B$43*Listeria!I142+GraphListeria!$B$44</f>
        <v>0.68785834149916258</v>
      </c>
      <c r="U142" s="10">
        <f>GraphListeria!$H$43*Listeria!I142+GraphListeria!$H$44</f>
        <v>0.66861203217042764</v>
      </c>
    </row>
    <row r="143" spans="1:21" x14ac:dyDescent="0.2">
      <c r="A143" s="1" t="s">
        <v>1440</v>
      </c>
      <c r="B143" s="1" t="s">
        <v>1443</v>
      </c>
      <c r="D143" s="1" t="s">
        <v>42</v>
      </c>
      <c r="E143" s="1" t="s">
        <v>1240</v>
      </c>
      <c r="F143" s="1" t="s">
        <v>3</v>
      </c>
      <c r="G143" s="1"/>
      <c r="I143" s="4">
        <v>63.3</v>
      </c>
      <c r="J143" s="11">
        <f>28/60</f>
        <v>0.46666666666666667</v>
      </c>
      <c r="K143" s="5">
        <v>5.8</v>
      </c>
      <c r="L143" s="12">
        <f t="shared" si="3"/>
        <v>-0.33099321904142442</v>
      </c>
      <c r="M143" s="11">
        <f>GraphListeria!$B$10-(Listeria!I143-GraphListeria!$B$6)/GraphListeria!$B$5</f>
        <v>-0.11233437249570621</v>
      </c>
      <c r="N143" s="2" t="s">
        <v>1226</v>
      </c>
      <c r="O143">
        <v>1996</v>
      </c>
      <c r="S143" s="10">
        <f>GraphListeria!$B$43*Listeria!I143+GraphListeria!$B$44</f>
        <v>-7.1558267014859567E-2</v>
      </c>
      <c r="U143" s="10">
        <f>GraphListeria!$H$43*Listeria!I143+GraphListeria!$H$44</f>
        <v>-0.11233437249570599</v>
      </c>
    </row>
    <row r="144" spans="1:21" x14ac:dyDescent="0.2">
      <c r="A144" s="1" t="s">
        <v>1440</v>
      </c>
      <c r="B144" s="1" t="s">
        <v>1443</v>
      </c>
      <c r="D144" s="1" t="s">
        <v>42</v>
      </c>
      <c r="E144" s="1" t="s">
        <v>1240</v>
      </c>
      <c r="F144" s="1" t="s">
        <v>3</v>
      </c>
      <c r="G144" s="1"/>
      <c r="I144" s="4">
        <v>66.099999999999994</v>
      </c>
      <c r="J144" s="11">
        <f>12.8/60</f>
        <v>0.21333333333333335</v>
      </c>
      <c r="K144" s="5">
        <v>5.8</v>
      </c>
      <c r="L144" s="12">
        <f t="shared" si="3"/>
        <v>-0.67094128073577519</v>
      </c>
      <c r="M144" s="11">
        <f>GraphListeria!$B$10-(Listeria!I144-GraphListeria!$B$6)/GraphListeria!$B$5</f>
        <v>-0.50990708759846481</v>
      </c>
      <c r="N144" s="2" t="s">
        <v>1226</v>
      </c>
      <c r="O144">
        <v>1996</v>
      </c>
      <c r="S144" s="10">
        <f>GraphListeria!$B$43*Listeria!I144+GraphListeria!$B$44</f>
        <v>-0.45817035862199873</v>
      </c>
      <c r="U144" s="10">
        <f>GraphListeria!$H$43*Listeria!I144+GraphListeria!$H$44</f>
        <v>-0.50990708759846548</v>
      </c>
    </row>
    <row r="145" spans="1:21" x14ac:dyDescent="0.2">
      <c r="A145" s="1" t="s">
        <v>1440</v>
      </c>
      <c r="B145" s="1" t="s">
        <v>1443</v>
      </c>
      <c r="D145" s="1" t="s">
        <v>42</v>
      </c>
      <c r="E145" s="1" t="s">
        <v>1240</v>
      </c>
      <c r="F145" s="1" t="s">
        <v>3</v>
      </c>
      <c r="G145" s="1"/>
      <c r="I145" s="4">
        <v>68.900000000000006</v>
      </c>
      <c r="J145" s="11">
        <f>3.7/60</f>
        <v>6.1666666666666668E-2</v>
      </c>
      <c r="K145" s="5">
        <v>5.8</v>
      </c>
      <c r="L145" s="12">
        <f t="shared" si="3"/>
        <v>-1.2099495263166486</v>
      </c>
      <c r="M145" s="11">
        <f>GraphListeria!$B$10-(Listeria!I145-GraphListeria!$B$6)/GraphListeria!$B$5</f>
        <v>-0.90747980270122541</v>
      </c>
      <c r="N145" s="2" t="s">
        <v>1226</v>
      </c>
      <c r="O145">
        <v>1996</v>
      </c>
      <c r="S145" s="10">
        <f>GraphListeria!$B$43*Listeria!I145+GraphListeria!$B$44</f>
        <v>-0.84478245022913789</v>
      </c>
      <c r="U145" s="10">
        <f>GraphListeria!$H$43*Listeria!I145+GraphListeria!$H$44</f>
        <v>-0.90747980270122497</v>
      </c>
    </row>
    <row r="146" spans="1:21" x14ac:dyDescent="0.2">
      <c r="A146" s="1" t="s">
        <v>1440</v>
      </c>
      <c r="B146" s="1" t="s">
        <v>1443</v>
      </c>
      <c r="C146" s="1"/>
      <c r="D146" s="1" t="s">
        <v>42</v>
      </c>
      <c r="E146" s="1" t="s">
        <v>1240</v>
      </c>
      <c r="F146" s="1" t="s">
        <v>4</v>
      </c>
      <c r="G146" s="1"/>
      <c r="H146" s="5"/>
      <c r="I146" s="5">
        <v>52.2</v>
      </c>
      <c r="J146" s="9">
        <v>28.53</v>
      </c>
      <c r="K146" s="5">
        <v>6.5</v>
      </c>
      <c r="L146" s="12">
        <f t="shared" si="3"/>
        <v>1.4553017716570764</v>
      </c>
      <c r="M146" s="11">
        <f>GraphListeria!$B$10-(Listeria!I146-GraphListeria!$B$6)/GraphListeria!$B$5</f>
        <v>1.4637574623759448</v>
      </c>
      <c r="N146" s="2" t="s">
        <v>1226</v>
      </c>
      <c r="O146">
        <v>1996</v>
      </c>
      <c r="S146" s="10">
        <f>GraphListeria!$B$43*Listeria!I146+GraphListeria!$B$44</f>
        <v>1.46108252471344</v>
      </c>
      <c r="U146" s="10">
        <f>GraphListeria!$H$43*Listeria!I146+GraphListeria!$H$44</f>
        <v>1.4637574623759448</v>
      </c>
    </row>
    <row r="147" spans="1:21" x14ac:dyDescent="0.2">
      <c r="A147" s="1" t="s">
        <v>1440</v>
      </c>
      <c r="B147" s="1" t="s">
        <v>1443</v>
      </c>
      <c r="D147" s="1" t="s">
        <v>42</v>
      </c>
      <c r="E147" s="1" t="s">
        <v>1240</v>
      </c>
      <c r="F147" s="1" t="s">
        <v>4</v>
      </c>
      <c r="G147" s="1"/>
      <c r="I147" s="4">
        <v>57.8</v>
      </c>
      <c r="J147" s="11">
        <v>4.0999999999999996</v>
      </c>
      <c r="K147" s="5">
        <v>6.5</v>
      </c>
      <c r="L147" s="12">
        <f t="shared" si="3"/>
        <v>0.61278385671973545</v>
      </c>
      <c r="M147" s="11">
        <f>GraphListeria!$B$10-(Listeria!I147-GraphListeria!$B$6)/GraphListeria!$B$5</f>
        <v>0.66861203217042764</v>
      </c>
      <c r="N147" s="2" t="s">
        <v>1226</v>
      </c>
      <c r="O147">
        <v>1996</v>
      </c>
      <c r="S147" s="10">
        <f>GraphListeria!$B$43*Listeria!I147+GraphListeria!$B$44</f>
        <v>0.68785834149916258</v>
      </c>
      <c r="U147" s="10">
        <f>GraphListeria!$H$43*Listeria!I147+GraphListeria!$H$44</f>
        <v>0.66861203217042764</v>
      </c>
    </row>
    <row r="148" spans="1:21" x14ac:dyDescent="0.2">
      <c r="A148" s="1" t="s">
        <v>1440</v>
      </c>
      <c r="B148" s="1" t="s">
        <v>1443</v>
      </c>
      <c r="D148" s="1" t="s">
        <v>42</v>
      </c>
      <c r="E148" s="1" t="s">
        <v>1240</v>
      </c>
      <c r="F148" s="1" t="s">
        <v>4</v>
      </c>
      <c r="G148" s="1"/>
      <c r="I148" s="4">
        <v>63.3</v>
      </c>
      <c r="J148" s="11">
        <f>25.9/60</f>
        <v>0.43166666666666664</v>
      </c>
      <c r="K148" s="5">
        <v>6.5</v>
      </c>
      <c r="L148" s="12">
        <f t="shared" si="3"/>
        <v>-0.36485148630239184</v>
      </c>
      <c r="M148" s="11">
        <f>GraphListeria!$B$10-(Listeria!I148-GraphListeria!$B$6)/GraphListeria!$B$5</f>
        <v>-0.11233437249570621</v>
      </c>
      <c r="N148" s="2" t="s">
        <v>1226</v>
      </c>
      <c r="O148">
        <v>1996</v>
      </c>
      <c r="S148" s="10">
        <f>GraphListeria!$B$43*Listeria!I148+GraphListeria!$B$44</f>
        <v>-7.1558267014859567E-2</v>
      </c>
      <c r="U148" s="10">
        <f>GraphListeria!$H$43*Listeria!I148+GraphListeria!$H$44</f>
        <v>-0.11233437249570599</v>
      </c>
    </row>
    <row r="149" spans="1:21" x14ac:dyDescent="0.2">
      <c r="A149" s="1" t="s">
        <v>1440</v>
      </c>
      <c r="B149" s="1" t="s">
        <v>1443</v>
      </c>
      <c r="D149" s="1" t="s">
        <v>42</v>
      </c>
      <c r="E149" s="1" t="s">
        <v>1240</v>
      </c>
      <c r="F149" s="1" t="s">
        <v>4</v>
      </c>
      <c r="G149" s="1"/>
      <c r="I149" s="4">
        <v>66.099999999999994</v>
      </c>
      <c r="J149" s="11">
        <f>12/60</f>
        <v>0.2</v>
      </c>
      <c r="K149" s="5">
        <v>6.5</v>
      </c>
      <c r="L149" s="12">
        <f t="shared" si="3"/>
        <v>-0.69897000433601875</v>
      </c>
      <c r="M149" s="11">
        <f>GraphListeria!$B$10-(Listeria!I149-GraphListeria!$B$6)/GraphListeria!$B$5</f>
        <v>-0.50990708759846481</v>
      </c>
      <c r="N149" s="2" t="s">
        <v>1226</v>
      </c>
      <c r="O149">
        <v>1996</v>
      </c>
      <c r="S149" s="10">
        <f>GraphListeria!$B$43*Listeria!I149+GraphListeria!$B$44</f>
        <v>-0.45817035862199873</v>
      </c>
      <c r="U149" s="10">
        <f>GraphListeria!$H$43*Listeria!I149+GraphListeria!$H$44</f>
        <v>-0.50990708759846548</v>
      </c>
    </row>
    <row r="150" spans="1:21" x14ac:dyDescent="0.2">
      <c r="A150" s="1" t="s">
        <v>1440</v>
      </c>
      <c r="B150" s="1" t="s">
        <v>1443</v>
      </c>
      <c r="D150" s="1" t="s">
        <v>42</v>
      </c>
      <c r="E150" s="1" t="s">
        <v>1240</v>
      </c>
      <c r="F150" s="1" t="s">
        <v>4</v>
      </c>
      <c r="G150" s="1"/>
      <c r="I150" s="4">
        <v>68.900000000000006</v>
      </c>
      <c r="J150" s="11">
        <f>4.4/60</f>
        <v>7.3333333333333334E-2</v>
      </c>
      <c r="K150" s="5">
        <v>6.5</v>
      </c>
      <c r="L150" s="12">
        <f t="shared" si="3"/>
        <v>-1.1346985738974562</v>
      </c>
      <c r="M150" s="11">
        <f>GraphListeria!$B$10-(Listeria!I150-GraphListeria!$B$6)/GraphListeria!$B$5</f>
        <v>-0.90747980270122541</v>
      </c>
      <c r="N150" s="2" t="s">
        <v>1226</v>
      </c>
      <c r="O150">
        <v>1996</v>
      </c>
      <c r="S150" s="10">
        <f>GraphListeria!$B$43*Listeria!I150+GraphListeria!$B$44</f>
        <v>-0.84478245022913789</v>
      </c>
      <c r="U150" s="10">
        <f>GraphListeria!$H$43*Listeria!I150+GraphListeria!$H$44</f>
        <v>-0.90747980270122497</v>
      </c>
    </row>
    <row r="151" spans="1:21" x14ac:dyDescent="0.2">
      <c r="A151" s="1" t="s">
        <v>1440</v>
      </c>
      <c r="B151" s="1" t="s">
        <v>1443</v>
      </c>
      <c r="D151" s="1" t="s">
        <v>42</v>
      </c>
      <c r="E151" s="1" t="s">
        <v>1240</v>
      </c>
      <c r="F151" s="1" t="s">
        <v>4</v>
      </c>
      <c r="G151" s="1"/>
      <c r="I151" s="4">
        <v>71.7</v>
      </c>
      <c r="J151" s="11">
        <f>1.7/60</f>
        <v>2.8333333333333332E-2</v>
      </c>
      <c r="K151" s="5">
        <v>6.5</v>
      </c>
      <c r="L151" s="12">
        <f t="shared" si="3"/>
        <v>-1.5477023290053697</v>
      </c>
      <c r="M151" s="11">
        <f>GraphListeria!$B$10-(Listeria!I151-GraphListeria!$B$6)/GraphListeria!$B$5</f>
        <v>-1.305052517803984</v>
      </c>
      <c r="N151" s="2" t="s">
        <v>1226</v>
      </c>
      <c r="O151">
        <v>1996</v>
      </c>
      <c r="S151" s="10">
        <f>GraphListeria!$B$43*Listeria!I151+GraphListeria!$B$44</f>
        <v>-1.2313945418362771</v>
      </c>
      <c r="U151" s="10">
        <f>GraphListeria!$H$43*Listeria!I151+GraphListeria!$H$44</f>
        <v>-1.3050525178039845</v>
      </c>
    </row>
    <row r="152" spans="1:21" x14ac:dyDescent="0.2">
      <c r="A152" s="1" t="s">
        <v>1440</v>
      </c>
      <c r="B152" s="1" t="s">
        <v>1443</v>
      </c>
      <c r="C152">
        <v>19113</v>
      </c>
      <c r="D152" s="1" t="s">
        <v>42</v>
      </c>
      <c r="E152" s="1" t="s">
        <v>1240</v>
      </c>
      <c r="F152" s="1" t="s">
        <v>1291</v>
      </c>
      <c r="G152" s="1"/>
      <c r="I152" s="4">
        <v>62.7</v>
      </c>
      <c r="J152" s="11">
        <v>0.4</v>
      </c>
      <c r="L152" s="12">
        <f t="shared" si="3"/>
        <v>-0.3979400086720376</v>
      </c>
      <c r="M152" s="11">
        <f>GraphListeria!$B$10-(Listeria!I152-GraphListeria!$B$6)/GraphListeria!$B$5</f>
        <v>-2.7140219259401466E-2</v>
      </c>
      <c r="N152" s="1" t="s">
        <v>706</v>
      </c>
      <c r="O152">
        <v>1986</v>
      </c>
      <c r="S152" s="10">
        <f>GraphListeria!$B$43*Listeria!I152+GraphListeria!$B$44</f>
        <v>1.1287181186668604E-2</v>
      </c>
      <c r="U152" s="10">
        <f>GraphListeria!$H$43*Listeria!I152+GraphListeria!$H$44</f>
        <v>-2.7140219259401022E-2</v>
      </c>
    </row>
    <row r="153" spans="1:21" x14ac:dyDescent="0.2">
      <c r="A153" s="1" t="s">
        <v>1440</v>
      </c>
      <c r="B153" s="1" t="s">
        <v>1443</v>
      </c>
      <c r="C153">
        <v>19115</v>
      </c>
      <c r="D153" s="1" t="s">
        <v>42</v>
      </c>
      <c r="E153" s="1" t="s">
        <v>1240</v>
      </c>
      <c r="F153" s="1" t="s">
        <v>1291</v>
      </c>
      <c r="G153" s="1"/>
      <c r="I153" s="4">
        <v>62.7</v>
      </c>
      <c r="J153" s="11">
        <v>0.4</v>
      </c>
      <c r="L153" s="12">
        <f t="shared" si="3"/>
        <v>-0.3979400086720376</v>
      </c>
      <c r="M153" s="11">
        <f>GraphListeria!$B$10-(Listeria!I153-GraphListeria!$B$6)/GraphListeria!$B$5</f>
        <v>-2.7140219259401466E-2</v>
      </c>
      <c r="N153" s="1" t="s">
        <v>706</v>
      </c>
      <c r="O153">
        <v>1986</v>
      </c>
      <c r="S153" s="10">
        <f>GraphListeria!$B$43*Listeria!I153+GraphListeria!$B$44</f>
        <v>1.1287181186668604E-2</v>
      </c>
      <c r="U153" s="10">
        <f>GraphListeria!$H$43*Listeria!I153+GraphListeria!$H$44</f>
        <v>-2.7140219259401022E-2</v>
      </c>
    </row>
    <row r="154" spans="1:21" x14ac:dyDescent="0.2">
      <c r="A154" s="1" t="s">
        <v>1440</v>
      </c>
      <c r="B154" s="1" t="s">
        <v>1443</v>
      </c>
      <c r="C154" t="s">
        <v>427</v>
      </c>
      <c r="D154" s="1" t="s">
        <v>42</v>
      </c>
      <c r="E154" s="1" t="s">
        <v>1240</v>
      </c>
      <c r="F154" s="1" t="s">
        <v>1291</v>
      </c>
      <c r="G154" s="1"/>
      <c r="I154" s="4">
        <v>62.7</v>
      </c>
      <c r="J154" s="11">
        <v>1</v>
      </c>
      <c r="K154" s="4">
        <v>4.3</v>
      </c>
      <c r="L154" s="12">
        <f t="shared" si="3"/>
        <v>0</v>
      </c>
      <c r="M154" s="11">
        <f>GraphListeria!$B$10-(Listeria!I154-GraphListeria!$B$6)/GraphListeria!$B$5</f>
        <v>-2.7140219259401466E-2</v>
      </c>
      <c r="N154" s="1" t="s">
        <v>706</v>
      </c>
      <c r="O154">
        <v>1986</v>
      </c>
      <c r="S154" s="10">
        <f>GraphListeria!$B$43*Listeria!I154+GraphListeria!$B$44</f>
        <v>1.1287181186668604E-2</v>
      </c>
      <c r="U154" s="10">
        <f>GraphListeria!$H$43*Listeria!I154+GraphListeria!$H$44</f>
        <v>-2.7140219259401022E-2</v>
      </c>
    </row>
    <row r="155" spans="1:21" x14ac:dyDescent="0.2">
      <c r="A155" s="1" t="s">
        <v>1440</v>
      </c>
      <c r="B155" s="1" t="s">
        <v>1443</v>
      </c>
      <c r="C155">
        <v>19111</v>
      </c>
      <c r="D155" s="1" t="s">
        <v>42</v>
      </c>
      <c r="E155" s="1" t="s">
        <v>1240</v>
      </c>
      <c r="F155" s="1" t="s">
        <v>1291</v>
      </c>
      <c r="G155" s="1"/>
      <c r="I155" s="4">
        <v>62.7</v>
      </c>
      <c r="J155" s="11">
        <v>0.65</v>
      </c>
      <c r="L155" s="12">
        <f t="shared" si="3"/>
        <v>-0.18708664335714442</v>
      </c>
      <c r="M155" s="11">
        <f>GraphListeria!$B$10-(Listeria!I155-GraphListeria!$B$6)/GraphListeria!$B$5</f>
        <v>-2.7140219259401466E-2</v>
      </c>
      <c r="N155" s="1" t="s">
        <v>706</v>
      </c>
      <c r="O155">
        <v>1986</v>
      </c>
      <c r="S155" s="10">
        <f>GraphListeria!$B$43*Listeria!I155+GraphListeria!$B$44</f>
        <v>1.1287181186668604E-2</v>
      </c>
      <c r="U155" s="10">
        <f>GraphListeria!$H$43*Listeria!I155+GraphListeria!$H$44</f>
        <v>-2.7140219259401022E-2</v>
      </c>
    </row>
    <row r="156" spans="1:21" x14ac:dyDescent="0.2">
      <c r="A156" s="1" t="s">
        <v>1440</v>
      </c>
      <c r="B156" s="1" t="s">
        <v>1443</v>
      </c>
      <c r="C156" t="s">
        <v>663</v>
      </c>
      <c r="D156" s="1" t="s">
        <v>42</v>
      </c>
      <c r="E156" s="1" t="s">
        <v>1240</v>
      </c>
      <c r="F156" s="1" t="s">
        <v>1291</v>
      </c>
      <c r="G156" s="1"/>
      <c r="I156" s="4">
        <v>62.7</v>
      </c>
      <c r="J156" s="11">
        <v>0.35</v>
      </c>
      <c r="L156" s="12">
        <f t="shared" si="3"/>
        <v>-0.45593195564972439</v>
      </c>
      <c r="M156" s="11">
        <f>GraphListeria!$B$10-(Listeria!I156-GraphListeria!$B$6)/GraphListeria!$B$5</f>
        <v>-2.7140219259401466E-2</v>
      </c>
      <c r="N156" s="1" t="s">
        <v>706</v>
      </c>
      <c r="O156">
        <v>1986</v>
      </c>
      <c r="S156" s="10">
        <f>GraphListeria!$B$43*Listeria!I156+GraphListeria!$B$44</f>
        <v>1.1287181186668604E-2</v>
      </c>
      <c r="U156" s="10">
        <f>GraphListeria!$H$43*Listeria!I156+GraphListeria!$H$44</f>
        <v>-2.7140219259401022E-2</v>
      </c>
    </row>
    <row r="157" spans="1:21" x14ac:dyDescent="0.2">
      <c r="A157" s="1" t="s">
        <v>1440</v>
      </c>
      <c r="B157" s="1" t="s">
        <v>1443</v>
      </c>
      <c r="C157" t="s">
        <v>427</v>
      </c>
      <c r="D157" s="1" t="s">
        <v>42</v>
      </c>
      <c r="E157" s="1" t="s">
        <v>1240</v>
      </c>
      <c r="F157" s="1" t="s">
        <v>1291</v>
      </c>
      <c r="G157" s="1"/>
      <c r="I157" s="4">
        <v>55</v>
      </c>
      <c r="J157" s="11">
        <v>24</v>
      </c>
      <c r="K157" s="4">
        <v>4.3</v>
      </c>
      <c r="L157" s="12">
        <f t="shared" si="3"/>
        <v>1.3802112417116059</v>
      </c>
      <c r="M157" s="11">
        <f>GraphListeria!$B$10-(Listeria!I157-GraphListeria!$B$6)/GraphListeria!$B$5</f>
        <v>1.0661847472731862</v>
      </c>
      <c r="N157" s="1" t="s">
        <v>706</v>
      </c>
      <c r="O157">
        <v>1986</v>
      </c>
      <c r="S157" s="10">
        <f>GraphListeria!$B$43*Listeria!I157+GraphListeria!$B$44</f>
        <v>1.0744704331063017</v>
      </c>
      <c r="U157" s="10">
        <f>GraphListeria!$H$43*Listeria!I157+GraphListeria!$H$44</f>
        <v>1.0661847472731862</v>
      </c>
    </row>
    <row r="158" spans="1:21" x14ac:dyDescent="0.2">
      <c r="A158" s="1" t="s">
        <v>1440</v>
      </c>
      <c r="B158" s="1" t="s">
        <v>1443</v>
      </c>
      <c r="C158" t="s">
        <v>427</v>
      </c>
      <c r="D158" s="1" t="s">
        <v>42</v>
      </c>
      <c r="E158" s="1" t="s">
        <v>1240</v>
      </c>
      <c r="F158" s="1" t="s">
        <v>1291</v>
      </c>
      <c r="G158" s="1"/>
      <c r="I158" s="4">
        <v>65</v>
      </c>
      <c r="J158" s="11">
        <v>0.1</v>
      </c>
      <c r="K158" s="4">
        <v>4.3</v>
      </c>
      <c r="L158" s="12">
        <f t="shared" si="3"/>
        <v>-1</v>
      </c>
      <c r="M158" s="11">
        <f>GraphListeria!$B$10-(Listeria!I158-GraphListeria!$B$6)/GraphListeria!$B$5</f>
        <v>-0.35371780666523878</v>
      </c>
      <c r="N158" s="1" t="s">
        <v>706</v>
      </c>
      <c r="O158">
        <v>1986</v>
      </c>
      <c r="S158" s="10">
        <f>GraphListeria!$B$43*Listeria!I158+GraphListeria!$B$44</f>
        <v>-0.30628703691919412</v>
      </c>
      <c r="U158" s="10">
        <f>GraphListeria!$H$43*Listeria!I158+GraphListeria!$H$44</f>
        <v>-0.35371780666523911</v>
      </c>
    </row>
    <row r="159" spans="1:21" x14ac:dyDescent="0.2">
      <c r="A159" s="1" t="s">
        <v>1440</v>
      </c>
      <c r="B159" s="1" t="s">
        <v>1443</v>
      </c>
      <c r="C159" t="s">
        <v>427</v>
      </c>
      <c r="D159" s="1" t="s">
        <v>42</v>
      </c>
      <c r="E159" s="1" t="s">
        <v>1240</v>
      </c>
      <c r="F159" s="1" t="s">
        <v>1291</v>
      </c>
      <c r="G159" s="1"/>
      <c r="I159" s="4">
        <v>62.9</v>
      </c>
      <c r="J159" s="11">
        <v>0.6</v>
      </c>
      <c r="L159" s="12">
        <f t="shared" si="3"/>
        <v>-0.22184874961635639</v>
      </c>
      <c r="M159" s="11">
        <f>GraphListeria!$B$10-(Listeria!I159-GraphListeria!$B$6)/GraphListeria!$B$5</f>
        <v>-5.5538270338169271E-2</v>
      </c>
      <c r="N159" s="1" t="s">
        <v>490</v>
      </c>
      <c r="O159">
        <v>2001</v>
      </c>
      <c r="P159" t="s">
        <v>669</v>
      </c>
      <c r="S159" s="10">
        <f>GraphListeria!$B$43*Listeria!I159+GraphListeria!$B$44</f>
        <v>-1.6327968213840194E-2</v>
      </c>
      <c r="U159" s="10">
        <f>GraphListeria!$H$43*Listeria!I159+GraphListeria!$H$44</f>
        <v>-5.5538270338169937E-2</v>
      </c>
    </row>
    <row r="160" spans="1:21" x14ac:dyDescent="0.2">
      <c r="A160" s="1" t="s">
        <v>1440</v>
      </c>
      <c r="B160" s="1" t="s">
        <v>1443</v>
      </c>
      <c r="C160" t="s">
        <v>427</v>
      </c>
      <c r="D160" s="1" t="s">
        <v>42</v>
      </c>
      <c r="E160" s="1" t="s">
        <v>1240</v>
      </c>
      <c r="F160" s="1" t="s">
        <v>1291</v>
      </c>
      <c r="G160" s="1"/>
      <c r="I160" s="4">
        <v>62.9</v>
      </c>
      <c r="J160" s="11">
        <v>2.5</v>
      </c>
      <c r="L160" s="12">
        <f t="shared" si="3"/>
        <v>0.3979400086720376</v>
      </c>
      <c r="M160" s="11">
        <f>GraphListeria!$B$10-(Listeria!I160-GraphListeria!$B$6)/GraphListeria!$B$5</f>
        <v>-5.5538270338169271E-2</v>
      </c>
      <c r="N160" s="1" t="s">
        <v>490</v>
      </c>
      <c r="O160">
        <v>2001</v>
      </c>
      <c r="P160" t="s">
        <v>670</v>
      </c>
      <c r="S160" s="10">
        <f>GraphListeria!$B$43*Listeria!I160+GraphListeria!$B$44</f>
        <v>-1.6327968213840194E-2</v>
      </c>
      <c r="U160" s="10">
        <f>GraphListeria!$H$43*Listeria!I160+GraphListeria!$H$44</f>
        <v>-5.5538270338169937E-2</v>
      </c>
    </row>
    <row r="161" spans="1:21" x14ac:dyDescent="0.2">
      <c r="A161" s="1" t="s">
        <v>1440</v>
      </c>
      <c r="B161" s="1" t="s">
        <v>1443</v>
      </c>
      <c r="C161" t="s">
        <v>427</v>
      </c>
      <c r="D161" s="1" t="s">
        <v>42</v>
      </c>
      <c r="E161" s="1" t="s">
        <v>1240</v>
      </c>
      <c r="F161" s="1" t="s">
        <v>1291</v>
      </c>
      <c r="G161" s="1"/>
      <c r="I161" s="4">
        <v>62.9</v>
      </c>
      <c r="J161" s="11">
        <v>1.53</v>
      </c>
      <c r="L161" s="12">
        <f t="shared" si="3"/>
        <v>0.18469143081759881</v>
      </c>
      <c r="M161" s="11">
        <f>GraphListeria!$B$10-(Listeria!I161-GraphListeria!$B$6)/GraphListeria!$B$5</f>
        <v>-5.5538270338169271E-2</v>
      </c>
      <c r="N161" s="1" t="s">
        <v>490</v>
      </c>
      <c r="O161">
        <v>2001</v>
      </c>
      <c r="P161" t="s">
        <v>671</v>
      </c>
      <c r="S161" s="10">
        <f>GraphListeria!$B$43*Listeria!I161+GraphListeria!$B$44</f>
        <v>-1.6327968213840194E-2</v>
      </c>
      <c r="U161" s="10">
        <f>GraphListeria!$H$43*Listeria!I161+GraphListeria!$H$44</f>
        <v>-5.5538270338169937E-2</v>
      </c>
    </row>
    <row r="162" spans="1:21" x14ac:dyDescent="0.2">
      <c r="A162" s="1" t="s">
        <v>1440</v>
      </c>
      <c r="B162" s="1" t="s">
        <v>1443</v>
      </c>
      <c r="C162" t="s">
        <v>427</v>
      </c>
      <c r="D162" s="1" t="s">
        <v>42</v>
      </c>
      <c r="E162" s="1" t="s">
        <v>1240</v>
      </c>
      <c r="F162" s="1" t="s">
        <v>1291</v>
      </c>
      <c r="G162" s="1"/>
      <c r="I162" s="4">
        <v>62.9</v>
      </c>
      <c r="J162" s="11">
        <v>4.05</v>
      </c>
      <c r="L162" s="12">
        <f t="shared" si="3"/>
        <v>0.60745502321466849</v>
      </c>
      <c r="M162" s="11">
        <f>GraphListeria!$B$10-(Listeria!I162-GraphListeria!$B$6)/GraphListeria!$B$5</f>
        <v>-5.5538270338169271E-2</v>
      </c>
      <c r="N162" s="1" t="s">
        <v>490</v>
      </c>
      <c r="O162">
        <v>2001</v>
      </c>
      <c r="P162" t="s">
        <v>672</v>
      </c>
      <c r="S162" s="10">
        <f>GraphListeria!$B$43*Listeria!I162+GraphListeria!$B$44</f>
        <v>-1.6327968213840194E-2</v>
      </c>
      <c r="U162" s="10">
        <f>GraphListeria!$H$43*Listeria!I162+GraphListeria!$H$44</f>
        <v>-5.5538270338169937E-2</v>
      </c>
    </row>
    <row r="163" spans="1:21" x14ac:dyDescent="0.2">
      <c r="A163" s="1" t="s">
        <v>1440</v>
      </c>
      <c r="B163" s="1" t="s">
        <v>1443</v>
      </c>
      <c r="C163" t="s">
        <v>665</v>
      </c>
      <c r="D163" s="1" t="s">
        <v>42</v>
      </c>
      <c r="E163" s="1" t="s">
        <v>1240</v>
      </c>
      <c r="F163" s="1" t="s">
        <v>1291</v>
      </c>
      <c r="G163" s="1"/>
      <c r="I163" s="4">
        <v>56</v>
      </c>
      <c r="J163" s="11">
        <v>9.6</v>
      </c>
      <c r="K163" s="4">
        <v>5</v>
      </c>
      <c r="L163" s="12">
        <f t="shared" si="3"/>
        <v>0.98227123303956843</v>
      </c>
      <c r="M163" s="11">
        <f>GraphListeria!$B$10-(Listeria!I163-GraphListeria!$B$6)/GraphListeria!$B$5</f>
        <v>0.92419449187934366</v>
      </c>
      <c r="N163" s="1" t="s">
        <v>490</v>
      </c>
      <c r="O163">
        <v>2001</v>
      </c>
      <c r="P163" t="s">
        <v>673</v>
      </c>
      <c r="S163" s="10">
        <f>GraphListeria!$B$43*Listeria!I163+GraphListeria!$B$44</f>
        <v>0.93639468610375154</v>
      </c>
      <c r="U163" s="10">
        <f>GraphListeria!$H$43*Listeria!I163+GraphListeria!$H$44</f>
        <v>0.92419449187934344</v>
      </c>
    </row>
    <row r="164" spans="1:21" x14ac:dyDescent="0.2">
      <c r="A164" s="1" t="s">
        <v>1440</v>
      </c>
      <c r="B164" s="1" t="s">
        <v>1443</v>
      </c>
      <c r="C164" t="s">
        <v>665</v>
      </c>
      <c r="D164" s="1" t="s">
        <v>42</v>
      </c>
      <c r="E164" s="1" t="s">
        <v>1240</v>
      </c>
      <c r="F164" s="1" t="s">
        <v>1291</v>
      </c>
      <c r="G164" s="1"/>
      <c r="I164" s="4">
        <v>60</v>
      </c>
      <c r="J164" s="11">
        <v>1.5</v>
      </c>
      <c r="K164" s="4">
        <v>5</v>
      </c>
      <c r="L164" s="12">
        <f t="shared" si="3"/>
        <v>0.17609125905568124</v>
      </c>
      <c r="M164" s="11">
        <f>GraphListeria!$B$10-(Listeria!I164-GraphListeria!$B$6)/GraphListeria!$B$5</f>
        <v>0.35623347030397379</v>
      </c>
      <c r="N164" s="1" t="s">
        <v>490</v>
      </c>
      <c r="O164">
        <v>2001</v>
      </c>
      <c r="P164" t="s">
        <v>673</v>
      </c>
      <c r="S164" s="10">
        <f>GraphListeria!$B$43*Listeria!I164+GraphListeria!$B$44</f>
        <v>0.38409169809355426</v>
      </c>
      <c r="U164" s="10">
        <f>GraphListeria!$H$43*Listeria!I164+GraphListeria!$H$44</f>
        <v>0.35623347030397312</v>
      </c>
    </row>
    <row r="165" spans="1:21" x14ac:dyDescent="0.2">
      <c r="A165" s="1" t="s">
        <v>1440</v>
      </c>
      <c r="B165" s="1" t="s">
        <v>1443</v>
      </c>
      <c r="C165" t="s">
        <v>665</v>
      </c>
      <c r="D165" s="1" t="s">
        <v>42</v>
      </c>
      <c r="E165" s="1" t="s">
        <v>1240</v>
      </c>
      <c r="F165" s="1" t="s">
        <v>1291</v>
      </c>
      <c r="G165" s="1"/>
      <c r="I165" s="4">
        <v>62.9</v>
      </c>
      <c r="J165" s="11">
        <v>0.4</v>
      </c>
      <c r="K165" s="4">
        <v>5</v>
      </c>
      <c r="L165" s="12">
        <f t="shared" si="3"/>
        <v>-0.3979400086720376</v>
      </c>
      <c r="M165" s="11">
        <f>GraphListeria!$B$10-(Listeria!I165-GraphListeria!$B$6)/GraphListeria!$B$5</f>
        <v>-5.5538270338169271E-2</v>
      </c>
      <c r="N165" s="1" t="s">
        <v>490</v>
      </c>
      <c r="O165">
        <v>2001</v>
      </c>
      <c r="P165" t="s">
        <v>673</v>
      </c>
      <c r="S165" s="10">
        <f>GraphListeria!$B$43*Listeria!I165+GraphListeria!$B$44</f>
        <v>-1.6327968213840194E-2</v>
      </c>
      <c r="U165" s="10">
        <f>GraphListeria!$H$43*Listeria!I165+GraphListeria!$H$44</f>
        <v>-5.5538270338169937E-2</v>
      </c>
    </row>
    <row r="166" spans="1:21" x14ac:dyDescent="0.2">
      <c r="A166" s="1" t="s">
        <v>1440</v>
      </c>
      <c r="B166" s="1" t="s">
        <v>1443</v>
      </c>
      <c r="C166" t="s">
        <v>665</v>
      </c>
      <c r="D166" s="1" t="s">
        <v>42</v>
      </c>
      <c r="E166" s="1" t="s">
        <v>1240</v>
      </c>
      <c r="F166" s="1" t="s">
        <v>1291</v>
      </c>
      <c r="G166" s="1"/>
      <c r="I166" s="4">
        <v>56</v>
      </c>
      <c r="J166" s="11">
        <v>24.5</v>
      </c>
      <c r="K166" s="4">
        <v>5.0999999999999996</v>
      </c>
      <c r="L166" s="12">
        <f t="shared" si="3"/>
        <v>1.3891660843645324</v>
      </c>
      <c r="M166" s="11">
        <f>GraphListeria!$B$10-(Listeria!I166-GraphListeria!$B$6)/GraphListeria!$B$5</f>
        <v>0.92419449187934366</v>
      </c>
      <c r="N166" s="1" t="s">
        <v>490</v>
      </c>
      <c r="O166">
        <v>2001</v>
      </c>
      <c r="P166" t="s">
        <v>674</v>
      </c>
      <c r="S166" s="10">
        <f>GraphListeria!$B$43*Listeria!I166+GraphListeria!$B$44</f>
        <v>0.93639468610375154</v>
      </c>
      <c r="U166" s="10">
        <f>GraphListeria!$H$43*Listeria!I166+GraphListeria!$H$44</f>
        <v>0.92419449187934344</v>
      </c>
    </row>
    <row r="167" spans="1:21" x14ac:dyDescent="0.2">
      <c r="A167" s="1" t="s">
        <v>1440</v>
      </c>
      <c r="B167" s="1" t="s">
        <v>1443</v>
      </c>
      <c r="C167" t="s">
        <v>665</v>
      </c>
      <c r="D167" s="1" t="s">
        <v>42</v>
      </c>
      <c r="E167" s="1" t="s">
        <v>1240</v>
      </c>
      <c r="F167" s="1" t="s">
        <v>1291</v>
      </c>
      <c r="G167" s="1"/>
      <c r="I167" s="4">
        <v>60</v>
      </c>
      <c r="J167" s="11">
        <v>3.7</v>
      </c>
      <c r="K167" s="4">
        <v>5.0999999999999996</v>
      </c>
      <c r="L167" s="12">
        <f t="shared" si="3"/>
        <v>0.56820172406699498</v>
      </c>
      <c r="M167" s="11">
        <f>GraphListeria!$B$10-(Listeria!I167-GraphListeria!$B$6)/GraphListeria!$B$5</f>
        <v>0.35623347030397379</v>
      </c>
      <c r="N167" s="1" t="s">
        <v>490</v>
      </c>
      <c r="O167">
        <v>2001</v>
      </c>
      <c r="P167" t="s">
        <v>674</v>
      </c>
      <c r="S167" s="10">
        <f>GraphListeria!$B$43*Listeria!I167+GraphListeria!$B$44</f>
        <v>0.38409169809355426</v>
      </c>
      <c r="U167" s="10">
        <f>GraphListeria!$H$43*Listeria!I167+GraphListeria!$H$44</f>
        <v>0.35623347030397312</v>
      </c>
    </row>
    <row r="168" spans="1:21" x14ac:dyDescent="0.2">
      <c r="A168" s="1" t="s">
        <v>1440</v>
      </c>
      <c r="B168" s="1" t="s">
        <v>1443</v>
      </c>
      <c r="C168" t="s">
        <v>665</v>
      </c>
      <c r="D168" s="1" t="s">
        <v>42</v>
      </c>
      <c r="E168" s="1" t="s">
        <v>1240</v>
      </c>
      <c r="F168" s="1" t="s">
        <v>1291</v>
      </c>
      <c r="G168" s="1"/>
      <c r="I168" s="4">
        <v>62.9</v>
      </c>
      <c r="J168" s="11">
        <v>1.1000000000000001</v>
      </c>
      <c r="K168" s="4">
        <v>5.0999999999999996</v>
      </c>
      <c r="L168" s="12">
        <f t="shared" si="3"/>
        <v>4.1392685158225077E-2</v>
      </c>
      <c r="M168" s="11">
        <f>GraphListeria!$B$10-(Listeria!I168-GraphListeria!$B$6)/GraphListeria!$B$5</f>
        <v>-5.5538270338169271E-2</v>
      </c>
      <c r="N168" s="1" t="s">
        <v>490</v>
      </c>
      <c r="O168">
        <v>2001</v>
      </c>
      <c r="P168" t="s">
        <v>674</v>
      </c>
      <c r="S168" s="10">
        <f>GraphListeria!$B$43*Listeria!I168+GraphListeria!$B$44</f>
        <v>-1.6327968213840194E-2</v>
      </c>
      <c r="U168" s="10">
        <f>GraphListeria!$H$43*Listeria!I168+GraphListeria!$H$44</f>
        <v>-5.5538270338169937E-2</v>
      </c>
    </row>
    <row r="169" spans="1:21" x14ac:dyDescent="0.2">
      <c r="A169" s="1" t="s">
        <v>1440</v>
      </c>
      <c r="B169" s="1" t="s">
        <v>1443</v>
      </c>
      <c r="C169" t="s">
        <v>666</v>
      </c>
      <c r="D169" s="1" t="s">
        <v>42</v>
      </c>
      <c r="E169" s="1" t="s">
        <v>1240</v>
      </c>
      <c r="F169" s="1" t="s">
        <v>1291</v>
      </c>
      <c r="G169" s="1"/>
      <c r="I169" s="4">
        <v>56</v>
      </c>
      <c r="J169" s="11">
        <v>10.5</v>
      </c>
      <c r="K169" s="4">
        <v>5</v>
      </c>
      <c r="L169" s="12">
        <f t="shared" si="3"/>
        <v>1.0211892990699381</v>
      </c>
      <c r="M169" s="11">
        <f>GraphListeria!$B$10-(Listeria!I169-GraphListeria!$B$6)/GraphListeria!$B$5</f>
        <v>0.92419449187934366</v>
      </c>
      <c r="N169" s="1" t="s">
        <v>490</v>
      </c>
      <c r="O169">
        <v>2001</v>
      </c>
      <c r="P169" t="s">
        <v>673</v>
      </c>
      <c r="S169" s="10">
        <f>GraphListeria!$B$43*Listeria!I169+GraphListeria!$B$44</f>
        <v>0.93639468610375154</v>
      </c>
      <c r="U169" s="10">
        <f>GraphListeria!$H$43*Listeria!I169+GraphListeria!$H$44</f>
        <v>0.92419449187934344</v>
      </c>
    </row>
    <row r="170" spans="1:21" x14ac:dyDescent="0.2">
      <c r="A170" s="1" t="s">
        <v>1440</v>
      </c>
      <c r="B170" s="1" t="s">
        <v>1443</v>
      </c>
      <c r="C170" t="s">
        <v>666</v>
      </c>
      <c r="D170" s="1" t="s">
        <v>42</v>
      </c>
      <c r="E170" s="1" t="s">
        <v>1240</v>
      </c>
      <c r="F170" s="1" t="s">
        <v>1291</v>
      </c>
      <c r="G170" s="1"/>
      <c r="I170" s="4">
        <v>60</v>
      </c>
      <c r="J170" s="11">
        <v>1.7</v>
      </c>
      <c r="K170" s="4">
        <v>5</v>
      </c>
      <c r="L170" s="12">
        <f t="shared" si="3"/>
        <v>0.23044892137827391</v>
      </c>
      <c r="M170" s="11">
        <f>GraphListeria!$B$10-(Listeria!I170-GraphListeria!$B$6)/GraphListeria!$B$5</f>
        <v>0.35623347030397379</v>
      </c>
      <c r="N170" s="1" t="s">
        <v>490</v>
      </c>
      <c r="O170">
        <v>2001</v>
      </c>
      <c r="P170" t="s">
        <v>673</v>
      </c>
      <c r="S170" s="10">
        <f>GraphListeria!$B$43*Listeria!I170+GraphListeria!$B$44</f>
        <v>0.38409169809355426</v>
      </c>
      <c r="U170" s="10">
        <f>GraphListeria!$H$43*Listeria!I170+GraphListeria!$H$44</f>
        <v>0.35623347030397312</v>
      </c>
    </row>
    <row r="171" spans="1:21" x14ac:dyDescent="0.2">
      <c r="A171" s="1" t="s">
        <v>1440</v>
      </c>
      <c r="B171" s="1" t="s">
        <v>1443</v>
      </c>
      <c r="C171" t="s">
        <v>666</v>
      </c>
      <c r="D171" s="1" t="s">
        <v>42</v>
      </c>
      <c r="E171" s="1" t="s">
        <v>1240</v>
      </c>
      <c r="F171" s="1" t="s">
        <v>1291</v>
      </c>
      <c r="G171" s="1"/>
      <c r="I171" s="4">
        <v>62.9</v>
      </c>
      <c r="J171" s="11">
        <v>0.4</v>
      </c>
      <c r="K171" s="4">
        <v>5</v>
      </c>
      <c r="L171" s="12">
        <f t="shared" si="3"/>
        <v>-0.3979400086720376</v>
      </c>
      <c r="M171" s="11">
        <f>GraphListeria!$B$10-(Listeria!I171-GraphListeria!$B$6)/GraphListeria!$B$5</f>
        <v>-5.5538270338169271E-2</v>
      </c>
      <c r="N171" s="1" t="s">
        <v>490</v>
      </c>
      <c r="O171">
        <v>2001</v>
      </c>
      <c r="P171" t="s">
        <v>673</v>
      </c>
      <c r="S171" s="10">
        <f>GraphListeria!$B$43*Listeria!I171+GraphListeria!$B$44</f>
        <v>-1.6327968213840194E-2</v>
      </c>
      <c r="U171" s="10">
        <f>GraphListeria!$H$43*Listeria!I171+GraphListeria!$H$44</f>
        <v>-5.5538270338169937E-2</v>
      </c>
    </row>
    <row r="172" spans="1:21" x14ac:dyDescent="0.2">
      <c r="A172" s="1" t="s">
        <v>1440</v>
      </c>
      <c r="B172" s="1" t="s">
        <v>1443</v>
      </c>
      <c r="C172" t="s">
        <v>666</v>
      </c>
      <c r="D172" s="1" t="s">
        <v>42</v>
      </c>
      <c r="E172" s="1" t="s">
        <v>1240</v>
      </c>
      <c r="F172" s="1" t="s">
        <v>1291</v>
      </c>
      <c r="G172" s="1"/>
      <c r="I172" s="4">
        <v>56</v>
      </c>
      <c r="J172" s="11">
        <v>29.1</v>
      </c>
      <c r="K172" s="4">
        <v>5.2</v>
      </c>
      <c r="L172" s="12">
        <f t="shared" si="3"/>
        <v>1.4638929889859074</v>
      </c>
      <c r="M172" s="11">
        <f>GraphListeria!$B$10-(Listeria!I172-GraphListeria!$B$6)/GraphListeria!$B$5</f>
        <v>0.92419449187934366</v>
      </c>
      <c r="N172" s="1" t="s">
        <v>490</v>
      </c>
      <c r="O172">
        <v>2001</v>
      </c>
      <c r="P172" t="s">
        <v>674</v>
      </c>
      <c r="S172" s="10">
        <f>GraphListeria!$B$43*Listeria!I172+GraphListeria!$B$44</f>
        <v>0.93639468610375154</v>
      </c>
      <c r="U172" s="10">
        <f>GraphListeria!$H$43*Listeria!I172+GraphListeria!$H$44</f>
        <v>0.92419449187934344</v>
      </c>
    </row>
    <row r="173" spans="1:21" x14ac:dyDescent="0.2">
      <c r="A173" s="1" t="s">
        <v>1440</v>
      </c>
      <c r="B173" s="1" t="s">
        <v>1443</v>
      </c>
      <c r="C173" t="s">
        <v>666</v>
      </c>
      <c r="D173" s="1" t="s">
        <v>42</v>
      </c>
      <c r="E173" s="1" t="s">
        <v>1240</v>
      </c>
      <c r="F173" s="1" t="s">
        <v>1291</v>
      </c>
      <c r="G173" s="1"/>
      <c r="I173" s="4">
        <v>60</v>
      </c>
      <c r="J173" s="11">
        <v>4.4000000000000004</v>
      </c>
      <c r="K173" s="4">
        <v>5.2</v>
      </c>
      <c r="L173" s="12">
        <f t="shared" si="3"/>
        <v>0.64345267648618742</v>
      </c>
      <c r="M173" s="11">
        <f>GraphListeria!$B$10-(Listeria!I173-GraphListeria!$B$6)/GraphListeria!$B$5</f>
        <v>0.35623347030397379</v>
      </c>
      <c r="N173" s="1" t="s">
        <v>490</v>
      </c>
      <c r="O173">
        <v>2001</v>
      </c>
      <c r="P173" t="s">
        <v>674</v>
      </c>
      <c r="S173" s="10">
        <f>GraphListeria!$B$43*Listeria!I173+GraphListeria!$B$44</f>
        <v>0.38409169809355426</v>
      </c>
      <c r="U173" s="10">
        <f>GraphListeria!$H$43*Listeria!I173+GraphListeria!$H$44</f>
        <v>0.35623347030397312</v>
      </c>
    </row>
    <row r="174" spans="1:21" x14ac:dyDescent="0.2">
      <c r="A174" s="1" t="s">
        <v>1440</v>
      </c>
      <c r="B174" s="1" t="s">
        <v>1443</v>
      </c>
      <c r="C174" t="s">
        <v>666</v>
      </c>
      <c r="D174" s="1" t="s">
        <v>42</v>
      </c>
      <c r="E174" s="1" t="s">
        <v>1240</v>
      </c>
      <c r="F174" s="1" t="s">
        <v>1291</v>
      </c>
      <c r="G174" s="1"/>
      <c r="I174" s="4">
        <v>62.9</v>
      </c>
      <c r="J174" s="11">
        <v>1.4</v>
      </c>
      <c r="K174" s="4">
        <v>5.2</v>
      </c>
      <c r="L174" s="12">
        <f t="shared" si="3"/>
        <v>0.14612803567823801</v>
      </c>
      <c r="M174" s="11">
        <f>GraphListeria!$B$10-(Listeria!I174-GraphListeria!$B$6)/GraphListeria!$B$5</f>
        <v>-5.5538270338169271E-2</v>
      </c>
      <c r="N174" s="1" t="s">
        <v>490</v>
      </c>
      <c r="O174">
        <v>2001</v>
      </c>
      <c r="P174" t="s">
        <v>674</v>
      </c>
      <c r="S174" s="10">
        <f>GraphListeria!$B$43*Listeria!I174+GraphListeria!$B$44</f>
        <v>-1.6327968213840194E-2</v>
      </c>
      <c r="U174" s="10">
        <f>GraphListeria!$H$43*Listeria!I174+GraphListeria!$H$44</f>
        <v>-5.5538270338169937E-2</v>
      </c>
    </row>
    <row r="175" spans="1:21" x14ac:dyDescent="0.2">
      <c r="A175" s="1" t="s">
        <v>1440</v>
      </c>
      <c r="B175" s="1" t="s">
        <v>1443</v>
      </c>
      <c r="C175" t="s">
        <v>667</v>
      </c>
      <c r="D175" s="1" t="s">
        <v>42</v>
      </c>
      <c r="E175" s="1" t="s">
        <v>1240</v>
      </c>
      <c r="F175" s="1" t="s">
        <v>1291</v>
      </c>
      <c r="G175" s="1"/>
      <c r="I175" s="4">
        <v>56</v>
      </c>
      <c r="J175" s="11">
        <v>10.1</v>
      </c>
      <c r="K175" s="4">
        <v>5</v>
      </c>
      <c r="L175" s="12">
        <f t="shared" si="3"/>
        <v>1.0043213737826426</v>
      </c>
      <c r="M175" s="11">
        <f>GraphListeria!$B$10-(Listeria!I175-GraphListeria!$B$6)/GraphListeria!$B$5</f>
        <v>0.92419449187934366</v>
      </c>
      <c r="N175" s="1" t="s">
        <v>490</v>
      </c>
      <c r="O175">
        <v>2001</v>
      </c>
      <c r="P175" t="s">
        <v>673</v>
      </c>
      <c r="S175" s="10">
        <f>GraphListeria!$B$43*Listeria!I175+GraphListeria!$B$44</f>
        <v>0.93639468610375154</v>
      </c>
      <c r="U175" s="10">
        <f>GraphListeria!$H$43*Listeria!I175+GraphListeria!$H$44</f>
        <v>0.92419449187934344</v>
      </c>
    </row>
    <row r="176" spans="1:21" x14ac:dyDescent="0.2">
      <c r="A176" s="1" t="s">
        <v>1440</v>
      </c>
      <c r="B176" s="1" t="s">
        <v>1443</v>
      </c>
      <c r="C176" t="s">
        <v>667</v>
      </c>
      <c r="D176" s="1" t="s">
        <v>42</v>
      </c>
      <c r="E176" s="1" t="s">
        <v>1240</v>
      </c>
      <c r="F176" s="1" t="s">
        <v>1291</v>
      </c>
      <c r="G176" s="1"/>
      <c r="I176" s="4">
        <v>60</v>
      </c>
      <c r="J176" s="11">
        <v>1.5</v>
      </c>
      <c r="K176" s="4">
        <v>5</v>
      </c>
      <c r="L176" s="12">
        <f t="shared" si="3"/>
        <v>0.17609125905568124</v>
      </c>
      <c r="M176" s="11">
        <f>GraphListeria!$B$10-(Listeria!I176-GraphListeria!$B$6)/GraphListeria!$B$5</f>
        <v>0.35623347030397379</v>
      </c>
      <c r="N176" s="1" t="s">
        <v>490</v>
      </c>
      <c r="O176">
        <v>2001</v>
      </c>
      <c r="P176" t="s">
        <v>673</v>
      </c>
      <c r="S176" s="10">
        <f>GraphListeria!$B$43*Listeria!I176+GraphListeria!$B$44</f>
        <v>0.38409169809355426</v>
      </c>
      <c r="U176" s="10">
        <f>GraphListeria!$H$43*Listeria!I176+GraphListeria!$H$44</f>
        <v>0.35623347030397312</v>
      </c>
    </row>
    <row r="177" spans="1:21" x14ac:dyDescent="0.2">
      <c r="A177" s="1" t="s">
        <v>1440</v>
      </c>
      <c r="B177" s="1" t="s">
        <v>1443</v>
      </c>
      <c r="C177" t="s">
        <v>667</v>
      </c>
      <c r="D177" s="1" t="s">
        <v>42</v>
      </c>
      <c r="E177" s="1" t="s">
        <v>1240</v>
      </c>
      <c r="F177" s="1" t="s">
        <v>1291</v>
      </c>
      <c r="G177" s="1"/>
      <c r="I177" s="4">
        <v>62.9</v>
      </c>
      <c r="J177" s="11">
        <v>0.4</v>
      </c>
      <c r="K177" s="4">
        <v>5</v>
      </c>
      <c r="L177" s="12">
        <f t="shared" si="3"/>
        <v>-0.3979400086720376</v>
      </c>
      <c r="M177" s="11">
        <f>GraphListeria!$B$10-(Listeria!I177-GraphListeria!$B$6)/GraphListeria!$B$5</f>
        <v>-5.5538270338169271E-2</v>
      </c>
      <c r="N177" s="1" t="s">
        <v>490</v>
      </c>
      <c r="O177">
        <v>2001</v>
      </c>
      <c r="P177" t="s">
        <v>673</v>
      </c>
      <c r="S177" s="10">
        <f>GraphListeria!$B$43*Listeria!I177+GraphListeria!$B$44</f>
        <v>-1.6327968213840194E-2</v>
      </c>
      <c r="U177" s="10">
        <f>GraphListeria!$H$43*Listeria!I177+GraphListeria!$H$44</f>
        <v>-5.5538270338169937E-2</v>
      </c>
    </row>
    <row r="178" spans="1:21" x14ac:dyDescent="0.2">
      <c r="A178" s="1" t="s">
        <v>1440</v>
      </c>
      <c r="B178" s="1" t="s">
        <v>1443</v>
      </c>
      <c r="C178" t="s">
        <v>667</v>
      </c>
      <c r="D178" s="1" t="s">
        <v>42</v>
      </c>
      <c r="E178" s="1" t="s">
        <v>1240</v>
      </c>
      <c r="F178" s="1" t="s">
        <v>1291</v>
      </c>
      <c r="G178" s="1"/>
      <c r="I178" s="4">
        <v>56</v>
      </c>
      <c r="J178" s="11">
        <v>26.5</v>
      </c>
      <c r="K178" s="4">
        <v>5.0999999999999996</v>
      </c>
      <c r="L178" s="12">
        <f t="shared" si="3"/>
        <v>1.4232458739368079</v>
      </c>
      <c r="M178" s="11">
        <f>GraphListeria!$B$10-(Listeria!I178-GraphListeria!$B$6)/GraphListeria!$B$5</f>
        <v>0.92419449187934366</v>
      </c>
      <c r="N178" s="1" t="s">
        <v>490</v>
      </c>
      <c r="O178">
        <v>2001</v>
      </c>
      <c r="P178" t="s">
        <v>674</v>
      </c>
      <c r="S178" s="10">
        <f>GraphListeria!$B$43*Listeria!I178+GraphListeria!$B$44</f>
        <v>0.93639468610375154</v>
      </c>
      <c r="U178" s="10">
        <f>GraphListeria!$H$43*Listeria!I178+GraphListeria!$H$44</f>
        <v>0.92419449187934344</v>
      </c>
    </row>
    <row r="179" spans="1:21" x14ac:dyDescent="0.2">
      <c r="A179" s="1" t="s">
        <v>1440</v>
      </c>
      <c r="B179" s="1" t="s">
        <v>1443</v>
      </c>
      <c r="C179" t="s">
        <v>667</v>
      </c>
      <c r="D179" s="1" t="s">
        <v>42</v>
      </c>
      <c r="E179" s="1" t="s">
        <v>1240</v>
      </c>
      <c r="F179" s="1" t="s">
        <v>1291</v>
      </c>
      <c r="G179" s="1"/>
      <c r="I179" s="4">
        <v>60</v>
      </c>
      <c r="J179" s="11">
        <v>3.9</v>
      </c>
      <c r="K179" s="4">
        <v>5.0999999999999996</v>
      </c>
      <c r="L179" s="12">
        <f t="shared" si="3"/>
        <v>0.59106460702649921</v>
      </c>
      <c r="M179" s="11">
        <f>GraphListeria!$B$10-(Listeria!I179-GraphListeria!$B$6)/GraphListeria!$B$5</f>
        <v>0.35623347030397379</v>
      </c>
      <c r="N179" s="1" t="s">
        <v>490</v>
      </c>
      <c r="O179">
        <v>2001</v>
      </c>
      <c r="P179" t="s">
        <v>674</v>
      </c>
      <c r="S179" s="10">
        <f>GraphListeria!$B$43*Listeria!I179+GraphListeria!$B$44</f>
        <v>0.38409169809355426</v>
      </c>
      <c r="U179" s="10">
        <f>GraphListeria!$H$43*Listeria!I179+GraphListeria!$H$44</f>
        <v>0.35623347030397312</v>
      </c>
    </row>
    <row r="180" spans="1:21" x14ac:dyDescent="0.2">
      <c r="A180" s="1" t="s">
        <v>1440</v>
      </c>
      <c r="B180" s="1" t="s">
        <v>1443</v>
      </c>
      <c r="C180" t="s">
        <v>667</v>
      </c>
      <c r="D180" s="1" t="s">
        <v>42</v>
      </c>
      <c r="E180" s="1" t="s">
        <v>1240</v>
      </c>
      <c r="F180" s="1" t="s">
        <v>1291</v>
      </c>
      <c r="G180" s="1"/>
      <c r="I180" s="4">
        <v>62.9</v>
      </c>
      <c r="J180" s="11">
        <v>1.2</v>
      </c>
      <c r="K180" s="4">
        <v>5.0999999999999996</v>
      </c>
      <c r="L180" s="12">
        <f t="shared" si="3"/>
        <v>7.9181246047624818E-2</v>
      </c>
      <c r="M180" s="11">
        <f>GraphListeria!$B$10-(Listeria!I180-GraphListeria!$B$6)/GraphListeria!$B$5</f>
        <v>-5.5538270338169271E-2</v>
      </c>
      <c r="N180" s="1" t="s">
        <v>490</v>
      </c>
      <c r="O180">
        <v>2001</v>
      </c>
      <c r="P180" t="s">
        <v>674</v>
      </c>
      <c r="S180" s="10">
        <f>GraphListeria!$B$43*Listeria!I180+GraphListeria!$B$44</f>
        <v>-1.6327968213840194E-2</v>
      </c>
      <c r="U180" s="10">
        <f>GraphListeria!$H$43*Listeria!I180+GraphListeria!$H$44</f>
        <v>-5.5538270338169937E-2</v>
      </c>
    </row>
    <row r="181" spans="1:21" x14ac:dyDescent="0.2">
      <c r="A181" s="1" t="s">
        <v>1440</v>
      </c>
      <c r="B181" s="1" t="s">
        <v>1443</v>
      </c>
      <c r="C181" t="s">
        <v>668</v>
      </c>
      <c r="D181" s="1" t="s">
        <v>42</v>
      </c>
      <c r="E181" s="1" t="s">
        <v>1240</v>
      </c>
      <c r="F181" s="1" t="s">
        <v>1291</v>
      </c>
      <c r="G181" s="1"/>
      <c r="I181" s="4">
        <v>56</v>
      </c>
      <c r="J181" s="11">
        <v>11.4</v>
      </c>
      <c r="K181" s="4">
        <v>5.0999999999999996</v>
      </c>
      <c r="L181" s="12">
        <f t="shared" si="3"/>
        <v>1.0569048513364727</v>
      </c>
      <c r="M181" s="11">
        <f>GraphListeria!$B$10-(Listeria!I181-GraphListeria!$B$6)/GraphListeria!$B$5</f>
        <v>0.92419449187934366</v>
      </c>
      <c r="N181" s="1" t="s">
        <v>490</v>
      </c>
      <c r="O181">
        <v>2001</v>
      </c>
      <c r="P181" t="s">
        <v>673</v>
      </c>
      <c r="S181" s="10">
        <f>GraphListeria!$B$43*Listeria!I181+GraphListeria!$B$44</f>
        <v>0.93639468610375154</v>
      </c>
      <c r="U181" s="10">
        <f>GraphListeria!$H$43*Listeria!I181+GraphListeria!$H$44</f>
        <v>0.92419449187934344</v>
      </c>
    </row>
    <row r="182" spans="1:21" x14ac:dyDescent="0.2">
      <c r="A182" s="1" t="s">
        <v>1440</v>
      </c>
      <c r="B182" s="1" t="s">
        <v>1443</v>
      </c>
      <c r="C182" t="s">
        <v>668</v>
      </c>
      <c r="D182" s="1" t="s">
        <v>42</v>
      </c>
      <c r="E182" s="1" t="s">
        <v>1240</v>
      </c>
      <c r="F182" s="1" t="s">
        <v>1291</v>
      </c>
      <c r="G182" s="1"/>
      <c r="I182" s="4">
        <v>60</v>
      </c>
      <c r="J182" s="11">
        <v>1.8</v>
      </c>
      <c r="K182" s="4">
        <v>5.0999999999999996</v>
      </c>
      <c r="L182" s="12">
        <f t="shared" si="3"/>
        <v>0.25527250510330607</v>
      </c>
      <c r="M182" s="11">
        <f>GraphListeria!$B$10-(Listeria!I182-GraphListeria!$B$6)/GraphListeria!$B$5</f>
        <v>0.35623347030397379</v>
      </c>
      <c r="N182" s="1" t="s">
        <v>490</v>
      </c>
      <c r="O182">
        <v>2001</v>
      </c>
      <c r="P182" t="s">
        <v>673</v>
      </c>
      <c r="S182" s="10">
        <f>GraphListeria!$B$43*Listeria!I182+GraphListeria!$B$44</f>
        <v>0.38409169809355426</v>
      </c>
      <c r="U182" s="10">
        <f>GraphListeria!$H$43*Listeria!I182+GraphListeria!$H$44</f>
        <v>0.35623347030397312</v>
      </c>
    </row>
    <row r="183" spans="1:21" x14ac:dyDescent="0.2">
      <c r="A183" s="1" t="s">
        <v>1440</v>
      </c>
      <c r="B183" s="1" t="s">
        <v>1443</v>
      </c>
      <c r="C183" t="s">
        <v>668</v>
      </c>
      <c r="D183" s="1" t="s">
        <v>42</v>
      </c>
      <c r="E183" s="1" t="s">
        <v>1240</v>
      </c>
      <c r="F183" s="1" t="s">
        <v>1291</v>
      </c>
      <c r="G183" s="1"/>
      <c r="I183" s="4">
        <v>62.9</v>
      </c>
      <c r="J183" s="11">
        <v>0.5</v>
      </c>
      <c r="K183" s="4">
        <v>5.0999999999999996</v>
      </c>
      <c r="L183" s="12">
        <f t="shared" si="3"/>
        <v>-0.3010299956639812</v>
      </c>
      <c r="M183" s="11">
        <f>GraphListeria!$B$10-(Listeria!I183-GraphListeria!$B$6)/GraphListeria!$B$5</f>
        <v>-5.5538270338169271E-2</v>
      </c>
      <c r="N183" s="1" t="s">
        <v>490</v>
      </c>
      <c r="O183">
        <v>2001</v>
      </c>
      <c r="P183" t="s">
        <v>673</v>
      </c>
      <c r="S183" s="10">
        <f>GraphListeria!$B$43*Listeria!I183+GraphListeria!$B$44</f>
        <v>-1.6327968213840194E-2</v>
      </c>
      <c r="U183" s="10">
        <f>GraphListeria!$H$43*Listeria!I183+GraphListeria!$H$44</f>
        <v>-5.5538270338169937E-2</v>
      </c>
    </row>
    <row r="184" spans="1:21" x14ac:dyDescent="0.2">
      <c r="A184" s="1" t="s">
        <v>1440</v>
      </c>
      <c r="B184" s="1" t="s">
        <v>1443</v>
      </c>
      <c r="C184" t="s">
        <v>668</v>
      </c>
      <c r="D184" s="1" t="s">
        <v>42</v>
      </c>
      <c r="E184" s="1" t="s">
        <v>1240</v>
      </c>
      <c r="F184" s="1" t="s">
        <v>1291</v>
      </c>
      <c r="G184" s="1"/>
      <c r="I184" s="4">
        <v>56</v>
      </c>
      <c r="J184" s="11">
        <v>31.5</v>
      </c>
      <c r="K184" s="4">
        <v>5.2</v>
      </c>
      <c r="L184" s="12">
        <f t="shared" si="3"/>
        <v>1.4983105537896004</v>
      </c>
      <c r="M184" s="11">
        <f>GraphListeria!$B$10-(Listeria!I184-GraphListeria!$B$6)/GraphListeria!$B$5</f>
        <v>0.92419449187934366</v>
      </c>
      <c r="N184" s="1" t="s">
        <v>490</v>
      </c>
      <c r="O184">
        <v>2001</v>
      </c>
      <c r="P184" t="s">
        <v>674</v>
      </c>
      <c r="S184" s="10">
        <f>GraphListeria!$B$43*Listeria!I184+GraphListeria!$B$44</f>
        <v>0.93639468610375154</v>
      </c>
      <c r="U184" s="10">
        <f>GraphListeria!$H$43*Listeria!I184+GraphListeria!$H$44</f>
        <v>0.92419449187934344</v>
      </c>
    </row>
    <row r="185" spans="1:21" x14ac:dyDescent="0.2">
      <c r="A185" s="1" t="s">
        <v>1440</v>
      </c>
      <c r="B185" s="1" t="s">
        <v>1443</v>
      </c>
      <c r="C185" t="s">
        <v>668</v>
      </c>
      <c r="D185" s="1" t="s">
        <v>42</v>
      </c>
      <c r="E185" s="1" t="s">
        <v>1240</v>
      </c>
      <c r="F185" s="1" t="s">
        <v>1291</v>
      </c>
      <c r="G185" s="1"/>
      <c r="I185" s="4">
        <v>60</v>
      </c>
      <c r="J185" s="11">
        <v>4.8</v>
      </c>
      <c r="K185" s="4">
        <v>5.2</v>
      </c>
      <c r="L185" s="12">
        <f t="shared" si="3"/>
        <v>0.68124123737558717</v>
      </c>
      <c r="M185" s="11">
        <f>GraphListeria!$B$10-(Listeria!I185-GraphListeria!$B$6)/GraphListeria!$B$5</f>
        <v>0.35623347030397379</v>
      </c>
      <c r="N185" s="1" t="s">
        <v>490</v>
      </c>
      <c r="O185">
        <v>2001</v>
      </c>
      <c r="P185" t="s">
        <v>674</v>
      </c>
      <c r="S185" s="10">
        <f>GraphListeria!$B$43*Listeria!I185+GraphListeria!$B$44</f>
        <v>0.38409169809355426</v>
      </c>
      <c r="U185" s="10">
        <f>GraphListeria!$H$43*Listeria!I185+GraphListeria!$H$44</f>
        <v>0.35623347030397312</v>
      </c>
    </row>
    <row r="186" spans="1:21" x14ac:dyDescent="0.2">
      <c r="A186" s="1" t="s">
        <v>1440</v>
      </c>
      <c r="B186" s="1" t="s">
        <v>1443</v>
      </c>
      <c r="C186" t="s">
        <v>668</v>
      </c>
      <c r="D186" s="1" t="s">
        <v>42</v>
      </c>
      <c r="E186" s="1" t="s">
        <v>1240</v>
      </c>
      <c r="F186" s="1" t="s">
        <v>1291</v>
      </c>
      <c r="G186" s="1"/>
      <c r="I186" s="4">
        <v>62.9</v>
      </c>
      <c r="J186" s="11">
        <v>1.4</v>
      </c>
      <c r="K186" s="4">
        <v>5.2</v>
      </c>
      <c r="L186" s="12">
        <f t="shared" si="3"/>
        <v>0.14612803567823801</v>
      </c>
      <c r="M186" s="11">
        <f>GraphListeria!$B$10-(Listeria!I186-GraphListeria!$B$6)/GraphListeria!$B$5</f>
        <v>-5.5538270338169271E-2</v>
      </c>
      <c r="N186" s="1" t="s">
        <v>490</v>
      </c>
      <c r="O186">
        <v>2001</v>
      </c>
      <c r="P186" t="s">
        <v>674</v>
      </c>
      <c r="S186" s="10">
        <f>GraphListeria!$B$43*Listeria!I186+GraphListeria!$B$44</f>
        <v>-1.6327968213840194E-2</v>
      </c>
      <c r="U186" s="10">
        <f>GraphListeria!$H$43*Listeria!I186+GraphListeria!$H$44</f>
        <v>-5.5538270338169937E-2</v>
      </c>
    </row>
    <row r="187" spans="1:21" x14ac:dyDescent="0.2">
      <c r="A187" s="1" t="s">
        <v>1440</v>
      </c>
      <c r="B187" s="1" t="s">
        <v>1443</v>
      </c>
      <c r="C187" t="s">
        <v>427</v>
      </c>
      <c r="D187" s="1" t="s">
        <v>42</v>
      </c>
      <c r="E187" s="1" t="s">
        <v>1240</v>
      </c>
      <c r="F187" s="1" t="s">
        <v>1291</v>
      </c>
      <c r="G187" s="1"/>
      <c r="I187" s="4">
        <v>71.7</v>
      </c>
      <c r="J187" s="11">
        <v>0.05</v>
      </c>
      <c r="L187" s="12">
        <f t="shared" si="3"/>
        <v>-1.3010299956639813</v>
      </c>
      <c r="M187" s="11">
        <f>GraphListeria!$B$10-(Listeria!I187-GraphListeria!$B$6)/GraphListeria!$B$5</f>
        <v>-1.305052517803984</v>
      </c>
      <c r="N187" s="1" t="s">
        <v>490</v>
      </c>
      <c r="O187">
        <v>2001</v>
      </c>
      <c r="S187" s="10">
        <f>GraphListeria!$B$43*Listeria!I187+GraphListeria!$B$44</f>
        <v>-1.2313945418362771</v>
      </c>
      <c r="U187" s="10">
        <f>GraphListeria!$H$43*Listeria!I187+GraphListeria!$H$44</f>
        <v>-1.3050525178039845</v>
      </c>
    </row>
    <row r="188" spans="1:21" x14ac:dyDescent="0.2">
      <c r="A188" s="1" t="s">
        <v>1440</v>
      </c>
      <c r="B188" s="1" t="s">
        <v>1443</v>
      </c>
      <c r="C188" t="s">
        <v>427</v>
      </c>
      <c r="D188" s="1" t="s">
        <v>42</v>
      </c>
      <c r="E188" s="1" t="s">
        <v>1240</v>
      </c>
      <c r="F188" s="1" t="s">
        <v>1291</v>
      </c>
      <c r="G188" s="1"/>
      <c r="I188" s="4">
        <v>71.7</v>
      </c>
      <c r="J188" s="11">
        <v>7.6999999999999999E-2</v>
      </c>
      <c r="L188" s="12">
        <f t="shared" si="3"/>
        <v>-1.1135092748275182</v>
      </c>
      <c r="M188" s="11">
        <f>GraphListeria!$B$10-(Listeria!I188-GraphListeria!$B$6)/GraphListeria!$B$5</f>
        <v>-1.305052517803984</v>
      </c>
      <c r="N188" s="1" t="s">
        <v>490</v>
      </c>
      <c r="O188">
        <v>2001</v>
      </c>
      <c r="P188" t="s">
        <v>675</v>
      </c>
      <c r="S188" s="10">
        <f>GraphListeria!$B$43*Listeria!I188+GraphListeria!$B$44</f>
        <v>-1.2313945418362771</v>
      </c>
      <c r="U188" s="10">
        <f>GraphListeria!$H$43*Listeria!I188+GraphListeria!$H$44</f>
        <v>-1.3050525178039845</v>
      </c>
    </row>
    <row r="189" spans="1:21" x14ac:dyDescent="0.2">
      <c r="A189" s="1" t="s">
        <v>1440</v>
      </c>
      <c r="B189" s="1" t="s">
        <v>1443</v>
      </c>
      <c r="C189" t="s">
        <v>623</v>
      </c>
      <c r="D189" s="1" t="s">
        <v>42</v>
      </c>
      <c r="E189" s="1" t="s">
        <v>1240</v>
      </c>
      <c r="F189" s="1" t="s">
        <v>1291</v>
      </c>
      <c r="G189" s="1"/>
      <c r="I189" s="4">
        <v>57.9</v>
      </c>
      <c r="J189" s="11">
        <v>2.4500000000000002</v>
      </c>
      <c r="L189" s="12">
        <f t="shared" si="3"/>
        <v>0.38916608436453248</v>
      </c>
      <c r="M189" s="11">
        <f>GraphListeria!$B$10-(Listeria!I189-GraphListeria!$B$6)/GraphListeria!$B$5</f>
        <v>0.65441300663104318</v>
      </c>
      <c r="N189" s="1" t="s">
        <v>490</v>
      </c>
      <c r="O189">
        <v>2001</v>
      </c>
      <c r="S189" s="10">
        <f>GraphListeria!$B$43*Listeria!I189+GraphListeria!$B$44</f>
        <v>0.67405076679890819</v>
      </c>
      <c r="U189" s="10">
        <f>GraphListeria!$H$43*Listeria!I189+GraphListeria!$H$44</f>
        <v>0.65441300663104229</v>
      </c>
    </row>
    <row r="190" spans="1:21" x14ac:dyDescent="0.2">
      <c r="A190" s="1" t="s">
        <v>1440</v>
      </c>
      <c r="B190" s="1" t="s">
        <v>1443</v>
      </c>
      <c r="C190" t="s">
        <v>623</v>
      </c>
      <c r="D190" s="1" t="s">
        <v>42</v>
      </c>
      <c r="E190" s="1" t="s">
        <v>1240</v>
      </c>
      <c r="F190" s="1" t="s">
        <v>1291</v>
      </c>
      <c r="G190" s="1"/>
      <c r="I190" s="4">
        <v>57.9</v>
      </c>
      <c r="J190" s="11">
        <v>3</v>
      </c>
      <c r="L190" s="12">
        <f t="shared" si="3"/>
        <v>0.47712125471966244</v>
      </c>
      <c r="M190" s="11">
        <f>GraphListeria!$B$10-(Listeria!I190-GraphListeria!$B$6)/GraphListeria!$B$5</f>
        <v>0.65441300663104318</v>
      </c>
      <c r="N190" s="1" t="s">
        <v>490</v>
      </c>
      <c r="O190">
        <v>2001</v>
      </c>
      <c r="P190" t="s">
        <v>676</v>
      </c>
      <c r="S190" s="10">
        <f>GraphListeria!$B$43*Listeria!I190+GraphListeria!$B$44</f>
        <v>0.67405076679890819</v>
      </c>
      <c r="U190" s="10">
        <f>GraphListeria!$H$43*Listeria!I190+GraphListeria!$H$44</f>
        <v>0.65441300663104229</v>
      </c>
    </row>
    <row r="191" spans="1:21" x14ac:dyDescent="0.2">
      <c r="A191" s="1" t="s">
        <v>1440</v>
      </c>
      <c r="B191" s="1" t="s">
        <v>1443</v>
      </c>
      <c r="C191" t="s">
        <v>623</v>
      </c>
      <c r="D191" s="1" t="s">
        <v>42</v>
      </c>
      <c r="E191" s="1" t="s">
        <v>1240</v>
      </c>
      <c r="F191" s="1" t="s">
        <v>1291</v>
      </c>
      <c r="G191" s="1"/>
      <c r="I191" s="4">
        <v>57.9</v>
      </c>
      <c r="J191" s="11">
        <v>2.17</v>
      </c>
      <c r="L191" s="12">
        <f t="shared" si="3"/>
        <v>0.33645973384852951</v>
      </c>
      <c r="M191" s="11">
        <f>GraphListeria!$B$10-(Listeria!I191-GraphListeria!$B$6)/GraphListeria!$B$5</f>
        <v>0.65441300663104318</v>
      </c>
      <c r="N191" s="1" t="s">
        <v>490</v>
      </c>
      <c r="O191">
        <v>2001</v>
      </c>
      <c r="S191" s="10">
        <f>GraphListeria!$B$43*Listeria!I191+GraphListeria!$B$44</f>
        <v>0.67405076679890819</v>
      </c>
      <c r="U191" s="10">
        <f>GraphListeria!$H$43*Listeria!I191+GraphListeria!$H$44</f>
        <v>0.65441300663104229</v>
      </c>
    </row>
    <row r="192" spans="1:21" x14ac:dyDescent="0.2">
      <c r="A192" s="1" t="s">
        <v>1440</v>
      </c>
      <c r="B192" s="1" t="s">
        <v>1443</v>
      </c>
      <c r="C192" t="s">
        <v>623</v>
      </c>
      <c r="D192" s="1" t="s">
        <v>42</v>
      </c>
      <c r="E192" s="1" t="s">
        <v>1240</v>
      </c>
      <c r="F192" s="1" t="s">
        <v>1291</v>
      </c>
      <c r="G192" s="1"/>
      <c r="I192" s="4">
        <v>57.9</v>
      </c>
      <c r="J192" s="11">
        <v>2.66</v>
      </c>
      <c r="L192" s="12">
        <f t="shared" si="3"/>
        <v>0.42488163663106698</v>
      </c>
      <c r="M192" s="11">
        <f>GraphListeria!$B$10-(Listeria!I192-GraphListeria!$B$6)/GraphListeria!$B$5</f>
        <v>0.65441300663104318</v>
      </c>
      <c r="N192" s="1" t="s">
        <v>490</v>
      </c>
      <c r="O192">
        <v>2001</v>
      </c>
      <c r="P192" t="s">
        <v>677</v>
      </c>
      <c r="S192" s="10">
        <f>GraphListeria!$B$43*Listeria!I192+GraphListeria!$B$44</f>
        <v>0.67405076679890819</v>
      </c>
      <c r="U192" s="10">
        <f>GraphListeria!$H$43*Listeria!I192+GraphListeria!$H$44</f>
        <v>0.65441300663104229</v>
      </c>
    </row>
    <row r="193" spans="1:21" x14ac:dyDescent="0.2">
      <c r="A193" s="1" t="s">
        <v>1440</v>
      </c>
      <c r="B193" s="1" t="s">
        <v>1443</v>
      </c>
      <c r="C193" t="s">
        <v>623</v>
      </c>
      <c r="D193" s="1" t="s">
        <v>42</v>
      </c>
      <c r="E193" s="1" t="s">
        <v>1240</v>
      </c>
      <c r="F193" s="1" t="s">
        <v>1291</v>
      </c>
      <c r="G193" s="1"/>
      <c r="I193" s="4">
        <v>57.9</v>
      </c>
      <c r="J193" s="11">
        <v>2.75</v>
      </c>
      <c r="L193" s="12">
        <f t="shared" si="3"/>
        <v>0.43933269383026263</v>
      </c>
      <c r="M193" s="11">
        <f>GraphListeria!$B$10-(Listeria!I193-GraphListeria!$B$6)/GraphListeria!$B$5</f>
        <v>0.65441300663104318</v>
      </c>
      <c r="N193" s="1" t="s">
        <v>490</v>
      </c>
      <c r="O193">
        <v>2001</v>
      </c>
      <c r="S193" s="10">
        <f>GraphListeria!$B$43*Listeria!I193+GraphListeria!$B$44</f>
        <v>0.67405076679890819</v>
      </c>
      <c r="U193" s="10">
        <f>GraphListeria!$H$43*Listeria!I193+GraphListeria!$H$44</f>
        <v>0.65441300663104229</v>
      </c>
    </row>
    <row r="194" spans="1:21" x14ac:dyDescent="0.2">
      <c r="A194" s="1" t="s">
        <v>1440</v>
      </c>
      <c r="B194" s="1" t="s">
        <v>1443</v>
      </c>
      <c r="C194" t="s">
        <v>623</v>
      </c>
      <c r="D194" s="1" t="s">
        <v>42</v>
      </c>
      <c r="E194" s="1" t="s">
        <v>1240</v>
      </c>
      <c r="F194" s="1" t="s">
        <v>1291</v>
      </c>
      <c r="G194" s="1"/>
      <c r="I194" s="4">
        <v>57.9</v>
      </c>
      <c r="J194" s="11">
        <v>3.9</v>
      </c>
      <c r="L194" s="12">
        <f t="shared" ref="L194:L257" si="4">LOG(J194)</f>
        <v>0.59106460702649921</v>
      </c>
      <c r="M194" s="11">
        <f>GraphListeria!$B$10-(Listeria!I194-GraphListeria!$B$6)/GraphListeria!$B$5</f>
        <v>0.65441300663104318</v>
      </c>
      <c r="N194" s="1" t="s">
        <v>490</v>
      </c>
      <c r="O194">
        <v>2001</v>
      </c>
      <c r="P194" t="s">
        <v>678</v>
      </c>
      <c r="S194" s="10">
        <f>GraphListeria!$B$43*Listeria!I194+GraphListeria!$B$44</f>
        <v>0.67405076679890819</v>
      </c>
      <c r="U194" s="10">
        <f>GraphListeria!$H$43*Listeria!I194+GraphListeria!$H$44</f>
        <v>0.65441300663104229</v>
      </c>
    </row>
    <row r="195" spans="1:21" x14ac:dyDescent="0.2">
      <c r="A195" s="1" t="s">
        <v>1440</v>
      </c>
      <c r="B195" s="1" t="s">
        <v>1443</v>
      </c>
      <c r="C195" t="s">
        <v>57</v>
      </c>
      <c r="D195" s="1" t="s">
        <v>42</v>
      </c>
      <c r="E195" s="1" t="s">
        <v>1240</v>
      </c>
      <c r="F195" s="1" t="s">
        <v>1291</v>
      </c>
      <c r="G195" s="1"/>
      <c r="I195" s="4">
        <v>52.2</v>
      </c>
      <c r="J195" s="11">
        <v>30.2</v>
      </c>
      <c r="L195" s="12">
        <f t="shared" si="4"/>
        <v>1.4800069429571505</v>
      </c>
      <c r="M195" s="11">
        <f>GraphListeria!$B$10-(Listeria!I195-GraphListeria!$B$6)/GraphListeria!$B$5</f>
        <v>1.4637574623759448</v>
      </c>
      <c r="N195" s="1" t="s">
        <v>490</v>
      </c>
      <c r="O195">
        <v>2001</v>
      </c>
      <c r="S195" s="10">
        <f>GraphListeria!$B$43*Listeria!I195+GraphListeria!$B$44</f>
        <v>1.46108252471344</v>
      </c>
      <c r="U195" s="10">
        <f>GraphListeria!$H$43*Listeria!I195+GraphListeria!$H$44</f>
        <v>1.4637574623759448</v>
      </c>
    </row>
    <row r="196" spans="1:21" x14ac:dyDescent="0.2">
      <c r="A196" s="1" t="s">
        <v>1440</v>
      </c>
      <c r="B196" s="1" t="s">
        <v>1443</v>
      </c>
      <c r="C196" t="s">
        <v>57</v>
      </c>
      <c r="D196" s="1" t="s">
        <v>42</v>
      </c>
      <c r="E196" s="1" t="s">
        <v>1240</v>
      </c>
      <c r="F196" s="1" t="s">
        <v>1291</v>
      </c>
      <c r="G196" s="1"/>
      <c r="I196" s="4">
        <v>55.2</v>
      </c>
      <c r="J196" s="11">
        <v>8.1999999999999993</v>
      </c>
      <c r="L196" s="12">
        <f t="shared" si="4"/>
        <v>0.91381385238371671</v>
      </c>
      <c r="M196" s="11">
        <f>GraphListeria!$B$10-(Listeria!I196-GraphListeria!$B$6)/GraphListeria!$B$5</f>
        <v>1.0377866961944173</v>
      </c>
      <c r="N196" s="1" t="s">
        <v>490</v>
      </c>
      <c r="O196">
        <v>2001</v>
      </c>
      <c r="S196" s="10">
        <f>GraphListeria!$B$43*Listeria!I196+GraphListeria!$B$44</f>
        <v>1.0468552837057912</v>
      </c>
      <c r="U196" s="10">
        <f>GraphListeria!$H$43*Listeria!I196+GraphListeria!$H$44</f>
        <v>1.0377866961944173</v>
      </c>
    </row>
    <row r="197" spans="1:21" x14ac:dyDescent="0.2">
      <c r="A197" s="1" t="s">
        <v>1440</v>
      </c>
      <c r="B197" s="1" t="s">
        <v>1443</v>
      </c>
      <c r="C197" t="s">
        <v>57</v>
      </c>
      <c r="D197" s="1" t="s">
        <v>42</v>
      </c>
      <c r="E197" s="1" t="s">
        <v>1240</v>
      </c>
      <c r="F197" s="1" t="s">
        <v>1291</v>
      </c>
      <c r="G197" s="1"/>
      <c r="I197" s="4">
        <v>57.9</v>
      </c>
      <c r="J197" s="11">
        <v>2.2999999999999998</v>
      </c>
      <c r="L197" s="12">
        <f t="shared" si="4"/>
        <v>0.36172783601759284</v>
      </c>
      <c r="M197" s="11">
        <f>GraphListeria!$B$10-(Listeria!I197-GraphListeria!$B$6)/GraphListeria!$B$5</f>
        <v>0.65441300663104318</v>
      </c>
      <c r="N197" s="1" t="s">
        <v>490</v>
      </c>
      <c r="O197">
        <v>2001</v>
      </c>
      <c r="S197" s="10">
        <f>GraphListeria!$B$43*Listeria!I197+GraphListeria!$B$44</f>
        <v>0.67405076679890819</v>
      </c>
      <c r="U197" s="10">
        <f>GraphListeria!$H$43*Listeria!I197+GraphListeria!$H$44</f>
        <v>0.65441300663104229</v>
      </c>
    </row>
    <row r="198" spans="1:21" x14ac:dyDescent="0.2">
      <c r="A198" s="1" t="s">
        <v>1440</v>
      </c>
      <c r="B198" s="1" t="s">
        <v>1443</v>
      </c>
      <c r="C198" t="s">
        <v>57</v>
      </c>
      <c r="D198" s="1" t="s">
        <v>42</v>
      </c>
      <c r="E198" s="1" t="s">
        <v>1240</v>
      </c>
      <c r="F198" s="1" t="s">
        <v>1291</v>
      </c>
      <c r="G198" s="1"/>
      <c r="I198" s="4">
        <v>52.2</v>
      </c>
      <c r="J198" s="11">
        <v>29.4</v>
      </c>
      <c r="L198" s="12">
        <f t="shared" si="4"/>
        <v>1.4683473304121573</v>
      </c>
      <c r="M198" s="11">
        <f>GraphListeria!$B$10-(Listeria!I198-GraphListeria!$B$6)/GraphListeria!$B$5</f>
        <v>1.4637574623759448</v>
      </c>
      <c r="N198" s="1" t="s">
        <v>490</v>
      </c>
      <c r="O198">
        <v>2001</v>
      </c>
      <c r="P198" t="s">
        <v>679</v>
      </c>
      <c r="S198" s="10">
        <f>GraphListeria!$B$43*Listeria!I198+GraphListeria!$B$44</f>
        <v>1.46108252471344</v>
      </c>
      <c r="U198" s="10">
        <f>GraphListeria!$H$43*Listeria!I198+GraphListeria!$H$44</f>
        <v>1.4637574623759448</v>
      </c>
    </row>
    <row r="199" spans="1:21" x14ac:dyDescent="0.2">
      <c r="A199" s="1" t="s">
        <v>1440</v>
      </c>
      <c r="B199" s="1" t="s">
        <v>1443</v>
      </c>
      <c r="C199" t="s">
        <v>57</v>
      </c>
      <c r="D199" s="1" t="s">
        <v>42</v>
      </c>
      <c r="E199" s="1" t="s">
        <v>1240</v>
      </c>
      <c r="F199" s="1" t="s">
        <v>1291</v>
      </c>
      <c r="G199" s="1"/>
      <c r="I199" s="4">
        <v>55.2</v>
      </c>
      <c r="J199" s="11">
        <v>11.1</v>
      </c>
      <c r="L199" s="12">
        <f t="shared" si="4"/>
        <v>1.0453229787866574</v>
      </c>
      <c r="M199" s="11">
        <f>GraphListeria!$B$10-(Listeria!I199-GraphListeria!$B$6)/GraphListeria!$B$5</f>
        <v>1.0377866961944173</v>
      </c>
      <c r="N199" s="1" t="s">
        <v>490</v>
      </c>
      <c r="O199">
        <v>2001</v>
      </c>
      <c r="P199" t="s">
        <v>679</v>
      </c>
      <c r="S199" s="10">
        <f>GraphListeria!$B$43*Listeria!I199+GraphListeria!$B$44</f>
        <v>1.0468552837057912</v>
      </c>
      <c r="U199" s="10">
        <f>GraphListeria!$H$43*Listeria!I199+GraphListeria!$H$44</f>
        <v>1.0377866961944173</v>
      </c>
    </row>
    <row r="200" spans="1:21" x14ac:dyDescent="0.2">
      <c r="A200" s="1" t="s">
        <v>1440</v>
      </c>
      <c r="B200" s="1" t="s">
        <v>1443</v>
      </c>
      <c r="C200" t="s">
        <v>57</v>
      </c>
      <c r="D200" s="1" t="s">
        <v>42</v>
      </c>
      <c r="E200" s="1" t="s">
        <v>1240</v>
      </c>
      <c r="F200" s="1" t="s">
        <v>1291</v>
      </c>
      <c r="G200" s="1"/>
      <c r="I200" s="4">
        <v>57.9</v>
      </c>
      <c r="J200" s="11">
        <v>2.6</v>
      </c>
      <c r="L200" s="12">
        <f t="shared" si="4"/>
        <v>0.41497334797081797</v>
      </c>
      <c r="M200" s="11">
        <f>GraphListeria!$B$10-(Listeria!I200-GraphListeria!$B$6)/GraphListeria!$B$5</f>
        <v>0.65441300663104318</v>
      </c>
      <c r="N200" s="1" t="s">
        <v>490</v>
      </c>
      <c r="O200">
        <v>2001</v>
      </c>
      <c r="P200" t="s">
        <v>679</v>
      </c>
      <c r="S200" s="10">
        <f>GraphListeria!$B$43*Listeria!I200+GraphListeria!$B$44</f>
        <v>0.67405076679890819</v>
      </c>
      <c r="U200" s="10">
        <f>GraphListeria!$H$43*Listeria!I200+GraphListeria!$H$44</f>
        <v>0.65441300663104229</v>
      </c>
    </row>
    <row r="201" spans="1:21" x14ac:dyDescent="0.2">
      <c r="A201" s="1" t="s">
        <v>1440</v>
      </c>
      <c r="B201" s="1" t="s">
        <v>1443</v>
      </c>
      <c r="C201" t="s">
        <v>57</v>
      </c>
      <c r="D201" s="1" t="s">
        <v>42</v>
      </c>
      <c r="E201" s="1" t="s">
        <v>1240</v>
      </c>
      <c r="F201" s="1" t="s">
        <v>1291</v>
      </c>
      <c r="G201" s="1"/>
      <c r="I201" s="4">
        <v>52.2</v>
      </c>
      <c r="J201" s="11">
        <v>10.7</v>
      </c>
      <c r="L201" s="12">
        <f t="shared" si="4"/>
        <v>1.0293837776852097</v>
      </c>
      <c r="M201" s="11">
        <f>GraphListeria!$B$10-(Listeria!I201-GraphListeria!$B$6)/GraphListeria!$B$5</f>
        <v>1.4637574623759448</v>
      </c>
      <c r="N201" s="1" t="s">
        <v>490</v>
      </c>
      <c r="O201">
        <v>2001</v>
      </c>
      <c r="P201" t="s">
        <v>680</v>
      </c>
      <c r="S201" s="10">
        <f>GraphListeria!$B$43*Listeria!I201+GraphListeria!$B$44</f>
        <v>1.46108252471344</v>
      </c>
      <c r="U201" s="10">
        <f>GraphListeria!$H$43*Listeria!I201+GraphListeria!$H$44</f>
        <v>1.4637574623759448</v>
      </c>
    </row>
    <row r="202" spans="1:21" x14ac:dyDescent="0.2">
      <c r="A202" s="1" t="s">
        <v>1440</v>
      </c>
      <c r="B202" s="1" t="s">
        <v>1443</v>
      </c>
      <c r="C202" t="s">
        <v>57</v>
      </c>
      <c r="D202" s="1" t="s">
        <v>42</v>
      </c>
      <c r="E202" s="1" t="s">
        <v>1240</v>
      </c>
      <c r="F202" s="1" t="s">
        <v>1291</v>
      </c>
      <c r="G202" s="1"/>
      <c r="I202" s="4">
        <v>55.2</v>
      </c>
      <c r="J202" s="11">
        <v>1.6</v>
      </c>
      <c r="L202" s="12">
        <f t="shared" si="4"/>
        <v>0.20411998265592479</v>
      </c>
      <c r="M202" s="11">
        <f>GraphListeria!$B$10-(Listeria!I202-GraphListeria!$B$6)/GraphListeria!$B$5</f>
        <v>1.0377866961944173</v>
      </c>
      <c r="N202" s="1" t="s">
        <v>490</v>
      </c>
      <c r="O202">
        <v>2001</v>
      </c>
      <c r="P202" t="s">
        <v>680</v>
      </c>
      <c r="S202" s="10">
        <f>GraphListeria!$B$43*Listeria!I202+GraphListeria!$B$44</f>
        <v>1.0468552837057912</v>
      </c>
      <c r="U202" s="10">
        <f>GraphListeria!$H$43*Listeria!I202+GraphListeria!$H$44</f>
        <v>1.0377866961944173</v>
      </c>
    </row>
    <row r="203" spans="1:21" x14ac:dyDescent="0.2">
      <c r="A203" s="1" t="s">
        <v>1440</v>
      </c>
      <c r="B203" s="1" t="s">
        <v>1443</v>
      </c>
      <c r="C203" t="s">
        <v>57</v>
      </c>
      <c r="D203" s="1" t="s">
        <v>42</v>
      </c>
      <c r="E203" s="1" t="s">
        <v>1240</v>
      </c>
      <c r="F203" s="1" t="s">
        <v>1291</v>
      </c>
      <c r="G203" s="1"/>
      <c r="I203" s="4">
        <v>57.9</v>
      </c>
      <c r="J203" s="11">
        <v>0.5</v>
      </c>
      <c r="L203" s="12">
        <f t="shared" si="4"/>
        <v>-0.3010299956639812</v>
      </c>
      <c r="M203" s="11">
        <f>GraphListeria!$B$10-(Listeria!I203-GraphListeria!$B$6)/GraphListeria!$B$5</f>
        <v>0.65441300663104318</v>
      </c>
      <c r="N203" s="1" t="s">
        <v>490</v>
      </c>
      <c r="O203">
        <v>2001</v>
      </c>
      <c r="P203" t="s">
        <v>680</v>
      </c>
      <c r="S203" s="10">
        <f>GraphListeria!$B$43*Listeria!I203+GraphListeria!$B$44</f>
        <v>0.67405076679890819</v>
      </c>
      <c r="U203" s="10">
        <f>GraphListeria!$H$43*Listeria!I203+GraphListeria!$H$44</f>
        <v>0.65441300663104229</v>
      </c>
    </row>
    <row r="204" spans="1:21" x14ac:dyDescent="0.2">
      <c r="A204" s="1" t="s">
        <v>1440</v>
      </c>
      <c r="B204" s="1" t="s">
        <v>1443</v>
      </c>
      <c r="D204" s="1" t="s">
        <v>42</v>
      </c>
      <c r="E204" s="1" t="s">
        <v>1240</v>
      </c>
      <c r="F204" s="1" t="s">
        <v>18</v>
      </c>
      <c r="G204" s="1"/>
      <c r="I204" s="4">
        <v>62.7</v>
      </c>
      <c r="J204" s="11">
        <v>0.35</v>
      </c>
      <c r="L204" s="12">
        <f t="shared" si="4"/>
        <v>-0.45593195564972439</v>
      </c>
      <c r="M204" s="11">
        <f>GraphListeria!$B$10-(Listeria!I204-GraphListeria!$B$6)/GraphListeria!$B$5</f>
        <v>-2.7140219259401466E-2</v>
      </c>
      <c r="N204" s="2" t="s">
        <v>1226</v>
      </c>
      <c r="O204">
        <v>1996</v>
      </c>
      <c r="S204" s="10">
        <f>GraphListeria!$B$43*Listeria!I204+GraphListeria!$B$44</f>
        <v>1.1287181186668604E-2</v>
      </c>
      <c r="U204" s="10">
        <f>GraphListeria!$H$43*Listeria!I204+GraphListeria!$H$44</f>
        <v>-2.7140219259401022E-2</v>
      </c>
    </row>
    <row r="205" spans="1:21" x14ac:dyDescent="0.2">
      <c r="A205" s="1" t="s">
        <v>1440</v>
      </c>
      <c r="B205" s="1" t="s">
        <v>1443</v>
      </c>
      <c r="D205" s="1" t="s">
        <v>42</v>
      </c>
      <c r="E205" s="1" t="s">
        <v>1240</v>
      </c>
      <c r="F205" s="1" t="s">
        <v>18</v>
      </c>
      <c r="G205" s="1"/>
      <c r="I205" s="4">
        <v>62.7</v>
      </c>
      <c r="J205" s="11">
        <v>1</v>
      </c>
      <c r="L205" s="12">
        <f t="shared" si="4"/>
        <v>0</v>
      </c>
      <c r="M205" s="11">
        <f>GraphListeria!$B$10-(Listeria!I205-GraphListeria!$B$6)/GraphListeria!$B$5</f>
        <v>-2.7140219259401466E-2</v>
      </c>
      <c r="N205" s="2" t="s">
        <v>1226</v>
      </c>
      <c r="O205">
        <v>1996</v>
      </c>
      <c r="S205" s="10">
        <f>GraphListeria!$B$43*Listeria!I205+GraphListeria!$B$44</f>
        <v>1.1287181186668604E-2</v>
      </c>
      <c r="U205" s="10">
        <f>GraphListeria!$H$43*Listeria!I205+GraphListeria!$H$44</f>
        <v>-2.7140219259401022E-2</v>
      </c>
    </row>
    <row r="206" spans="1:21" x14ac:dyDescent="0.2">
      <c r="A206" s="1" t="s">
        <v>1440</v>
      </c>
      <c r="B206" s="1" t="s">
        <v>1443</v>
      </c>
      <c r="C206" s="1"/>
      <c r="D206" s="1" t="s">
        <v>42</v>
      </c>
      <c r="E206" s="1" t="s">
        <v>1240</v>
      </c>
      <c r="F206" s="1" t="s">
        <v>7</v>
      </c>
      <c r="G206" s="1"/>
      <c r="H206" s="5"/>
      <c r="I206" s="5">
        <v>52.2</v>
      </c>
      <c r="J206" s="9">
        <v>36.83</v>
      </c>
      <c r="K206" s="5">
        <v>6.6</v>
      </c>
      <c r="L206" s="12">
        <f t="shared" si="4"/>
        <v>1.5662017188549129</v>
      </c>
      <c r="M206" s="11">
        <f>GraphListeria!$B$10-(Listeria!I206-GraphListeria!$B$6)/GraphListeria!$B$5</f>
        <v>1.4637574623759448</v>
      </c>
      <c r="N206" s="2" t="s">
        <v>1226</v>
      </c>
      <c r="O206">
        <v>1996</v>
      </c>
      <c r="S206" s="10">
        <f>GraphListeria!$B$43*Listeria!I206+GraphListeria!$B$44</f>
        <v>1.46108252471344</v>
      </c>
      <c r="U206" s="10">
        <f>GraphListeria!$H$43*Listeria!I206+GraphListeria!$H$44</f>
        <v>1.4637574623759448</v>
      </c>
    </row>
    <row r="207" spans="1:21" x14ac:dyDescent="0.2">
      <c r="A207" s="1" t="s">
        <v>1440</v>
      </c>
      <c r="B207" s="1" t="s">
        <v>1443</v>
      </c>
      <c r="D207" s="1" t="s">
        <v>42</v>
      </c>
      <c r="E207" s="1" t="s">
        <v>1240</v>
      </c>
      <c r="F207" s="1" t="s">
        <v>7</v>
      </c>
      <c r="G207" s="1"/>
      <c r="I207" s="4">
        <v>57.8</v>
      </c>
      <c r="J207" s="11">
        <v>4.97</v>
      </c>
      <c r="K207" s="5">
        <v>6.6</v>
      </c>
      <c r="L207" s="12">
        <f t="shared" si="4"/>
        <v>0.69635638873333205</v>
      </c>
      <c r="M207" s="11">
        <f>GraphListeria!$B$10-(Listeria!I207-GraphListeria!$B$6)/GraphListeria!$B$5</f>
        <v>0.66861203217042764</v>
      </c>
      <c r="N207" s="2" t="s">
        <v>1226</v>
      </c>
      <c r="O207">
        <v>1996</v>
      </c>
      <c r="S207" s="10">
        <f>GraphListeria!$B$43*Listeria!I207+GraphListeria!$B$44</f>
        <v>0.68785834149916258</v>
      </c>
      <c r="U207" s="10">
        <f>GraphListeria!$H$43*Listeria!I207+GraphListeria!$H$44</f>
        <v>0.66861203217042764</v>
      </c>
    </row>
    <row r="208" spans="1:21" x14ac:dyDescent="0.2">
      <c r="A208" s="1" t="s">
        <v>1440</v>
      </c>
      <c r="B208" s="1" t="s">
        <v>1443</v>
      </c>
      <c r="D208" s="1" t="s">
        <v>42</v>
      </c>
      <c r="E208" s="1" t="s">
        <v>1240</v>
      </c>
      <c r="F208" s="1" t="s">
        <v>7</v>
      </c>
      <c r="G208" s="1"/>
      <c r="I208" s="4">
        <v>66.099999999999994</v>
      </c>
      <c r="J208" s="11">
        <f>13.9/60</f>
        <v>0.23166666666666666</v>
      </c>
      <c r="K208" s="5">
        <v>6.6</v>
      </c>
      <c r="L208" s="12">
        <f t="shared" si="4"/>
        <v>-0.63513645012954856</v>
      </c>
      <c r="M208" s="11">
        <f>GraphListeria!$B$10-(Listeria!I208-GraphListeria!$B$6)/GraphListeria!$B$5</f>
        <v>-0.50990708759846481</v>
      </c>
      <c r="N208" s="2" t="s">
        <v>1226</v>
      </c>
      <c r="O208">
        <v>1996</v>
      </c>
      <c r="S208" s="10">
        <f>GraphListeria!$B$43*Listeria!I208+GraphListeria!$B$44</f>
        <v>-0.45817035862199873</v>
      </c>
      <c r="U208" s="10">
        <f>GraphListeria!$H$43*Listeria!I208+GraphListeria!$H$44</f>
        <v>-0.50990708759846548</v>
      </c>
    </row>
    <row r="209" spans="1:21" x14ac:dyDescent="0.2">
      <c r="A209" s="1" t="s">
        <v>1440</v>
      </c>
      <c r="B209" s="1" t="s">
        <v>1443</v>
      </c>
      <c r="D209" s="1" t="s">
        <v>42</v>
      </c>
      <c r="E209" s="1" t="s">
        <v>1240</v>
      </c>
      <c r="F209" s="1" t="s">
        <v>7</v>
      </c>
      <c r="G209" s="1"/>
      <c r="I209" s="4">
        <v>68.900000000000006</v>
      </c>
      <c r="J209" s="11">
        <f>5.8/60</f>
        <v>9.6666666666666665E-2</v>
      </c>
      <c r="K209" s="5">
        <v>6.6</v>
      </c>
      <c r="L209" s="12">
        <f t="shared" si="4"/>
        <v>-1.0147232568207063</v>
      </c>
      <c r="M209" s="11">
        <f>GraphListeria!$B$10-(Listeria!I209-GraphListeria!$B$6)/GraphListeria!$B$5</f>
        <v>-0.90747980270122541</v>
      </c>
      <c r="N209" s="2" t="s">
        <v>1226</v>
      </c>
      <c r="O209">
        <v>1996</v>
      </c>
      <c r="S209" s="10">
        <f>GraphListeria!$B$43*Listeria!I209+GraphListeria!$B$44</f>
        <v>-0.84478245022913789</v>
      </c>
      <c r="U209" s="10">
        <f>GraphListeria!$H$43*Listeria!I209+GraphListeria!$H$44</f>
        <v>-0.90747980270122497</v>
      </c>
    </row>
    <row r="210" spans="1:21" x14ac:dyDescent="0.2">
      <c r="A210" s="1" t="s">
        <v>1440</v>
      </c>
      <c r="B210" s="1" t="s">
        <v>1443</v>
      </c>
      <c r="D210" s="1" t="s">
        <v>42</v>
      </c>
      <c r="E210" s="1" t="s">
        <v>1240</v>
      </c>
      <c r="F210" s="1" t="s">
        <v>7</v>
      </c>
      <c r="G210" s="1"/>
      <c r="I210" s="4">
        <v>71.7</v>
      </c>
      <c r="J210" s="11">
        <f>2.7/60</f>
        <v>4.5000000000000005E-2</v>
      </c>
      <c r="K210" s="5">
        <v>6.6</v>
      </c>
      <c r="L210" s="12">
        <f t="shared" si="4"/>
        <v>-1.3467874862246563</v>
      </c>
      <c r="M210" s="11">
        <f>GraphListeria!$B$10-(Listeria!I210-GraphListeria!$B$6)/GraphListeria!$B$5</f>
        <v>-1.305052517803984</v>
      </c>
      <c r="N210" s="2" t="s">
        <v>1226</v>
      </c>
      <c r="O210">
        <v>1996</v>
      </c>
      <c r="S210" s="10">
        <f>GraphListeria!$B$43*Listeria!I210+GraphListeria!$B$44</f>
        <v>-1.2313945418362771</v>
      </c>
      <c r="U210" s="10">
        <f>GraphListeria!$H$43*Listeria!I210+GraphListeria!$H$44</f>
        <v>-1.3050525178039845</v>
      </c>
    </row>
    <row r="211" spans="1:21" x14ac:dyDescent="0.2">
      <c r="A211" s="1" t="s">
        <v>1440</v>
      </c>
      <c r="B211" s="1" t="s">
        <v>1443</v>
      </c>
      <c r="D211" s="1" t="s">
        <v>42</v>
      </c>
      <c r="E211" t="s">
        <v>1240</v>
      </c>
      <c r="F211" t="s">
        <v>19</v>
      </c>
      <c r="I211" s="4">
        <v>62.8</v>
      </c>
      <c r="J211" s="11">
        <f>36/60</f>
        <v>0.6</v>
      </c>
      <c r="L211" s="12">
        <f t="shared" si="4"/>
        <v>-0.22184874961635639</v>
      </c>
      <c r="M211" s="11">
        <f>GraphListeria!$B$10-(Listeria!I211-GraphListeria!$B$6)/GraphListeria!$B$5</f>
        <v>-4.1339244798784813E-2</v>
      </c>
      <c r="N211" s="2" t="s">
        <v>1226</v>
      </c>
      <c r="O211">
        <v>1996</v>
      </c>
      <c r="S211" s="10">
        <f>GraphListeria!$B$43*Listeria!I211+GraphListeria!$B$44</f>
        <v>-2.5203935135849065E-3</v>
      </c>
      <c r="U211" s="10">
        <f>GraphListeria!$H$43*Listeria!I211+GraphListeria!$H$44</f>
        <v>-4.1339244798784591E-2</v>
      </c>
    </row>
    <row r="212" spans="1:21" x14ac:dyDescent="0.2">
      <c r="A212" s="1" t="s">
        <v>1440</v>
      </c>
      <c r="B212" s="1" t="s">
        <v>1443</v>
      </c>
      <c r="D212" s="1" t="s">
        <v>42</v>
      </c>
      <c r="E212" t="s">
        <v>1240</v>
      </c>
      <c r="F212" t="s">
        <v>19</v>
      </c>
      <c r="I212" s="4">
        <v>62.8</v>
      </c>
      <c r="J212" s="11">
        <f>243/60</f>
        <v>4.05</v>
      </c>
      <c r="L212" s="12">
        <f t="shared" si="4"/>
        <v>0.60745502321466849</v>
      </c>
      <c r="M212" s="11">
        <f>GraphListeria!$B$10-(Listeria!I212-GraphListeria!$B$6)/GraphListeria!$B$5</f>
        <v>-4.1339244798784813E-2</v>
      </c>
      <c r="N212" s="2" t="s">
        <v>1226</v>
      </c>
      <c r="O212">
        <v>1996</v>
      </c>
      <c r="S212" s="10">
        <f>GraphListeria!$B$43*Listeria!I212+GraphListeria!$B$44</f>
        <v>-2.5203935135849065E-3</v>
      </c>
      <c r="U212" s="10">
        <f>GraphListeria!$H$43*Listeria!I212+GraphListeria!$H$44</f>
        <v>-4.1339244798784591E-2</v>
      </c>
    </row>
    <row r="213" spans="1:21" x14ac:dyDescent="0.2">
      <c r="A213" s="1" t="s">
        <v>1440</v>
      </c>
      <c r="B213" s="1" t="s">
        <v>1443</v>
      </c>
      <c r="C213" t="s">
        <v>621</v>
      </c>
      <c r="D213" s="1" t="s">
        <v>42</v>
      </c>
      <c r="E213" s="1" t="s">
        <v>1240</v>
      </c>
      <c r="F213" s="1" t="s">
        <v>5</v>
      </c>
      <c r="G213" s="1"/>
      <c r="I213" s="4">
        <v>57.9</v>
      </c>
      <c r="J213" s="11">
        <v>7.26</v>
      </c>
      <c r="K213" s="4">
        <v>5.8</v>
      </c>
      <c r="L213" s="12">
        <f t="shared" si="4"/>
        <v>0.86093662070009369</v>
      </c>
      <c r="M213" s="11">
        <f>GraphListeria!$B$10-(Listeria!I213-GraphListeria!$B$6)/GraphListeria!$B$5</f>
        <v>0.65441300663104318</v>
      </c>
      <c r="N213" s="1" t="s">
        <v>490</v>
      </c>
      <c r="O213">
        <v>2001</v>
      </c>
      <c r="S213" s="10">
        <f>GraphListeria!$B$43*Listeria!I213+GraphListeria!$B$44</f>
        <v>0.67405076679890819</v>
      </c>
      <c r="U213" s="10">
        <f>GraphListeria!$H$43*Listeria!I213+GraphListeria!$H$44</f>
        <v>0.65441300663104229</v>
      </c>
    </row>
    <row r="214" spans="1:21" x14ac:dyDescent="0.2">
      <c r="A214" s="1" t="s">
        <v>1440</v>
      </c>
      <c r="B214" s="1" t="s">
        <v>1443</v>
      </c>
      <c r="C214" t="s">
        <v>621</v>
      </c>
      <c r="D214" s="1" t="s">
        <v>42</v>
      </c>
      <c r="E214" s="1" t="s">
        <v>1240</v>
      </c>
      <c r="F214" s="1" t="s">
        <v>5</v>
      </c>
      <c r="G214" s="1"/>
      <c r="I214" s="4">
        <v>63.15</v>
      </c>
      <c r="J214" s="11">
        <v>0.65</v>
      </c>
      <c r="K214" s="4">
        <v>5.8</v>
      </c>
      <c r="L214" s="12">
        <f t="shared" si="4"/>
        <v>-0.18708664335714442</v>
      </c>
      <c r="M214" s="11">
        <f>GraphListeria!$B$10-(Listeria!I214-GraphListeria!$B$6)/GraphListeria!$B$5</f>
        <v>-9.1035834186629971E-2</v>
      </c>
      <c r="N214" s="1" t="s">
        <v>490</v>
      </c>
      <c r="O214">
        <v>2001</v>
      </c>
      <c r="S214" s="10">
        <f>GraphListeria!$B$43*Listeria!I214+GraphListeria!$B$44</f>
        <v>-5.0846904964476636E-2</v>
      </c>
      <c r="U214" s="10">
        <f>GraphListeria!$H$43*Listeria!I214+GraphListeria!$H$44</f>
        <v>-9.1035834186630638E-2</v>
      </c>
    </row>
    <row r="215" spans="1:21" x14ac:dyDescent="0.2">
      <c r="A215" s="1" t="s">
        <v>1440</v>
      </c>
      <c r="B215" s="1" t="s">
        <v>1443</v>
      </c>
      <c r="C215" t="s">
        <v>621</v>
      </c>
      <c r="D215" s="1" t="s">
        <v>42</v>
      </c>
      <c r="E215" s="1" t="s">
        <v>1240</v>
      </c>
      <c r="F215" s="1" t="s">
        <v>5</v>
      </c>
      <c r="G215" s="1"/>
      <c r="I215" s="4">
        <v>68.900000000000006</v>
      </c>
      <c r="J215" s="11">
        <v>5.5E-2</v>
      </c>
      <c r="K215" s="4">
        <v>5.8</v>
      </c>
      <c r="L215" s="12">
        <f t="shared" si="4"/>
        <v>-1.2596373105057561</v>
      </c>
      <c r="M215" s="11">
        <f>GraphListeria!$B$10-(Listeria!I215-GraphListeria!$B$6)/GraphListeria!$B$5</f>
        <v>-0.90747980270122541</v>
      </c>
      <c r="N215" s="1" t="s">
        <v>490</v>
      </c>
      <c r="O215">
        <v>2001</v>
      </c>
      <c r="S215" s="10">
        <f>GraphListeria!$B$43*Listeria!I215+GraphListeria!$B$44</f>
        <v>-0.84478245022913789</v>
      </c>
      <c r="U215" s="10">
        <f>GraphListeria!$H$43*Listeria!I215+GraphListeria!$H$44</f>
        <v>-0.90747980270122497</v>
      </c>
    </row>
    <row r="216" spans="1:21" x14ac:dyDescent="0.2">
      <c r="A216" s="1" t="s">
        <v>1440</v>
      </c>
      <c r="B216" s="1" t="s">
        <v>1443</v>
      </c>
      <c r="C216" t="s">
        <v>622</v>
      </c>
      <c r="D216" s="1" t="s">
        <v>42</v>
      </c>
      <c r="E216" s="1" t="s">
        <v>1240</v>
      </c>
      <c r="F216" s="1" t="s">
        <v>5</v>
      </c>
      <c r="G216" s="1"/>
      <c r="I216" s="4">
        <v>57.9</v>
      </c>
      <c r="J216" s="11">
        <v>8.81</v>
      </c>
      <c r="K216" s="4">
        <v>5.3</v>
      </c>
      <c r="L216" s="12">
        <f t="shared" si="4"/>
        <v>0.94497590841204793</v>
      </c>
      <c r="M216" s="11">
        <f>GraphListeria!$B$10-(Listeria!I216-GraphListeria!$B$6)/GraphListeria!$B$5</f>
        <v>0.65441300663104318</v>
      </c>
      <c r="N216" s="1" t="s">
        <v>490</v>
      </c>
      <c r="O216">
        <v>2001</v>
      </c>
      <c r="S216" s="10">
        <f>GraphListeria!$B$43*Listeria!I216+GraphListeria!$B$44</f>
        <v>0.67405076679890819</v>
      </c>
      <c r="U216" s="10">
        <f>GraphListeria!$H$43*Listeria!I216+GraphListeria!$H$44</f>
        <v>0.65441300663104229</v>
      </c>
    </row>
    <row r="217" spans="1:21" x14ac:dyDescent="0.2">
      <c r="A217" s="1" t="s">
        <v>1440</v>
      </c>
      <c r="B217" s="1" t="s">
        <v>1443</v>
      </c>
      <c r="C217" t="s">
        <v>622</v>
      </c>
      <c r="D217" s="1" t="s">
        <v>42</v>
      </c>
      <c r="E217" s="1" t="s">
        <v>1240</v>
      </c>
      <c r="F217" s="1" t="s">
        <v>5</v>
      </c>
      <c r="G217" s="1"/>
      <c r="I217" s="4">
        <v>63.15</v>
      </c>
      <c r="J217" s="11">
        <v>0.77</v>
      </c>
      <c r="K217" s="4">
        <v>5.3</v>
      </c>
      <c r="L217" s="12">
        <f t="shared" si="4"/>
        <v>-0.11350927482751812</v>
      </c>
      <c r="M217" s="11">
        <f>GraphListeria!$B$10-(Listeria!I217-GraphListeria!$B$6)/GraphListeria!$B$5</f>
        <v>-9.1035834186629971E-2</v>
      </c>
      <c r="N217" s="1" t="s">
        <v>490</v>
      </c>
      <c r="O217">
        <v>2001</v>
      </c>
      <c r="S217" s="10">
        <f>GraphListeria!$B$43*Listeria!I217+GraphListeria!$B$44</f>
        <v>-5.0846904964476636E-2</v>
      </c>
      <c r="U217" s="10">
        <f>GraphListeria!$H$43*Listeria!I217+GraphListeria!$H$44</f>
        <v>-9.1035834186630638E-2</v>
      </c>
    </row>
    <row r="218" spans="1:21" x14ac:dyDescent="0.2">
      <c r="A218" s="1" t="s">
        <v>1440</v>
      </c>
      <c r="B218" s="1" t="s">
        <v>1443</v>
      </c>
      <c r="C218" t="s">
        <v>622</v>
      </c>
      <c r="D218" s="1" t="s">
        <v>42</v>
      </c>
      <c r="E218" s="1" t="s">
        <v>1240</v>
      </c>
      <c r="F218" s="1" t="s">
        <v>5</v>
      </c>
      <c r="G218" s="1"/>
      <c r="I218" s="4">
        <v>68.900000000000006</v>
      </c>
      <c r="J218" s="11">
        <v>4.7E-2</v>
      </c>
      <c r="K218" s="4">
        <v>5.3</v>
      </c>
      <c r="L218" s="12">
        <f t="shared" si="4"/>
        <v>-1.3279021420642825</v>
      </c>
      <c r="M218" s="11">
        <f>GraphListeria!$B$10-(Listeria!I218-GraphListeria!$B$6)/GraphListeria!$B$5</f>
        <v>-0.90747980270122541</v>
      </c>
      <c r="N218" s="1" t="s">
        <v>490</v>
      </c>
      <c r="O218">
        <v>2001</v>
      </c>
      <c r="S218" s="10">
        <f>GraphListeria!$B$43*Listeria!I218+GraphListeria!$B$44</f>
        <v>-0.84478245022913789</v>
      </c>
      <c r="U218" s="10">
        <f>GraphListeria!$H$43*Listeria!I218+GraphListeria!$H$44</f>
        <v>-0.90747980270122497</v>
      </c>
    </row>
    <row r="219" spans="1:21" x14ac:dyDescent="0.2">
      <c r="A219" s="1" t="s">
        <v>1440</v>
      </c>
      <c r="B219" s="1" t="s">
        <v>1443</v>
      </c>
      <c r="C219" s="1"/>
      <c r="D219" s="1" t="s">
        <v>42</v>
      </c>
      <c r="E219" s="1" t="s">
        <v>1240</v>
      </c>
      <c r="F219" s="1" t="s">
        <v>5</v>
      </c>
      <c r="G219" s="1"/>
      <c r="H219" s="5"/>
      <c r="I219" s="5">
        <v>52.2</v>
      </c>
      <c r="J219" s="9">
        <v>28.06</v>
      </c>
      <c r="K219" s="5">
        <v>6.3</v>
      </c>
      <c r="L219" s="12">
        <f t="shared" si="4"/>
        <v>1.448087666692341</v>
      </c>
      <c r="M219" s="11">
        <f>GraphListeria!$B$10-(Listeria!I219-GraphListeria!$B$6)/GraphListeria!$B$5</f>
        <v>1.4637574623759448</v>
      </c>
      <c r="N219" s="2" t="s">
        <v>1226</v>
      </c>
      <c r="O219">
        <v>1996</v>
      </c>
      <c r="S219" s="10">
        <f>GraphListeria!$B$43*Listeria!I219+GraphListeria!$B$44</f>
        <v>1.46108252471344</v>
      </c>
      <c r="U219" s="10">
        <f>GraphListeria!$H$43*Listeria!I219+GraphListeria!$H$44</f>
        <v>1.4637574623759448</v>
      </c>
    </row>
    <row r="220" spans="1:21" x14ac:dyDescent="0.2">
      <c r="A220" s="1" t="s">
        <v>1440</v>
      </c>
      <c r="B220" s="1" t="s">
        <v>1443</v>
      </c>
      <c r="D220" s="1" t="s">
        <v>42</v>
      </c>
      <c r="E220" s="1" t="s">
        <v>1240</v>
      </c>
      <c r="F220" s="1" t="s">
        <v>5</v>
      </c>
      <c r="G220" s="1"/>
      <c r="I220" s="4">
        <v>57.8</v>
      </c>
      <c r="J220" s="11">
        <v>4.83</v>
      </c>
      <c r="K220" s="5">
        <v>6.3</v>
      </c>
      <c r="L220" s="12">
        <f t="shared" si="4"/>
        <v>0.68394713075151214</v>
      </c>
      <c r="M220" s="11">
        <f>GraphListeria!$B$10-(Listeria!I220-GraphListeria!$B$6)/GraphListeria!$B$5</f>
        <v>0.66861203217042764</v>
      </c>
      <c r="N220" s="2" t="s">
        <v>1226</v>
      </c>
      <c r="O220">
        <v>1996</v>
      </c>
      <c r="S220" s="10">
        <f>GraphListeria!$B$43*Listeria!I220+GraphListeria!$B$44</f>
        <v>0.68785834149916258</v>
      </c>
      <c r="U220" s="10">
        <f>GraphListeria!$H$43*Listeria!I220+GraphListeria!$H$44</f>
        <v>0.66861203217042764</v>
      </c>
    </row>
    <row r="221" spans="1:21" x14ac:dyDescent="0.2">
      <c r="A221" s="1" t="s">
        <v>1440</v>
      </c>
      <c r="B221" s="1" t="s">
        <v>1443</v>
      </c>
      <c r="D221" s="1" t="s">
        <v>42</v>
      </c>
      <c r="E221" s="1" t="s">
        <v>1240</v>
      </c>
      <c r="F221" s="1" t="s">
        <v>5</v>
      </c>
      <c r="G221" s="1"/>
      <c r="I221" s="4">
        <v>63.3</v>
      </c>
      <c r="J221" s="11">
        <f>19.9/60</f>
        <v>0.33166666666666667</v>
      </c>
      <c r="K221" s="5">
        <v>6.3</v>
      </c>
      <c r="L221" s="12">
        <f t="shared" si="4"/>
        <v>-0.47929817397393698</v>
      </c>
      <c r="M221" s="11">
        <f>GraphListeria!$B$10-(Listeria!I221-GraphListeria!$B$6)/GraphListeria!$B$5</f>
        <v>-0.11233437249570621</v>
      </c>
      <c r="N221" s="2" t="s">
        <v>1226</v>
      </c>
      <c r="O221">
        <v>1996</v>
      </c>
      <c r="S221" s="10">
        <f>GraphListeria!$B$43*Listeria!I221+GraphListeria!$B$44</f>
        <v>-7.1558267014859567E-2</v>
      </c>
      <c r="U221" s="10">
        <f>GraphListeria!$H$43*Listeria!I221+GraphListeria!$H$44</f>
        <v>-0.11233437249570599</v>
      </c>
    </row>
    <row r="222" spans="1:21" x14ac:dyDescent="0.2">
      <c r="A222" s="1" t="s">
        <v>1440</v>
      </c>
      <c r="B222" s="1" t="s">
        <v>1443</v>
      </c>
      <c r="D222" s="1" t="s">
        <v>42</v>
      </c>
      <c r="E222" s="1" t="s">
        <v>1240</v>
      </c>
      <c r="F222" s="1" t="s">
        <v>5</v>
      </c>
      <c r="G222" s="1"/>
      <c r="I222" s="4">
        <v>66.099999999999994</v>
      </c>
      <c r="J222" s="11">
        <f>7.3/60</f>
        <v>0.12166666666666666</v>
      </c>
      <c r="K222" s="5">
        <v>6.3</v>
      </c>
      <c r="L222" s="12">
        <f t="shared" si="4"/>
        <v>-0.91482839026318774</v>
      </c>
      <c r="M222" s="11">
        <f>GraphListeria!$B$10-(Listeria!I222-GraphListeria!$B$6)/GraphListeria!$B$5</f>
        <v>-0.50990708759846481</v>
      </c>
      <c r="N222" s="2" t="s">
        <v>1226</v>
      </c>
      <c r="O222">
        <v>1996</v>
      </c>
      <c r="S222" s="10">
        <f>GraphListeria!$B$43*Listeria!I222+GraphListeria!$B$44</f>
        <v>-0.45817035862199873</v>
      </c>
      <c r="U222" s="10">
        <f>GraphListeria!$H$43*Listeria!I222+GraphListeria!$H$44</f>
        <v>-0.50990708759846548</v>
      </c>
    </row>
    <row r="223" spans="1:21" x14ac:dyDescent="0.2">
      <c r="A223" s="1" t="s">
        <v>1440</v>
      </c>
      <c r="B223" s="1" t="s">
        <v>1443</v>
      </c>
      <c r="D223" s="1" t="s">
        <v>42</v>
      </c>
      <c r="E223" s="1" t="s">
        <v>1240</v>
      </c>
      <c r="F223" s="1" t="s">
        <v>5</v>
      </c>
      <c r="G223" s="1"/>
      <c r="I223" s="4">
        <v>68.900000000000006</v>
      </c>
      <c r="J223" s="11">
        <f>3/60</f>
        <v>0.05</v>
      </c>
      <c r="K223" s="5">
        <v>6.3</v>
      </c>
      <c r="L223" s="12">
        <f t="shared" si="4"/>
        <v>-1.3010299956639813</v>
      </c>
      <c r="M223" s="11">
        <f>GraphListeria!$B$10-(Listeria!I223-GraphListeria!$B$6)/GraphListeria!$B$5</f>
        <v>-0.90747980270122541</v>
      </c>
      <c r="N223" s="2" t="s">
        <v>1226</v>
      </c>
      <c r="O223">
        <v>1996</v>
      </c>
      <c r="S223" s="10">
        <f>GraphListeria!$B$43*Listeria!I223+GraphListeria!$B$44</f>
        <v>-0.84478245022913789</v>
      </c>
      <c r="U223" s="10">
        <f>GraphListeria!$H$43*Listeria!I223+GraphListeria!$H$44</f>
        <v>-0.90747980270122497</v>
      </c>
    </row>
    <row r="224" spans="1:21" x14ac:dyDescent="0.2">
      <c r="A224" s="1" t="s">
        <v>1440</v>
      </c>
      <c r="B224" s="1" t="s">
        <v>1443</v>
      </c>
      <c r="D224" s="1" t="s">
        <v>42</v>
      </c>
      <c r="E224" s="1" t="s">
        <v>1240</v>
      </c>
      <c r="F224" s="1" t="s">
        <v>5</v>
      </c>
      <c r="G224" s="1"/>
      <c r="I224" s="4">
        <v>71.7</v>
      </c>
      <c r="J224" s="11">
        <f>0.9/60</f>
        <v>1.5000000000000001E-2</v>
      </c>
      <c r="K224" s="5">
        <v>6.3</v>
      </c>
      <c r="L224" s="12">
        <f t="shared" si="4"/>
        <v>-1.8239087409443187</v>
      </c>
      <c r="M224" s="11">
        <f>GraphListeria!$B$10-(Listeria!I224-GraphListeria!$B$6)/GraphListeria!$B$5</f>
        <v>-1.305052517803984</v>
      </c>
      <c r="N224" s="2" t="s">
        <v>1226</v>
      </c>
      <c r="O224">
        <v>1996</v>
      </c>
      <c r="S224" s="10">
        <f>GraphListeria!$B$43*Listeria!I224+GraphListeria!$B$44</f>
        <v>-1.2313945418362771</v>
      </c>
      <c r="U224" s="10">
        <f>GraphListeria!$H$43*Listeria!I224+GraphListeria!$H$44</f>
        <v>-1.3050525178039845</v>
      </c>
    </row>
    <row r="225" spans="1:21" x14ac:dyDescent="0.2">
      <c r="A225" s="1" t="s">
        <v>1440</v>
      </c>
      <c r="B225" s="1" t="s">
        <v>1443</v>
      </c>
      <c r="C225" t="s">
        <v>57</v>
      </c>
      <c r="D225" s="1" t="s">
        <v>42</v>
      </c>
      <c r="E225" s="1" t="s">
        <v>1240</v>
      </c>
      <c r="F225" s="1" t="s">
        <v>6</v>
      </c>
      <c r="G225" s="1"/>
      <c r="I225" s="4">
        <v>57.9</v>
      </c>
      <c r="J225" s="11">
        <v>4.8</v>
      </c>
      <c r="K225" s="4">
        <v>7</v>
      </c>
      <c r="L225" s="12">
        <f t="shared" si="4"/>
        <v>0.68124123737558717</v>
      </c>
      <c r="M225" s="11">
        <f>GraphListeria!$B$10-(Listeria!I225-GraphListeria!$B$6)/GraphListeria!$B$5</f>
        <v>0.65441300663104318</v>
      </c>
      <c r="N225" s="1" t="s">
        <v>490</v>
      </c>
      <c r="O225">
        <v>2001</v>
      </c>
      <c r="S225" s="10">
        <f>GraphListeria!$B$43*Listeria!I225+GraphListeria!$B$44</f>
        <v>0.67405076679890819</v>
      </c>
      <c r="U225" s="10">
        <f>GraphListeria!$H$43*Listeria!I225+GraphListeria!$H$44</f>
        <v>0.65441300663104229</v>
      </c>
    </row>
    <row r="226" spans="1:21" x14ac:dyDescent="0.2">
      <c r="A226" s="1" t="s">
        <v>1440</v>
      </c>
      <c r="B226" s="1" t="s">
        <v>1443</v>
      </c>
      <c r="C226" t="s">
        <v>57</v>
      </c>
      <c r="D226" s="1" t="s">
        <v>42</v>
      </c>
      <c r="E226" s="1" t="s">
        <v>1240</v>
      </c>
      <c r="F226" s="1" t="s">
        <v>6</v>
      </c>
      <c r="G226" s="1"/>
      <c r="I226" s="4">
        <v>63.15</v>
      </c>
      <c r="J226" s="11">
        <v>0.84</v>
      </c>
      <c r="K226" s="4">
        <v>7</v>
      </c>
      <c r="L226" s="12">
        <f t="shared" si="4"/>
        <v>-7.5720713938118356E-2</v>
      </c>
      <c r="M226" s="11">
        <f>GraphListeria!$B$10-(Listeria!I226-GraphListeria!$B$6)/GraphListeria!$B$5</f>
        <v>-9.1035834186629971E-2</v>
      </c>
      <c r="N226" s="1" t="s">
        <v>490</v>
      </c>
      <c r="O226">
        <v>2001</v>
      </c>
      <c r="S226" s="10">
        <f>GraphListeria!$B$43*Listeria!I226+GraphListeria!$B$44</f>
        <v>-5.0846904964476636E-2</v>
      </c>
      <c r="U226" s="10">
        <f>GraphListeria!$H$43*Listeria!I226+GraphListeria!$H$44</f>
        <v>-9.1035834186630638E-2</v>
      </c>
    </row>
    <row r="227" spans="1:21" x14ac:dyDescent="0.2">
      <c r="A227" s="1" t="s">
        <v>1440</v>
      </c>
      <c r="B227" s="1" t="s">
        <v>1443</v>
      </c>
      <c r="C227" t="s">
        <v>57</v>
      </c>
      <c r="D227" s="1" t="s">
        <v>42</v>
      </c>
      <c r="E227" s="1" t="s">
        <v>1240</v>
      </c>
      <c r="F227" s="1" t="s">
        <v>6</v>
      </c>
      <c r="G227" s="1"/>
      <c r="I227" s="4">
        <v>68.900000000000006</v>
      </c>
      <c r="J227" s="11">
        <v>0.12</v>
      </c>
      <c r="K227" s="4">
        <v>7</v>
      </c>
      <c r="L227" s="12">
        <f t="shared" si="4"/>
        <v>-0.92081875395237522</v>
      </c>
      <c r="M227" s="11">
        <f>GraphListeria!$B$10-(Listeria!I227-GraphListeria!$B$6)/GraphListeria!$B$5</f>
        <v>-0.90747980270122541</v>
      </c>
      <c r="N227" s="1" t="s">
        <v>490</v>
      </c>
      <c r="O227">
        <v>2001</v>
      </c>
      <c r="S227" s="10">
        <f>GraphListeria!$B$43*Listeria!I227+GraphListeria!$B$44</f>
        <v>-0.84478245022913789</v>
      </c>
      <c r="U227" s="10">
        <f>GraphListeria!$H$43*Listeria!I227+GraphListeria!$H$44</f>
        <v>-0.90747980270122497</v>
      </c>
    </row>
    <row r="228" spans="1:21" x14ac:dyDescent="0.2">
      <c r="A228" s="1" t="s">
        <v>1440</v>
      </c>
      <c r="B228" s="1" t="s">
        <v>1443</v>
      </c>
      <c r="C228" t="s">
        <v>621</v>
      </c>
      <c r="D228" s="1" t="s">
        <v>42</v>
      </c>
      <c r="E228" s="1" t="s">
        <v>1240</v>
      </c>
      <c r="F228" s="1" t="s">
        <v>6</v>
      </c>
      <c r="G228" s="1"/>
      <c r="I228" s="4">
        <v>57.9</v>
      </c>
      <c r="J228" s="11">
        <v>6.8</v>
      </c>
      <c r="K228" s="4">
        <v>6.7</v>
      </c>
      <c r="L228" s="12">
        <f t="shared" si="4"/>
        <v>0.83250891270623628</v>
      </c>
      <c r="M228" s="11">
        <f>GraphListeria!$B$10-(Listeria!I228-GraphListeria!$B$6)/GraphListeria!$B$5</f>
        <v>0.65441300663104318</v>
      </c>
      <c r="N228" s="1" t="s">
        <v>490</v>
      </c>
      <c r="O228">
        <v>2001</v>
      </c>
      <c r="S228" s="10">
        <f>GraphListeria!$B$43*Listeria!I228+GraphListeria!$B$44</f>
        <v>0.67405076679890819</v>
      </c>
      <c r="U228" s="10">
        <f>GraphListeria!$H$43*Listeria!I228+GraphListeria!$H$44</f>
        <v>0.65441300663104229</v>
      </c>
    </row>
    <row r="229" spans="1:21" x14ac:dyDescent="0.2">
      <c r="A229" s="1" t="s">
        <v>1440</v>
      </c>
      <c r="B229" s="1" t="s">
        <v>1443</v>
      </c>
      <c r="C229" t="s">
        <v>621</v>
      </c>
      <c r="D229" s="1" t="s">
        <v>42</v>
      </c>
      <c r="E229" s="1" t="s">
        <v>1240</v>
      </c>
      <c r="F229" s="1" t="s">
        <v>6</v>
      </c>
      <c r="G229" s="1"/>
      <c r="I229" s="4">
        <v>63.15</v>
      </c>
      <c r="J229" s="11">
        <v>1.1299999999999999</v>
      </c>
      <c r="K229" s="4">
        <v>6.7</v>
      </c>
      <c r="L229" s="12">
        <f t="shared" si="4"/>
        <v>5.3078443483419682E-2</v>
      </c>
      <c r="M229" s="11">
        <f>GraphListeria!$B$10-(Listeria!I229-GraphListeria!$B$6)/GraphListeria!$B$5</f>
        <v>-9.1035834186629971E-2</v>
      </c>
      <c r="N229" s="1" t="s">
        <v>490</v>
      </c>
      <c r="O229">
        <v>2001</v>
      </c>
      <c r="S229" s="10">
        <f>GraphListeria!$B$43*Listeria!I229+GraphListeria!$B$44</f>
        <v>-5.0846904964476636E-2</v>
      </c>
      <c r="U229" s="10">
        <f>GraphListeria!$H$43*Listeria!I229+GraphListeria!$H$44</f>
        <v>-9.1035834186630638E-2</v>
      </c>
    </row>
    <row r="230" spans="1:21" x14ac:dyDescent="0.2">
      <c r="A230" s="1" t="s">
        <v>1440</v>
      </c>
      <c r="B230" s="1" t="s">
        <v>1443</v>
      </c>
      <c r="C230" t="s">
        <v>621</v>
      </c>
      <c r="D230" s="1" t="s">
        <v>42</v>
      </c>
      <c r="E230" s="1" t="s">
        <v>1240</v>
      </c>
      <c r="F230" s="1" t="s">
        <v>6</v>
      </c>
      <c r="G230" s="1"/>
      <c r="I230" s="4">
        <v>68.900000000000006</v>
      </c>
      <c r="J230" s="11">
        <v>0.152</v>
      </c>
      <c r="K230" s="4">
        <v>6.7</v>
      </c>
      <c r="L230" s="12">
        <f t="shared" si="4"/>
        <v>-0.81815641205522749</v>
      </c>
      <c r="M230" s="11">
        <f>GraphListeria!$B$10-(Listeria!I230-GraphListeria!$B$6)/GraphListeria!$B$5</f>
        <v>-0.90747980270122541</v>
      </c>
      <c r="N230" s="1" t="s">
        <v>490</v>
      </c>
      <c r="O230">
        <v>2001</v>
      </c>
      <c r="S230" s="10">
        <f>GraphListeria!$B$43*Listeria!I230+GraphListeria!$B$44</f>
        <v>-0.84478245022913789</v>
      </c>
      <c r="U230" s="10">
        <f>GraphListeria!$H$43*Listeria!I230+GraphListeria!$H$44</f>
        <v>-0.90747980270122497</v>
      </c>
    </row>
    <row r="231" spans="1:21" x14ac:dyDescent="0.2">
      <c r="A231" s="1" t="s">
        <v>1440</v>
      </c>
      <c r="B231" s="1" t="s">
        <v>1443</v>
      </c>
      <c r="C231" t="s">
        <v>622</v>
      </c>
      <c r="D231" s="1" t="s">
        <v>42</v>
      </c>
      <c r="E231" s="1" t="s">
        <v>1240</v>
      </c>
      <c r="F231" s="1" t="s">
        <v>6</v>
      </c>
      <c r="G231" s="1"/>
      <c r="I231" s="4">
        <v>57.9</v>
      </c>
      <c r="J231" s="11">
        <v>7.34</v>
      </c>
      <c r="K231" s="4">
        <v>6.8</v>
      </c>
      <c r="L231" s="12">
        <f t="shared" si="4"/>
        <v>0.86569605991607057</v>
      </c>
      <c r="M231" s="11">
        <f>GraphListeria!$B$10-(Listeria!I231-GraphListeria!$B$6)/GraphListeria!$B$5</f>
        <v>0.65441300663104318</v>
      </c>
      <c r="N231" s="1" t="s">
        <v>490</v>
      </c>
      <c r="O231">
        <v>2001</v>
      </c>
      <c r="S231" s="10">
        <f>GraphListeria!$B$43*Listeria!I231+GraphListeria!$B$44</f>
        <v>0.67405076679890819</v>
      </c>
      <c r="U231" s="10">
        <f>GraphListeria!$H$43*Listeria!I231+GraphListeria!$H$44</f>
        <v>0.65441300663104229</v>
      </c>
    </row>
    <row r="232" spans="1:21" x14ac:dyDescent="0.2">
      <c r="A232" s="1" t="s">
        <v>1440</v>
      </c>
      <c r="B232" s="1" t="s">
        <v>1443</v>
      </c>
      <c r="C232" t="s">
        <v>622</v>
      </c>
      <c r="D232" s="1" t="s">
        <v>42</v>
      </c>
      <c r="E232" s="1" t="s">
        <v>1240</v>
      </c>
      <c r="F232" s="1" t="s">
        <v>6</v>
      </c>
      <c r="G232" s="1"/>
      <c r="I232" s="4">
        <v>63.15</v>
      </c>
      <c r="J232" s="11">
        <v>0.83</v>
      </c>
      <c r="K232" s="4">
        <v>6.8</v>
      </c>
      <c r="L232" s="12">
        <f t="shared" si="4"/>
        <v>-8.092190762392612E-2</v>
      </c>
      <c r="M232" s="11">
        <f>GraphListeria!$B$10-(Listeria!I232-GraphListeria!$B$6)/GraphListeria!$B$5</f>
        <v>-9.1035834186629971E-2</v>
      </c>
      <c r="N232" s="1" t="s">
        <v>490</v>
      </c>
      <c r="O232">
        <v>2001</v>
      </c>
      <c r="S232" s="10">
        <f>GraphListeria!$B$43*Listeria!I232+GraphListeria!$B$44</f>
        <v>-5.0846904964476636E-2</v>
      </c>
      <c r="U232" s="10">
        <f>GraphListeria!$H$43*Listeria!I232+GraphListeria!$H$44</f>
        <v>-9.1035834186630638E-2</v>
      </c>
    </row>
    <row r="233" spans="1:21" x14ac:dyDescent="0.2">
      <c r="A233" s="1" t="s">
        <v>1440</v>
      </c>
      <c r="B233" s="1" t="s">
        <v>1443</v>
      </c>
      <c r="C233" t="s">
        <v>622</v>
      </c>
      <c r="D233" s="1" t="s">
        <v>42</v>
      </c>
      <c r="E233" s="1" t="s">
        <v>1240</v>
      </c>
      <c r="F233" s="1" t="s">
        <v>6</v>
      </c>
      <c r="G233" s="1"/>
      <c r="I233" s="4">
        <v>68.900000000000006</v>
      </c>
      <c r="J233" s="11">
        <v>0.10299999999999999</v>
      </c>
      <c r="K233" s="4">
        <v>6.8</v>
      </c>
      <c r="L233" s="12">
        <f t="shared" si="4"/>
        <v>-0.98716277529482777</v>
      </c>
      <c r="M233" s="11">
        <f>GraphListeria!$B$10-(Listeria!I233-GraphListeria!$B$6)/GraphListeria!$B$5</f>
        <v>-0.90747980270122541</v>
      </c>
      <c r="N233" s="1" t="s">
        <v>490</v>
      </c>
      <c r="O233">
        <v>2001</v>
      </c>
      <c r="S233" s="10">
        <f>GraphListeria!$B$43*Listeria!I233+GraphListeria!$B$44</f>
        <v>-0.84478245022913789</v>
      </c>
      <c r="U233" s="10">
        <f>GraphListeria!$H$43*Listeria!I233+GraphListeria!$H$44</f>
        <v>-0.90747980270122497</v>
      </c>
    </row>
    <row r="234" spans="1:21" x14ac:dyDescent="0.2">
      <c r="A234" s="1" t="s">
        <v>1440</v>
      </c>
      <c r="B234" s="1" t="s">
        <v>1443</v>
      </c>
      <c r="C234" t="s">
        <v>623</v>
      </c>
      <c r="D234" s="1" t="s">
        <v>42</v>
      </c>
      <c r="E234" s="1" t="s">
        <v>1240</v>
      </c>
      <c r="F234" s="1" t="s">
        <v>6</v>
      </c>
      <c r="G234" s="1"/>
      <c r="I234" s="4">
        <v>57.9</v>
      </c>
      <c r="J234" s="11">
        <v>2.2000000000000002</v>
      </c>
      <c r="L234" s="12">
        <f t="shared" si="4"/>
        <v>0.34242268082220628</v>
      </c>
      <c r="M234" s="11">
        <f>GraphListeria!$B$10-(Listeria!I234-GraphListeria!$B$6)/GraphListeria!$B$5</f>
        <v>0.65441300663104318</v>
      </c>
      <c r="N234" s="1" t="s">
        <v>490</v>
      </c>
      <c r="O234">
        <v>2001</v>
      </c>
      <c r="S234" s="10">
        <f>GraphListeria!$B$43*Listeria!I234+GraphListeria!$B$44</f>
        <v>0.67405076679890819</v>
      </c>
      <c r="U234" s="10">
        <f>GraphListeria!$H$43*Listeria!I234+GraphListeria!$H$44</f>
        <v>0.65441300663104229</v>
      </c>
    </row>
    <row r="235" spans="1:21" x14ac:dyDescent="0.2">
      <c r="A235" s="1" t="s">
        <v>1440</v>
      </c>
      <c r="B235" s="1" t="s">
        <v>1443</v>
      </c>
      <c r="C235" t="s">
        <v>623</v>
      </c>
      <c r="D235" s="1" t="s">
        <v>42</v>
      </c>
      <c r="E235" s="1" t="s">
        <v>1240</v>
      </c>
      <c r="F235" s="1" t="s">
        <v>6</v>
      </c>
      <c r="G235" s="1"/>
      <c r="I235" s="4">
        <v>57.9</v>
      </c>
      <c r="J235" s="11">
        <v>2.75</v>
      </c>
      <c r="L235" s="12">
        <f t="shared" si="4"/>
        <v>0.43933269383026263</v>
      </c>
      <c r="M235" s="11">
        <f>GraphListeria!$B$10-(Listeria!I235-GraphListeria!$B$6)/GraphListeria!$B$5</f>
        <v>0.65441300663104318</v>
      </c>
      <c r="N235" s="1" t="s">
        <v>490</v>
      </c>
      <c r="O235">
        <v>2001</v>
      </c>
      <c r="S235" s="10">
        <f>GraphListeria!$B$43*Listeria!I235+GraphListeria!$B$44</f>
        <v>0.67405076679890819</v>
      </c>
      <c r="U235" s="10">
        <f>GraphListeria!$H$43*Listeria!I235+GraphListeria!$H$44</f>
        <v>0.65441300663104229</v>
      </c>
    </row>
    <row r="236" spans="1:21" x14ac:dyDescent="0.2">
      <c r="A236" s="1" t="s">
        <v>1440</v>
      </c>
      <c r="B236" s="1" t="s">
        <v>1443</v>
      </c>
      <c r="C236" t="s">
        <v>419</v>
      </c>
      <c r="D236" s="1" t="s">
        <v>42</v>
      </c>
      <c r="E236" s="1" t="s">
        <v>1240</v>
      </c>
      <c r="F236" s="1" t="s">
        <v>6</v>
      </c>
      <c r="G236" s="1"/>
      <c r="I236" s="4">
        <v>62.75</v>
      </c>
      <c r="J236" s="11">
        <v>0.65</v>
      </c>
      <c r="L236" s="12">
        <f t="shared" si="4"/>
        <v>-0.18708664335714442</v>
      </c>
      <c r="M236" s="11">
        <f>GraphListeria!$B$10-(Listeria!I236-GraphListeria!$B$6)/GraphListeria!$B$5</f>
        <v>-3.4239732029093251E-2</v>
      </c>
      <c r="N236" s="1" t="s">
        <v>490</v>
      </c>
      <c r="O236">
        <v>2001</v>
      </c>
      <c r="S236" s="10">
        <f>GraphListeria!$B$43*Listeria!I236+GraphListeria!$B$44</f>
        <v>4.3833938365427372E-3</v>
      </c>
      <c r="U236" s="10">
        <f>GraphListeria!$H$43*Listeria!I236+GraphListeria!$H$44</f>
        <v>-3.4239732029092806E-2</v>
      </c>
    </row>
    <row r="237" spans="1:21" x14ac:dyDescent="0.2">
      <c r="A237" s="1" t="s">
        <v>1440</v>
      </c>
      <c r="B237" s="1" t="s">
        <v>1443</v>
      </c>
      <c r="C237" t="s">
        <v>624</v>
      </c>
      <c r="D237" s="1" t="s">
        <v>42</v>
      </c>
      <c r="E237" s="1" t="s">
        <v>1240</v>
      </c>
      <c r="F237" s="1" t="s">
        <v>6</v>
      </c>
      <c r="G237" s="1"/>
      <c r="I237" s="4">
        <v>62.75</v>
      </c>
      <c r="J237" s="11">
        <v>0.4</v>
      </c>
      <c r="L237" s="12">
        <f t="shared" si="4"/>
        <v>-0.3979400086720376</v>
      </c>
      <c r="M237" s="11">
        <f>GraphListeria!$B$10-(Listeria!I237-GraphListeria!$B$6)/GraphListeria!$B$5</f>
        <v>-3.4239732029093251E-2</v>
      </c>
      <c r="N237" s="1" t="s">
        <v>490</v>
      </c>
      <c r="O237">
        <v>2001</v>
      </c>
      <c r="S237" s="10">
        <f>GraphListeria!$B$43*Listeria!I237+GraphListeria!$B$44</f>
        <v>4.3833938365427372E-3</v>
      </c>
      <c r="U237" s="10">
        <f>GraphListeria!$H$43*Listeria!I237+GraphListeria!$H$44</f>
        <v>-3.4239732029092806E-2</v>
      </c>
    </row>
    <row r="238" spans="1:21" x14ac:dyDescent="0.2">
      <c r="A238" s="1" t="s">
        <v>1440</v>
      </c>
      <c r="B238" s="1" t="s">
        <v>1443</v>
      </c>
      <c r="C238" t="s">
        <v>625</v>
      </c>
      <c r="D238" s="1" t="s">
        <v>42</v>
      </c>
      <c r="E238" s="1" t="s">
        <v>1240</v>
      </c>
      <c r="F238" s="1" t="s">
        <v>6</v>
      </c>
      <c r="G238" s="1"/>
      <c r="I238" s="4">
        <v>62.75</v>
      </c>
      <c r="J238" s="11">
        <v>0.4</v>
      </c>
      <c r="L238" s="12">
        <f t="shared" si="4"/>
        <v>-0.3979400086720376</v>
      </c>
      <c r="M238" s="11">
        <f>GraphListeria!$B$10-(Listeria!I238-GraphListeria!$B$6)/GraphListeria!$B$5</f>
        <v>-3.4239732029093251E-2</v>
      </c>
      <c r="N238" s="1" t="s">
        <v>490</v>
      </c>
      <c r="O238">
        <v>2001</v>
      </c>
      <c r="S238" s="10">
        <f>GraphListeria!$B$43*Listeria!I238+GraphListeria!$B$44</f>
        <v>4.3833938365427372E-3</v>
      </c>
      <c r="U238" s="10">
        <f>GraphListeria!$H$43*Listeria!I238+GraphListeria!$H$44</f>
        <v>-3.4239732029092806E-2</v>
      </c>
    </row>
    <row r="239" spans="1:21" x14ac:dyDescent="0.2">
      <c r="A239" s="1" t="s">
        <v>1440</v>
      </c>
      <c r="B239" s="1" t="s">
        <v>1443</v>
      </c>
      <c r="C239" t="s">
        <v>663</v>
      </c>
      <c r="D239" s="1" t="s">
        <v>42</v>
      </c>
      <c r="E239" s="1" t="s">
        <v>1240</v>
      </c>
      <c r="F239" s="1" t="s">
        <v>6</v>
      </c>
      <c r="G239" s="1"/>
      <c r="I239" s="4">
        <v>62.75</v>
      </c>
      <c r="J239" s="11">
        <v>0.35</v>
      </c>
      <c r="L239" s="12">
        <f t="shared" si="4"/>
        <v>-0.45593195564972439</v>
      </c>
      <c r="M239" s="11">
        <f>GraphListeria!$B$10-(Listeria!I239-GraphListeria!$B$6)/GraphListeria!$B$5</f>
        <v>-3.4239732029093251E-2</v>
      </c>
      <c r="N239" s="1" t="s">
        <v>490</v>
      </c>
      <c r="O239">
        <v>2001</v>
      </c>
      <c r="S239" s="10">
        <f>GraphListeria!$B$43*Listeria!I239+GraphListeria!$B$44</f>
        <v>4.3833938365427372E-3</v>
      </c>
      <c r="U239" s="10">
        <f>GraphListeria!$H$43*Listeria!I239+GraphListeria!$H$44</f>
        <v>-3.4239732029092806E-2</v>
      </c>
    </row>
    <row r="240" spans="1:21" x14ac:dyDescent="0.2">
      <c r="A240" s="1" t="s">
        <v>1440</v>
      </c>
      <c r="B240" s="1" t="s">
        <v>1443</v>
      </c>
      <c r="C240" t="s">
        <v>427</v>
      </c>
      <c r="D240" s="1" t="s">
        <v>42</v>
      </c>
      <c r="E240" s="1" t="s">
        <v>1240</v>
      </c>
      <c r="F240" s="1" t="s">
        <v>6</v>
      </c>
      <c r="G240" s="1"/>
      <c r="I240" s="4">
        <v>55.1</v>
      </c>
      <c r="J240" s="11">
        <v>24</v>
      </c>
      <c r="K240" s="4">
        <v>4.3</v>
      </c>
      <c r="L240" s="12">
        <f t="shared" si="4"/>
        <v>1.3802112417116059</v>
      </c>
      <c r="M240" s="11">
        <f>GraphListeria!$B$10-(Listeria!I240-GraphListeria!$B$6)/GraphListeria!$B$5</f>
        <v>1.0519857217338018</v>
      </c>
      <c r="N240" s="1" t="s">
        <v>490</v>
      </c>
      <c r="O240">
        <v>2001</v>
      </c>
      <c r="S240" s="10">
        <f>GraphListeria!$B$43*Listeria!I240+GraphListeria!$B$44</f>
        <v>1.0606628584060465</v>
      </c>
      <c r="U240" s="10">
        <f>GraphListeria!$H$43*Listeria!I240+GraphListeria!$H$44</f>
        <v>1.0519857217338018</v>
      </c>
    </row>
    <row r="241" spans="1:21" x14ac:dyDescent="0.2">
      <c r="A241" s="1" t="s">
        <v>1440</v>
      </c>
      <c r="B241" s="1" t="s">
        <v>1443</v>
      </c>
      <c r="C241" t="s">
        <v>427</v>
      </c>
      <c r="D241" s="1" t="s">
        <v>42</v>
      </c>
      <c r="E241" s="1" t="s">
        <v>1240</v>
      </c>
      <c r="F241" s="1" t="s">
        <v>6</v>
      </c>
      <c r="G241" s="1"/>
      <c r="I241" s="4">
        <v>62.75</v>
      </c>
      <c r="J241" s="11">
        <v>1</v>
      </c>
      <c r="K241" s="4">
        <v>4.3</v>
      </c>
      <c r="L241" s="12">
        <f t="shared" si="4"/>
        <v>0</v>
      </c>
      <c r="M241" s="11">
        <f>GraphListeria!$B$10-(Listeria!I241-GraphListeria!$B$6)/GraphListeria!$B$5</f>
        <v>-3.4239732029093251E-2</v>
      </c>
      <c r="N241" s="1" t="s">
        <v>490</v>
      </c>
      <c r="O241">
        <v>2001</v>
      </c>
      <c r="S241" s="10">
        <f>GraphListeria!$B$43*Listeria!I241+GraphListeria!$B$44</f>
        <v>4.3833938365427372E-3</v>
      </c>
      <c r="U241" s="10">
        <f>GraphListeria!$H$43*Listeria!I241+GraphListeria!$H$44</f>
        <v>-3.4239732029092806E-2</v>
      </c>
    </row>
    <row r="242" spans="1:21" x14ac:dyDescent="0.2">
      <c r="A242" s="1" t="s">
        <v>1440</v>
      </c>
      <c r="B242" s="1" t="s">
        <v>1443</v>
      </c>
      <c r="C242" t="s">
        <v>427</v>
      </c>
      <c r="D242" s="1" t="s">
        <v>42</v>
      </c>
      <c r="E242" s="1" t="s">
        <v>1240</v>
      </c>
      <c r="F242" s="1" t="s">
        <v>6</v>
      </c>
      <c r="G242" s="1"/>
      <c r="I242" s="4">
        <v>71.7</v>
      </c>
      <c r="J242" s="11">
        <v>0.05</v>
      </c>
      <c r="K242" s="4">
        <v>4.3</v>
      </c>
      <c r="L242" s="12">
        <f t="shared" si="4"/>
        <v>-1.3010299956639813</v>
      </c>
      <c r="M242" s="11">
        <f>GraphListeria!$B$10-(Listeria!I242-GraphListeria!$B$6)/GraphListeria!$B$5</f>
        <v>-1.305052517803984</v>
      </c>
      <c r="N242" s="1" t="s">
        <v>490</v>
      </c>
      <c r="O242">
        <v>2001</v>
      </c>
      <c r="S242" s="10">
        <f>GraphListeria!$B$43*Listeria!I242+GraphListeria!$B$44</f>
        <v>-1.2313945418362771</v>
      </c>
      <c r="U242" s="10">
        <f>GraphListeria!$H$43*Listeria!I242+GraphListeria!$H$44</f>
        <v>-1.3050525178039845</v>
      </c>
    </row>
    <row r="243" spans="1:21" x14ac:dyDescent="0.2">
      <c r="A243" s="1" t="s">
        <v>1440</v>
      </c>
      <c r="B243" s="1" t="s">
        <v>1443</v>
      </c>
      <c r="C243" t="s">
        <v>427</v>
      </c>
      <c r="D243" s="1" t="s">
        <v>42</v>
      </c>
      <c r="E243" s="1" t="s">
        <v>1240</v>
      </c>
      <c r="F243" s="1" t="s">
        <v>6</v>
      </c>
      <c r="G243" s="1"/>
      <c r="I243" s="4">
        <v>62.75</v>
      </c>
      <c r="J243" s="11">
        <v>0.6</v>
      </c>
      <c r="L243" s="12">
        <f t="shared" si="4"/>
        <v>-0.22184874961635639</v>
      </c>
      <c r="M243" s="11">
        <f>GraphListeria!$B$10-(Listeria!I243-GraphListeria!$B$6)/GraphListeria!$B$5</f>
        <v>-3.4239732029093251E-2</v>
      </c>
      <c r="N243" s="1" t="s">
        <v>490</v>
      </c>
      <c r="O243">
        <v>2001</v>
      </c>
      <c r="S243" s="10">
        <f>GraphListeria!$B$43*Listeria!I243+GraphListeria!$B$44</f>
        <v>4.3833938365427372E-3</v>
      </c>
      <c r="U243" s="10">
        <f>GraphListeria!$H$43*Listeria!I243+GraphListeria!$H$44</f>
        <v>-3.4239732029092806E-2</v>
      </c>
    </row>
    <row r="244" spans="1:21" x14ac:dyDescent="0.2">
      <c r="A244" s="1" t="s">
        <v>1440</v>
      </c>
      <c r="B244" s="1" t="s">
        <v>1443</v>
      </c>
      <c r="C244" t="s">
        <v>427</v>
      </c>
      <c r="D244" s="1" t="s">
        <v>42</v>
      </c>
      <c r="E244" s="1" t="s">
        <v>1240</v>
      </c>
      <c r="F244" s="1" t="s">
        <v>6</v>
      </c>
      <c r="G244" s="1"/>
      <c r="I244" s="4">
        <v>71.7</v>
      </c>
      <c r="J244" s="11">
        <v>0.05</v>
      </c>
      <c r="L244" s="12">
        <f t="shared" si="4"/>
        <v>-1.3010299956639813</v>
      </c>
      <c r="M244" s="11">
        <f>GraphListeria!$B$10-(Listeria!I244-GraphListeria!$B$6)/GraphListeria!$B$5</f>
        <v>-1.305052517803984</v>
      </c>
      <c r="N244" s="1" t="s">
        <v>490</v>
      </c>
      <c r="O244">
        <v>2001</v>
      </c>
      <c r="S244" s="10">
        <f>GraphListeria!$B$43*Listeria!I244+GraphListeria!$B$44</f>
        <v>-1.2313945418362771</v>
      </c>
      <c r="U244" s="10">
        <f>GraphListeria!$H$43*Listeria!I244+GraphListeria!$H$44</f>
        <v>-1.3050525178039845</v>
      </c>
    </row>
    <row r="245" spans="1:21" x14ac:dyDescent="0.2">
      <c r="A245" s="1" t="s">
        <v>1440</v>
      </c>
      <c r="B245" s="1" t="s">
        <v>1443</v>
      </c>
      <c r="C245" t="s">
        <v>427</v>
      </c>
      <c r="D245" s="1" t="s">
        <v>42</v>
      </c>
      <c r="E245" s="1" t="s">
        <v>1240</v>
      </c>
      <c r="F245" s="1" t="s">
        <v>6</v>
      </c>
      <c r="G245" s="1"/>
      <c r="I245" s="4">
        <v>57.9</v>
      </c>
      <c r="J245" s="11">
        <v>5.52</v>
      </c>
      <c r="K245" s="4">
        <v>7.3</v>
      </c>
      <c r="L245" s="12">
        <f t="shared" si="4"/>
        <v>0.74193907772919887</v>
      </c>
      <c r="M245" s="11">
        <f>GraphListeria!$B$10-(Listeria!I245-GraphListeria!$B$6)/GraphListeria!$B$5</f>
        <v>0.65441300663104318</v>
      </c>
      <c r="N245" s="1" t="s">
        <v>490</v>
      </c>
      <c r="O245">
        <v>2001</v>
      </c>
      <c r="S245" s="10">
        <f>GraphListeria!$B$43*Listeria!I245+GraphListeria!$B$44</f>
        <v>0.67405076679890819</v>
      </c>
      <c r="U245" s="10">
        <f>GraphListeria!$H$43*Listeria!I245+GraphListeria!$H$44</f>
        <v>0.65441300663104229</v>
      </c>
    </row>
    <row r="246" spans="1:21" x14ac:dyDescent="0.2">
      <c r="A246" s="1" t="s">
        <v>1440</v>
      </c>
      <c r="B246" s="1" t="s">
        <v>1443</v>
      </c>
      <c r="C246" t="s">
        <v>427</v>
      </c>
      <c r="D246" s="1" t="s">
        <v>42</v>
      </c>
      <c r="E246" s="1" t="s">
        <v>1240</v>
      </c>
      <c r="F246" s="1" t="s">
        <v>6</v>
      </c>
      <c r="G246" s="1"/>
      <c r="I246" s="4">
        <v>62.75</v>
      </c>
      <c r="J246" s="11">
        <v>0.64</v>
      </c>
      <c r="K246" s="4">
        <v>7.3</v>
      </c>
      <c r="L246" s="12">
        <f t="shared" si="4"/>
        <v>-0.19382002601611281</v>
      </c>
      <c r="M246" s="11">
        <f>GraphListeria!$B$10-(Listeria!I246-GraphListeria!$B$6)/GraphListeria!$B$5</f>
        <v>-3.4239732029093251E-2</v>
      </c>
      <c r="N246" s="1" t="s">
        <v>490</v>
      </c>
      <c r="O246">
        <v>2001</v>
      </c>
      <c r="S246" s="10">
        <f>GraphListeria!$B$43*Listeria!I246+GraphListeria!$B$44</f>
        <v>4.3833938365427372E-3</v>
      </c>
      <c r="U246" s="10">
        <f>GraphListeria!$H$43*Listeria!I246+GraphListeria!$H$44</f>
        <v>-3.4239732029092806E-2</v>
      </c>
    </row>
    <row r="247" spans="1:21" x14ac:dyDescent="0.2">
      <c r="A247" s="1" t="s">
        <v>1440</v>
      </c>
      <c r="B247" s="1" t="s">
        <v>1443</v>
      </c>
      <c r="C247" t="s">
        <v>427</v>
      </c>
      <c r="D247" s="1" t="s">
        <v>42</v>
      </c>
      <c r="E247" s="1" t="s">
        <v>1240</v>
      </c>
      <c r="F247" s="1" t="s">
        <v>6</v>
      </c>
      <c r="G247" s="1"/>
      <c r="I247" s="4">
        <v>66.099999999999994</v>
      </c>
      <c r="J247" s="11">
        <v>0.28000000000000003</v>
      </c>
      <c r="K247" s="4">
        <v>7.3</v>
      </c>
      <c r="L247" s="12">
        <f t="shared" si="4"/>
        <v>-0.55284196865778079</v>
      </c>
      <c r="M247" s="11">
        <f>GraphListeria!$B$10-(Listeria!I247-GraphListeria!$B$6)/GraphListeria!$B$5</f>
        <v>-0.50990708759846481</v>
      </c>
      <c r="N247" s="1" t="s">
        <v>490</v>
      </c>
      <c r="O247">
        <v>2001</v>
      </c>
      <c r="S247" s="10">
        <f>GraphListeria!$B$43*Listeria!I247+GraphListeria!$B$44</f>
        <v>-0.45817035862199873</v>
      </c>
      <c r="U247" s="10">
        <f>GraphListeria!$H$43*Listeria!I247+GraphListeria!$H$44</f>
        <v>-0.50990708759846548</v>
      </c>
    </row>
    <row r="248" spans="1:21" x14ac:dyDescent="0.2">
      <c r="A248" s="1" t="s">
        <v>1440</v>
      </c>
      <c r="B248" s="1" t="s">
        <v>1443</v>
      </c>
      <c r="C248" t="s">
        <v>427</v>
      </c>
      <c r="D248" s="1" t="s">
        <v>42</v>
      </c>
      <c r="E248" s="1" t="s">
        <v>1240</v>
      </c>
      <c r="F248" s="1" t="s">
        <v>6</v>
      </c>
      <c r="G248" s="1"/>
      <c r="I248" s="4">
        <v>66.099999999999994</v>
      </c>
      <c r="J248" s="11">
        <v>0.3</v>
      </c>
      <c r="K248" s="4">
        <v>7.3</v>
      </c>
      <c r="L248" s="12">
        <f t="shared" si="4"/>
        <v>-0.52287874528033762</v>
      </c>
      <c r="M248" s="11">
        <f>GraphListeria!$B$10-(Listeria!I248-GraphListeria!$B$6)/GraphListeria!$B$5</f>
        <v>-0.50990708759846481</v>
      </c>
      <c r="N248" s="1" t="s">
        <v>490</v>
      </c>
      <c r="O248">
        <v>2001</v>
      </c>
      <c r="S248" s="10">
        <f>GraphListeria!$B$43*Listeria!I248+GraphListeria!$B$44</f>
        <v>-0.45817035862199873</v>
      </c>
      <c r="U248" s="10">
        <f>GraphListeria!$H$43*Listeria!I248+GraphListeria!$H$44</f>
        <v>-0.50990708759846548</v>
      </c>
    </row>
    <row r="249" spans="1:21" x14ac:dyDescent="0.2">
      <c r="A249" s="1" t="s">
        <v>1440</v>
      </c>
      <c r="B249" s="1" t="s">
        <v>1443</v>
      </c>
      <c r="C249" t="s">
        <v>427</v>
      </c>
      <c r="D249" s="1" t="s">
        <v>42</v>
      </c>
      <c r="E249" s="1" t="s">
        <v>1240</v>
      </c>
      <c r="F249" s="1" t="s">
        <v>6</v>
      </c>
      <c r="G249" s="1"/>
      <c r="I249" s="4">
        <v>68.900000000000006</v>
      </c>
      <c r="J249" s="11">
        <v>8.5000000000000006E-2</v>
      </c>
      <c r="K249" s="4">
        <v>7.3</v>
      </c>
      <c r="L249" s="12">
        <f t="shared" si="4"/>
        <v>-1.0705810742857071</v>
      </c>
      <c r="M249" s="11">
        <f>GraphListeria!$B$10-(Listeria!I249-GraphListeria!$B$6)/GraphListeria!$B$5</f>
        <v>-0.90747980270122541</v>
      </c>
      <c r="N249" s="1" t="s">
        <v>490</v>
      </c>
      <c r="O249">
        <v>2001</v>
      </c>
      <c r="S249" s="10">
        <f>GraphListeria!$B$43*Listeria!I249+GraphListeria!$B$44</f>
        <v>-0.84478245022913789</v>
      </c>
      <c r="U249" s="10">
        <f>GraphListeria!$H$43*Listeria!I249+GraphListeria!$H$44</f>
        <v>-0.90747980270122497</v>
      </c>
    </row>
    <row r="250" spans="1:21" x14ac:dyDescent="0.2">
      <c r="A250" s="1" t="s">
        <v>1440</v>
      </c>
      <c r="B250" s="1" t="s">
        <v>1443</v>
      </c>
      <c r="C250" t="s">
        <v>427</v>
      </c>
      <c r="D250" s="1" t="s">
        <v>42</v>
      </c>
      <c r="E250" s="1" t="s">
        <v>1240</v>
      </c>
      <c r="F250" s="1" t="s">
        <v>6</v>
      </c>
      <c r="G250" s="1"/>
      <c r="I250" s="4">
        <v>68.900000000000006</v>
      </c>
      <c r="J250" s="11">
        <v>0.14000000000000001</v>
      </c>
      <c r="K250" s="4">
        <v>7.3</v>
      </c>
      <c r="L250" s="12">
        <f t="shared" si="4"/>
        <v>-0.85387196432176193</v>
      </c>
      <c r="M250" s="11">
        <f>GraphListeria!$B$10-(Listeria!I250-GraphListeria!$B$6)/GraphListeria!$B$5</f>
        <v>-0.90747980270122541</v>
      </c>
      <c r="N250" s="1" t="s">
        <v>490</v>
      </c>
      <c r="O250">
        <v>2001</v>
      </c>
      <c r="S250" s="10">
        <f>GraphListeria!$B$43*Listeria!I250+GraphListeria!$B$44</f>
        <v>-0.84478245022913789</v>
      </c>
      <c r="U250" s="10">
        <f>GraphListeria!$H$43*Listeria!I250+GraphListeria!$H$44</f>
        <v>-0.90747980270122497</v>
      </c>
    </row>
    <row r="251" spans="1:21" x14ac:dyDescent="0.2">
      <c r="A251" s="1" t="s">
        <v>1440</v>
      </c>
      <c r="B251" s="1" t="s">
        <v>1443</v>
      </c>
      <c r="C251" t="s">
        <v>427</v>
      </c>
      <c r="D251" s="1" t="s">
        <v>42</v>
      </c>
      <c r="E251" s="1" t="s">
        <v>1240</v>
      </c>
      <c r="F251" s="1" t="s">
        <v>6</v>
      </c>
      <c r="G251" s="1"/>
      <c r="I251" s="4">
        <v>57.9</v>
      </c>
      <c r="J251" s="11">
        <v>7.16</v>
      </c>
      <c r="K251" s="4">
        <v>5.6</v>
      </c>
      <c r="L251" s="12">
        <f t="shared" si="4"/>
        <v>0.8549130223078556</v>
      </c>
      <c r="M251" s="11">
        <f>GraphListeria!$B$10-(Listeria!I251-GraphListeria!$B$6)/GraphListeria!$B$5</f>
        <v>0.65441300663104318</v>
      </c>
      <c r="N251" s="1" t="s">
        <v>490</v>
      </c>
      <c r="O251">
        <v>2001</v>
      </c>
      <c r="P251" t="s">
        <v>664</v>
      </c>
      <c r="S251" s="10">
        <f>GraphListeria!$B$43*Listeria!I251+GraphListeria!$B$44</f>
        <v>0.67405076679890819</v>
      </c>
      <c r="U251" s="10">
        <f>GraphListeria!$H$43*Listeria!I251+GraphListeria!$H$44</f>
        <v>0.65441300663104229</v>
      </c>
    </row>
    <row r="252" spans="1:21" x14ac:dyDescent="0.2">
      <c r="A252" s="1" t="s">
        <v>1440</v>
      </c>
      <c r="B252" s="1" t="s">
        <v>1443</v>
      </c>
      <c r="C252" t="s">
        <v>427</v>
      </c>
      <c r="D252" s="1" t="s">
        <v>42</v>
      </c>
      <c r="E252" s="1" t="s">
        <v>1240</v>
      </c>
      <c r="F252" s="1" t="s">
        <v>6</v>
      </c>
      <c r="G252" s="1"/>
      <c r="I252" s="4">
        <v>62.75</v>
      </c>
      <c r="J252" s="11">
        <v>0.92</v>
      </c>
      <c r="K252" s="4">
        <v>5.6</v>
      </c>
      <c r="L252" s="12">
        <f t="shared" si="4"/>
        <v>-3.6212172654444715E-2</v>
      </c>
      <c r="M252" s="11">
        <f>GraphListeria!$B$10-(Listeria!I252-GraphListeria!$B$6)/GraphListeria!$B$5</f>
        <v>-3.4239732029093251E-2</v>
      </c>
      <c r="N252" s="1" t="s">
        <v>490</v>
      </c>
      <c r="O252">
        <v>2001</v>
      </c>
      <c r="P252" t="s">
        <v>664</v>
      </c>
      <c r="S252" s="10">
        <f>GraphListeria!$B$43*Listeria!I252+GraphListeria!$B$44</f>
        <v>4.3833938365427372E-3</v>
      </c>
      <c r="U252" s="10">
        <f>GraphListeria!$H$43*Listeria!I252+GraphListeria!$H$44</f>
        <v>-3.4239732029092806E-2</v>
      </c>
    </row>
    <row r="253" spans="1:21" x14ac:dyDescent="0.2">
      <c r="A253" s="1" t="s">
        <v>1440</v>
      </c>
      <c r="B253" s="1" t="s">
        <v>1443</v>
      </c>
      <c r="C253" t="s">
        <v>427</v>
      </c>
      <c r="D253" s="1" t="s">
        <v>42</v>
      </c>
      <c r="E253" s="1" t="s">
        <v>1240</v>
      </c>
      <c r="F253" s="1" t="s">
        <v>6</v>
      </c>
      <c r="G253" s="1"/>
      <c r="I253" s="4">
        <v>66.099999999999994</v>
      </c>
      <c r="J253" s="11">
        <v>0.28000000000000003</v>
      </c>
      <c r="K253" s="4">
        <v>5.6</v>
      </c>
      <c r="L253" s="12">
        <f t="shared" si="4"/>
        <v>-0.55284196865778079</v>
      </c>
      <c r="M253" s="11">
        <f>GraphListeria!$B$10-(Listeria!I253-GraphListeria!$B$6)/GraphListeria!$B$5</f>
        <v>-0.50990708759846481</v>
      </c>
      <c r="N253" s="1" t="s">
        <v>490</v>
      </c>
      <c r="O253">
        <v>2001</v>
      </c>
      <c r="P253" t="s">
        <v>664</v>
      </c>
      <c r="S253" s="10">
        <f>GraphListeria!$B$43*Listeria!I253+GraphListeria!$B$44</f>
        <v>-0.45817035862199873</v>
      </c>
      <c r="U253" s="10">
        <f>GraphListeria!$H$43*Listeria!I253+GraphListeria!$H$44</f>
        <v>-0.50990708759846548</v>
      </c>
    </row>
    <row r="254" spans="1:21" x14ac:dyDescent="0.2">
      <c r="A254" s="1" t="s">
        <v>1440</v>
      </c>
      <c r="B254" s="1" t="s">
        <v>1443</v>
      </c>
      <c r="C254" t="s">
        <v>427</v>
      </c>
      <c r="D254" s="1" t="s">
        <v>42</v>
      </c>
      <c r="E254" s="1" t="s">
        <v>1240</v>
      </c>
      <c r="F254" s="1" t="s">
        <v>6</v>
      </c>
      <c r="G254" s="1"/>
      <c r="I254" s="4">
        <v>66.099999999999994</v>
      </c>
      <c r="J254" s="11">
        <v>0.3</v>
      </c>
      <c r="K254" s="4">
        <v>5.6</v>
      </c>
      <c r="L254" s="12">
        <f t="shared" si="4"/>
        <v>-0.52287874528033762</v>
      </c>
      <c r="M254" s="11">
        <f>GraphListeria!$B$10-(Listeria!I254-GraphListeria!$B$6)/GraphListeria!$B$5</f>
        <v>-0.50990708759846481</v>
      </c>
      <c r="N254" s="1" t="s">
        <v>490</v>
      </c>
      <c r="O254">
        <v>2001</v>
      </c>
      <c r="P254" t="s">
        <v>664</v>
      </c>
      <c r="S254" s="10">
        <f>GraphListeria!$B$43*Listeria!I254+GraphListeria!$B$44</f>
        <v>-0.45817035862199873</v>
      </c>
      <c r="U254" s="10">
        <f>GraphListeria!$H$43*Listeria!I254+GraphListeria!$H$44</f>
        <v>-0.50990708759846548</v>
      </c>
    </row>
    <row r="255" spans="1:21" x14ac:dyDescent="0.2">
      <c r="A255" s="1" t="s">
        <v>1440</v>
      </c>
      <c r="B255" s="1" t="s">
        <v>1443</v>
      </c>
      <c r="C255" t="s">
        <v>427</v>
      </c>
      <c r="D255" s="1" t="s">
        <v>42</v>
      </c>
      <c r="E255" s="1" t="s">
        <v>1240</v>
      </c>
      <c r="F255" s="1" t="s">
        <v>6</v>
      </c>
      <c r="G255" s="1"/>
      <c r="I255" s="4">
        <v>68.900000000000006</v>
      </c>
      <c r="J255" s="11">
        <v>6.5000000000000002E-2</v>
      </c>
      <c r="K255" s="4">
        <v>5.6</v>
      </c>
      <c r="L255" s="12">
        <f t="shared" si="4"/>
        <v>-1.1870866433571443</v>
      </c>
      <c r="M255" s="11">
        <f>GraphListeria!$B$10-(Listeria!I255-GraphListeria!$B$6)/GraphListeria!$B$5</f>
        <v>-0.90747980270122541</v>
      </c>
      <c r="N255" s="1" t="s">
        <v>490</v>
      </c>
      <c r="O255">
        <v>2001</v>
      </c>
      <c r="P255" t="s">
        <v>664</v>
      </c>
      <c r="S255" s="10">
        <f>GraphListeria!$B$43*Listeria!I255+GraphListeria!$B$44</f>
        <v>-0.84478245022913789</v>
      </c>
      <c r="U255" s="10">
        <f>GraphListeria!$H$43*Listeria!I255+GraphListeria!$H$44</f>
        <v>-0.90747980270122497</v>
      </c>
    </row>
    <row r="256" spans="1:21" x14ac:dyDescent="0.2">
      <c r="A256" s="1" t="s">
        <v>1440</v>
      </c>
      <c r="B256" s="1" t="s">
        <v>1443</v>
      </c>
      <c r="C256" t="s">
        <v>427</v>
      </c>
      <c r="D256" s="1" t="s">
        <v>42</v>
      </c>
      <c r="E256" s="1" t="s">
        <v>1240</v>
      </c>
      <c r="F256" s="1" t="s">
        <v>6</v>
      </c>
      <c r="G256" s="1"/>
      <c r="I256" s="4">
        <v>68.900000000000006</v>
      </c>
      <c r="J256" s="11">
        <v>0.15</v>
      </c>
      <c r="K256" s="4">
        <v>5.6</v>
      </c>
      <c r="L256" s="12">
        <f t="shared" si="4"/>
        <v>-0.82390874094431876</v>
      </c>
      <c r="M256" s="11">
        <f>GraphListeria!$B$10-(Listeria!I256-GraphListeria!$B$6)/GraphListeria!$B$5</f>
        <v>-0.90747980270122541</v>
      </c>
      <c r="N256" s="1" t="s">
        <v>490</v>
      </c>
      <c r="O256">
        <v>2001</v>
      </c>
      <c r="P256" t="s">
        <v>664</v>
      </c>
      <c r="S256" s="10">
        <f>GraphListeria!$B$43*Listeria!I256+GraphListeria!$B$44</f>
        <v>-0.84478245022913789</v>
      </c>
      <c r="U256" s="10">
        <f>GraphListeria!$H$43*Listeria!I256+GraphListeria!$H$44</f>
        <v>-0.90747980270122497</v>
      </c>
    </row>
    <row r="257" spans="1:21" x14ac:dyDescent="0.2">
      <c r="A257" s="1" t="s">
        <v>1440</v>
      </c>
      <c r="B257" s="1" t="s">
        <v>1443</v>
      </c>
      <c r="C257" t="s">
        <v>665</v>
      </c>
      <c r="D257" s="1" t="s">
        <v>42</v>
      </c>
      <c r="E257" s="1" t="s">
        <v>1240</v>
      </c>
      <c r="F257" s="1" t="s">
        <v>6</v>
      </c>
      <c r="G257" s="1"/>
      <c r="I257" s="4">
        <v>56</v>
      </c>
      <c r="J257" s="11">
        <v>9.6</v>
      </c>
      <c r="K257" s="4">
        <v>5</v>
      </c>
      <c r="L257" s="12">
        <f t="shared" si="4"/>
        <v>0.98227123303956843</v>
      </c>
      <c r="M257" s="11">
        <f>GraphListeria!$B$10-(Listeria!I257-GraphListeria!$B$6)/GraphListeria!$B$5</f>
        <v>0.92419449187934366</v>
      </c>
      <c r="N257" s="1" t="s">
        <v>490</v>
      </c>
      <c r="O257">
        <v>2001</v>
      </c>
      <c r="S257" s="10">
        <f>GraphListeria!$B$43*Listeria!I257+GraphListeria!$B$44</f>
        <v>0.93639468610375154</v>
      </c>
      <c r="U257" s="10">
        <f>GraphListeria!$H$43*Listeria!I257+GraphListeria!$H$44</f>
        <v>0.92419449187934344</v>
      </c>
    </row>
    <row r="258" spans="1:21" x14ac:dyDescent="0.2">
      <c r="A258" s="1" t="s">
        <v>1440</v>
      </c>
      <c r="B258" s="1" t="s">
        <v>1443</v>
      </c>
      <c r="C258" t="s">
        <v>665</v>
      </c>
      <c r="D258" s="1" t="s">
        <v>42</v>
      </c>
      <c r="E258" s="1" t="s">
        <v>1240</v>
      </c>
      <c r="F258" s="1" t="s">
        <v>6</v>
      </c>
      <c r="G258" s="1"/>
      <c r="I258" s="4">
        <v>60</v>
      </c>
      <c r="J258" s="11">
        <v>1.5</v>
      </c>
      <c r="K258" s="4">
        <v>5</v>
      </c>
      <c r="L258" s="12">
        <f t="shared" ref="L258:L339" si="5">LOG(J258)</f>
        <v>0.17609125905568124</v>
      </c>
      <c r="M258" s="11">
        <f>GraphListeria!$B$10-(Listeria!I258-GraphListeria!$B$6)/GraphListeria!$B$5</f>
        <v>0.35623347030397379</v>
      </c>
      <c r="N258" s="1" t="s">
        <v>490</v>
      </c>
      <c r="O258">
        <v>2001</v>
      </c>
      <c r="S258" s="10">
        <f>GraphListeria!$B$43*Listeria!I258+GraphListeria!$B$44</f>
        <v>0.38409169809355426</v>
      </c>
      <c r="U258" s="10">
        <f>GraphListeria!$H$43*Listeria!I258+GraphListeria!$H$44</f>
        <v>0.35623347030397312</v>
      </c>
    </row>
    <row r="259" spans="1:21" x14ac:dyDescent="0.2">
      <c r="A259" s="1" t="s">
        <v>1440</v>
      </c>
      <c r="B259" s="1" t="s">
        <v>1443</v>
      </c>
      <c r="C259" t="s">
        <v>665</v>
      </c>
      <c r="D259" s="1" t="s">
        <v>42</v>
      </c>
      <c r="E259" s="1" t="s">
        <v>1240</v>
      </c>
      <c r="F259" s="1" t="s">
        <v>6</v>
      </c>
      <c r="G259" s="1"/>
      <c r="I259" s="4">
        <v>63.15</v>
      </c>
      <c r="J259" s="11">
        <v>0.4</v>
      </c>
      <c r="K259" s="4">
        <v>5</v>
      </c>
      <c r="L259" s="12">
        <f t="shared" si="5"/>
        <v>-0.3979400086720376</v>
      </c>
      <c r="M259" s="11">
        <f>GraphListeria!$B$10-(Listeria!I259-GraphListeria!$B$6)/GraphListeria!$B$5</f>
        <v>-9.1035834186629971E-2</v>
      </c>
      <c r="N259" s="1" t="s">
        <v>490</v>
      </c>
      <c r="O259">
        <v>2001</v>
      </c>
      <c r="S259" s="10">
        <f>GraphListeria!$B$43*Listeria!I259+GraphListeria!$B$44</f>
        <v>-5.0846904964476636E-2</v>
      </c>
      <c r="U259" s="10">
        <f>GraphListeria!$H$43*Listeria!I259+GraphListeria!$H$44</f>
        <v>-9.1035834186630638E-2</v>
      </c>
    </row>
    <row r="260" spans="1:21" x14ac:dyDescent="0.2">
      <c r="A260" s="1" t="s">
        <v>1440</v>
      </c>
      <c r="B260" s="1" t="s">
        <v>1443</v>
      </c>
      <c r="C260" t="s">
        <v>666</v>
      </c>
      <c r="D260" s="1" t="s">
        <v>42</v>
      </c>
      <c r="E260" s="1" t="s">
        <v>1240</v>
      </c>
      <c r="F260" s="1" t="s">
        <v>6</v>
      </c>
      <c r="G260" s="1"/>
      <c r="I260" s="4">
        <v>56</v>
      </c>
      <c r="J260" s="11">
        <v>10.5</v>
      </c>
      <c r="K260" s="4">
        <v>5</v>
      </c>
      <c r="L260" s="12">
        <f t="shared" si="5"/>
        <v>1.0211892990699381</v>
      </c>
      <c r="M260" s="11">
        <f>GraphListeria!$B$10-(Listeria!I260-GraphListeria!$B$6)/GraphListeria!$B$5</f>
        <v>0.92419449187934366</v>
      </c>
      <c r="N260" s="1" t="s">
        <v>490</v>
      </c>
      <c r="O260">
        <v>2001</v>
      </c>
      <c r="S260" s="10">
        <f>GraphListeria!$B$43*Listeria!I260+GraphListeria!$B$44</f>
        <v>0.93639468610375154</v>
      </c>
      <c r="U260" s="10">
        <f>GraphListeria!$H$43*Listeria!I260+GraphListeria!$H$44</f>
        <v>0.92419449187934344</v>
      </c>
    </row>
    <row r="261" spans="1:21" x14ac:dyDescent="0.2">
      <c r="A261" s="1" t="s">
        <v>1440</v>
      </c>
      <c r="B261" s="1" t="s">
        <v>1443</v>
      </c>
      <c r="C261" t="s">
        <v>666</v>
      </c>
      <c r="D261" s="1" t="s">
        <v>42</v>
      </c>
      <c r="E261" s="1" t="s">
        <v>1240</v>
      </c>
      <c r="F261" s="1" t="s">
        <v>6</v>
      </c>
      <c r="G261" s="1"/>
      <c r="I261" s="4">
        <v>60</v>
      </c>
      <c r="J261" s="11">
        <v>1.7</v>
      </c>
      <c r="K261" s="4">
        <v>5</v>
      </c>
      <c r="L261" s="12">
        <f t="shared" si="5"/>
        <v>0.23044892137827391</v>
      </c>
      <c r="M261" s="11">
        <f>GraphListeria!$B$10-(Listeria!I261-GraphListeria!$B$6)/GraphListeria!$B$5</f>
        <v>0.35623347030397379</v>
      </c>
      <c r="N261" s="1" t="s">
        <v>490</v>
      </c>
      <c r="O261">
        <v>2001</v>
      </c>
      <c r="S261" s="10">
        <f>GraphListeria!$B$43*Listeria!I261+GraphListeria!$B$44</f>
        <v>0.38409169809355426</v>
      </c>
      <c r="U261" s="10">
        <f>GraphListeria!$H$43*Listeria!I261+GraphListeria!$H$44</f>
        <v>0.35623347030397312</v>
      </c>
    </row>
    <row r="262" spans="1:21" x14ac:dyDescent="0.2">
      <c r="A262" s="1" t="s">
        <v>1440</v>
      </c>
      <c r="B262" s="1" t="s">
        <v>1443</v>
      </c>
      <c r="C262" t="s">
        <v>666</v>
      </c>
      <c r="D262" s="1" t="s">
        <v>42</v>
      </c>
      <c r="E262" s="1" t="s">
        <v>1240</v>
      </c>
      <c r="F262" s="1" t="s">
        <v>6</v>
      </c>
      <c r="G262" s="1"/>
      <c r="I262" s="4">
        <v>63.15</v>
      </c>
      <c r="J262" s="11">
        <v>0.4</v>
      </c>
      <c r="K262" s="4">
        <v>5</v>
      </c>
      <c r="L262" s="12">
        <f t="shared" si="5"/>
        <v>-0.3979400086720376</v>
      </c>
      <c r="M262" s="11">
        <f>GraphListeria!$B$10-(Listeria!I262-GraphListeria!$B$6)/GraphListeria!$B$5</f>
        <v>-9.1035834186629971E-2</v>
      </c>
      <c r="N262" s="1" t="s">
        <v>490</v>
      </c>
      <c r="O262">
        <v>2001</v>
      </c>
      <c r="S262" s="10">
        <f>GraphListeria!$B$43*Listeria!I262+GraphListeria!$B$44</f>
        <v>-5.0846904964476636E-2</v>
      </c>
      <c r="U262" s="10">
        <f>GraphListeria!$H$43*Listeria!I262+GraphListeria!$H$44</f>
        <v>-9.1035834186630638E-2</v>
      </c>
    </row>
    <row r="263" spans="1:21" x14ac:dyDescent="0.2">
      <c r="A263" s="1" t="s">
        <v>1440</v>
      </c>
      <c r="B263" s="1" t="s">
        <v>1443</v>
      </c>
      <c r="C263" t="s">
        <v>667</v>
      </c>
      <c r="D263" s="1" t="s">
        <v>42</v>
      </c>
      <c r="E263" s="1" t="s">
        <v>1240</v>
      </c>
      <c r="F263" s="1" t="s">
        <v>6</v>
      </c>
      <c r="G263" s="1"/>
      <c r="I263" s="4">
        <v>56</v>
      </c>
      <c r="J263" s="11">
        <v>10.1</v>
      </c>
      <c r="K263" s="4">
        <v>5</v>
      </c>
      <c r="L263" s="12">
        <f t="shared" si="5"/>
        <v>1.0043213737826426</v>
      </c>
      <c r="M263" s="11">
        <f>GraphListeria!$B$10-(Listeria!I263-GraphListeria!$B$6)/GraphListeria!$B$5</f>
        <v>0.92419449187934366</v>
      </c>
      <c r="N263" s="1" t="s">
        <v>490</v>
      </c>
      <c r="O263">
        <v>2001</v>
      </c>
      <c r="S263" s="10">
        <f>GraphListeria!$B$43*Listeria!I263+GraphListeria!$B$44</f>
        <v>0.93639468610375154</v>
      </c>
      <c r="U263" s="10">
        <f>GraphListeria!$H$43*Listeria!I263+GraphListeria!$H$44</f>
        <v>0.92419449187934344</v>
      </c>
    </row>
    <row r="264" spans="1:21" x14ac:dyDescent="0.2">
      <c r="A264" s="1" t="s">
        <v>1440</v>
      </c>
      <c r="B264" s="1" t="s">
        <v>1443</v>
      </c>
      <c r="C264" t="s">
        <v>667</v>
      </c>
      <c r="D264" s="1" t="s">
        <v>42</v>
      </c>
      <c r="E264" s="1" t="s">
        <v>1240</v>
      </c>
      <c r="F264" s="1" t="s">
        <v>6</v>
      </c>
      <c r="G264" s="1"/>
      <c r="I264" s="4">
        <v>60</v>
      </c>
      <c r="J264" s="11">
        <v>1.5</v>
      </c>
      <c r="K264" s="4">
        <v>5</v>
      </c>
      <c r="L264" s="12">
        <f t="shared" si="5"/>
        <v>0.17609125905568124</v>
      </c>
      <c r="M264" s="11">
        <f>GraphListeria!$B$10-(Listeria!I264-GraphListeria!$B$6)/GraphListeria!$B$5</f>
        <v>0.35623347030397379</v>
      </c>
      <c r="N264" s="1" t="s">
        <v>490</v>
      </c>
      <c r="O264">
        <v>2001</v>
      </c>
      <c r="S264" s="10">
        <f>GraphListeria!$B$43*Listeria!I264+GraphListeria!$B$44</f>
        <v>0.38409169809355426</v>
      </c>
      <c r="U264" s="10">
        <f>GraphListeria!$H$43*Listeria!I264+GraphListeria!$H$44</f>
        <v>0.35623347030397312</v>
      </c>
    </row>
    <row r="265" spans="1:21" x14ac:dyDescent="0.2">
      <c r="A265" s="1" t="s">
        <v>1440</v>
      </c>
      <c r="B265" s="1" t="s">
        <v>1443</v>
      </c>
      <c r="C265" t="s">
        <v>667</v>
      </c>
      <c r="D265" s="1" t="s">
        <v>42</v>
      </c>
      <c r="E265" s="1" t="s">
        <v>1240</v>
      </c>
      <c r="F265" s="1" t="s">
        <v>6</v>
      </c>
      <c r="G265" s="1"/>
      <c r="I265" s="4">
        <v>63.15</v>
      </c>
      <c r="J265" s="11">
        <v>0.4</v>
      </c>
      <c r="K265" s="4">
        <v>5</v>
      </c>
      <c r="L265" s="12">
        <f t="shared" si="5"/>
        <v>-0.3979400086720376</v>
      </c>
      <c r="M265" s="11">
        <f>GraphListeria!$B$10-(Listeria!I265-GraphListeria!$B$6)/GraphListeria!$B$5</f>
        <v>-9.1035834186629971E-2</v>
      </c>
      <c r="N265" s="1" t="s">
        <v>490</v>
      </c>
      <c r="O265">
        <v>2001</v>
      </c>
      <c r="S265" s="10">
        <f>GraphListeria!$B$43*Listeria!I265+GraphListeria!$B$44</f>
        <v>-5.0846904964476636E-2</v>
      </c>
      <c r="U265" s="10">
        <f>GraphListeria!$H$43*Listeria!I265+GraphListeria!$H$44</f>
        <v>-9.1035834186630638E-2</v>
      </c>
    </row>
    <row r="266" spans="1:21" x14ac:dyDescent="0.2">
      <c r="A266" s="1" t="s">
        <v>1440</v>
      </c>
      <c r="B266" s="1" t="s">
        <v>1443</v>
      </c>
      <c r="C266" t="s">
        <v>668</v>
      </c>
      <c r="D266" s="1" t="s">
        <v>42</v>
      </c>
      <c r="E266" s="1" t="s">
        <v>1240</v>
      </c>
      <c r="F266" s="1" t="s">
        <v>6</v>
      </c>
      <c r="G266" s="1"/>
      <c r="I266" s="4">
        <v>56</v>
      </c>
      <c r="J266" s="11">
        <v>11.4</v>
      </c>
      <c r="K266" s="4">
        <v>5.0999999999999996</v>
      </c>
      <c r="L266" s="12">
        <f t="shared" si="5"/>
        <v>1.0569048513364727</v>
      </c>
      <c r="M266" s="11">
        <f>GraphListeria!$B$10-(Listeria!I266-GraphListeria!$B$6)/GraphListeria!$B$5</f>
        <v>0.92419449187934366</v>
      </c>
      <c r="N266" s="1" t="s">
        <v>490</v>
      </c>
      <c r="O266">
        <v>2001</v>
      </c>
      <c r="S266" s="10">
        <f>GraphListeria!$B$43*Listeria!I266+GraphListeria!$B$44</f>
        <v>0.93639468610375154</v>
      </c>
      <c r="U266" s="10">
        <f>GraphListeria!$H$43*Listeria!I266+GraphListeria!$H$44</f>
        <v>0.92419449187934344</v>
      </c>
    </row>
    <row r="267" spans="1:21" x14ac:dyDescent="0.2">
      <c r="A267" s="1" t="s">
        <v>1440</v>
      </c>
      <c r="B267" s="1" t="s">
        <v>1443</v>
      </c>
      <c r="C267" t="s">
        <v>668</v>
      </c>
      <c r="D267" s="1" t="s">
        <v>42</v>
      </c>
      <c r="E267" s="1" t="s">
        <v>1240</v>
      </c>
      <c r="F267" s="1" t="s">
        <v>6</v>
      </c>
      <c r="G267" s="1"/>
      <c r="I267" s="4">
        <v>60</v>
      </c>
      <c r="J267" s="11">
        <v>1.8</v>
      </c>
      <c r="K267" s="4">
        <v>5.0999999999999996</v>
      </c>
      <c r="L267" s="12">
        <f t="shared" si="5"/>
        <v>0.25527250510330607</v>
      </c>
      <c r="M267" s="11">
        <f>GraphListeria!$B$10-(Listeria!I267-GraphListeria!$B$6)/GraphListeria!$B$5</f>
        <v>0.35623347030397379</v>
      </c>
      <c r="N267" s="1" t="s">
        <v>490</v>
      </c>
      <c r="O267">
        <v>2001</v>
      </c>
      <c r="S267" s="10">
        <f>GraphListeria!$B$43*Listeria!I267+GraphListeria!$B$44</f>
        <v>0.38409169809355426</v>
      </c>
      <c r="U267" s="10">
        <f>GraphListeria!$H$43*Listeria!I267+GraphListeria!$H$44</f>
        <v>0.35623347030397312</v>
      </c>
    </row>
    <row r="268" spans="1:21" x14ac:dyDescent="0.2">
      <c r="A268" s="1" t="s">
        <v>1440</v>
      </c>
      <c r="B268" s="1" t="s">
        <v>1443</v>
      </c>
      <c r="C268" t="s">
        <v>668</v>
      </c>
      <c r="D268" s="1" t="s">
        <v>42</v>
      </c>
      <c r="E268" s="1" t="s">
        <v>1240</v>
      </c>
      <c r="F268" s="1" t="s">
        <v>6</v>
      </c>
      <c r="G268" s="1"/>
      <c r="I268" s="4">
        <v>63.15</v>
      </c>
      <c r="J268" s="11">
        <v>0.5</v>
      </c>
      <c r="K268" s="4">
        <v>5.0999999999999996</v>
      </c>
      <c r="L268" s="12">
        <f t="shared" si="5"/>
        <v>-0.3010299956639812</v>
      </c>
      <c r="M268" s="11">
        <f>GraphListeria!$B$10-(Listeria!I268-GraphListeria!$B$6)/GraphListeria!$B$5</f>
        <v>-9.1035834186629971E-2</v>
      </c>
      <c r="N268" s="1" t="s">
        <v>490</v>
      </c>
      <c r="O268">
        <v>2001</v>
      </c>
      <c r="S268" s="10">
        <f>GraphListeria!$B$43*Listeria!I268+GraphListeria!$B$44</f>
        <v>-5.0846904964476636E-2</v>
      </c>
      <c r="U268" s="10">
        <f>GraphListeria!$H$43*Listeria!I268+GraphListeria!$H$44</f>
        <v>-9.1035834186630638E-2</v>
      </c>
    </row>
    <row r="269" spans="1:21" x14ac:dyDescent="0.2">
      <c r="A269" s="1" t="s">
        <v>1440</v>
      </c>
      <c r="B269" s="1" t="s">
        <v>1443</v>
      </c>
      <c r="C269" s="1"/>
      <c r="D269" s="1" t="s">
        <v>42</v>
      </c>
      <c r="E269" s="1" t="s">
        <v>1240</v>
      </c>
      <c r="F269" s="1" t="s">
        <v>6</v>
      </c>
      <c r="G269" s="1"/>
      <c r="H269" s="5"/>
      <c r="I269" s="5">
        <v>52.2</v>
      </c>
      <c r="J269" s="9">
        <v>24.08</v>
      </c>
      <c r="K269" s="5">
        <v>6.5</v>
      </c>
      <c r="L269" s="12">
        <f t="shared" si="5"/>
        <v>1.3816564825857869</v>
      </c>
      <c r="M269" s="11">
        <f>GraphListeria!$B$10-(Listeria!I269-GraphListeria!$B$6)/GraphListeria!$B$5</f>
        <v>1.4637574623759448</v>
      </c>
      <c r="N269" s="2" t="s">
        <v>1226</v>
      </c>
      <c r="O269">
        <v>1996</v>
      </c>
      <c r="S269" s="10">
        <f>GraphListeria!$B$43*Listeria!I269+GraphListeria!$B$44</f>
        <v>1.46108252471344</v>
      </c>
      <c r="U269" s="10">
        <f>GraphListeria!$H$43*Listeria!I269+GraphListeria!$H$44</f>
        <v>1.4637574623759448</v>
      </c>
    </row>
    <row r="270" spans="1:21" x14ac:dyDescent="0.2">
      <c r="A270" s="1" t="s">
        <v>1440</v>
      </c>
      <c r="B270" s="1" t="s">
        <v>1443</v>
      </c>
      <c r="D270" s="1" t="s">
        <v>42</v>
      </c>
      <c r="E270" s="1" t="s">
        <v>1240</v>
      </c>
      <c r="F270" s="1" t="s">
        <v>6</v>
      </c>
      <c r="G270" s="1"/>
      <c r="I270" s="4">
        <v>57.8</v>
      </c>
      <c r="J270" s="11">
        <v>4.26</v>
      </c>
      <c r="K270" s="5">
        <v>6.5</v>
      </c>
      <c r="L270" s="12">
        <f t="shared" si="5"/>
        <v>0.62940959910271888</v>
      </c>
      <c r="M270" s="11">
        <f>GraphListeria!$B$10-(Listeria!I270-GraphListeria!$B$6)/GraphListeria!$B$5</f>
        <v>0.66861203217042764</v>
      </c>
      <c r="N270" s="2" t="s">
        <v>1226</v>
      </c>
      <c r="O270">
        <v>1996</v>
      </c>
      <c r="S270" s="10">
        <f>GraphListeria!$B$43*Listeria!I270+GraphListeria!$B$44</f>
        <v>0.68785834149916258</v>
      </c>
      <c r="U270" s="10">
        <f>GraphListeria!$H$43*Listeria!I270+GraphListeria!$H$44</f>
        <v>0.66861203217042764</v>
      </c>
    </row>
    <row r="271" spans="1:21" x14ac:dyDescent="0.2">
      <c r="A271" s="1" t="s">
        <v>1440</v>
      </c>
      <c r="B271" s="1" t="s">
        <v>1443</v>
      </c>
      <c r="D271" s="1" t="s">
        <v>42</v>
      </c>
      <c r="E271" s="1" t="s">
        <v>1240</v>
      </c>
      <c r="F271" s="1" t="s">
        <v>6</v>
      </c>
      <c r="G271" s="1"/>
      <c r="I271" s="4">
        <v>63.3</v>
      </c>
      <c r="J271" s="11">
        <f>34.9/60</f>
        <v>0.58166666666666667</v>
      </c>
      <c r="K271" s="5">
        <v>6.5</v>
      </c>
      <c r="L271" s="12">
        <f t="shared" si="5"/>
        <v>-0.23532582342446373</v>
      </c>
      <c r="M271" s="11">
        <f>GraphListeria!$B$10-(Listeria!I271-GraphListeria!$B$6)/GraphListeria!$B$5</f>
        <v>-0.11233437249570621</v>
      </c>
      <c r="N271" s="2" t="s">
        <v>1226</v>
      </c>
      <c r="O271">
        <v>1996</v>
      </c>
      <c r="S271" s="10">
        <f>GraphListeria!$B$43*Listeria!I271+GraphListeria!$B$44</f>
        <v>-7.1558267014859567E-2</v>
      </c>
      <c r="U271" s="10">
        <f>GraphListeria!$H$43*Listeria!I271+GraphListeria!$H$44</f>
        <v>-0.11233437249570599</v>
      </c>
    </row>
    <row r="272" spans="1:21" x14ac:dyDescent="0.2">
      <c r="A272" s="1" t="s">
        <v>1440</v>
      </c>
      <c r="B272" s="1" t="s">
        <v>1443</v>
      </c>
      <c r="D272" s="1" t="s">
        <v>42</v>
      </c>
      <c r="E272" s="1" t="s">
        <v>1240</v>
      </c>
      <c r="F272" s="1" t="s">
        <v>6</v>
      </c>
      <c r="G272" s="1"/>
      <c r="I272" s="4">
        <v>66.099999999999994</v>
      </c>
      <c r="J272" s="11">
        <f>9.9/60</f>
        <v>0.16500000000000001</v>
      </c>
      <c r="K272" s="5">
        <v>6.5</v>
      </c>
      <c r="L272" s="12">
        <f t="shared" si="5"/>
        <v>-0.78251605578609373</v>
      </c>
      <c r="M272" s="11">
        <f>GraphListeria!$B$10-(Listeria!I272-GraphListeria!$B$6)/GraphListeria!$B$5</f>
        <v>-0.50990708759846481</v>
      </c>
      <c r="N272" s="2" t="s">
        <v>1226</v>
      </c>
      <c r="O272">
        <v>1996</v>
      </c>
      <c r="S272" s="10">
        <f>GraphListeria!$B$43*Listeria!I272+GraphListeria!$B$44</f>
        <v>-0.45817035862199873</v>
      </c>
      <c r="U272" s="10">
        <f>GraphListeria!$H$43*Listeria!I272+GraphListeria!$H$44</f>
        <v>-0.50990708759846548</v>
      </c>
    </row>
    <row r="273" spans="1:21" x14ac:dyDescent="0.2">
      <c r="A273" s="1" t="s">
        <v>1440</v>
      </c>
      <c r="B273" s="1" t="s">
        <v>1443</v>
      </c>
      <c r="D273" s="1" t="s">
        <v>42</v>
      </c>
      <c r="E273" s="1" t="s">
        <v>1240</v>
      </c>
      <c r="F273" s="1" t="s">
        <v>6</v>
      </c>
      <c r="G273" s="1"/>
      <c r="I273" s="4">
        <v>68.900000000000006</v>
      </c>
      <c r="J273" s="11">
        <f>3.2/60</f>
        <v>5.3333333333333337E-2</v>
      </c>
      <c r="K273" s="5">
        <v>6.5</v>
      </c>
      <c r="L273" s="12">
        <f t="shared" si="5"/>
        <v>-1.2730012720637376</v>
      </c>
      <c r="M273" s="11">
        <f>GraphListeria!$B$10-(Listeria!I273-GraphListeria!$B$6)/GraphListeria!$B$5</f>
        <v>-0.90747980270122541</v>
      </c>
      <c r="N273" s="2" t="s">
        <v>1226</v>
      </c>
      <c r="O273">
        <v>1996</v>
      </c>
      <c r="S273" s="10">
        <f>GraphListeria!$B$43*Listeria!I273+GraphListeria!$B$44</f>
        <v>-0.84478245022913789</v>
      </c>
      <c r="U273" s="10">
        <f>GraphListeria!$H$43*Listeria!I273+GraphListeria!$H$44</f>
        <v>-0.90747980270122497</v>
      </c>
    </row>
    <row r="274" spans="1:21" x14ac:dyDescent="0.2">
      <c r="A274" s="1" t="s">
        <v>1440</v>
      </c>
      <c r="B274" s="1" t="s">
        <v>1443</v>
      </c>
      <c r="D274" s="1" t="s">
        <v>42</v>
      </c>
      <c r="E274" s="1" t="s">
        <v>1240</v>
      </c>
      <c r="F274" s="1" t="s">
        <v>6</v>
      </c>
      <c r="G274" s="1"/>
      <c r="I274" s="4">
        <v>71.7</v>
      </c>
      <c r="J274" s="11">
        <f>2/60</f>
        <v>3.3333333333333333E-2</v>
      </c>
      <c r="K274" s="5">
        <v>6.5</v>
      </c>
      <c r="L274" s="12">
        <f t="shared" si="5"/>
        <v>-1.4771212547196624</v>
      </c>
      <c r="M274" s="11">
        <f>GraphListeria!$B$10-(Listeria!I274-GraphListeria!$B$6)/GraphListeria!$B$5</f>
        <v>-1.305052517803984</v>
      </c>
      <c r="N274" s="2" t="s">
        <v>1226</v>
      </c>
      <c r="O274">
        <v>1996</v>
      </c>
      <c r="S274" s="10">
        <f>GraphListeria!$B$43*Listeria!I274+GraphListeria!$B$44</f>
        <v>-1.2313945418362771</v>
      </c>
      <c r="U274" s="10">
        <f>GraphListeria!$H$43*Listeria!I274+GraphListeria!$H$44</f>
        <v>-1.3050525178039845</v>
      </c>
    </row>
    <row r="275" spans="1:21" x14ac:dyDescent="0.2">
      <c r="A275" s="1" t="s">
        <v>1440</v>
      </c>
      <c r="B275" s="1" t="s">
        <v>1443</v>
      </c>
      <c r="D275" s="1" t="s">
        <v>42</v>
      </c>
      <c r="E275" s="1" t="s">
        <v>1240</v>
      </c>
      <c r="F275" s="1" t="s">
        <v>6</v>
      </c>
      <c r="G275" s="1"/>
      <c r="I275" s="4">
        <v>71.7</v>
      </c>
      <c r="J275" s="11">
        <f>5/60</f>
        <v>8.3333333333333329E-2</v>
      </c>
      <c r="L275" s="12">
        <f t="shared" si="5"/>
        <v>-1.0791812460476249</v>
      </c>
      <c r="M275" s="11">
        <f>GraphListeria!$B$10-(Listeria!I275-GraphListeria!$B$6)/GraphListeria!$B$5</f>
        <v>-1.305052517803984</v>
      </c>
      <c r="N275" s="2" t="s">
        <v>1226</v>
      </c>
      <c r="O275">
        <v>1996</v>
      </c>
      <c r="S275" s="10">
        <f>GraphListeria!$B$43*Listeria!I275+GraphListeria!$B$44</f>
        <v>-1.2313945418362771</v>
      </c>
      <c r="U275" s="10">
        <f>GraphListeria!$H$43*Listeria!I275+GraphListeria!$H$44</f>
        <v>-1.3050525178039845</v>
      </c>
    </row>
    <row r="276" spans="1:21" x14ac:dyDescent="0.2">
      <c r="A276" s="1" t="s">
        <v>1440</v>
      </c>
      <c r="B276" s="1" t="s">
        <v>1443</v>
      </c>
      <c r="D276" s="1" t="s">
        <v>42</v>
      </c>
      <c r="E276" s="1" t="s">
        <v>1240</v>
      </c>
      <c r="F276" s="1" t="s">
        <v>6</v>
      </c>
      <c r="G276" s="1"/>
      <c r="I276" s="4">
        <v>71.7</v>
      </c>
      <c r="J276" s="11">
        <f>3.1/60</f>
        <v>5.1666666666666666E-2</v>
      </c>
      <c r="L276" s="12">
        <f t="shared" si="5"/>
        <v>-1.286789556549371</v>
      </c>
      <c r="M276" s="11">
        <f>GraphListeria!$B$10-(Listeria!I276-GraphListeria!$B$6)/GraphListeria!$B$5</f>
        <v>-1.305052517803984</v>
      </c>
      <c r="N276" s="2" t="s">
        <v>1226</v>
      </c>
      <c r="O276">
        <v>1996</v>
      </c>
      <c r="S276" s="10">
        <f>GraphListeria!$B$43*Listeria!I276+GraphListeria!$B$44</f>
        <v>-1.2313945418362771</v>
      </c>
      <c r="U276" s="10">
        <f>GraphListeria!$H$43*Listeria!I276+GraphListeria!$H$44</f>
        <v>-1.3050525178039845</v>
      </c>
    </row>
    <row r="277" spans="1:21" x14ac:dyDescent="0.2">
      <c r="A277" s="1" t="s">
        <v>1440</v>
      </c>
      <c r="B277" s="1" t="s">
        <v>1443</v>
      </c>
      <c r="D277" s="1" t="s">
        <v>42</v>
      </c>
      <c r="E277" s="1" t="s">
        <v>1240</v>
      </c>
      <c r="F277" s="1" t="s">
        <v>6</v>
      </c>
      <c r="G277" s="1"/>
      <c r="I277" s="4">
        <v>71.7</v>
      </c>
      <c r="J277" s="11">
        <f>3/60</f>
        <v>0.05</v>
      </c>
      <c r="L277" s="12">
        <f t="shared" si="5"/>
        <v>-1.3010299956639813</v>
      </c>
      <c r="M277" s="11">
        <f>GraphListeria!$B$10-(Listeria!I277-GraphListeria!$B$6)/GraphListeria!$B$5</f>
        <v>-1.305052517803984</v>
      </c>
      <c r="N277" s="2" t="s">
        <v>1226</v>
      </c>
      <c r="O277">
        <v>1996</v>
      </c>
      <c r="S277" s="10">
        <f>GraphListeria!$B$43*Listeria!I277+GraphListeria!$B$44</f>
        <v>-1.2313945418362771</v>
      </c>
      <c r="U277" s="10">
        <f>GraphListeria!$H$43*Listeria!I277+GraphListeria!$H$44</f>
        <v>-1.3050525178039845</v>
      </c>
    </row>
    <row r="278" spans="1:21" x14ac:dyDescent="0.2">
      <c r="A278" s="1" t="s">
        <v>1440</v>
      </c>
      <c r="B278" s="1" t="s">
        <v>1443</v>
      </c>
      <c r="D278" s="1" t="s">
        <v>42</v>
      </c>
      <c r="E278" s="1" t="s">
        <v>1240</v>
      </c>
      <c r="F278" s="1" t="s">
        <v>6</v>
      </c>
      <c r="G278" s="1"/>
      <c r="I278" s="4">
        <v>71.7</v>
      </c>
      <c r="J278" s="11">
        <f>4.6/60</f>
        <v>7.6666666666666661E-2</v>
      </c>
      <c r="L278" s="12">
        <f t="shared" si="5"/>
        <v>-1.1153934187020695</v>
      </c>
      <c r="M278" s="11">
        <f>GraphListeria!$B$10-(Listeria!I278-GraphListeria!$B$6)/GraphListeria!$B$5</f>
        <v>-1.305052517803984</v>
      </c>
      <c r="N278" s="2" t="s">
        <v>1226</v>
      </c>
      <c r="O278">
        <v>1996</v>
      </c>
      <c r="S278" s="10">
        <f>GraphListeria!$B$43*Listeria!I278+GraphListeria!$B$44</f>
        <v>-1.2313945418362771</v>
      </c>
      <c r="U278" s="10">
        <f>GraphListeria!$H$43*Listeria!I278+GraphListeria!$H$44</f>
        <v>-1.3050525178039845</v>
      </c>
    </row>
    <row r="279" spans="1:21" x14ac:dyDescent="0.2">
      <c r="A279" s="1" t="s">
        <v>1440</v>
      </c>
      <c r="B279" s="1" t="s">
        <v>1443</v>
      </c>
      <c r="D279" s="1" t="s">
        <v>42</v>
      </c>
      <c r="E279" s="1" t="s">
        <v>1240</v>
      </c>
      <c r="F279" s="1" t="s">
        <v>6</v>
      </c>
      <c r="G279" s="1"/>
      <c r="I279" s="4">
        <v>74.400000000000006</v>
      </c>
      <c r="J279" s="11">
        <f>1.5/60</f>
        <v>2.5000000000000001E-2</v>
      </c>
      <c r="L279" s="12">
        <f t="shared" si="5"/>
        <v>-1.6020599913279623</v>
      </c>
      <c r="M279" s="11">
        <f>GraphListeria!$B$10-(Listeria!I279-GraphListeria!$B$6)/GraphListeria!$B$5</f>
        <v>-1.688426207367359</v>
      </c>
      <c r="N279" s="2" t="s">
        <v>1226</v>
      </c>
      <c r="O279">
        <v>1996</v>
      </c>
      <c r="S279" s="10">
        <f>GraphListeria!$B$43*Listeria!I279+GraphListeria!$B$44</f>
        <v>-1.6041990587431609</v>
      </c>
      <c r="U279" s="10">
        <f>GraphListeria!$H$43*Listeria!I279+GraphListeria!$H$44</f>
        <v>-1.6884262073673586</v>
      </c>
    </row>
    <row r="280" spans="1:21" x14ac:dyDescent="0.2">
      <c r="A280" s="1" t="s">
        <v>1440</v>
      </c>
      <c r="B280" s="1" t="s">
        <v>1443</v>
      </c>
      <c r="D280" s="1" t="s">
        <v>42</v>
      </c>
      <c r="E280" s="1" t="s">
        <v>1240</v>
      </c>
      <c r="F280" s="1" t="s">
        <v>6</v>
      </c>
      <c r="G280" s="1"/>
      <c r="I280" s="4">
        <v>74.400000000000006</v>
      </c>
      <c r="J280" s="11">
        <f>1.1/60</f>
        <v>1.8333333333333333E-2</v>
      </c>
      <c r="L280" s="12">
        <f t="shared" si="5"/>
        <v>-1.7367585652254185</v>
      </c>
      <c r="M280" s="11">
        <f>GraphListeria!$B$10-(Listeria!I280-GraphListeria!$B$6)/GraphListeria!$B$5</f>
        <v>-1.688426207367359</v>
      </c>
      <c r="N280" s="2" t="s">
        <v>1226</v>
      </c>
      <c r="O280">
        <v>1996</v>
      </c>
      <c r="S280" s="10">
        <f>GraphListeria!$B$43*Listeria!I280+GraphListeria!$B$44</f>
        <v>-1.6041990587431609</v>
      </c>
      <c r="U280" s="10">
        <f>GraphListeria!$H$43*Listeria!I280+GraphListeria!$H$44</f>
        <v>-1.6884262073673586</v>
      </c>
    </row>
    <row r="281" spans="1:21" x14ac:dyDescent="0.2">
      <c r="A281" s="1" t="s">
        <v>1440</v>
      </c>
      <c r="B281" s="1" t="s">
        <v>1443</v>
      </c>
      <c r="D281" s="1" t="s">
        <v>42</v>
      </c>
      <c r="E281" s="1" t="s">
        <v>1240</v>
      </c>
      <c r="F281" s="1"/>
      <c r="G281" s="1"/>
      <c r="I281" s="4">
        <v>71.7</v>
      </c>
      <c r="J281" s="11">
        <f>0.9/60</f>
        <v>1.5000000000000001E-2</v>
      </c>
      <c r="L281" s="12">
        <f t="shared" si="5"/>
        <v>-1.8239087409443187</v>
      </c>
      <c r="M281" s="11">
        <f>GraphListeria!$B$10-(Listeria!I281-GraphListeria!$B$6)/GraphListeria!$B$5</f>
        <v>-1.305052517803984</v>
      </c>
      <c r="N281" s="2" t="s">
        <v>313</v>
      </c>
      <c r="O281">
        <v>1990</v>
      </c>
      <c r="S281" s="10">
        <f>GraphListeria!$B$43*Listeria!I281+GraphListeria!$B$44</f>
        <v>-1.2313945418362771</v>
      </c>
      <c r="U281" s="10">
        <f>GraphListeria!$H$43*Listeria!I281+GraphListeria!$H$44</f>
        <v>-1.3050525178039845</v>
      </c>
    </row>
    <row r="282" spans="1:21" x14ac:dyDescent="0.2">
      <c r="A282" s="1" t="s">
        <v>1440</v>
      </c>
      <c r="B282" s="1" t="s">
        <v>1443</v>
      </c>
      <c r="C282" t="s">
        <v>690</v>
      </c>
      <c r="D282" s="1" t="s">
        <v>46</v>
      </c>
      <c r="E282" s="1" t="s">
        <v>692</v>
      </c>
      <c r="F282" s="1"/>
      <c r="G282" s="1"/>
      <c r="I282" s="4">
        <v>57.6</v>
      </c>
      <c r="J282" s="11">
        <v>6.18</v>
      </c>
      <c r="K282" s="4">
        <v>6.1</v>
      </c>
      <c r="L282" s="12">
        <f t="shared" si="5"/>
        <v>0.79098847508881587</v>
      </c>
      <c r="M282" s="11">
        <f>GraphListeria!$B$10-(Listeria!I282-GraphListeria!$B$6)/GraphListeria!$B$5</f>
        <v>0.69701008324919544</v>
      </c>
      <c r="N282" s="1" t="s">
        <v>490</v>
      </c>
      <c r="O282">
        <v>2001</v>
      </c>
      <c r="S282" s="10">
        <f>GraphListeria!$B$43*Listeria!I282+GraphListeria!$B$44</f>
        <v>0.71547349089967227</v>
      </c>
      <c r="U282" s="10">
        <f>GraphListeria!$H$43*Listeria!I282+GraphListeria!$H$44</f>
        <v>0.69701008324919478</v>
      </c>
    </row>
    <row r="283" spans="1:21" x14ac:dyDescent="0.2">
      <c r="A283" s="1" t="s">
        <v>1440</v>
      </c>
      <c r="B283" s="1" t="s">
        <v>1443</v>
      </c>
      <c r="C283" t="s">
        <v>690</v>
      </c>
      <c r="D283" s="1" t="s">
        <v>46</v>
      </c>
      <c r="E283" s="1" t="s">
        <v>692</v>
      </c>
      <c r="F283" s="1"/>
      <c r="G283" s="1"/>
      <c r="I283" s="4">
        <v>60</v>
      </c>
      <c r="J283" s="11">
        <v>1.95</v>
      </c>
      <c r="K283" s="4">
        <v>6.1</v>
      </c>
      <c r="L283" s="12">
        <f t="shared" si="5"/>
        <v>0.29003461136251801</v>
      </c>
      <c r="M283" s="11">
        <f>GraphListeria!$B$10-(Listeria!I283-GraphListeria!$B$6)/GraphListeria!$B$5</f>
        <v>0.35623347030397379</v>
      </c>
      <c r="N283" s="1" t="s">
        <v>490</v>
      </c>
      <c r="O283">
        <v>2001</v>
      </c>
      <c r="S283" s="10">
        <f>GraphListeria!$B$43*Listeria!I283+GraphListeria!$B$44</f>
        <v>0.38409169809355426</v>
      </c>
      <c r="U283" s="10">
        <f>GraphListeria!$H$43*Listeria!I283+GraphListeria!$H$44</f>
        <v>0.35623347030397312</v>
      </c>
    </row>
    <row r="284" spans="1:21" x14ac:dyDescent="0.2">
      <c r="A284" s="1" t="s">
        <v>1440</v>
      </c>
      <c r="B284" s="1" t="s">
        <v>1443</v>
      </c>
      <c r="C284" t="s">
        <v>690</v>
      </c>
      <c r="D284" s="1" t="s">
        <v>46</v>
      </c>
      <c r="E284" s="1" t="s">
        <v>692</v>
      </c>
      <c r="F284" s="1"/>
      <c r="G284" s="1"/>
      <c r="I284" s="4">
        <v>65.5</v>
      </c>
      <c r="J284" s="11">
        <v>0.27</v>
      </c>
      <c r="K284" s="4">
        <v>6.1</v>
      </c>
      <c r="L284" s="12">
        <f t="shared" si="5"/>
        <v>-0.56863623584101264</v>
      </c>
      <c r="M284" s="11">
        <f>GraphListeria!$B$10-(Listeria!I284-GraphListeria!$B$6)/GraphListeria!$B$5</f>
        <v>-0.42471293436216007</v>
      </c>
      <c r="N284" s="1" t="s">
        <v>490</v>
      </c>
      <c r="O284">
        <v>2001</v>
      </c>
      <c r="S284" s="10">
        <f>GraphListeria!$B$43*Listeria!I284+GraphListeria!$B$44</f>
        <v>-0.37532491042046878</v>
      </c>
      <c r="U284" s="10">
        <f>GraphListeria!$H$43*Listeria!I284+GraphListeria!$H$44</f>
        <v>-0.42471293436216051</v>
      </c>
    </row>
    <row r="285" spans="1:21" x14ac:dyDescent="0.2">
      <c r="A285" s="1" t="s">
        <v>1440</v>
      </c>
      <c r="B285" s="1" t="s">
        <v>1443</v>
      </c>
      <c r="C285" t="s">
        <v>693</v>
      </c>
      <c r="D285" s="1" t="s">
        <v>46</v>
      </c>
      <c r="E285" s="1" t="s">
        <v>692</v>
      </c>
      <c r="F285" s="1"/>
      <c r="G285" s="1"/>
      <c r="I285" s="4">
        <v>57.6</v>
      </c>
      <c r="J285" s="11">
        <v>7.28</v>
      </c>
      <c r="K285" s="4">
        <v>5.7</v>
      </c>
      <c r="L285" s="12">
        <f t="shared" si="5"/>
        <v>0.86213137931303718</v>
      </c>
      <c r="M285" s="11">
        <f>GraphListeria!$B$10-(Listeria!I285-GraphListeria!$B$6)/GraphListeria!$B$5</f>
        <v>0.69701008324919544</v>
      </c>
      <c r="N285" s="1" t="s">
        <v>490</v>
      </c>
      <c r="O285">
        <v>2001</v>
      </c>
      <c r="S285" s="10">
        <f>GraphListeria!$B$43*Listeria!I285+GraphListeria!$B$44</f>
        <v>0.71547349089967227</v>
      </c>
      <c r="U285" s="10">
        <f>GraphListeria!$H$43*Listeria!I285+GraphListeria!$H$44</f>
        <v>0.69701008324919478</v>
      </c>
    </row>
    <row r="286" spans="1:21" x14ac:dyDescent="0.2">
      <c r="A286" s="1" t="s">
        <v>1440</v>
      </c>
      <c r="B286" s="1" t="s">
        <v>1443</v>
      </c>
      <c r="C286" t="s">
        <v>693</v>
      </c>
      <c r="D286" s="1" t="s">
        <v>46</v>
      </c>
      <c r="E286" s="1" t="s">
        <v>692</v>
      </c>
      <c r="F286" s="1"/>
      <c r="G286" s="1"/>
      <c r="I286" s="4">
        <v>60</v>
      </c>
      <c r="J286" s="11">
        <v>1.98</v>
      </c>
      <c r="K286" s="4">
        <v>5.7</v>
      </c>
      <c r="L286" s="12">
        <f t="shared" si="5"/>
        <v>0.2966651902615311</v>
      </c>
      <c r="M286" s="11">
        <f>GraphListeria!$B$10-(Listeria!I286-GraphListeria!$B$6)/GraphListeria!$B$5</f>
        <v>0.35623347030397379</v>
      </c>
      <c r="N286" s="1" t="s">
        <v>490</v>
      </c>
      <c r="O286">
        <v>2001</v>
      </c>
      <c r="S286" s="10">
        <f>GraphListeria!$B$43*Listeria!I286+GraphListeria!$B$44</f>
        <v>0.38409169809355426</v>
      </c>
      <c r="U286" s="10">
        <f>GraphListeria!$H$43*Listeria!I286+GraphListeria!$H$44</f>
        <v>0.35623347030397312</v>
      </c>
    </row>
    <row r="287" spans="1:21" x14ac:dyDescent="0.2">
      <c r="A287" s="1" t="s">
        <v>1440</v>
      </c>
      <c r="B287" s="1" t="s">
        <v>1443</v>
      </c>
      <c r="C287" t="s">
        <v>693</v>
      </c>
      <c r="D287" s="1" t="s">
        <v>46</v>
      </c>
      <c r="E287" s="1" t="s">
        <v>692</v>
      </c>
      <c r="F287" s="1"/>
      <c r="G287" s="1"/>
      <c r="I287" s="4">
        <v>62</v>
      </c>
      <c r="J287" s="11">
        <v>0.87</v>
      </c>
      <c r="K287" s="4">
        <v>5.7</v>
      </c>
      <c r="L287" s="12">
        <f t="shared" si="5"/>
        <v>-6.0480747381381476E-2</v>
      </c>
      <c r="M287" s="11">
        <f>GraphListeria!$B$10-(Listeria!I287-GraphListeria!$B$6)/GraphListeria!$B$5</f>
        <v>7.2252959516288628E-2</v>
      </c>
      <c r="N287" s="1" t="s">
        <v>490</v>
      </c>
      <c r="O287">
        <v>2001</v>
      </c>
      <c r="S287" s="10">
        <f>GraphListeria!$B$43*Listeria!I287+GraphListeria!$B$44</f>
        <v>0.10794020408845384</v>
      </c>
      <c r="U287" s="10">
        <f>GraphListeria!$H$43*Listeria!I287+GraphListeria!$H$44</f>
        <v>7.2252959516289295E-2</v>
      </c>
    </row>
    <row r="288" spans="1:21" x14ac:dyDescent="0.2">
      <c r="A288" s="1" t="s">
        <v>1440</v>
      </c>
      <c r="B288" s="1" t="s">
        <v>1443</v>
      </c>
      <c r="C288" t="s">
        <v>693</v>
      </c>
      <c r="D288" s="1" t="s">
        <v>46</v>
      </c>
      <c r="E288" s="1" t="s">
        <v>692</v>
      </c>
      <c r="F288" s="1"/>
      <c r="G288" s="1"/>
      <c r="I288" s="4">
        <v>65.5</v>
      </c>
      <c r="J288" s="11">
        <v>0.28000000000000003</v>
      </c>
      <c r="K288" s="4">
        <v>5.7</v>
      </c>
      <c r="L288" s="12">
        <f t="shared" si="5"/>
        <v>-0.55284196865778079</v>
      </c>
      <c r="M288" s="11">
        <f>GraphListeria!$B$10-(Listeria!I288-GraphListeria!$B$6)/GraphListeria!$B$5</f>
        <v>-0.42471293436216007</v>
      </c>
      <c r="N288" s="1" t="s">
        <v>490</v>
      </c>
      <c r="O288">
        <v>2001</v>
      </c>
      <c r="S288" s="10">
        <f>GraphListeria!$B$43*Listeria!I288+GraphListeria!$B$44</f>
        <v>-0.37532491042046878</v>
      </c>
      <c r="U288" s="10">
        <f>GraphListeria!$H$43*Listeria!I288+GraphListeria!$H$44</f>
        <v>-0.42471293436216051</v>
      </c>
    </row>
    <row r="289" spans="1:21" x14ac:dyDescent="0.2">
      <c r="A289" s="1" t="s">
        <v>1440</v>
      </c>
      <c r="B289" s="1" t="s">
        <v>1443</v>
      </c>
      <c r="D289" s="1" t="s">
        <v>46</v>
      </c>
      <c r="E289" s="1" t="s">
        <v>1302</v>
      </c>
      <c r="F289" s="1" t="s">
        <v>697</v>
      </c>
      <c r="G289" s="1"/>
      <c r="I289" s="4">
        <v>57.6</v>
      </c>
      <c r="J289" s="11">
        <v>9.6999999999999993</v>
      </c>
      <c r="K289" s="4">
        <v>5.7</v>
      </c>
      <c r="L289" s="12">
        <f t="shared" si="5"/>
        <v>0.98677173426624487</v>
      </c>
      <c r="M289" s="11">
        <f>GraphListeria!$B$10-(Listeria!I289-GraphListeria!$B$6)/GraphListeria!$B$5</f>
        <v>0.69701008324919544</v>
      </c>
      <c r="N289" s="1" t="s">
        <v>490</v>
      </c>
      <c r="O289">
        <v>2001</v>
      </c>
      <c r="S289" s="10">
        <f>GraphListeria!$B$43*Listeria!I289+GraphListeria!$B$44</f>
        <v>0.71547349089967227</v>
      </c>
      <c r="U289" s="10">
        <f>GraphListeria!$H$43*Listeria!I289+GraphListeria!$H$44</f>
        <v>0.69701008324919478</v>
      </c>
    </row>
    <row r="290" spans="1:21" x14ac:dyDescent="0.2">
      <c r="A290" s="1" t="s">
        <v>1440</v>
      </c>
      <c r="B290" s="1" t="s">
        <v>1443</v>
      </c>
      <c r="D290" s="1" t="s">
        <v>46</v>
      </c>
      <c r="E290" s="1" t="s">
        <v>1302</v>
      </c>
      <c r="F290" s="1" t="s">
        <v>697</v>
      </c>
      <c r="G290" s="1"/>
      <c r="I290" s="4">
        <v>62</v>
      </c>
      <c r="J290" s="11">
        <v>2.1</v>
      </c>
      <c r="K290" s="4">
        <v>5.7</v>
      </c>
      <c r="L290" s="12">
        <f t="shared" si="5"/>
        <v>0.3222192947339193</v>
      </c>
      <c r="M290" s="11">
        <f>GraphListeria!$B$10-(Listeria!I290-GraphListeria!$B$6)/GraphListeria!$B$5</f>
        <v>7.2252959516288628E-2</v>
      </c>
      <c r="N290" s="1" t="s">
        <v>490</v>
      </c>
      <c r="O290">
        <v>2001</v>
      </c>
      <c r="S290" s="10">
        <f>GraphListeria!$B$43*Listeria!I290+GraphListeria!$B$44</f>
        <v>0.10794020408845384</v>
      </c>
      <c r="U290" s="10">
        <f>GraphListeria!$H$43*Listeria!I290+GraphListeria!$H$44</f>
        <v>7.2252959516289295E-2</v>
      </c>
    </row>
    <row r="291" spans="1:21" x14ac:dyDescent="0.2">
      <c r="A291" s="1" t="s">
        <v>1440</v>
      </c>
      <c r="B291" s="1" t="s">
        <v>1443</v>
      </c>
      <c r="D291" s="1" t="s">
        <v>46</v>
      </c>
      <c r="E291" s="1" t="s">
        <v>1302</v>
      </c>
      <c r="F291" s="1" t="s">
        <v>697</v>
      </c>
      <c r="G291" s="1"/>
      <c r="I291" s="4">
        <v>65.5</v>
      </c>
      <c r="J291" s="11">
        <v>0.4</v>
      </c>
      <c r="K291" s="4">
        <v>5.7</v>
      </c>
      <c r="L291" s="12">
        <f t="shared" si="5"/>
        <v>-0.3979400086720376</v>
      </c>
      <c r="M291" s="11">
        <f>GraphListeria!$B$10-(Listeria!I291-GraphListeria!$B$6)/GraphListeria!$B$5</f>
        <v>-0.42471293436216007</v>
      </c>
      <c r="N291" s="1" t="s">
        <v>490</v>
      </c>
      <c r="O291">
        <v>2001</v>
      </c>
      <c r="S291" s="10">
        <f>GraphListeria!$B$43*Listeria!I291+GraphListeria!$B$44</f>
        <v>-0.37532491042046878</v>
      </c>
      <c r="U291" s="10">
        <f>GraphListeria!$H$43*Listeria!I291+GraphListeria!$H$44</f>
        <v>-0.42471293436216051</v>
      </c>
    </row>
    <row r="292" spans="1:21" x14ac:dyDescent="0.2">
      <c r="A292" s="1" t="s">
        <v>1440</v>
      </c>
      <c r="B292" s="1" t="s">
        <v>1443</v>
      </c>
      <c r="C292" t="s">
        <v>57</v>
      </c>
      <c r="D292" s="1" t="s">
        <v>46</v>
      </c>
      <c r="E292" s="1" t="s">
        <v>1302</v>
      </c>
      <c r="F292" s="1"/>
      <c r="G292" s="1"/>
      <c r="I292" s="4">
        <v>55</v>
      </c>
      <c r="J292" s="11">
        <v>12</v>
      </c>
      <c r="K292" s="4">
        <v>8.4</v>
      </c>
      <c r="L292" s="12">
        <f t="shared" si="5"/>
        <v>1.0791812460476249</v>
      </c>
      <c r="M292" s="11">
        <f>GraphListeria!$B$10-(Listeria!I292-GraphListeria!$B$6)/GraphListeria!$B$5</f>
        <v>1.0661847472731862</v>
      </c>
      <c r="N292" s="1" t="s">
        <v>490</v>
      </c>
      <c r="O292">
        <v>2001</v>
      </c>
      <c r="S292" s="10">
        <f>GraphListeria!$B$43*Listeria!I292+GraphListeria!$B$44</f>
        <v>1.0744704331063017</v>
      </c>
      <c r="U292" s="10">
        <f>GraphListeria!$H$43*Listeria!I292+GraphListeria!$H$44</f>
        <v>1.0661847472731862</v>
      </c>
    </row>
    <row r="293" spans="1:21" x14ac:dyDescent="0.2">
      <c r="A293" s="1" t="s">
        <v>1440</v>
      </c>
      <c r="B293" s="1" t="s">
        <v>1443</v>
      </c>
      <c r="C293" t="s">
        <v>57</v>
      </c>
      <c r="D293" s="1" t="s">
        <v>46</v>
      </c>
      <c r="E293" s="1" t="s">
        <v>1302</v>
      </c>
      <c r="F293" s="1"/>
      <c r="G293" s="1"/>
      <c r="I293" s="4">
        <v>60</v>
      </c>
      <c r="J293" s="11">
        <v>2.61</v>
      </c>
      <c r="K293" s="4">
        <v>8.4</v>
      </c>
      <c r="L293" s="12">
        <f t="shared" si="5"/>
        <v>0.41664050733828095</v>
      </c>
      <c r="M293" s="11">
        <f>GraphListeria!$B$10-(Listeria!I293-GraphListeria!$B$6)/GraphListeria!$B$5</f>
        <v>0.35623347030397379</v>
      </c>
      <c r="N293" s="1" t="s">
        <v>490</v>
      </c>
      <c r="O293">
        <v>2001</v>
      </c>
      <c r="S293" s="10">
        <f>GraphListeria!$B$43*Listeria!I293+GraphListeria!$B$44</f>
        <v>0.38409169809355426</v>
      </c>
      <c r="U293" s="10">
        <f>GraphListeria!$H$43*Listeria!I293+GraphListeria!$H$44</f>
        <v>0.35623347030397312</v>
      </c>
    </row>
    <row r="294" spans="1:21" x14ac:dyDescent="0.2">
      <c r="A294" s="1" t="s">
        <v>1440</v>
      </c>
      <c r="B294" s="1" t="s">
        <v>1443</v>
      </c>
      <c r="D294" s="1" t="s">
        <v>46</v>
      </c>
      <c r="E294" s="1" t="s">
        <v>25</v>
      </c>
      <c r="F294" s="1" t="s">
        <v>694</v>
      </c>
      <c r="G294" s="1"/>
      <c r="I294" s="4">
        <v>55</v>
      </c>
      <c r="J294" s="11">
        <v>10.23</v>
      </c>
      <c r="K294" s="4">
        <v>5.5</v>
      </c>
      <c r="L294" s="12">
        <f t="shared" si="5"/>
        <v>1.0098756337121602</v>
      </c>
      <c r="M294" s="11">
        <f>GraphListeria!$B$10-(Listeria!I294-GraphListeria!$B$6)/GraphListeria!$B$5</f>
        <v>1.0661847472731862</v>
      </c>
      <c r="N294" s="1" t="s">
        <v>490</v>
      </c>
      <c r="O294">
        <v>2001</v>
      </c>
      <c r="S294" s="10">
        <f>GraphListeria!$B$43*Listeria!I294+GraphListeria!$B$44</f>
        <v>1.0744704331063017</v>
      </c>
      <c r="U294" s="10">
        <f>GraphListeria!$H$43*Listeria!I294+GraphListeria!$H$44</f>
        <v>1.0661847472731862</v>
      </c>
    </row>
    <row r="295" spans="1:21" x14ac:dyDescent="0.2">
      <c r="A295" s="1" t="s">
        <v>1440</v>
      </c>
      <c r="B295" s="1" t="s">
        <v>1443</v>
      </c>
      <c r="D295" s="1" t="s">
        <v>46</v>
      </c>
      <c r="E295" s="1" t="s">
        <v>25</v>
      </c>
      <c r="F295" s="1" t="s">
        <v>694</v>
      </c>
      <c r="G295" s="1"/>
      <c r="I295" s="4">
        <v>60</v>
      </c>
      <c r="J295" s="11">
        <v>1.98</v>
      </c>
      <c r="K295" s="4">
        <v>5.5</v>
      </c>
      <c r="L295" s="12">
        <f t="shared" si="5"/>
        <v>0.2966651902615311</v>
      </c>
      <c r="M295" s="11">
        <f>GraphListeria!$B$10-(Listeria!I295-GraphListeria!$B$6)/GraphListeria!$B$5</f>
        <v>0.35623347030397379</v>
      </c>
      <c r="N295" s="1" t="s">
        <v>490</v>
      </c>
      <c r="O295">
        <v>2001</v>
      </c>
      <c r="S295" s="10">
        <f>GraphListeria!$B$43*Listeria!I295+GraphListeria!$B$44</f>
        <v>0.38409169809355426</v>
      </c>
      <c r="U295" s="10">
        <f>GraphListeria!$H$43*Listeria!I295+GraphListeria!$H$44</f>
        <v>0.35623347030397312</v>
      </c>
    </row>
    <row r="296" spans="1:21" x14ac:dyDescent="0.2">
      <c r="A296" s="1" t="s">
        <v>1440</v>
      </c>
      <c r="B296" s="1" t="s">
        <v>1443</v>
      </c>
      <c r="D296" s="1" t="s">
        <v>46</v>
      </c>
      <c r="E296" s="1" t="s">
        <v>25</v>
      </c>
      <c r="F296" s="1" t="s">
        <v>694</v>
      </c>
      <c r="G296" s="1"/>
      <c r="I296" s="4">
        <v>65.5</v>
      </c>
      <c r="J296" s="11">
        <v>0.19</v>
      </c>
      <c r="K296" s="4">
        <v>5.5</v>
      </c>
      <c r="L296" s="12">
        <f t="shared" si="5"/>
        <v>-0.72124639904717103</v>
      </c>
      <c r="M296" s="11">
        <f>GraphListeria!$B$10-(Listeria!I296-GraphListeria!$B$6)/GraphListeria!$B$5</f>
        <v>-0.42471293436216007</v>
      </c>
      <c r="N296" s="1" t="s">
        <v>490</v>
      </c>
      <c r="O296">
        <v>2001</v>
      </c>
      <c r="S296" s="10">
        <f>GraphListeria!$B$43*Listeria!I296+GraphListeria!$B$44</f>
        <v>-0.37532491042046878</v>
      </c>
      <c r="U296" s="10">
        <f>GraphListeria!$H$43*Listeria!I296+GraphListeria!$H$44</f>
        <v>-0.42471293436216051</v>
      </c>
    </row>
    <row r="297" spans="1:21" x14ac:dyDescent="0.2">
      <c r="A297" s="1" t="s">
        <v>1440</v>
      </c>
      <c r="B297" s="1" t="s">
        <v>1443</v>
      </c>
      <c r="D297" s="1" t="s">
        <v>46</v>
      </c>
      <c r="E297" s="1" t="s">
        <v>25</v>
      </c>
      <c r="F297" s="1" t="s">
        <v>26</v>
      </c>
      <c r="G297" s="1"/>
      <c r="I297" s="4">
        <v>55</v>
      </c>
      <c r="J297" s="11">
        <v>10.23</v>
      </c>
      <c r="L297" s="12">
        <f t="shared" si="5"/>
        <v>1.0098756337121602</v>
      </c>
      <c r="M297" s="11">
        <f>GraphListeria!$B$10-(Listeria!I297-GraphListeria!$B$6)/GraphListeria!$B$5</f>
        <v>1.0661847472731862</v>
      </c>
      <c r="N297" s="2" t="s">
        <v>1226</v>
      </c>
      <c r="O297">
        <v>1996</v>
      </c>
      <c r="P297" t="s">
        <v>27</v>
      </c>
      <c r="S297" s="10">
        <f>GraphListeria!$B$43*Listeria!I297+GraphListeria!$B$44</f>
        <v>1.0744704331063017</v>
      </c>
      <c r="U297" s="10">
        <f>GraphListeria!$H$43*Listeria!I297+GraphListeria!$H$44</f>
        <v>1.0661847472731862</v>
      </c>
    </row>
    <row r="298" spans="1:21" x14ac:dyDescent="0.2">
      <c r="A298" s="1" t="s">
        <v>1440</v>
      </c>
      <c r="B298" s="1" t="s">
        <v>1443</v>
      </c>
      <c r="D298" s="1" t="s">
        <v>46</v>
      </c>
      <c r="E298" s="1" t="s">
        <v>25</v>
      </c>
      <c r="F298" s="1" t="s">
        <v>26</v>
      </c>
      <c r="G298" s="1"/>
      <c r="I298" s="4">
        <v>60</v>
      </c>
      <c r="J298" s="11">
        <v>1.98</v>
      </c>
      <c r="L298" s="12">
        <f t="shared" si="5"/>
        <v>0.2966651902615311</v>
      </c>
      <c r="M298" s="11">
        <f>GraphListeria!$B$10-(Listeria!I298-GraphListeria!$B$6)/GraphListeria!$B$5</f>
        <v>0.35623347030397379</v>
      </c>
      <c r="N298" s="2" t="s">
        <v>1226</v>
      </c>
      <c r="O298">
        <v>1996</v>
      </c>
      <c r="P298" t="s">
        <v>27</v>
      </c>
      <c r="S298" s="10">
        <f>GraphListeria!$B$43*Listeria!I298+GraphListeria!$B$44</f>
        <v>0.38409169809355426</v>
      </c>
      <c r="U298" s="10">
        <f>GraphListeria!$H$43*Listeria!I298+GraphListeria!$H$44</f>
        <v>0.35623347030397312</v>
      </c>
    </row>
    <row r="299" spans="1:21" x14ac:dyDescent="0.2">
      <c r="A299" s="1" t="s">
        <v>1440</v>
      </c>
      <c r="B299" s="1" t="s">
        <v>1443</v>
      </c>
      <c r="D299" s="1" t="s">
        <v>46</v>
      </c>
      <c r="E299" s="1" t="s">
        <v>25</v>
      </c>
      <c r="F299" s="1" t="s">
        <v>26</v>
      </c>
      <c r="G299" s="1"/>
      <c r="I299" s="4">
        <v>65</v>
      </c>
      <c r="J299" s="11">
        <v>0.19</v>
      </c>
      <c r="L299" s="12">
        <f t="shared" si="5"/>
        <v>-0.72124639904717103</v>
      </c>
      <c r="M299" s="11">
        <f>GraphListeria!$B$10-(Listeria!I299-GraphListeria!$B$6)/GraphListeria!$B$5</f>
        <v>-0.35371780666523878</v>
      </c>
      <c r="N299" s="2" t="s">
        <v>1226</v>
      </c>
      <c r="O299">
        <v>1996</v>
      </c>
      <c r="P299" t="s">
        <v>27</v>
      </c>
      <c r="S299" s="10">
        <f>GraphListeria!$B$43*Listeria!I299+GraphListeria!$B$44</f>
        <v>-0.30628703691919412</v>
      </c>
      <c r="U299" s="10">
        <f>GraphListeria!$H$43*Listeria!I299+GraphListeria!$H$44</f>
        <v>-0.35371780666523911</v>
      </c>
    </row>
    <row r="300" spans="1:21" x14ac:dyDescent="0.2">
      <c r="A300" s="1" t="s">
        <v>1440</v>
      </c>
      <c r="B300" s="1" t="s">
        <v>1443</v>
      </c>
      <c r="D300" s="1" t="s">
        <v>46</v>
      </c>
      <c r="E300" s="1" t="s">
        <v>22</v>
      </c>
      <c r="F300" s="1" t="s">
        <v>23</v>
      </c>
      <c r="G300" s="1"/>
      <c r="I300" s="4">
        <v>51.6</v>
      </c>
      <c r="J300" s="11">
        <v>97</v>
      </c>
      <c r="L300" s="12">
        <f t="shared" si="5"/>
        <v>1.9867717342662448</v>
      </c>
      <c r="M300" s="11">
        <f>GraphListeria!$B$10-(Listeria!I300-GraphListeria!$B$6)/GraphListeria!$B$5</f>
        <v>1.5489516156122507</v>
      </c>
      <c r="N300" s="2" t="s">
        <v>1226</v>
      </c>
      <c r="O300">
        <v>1996</v>
      </c>
      <c r="P300" t="s">
        <v>24</v>
      </c>
      <c r="S300" s="10">
        <f>GraphListeria!$B$43*Listeria!I300+GraphListeria!$B$44</f>
        <v>1.54392797291497</v>
      </c>
      <c r="U300" s="10">
        <f>GraphListeria!$H$43*Listeria!I300+GraphListeria!$H$44</f>
        <v>1.5489516156122507</v>
      </c>
    </row>
    <row r="301" spans="1:21" x14ac:dyDescent="0.2">
      <c r="A301" s="1" t="s">
        <v>1440</v>
      </c>
      <c r="B301" s="1" t="s">
        <v>1443</v>
      </c>
      <c r="D301" s="1" t="s">
        <v>46</v>
      </c>
      <c r="E301" s="1" t="s">
        <v>22</v>
      </c>
      <c r="F301" s="1" t="s">
        <v>23</v>
      </c>
      <c r="G301" s="1"/>
      <c r="I301" s="4">
        <v>54.4</v>
      </c>
      <c r="J301" s="11">
        <v>55</v>
      </c>
      <c r="L301" s="12">
        <f t="shared" si="5"/>
        <v>1.7403626894942439</v>
      </c>
      <c r="M301" s="11">
        <f>GraphListeria!$B$10-(Listeria!I301-GraphListeria!$B$6)/GraphListeria!$B$5</f>
        <v>1.1513789005094921</v>
      </c>
      <c r="N301" s="2" t="s">
        <v>1226</v>
      </c>
      <c r="O301">
        <v>1996</v>
      </c>
      <c r="P301" t="s">
        <v>24</v>
      </c>
      <c r="S301" s="10">
        <f>GraphListeria!$B$43*Listeria!I301+GraphListeria!$B$44</f>
        <v>1.1573158813078317</v>
      </c>
      <c r="U301" s="10">
        <f>GraphListeria!$H$43*Listeria!I301+GraphListeria!$H$44</f>
        <v>1.1513789005094921</v>
      </c>
    </row>
    <row r="302" spans="1:21" x14ac:dyDescent="0.2">
      <c r="A302" s="1" t="s">
        <v>1440</v>
      </c>
      <c r="B302" s="1" t="s">
        <v>1443</v>
      </c>
      <c r="D302" s="1" t="s">
        <v>46</v>
      </c>
      <c r="E302" s="1" t="s">
        <v>22</v>
      </c>
      <c r="F302" s="1" t="s">
        <v>23</v>
      </c>
      <c r="G302" s="1"/>
      <c r="I302" s="4">
        <v>57.2</v>
      </c>
      <c r="J302" s="11">
        <v>8.3000000000000007</v>
      </c>
      <c r="L302" s="12">
        <f t="shared" si="5"/>
        <v>0.91907809237607396</v>
      </c>
      <c r="M302" s="11">
        <f>GraphListeria!$B$10-(Listeria!I302-GraphListeria!$B$6)/GraphListeria!$B$5</f>
        <v>0.75380618540673239</v>
      </c>
      <c r="N302" s="2" t="s">
        <v>1226</v>
      </c>
      <c r="O302">
        <v>1996</v>
      </c>
      <c r="P302" t="s">
        <v>24</v>
      </c>
      <c r="S302" s="10">
        <f>GraphListeria!$B$43*Listeria!I302+GraphListeria!$B$44</f>
        <v>0.77070378970069164</v>
      </c>
      <c r="U302" s="10">
        <f>GraphListeria!$H$43*Listeria!I302+GraphListeria!$H$44</f>
        <v>0.75380618540673261</v>
      </c>
    </row>
    <row r="303" spans="1:21" x14ac:dyDescent="0.2">
      <c r="A303" s="1" t="s">
        <v>1440</v>
      </c>
      <c r="B303" s="1" t="s">
        <v>1443</v>
      </c>
      <c r="D303" s="1" t="s">
        <v>46</v>
      </c>
      <c r="E303" s="1" t="s">
        <v>22</v>
      </c>
      <c r="F303" s="1" t="s">
        <v>23</v>
      </c>
      <c r="G303" s="1"/>
      <c r="I303" s="4">
        <v>60</v>
      </c>
      <c r="J303" s="11">
        <v>2.39</v>
      </c>
      <c r="L303" s="12">
        <f t="shared" si="5"/>
        <v>0.37839790094813769</v>
      </c>
      <c r="M303" s="11">
        <f>GraphListeria!$B$10-(Listeria!I303-GraphListeria!$B$6)/GraphListeria!$B$5</f>
        <v>0.35623347030397379</v>
      </c>
      <c r="N303" s="2" t="s">
        <v>1226</v>
      </c>
      <c r="O303">
        <v>1996</v>
      </c>
      <c r="P303" t="s">
        <v>24</v>
      </c>
      <c r="S303" s="10">
        <f>GraphListeria!$B$43*Listeria!I303+GraphListeria!$B$44</f>
        <v>0.38409169809355426</v>
      </c>
      <c r="U303" s="10">
        <f>GraphListeria!$H$43*Listeria!I303+GraphListeria!$H$44</f>
        <v>0.35623347030397312</v>
      </c>
    </row>
    <row r="304" spans="1:21" x14ac:dyDescent="0.2">
      <c r="A304" s="1" t="s">
        <v>1440</v>
      </c>
      <c r="B304" s="1" t="s">
        <v>1443</v>
      </c>
      <c r="D304" s="1" t="s">
        <v>46</v>
      </c>
      <c r="E304" s="1" t="s">
        <v>22</v>
      </c>
      <c r="F304" s="1" t="s">
        <v>23</v>
      </c>
      <c r="G304" s="1"/>
      <c r="I304" s="11">
        <v>62.7</v>
      </c>
      <c r="J304" s="4">
        <v>1.06</v>
      </c>
      <c r="L304" s="12">
        <f t="shared" si="5"/>
        <v>2.5305865264770262E-2</v>
      </c>
      <c r="M304" s="11">
        <f>GraphListeria!$B$10-(Listeria!I304-GraphListeria!$B$6)/GraphListeria!$B$5</f>
        <v>-2.7140219259401466E-2</v>
      </c>
      <c r="N304" s="2" t="s">
        <v>1226</v>
      </c>
      <c r="O304">
        <v>1996</v>
      </c>
      <c r="P304" t="s">
        <v>24</v>
      </c>
      <c r="S304" s="10">
        <f>GraphListeria!$B$43*Listeria!I304+GraphListeria!$B$44</f>
        <v>1.1287181186668604E-2</v>
      </c>
      <c r="U304" s="10">
        <f>GraphListeria!$H$43*Listeria!I304+GraphListeria!$H$44</f>
        <v>-2.7140219259401022E-2</v>
      </c>
    </row>
    <row r="305" spans="1:21" x14ac:dyDescent="0.2">
      <c r="A305" s="1" t="s">
        <v>1440</v>
      </c>
      <c r="B305" s="1" t="s">
        <v>1443</v>
      </c>
      <c r="D305" s="1" t="s">
        <v>46</v>
      </c>
      <c r="E305" s="1" t="s">
        <v>22</v>
      </c>
      <c r="F305" s="1"/>
      <c r="G305" s="1"/>
      <c r="I305" s="4">
        <v>51.6</v>
      </c>
      <c r="J305" s="11">
        <v>97</v>
      </c>
      <c r="K305" s="4">
        <v>5</v>
      </c>
      <c r="L305" s="12">
        <f t="shared" si="5"/>
        <v>1.9867717342662448</v>
      </c>
      <c r="M305" s="11">
        <f>GraphListeria!$B$10-(Listeria!I305-GraphListeria!$B$6)/GraphListeria!$B$5</f>
        <v>1.5489516156122507</v>
      </c>
      <c r="N305" s="1" t="s">
        <v>490</v>
      </c>
      <c r="O305">
        <v>2001</v>
      </c>
      <c r="S305" s="10">
        <f>GraphListeria!$B$43*Listeria!I305+GraphListeria!$B$44</f>
        <v>1.54392797291497</v>
      </c>
      <c r="U305" s="10">
        <f>GraphListeria!$H$43*Listeria!I305+GraphListeria!$H$44</f>
        <v>1.5489516156122507</v>
      </c>
    </row>
    <row r="306" spans="1:21" x14ac:dyDescent="0.2">
      <c r="A306" s="1" t="s">
        <v>1440</v>
      </c>
      <c r="B306" s="1" t="s">
        <v>1443</v>
      </c>
      <c r="D306" s="1" t="s">
        <v>46</v>
      </c>
      <c r="E306" s="1" t="s">
        <v>22</v>
      </c>
      <c r="F306" s="1"/>
      <c r="G306" s="1"/>
      <c r="I306" s="4">
        <v>54.2</v>
      </c>
      <c r="J306" s="11">
        <v>55</v>
      </c>
      <c r="K306" s="4">
        <v>5</v>
      </c>
      <c r="L306" s="12">
        <f t="shared" si="5"/>
        <v>1.7403626894942439</v>
      </c>
      <c r="M306" s="11">
        <f>GraphListeria!$B$10-(Listeria!I306-GraphListeria!$B$6)/GraphListeria!$B$5</f>
        <v>1.1797769515882597</v>
      </c>
      <c r="N306" s="1" t="s">
        <v>490</v>
      </c>
      <c r="O306">
        <v>2001</v>
      </c>
      <c r="S306" s="10">
        <f>GraphListeria!$B$43*Listeria!I306+GraphListeria!$B$44</f>
        <v>1.1849310307083405</v>
      </c>
      <c r="U306" s="10">
        <f>GraphListeria!$H$43*Listeria!I306+GraphListeria!$H$44</f>
        <v>1.1797769515882601</v>
      </c>
    </row>
    <row r="307" spans="1:21" x14ac:dyDescent="0.2">
      <c r="A307" s="1" t="s">
        <v>1440</v>
      </c>
      <c r="B307" s="1" t="s">
        <v>1443</v>
      </c>
      <c r="D307" s="1" t="s">
        <v>46</v>
      </c>
      <c r="E307" s="1" t="s">
        <v>22</v>
      </c>
      <c r="F307" s="1"/>
      <c r="G307" s="1"/>
      <c r="I307" s="4">
        <v>57.6</v>
      </c>
      <c r="J307" s="11">
        <v>8.3000000000000007</v>
      </c>
      <c r="K307" s="4">
        <v>5</v>
      </c>
      <c r="L307" s="12">
        <f t="shared" si="5"/>
        <v>0.91907809237607396</v>
      </c>
      <c r="M307" s="11">
        <f>GraphListeria!$B$10-(Listeria!I307-GraphListeria!$B$6)/GraphListeria!$B$5</f>
        <v>0.69701008324919544</v>
      </c>
      <c r="N307" s="1" t="s">
        <v>490</v>
      </c>
      <c r="O307">
        <v>2001</v>
      </c>
      <c r="S307" s="10">
        <f>GraphListeria!$B$43*Listeria!I307+GraphListeria!$B$44</f>
        <v>0.71547349089967227</v>
      </c>
      <c r="U307" s="10">
        <f>GraphListeria!$H$43*Listeria!I307+GraphListeria!$H$44</f>
        <v>0.69701008324919478</v>
      </c>
    </row>
    <row r="308" spans="1:21" x14ac:dyDescent="0.2">
      <c r="A308" s="1" t="s">
        <v>1440</v>
      </c>
      <c r="B308" s="1" t="s">
        <v>1443</v>
      </c>
      <c r="D308" s="1" t="s">
        <v>46</v>
      </c>
      <c r="E308" s="1" t="s">
        <v>22</v>
      </c>
      <c r="F308" s="1"/>
      <c r="G308" s="1"/>
      <c r="I308" s="4">
        <v>60</v>
      </c>
      <c r="J308" s="11">
        <v>2.39</v>
      </c>
      <c r="K308" s="4">
        <v>5</v>
      </c>
      <c r="L308" s="12">
        <f t="shared" si="5"/>
        <v>0.37839790094813769</v>
      </c>
      <c r="M308" s="11">
        <f>GraphListeria!$B$10-(Listeria!I308-GraphListeria!$B$6)/GraphListeria!$B$5</f>
        <v>0.35623347030397379</v>
      </c>
      <c r="N308" s="1" t="s">
        <v>490</v>
      </c>
      <c r="O308">
        <v>2001</v>
      </c>
      <c r="S308" s="10">
        <f>GraphListeria!$B$43*Listeria!I308+GraphListeria!$B$44</f>
        <v>0.38409169809355426</v>
      </c>
      <c r="U308" s="10">
        <f>GraphListeria!$H$43*Listeria!I308+GraphListeria!$H$44</f>
        <v>0.35623347030397312</v>
      </c>
    </row>
    <row r="309" spans="1:21" x14ac:dyDescent="0.2">
      <c r="A309" s="1" t="s">
        <v>1440</v>
      </c>
      <c r="B309" s="1" t="s">
        <v>1443</v>
      </c>
      <c r="D309" s="1" t="s">
        <v>46</v>
      </c>
      <c r="E309" s="1" t="s">
        <v>695</v>
      </c>
      <c r="F309" s="1" t="s">
        <v>696</v>
      </c>
      <c r="G309" s="1"/>
      <c r="I309" s="4">
        <v>54.2</v>
      </c>
      <c r="J309" s="11">
        <v>111.1</v>
      </c>
      <c r="K309" s="4">
        <v>4.25</v>
      </c>
      <c r="L309" s="12">
        <f t="shared" si="5"/>
        <v>2.0457140589408676</v>
      </c>
      <c r="M309" s="11">
        <f>GraphListeria!$B$10-(Listeria!I309-GraphListeria!$B$6)/GraphListeria!$B$5</f>
        <v>1.1797769515882597</v>
      </c>
      <c r="N309" s="1" t="s">
        <v>490</v>
      </c>
      <c r="O309">
        <v>2001</v>
      </c>
      <c r="S309" s="10">
        <f>GraphListeria!$B$43*Listeria!I309+GraphListeria!$B$44</f>
        <v>1.1849310307083405</v>
      </c>
      <c r="U309" s="10">
        <f>GraphListeria!$H$43*Listeria!I309+GraphListeria!$H$44</f>
        <v>1.1797769515882601</v>
      </c>
    </row>
    <row r="310" spans="1:21" x14ac:dyDescent="0.2">
      <c r="A310" s="1" t="s">
        <v>1440</v>
      </c>
      <c r="B310" s="1" t="s">
        <v>1443</v>
      </c>
      <c r="D310" s="1" t="s">
        <v>46</v>
      </c>
      <c r="E310" s="1" t="s">
        <v>695</v>
      </c>
      <c r="F310" s="1" t="s">
        <v>696</v>
      </c>
      <c r="G310" s="1"/>
      <c r="I310" s="4">
        <v>57.6</v>
      </c>
      <c r="J310" s="11">
        <v>19.84</v>
      </c>
      <c r="K310" s="4">
        <v>4.25</v>
      </c>
      <c r="L310" s="12">
        <f t="shared" si="5"/>
        <v>1.2975416678181599</v>
      </c>
      <c r="M310" s="11">
        <f>GraphListeria!$B$10-(Listeria!I310-GraphListeria!$B$6)/GraphListeria!$B$5</f>
        <v>0.69701008324919544</v>
      </c>
      <c r="N310" s="1" t="s">
        <v>490</v>
      </c>
      <c r="O310">
        <v>2001</v>
      </c>
      <c r="S310" s="10">
        <f>GraphListeria!$B$43*Listeria!I310+GraphListeria!$B$44</f>
        <v>0.71547349089967227</v>
      </c>
      <c r="U310" s="10">
        <f>GraphListeria!$H$43*Listeria!I310+GraphListeria!$H$44</f>
        <v>0.69701008324919478</v>
      </c>
    </row>
    <row r="311" spans="1:21" x14ac:dyDescent="0.2">
      <c r="A311" s="1" t="s">
        <v>1440</v>
      </c>
      <c r="B311" s="1" t="s">
        <v>1443</v>
      </c>
      <c r="D311" s="1" t="s">
        <v>46</v>
      </c>
      <c r="E311" s="1" t="s">
        <v>695</v>
      </c>
      <c r="F311" s="1" t="s">
        <v>696</v>
      </c>
      <c r="G311" s="1"/>
      <c r="I311" s="4">
        <v>60</v>
      </c>
      <c r="J311" s="11">
        <v>6.3</v>
      </c>
      <c r="K311" s="4">
        <v>4.25</v>
      </c>
      <c r="L311" s="12">
        <f t="shared" si="5"/>
        <v>0.79934054945358168</v>
      </c>
      <c r="M311" s="11">
        <f>GraphListeria!$B$10-(Listeria!I311-GraphListeria!$B$6)/GraphListeria!$B$5</f>
        <v>0.35623347030397379</v>
      </c>
      <c r="N311" s="1" t="s">
        <v>490</v>
      </c>
      <c r="O311">
        <v>2001</v>
      </c>
      <c r="S311" s="10">
        <f>GraphListeria!$B$43*Listeria!I311+GraphListeria!$B$44</f>
        <v>0.38409169809355426</v>
      </c>
      <c r="U311" s="10">
        <f>GraphListeria!$H$43*Listeria!I311+GraphListeria!$H$44</f>
        <v>0.35623347030397312</v>
      </c>
    </row>
    <row r="312" spans="1:21" x14ac:dyDescent="0.2">
      <c r="A312" s="1" t="s">
        <v>1440</v>
      </c>
      <c r="B312" s="1" t="s">
        <v>1443</v>
      </c>
      <c r="D312" s="1" t="s">
        <v>46</v>
      </c>
      <c r="E312" s="1" t="s">
        <v>695</v>
      </c>
      <c r="F312" s="1" t="s">
        <v>696</v>
      </c>
      <c r="G312" s="1"/>
      <c r="I312" s="4">
        <v>62</v>
      </c>
      <c r="J312" s="11">
        <v>1.69</v>
      </c>
      <c r="K312" s="4">
        <v>4.25</v>
      </c>
      <c r="L312" s="12">
        <f t="shared" si="5"/>
        <v>0.22788670461367352</v>
      </c>
      <c r="M312" s="11">
        <f>GraphListeria!$B$10-(Listeria!I312-GraphListeria!$B$6)/GraphListeria!$B$5</f>
        <v>7.2252959516288628E-2</v>
      </c>
      <c r="N312" s="1" t="s">
        <v>490</v>
      </c>
      <c r="O312">
        <v>2001</v>
      </c>
      <c r="S312" s="10">
        <f>GraphListeria!$B$43*Listeria!I312+GraphListeria!$B$44</f>
        <v>0.10794020408845384</v>
      </c>
      <c r="U312" s="10">
        <f>GraphListeria!$H$43*Listeria!I312+GraphListeria!$H$44</f>
        <v>7.2252959516289295E-2</v>
      </c>
    </row>
    <row r="313" spans="1:21" x14ac:dyDescent="0.2">
      <c r="A313" s="1" t="s">
        <v>1440</v>
      </c>
      <c r="B313" s="1" t="s">
        <v>1443</v>
      </c>
      <c r="C313" t="s">
        <v>690</v>
      </c>
      <c r="D313" s="1" t="s">
        <v>46</v>
      </c>
      <c r="E313" s="1" t="s">
        <v>691</v>
      </c>
      <c r="F313" s="1"/>
      <c r="G313" s="1"/>
      <c r="I313" s="4">
        <v>57.6</v>
      </c>
      <c r="J313" s="11">
        <v>8.48</v>
      </c>
      <c r="K313" s="4">
        <v>6.7</v>
      </c>
      <c r="L313" s="12">
        <f t="shared" si="5"/>
        <v>0.92839585225671384</v>
      </c>
      <c r="M313" s="11">
        <f>GraphListeria!$B$10-(Listeria!I313-GraphListeria!$B$6)/GraphListeria!$B$5</f>
        <v>0.69701008324919544</v>
      </c>
      <c r="N313" s="1" t="s">
        <v>490</v>
      </c>
      <c r="O313">
        <v>2001</v>
      </c>
      <c r="S313" s="10">
        <f>GraphListeria!$B$43*Listeria!I313+GraphListeria!$B$44</f>
        <v>0.71547349089967227</v>
      </c>
      <c r="U313" s="10">
        <f>GraphListeria!$H$43*Listeria!I313+GraphListeria!$H$44</f>
        <v>0.69701008324919478</v>
      </c>
    </row>
    <row r="314" spans="1:21" x14ac:dyDescent="0.2">
      <c r="A314" s="1" t="s">
        <v>1440</v>
      </c>
      <c r="B314" s="1" t="s">
        <v>1443</v>
      </c>
      <c r="C314" t="s">
        <v>690</v>
      </c>
      <c r="D314" s="1" t="s">
        <v>46</v>
      </c>
      <c r="E314" s="1" t="s">
        <v>691</v>
      </c>
      <c r="F314" s="1"/>
      <c r="G314" s="1"/>
      <c r="I314" s="4">
        <v>60</v>
      </c>
      <c r="J314" s="11">
        <v>4.2300000000000004</v>
      </c>
      <c r="K314" s="4">
        <v>6.7</v>
      </c>
      <c r="L314" s="12">
        <f t="shared" si="5"/>
        <v>0.6263403673750424</v>
      </c>
      <c r="M314" s="11">
        <f>GraphListeria!$B$10-(Listeria!I314-GraphListeria!$B$6)/GraphListeria!$B$5</f>
        <v>0.35623347030397379</v>
      </c>
      <c r="N314" s="1" t="s">
        <v>490</v>
      </c>
      <c r="O314">
        <v>2001</v>
      </c>
      <c r="S314" s="10">
        <f>GraphListeria!$B$43*Listeria!I314+GraphListeria!$B$44</f>
        <v>0.38409169809355426</v>
      </c>
      <c r="U314" s="10">
        <f>GraphListeria!$H$43*Listeria!I314+GraphListeria!$H$44</f>
        <v>0.35623347030397312</v>
      </c>
    </row>
    <row r="315" spans="1:21" x14ac:dyDescent="0.2">
      <c r="A315" s="1" t="s">
        <v>1440</v>
      </c>
      <c r="B315" s="1" t="s">
        <v>1443</v>
      </c>
      <c r="C315" t="s">
        <v>690</v>
      </c>
      <c r="D315" s="1" t="s">
        <v>46</v>
      </c>
      <c r="E315" s="1" t="s">
        <v>691</v>
      </c>
      <c r="F315" s="1"/>
      <c r="G315" s="1"/>
      <c r="I315" s="4">
        <v>62</v>
      </c>
      <c r="J315" s="11">
        <v>3.02</v>
      </c>
      <c r="K315" s="4">
        <v>6.7</v>
      </c>
      <c r="L315" s="12">
        <f t="shared" si="5"/>
        <v>0.48000694295715063</v>
      </c>
      <c r="M315" s="11">
        <f>GraphListeria!$B$10-(Listeria!I315-GraphListeria!$B$6)/GraphListeria!$B$5</f>
        <v>7.2252959516288628E-2</v>
      </c>
      <c r="N315" s="1" t="s">
        <v>490</v>
      </c>
      <c r="O315">
        <v>2001</v>
      </c>
      <c r="S315" s="10">
        <f>GraphListeria!$B$43*Listeria!I315+GraphListeria!$B$44</f>
        <v>0.10794020408845384</v>
      </c>
      <c r="U315" s="10">
        <f>GraphListeria!$H$43*Listeria!I315+GraphListeria!$H$44</f>
        <v>7.2252959516289295E-2</v>
      </c>
    </row>
    <row r="316" spans="1:21" x14ac:dyDescent="0.2">
      <c r="A316" s="1" t="s">
        <v>1440</v>
      </c>
      <c r="B316" s="1" t="s">
        <v>1443</v>
      </c>
      <c r="C316" t="s">
        <v>690</v>
      </c>
      <c r="D316" s="1" t="s">
        <v>46</v>
      </c>
      <c r="E316" s="1" t="s">
        <v>691</v>
      </c>
      <c r="F316" s="1"/>
      <c r="G316" s="1"/>
      <c r="I316" s="4">
        <v>65.5</v>
      </c>
      <c r="J316" s="11">
        <v>1.18</v>
      </c>
      <c r="K316" s="4">
        <v>6.7</v>
      </c>
      <c r="L316" s="12">
        <f t="shared" si="5"/>
        <v>7.1882007306125359E-2</v>
      </c>
      <c r="M316" s="11">
        <f>GraphListeria!$B$10-(Listeria!I316-GraphListeria!$B$6)/GraphListeria!$B$5</f>
        <v>-0.42471293436216007</v>
      </c>
      <c r="N316" s="1" t="s">
        <v>490</v>
      </c>
      <c r="O316">
        <v>2001</v>
      </c>
      <c r="S316" s="10">
        <f>GraphListeria!$B$43*Listeria!I316+GraphListeria!$B$44</f>
        <v>-0.37532491042046878</v>
      </c>
      <c r="U316" s="10">
        <f>GraphListeria!$H$43*Listeria!I316+GraphListeria!$H$44</f>
        <v>-0.42471293436216051</v>
      </c>
    </row>
    <row r="317" spans="1:21" x14ac:dyDescent="0.2">
      <c r="A317" s="1" t="s">
        <v>1440</v>
      </c>
      <c r="B317" s="1" t="s">
        <v>1443</v>
      </c>
      <c r="C317" t="s">
        <v>693</v>
      </c>
      <c r="D317" s="1" t="s">
        <v>46</v>
      </c>
      <c r="E317" s="1" t="s">
        <v>691</v>
      </c>
      <c r="F317" s="1"/>
      <c r="G317" s="1"/>
      <c r="I317" s="4">
        <v>57.6</v>
      </c>
      <c r="J317" s="11">
        <v>10.73</v>
      </c>
      <c r="K317" s="4">
        <v>5.6</v>
      </c>
      <c r="L317" s="12">
        <f t="shared" si="5"/>
        <v>1.0305997219659511</v>
      </c>
      <c r="M317" s="11">
        <f>GraphListeria!$B$10-(Listeria!I317-GraphListeria!$B$6)/GraphListeria!$B$5</f>
        <v>0.69701008324919544</v>
      </c>
      <c r="N317" s="1" t="s">
        <v>490</v>
      </c>
      <c r="O317">
        <v>2001</v>
      </c>
      <c r="S317" s="10">
        <f>GraphListeria!$B$43*Listeria!I317+GraphListeria!$B$44</f>
        <v>0.71547349089967227</v>
      </c>
      <c r="U317" s="10">
        <f>GraphListeria!$H$43*Listeria!I317+GraphListeria!$H$44</f>
        <v>0.69701008324919478</v>
      </c>
    </row>
    <row r="318" spans="1:21" x14ac:dyDescent="0.2">
      <c r="A318" s="1" t="s">
        <v>1440</v>
      </c>
      <c r="B318" s="1" t="s">
        <v>1443</v>
      </c>
      <c r="C318" t="s">
        <v>693</v>
      </c>
      <c r="D318" s="1" t="s">
        <v>46</v>
      </c>
      <c r="E318" s="1" t="s">
        <v>691</v>
      </c>
      <c r="F318" s="1"/>
      <c r="G318" s="1"/>
      <c r="I318" s="4">
        <v>60</v>
      </c>
      <c r="J318" s="11">
        <v>4.4800000000000004</v>
      </c>
      <c r="K318" s="4">
        <v>5.6</v>
      </c>
      <c r="L318" s="12">
        <f t="shared" si="5"/>
        <v>0.651278013998144</v>
      </c>
      <c r="M318" s="11">
        <f>GraphListeria!$B$10-(Listeria!I318-GraphListeria!$B$6)/GraphListeria!$B$5</f>
        <v>0.35623347030397379</v>
      </c>
      <c r="N318" s="1" t="s">
        <v>490</v>
      </c>
      <c r="O318">
        <v>2001</v>
      </c>
      <c r="S318" s="10">
        <f>GraphListeria!$B$43*Listeria!I318+GraphListeria!$B$44</f>
        <v>0.38409169809355426</v>
      </c>
      <c r="U318" s="10">
        <f>GraphListeria!$H$43*Listeria!I318+GraphListeria!$H$44</f>
        <v>0.35623347030397312</v>
      </c>
    </row>
    <row r="319" spans="1:21" x14ac:dyDescent="0.2">
      <c r="A319" s="1" t="s">
        <v>1440</v>
      </c>
      <c r="B319" s="1" t="s">
        <v>1443</v>
      </c>
      <c r="C319" t="s">
        <v>693</v>
      </c>
      <c r="D319" s="1" t="s">
        <v>46</v>
      </c>
      <c r="E319" s="1" t="s">
        <v>691</v>
      </c>
      <c r="F319" s="1"/>
      <c r="G319" s="1"/>
      <c r="I319" s="4">
        <v>62</v>
      </c>
      <c r="J319" s="11">
        <v>2.0699999999999998</v>
      </c>
      <c r="K319" s="4">
        <v>5.6</v>
      </c>
      <c r="L319" s="12">
        <f t="shared" si="5"/>
        <v>0.31597034545691771</v>
      </c>
      <c r="M319" s="11">
        <f>GraphListeria!$B$10-(Listeria!I319-GraphListeria!$B$6)/GraphListeria!$B$5</f>
        <v>7.2252959516288628E-2</v>
      </c>
      <c r="N319" s="1" t="s">
        <v>490</v>
      </c>
      <c r="O319">
        <v>2001</v>
      </c>
      <c r="S319" s="10">
        <f>GraphListeria!$B$43*Listeria!I319+GraphListeria!$B$44</f>
        <v>0.10794020408845384</v>
      </c>
      <c r="U319" s="10">
        <f>GraphListeria!$H$43*Listeria!I319+GraphListeria!$H$44</f>
        <v>7.2252959516289295E-2</v>
      </c>
    </row>
    <row r="320" spans="1:21" x14ac:dyDescent="0.2">
      <c r="A320" s="1" t="s">
        <v>1440</v>
      </c>
      <c r="B320" s="1" t="s">
        <v>1443</v>
      </c>
      <c r="C320" t="s">
        <v>693</v>
      </c>
      <c r="D320" s="1" t="s">
        <v>46</v>
      </c>
      <c r="E320" s="1" t="s">
        <v>691</v>
      </c>
      <c r="F320" s="1"/>
      <c r="G320" s="1"/>
      <c r="I320" s="4">
        <v>65.5</v>
      </c>
      <c r="J320" s="11">
        <v>0.87</v>
      </c>
      <c r="K320" s="4">
        <v>5.6</v>
      </c>
      <c r="L320" s="12">
        <f t="shared" si="5"/>
        <v>-6.0480747381381476E-2</v>
      </c>
      <c r="M320" s="11">
        <f>GraphListeria!$B$10-(Listeria!I320-GraphListeria!$B$6)/GraphListeria!$B$5</f>
        <v>-0.42471293436216007</v>
      </c>
      <c r="N320" s="1" t="s">
        <v>490</v>
      </c>
      <c r="O320">
        <v>2001</v>
      </c>
      <c r="S320" s="10">
        <f>GraphListeria!$B$43*Listeria!I320+GraphListeria!$B$44</f>
        <v>-0.37532491042046878</v>
      </c>
      <c r="U320" s="10">
        <f>GraphListeria!$H$43*Listeria!I320+GraphListeria!$H$44</f>
        <v>-0.42471293436216051</v>
      </c>
    </row>
    <row r="321" spans="1:21" x14ac:dyDescent="0.2">
      <c r="A321" s="1" t="s">
        <v>1440</v>
      </c>
      <c r="B321" s="1" t="s">
        <v>1443</v>
      </c>
      <c r="D321" s="1" t="s">
        <v>45</v>
      </c>
      <c r="E321" s="1" t="s">
        <v>304</v>
      </c>
      <c r="F321" s="1" t="s">
        <v>1277</v>
      </c>
      <c r="G321" s="1"/>
      <c r="H321" s="4">
        <v>3.9</v>
      </c>
      <c r="I321" s="4">
        <v>56</v>
      </c>
      <c r="J321" s="11">
        <v>1.59</v>
      </c>
      <c r="K321" s="4">
        <v>6.3</v>
      </c>
      <c r="L321" s="12">
        <f t="shared" si="5"/>
        <v>0.20139712432045151</v>
      </c>
      <c r="M321" s="11">
        <f>GraphListeria!$B$10-(Listeria!I321-GraphListeria!$B$6)/GraphListeria!$B$5</f>
        <v>0.92419449187934366</v>
      </c>
      <c r="N321" s="1" t="s">
        <v>1149</v>
      </c>
      <c r="O321">
        <v>2001</v>
      </c>
      <c r="P321" t="s">
        <v>366</v>
      </c>
      <c r="S321" s="10">
        <f>GraphListeria!$B$43*Listeria!I321+GraphListeria!$B$44</f>
        <v>0.93639468610375154</v>
      </c>
      <c r="U321" s="10">
        <f>GraphListeria!$H$43*Listeria!I321+GraphListeria!$H$44</f>
        <v>0.92419449187934344</v>
      </c>
    </row>
    <row r="322" spans="1:21" x14ac:dyDescent="0.2">
      <c r="A322" s="1" t="s">
        <v>1440</v>
      </c>
      <c r="B322" s="1" t="s">
        <v>1443</v>
      </c>
      <c r="D322" s="1" t="s">
        <v>45</v>
      </c>
      <c r="E322" s="1" t="s">
        <v>304</v>
      </c>
      <c r="F322" s="1" t="s">
        <v>1277</v>
      </c>
      <c r="G322" s="1"/>
      <c r="H322" s="4">
        <v>3.9</v>
      </c>
      <c r="I322" s="4">
        <v>60</v>
      </c>
      <c r="J322" s="11">
        <v>0.45</v>
      </c>
      <c r="K322" s="4">
        <v>6.3</v>
      </c>
      <c r="L322" s="12">
        <f t="shared" si="5"/>
        <v>-0.34678748622465633</v>
      </c>
      <c r="M322" s="11">
        <f>GraphListeria!$B$10-(Listeria!I322-GraphListeria!$B$6)/GraphListeria!$B$5</f>
        <v>0.35623347030397379</v>
      </c>
      <c r="N322" s="1" t="s">
        <v>1149</v>
      </c>
      <c r="O322">
        <v>2001</v>
      </c>
      <c r="P322" t="s">
        <v>366</v>
      </c>
      <c r="S322" s="10">
        <f>GraphListeria!$B$43*Listeria!I322+GraphListeria!$B$44</f>
        <v>0.38409169809355426</v>
      </c>
      <c r="U322" s="10">
        <f>GraphListeria!$H$43*Listeria!I322+GraphListeria!$H$44</f>
        <v>0.35623347030397312</v>
      </c>
    </row>
    <row r="323" spans="1:21" x14ac:dyDescent="0.2">
      <c r="A323" s="1" t="s">
        <v>1440</v>
      </c>
      <c r="B323" s="1" t="s">
        <v>1443</v>
      </c>
      <c r="D323" s="1" t="s">
        <v>45</v>
      </c>
      <c r="E323" s="1" t="s">
        <v>304</v>
      </c>
      <c r="F323" s="1" t="s">
        <v>1277</v>
      </c>
      <c r="G323" s="1"/>
      <c r="H323" s="4">
        <v>3.9</v>
      </c>
      <c r="I323" s="4">
        <v>62</v>
      </c>
      <c r="J323" s="11">
        <v>0.17</v>
      </c>
      <c r="K323" s="4">
        <v>6.3</v>
      </c>
      <c r="L323" s="12">
        <f t="shared" si="5"/>
        <v>-0.769551078621726</v>
      </c>
      <c r="M323" s="11">
        <f>GraphListeria!$B$10-(Listeria!I323-GraphListeria!$B$6)/GraphListeria!$B$5</f>
        <v>7.2252959516288628E-2</v>
      </c>
      <c r="N323" s="1" t="s">
        <v>1149</v>
      </c>
      <c r="O323">
        <v>2001</v>
      </c>
      <c r="P323" t="s">
        <v>366</v>
      </c>
      <c r="S323" s="10">
        <f>GraphListeria!$B$43*Listeria!I323+GraphListeria!$B$44</f>
        <v>0.10794020408845384</v>
      </c>
      <c r="U323" s="10">
        <f>GraphListeria!$H$43*Listeria!I323+GraphListeria!$H$44</f>
        <v>7.2252959516289295E-2</v>
      </c>
    </row>
    <row r="324" spans="1:21" x14ac:dyDescent="0.2">
      <c r="A324" s="1" t="s">
        <v>1440</v>
      </c>
      <c r="B324" s="1" t="s">
        <v>1443</v>
      </c>
      <c r="D324" s="1" t="s">
        <v>45</v>
      </c>
      <c r="E324" s="1" t="s">
        <v>304</v>
      </c>
      <c r="F324" s="1" t="s">
        <v>1277</v>
      </c>
      <c r="G324" s="1"/>
      <c r="H324" s="4">
        <v>3.9</v>
      </c>
      <c r="I324" s="4">
        <v>56</v>
      </c>
      <c r="J324" s="11">
        <v>5</v>
      </c>
      <c r="K324" s="4">
        <v>5.6</v>
      </c>
      <c r="L324" s="12">
        <f t="shared" si="5"/>
        <v>0.69897000433601886</v>
      </c>
      <c r="M324" s="11">
        <f>GraphListeria!$B$10-(Listeria!I324-GraphListeria!$B$6)/GraphListeria!$B$5</f>
        <v>0.92419449187934366</v>
      </c>
      <c r="N324" s="1" t="s">
        <v>1149</v>
      </c>
      <c r="O324">
        <v>2001</v>
      </c>
      <c r="P324" t="s">
        <v>1042</v>
      </c>
      <c r="S324" s="10">
        <f>GraphListeria!$B$43*Listeria!I324+GraphListeria!$B$44</f>
        <v>0.93639468610375154</v>
      </c>
      <c r="U324" s="10">
        <f>GraphListeria!$H$43*Listeria!I324+GraphListeria!$H$44</f>
        <v>0.92419449187934344</v>
      </c>
    </row>
    <row r="325" spans="1:21" x14ac:dyDescent="0.2">
      <c r="A325" s="1" t="s">
        <v>1440</v>
      </c>
      <c r="B325" s="1" t="s">
        <v>1443</v>
      </c>
      <c r="D325" s="1" t="s">
        <v>45</v>
      </c>
      <c r="E325" s="1" t="s">
        <v>304</v>
      </c>
      <c r="F325" s="1" t="s">
        <v>1277</v>
      </c>
      <c r="G325" s="1"/>
      <c r="H325" s="4">
        <v>3.9</v>
      </c>
      <c r="I325" s="4">
        <v>60</v>
      </c>
      <c r="J325" s="11">
        <v>0.9</v>
      </c>
      <c r="K325" s="4">
        <v>5.6</v>
      </c>
      <c r="L325" s="12">
        <f t="shared" si="5"/>
        <v>-4.5757490560675115E-2</v>
      </c>
      <c r="M325" s="11">
        <f>GraphListeria!$B$10-(Listeria!I325-GraphListeria!$B$6)/GraphListeria!$B$5</f>
        <v>0.35623347030397379</v>
      </c>
      <c r="N325" s="1" t="s">
        <v>1149</v>
      </c>
      <c r="O325">
        <v>2001</v>
      </c>
      <c r="P325" t="s">
        <v>1042</v>
      </c>
      <c r="S325" s="10">
        <f>GraphListeria!$B$43*Listeria!I325+GraphListeria!$B$44</f>
        <v>0.38409169809355426</v>
      </c>
      <c r="U325" s="10">
        <f>GraphListeria!$H$43*Listeria!I325+GraphListeria!$H$44</f>
        <v>0.35623347030397312</v>
      </c>
    </row>
    <row r="326" spans="1:21" x14ac:dyDescent="0.2">
      <c r="A326" s="1" t="s">
        <v>1440</v>
      </c>
      <c r="B326" s="1" t="s">
        <v>1443</v>
      </c>
      <c r="D326" s="1" t="s">
        <v>45</v>
      </c>
      <c r="E326" s="1" t="s">
        <v>304</v>
      </c>
      <c r="F326" s="1" t="s">
        <v>1277</v>
      </c>
      <c r="G326" s="1"/>
      <c r="H326" s="4">
        <v>3.9</v>
      </c>
      <c r="I326" s="4">
        <v>62</v>
      </c>
      <c r="J326" s="11">
        <v>0.43</v>
      </c>
      <c r="K326" s="4">
        <v>5.6</v>
      </c>
      <c r="L326" s="12">
        <f t="shared" si="5"/>
        <v>-0.36653154442041347</v>
      </c>
      <c r="M326" s="11">
        <f>GraphListeria!$B$10-(Listeria!I326-GraphListeria!$B$6)/GraphListeria!$B$5</f>
        <v>7.2252959516288628E-2</v>
      </c>
      <c r="N326" s="1" t="s">
        <v>1149</v>
      </c>
      <c r="O326">
        <v>2001</v>
      </c>
      <c r="P326" t="s">
        <v>1042</v>
      </c>
      <c r="S326" s="10">
        <f>GraphListeria!$B$43*Listeria!I326+GraphListeria!$B$44</f>
        <v>0.10794020408845384</v>
      </c>
      <c r="U326" s="10">
        <f>GraphListeria!$H$43*Listeria!I326+GraphListeria!$H$44</f>
        <v>7.2252959516289295E-2</v>
      </c>
    </row>
    <row r="327" spans="1:21" x14ac:dyDescent="0.2">
      <c r="A327" s="1" t="s">
        <v>1440</v>
      </c>
      <c r="B327" s="1" t="s">
        <v>1443</v>
      </c>
      <c r="D327" s="1" t="s">
        <v>45</v>
      </c>
      <c r="E327" s="1" t="s">
        <v>1148</v>
      </c>
      <c r="F327" s="1" t="s">
        <v>1277</v>
      </c>
      <c r="G327" s="1"/>
      <c r="H327" s="4">
        <v>3.9</v>
      </c>
      <c r="I327" s="4">
        <v>56</v>
      </c>
      <c r="J327" s="11">
        <v>2.29</v>
      </c>
      <c r="K327" s="4">
        <v>6.6</v>
      </c>
      <c r="L327" s="12">
        <f t="shared" si="5"/>
        <v>0.35983548233988799</v>
      </c>
      <c r="M327" s="11">
        <f>GraphListeria!$B$10-(Listeria!I327-GraphListeria!$B$6)/GraphListeria!$B$5</f>
        <v>0.92419449187934366</v>
      </c>
      <c r="N327" s="1" t="s">
        <v>1149</v>
      </c>
      <c r="O327">
        <v>2001</v>
      </c>
      <c r="P327" t="s">
        <v>366</v>
      </c>
      <c r="S327" s="10">
        <f>GraphListeria!$B$43*Listeria!I327+GraphListeria!$B$44</f>
        <v>0.93639468610375154</v>
      </c>
      <c r="U327" s="10">
        <f>GraphListeria!$H$43*Listeria!I327+GraphListeria!$H$44</f>
        <v>0.92419449187934344</v>
      </c>
    </row>
    <row r="328" spans="1:21" x14ac:dyDescent="0.2">
      <c r="A328" s="1" t="s">
        <v>1440</v>
      </c>
      <c r="B328" s="1" t="s">
        <v>1443</v>
      </c>
      <c r="D328" s="1" t="s">
        <v>45</v>
      </c>
      <c r="E328" s="1" t="s">
        <v>1148</v>
      </c>
      <c r="F328" s="1" t="s">
        <v>1277</v>
      </c>
      <c r="G328" s="1"/>
      <c r="H328" s="4">
        <v>3.9</v>
      </c>
      <c r="I328" s="4">
        <v>60</v>
      </c>
      <c r="J328" s="11">
        <v>0.59</v>
      </c>
      <c r="K328" s="4">
        <v>6.6</v>
      </c>
      <c r="L328" s="12">
        <f t="shared" si="5"/>
        <v>-0.22914798835785583</v>
      </c>
      <c r="M328" s="11">
        <f>GraphListeria!$B$10-(Listeria!I328-GraphListeria!$B$6)/GraphListeria!$B$5</f>
        <v>0.35623347030397379</v>
      </c>
      <c r="N328" s="1" t="s">
        <v>1149</v>
      </c>
      <c r="O328">
        <v>2001</v>
      </c>
      <c r="P328" t="s">
        <v>366</v>
      </c>
      <c r="S328" s="10">
        <f>GraphListeria!$B$43*Listeria!I328+GraphListeria!$B$44</f>
        <v>0.38409169809355426</v>
      </c>
      <c r="U328" s="10">
        <f>GraphListeria!$H$43*Listeria!I328+GraphListeria!$H$44</f>
        <v>0.35623347030397312</v>
      </c>
    </row>
    <row r="329" spans="1:21" x14ac:dyDescent="0.2">
      <c r="A329" s="1" t="s">
        <v>1440</v>
      </c>
      <c r="B329" s="1" t="s">
        <v>1443</v>
      </c>
      <c r="D329" s="1" t="s">
        <v>45</v>
      </c>
      <c r="E329" s="1" t="s">
        <v>1148</v>
      </c>
      <c r="F329" s="1" t="s">
        <v>1277</v>
      </c>
      <c r="G329" s="1"/>
      <c r="H329" s="4">
        <v>3.9</v>
      </c>
      <c r="I329" s="4">
        <v>62</v>
      </c>
      <c r="J329" s="11">
        <v>0.28999999999999998</v>
      </c>
      <c r="K329" s="4">
        <v>6.6</v>
      </c>
      <c r="L329" s="12">
        <f t="shared" si="5"/>
        <v>-0.53760200210104392</v>
      </c>
      <c r="M329" s="11">
        <f>GraphListeria!$B$10-(Listeria!I329-GraphListeria!$B$6)/GraphListeria!$B$5</f>
        <v>7.2252959516288628E-2</v>
      </c>
      <c r="N329" s="1" t="s">
        <v>1149</v>
      </c>
      <c r="O329">
        <v>2001</v>
      </c>
      <c r="P329" t="s">
        <v>366</v>
      </c>
      <c r="S329" s="10">
        <f>GraphListeria!$B$43*Listeria!I329+GraphListeria!$B$44</f>
        <v>0.10794020408845384</v>
      </c>
      <c r="U329" s="10">
        <f>GraphListeria!$H$43*Listeria!I329+GraphListeria!$H$44</f>
        <v>7.2252959516289295E-2</v>
      </c>
    </row>
    <row r="330" spans="1:21" x14ac:dyDescent="0.2">
      <c r="A330" s="1" t="s">
        <v>1440</v>
      </c>
      <c r="B330" s="1" t="s">
        <v>1443</v>
      </c>
      <c r="D330" s="1" t="s">
        <v>45</v>
      </c>
      <c r="E330" s="1" t="s">
        <v>1148</v>
      </c>
      <c r="F330" s="1" t="s">
        <v>1277</v>
      </c>
      <c r="G330" s="1"/>
      <c r="H330" s="4">
        <v>3.9</v>
      </c>
      <c r="I330" s="4">
        <v>56</v>
      </c>
      <c r="J330" s="11">
        <v>4.59</v>
      </c>
      <c r="K330" s="4">
        <v>6.3</v>
      </c>
      <c r="L330" s="12">
        <f t="shared" si="5"/>
        <v>0.66181268553726125</v>
      </c>
      <c r="M330" s="11">
        <f>GraphListeria!$B$10-(Listeria!I330-GraphListeria!$B$6)/GraphListeria!$B$5</f>
        <v>0.92419449187934366</v>
      </c>
      <c r="N330" s="1" t="s">
        <v>1149</v>
      </c>
      <c r="O330">
        <v>2001</v>
      </c>
      <c r="P330" t="s">
        <v>1042</v>
      </c>
      <c r="S330" s="10">
        <f>GraphListeria!$B$43*Listeria!I330+GraphListeria!$B$44</f>
        <v>0.93639468610375154</v>
      </c>
      <c r="U330" s="10">
        <f>GraphListeria!$H$43*Listeria!I330+GraphListeria!$H$44</f>
        <v>0.92419449187934344</v>
      </c>
    </row>
    <row r="331" spans="1:21" x14ac:dyDescent="0.2">
      <c r="A331" s="1" t="s">
        <v>1440</v>
      </c>
      <c r="B331" s="1" t="s">
        <v>1443</v>
      </c>
      <c r="D331" s="1" t="s">
        <v>45</v>
      </c>
      <c r="E331" s="1" t="s">
        <v>1148</v>
      </c>
      <c r="F331" s="1" t="s">
        <v>1277</v>
      </c>
      <c r="G331" s="1"/>
      <c r="H331" s="4">
        <v>3.9</v>
      </c>
      <c r="I331" s="4">
        <v>60</v>
      </c>
      <c r="J331" s="11">
        <v>1.38</v>
      </c>
      <c r="K331" s="4">
        <v>6.3</v>
      </c>
      <c r="L331" s="12">
        <f t="shared" si="5"/>
        <v>0.13987908640123647</v>
      </c>
      <c r="M331" s="11">
        <f>GraphListeria!$B$10-(Listeria!I331-GraphListeria!$B$6)/GraphListeria!$B$5</f>
        <v>0.35623347030397379</v>
      </c>
      <c r="N331" s="1" t="s">
        <v>1149</v>
      </c>
      <c r="O331">
        <v>2001</v>
      </c>
      <c r="P331" t="s">
        <v>1042</v>
      </c>
      <c r="S331" s="10">
        <f>GraphListeria!$B$43*Listeria!I331+GraphListeria!$B$44</f>
        <v>0.38409169809355426</v>
      </c>
      <c r="U331" s="10">
        <f>GraphListeria!$H$43*Listeria!I331+GraphListeria!$H$44</f>
        <v>0.35623347030397312</v>
      </c>
    </row>
    <row r="332" spans="1:21" x14ac:dyDescent="0.2">
      <c r="A332" s="1" t="s">
        <v>1440</v>
      </c>
      <c r="B332" s="1" t="s">
        <v>1443</v>
      </c>
      <c r="D332" s="1" t="s">
        <v>45</v>
      </c>
      <c r="E332" s="1" t="s">
        <v>1148</v>
      </c>
      <c r="F332" s="1" t="s">
        <v>1277</v>
      </c>
      <c r="G332" s="1"/>
      <c r="H332" s="4">
        <v>3.9</v>
      </c>
      <c r="I332" s="4">
        <v>62</v>
      </c>
      <c r="J332" s="11">
        <v>0.48</v>
      </c>
      <c r="K332" s="4">
        <v>6.3</v>
      </c>
      <c r="L332" s="12">
        <f t="shared" si="5"/>
        <v>-0.31875876262441277</v>
      </c>
      <c r="M332" s="11">
        <f>GraphListeria!$B$10-(Listeria!I332-GraphListeria!$B$6)/GraphListeria!$B$5</f>
        <v>7.2252959516288628E-2</v>
      </c>
      <c r="N332" s="1" t="s">
        <v>1149</v>
      </c>
      <c r="O332">
        <v>2001</v>
      </c>
      <c r="P332" t="s">
        <v>1042</v>
      </c>
      <c r="S332" s="10">
        <f>GraphListeria!$B$43*Listeria!I332+GraphListeria!$B$44</f>
        <v>0.10794020408845384</v>
      </c>
      <c r="U332" s="10">
        <f>GraphListeria!$H$43*Listeria!I332+GraphListeria!$H$44</f>
        <v>7.2252959516289295E-2</v>
      </c>
    </row>
    <row r="333" spans="1:21" x14ac:dyDescent="0.2">
      <c r="A333" s="1" t="s">
        <v>1440</v>
      </c>
      <c r="B333" s="1" t="s">
        <v>1443</v>
      </c>
      <c r="D333" s="1" t="s">
        <v>45</v>
      </c>
      <c r="E333" s="1" t="s">
        <v>1147</v>
      </c>
      <c r="F333" s="1" t="s">
        <v>1277</v>
      </c>
      <c r="G333" s="1"/>
      <c r="H333" s="4">
        <v>3.9</v>
      </c>
      <c r="I333" s="4">
        <v>56</v>
      </c>
      <c r="J333" s="11">
        <v>2.0499999999999998</v>
      </c>
      <c r="K333" s="4">
        <v>6</v>
      </c>
      <c r="L333" s="12">
        <f t="shared" si="5"/>
        <v>0.31175386105575426</v>
      </c>
      <c r="M333" s="11">
        <f>GraphListeria!$B$10-(Listeria!I333-GraphListeria!$B$6)/GraphListeria!$B$5</f>
        <v>0.92419449187934366</v>
      </c>
      <c r="N333" s="1" t="s">
        <v>1149</v>
      </c>
      <c r="O333">
        <v>2001</v>
      </c>
      <c r="P333" t="s">
        <v>366</v>
      </c>
      <c r="S333" s="10">
        <f>GraphListeria!$B$43*Listeria!I333+GraphListeria!$B$44</f>
        <v>0.93639468610375154</v>
      </c>
      <c r="U333" s="10">
        <f>GraphListeria!$H$43*Listeria!I333+GraphListeria!$H$44</f>
        <v>0.92419449187934344</v>
      </c>
    </row>
    <row r="334" spans="1:21" x14ac:dyDescent="0.2">
      <c r="A334" s="1" t="s">
        <v>1440</v>
      </c>
      <c r="B334" s="1" t="s">
        <v>1443</v>
      </c>
      <c r="D334" s="1" t="s">
        <v>45</v>
      </c>
      <c r="E334" s="1" t="s">
        <v>1147</v>
      </c>
      <c r="F334" s="1" t="s">
        <v>1277</v>
      </c>
      <c r="G334" s="1"/>
      <c r="H334" s="4">
        <v>3.9</v>
      </c>
      <c r="I334" s="4">
        <v>60</v>
      </c>
      <c r="J334" s="11">
        <v>0.43</v>
      </c>
      <c r="K334" s="4">
        <v>6</v>
      </c>
      <c r="L334" s="12">
        <f t="shared" si="5"/>
        <v>-0.36653154442041347</v>
      </c>
      <c r="M334" s="11">
        <f>GraphListeria!$B$10-(Listeria!I334-GraphListeria!$B$6)/GraphListeria!$B$5</f>
        <v>0.35623347030397379</v>
      </c>
      <c r="N334" s="1" t="s">
        <v>1149</v>
      </c>
      <c r="O334">
        <v>2001</v>
      </c>
      <c r="P334" t="s">
        <v>366</v>
      </c>
      <c r="S334" s="10">
        <f>GraphListeria!$B$43*Listeria!I334+GraphListeria!$B$44</f>
        <v>0.38409169809355426</v>
      </c>
      <c r="U334" s="10">
        <f>GraphListeria!$H$43*Listeria!I334+GraphListeria!$H$44</f>
        <v>0.35623347030397312</v>
      </c>
    </row>
    <row r="335" spans="1:21" x14ac:dyDescent="0.2">
      <c r="A335" s="1" t="s">
        <v>1440</v>
      </c>
      <c r="B335" s="1" t="s">
        <v>1443</v>
      </c>
      <c r="D335" s="1" t="s">
        <v>45</v>
      </c>
      <c r="E335" s="1" t="s">
        <v>1147</v>
      </c>
      <c r="F335" s="1" t="s">
        <v>1277</v>
      </c>
      <c r="G335" s="1"/>
      <c r="H335" s="4">
        <v>3.9</v>
      </c>
      <c r="I335" s="4">
        <v>62</v>
      </c>
      <c r="J335" s="11">
        <v>0.21</v>
      </c>
      <c r="K335" s="4">
        <v>6</v>
      </c>
      <c r="L335" s="12">
        <f t="shared" si="5"/>
        <v>-0.6777807052660807</v>
      </c>
      <c r="M335" s="11">
        <f>GraphListeria!$B$10-(Listeria!I335-GraphListeria!$B$6)/GraphListeria!$B$5</f>
        <v>7.2252959516288628E-2</v>
      </c>
      <c r="N335" s="1" t="s">
        <v>1149</v>
      </c>
      <c r="O335">
        <v>2001</v>
      </c>
      <c r="P335" t="s">
        <v>366</v>
      </c>
      <c r="S335" s="10">
        <f>GraphListeria!$B$43*Listeria!I335+GraphListeria!$B$44</f>
        <v>0.10794020408845384</v>
      </c>
      <c r="U335" s="10">
        <f>GraphListeria!$H$43*Listeria!I335+GraphListeria!$H$44</f>
        <v>7.2252959516289295E-2</v>
      </c>
    </row>
    <row r="336" spans="1:21" x14ac:dyDescent="0.2">
      <c r="A336" s="1" t="s">
        <v>1440</v>
      </c>
      <c r="B336" s="1" t="s">
        <v>1443</v>
      </c>
      <c r="D336" s="1" t="s">
        <v>45</v>
      </c>
      <c r="E336" s="1" t="s">
        <v>1147</v>
      </c>
      <c r="F336" s="1" t="s">
        <v>1277</v>
      </c>
      <c r="G336" s="1"/>
      <c r="H336" s="4">
        <v>3.9</v>
      </c>
      <c r="I336" s="4">
        <v>56</v>
      </c>
      <c r="J336" s="11">
        <v>3.83</v>
      </c>
      <c r="K336" s="4">
        <v>5.9</v>
      </c>
      <c r="L336" s="12">
        <f t="shared" si="5"/>
        <v>0.58319877396862274</v>
      </c>
      <c r="M336" s="11">
        <f>GraphListeria!$B$10-(Listeria!I336-GraphListeria!$B$6)/GraphListeria!$B$5</f>
        <v>0.92419449187934366</v>
      </c>
      <c r="N336" s="1" t="s">
        <v>1149</v>
      </c>
      <c r="O336">
        <v>2001</v>
      </c>
      <c r="P336" t="s">
        <v>1042</v>
      </c>
      <c r="S336" s="10">
        <f>GraphListeria!$B$43*Listeria!I336+GraphListeria!$B$44</f>
        <v>0.93639468610375154</v>
      </c>
      <c r="U336" s="10">
        <f>GraphListeria!$H$43*Listeria!I336+GraphListeria!$H$44</f>
        <v>0.92419449187934344</v>
      </c>
    </row>
    <row r="337" spans="1:21" x14ac:dyDescent="0.2">
      <c r="A337" s="1" t="s">
        <v>1440</v>
      </c>
      <c r="B337" s="1" t="s">
        <v>1443</v>
      </c>
      <c r="D337" s="1" t="s">
        <v>45</v>
      </c>
      <c r="E337" s="1" t="s">
        <v>1147</v>
      </c>
      <c r="F337" s="1" t="s">
        <v>1277</v>
      </c>
      <c r="G337" s="1"/>
      <c r="H337" s="4">
        <v>3.9</v>
      </c>
      <c r="I337" s="4">
        <v>60</v>
      </c>
      <c r="J337" s="11">
        <v>0.67</v>
      </c>
      <c r="K337" s="4">
        <v>5.9</v>
      </c>
      <c r="L337" s="12">
        <f t="shared" si="5"/>
        <v>-0.17392519729917355</v>
      </c>
      <c r="M337" s="11">
        <f>GraphListeria!$B$10-(Listeria!I337-GraphListeria!$B$6)/GraphListeria!$B$5</f>
        <v>0.35623347030397379</v>
      </c>
      <c r="N337" s="1" t="s">
        <v>1149</v>
      </c>
      <c r="O337">
        <v>2001</v>
      </c>
      <c r="P337" t="s">
        <v>1042</v>
      </c>
      <c r="S337" s="10">
        <f>GraphListeria!$B$43*Listeria!I337+GraphListeria!$B$44</f>
        <v>0.38409169809355426</v>
      </c>
      <c r="U337" s="10">
        <f>GraphListeria!$H$43*Listeria!I337+GraphListeria!$H$44</f>
        <v>0.35623347030397312</v>
      </c>
    </row>
    <row r="338" spans="1:21" x14ac:dyDescent="0.2">
      <c r="A338" s="1" t="s">
        <v>1440</v>
      </c>
      <c r="B338" s="1" t="s">
        <v>1443</v>
      </c>
      <c r="D338" s="1" t="s">
        <v>45</v>
      </c>
      <c r="E338" s="1" t="s">
        <v>1147</v>
      </c>
      <c r="F338" s="1" t="s">
        <v>1277</v>
      </c>
      <c r="G338" s="1"/>
      <c r="H338" s="4">
        <v>3.9</v>
      </c>
      <c r="I338" s="4">
        <v>62</v>
      </c>
      <c r="J338" s="11">
        <v>0.38</v>
      </c>
      <c r="K338" s="4">
        <v>5.9</v>
      </c>
      <c r="L338" s="12">
        <f t="shared" si="5"/>
        <v>-0.42021640338318983</v>
      </c>
      <c r="M338" s="11">
        <f>GraphListeria!$B$10-(Listeria!I338-GraphListeria!$B$6)/GraphListeria!$B$5</f>
        <v>7.2252959516288628E-2</v>
      </c>
      <c r="N338" s="1" t="s">
        <v>1149</v>
      </c>
      <c r="O338">
        <v>2001</v>
      </c>
      <c r="P338" t="s">
        <v>1042</v>
      </c>
      <c r="S338" s="10">
        <f>GraphListeria!$B$43*Listeria!I338+GraphListeria!$B$44</f>
        <v>0.10794020408845384</v>
      </c>
      <c r="U338" s="10">
        <f>GraphListeria!$H$43*Listeria!I338+GraphListeria!$H$44</f>
        <v>7.2252959516289295E-2</v>
      </c>
    </row>
    <row r="339" spans="1:21" x14ac:dyDescent="0.2">
      <c r="A339" s="1" t="s">
        <v>1440</v>
      </c>
      <c r="B339" s="1" t="s">
        <v>1443</v>
      </c>
      <c r="C339" t="s">
        <v>57</v>
      </c>
      <c r="D339" s="1" t="s">
        <v>11</v>
      </c>
      <c r="E339" s="1" t="s">
        <v>1262</v>
      </c>
      <c r="F339" s="19" t="s">
        <v>475</v>
      </c>
      <c r="G339" s="19"/>
      <c r="I339" s="4">
        <v>60</v>
      </c>
      <c r="J339" s="11">
        <v>3.98</v>
      </c>
      <c r="L339" s="12">
        <f t="shared" si="5"/>
        <v>0.59988307207368785</v>
      </c>
      <c r="M339" s="11">
        <f>GraphListeria!$B$10-(Listeria!I339-GraphListeria!$B$6)/GraphListeria!$B$5</f>
        <v>0.35623347030397379</v>
      </c>
      <c r="N339" s="1" t="s">
        <v>490</v>
      </c>
      <c r="O339">
        <v>2001</v>
      </c>
      <c r="P339" t="s">
        <v>473</v>
      </c>
      <c r="S339" s="10">
        <f>GraphListeria!$B$43*Listeria!I339+GraphListeria!$B$44</f>
        <v>0.38409169809355426</v>
      </c>
      <c r="U339" s="10">
        <f>GraphListeria!$H$43*Listeria!I339+GraphListeria!$H$44</f>
        <v>0.35623347030397312</v>
      </c>
    </row>
    <row r="340" spans="1:21" x14ac:dyDescent="0.2">
      <c r="A340" s="1" t="s">
        <v>1440</v>
      </c>
      <c r="B340" s="1" t="s">
        <v>1443</v>
      </c>
      <c r="C340" t="s">
        <v>57</v>
      </c>
      <c r="D340" s="1" t="s">
        <v>11</v>
      </c>
      <c r="E340" s="1" t="s">
        <v>1262</v>
      </c>
      <c r="F340" s="19" t="s">
        <v>475</v>
      </c>
      <c r="G340" s="19"/>
      <c r="I340" s="4">
        <v>60</v>
      </c>
      <c r="J340" s="11">
        <v>10.8</v>
      </c>
      <c r="L340" s="12">
        <f t="shared" ref="L340:L403" si="6">LOG(J340)</f>
        <v>1.0334237554869496</v>
      </c>
      <c r="M340" s="11">
        <f>GraphListeria!$B$10-(Listeria!I340-GraphListeria!$B$6)/GraphListeria!$B$5</f>
        <v>0.35623347030397379</v>
      </c>
      <c r="N340" s="1" t="s">
        <v>490</v>
      </c>
      <c r="O340">
        <v>2001</v>
      </c>
      <c r="P340" t="s">
        <v>474</v>
      </c>
      <c r="S340" s="10">
        <f>GraphListeria!$B$43*Listeria!I340+GraphListeria!$B$44</f>
        <v>0.38409169809355426</v>
      </c>
      <c r="U340" s="10">
        <f>GraphListeria!$H$43*Listeria!I340+GraphListeria!$H$44</f>
        <v>0.35623347030397312</v>
      </c>
    </row>
    <row r="341" spans="1:21" x14ac:dyDescent="0.2">
      <c r="A341" s="1" t="s">
        <v>1440</v>
      </c>
      <c r="B341" s="1" t="s">
        <v>1443</v>
      </c>
      <c r="C341" t="s">
        <v>57</v>
      </c>
      <c r="D341" s="1" t="s">
        <v>11</v>
      </c>
      <c r="E341" s="1" t="s">
        <v>1262</v>
      </c>
      <c r="F341" s="1" t="s">
        <v>468</v>
      </c>
      <c r="G341" s="1"/>
      <c r="I341" s="4">
        <v>51.7</v>
      </c>
      <c r="J341" s="11">
        <v>81.3</v>
      </c>
      <c r="K341" s="4">
        <v>5.17</v>
      </c>
      <c r="L341" s="12">
        <f t="shared" si="6"/>
        <v>1.9100905455940682</v>
      </c>
      <c r="M341" s="11">
        <f>GraphListeria!$B$10-(Listeria!I341-GraphListeria!$B$6)/GraphListeria!$B$5</f>
        <v>1.5347525900728662</v>
      </c>
      <c r="N341" s="1" t="s">
        <v>490</v>
      </c>
      <c r="O341">
        <v>2001</v>
      </c>
      <c r="S341" s="10">
        <f>GraphListeria!$B$43*Listeria!I341+GraphListeria!$B$44</f>
        <v>1.5301203982147147</v>
      </c>
      <c r="U341" s="10">
        <f>GraphListeria!$H$43*Listeria!I341+GraphListeria!$H$44</f>
        <v>1.5347525900728662</v>
      </c>
    </row>
    <row r="342" spans="1:21" x14ac:dyDescent="0.2">
      <c r="A342" s="1" t="s">
        <v>1440</v>
      </c>
      <c r="B342" s="1" t="s">
        <v>1443</v>
      </c>
      <c r="C342" t="s">
        <v>57</v>
      </c>
      <c r="D342" s="1" t="s">
        <v>11</v>
      </c>
      <c r="E342" s="1" t="s">
        <v>1262</v>
      </c>
      <c r="F342" s="1" t="s">
        <v>468</v>
      </c>
      <c r="G342" s="1"/>
      <c r="I342" s="4">
        <v>57.2</v>
      </c>
      <c r="J342" s="11">
        <v>2.6</v>
      </c>
      <c r="K342" s="4">
        <v>5.17</v>
      </c>
      <c r="L342" s="12">
        <f t="shared" si="6"/>
        <v>0.41497334797081797</v>
      </c>
      <c r="M342" s="11">
        <f>GraphListeria!$B$10-(Listeria!I342-GraphListeria!$B$6)/GraphListeria!$B$5</f>
        <v>0.75380618540673239</v>
      </c>
      <c r="N342" s="1" t="s">
        <v>490</v>
      </c>
      <c r="O342">
        <v>2001</v>
      </c>
      <c r="S342" s="10">
        <f>GraphListeria!$B$43*Listeria!I342+GraphListeria!$B$44</f>
        <v>0.77070378970069164</v>
      </c>
      <c r="U342" s="10">
        <f>GraphListeria!$H$43*Listeria!I342+GraphListeria!$H$44</f>
        <v>0.75380618540673261</v>
      </c>
    </row>
    <row r="343" spans="1:21" x14ac:dyDescent="0.2">
      <c r="A343" s="1" t="s">
        <v>1440</v>
      </c>
      <c r="B343" s="1" t="s">
        <v>1443</v>
      </c>
      <c r="C343" t="s">
        <v>57</v>
      </c>
      <c r="D343" s="1" t="s">
        <v>11</v>
      </c>
      <c r="E343" s="1" t="s">
        <v>1262</v>
      </c>
      <c r="F343" s="1" t="s">
        <v>468</v>
      </c>
      <c r="G343" s="1"/>
      <c r="I343" s="4">
        <v>62.8</v>
      </c>
      <c r="J343" s="11">
        <v>0.6</v>
      </c>
      <c r="K343" s="4">
        <v>5.17</v>
      </c>
      <c r="L343" s="12">
        <f t="shared" si="6"/>
        <v>-0.22184874961635639</v>
      </c>
      <c r="M343" s="11">
        <f>GraphListeria!$B$10-(Listeria!I343-GraphListeria!$B$6)/GraphListeria!$B$5</f>
        <v>-4.1339244798784813E-2</v>
      </c>
      <c r="N343" s="1" t="s">
        <v>490</v>
      </c>
      <c r="O343">
        <v>2001</v>
      </c>
      <c r="S343" s="10">
        <f>GraphListeria!$B$43*Listeria!I343+GraphListeria!$B$44</f>
        <v>-2.5203935135849065E-3</v>
      </c>
      <c r="U343" s="10">
        <f>GraphListeria!$H$43*Listeria!I343+GraphListeria!$H$44</f>
        <v>-4.1339244798784591E-2</v>
      </c>
    </row>
    <row r="344" spans="1:21" x14ac:dyDescent="0.2">
      <c r="A344" s="1" t="s">
        <v>1440</v>
      </c>
      <c r="B344" s="1" t="s">
        <v>1443</v>
      </c>
      <c r="C344" t="s">
        <v>463</v>
      </c>
      <c r="D344" s="1" t="s">
        <v>11</v>
      </c>
      <c r="E344" s="1" t="s">
        <v>1262</v>
      </c>
      <c r="F344" s="1" t="s">
        <v>469</v>
      </c>
      <c r="G344" s="1"/>
      <c r="I344" s="4">
        <v>50</v>
      </c>
      <c r="J344" s="11">
        <v>36.1</v>
      </c>
      <c r="K344" s="4">
        <v>4.9000000000000004</v>
      </c>
      <c r="L344" s="12">
        <f t="shared" si="6"/>
        <v>1.5575072019056579</v>
      </c>
      <c r="M344" s="11">
        <f>GraphListeria!$B$10-(Listeria!I344-GraphListeria!$B$6)/GraphListeria!$B$5</f>
        <v>1.7761360242423989</v>
      </c>
      <c r="N344" s="1" t="s">
        <v>490</v>
      </c>
      <c r="O344">
        <v>2001</v>
      </c>
      <c r="S344" s="10">
        <f>GraphListeria!$B$43*Listeria!I344+GraphListeria!$B$44</f>
        <v>1.7648491681190492</v>
      </c>
      <c r="U344" s="10">
        <f>GraphListeria!$H$43*Listeria!I344+GraphListeria!$H$44</f>
        <v>1.7761360242423985</v>
      </c>
    </row>
    <row r="345" spans="1:21" x14ac:dyDescent="0.2">
      <c r="A345" s="1" t="s">
        <v>1440</v>
      </c>
      <c r="B345" s="1" t="s">
        <v>1443</v>
      </c>
      <c r="C345" t="s">
        <v>463</v>
      </c>
      <c r="D345" s="1" t="s">
        <v>11</v>
      </c>
      <c r="E345" s="1" t="s">
        <v>1262</v>
      </c>
      <c r="F345" s="1" t="s">
        <v>469</v>
      </c>
      <c r="G345" s="1"/>
      <c r="I345" s="4">
        <v>55</v>
      </c>
      <c r="J345" s="11">
        <v>3.53</v>
      </c>
      <c r="K345" s="4">
        <v>4.9000000000000004</v>
      </c>
      <c r="L345" s="12">
        <f t="shared" si="6"/>
        <v>0.54777470538782258</v>
      </c>
      <c r="M345" s="11">
        <f>GraphListeria!$B$10-(Listeria!I345-GraphListeria!$B$6)/GraphListeria!$B$5</f>
        <v>1.0661847472731862</v>
      </c>
      <c r="N345" s="1" t="s">
        <v>490</v>
      </c>
      <c r="O345">
        <v>2001</v>
      </c>
      <c r="S345" s="10">
        <f>GraphListeria!$B$43*Listeria!I345+GraphListeria!$B$44</f>
        <v>1.0744704331063017</v>
      </c>
      <c r="U345" s="10">
        <f>GraphListeria!$H$43*Listeria!I345+GraphListeria!$H$44</f>
        <v>1.0661847472731862</v>
      </c>
    </row>
    <row r="346" spans="1:21" x14ac:dyDescent="0.2">
      <c r="A346" s="1" t="s">
        <v>1440</v>
      </c>
      <c r="B346" s="1" t="s">
        <v>1443</v>
      </c>
      <c r="C346" t="s">
        <v>463</v>
      </c>
      <c r="D346" s="1" t="s">
        <v>11</v>
      </c>
      <c r="E346" s="1" t="s">
        <v>1262</v>
      </c>
      <c r="F346" s="1" t="s">
        <v>469</v>
      </c>
      <c r="G346" s="1"/>
      <c r="I346" s="4">
        <v>60</v>
      </c>
      <c r="J346" s="11">
        <v>0.33</v>
      </c>
      <c r="K346" s="4">
        <v>4.9000000000000004</v>
      </c>
      <c r="L346" s="12">
        <f t="shared" si="6"/>
        <v>-0.48148606012211248</v>
      </c>
      <c r="M346" s="11">
        <f>GraphListeria!$B$10-(Listeria!I346-GraphListeria!$B$6)/GraphListeria!$B$5</f>
        <v>0.35623347030397379</v>
      </c>
      <c r="N346" s="1" t="s">
        <v>490</v>
      </c>
      <c r="O346">
        <v>2001</v>
      </c>
      <c r="S346" s="10">
        <f>GraphListeria!$B$43*Listeria!I346+GraphListeria!$B$44</f>
        <v>0.38409169809355426</v>
      </c>
      <c r="U346" s="10">
        <f>GraphListeria!$H$43*Listeria!I346+GraphListeria!$H$44</f>
        <v>0.35623347030397312</v>
      </c>
    </row>
    <row r="347" spans="1:21" x14ac:dyDescent="0.2">
      <c r="A347" s="1" t="s">
        <v>1440</v>
      </c>
      <c r="B347" s="1" t="s">
        <v>1443</v>
      </c>
      <c r="C347" t="s">
        <v>463</v>
      </c>
      <c r="D347" s="1" t="s">
        <v>11</v>
      </c>
      <c r="E347" s="1" t="s">
        <v>1262</v>
      </c>
      <c r="F347" s="1" t="s">
        <v>469</v>
      </c>
      <c r="G347" s="1"/>
      <c r="I347" s="4">
        <v>50</v>
      </c>
      <c r="J347" s="11">
        <v>43.5</v>
      </c>
      <c r="K347" s="4">
        <v>4.4000000000000004</v>
      </c>
      <c r="L347" s="12">
        <f t="shared" si="6"/>
        <v>1.6384892569546374</v>
      </c>
      <c r="M347" s="11">
        <f>GraphListeria!$B$10-(Listeria!I347-GraphListeria!$B$6)/GraphListeria!$B$5</f>
        <v>1.7761360242423989</v>
      </c>
      <c r="N347" s="1" t="s">
        <v>490</v>
      </c>
      <c r="O347">
        <v>2001</v>
      </c>
      <c r="S347" s="10">
        <f>GraphListeria!$B$43*Listeria!I347+GraphListeria!$B$44</f>
        <v>1.7648491681190492</v>
      </c>
      <c r="U347" s="10">
        <f>GraphListeria!$H$43*Listeria!I347+GraphListeria!$H$44</f>
        <v>1.7761360242423985</v>
      </c>
    </row>
    <row r="348" spans="1:21" x14ac:dyDescent="0.2">
      <c r="A348" s="1" t="s">
        <v>1440</v>
      </c>
      <c r="B348" s="1" t="s">
        <v>1443</v>
      </c>
      <c r="C348" t="s">
        <v>463</v>
      </c>
      <c r="D348" s="1" t="s">
        <v>11</v>
      </c>
      <c r="E348" s="1" t="s">
        <v>1262</v>
      </c>
      <c r="F348" s="1" t="s">
        <v>469</v>
      </c>
      <c r="G348" s="1"/>
      <c r="I348" s="4">
        <v>55</v>
      </c>
      <c r="J348" s="11">
        <v>3.14</v>
      </c>
      <c r="K348" s="4">
        <v>4.4000000000000004</v>
      </c>
      <c r="L348" s="12">
        <f t="shared" si="6"/>
        <v>0.49692964807321494</v>
      </c>
      <c r="M348" s="11">
        <f>GraphListeria!$B$10-(Listeria!I348-GraphListeria!$B$6)/GraphListeria!$B$5</f>
        <v>1.0661847472731862</v>
      </c>
      <c r="N348" s="1" t="s">
        <v>490</v>
      </c>
      <c r="O348">
        <v>2001</v>
      </c>
      <c r="S348" s="10">
        <f>GraphListeria!$B$43*Listeria!I348+GraphListeria!$B$44</f>
        <v>1.0744704331063017</v>
      </c>
      <c r="U348" s="10">
        <f>GraphListeria!$H$43*Listeria!I348+GraphListeria!$H$44</f>
        <v>1.0661847472731862</v>
      </c>
    </row>
    <row r="349" spans="1:21" x14ac:dyDescent="0.2">
      <c r="A349" s="1" t="s">
        <v>1440</v>
      </c>
      <c r="B349" s="1" t="s">
        <v>1443</v>
      </c>
      <c r="C349" t="s">
        <v>463</v>
      </c>
      <c r="D349" s="1" t="s">
        <v>11</v>
      </c>
      <c r="E349" s="1" t="s">
        <v>1262</v>
      </c>
      <c r="F349" s="1" t="s">
        <v>469</v>
      </c>
      <c r="G349" s="1"/>
      <c r="I349" s="4">
        <v>60</v>
      </c>
      <c r="J349" s="11">
        <v>0.24</v>
      </c>
      <c r="K349" s="4">
        <v>4.4000000000000004</v>
      </c>
      <c r="L349" s="12">
        <f t="shared" si="6"/>
        <v>-0.61978875828839397</v>
      </c>
      <c r="M349" s="11">
        <f>GraphListeria!$B$10-(Listeria!I349-GraphListeria!$B$6)/GraphListeria!$B$5</f>
        <v>0.35623347030397379</v>
      </c>
      <c r="N349" s="1" t="s">
        <v>490</v>
      </c>
      <c r="O349">
        <v>2001</v>
      </c>
      <c r="S349" s="10">
        <f>GraphListeria!$B$43*Listeria!I349+GraphListeria!$B$44</f>
        <v>0.38409169809355426</v>
      </c>
      <c r="U349" s="10">
        <f>GraphListeria!$H$43*Listeria!I349+GraphListeria!$H$44</f>
        <v>0.35623347030397312</v>
      </c>
    </row>
    <row r="350" spans="1:21" x14ac:dyDescent="0.2">
      <c r="A350" s="1" t="s">
        <v>1440</v>
      </c>
      <c r="B350" s="1" t="s">
        <v>1443</v>
      </c>
      <c r="D350" s="1" t="s">
        <v>11</v>
      </c>
      <c r="E350" s="1" t="s">
        <v>1262</v>
      </c>
      <c r="F350" s="1" t="s">
        <v>466</v>
      </c>
      <c r="G350" s="1"/>
      <c r="I350" s="4">
        <v>54.4</v>
      </c>
      <c r="J350" s="11">
        <v>22.4</v>
      </c>
      <c r="K350" s="4">
        <v>7.9</v>
      </c>
      <c r="L350" s="12">
        <f t="shared" si="6"/>
        <v>1.3502480183341627</v>
      </c>
      <c r="M350" s="11">
        <f>GraphListeria!$B$10-(Listeria!I350-GraphListeria!$B$6)/GraphListeria!$B$5</f>
        <v>1.1513789005094921</v>
      </c>
      <c r="N350" s="1" t="s">
        <v>490</v>
      </c>
      <c r="O350">
        <v>2001</v>
      </c>
      <c r="S350" s="10">
        <f>GraphListeria!$B$43*Listeria!I350+GraphListeria!$B$44</f>
        <v>1.1573158813078317</v>
      </c>
      <c r="U350" s="10">
        <f>GraphListeria!$H$43*Listeria!I350+GraphListeria!$H$44</f>
        <v>1.1513789005094921</v>
      </c>
    </row>
    <row r="351" spans="1:21" x14ac:dyDescent="0.2">
      <c r="A351" s="1" t="s">
        <v>1440</v>
      </c>
      <c r="B351" s="1" t="s">
        <v>1443</v>
      </c>
      <c r="D351" s="1" t="s">
        <v>11</v>
      </c>
      <c r="E351" s="1" t="s">
        <v>1262</v>
      </c>
      <c r="F351" s="1" t="s">
        <v>466</v>
      </c>
      <c r="G351" s="1"/>
      <c r="I351" s="4">
        <v>57.2</v>
      </c>
      <c r="J351" s="11">
        <v>15.7</v>
      </c>
      <c r="K351" s="4">
        <v>7.9</v>
      </c>
      <c r="L351" s="12">
        <f t="shared" si="6"/>
        <v>1.1958996524092338</v>
      </c>
      <c r="M351" s="11">
        <f>GraphListeria!$B$10-(Listeria!I351-GraphListeria!$B$6)/GraphListeria!$B$5</f>
        <v>0.75380618540673239</v>
      </c>
      <c r="N351" s="1" t="s">
        <v>490</v>
      </c>
      <c r="O351">
        <v>2001</v>
      </c>
      <c r="S351" s="10">
        <f>GraphListeria!$B$43*Listeria!I351+GraphListeria!$B$44</f>
        <v>0.77070378970069164</v>
      </c>
      <c r="U351" s="10">
        <f>GraphListeria!$H$43*Listeria!I351+GraphListeria!$H$44</f>
        <v>0.75380618540673261</v>
      </c>
    </row>
    <row r="352" spans="1:21" x14ac:dyDescent="0.2">
      <c r="A352" s="1" t="s">
        <v>1440</v>
      </c>
      <c r="B352" s="1" t="s">
        <v>1443</v>
      </c>
      <c r="D352" s="1" t="s">
        <v>11</v>
      </c>
      <c r="E352" s="1" t="s">
        <v>1262</v>
      </c>
      <c r="F352" s="1" t="s">
        <v>466</v>
      </c>
      <c r="G352" s="1"/>
      <c r="I352" s="4">
        <v>60</v>
      </c>
      <c r="J352" s="11">
        <v>4.47</v>
      </c>
      <c r="K352" s="4">
        <v>7.9</v>
      </c>
      <c r="L352" s="12">
        <f t="shared" si="6"/>
        <v>0.6503075231319364</v>
      </c>
      <c r="M352" s="11">
        <f>GraphListeria!$B$10-(Listeria!I352-GraphListeria!$B$6)/GraphListeria!$B$5</f>
        <v>0.35623347030397379</v>
      </c>
      <c r="N352" s="1" t="s">
        <v>490</v>
      </c>
      <c r="O352">
        <v>2001</v>
      </c>
      <c r="S352" s="10">
        <f>GraphListeria!$B$43*Listeria!I352+GraphListeria!$B$44</f>
        <v>0.38409169809355426</v>
      </c>
      <c r="U352" s="10">
        <f>GraphListeria!$H$43*Listeria!I352+GraphListeria!$H$44</f>
        <v>0.35623347030397312</v>
      </c>
    </row>
    <row r="353" spans="1:21" x14ac:dyDescent="0.2">
      <c r="A353" s="1" t="s">
        <v>1440</v>
      </c>
      <c r="B353" s="1" t="s">
        <v>1443</v>
      </c>
      <c r="D353" s="1" t="s">
        <v>11</v>
      </c>
      <c r="E353" s="1" t="s">
        <v>1262</v>
      </c>
      <c r="F353" s="1" t="s">
        <v>466</v>
      </c>
      <c r="G353" s="1"/>
      <c r="I353" s="4">
        <v>62.8</v>
      </c>
      <c r="J353" s="11">
        <v>2.56</v>
      </c>
      <c r="K353" s="4">
        <v>7.9</v>
      </c>
      <c r="L353" s="12">
        <f t="shared" si="6"/>
        <v>0.40823996531184958</v>
      </c>
      <c r="M353" s="11">
        <f>GraphListeria!$B$10-(Listeria!I353-GraphListeria!$B$6)/GraphListeria!$B$5</f>
        <v>-4.1339244798784813E-2</v>
      </c>
      <c r="N353" s="1" t="s">
        <v>490</v>
      </c>
      <c r="O353">
        <v>2001</v>
      </c>
      <c r="S353" s="10">
        <f>GraphListeria!$B$43*Listeria!I353+GraphListeria!$B$44</f>
        <v>-2.5203935135849065E-3</v>
      </c>
      <c r="U353" s="10">
        <f>GraphListeria!$H$43*Listeria!I353+GraphListeria!$H$44</f>
        <v>-4.1339244798784591E-2</v>
      </c>
    </row>
    <row r="354" spans="1:21" x14ac:dyDescent="0.2">
      <c r="A354" s="1" t="s">
        <v>1440</v>
      </c>
      <c r="B354" s="1" t="s">
        <v>1443</v>
      </c>
      <c r="D354" s="1" t="s">
        <v>11</v>
      </c>
      <c r="E354" s="1" t="s">
        <v>1262</v>
      </c>
      <c r="F354" s="1" t="s">
        <v>466</v>
      </c>
      <c r="G354" s="1"/>
      <c r="I354" s="4">
        <v>54.4</v>
      </c>
      <c r="J354" s="11">
        <v>12.5</v>
      </c>
      <c r="K354" s="4">
        <v>7.9</v>
      </c>
      <c r="L354" s="12">
        <f t="shared" si="6"/>
        <v>1.0969100130080565</v>
      </c>
      <c r="M354" s="11">
        <f>GraphListeria!$B$10-(Listeria!I354-GraphListeria!$B$6)/GraphListeria!$B$5</f>
        <v>1.1513789005094921</v>
      </c>
      <c r="N354" s="1" t="s">
        <v>490</v>
      </c>
      <c r="O354">
        <v>2001</v>
      </c>
      <c r="S354" s="10">
        <f>GraphListeria!$B$43*Listeria!I354+GraphListeria!$B$44</f>
        <v>1.1573158813078317</v>
      </c>
      <c r="U354" s="10">
        <f>GraphListeria!$H$43*Listeria!I354+GraphListeria!$H$44</f>
        <v>1.1513789005094921</v>
      </c>
    </row>
    <row r="355" spans="1:21" x14ac:dyDescent="0.2">
      <c r="A355" s="1" t="s">
        <v>1440</v>
      </c>
      <c r="B355" s="1" t="s">
        <v>1443</v>
      </c>
      <c r="D355" s="1" t="s">
        <v>11</v>
      </c>
      <c r="E355" s="1" t="s">
        <v>1262</v>
      </c>
      <c r="F355" s="1" t="s">
        <v>466</v>
      </c>
      <c r="G355" s="1"/>
      <c r="I355" s="4">
        <v>57.2</v>
      </c>
      <c r="J355" s="11">
        <v>3.41</v>
      </c>
      <c r="K355" s="4">
        <v>7.9</v>
      </c>
      <c r="L355" s="12">
        <f t="shared" si="6"/>
        <v>0.53275437899249778</v>
      </c>
      <c r="M355" s="11">
        <f>GraphListeria!$B$10-(Listeria!I355-GraphListeria!$B$6)/GraphListeria!$B$5</f>
        <v>0.75380618540673239</v>
      </c>
      <c r="N355" s="1" t="s">
        <v>490</v>
      </c>
      <c r="O355">
        <v>2001</v>
      </c>
      <c r="S355" s="10">
        <f>GraphListeria!$B$43*Listeria!I355+GraphListeria!$B$44</f>
        <v>0.77070378970069164</v>
      </c>
      <c r="U355" s="10">
        <f>GraphListeria!$H$43*Listeria!I355+GraphListeria!$H$44</f>
        <v>0.75380618540673261</v>
      </c>
    </row>
    <row r="356" spans="1:21" x14ac:dyDescent="0.2">
      <c r="A356" s="1" t="s">
        <v>1440</v>
      </c>
      <c r="B356" s="1" t="s">
        <v>1443</v>
      </c>
      <c r="D356" s="1" t="s">
        <v>11</v>
      </c>
      <c r="E356" s="1" t="s">
        <v>1262</v>
      </c>
      <c r="F356" s="1" t="s">
        <v>466</v>
      </c>
      <c r="G356" s="1"/>
      <c r="I356" s="4">
        <v>60</v>
      </c>
      <c r="J356" s="11">
        <v>1.62</v>
      </c>
      <c r="K356" s="4">
        <v>7.9</v>
      </c>
      <c r="L356" s="12">
        <f t="shared" si="6"/>
        <v>0.20951501454263097</v>
      </c>
      <c r="M356" s="11">
        <f>GraphListeria!$B$10-(Listeria!I356-GraphListeria!$B$6)/GraphListeria!$B$5</f>
        <v>0.35623347030397379</v>
      </c>
      <c r="N356" s="1" t="s">
        <v>490</v>
      </c>
      <c r="O356">
        <v>2001</v>
      </c>
      <c r="S356" s="10">
        <f>GraphListeria!$B$43*Listeria!I356+GraphListeria!$B$44</f>
        <v>0.38409169809355426</v>
      </c>
      <c r="U356" s="10">
        <f>GraphListeria!$H$43*Listeria!I356+GraphListeria!$H$44</f>
        <v>0.35623347030397312</v>
      </c>
    </row>
    <row r="357" spans="1:21" x14ac:dyDescent="0.2">
      <c r="A357" s="1" t="s">
        <v>1440</v>
      </c>
      <c r="B357" s="1" t="s">
        <v>1443</v>
      </c>
      <c r="D357" s="1" t="s">
        <v>11</v>
      </c>
      <c r="E357" s="1" t="s">
        <v>1262</v>
      </c>
      <c r="F357" s="1" t="s">
        <v>466</v>
      </c>
      <c r="G357" s="1"/>
      <c r="I357" s="4">
        <v>62.8</v>
      </c>
      <c r="J357" s="11">
        <v>0.73</v>
      </c>
      <c r="K357" s="4">
        <v>7.9</v>
      </c>
      <c r="L357" s="12">
        <f t="shared" si="6"/>
        <v>-0.13667713987954411</v>
      </c>
      <c r="M357" s="11">
        <f>GraphListeria!$B$10-(Listeria!I357-GraphListeria!$B$6)/GraphListeria!$B$5</f>
        <v>-4.1339244798784813E-2</v>
      </c>
      <c r="N357" s="1" t="s">
        <v>490</v>
      </c>
      <c r="O357">
        <v>2001</v>
      </c>
      <c r="S357" s="10">
        <f>GraphListeria!$B$43*Listeria!I357+GraphListeria!$B$44</f>
        <v>-2.5203935135849065E-3</v>
      </c>
      <c r="U357" s="10">
        <f>GraphListeria!$H$43*Listeria!I357+GraphListeria!$H$44</f>
        <v>-4.1339244798784591E-2</v>
      </c>
    </row>
    <row r="358" spans="1:21" x14ac:dyDescent="0.2">
      <c r="A358" s="1" t="s">
        <v>1440</v>
      </c>
      <c r="B358" s="1" t="s">
        <v>1443</v>
      </c>
      <c r="C358" t="s">
        <v>463</v>
      </c>
      <c r="D358" s="1" t="s">
        <v>11</v>
      </c>
      <c r="E358" s="1" t="s">
        <v>1262</v>
      </c>
      <c r="F358" s="1" t="s">
        <v>470</v>
      </c>
      <c r="G358" s="1"/>
      <c r="H358" s="4">
        <v>7.2</v>
      </c>
      <c r="I358" s="4">
        <v>55</v>
      </c>
      <c r="J358" s="11">
        <v>2.94</v>
      </c>
      <c r="L358" s="12">
        <f t="shared" si="6"/>
        <v>0.46834733041215726</v>
      </c>
      <c r="M358" s="11">
        <f>GraphListeria!$B$10-(Listeria!I358-GraphListeria!$B$6)/GraphListeria!$B$5</f>
        <v>1.0661847472731862</v>
      </c>
      <c r="N358" s="1" t="s">
        <v>490</v>
      </c>
      <c r="O358">
        <v>2001</v>
      </c>
      <c r="S358" s="10">
        <f>GraphListeria!$B$43*Listeria!I358+GraphListeria!$B$44</f>
        <v>1.0744704331063017</v>
      </c>
      <c r="U358" s="10">
        <f>GraphListeria!$H$43*Listeria!I358+GraphListeria!$H$44</f>
        <v>1.0661847472731862</v>
      </c>
    </row>
    <row r="359" spans="1:21" x14ac:dyDescent="0.2">
      <c r="A359" s="1" t="s">
        <v>1440</v>
      </c>
      <c r="B359" s="1" t="s">
        <v>1443</v>
      </c>
      <c r="C359" t="s">
        <v>463</v>
      </c>
      <c r="D359" s="1" t="s">
        <v>11</v>
      </c>
      <c r="E359" s="1" t="s">
        <v>1262</v>
      </c>
      <c r="F359" s="1" t="s">
        <v>470</v>
      </c>
      <c r="G359" s="1"/>
      <c r="H359" s="4">
        <v>5.7</v>
      </c>
      <c r="I359" s="4">
        <v>55</v>
      </c>
      <c r="J359" s="11">
        <v>3.93</v>
      </c>
      <c r="L359" s="12">
        <f t="shared" si="6"/>
        <v>0.59439255037542671</v>
      </c>
      <c r="M359" s="11">
        <f>GraphListeria!$B$10-(Listeria!I359-GraphListeria!$B$6)/GraphListeria!$B$5</f>
        <v>1.0661847472731862</v>
      </c>
      <c r="N359" s="1" t="s">
        <v>490</v>
      </c>
      <c r="O359">
        <v>2001</v>
      </c>
      <c r="S359" s="10">
        <f>GraphListeria!$B$43*Listeria!I359+GraphListeria!$B$44</f>
        <v>1.0744704331063017</v>
      </c>
      <c r="U359" s="10">
        <f>GraphListeria!$H$43*Listeria!I359+GraphListeria!$H$44</f>
        <v>1.0661847472731862</v>
      </c>
    </row>
    <row r="360" spans="1:21" x14ac:dyDescent="0.2">
      <c r="A360" s="1" t="s">
        <v>1440</v>
      </c>
      <c r="B360" s="1" t="s">
        <v>1443</v>
      </c>
      <c r="C360" t="s">
        <v>463</v>
      </c>
      <c r="D360" s="1" t="s">
        <v>11</v>
      </c>
      <c r="E360" s="1" t="s">
        <v>1262</v>
      </c>
      <c r="F360" s="1" t="s">
        <v>471</v>
      </c>
      <c r="G360" s="1"/>
      <c r="H360" s="4">
        <v>7.2</v>
      </c>
      <c r="I360" s="4">
        <v>55</v>
      </c>
      <c r="J360" s="11">
        <v>2.39</v>
      </c>
      <c r="L360" s="12">
        <f t="shared" si="6"/>
        <v>0.37839790094813769</v>
      </c>
      <c r="M360" s="11">
        <f>GraphListeria!$B$10-(Listeria!I360-GraphListeria!$B$6)/GraphListeria!$B$5</f>
        <v>1.0661847472731862</v>
      </c>
      <c r="N360" s="1" t="s">
        <v>490</v>
      </c>
      <c r="O360">
        <v>2001</v>
      </c>
      <c r="S360" s="10">
        <f>GraphListeria!$B$43*Listeria!I360+GraphListeria!$B$44</f>
        <v>1.0744704331063017</v>
      </c>
      <c r="U360" s="10">
        <f>GraphListeria!$H$43*Listeria!I360+GraphListeria!$H$44</f>
        <v>1.0661847472731862</v>
      </c>
    </row>
    <row r="361" spans="1:21" x14ac:dyDescent="0.2">
      <c r="A361" s="1" t="s">
        <v>1440</v>
      </c>
      <c r="B361" s="1" t="s">
        <v>1443</v>
      </c>
      <c r="C361" t="s">
        <v>463</v>
      </c>
      <c r="D361" s="1" t="s">
        <v>11</v>
      </c>
      <c r="E361" s="1" t="s">
        <v>1262</v>
      </c>
      <c r="F361" s="1" t="s">
        <v>471</v>
      </c>
      <c r="G361" s="1"/>
      <c r="H361" s="4">
        <v>5.7</v>
      </c>
      <c r="I361" s="4">
        <v>55</v>
      </c>
      <c r="J361" s="11">
        <v>2.5</v>
      </c>
      <c r="L361" s="12">
        <f t="shared" si="6"/>
        <v>0.3979400086720376</v>
      </c>
      <c r="M361" s="11">
        <f>GraphListeria!$B$10-(Listeria!I361-GraphListeria!$B$6)/GraphListeria!$B$5</f>
        <v>1.0661847472731862</v>
      </c>
      <c r="N361" s="1" t="s">
        <v>490</v>
      </c>
      <c r="O361">
        <v>2001</v>
      </c>
      <c r="S361" s="10">
        <f>GraphListeria!$B$43*Listeria!I361+GraphListeria!$B$44</f>
        <v>1.0744704331063017</v>
      </c>
      <c r="U361" s="10">
        <f>GraphListeria!$H$43*Listeria!I361+GraphListeria!$H$44</f>
        <v>1.0661847472731862</v>
      </c>
    </row>
    <row r="362" spans="1:21" x14ac:dyDescent="0.2">
      <c r="A362" s="1" t="s">
        <v>1440</v>
      </c>
      <c r="B362" s="1" t="s">
        <v>1443</v>
      </c>
      <c r="C362" t="s">
        <v>463</v>
      </c>
      <c r="D362" s="1" t="s">
        <v>11</v>
      </c>
      <c r="E362" s="1" t="s">
        <v>1262</v>
      </c>
      <c r="F362" s="1" t="s">
        <v>472</v>
      </c>
      <c r="G362" s="1"/>
      <c r="H362" s="4">
        <v>7.2</v>
      </c>
      <c r="I362" s="4">
        <v>55</v>
      </c>
      <c r="J362" s="11">
        <v>2.17</v>
      </c>
      <c r="L362" s="12">
        <f t="shared" si="6"/>
        <v>0.33645973384852951</v>
      </c>
      <c r="M362" s="11">
        <f>GraphListeria!$B$10-(Listeria!I362-GraphListeria!$B$6)/GraphListeria!$B$5</f>
        <v>1.0661847472731862</v>
      </c>
      <c r="N362" s="1" t="s">
        <v>490</v>
      </c>
      <c r="O362">
        <v>2001</v>
      </c>
      <c r="S362" s="10">
        <f>GraphListeria!$B$43*Listeria!I362+GraphListeria!$B$44</f>
        <v>1.0744704331063017</v>
      </c>
      <c r="U362" s="10">
        <f>GraphListeria!$H$43*Listeria!I362+GraphListeria!$H$44</f>
        <v>1.0661847472731862</v>
      </c>
    </row>
    <row r="363" spans="1:21" x14ac:dyDescent="0.2">
      <c r="A363" s="1" t="s">
        <v>1440</v>
      </c>
      <c r="B363" s="1" t="s">
        <v>1443</v>
      </c>
      <c r="C363" t="s">
        <v>463</v>
      </c>
      <c r="D363" s="1" t="s">
        <v>11</v>
      </c>
      <c r="E363" s="1" t="s">
        <v>1262</v>
      </c>
      <c r="F363" s="1" t="s">
        <v>472</v>
      </c>
      <c r="G363" s="1"/>
      <c r="H363" s="4">
        <v>5.7</v>
      </c>
      <c r="I363" s="4">
        <v>55</v>
      </c>
      <c r="J363" s="11">
        <v>2.0499999999999998</v>
      </c>
      <c r="L363" s="12">
        <f t="shared" si="6"/>
        <v>0.31175386105575426</v>
      </c>
      <c r="M363" s="11">
        <f>GraphListeria!$B$10-(Listeria!I363-GraphListeria!$B$6)/GraphListeria!$B$5</f>
        <v>1.0661847472731862</v>
      </c>
      <c r="N363" s="1" t="s">
        <v>490</v>
      </c>
      <c r="O363">
        <v>2001</v>
      </c>
      <c r="S363" s="10">
        <f>GraphListeria!$B$43*Listeria!I363+GraphListeria!$B$44</f>
        <v>1.0744704331063017</v>
      </c>
      <c r="U363" s="10">
        <f>GraphListeria!$H$43*Listeria!I363+GraphListeria!$H$44</f>
        <v>1.0661847472731862</v>
      </c>
    </row>
    <row r="364" spans="1:21" x14ac:dyDescent="0.2">
      <c r="A364" s="1" t="s">
        <v>1440</v>
      </c>
      <c r="B364" s="1" t="s">
        <v>1443</v>
      </c>
      <c r="C364" t="s">
        <v>57</v>
      </c>
      <c r="D364" s="1" t="s">
        <v>11</v>
      </c>
      <c r="E364" s="1" t="s">
        <v>1262</v>
      </c>
      <c r="F364" s="1" t="s">
        <v>467</v>
      </c>
      <c r="G364" s="1"/>
      <c r="I364" s="4">
        <v>51.7</v>
      </c>
      <c r="J364" s="11">
        <v>71.099999999999994</v>
      </c>
      <c r="K364" s="4">
        <v>6.3</v>
      </c>
      <c r="L364" s="12">
        <f t="shared" si="6"/>
        <v>1.8518696007297664</v>
      </c>
      <c r="M364" s="11">
        <f>GraphListeria!$B$10-(Listeria!I364-GraphListeria!$B$6)/GraphListeria!$B$5</f>
        <v>1.5347525900728662</v>
      </c>
      <c r="N364" s="1" t="s">
        <v>490</v>
      </c>
      <c r="O364">
        <v>2001</v>
      </c>
      <c r="S364" s="10">
        <f>GraphListeria!$B$43*Listeria!I364+GraphListeria!$B$44</f>
        <v>1.5301203982147147</v>
      </c>
      <c r="U364" s="10">
        <f>GraphListeria!$H$43*Listeria!I364+GraphListeria!$H$44</f>
        <v>1.5347525900728662</v>
      </c>
    </row>
    <row r="365" spans="1:21" x14ac:dyDescent="0.2">
      <c r="A365" s="1" t="s">
        <v>1440</v>
      </c>
      <c r="B365" s="1" t="s">
        <v>1443</v>
      </c>
      <c r="C365" t="s">
        <v>57</v>
      </c>
      <c r="D365" s="1" t="s">
        <v>11</v>
      </c>
      <c r="E365" s="1" t="s">
        <v>1262</v>
      </c>
      <c r="F365" s="1" t="s">
        <v>467</v>
      </c>
      <c r="G365" s="1"/>
      <c r="I365" s="4">
        <v>57.2</v>
      </c>
      <c r="J365" s="11">
        <v>5.8</v>
      </c>
      <c r="K365" s="4">
        <v>6.3</v>
      </c>
      <c r="L365" s="12">
        <f t="shared" si="6"/>
        <v>0.76342799356293722</v>
      </c>
      <c r="M365" s="11">
        <f>GraphListeria!$B$10-(Listeria!I365-GraphListeria!$B$6)/GraphListeria!$B$5</f>
        <v>0.75380618540673239</v>
      </c>
      <c r="N365" s="1" t="s">
        <v>490</v>
      </c>
      <c r="O365">
        <v>2001</v>
      </c>
      <c r="S365" s="10">
        <f>GraphListeria!$B$43*Listeria!I365+GraphListeria!$B$44</f>
        <v>0.77070378970069164</v>
      </c>
      <c r="U365" s="10">
        <f>GraphListeria!$H$43*Listeria!I365+GraphListeria!$H$44</f>
        <v>0.75380618540673261</v>
      </c>
    </row>
    <row r="366" spans="1:21" x14ac:dyDescent="0.2">
      <c r="A366" s="1" t="s">
        <v>1440</v>
      </c>
      <c r="B366" s="1" t="s">
        <v>1443</v>
      </c>
      <c r="C366" t="s">
        <v>57</v>
      </c>
      <c r="D366" s="1" t="s">
        <v>11</v>
      </c>
      <c r="E366" s="1" t="s">
        <v>1262</v>
      </c>
      <c r="F366" s="1" t="s">
        <v>467</v>
      </c>
      <c r="G366" s="1"/>
      <c r="I366" s="4">
        <v>62.8</v>
      </c>
      <c r="J366" s="11">
        <v>1.2</v>
      </c>
      <c r="K366" s="4">
        <v>6.3</v>
      </c>
      <c r="L366" s="12">
        <f t="shared" si="6"/>
        <v>7.9181246047624818E-2</v>
      </c>
      <c r="M366" s="11">
        <f>GraphListeria!$B$10-(Listeria!I366-GraphListeria!$B$6)/GraphListeria!$B$5</f>
        <v>-4.1339244798784813E-2</v>
      </c>
      <c r="N366" s="1" t="s">
        <v>490</v>
      </c>
      <c r="O366">
        <v>2001</v>
      </c>
      <c r="S366" s="10">
        <f>GraphListeria!$B$43*Listeria!I366+GraphListeria!$B$44</f>
        <v>-2.5203935135849065E-3</v>
      </c>
      <c r="U366" s="10">
        <f>GraphListeria!$H$43*Listeria!I366+GraphListeria!$H$44</f>
        <v>-4.1339244798784591E-2</v>
      </c>
    </row>
    <row r="367" spans="1:21" x14ac:dyDescent="0.2">
      <c r="A367" s="1" t="s">
        <v>1440</v>
      </c>
      <c r="B367" s="1" t="s">
        <v>1443</v>
      </c>
      <c r="C367" t="s">
        <v>57</v>
      </c>
      <c r="D367" s="1" t="s">
        <v>11</v>
      </c>
      <c r="E367" s="1" t="s">
        <v>1262</v>
      </c>
      <c r="F367" s="1" t="s">
        <v>462</v>
      </c>
      <c r="G367" s="1"/>
      <c r="I367" s="4">
        <v>60</v>
      </c>
      <c r="J367" s="11">
        <v>8.32</v>
      </c>
      <c r="K367" s="4">
        <v>5.98</v>
      </c>
      <c r="L367" s="12">
        <f t="shared" si="6"/>
        <v>0.92012332629072391</v>
      </c>
      <c r="M367" s="11">
        <f>GraphListeria!$B$10-(Listeria!I367-GraphListeria!$B$6)/GraphListeria!$B$5</f>
        <v>0.35623347030397379</v>
      </c>
      <c r="N367" s="1" t="s">
        <v>490</v>
      </c>
      <c r="O367">
        <v>2001</v>
      </c>
      <c r="S367" s="10">
        <f>GraphListeria!$B$43*Listeria!I367+GraphListeria!$B$44</f>
        <v>0.38409169809355426</v>
      </c>
      <c r="U367" s="10">
        <f>GraphListeria!$H$43*Listeria!I367+GraphListeria!$H$44</f>
        <v>0.35623347030397312</v>
      </c>
    </row>
    <row r="368" spans="1:21" x14ac:dyDescent="0.2">
      <c r="A368" s="1" t="s">
        <v>1440</v>
      </c>
      <c r="B368" s="1" t="s">
        <v>1443</v>
      </c>
      <c r="C368" t="s">
        <v>57</v>
      </c>
      <c r="D368" s="1" t="s">
        <v>11</v>
      </c>
      <c r="E368" s="1" t="s">
        <v>1262</v>
      </c>
      <c r="F368" s="1" t="s">
        <v>462</v>
      </c>
      <c r="G368" s="1"/>
      <c r="I368" s="4">
        <v>62</v>
      </c>
      <c r="J368" s="11">
        <v>4.2</v>
      </c>
      <c r="K368" s="4">
        <v>5.98</v>
      </c>
      <c r="L368" s="12">
        <f t="shared" si="6"/>
        <v>0.62324929039790045</v>
      </c>
      <c r="M368" s="11">
        <f>GraphListeria!$B$10-(Listeria!I368-GraphListeria!$B$6)/GraphListeria!$B$5</f>
        <v>7.2252959516288628E-2</v>
      </c>
      <c r="N368" s="1" t="s">
        <v>490</v>
      </c>
      <c r="O368">
        <v>2001</v>
      </c>
      <c r="S368" s="10">
        <f>GraphListeria!$B$43*Listeria!I368+GraphListeria!$B$44</f>
        <v>0.10794020408845384</v>
      </c>
      <c r="U368" s="10">
        <f>GraphListeria!$H$43*Listeria!I368+GraphListeria!$H$44</f>
        <v>7.2252959516289295E-2</v>
      </c>
    </row>
    <row r="369" spans="1:21" x14ac:dyDescent="0.2">
      <c r="A369" s="1" t="s">
        <v>1440</v>
      </c>
      <c r="B369" s="1" t="s">
        <v>1443</v>
      </c>
      <c r="C369" t="s">
        <v>57</v>
      </c>
      <c r="D369" s="1" t="s">
        <v>11</v>
      </c>
      <c r="E369" s="1" t="s">
        <v>1262</v>
      </c>
      <c r="F369" s="1" t="s">
        <v>462</v>
      </c>
      <c r="G369" s="1"/>
      <c r="I369" s="4">
        <v>64.5</v>
      </c>
      <c r="J369" s="11">
        <v>2.19</v>
      </c>
      <c r="K369" s="4">
        <v>5.98</v>
      </c>
      <c r="L369" s="12">
        <f t="shared" si="6"/>
        <v>0.34044411484011833</v>
      </c>
      <c r="M369" s="11">
        <f>GraphListeria!$B$10-(Listeria!I369-GraphListeria!$B$6)/GraphListeria!$B$5</f>
        <v>-0.2827226789683176</v>
      </c>
      <c r="N369" s="1" t="s">
        <v>490</v>
      </c>
      <c r="O369">
        <v>2001</v>
      </c>
      <c r="S369" s="10">
        <f>GraphListeria!$B$43*Listeria!I369+GraphListeria!$B$44</f>
        <v>-0.23724916341791946</v>
      </c>
      <c r="U369" s="10">
        <f>GraphListeria!$H$43*Listeria!I369+GraphListeria!$H$44</f>
        <v>-0.28272267896831771</v>
      </c>
    </row>
    <row r="370" spans="1:21" x14ac:dyDescent="0.2">
      <c r="A370" s="1" t="s">
        <v>1440</v>
      </c>
      <c r="B370" s="1" t="s">
        <v>1443</v>
      </c>
      <c r="C370" t="s">
        <v>57</v>
      </c>
      <c r="D370" s="1" t="s">
        <v>11</v>
      </c>
      <c r="E370" s="1" t="s">
        <v>1262</v>
      </c>
      <c r="F370" s="1" t="s">
        <v>462</v>
      </c>
      <c r="G370" s="1"/>
      <c r="I370" s="4">
        <v>70</v>
      </c>
      <c r="J370" s="11">
        <v>0.2</v>
      </c>
      <c r="K370" s="4">
        <v>5.98</v>
      </c>
      <c r="L370" s="12">
        <f t="shared" si="6"/>
        <v>-0.69897000433601875</v>
      </c>
      <c r="M370" s="11">
        <f>GraphListeria!$B$10-(Listeria!I370-GraphListeria!$B$6)/GraphListeria!$B$5</f>
        <v>-1.0636690836344513</v>
      </c>
      <c r="N370" s="1" t="s">
        <v>490</v>
      </c>
      <c r="O370">
        <v>2001</v>
      </c>
      <c r="S370" s="10">
        <f>GraphListeria!$B$43*Listeria!I370+GraphListeria!$B$44</f>
        <v>-0.9966657719319425</v>
      </c>
      <c r="U370" s="10">
        <f>GraphListeria!$H$43*Listeria!I370+GraphListeria!$H$44</f>
        <v>-1.0636690836344513</v>
      </c>
    </row>
    <row r="371" spans="1:21" x14ac:dyDescent="0.2">
      <c r="A371" s="1" t="s">
        <v>1440</v>
      </c>
      <c r="B371" s="1" t="s">
        <v>1443</v>
      </c>
      <c r="C371" t="s">
        <v>463</v>
      </c>
      <c r="D371" s="1" t="s">
        <v>11</v>
      </c>
      <c r="E371" s="1" t="s">
        <v>1262</v>
      </c>
      <c r="F371" s="1" t="s">
        <v>462</v>
      </c>
      <c r="G371" s="1"/>
      <c r="I371" s="4">
        <v>60</v>
      </c>
      <c r="J371" s="11">
        <v>6.27</v>
      </c>
      <c r="K371" s="4">
        <v>5.98</v>
      </c>
      <c r="L371" s="12">
        <f t="shared" si="6"/>
        <v>0.79726754083071638</v>
      </c>
      <c r="M371" s="11">
        <f>GraphListeria!$B$10-(Listeria!I371-GraphListeria!$B$6)/GraphListeria!$B$5</f>
        <v>0.35623347030397379</v>
      </c>
      <c r="N371" s="1" t="s">
        <v>490</v>
      </c>
      <c r="O371">
        <v>2001</v>
      </c>
      <c r="S371" s="10">
        <f>GraphListeria!$B$43*Listeria!I371+GraphListeria!$B$44</f>
        <v>0.38409169809355426</v>
      </c>
      <c r="U371" s="10">
        <f>GraphListeria!$H$43*Listeria!I371+GraphListeria!$H$44</f>
        <v>0.35623347030397312</v>
      </c>
    </row>
    <row r="372" spans="1:21" x14ac:dyDescent="0.2">
      <c r="A372" s="1" t="s">
        <v>1440</v>
      </c>
      <c r="B372" s="1" t="s">
        <v>1443</v>
      </c>
      <c r="C372" t="s">
        <v>463</v>
      </c>
      <c r="D372" s="1" t="s">
        <v>11</v>
      </c>
      <c r="E372" s="1" t="s">
        <v>1262</v>
      </c>
      <c r="F372" s="1" t="s">
        <v>462</v>
      </c>
      <c r="G372" s="1"/>
      <c r="I372" s="4">
        <v>62</v>
      </c>
      <c r="J372" s="11">
        <v>2.9</v>
      </c>
      <c r="K372" s="4">
        <v>5.98</v>
      </c>
      <c r="L372" s="12">
        <f t="shared" si="6"/>
        <v>0.46239799789895608</v>
      </c>
      <c r="M372" s="11">
        <f>GraphListeria!$B$10-(Listeria!I372-GraphListeria!$B$6)/GraphListeria!$B$5</f>
        <v>7.2252959516288628E-2</v>
      </c>
      <c r="N372" s="1" t="s">
        <v>490</v>
      </c>
      <c r="O372">
        <v>2001</v>
      </c>
      <c r="S372" s="10">
        <f>GraphListeria!$B$43*Listeria!I372+GraphListeria!$B$44</f>
        <v>0.10794020408845384</v>
      </c>
      <c r="U372" s="10">
        <f>GraphListeria!$H$43*Listeria!I372+GraphListeria!$H$44</f>
        <v>7.2252959516289295E-2</v>
      </c>
    </row>
    <row r="373" spans="1:21" x14ac:dyDescent="0.2">
      <c r="A373" s="1" t="s">
        <v>1440</v>
      </c>
      <c r="B373" s="1" t="s">
        <v>1443</v>
      </c>
      <c r="C373" t="s">
        <v>463</v>
      </c>
      <c r="D373" s="1" t="s">
        <v>11</v>
      </c>
      <c r="E373" s="1" t="s">
        <v>1262</v>
      </c>
      <c r="F373" s="1" t="s">
        <v>462</v>
      </c>
      <c r="G373" s="1"/>
      <c r="I373" s="4">
        <v>64.5</v>
      </c>
      <c r="J373" s="11">
        <v>2.21</v>
      </c>
      <c r="K373" s="4">
        <v>5.98</v>
      </c>
      <c r="L373" s="12">
        <f t="shared" si="6"/>
        <v>0.34439227368511072</v>
      </c>
      <c r="M373" s="11">
        <f>GraphListeria!$B$10-(Listeria!I373-GraphListeria!$B$6)/GraphListeria!$B$5</f>
        <v>-0.2827226789683176</v>
      </c>
      <c r="N373" s="1" t="s">
        <v>490</v>
      </c>
      <c r="O373">
        <v>2001</v>
      </c>
      <c r="S373" s="10">
        <f>GraphListeria!$B$43*Listeria!I373+GraphListeria!$B$44</f>
        <v>-0.23724916341791946</v>
      </c>
      <c r="U373" s="10">
        <f>GraphListeria!$H$43*Listeria!I373+GraphListeria!$H$44</f>
        <v>-0.28272267896831771</v>
      </c>
    </row>
    <row r="374" spans="1:21" x14ac:dyDescent="0.2">
      <c r="A374" s="1" t="s">
        <v>1440</v>
      </c>
      <c r="B374" s="1" t="s">
        <v>1443</v>
      </c>
      <c r="C374" t="s">
        <v>463</v>
      </c>
      <c r="D374" s="1" t="s">
        <v>11</v>
      </c>
      <c r="E374" s="1" t="s">
        <v>1262</v>
      </c>
      <c r="F374" s="1" t="s">
        <v>462</v>
      </c>
      <c r="G374" s="1"/>
      <c r="I374" s="4">
        <v>70</v>
      </c>
      <c r="J374" s="11">
        <v>0.14000000000000001</v>
      </c>
      <c r="K374" s="4">
        <v>5.98</v>
      </c>
      <c r="L374" s="12">
        <f t="shared" si="6"/>
        <v>-0.85387196432176193</v>
      </c>
      <c r="M374" s="11">
        <f>GraphListeria!$B$10-(Listeria!I374-GraphListeria!$B$6)/GraphListeria!$B$5</f>
        <v>-1.0636690836344513</v>
      </c>
      <c r="N374" s="1" t="s">
        <v>490</v>
      </c>
      <c r="O374">
        <v>2001</v>
      </c>
      <c r="S374" s="10">
        <f>GraphListeria!$B$43*Listeria!I374+GraphListeria!$B$44</f>
        <v>-0.9966657719319425</v>
      </c>
      <c r="U374" s="10">
        <f>GraphListeria!$H$43*Listeria!I374+GraphListeria!$H$44</f>
        <v>-1.0636690836344513</v>
      </c>
    </row>
    <row r="375" spans="1:21" x14ac:dyDescent="0.2">
      <c r="A375" s="1" t="s">
        <v>1440</v>
      </c>
      <c r="B375" s="1" t="s">
        <v>1443</v>
      </c>
      <c r="D375" t="s">
        <v>11</v>
      </c>
      <c r="E375" s="1" t="s">
        <v>1262</v>
      </c>
      <c r="F375" s="1" t="s">
        <v>55</v>
      </c>
      <c r="G375" s="1"/>
      <c r="I375" s="4">
        <v>54.4</v>
      </c>
      <c r="J375" s="11">
        <v>12.5</v>
      </c>
      <c r="L375" s="12">
        <f t="shared" si="6"/>
        <v>1.0969100130080565</v>
      </c>
      <c r="M375" s="11">
        <f>GraphListeria!$B$10-(Listeria!I375-GraphListeria!$B$6)/GraphListeria!$B$5</f>
        <v>1.1513789005094921</v>
      </c>
      <c r="N375" s="2" t="s">
        <v>1226</v>
      </c>
      <c r="O375">
        <v>1996</v>
      </c>
      <c r="S375" s="10">
        <f>GraphListeria!$B$43*Listeria!I375+GraphListeria!$B$44</f>
        <v>1.1573158813078317</v>
      </c>
      <c r="U375" s="10">
        <f>GraphListeria!$H$43*Listeria!I375+GraphListeria!$H$44</f>
        <v>1.1513789005094921</v>
      </c>
    </row>
    <row r="376" spans="1:21" x14ac:dyDescent="0.2">
      <c r="A376" s="1" t="s">
        <v>1440</v>
      </c>
      <c r="B376" s="1" t="s">
        <v>1443</v>
      </c>
      <c r="D376" t="s">
        <v>11</v>
      </c>
      <c r="E376" s="1" t="s">
        <v>1262</v>
      </c>
      <c r="F376" s="1" t="s">
        <v>55</v>
      </c>
      <c r="G376" s="1"/>
      <c r="I376" s="4">
        <v>54.4</v>
      </c>
      <c r="J376" s="11">
        <v>6.84</v>
      </c>
      <c r="L376" s="12">
        <f t="shared" si="6"/>
        <v>0.83505610172011624</v>
      </c>
      <c r="M376" s="11">
        <f>GraphListeria!$B$10-(Listeria!I376-GraphListeria!$B$6)/GraphListeria!$B$5</f>
        <v>1.1513789005094921</v>
      </c>
      <c r="N376" s="2" t="s">
        <v>1226</v>
      </c>
      <c r="O376">
        <v>1996</v>
      </c>
      <c r="S376" s="10">
        <f>GraphListeria!$B$43*Listeria!I376+GraphListeria!$B$44</f>
        <v>1.1573158813078317</v>
      </c>
      <c r="U376" s="10">
        <f>GraphListeria!$H$43*Listeria!I376+GraphListeria!$H$44</f>
        <v>1.1513789005094921</v>
      </c>
    </row>
    <row r="377" spans="1:21" x14ac:dyDescent="0.2">
      <c r="A377" s="1" t="s">
        <v>1440</v>
      </c>
      <c r="B377" s="1" t="s">
        <v>1443</v>
      </c>
      <c r="D377" t="s">
        <v>11</v>
      </c>
      <c r="E377" s="1" t="s">
        <v>1262</v>
      </c>
      <c r="F377" s="1" t="s">
        <v>55</v>
      </c>
      <c r="G377" s="1"/>
      <c r="I377" s="4">
        <v>57.2</v>
      </c>
      <c r="J377" s="11">
        <v>3.41</v>
      </c>
      <c r="L377" s="12">
        <f t="shared" si="6"/>
        <v>0.53275437899249778</v>
      </c>
      <c r="M377" s="11">
        <f>GraphListeria!$B$10-(Listeria!I377-GraphListeria!$B$6)/GraphListeria!$B$5</f>
        <v>0.75380618540673239</v>
      </c>
      <c r="N377" s="2" t="s">
        <v>1226</v>
      </c>
      <c r="O377">
        <v>1996</v>
      </c>
      <c r="S377" s="10">
        <f>GraphListeria!$B$43*Listeria!I377+GraphListeria!$B$44</f>
        <v>0.77070378970069164</v>
      </c>
      <c r="U377" s="10">
        <f>GraphListeria!$H$43*Listeria!I377+GraphListeria!$H$44</f>
        <v>0.75380618540673261</v>
      </c>
    </row>
    <row r="378" spans="1:21" x14ac:dyDescent="0.2">
      <c r="A378" s="1" t="s">
        <v>1440</v>
      </c>
      <c r="B378" s="1" t="s">
        <v>1443</v>
      </c>
      <c r="D378" t="s">
        <v>11</v>
      </c>
      <c r="E378" s="1" t="s">
        <v>1262</v>
      </c>
      <c r="F378" s="1" t="s">
        <v>55</v>
      </c>
      <c r="G378" s="1"/>
      <c r="I378" s="4">
        <v>57.2</v>
      </c>
      <c r="J378" s="11">
        <v>1.97</v>
      </c>
      <c r="L378" s="12">
        <f t="shared" si="6"/>
        <v>0.2944662261615929</v>
      </c>
      <c r="M378" s="11">
        <f>GraphListeria!$B$10-(Listeria!I378-GraphListeria!$B$6)/GraphListeria!$B$5</f>
        <v>0.75380618540673239</v>
      </c>
      <c r="N378" s="2" t="s">
        <v>1226</v>
      </c>
      <c r="O378">
        <v>1996</v>
      </c>
      <c r="S378" s="10">
        <f>GraphListeria!$B$43*Listeria!I378+GraphListeria!$B$44</f>
        <v>0.77070378970069164</v>
      </c>
      <c r="U378" s="10">
        <f>GraphListeria!$H$43*Listeria!I378+GraphListeria!$H$44</f>
        <v>0.75380618540673261</v>
      </c>
    </row>
    <row r="379" spans="1:21" x14ac:dyDescent="0.2">
      <c r="A379" s="1" t="s">
        <v>1440</v>
      </c>
      <c r="B379" s="1" t="s">
        <v>1443</v>
      </c>
      <c r="D379" t="s">
        <v>11</v>
      </c>
      <c r="E379" s="1" t="s">
        <v>1262</v>
      </c>
      <c r="F379" s="1" t="s">
        <v>55</v>
      </c>
      <c r="G379" s="1"/>
      <c r="I379" s="4">
        <v>60</v>
      </c>
      <c r="J379" s="11">
        <v>1.62</v>
      </c>
      <c r="L379" s="12">
        <f t="shared" si="6"/>
        <v>0.20951501454263097</v>
      </c>
      <c r="M379" s="11">
        <f>GraphListeria!$B$10-(Listeria!I379-GraphListeria!$B$6)/GraphListeria!$B$5</f>
        <v>0.35623347030397379</v>
      </c>
      <c r="N379" s="2" t="s">
        <v>1226</v>
      </c>
      <c r="O379">
        <v>1996</v>
      </c>
      <c r="S379" s="10">
        <f>GraphListeria!$B$43*Listeria!I379+GraphListeria!$B$44</f>
        <v>0.38409169809355426</v>
      </c>
      <c r="U379" s="10">
        <f>GraphListeria!$H$43*Listeria!I379+GraphListeria!$H$44</f>
        <v>0.35623347030397312</v>
      </c>
    </row>
    <row r="380" spans="1:21" x14ac:dyDescent="0.2">
      <c r="A380" s="1" t="s">
        <v>1440</v>
      </c>
      <c r="B380" s="1" t="s">
        <v>1443</v>
      </c>
      <c r="D380" t="s">
        <v>11</v>
      </c>
      <c r="E380" s="1" t="s">
        <v>1262</v>
      </c>
      <c r="F380" s="1" t="s">
        <v>55</v>
      </c>
      <c r="G380" s="1"/>
      <c r="I380" s="4">
        <v>60</v>
      </c>
      <c r="J380" s="11">
        <v>1.1100000000000001</v>
      </c>
      <c r="L380" s="12">
        <f t="shared" si="6"/>
        <v>4.5322978786657475E-2</v>
      </c>
      <c r="M380" s="11">
        <f>GraphListeria!$B$10-(Listeria!I380-GraphListeria!$B$6)/GraphListeria!$B$5</f>
        <v>0.35623347030397379</v>
      </c>
      <c r="N380" s="2" t="s">
        <v>1226</v>
      </c>
      <c r="O380">
        <v>1996</v>
      </c>
      <c r="S380" s="10">
        <f>GraphListeria!$B$43*Listeria!I380+GraphListeria!$B$44</f>
        <v>0.38409169809355426</v>
      </c>
      <c r="U380" s="10">
        <f>GraphListeria!$H$43*Listeria!I380+GraphListeria!$H$44</f>
        <v>0.35623347030397312</v>
      </c>
    </row>
    <row r="381" spans="1:21" x14ac:dyDescent="0.2">
      <c r="A381" s="1" t="s">
        <v>1440</v>
      </c>
      <c r="B381" s="1" t="s">
        <v>1443</v>
      </c>
      <c r="D381" t="s">
        <v>11</v>
      </c>
      <c r="E381" s="1" t="s">
        <v>1262</v>
      </c>
      <c r="F381" s="1" t="s">
        <v>55</v>
      </c>
      <c r="G381" s="1"/>
      <c r="I381" s="4">
        <v>62.8</v>
      </c>
      <c r="J381" s="11">
        <v>0.73</v>
      </c>
      <c r="L381" s="12">
        <f t="shared" si="6"/>
        <v>-0.13667713987954411</v>
      </c>
      <c r="M381" s="11">
        <f>GraphListeria!$B$10-(Listeria!I381-GraphListeria!$B$6)/GraphListeria!$B$5</f>
        <v>-4.1339244798784813E-2</v>
      </c>
      <c r="N381" s="2" t="s">
        <v>1226</v>
      </c>
      <c r="O381">
        <v>1996</v>
      </c>
      <c r="S381" s="10">
        <f>GraphListeria!$B$43*Listeria!I381+GraphListeria!$B$44</f>
        <v>-2.5203935135849065E-3</v>
      </c>
      <c r="U381" s="10">
        <f>GraphListeria!$H$43*Listeria!I381+GraphListeria!$H$44</f>
        <v>-4.1339244798784591E-2</v>
      </c>
    </row>
    <row r="382" spans="1:21" x14ac:dyDescent="0.2">
      <c r="A382" s="1" t="s">
        <v>1440</v>
      </c>
      <c r="B382" s="1" t="s">
        <v>1443</v>
      </c>
      <c r="D382" t="s">
        <v>11</v>
      </c>
      <c r="E382" s="1" t="s">
        <v>1262</v>
      </c>
      <c r="F382" s="1" t="s">
        <v>55</v>
      </c>
      <c r="G382" s="1"/>
      <c r="I382" s="4">
        <v>62.8</v>
      </c>
      <c r="J382" s="11">
        <v>0.47</v>
      </c>
      <c r="L382" s="12">
        <f t="shared" si="6"/>
        <v>-0.32790214206428259</v>
      </c>
      <c r="M382" s="11">
        <f>GraphListeria!$B$10-(Listeria!I382-GraphListeria!$B$6)/GraphListeria!$B$5</f>
        <v>-4.1339244798784813E-2</v>
      </c>
      <c r="N382" s="2" t="s">
        <v>1226</v>
      </c>
      <c r="O382">
        <v>1996</v>
      </c>
      <c r="S382" s="10">
        <f>GraphListeria!$B$43*Listeria!I382+GraphListeria!$B$44</f>
        <v>-2.5203935135849065E-3</v>
      </c>
      <c r="U382" s="10">
        <f>GraphListeria!$H$43*Listeria!I382+GraphListeria!$H$44</f>
        <v>-4.1339244798784591E-2</v>
      </c>
    </row>
    <row r="383" spans="1:21" x14ac:dyDescent="0.2">
      <c r="A383" s="1" t="s">
        <v>1440</v>
      </c>
      <c r="B383" s="1" t="s">
        <v>1443</v>
      </c>
      <c r="D383" t="s">
        <v>11</v>
      </c>
      <c r="E383" s="1" t="s">
        <v>1262</v>
      </c>
      <c r="F383" s="1" t="s">
        <v>30</v>
      </c>
      <c r="G383" s="1"/>
      <c r="I383" s="4">
        <v>54.4</v>
      </c>
      <c r="J383" s="11">
        <v>22.4</v>
      </c>
      <c r="L383" s="12">
        <f t="shared" si="6"/>
        <v>1.3502480183341627</v>
      </c>
      <c r="M383" s="11">
        <f>GraphListeria!$B$10-(Listeria!I383-GraphListeria!$B$6)/GraphListeria!$B$5</f>
        <v>1.1513789005094921</v>
      </c>
      <c r="N383" s="2" t="s">
        <v>1226</v>
      </c>
      <c r="O383">
        <v>1996</v>
      </c>
      <c r="P383" t="s">
        <v>29</v>
      </c>
      <c r="S383" s="10">
        <f>GraphListeria!$B$43*Listeria!I383+GraphListeria!$B$44</f>
        <v>1.1573158813078317</v>
      </c>
      <c r="U383" s="10">
        <f>GraphListeria!$H$43*Listeria!I383+GraphListeria!$H$44</f>
        <v>1.1513789005094921</v>
      </c>
    </row>
    <row r="384" spans="1:21" x14ac:dyDescent="0.2">
      <c r="A384" s="1" t="s">
        <v>1440</v>
      </c>
      <c r="B384" s="1" t="s">
        <v>1443</v>
      </c>
      <c r="D384" t="s">
        <v>11</v>
      </c>
      <c r="E384" s="1" t="s">
        <v>1262</v>
      </c>
      <c r="F384" s="1" t="s">
        <v>30</v>
      </c>
      <c r="G384" s="1"/>
      <c r="I384" s="4">
        <v>54.4</v>
      </c>
      <c r="J384" s="11">
        <v>19.3</v>
      </c>
      <c r="L384" s="12">
        <f t="shared" si="6"/>
        <v>1.2855573090077739</v>
      </c>
      <c r="M384" s="11">
        <f>GraphListeria!$B$10-(Listeria!I384-GraphListeria!$B$6)/GraphListeria!$B$5</f>
        <v>1.1513789005094921</v>
      </c>
      <c r="N384" s="2" t="s">
        <v>1226</v>
      </c>
      <c r="O384">
        <v>1996</v>
      </c>
      <c r="P384" t="s">
        <v>29</v>
      </c>
      <c r="S384" s="10">
        <f>GraphListeria!$B$43*Listeria!I384+GraphListeria!$B$44</f>
        <v>1.1573158813078317</v>
      </c>
      <c r="U384" s="10">
        <f>GraphListeria!$H$43*Listeria!I384+GraphListeria!$H$44</f>
        <v>1.1513789005094921</v>
      </c>
    </row>
    <row r="385" spans="1:21" x14ac:dyDescent="0.2">
      <c r="A385" s="1" t="s">
        <v>1440</v>
      </c>
      <c r="B385" s="1" t="s">
        <v>1443</v>
      </c>
      <c r="D385" t="s">
        <v>11</v>
      </c>
      <c r="E385" s="1" t="s">
        <v>1262</v>
      </c>
      <c r="F385" s="1" t="s">
        <v>30</v>
      </c>
      <c r="G385" s="1"/>
      <c r="I385" s="4">
        <v>57.2</v>
      </c>
      <c r="J385" s="11">
        <v>15.7</v>
      </c>
      <c r="L385" s="12">
        <f t="shared" si="6"/>
        <v>1.1958996524092338</v>
      </c>
      <c r="M385" s="11">
        <f>GraphListeria!$B$10-(Listeria!I385-GraphListeria!$B$6)/GraphListeria!$B$5</f>
        <v>0.75380618540673239</v>
      </c>
      <c r="N385" s="2" t="s">
        <v>1226</v>
      </c>
      <c r="O385">
        <v>1996</v>
      </c>
      <c r="P385" t="s">
        <v>29</v>
      </c>
      <c r="S385" s="10">
        <f>GraphListeria!$B$43*Listeria!I385+GraphListeria!$B$44</f>
        <v>0.77070378970069164</v>
      </c>
      <c r="U385" s="10">
        <f>GraphListeria!$H$43*Listeria!I385+GraphListeria!$H$44</f>
        <v>0.75380618540673261</v>
      </c>
    </row>
    <row r="386" spans="1:21" x14ac:dyDescent="0.2">
      <c r="A386" s="1" t="s">
        <v>1440</v>
      </c>
      <c r="B386" s="1" t="s">
        <v>1443</v>
      </c>
      <c r="D386" t="s">
        <v>11</v>
      </c>
      <c r="E386" s="1" t="s">
        <v>1262</v>
      </c>
      <c r="F386" s="1" t="s">
        <v>30</v>
      </c>
      <c r="G386" s="1"/>
      <c r="I386" s="4">
        <v>57.2</v>
      </c>
      <c r="J386" s="11">
        <v>17.600000000000001</v>
      </c>
      <c r="L386" s="12">
        <f t="shared" si="6"/>
        <v>1.2455126678141499</v>
      </c>
      <c r="M386" s="11">
        <f>GraphListeria!$B$10-(Listeria!I386-GraphListeria!$B$6)/GraphListeria!$B$5</f>
        <v>0.75380618540673239</v>
      </c>
      <c r="N386" s="2" t="s">
        <v>1226</v>
      </c>
      <c r="O386">
        <v>1996</v>
      </c>
      <c r="P386" t="s">
        <v>29</v>
      </c>
      <c r="S386" s="10">
        <f>GraphListeria!$B$43*Listeria!I386+GraphListeria!$B$44</f>
        <v>0.77070378970069164</v>
      </c>
      <c r="U386" s="10">
        <f>GraphListeria!$H$43*Listeria!I386+GraphListeria!$H$44</f>
        <v>0.75380618540673261</v>
      </c>
    </row>
    <row r="387" spans="1:21" x14ac:dyDescent="0.2">
      <c r="A387" s="1" t="s">
        <v>1440</v>
      </c>
      <c r="B387" s="1" t="s">
        <v>1443</v>
      </c>
      <c r="D387" t="s">
        <v>11</v>
      </c>
      <c r="E387" s="1" t="s">
        <v>1262</v>
      </c>
      <c r="F387" s="1" t="s">
        <v>30</v>
      </c>
      <c r="G387" s="1"/>
      <c r="I387" s="4">
        <v>60</v>
      </c>
      <c r="J387" s="11">
        <v>4.47</v>
      </c>
      <c r="L387" s="12">
        <f t="shared" si="6"/>
        <v>0.6503075231319364</v>
      </c>
      <c r="M387" s="11">
        <f>GraphListeria!$B$10-(Listeria!I387-GraphListeria!$B$6)/GraphListeria!$B$5</f>
        <v>0.35623347030397379</v>
      </c>
      <c r="N387" s="2" t="s">
        <v>1226</v>
      </c>
      <c r="O387">
        <v>1996</v>
      </c>
      <c r="P387" t="s">
        <v>29</v>
      </c>
      <c r="S387" s="10">
        <f>GraphListeria!$B$43*Listeria!I387+GraphListeria!$B$44</f>
        <v>0.38409169809355426</v>
      </c>
      <c r="U387" s="10">
        <f>GraphListeria!$H$43*Listeria!I387+GraphListeria!$H$44</f>
        <v>0.35623347030397312</v>
      </c>
    </row>
    <row r="388" spans="1:21" x14ac:dyDescent="0.2">
      <c r="A388" s="1" t="s">
        <v>1440</v>
      </c>
      <c r="B388" s="1" t="s">
        <v>1443</v>
      </c>
      <c r="D388" t="s">
        <v>11</v>
      </c>
      <c r="E388" s="1" t="s">
        <v>1262</v>
      </c>
      <c r="F388" s="1" t="s">
        <v>30</v>
      </c>
      <c r="G388" s="1"/>
      <c r="I388" s="4">
        <v>60</v>
      </c>
      <c r="J388" s="11">
        <v>3.5</v>
      </c>
      <c r="L388" s="12">
        <f t="shared" si="6"/>
        <v>0.54406804435027567</v>
      </c>
      <c r="M388" s="11">
        <f>GraphListeria!$B$10-(Listeria!I388-GraphListeria!$B$6)/GraphListeria!$B$5</f>
        <v>0.35623347030397379</v>
      </c>
      <c r="N388" s="2" t="s">
        <v>1226</v>
      </c>
      <c r="O388">
        <v>1996</v>
      </c>
      <c r="P388" t="s">
        <v>29</v>
      </c>
      <c r="S388" s="10">
        <f>GraphListeria!$B$43*Listeria!I388+GraphListeria!$B$44</f>
        <v>0.38409169809355426</v>
      </c>
      <c r="U388" s="10">
        <f>GraphListeria!$H$43*Listeria!I388+GraphListeria!$H$44</f>
        <v>0.35623347030397312</v>
      </c>
    </row>
    <row r="389" spans="1:21" x14ac:dyDescent="0.2">
      <c r="A389" s="1" t="s">
        <v>1440</v>
      </c>
      <c r="B389" s="1" t="s">
        <v>1443</v>
      </c>
      <c r="D389" t="s">
        <v>11</v>
      </c>
      <c r="E389" s="1" t="s">
        <v>1262</v>
      </c>
      <c r="F389" s="1" t="s">
        <v>30</v>
      </c>
      <c r="G389" s="1"/>
      <c r="I389" s="4">
        <v>62.8</v>
      </c>
      <c r="J389" s="11">
        <v>2.56</v>
      </c>
      <c r="L389" s="12">
        <f t="shared" si="6"/>
        <v>0.40823996531184958</v>
      </c>
      <c r="M389" s="11">
        <f>GraphListeria!$B$10-(Listeria!I389-GraphListeria!$B$6)/GraphListeria!$B$5</f>
        <v>-4.1339244798784813E-2</v>
      </c>
      <c r="N389" s="2" t="s">
        <v>1226</v>
      </c>
      <c r="O389">
        <v>1996</v>
      </c>
      <c r="P389" t="s">
        <v>29</v>
      </c>
      <c r="S389" s="10">
        <f>GraphListeria!$B$43*Listeria!I389+GraphListeria!$B$44</f>
        <v>-2.5203935135849065E-3</v>
      </c>
      <c r="U389" s="10">
        <f>GraphListeria!$H$43*Listeria!I389+GraphListeria!$H$44</f>
        <v>-4.1339244798784591E-2</v>
      </c>
    </row>
    <row r="390" spans="1:21" x14ac:dyDescent="0.2">
      <c r="A390" s="1" t="s">
        <v>1440</v>
      </c>
      <c r="B390" s="1" t="s">
        <v>1443</v>
      </c>
      <c r="D390" t="s">
        <v>11</v>
      </c>
      <c r="E390" s="1" t="s">
        <v>1262</v>
      </c>
      <c r="F390" s="1" t="s">
        <v>30</v>
      </c>
      <c r="G390" s="1"/>
      <c r="I390" s="4">
        <v>62.8</v>
      </c>
      <c r="J390" s="11">
        <v>2.82</v>
      </c>
      <c r="L390" s="12">
        <f t="shared" si="6"/>
        <v>0.45024910831936105</v>
      </c>
      <c r="M390" s="11">
        <f>GraphListeria!$B$10-(Listeria!I390-GraphListeria!$B$6)/GraphListeria!$B$5</f>
        <v>-4.1339244798784813E-2</v>
      </c>
      <c r="N390" s="2" t="s">
        <v>1226</v>
      </c>
      <c r="O390">
        <v>1996</v>
      </c>
      <c r="P390" t="s">
        <v>29</v>
      </c>
      <c r="S390" s="10">
        <f>GraphListeria!$B$43*Listeria!I390+GraphListeria!$B$44</f>
        <v>-2.5203935135849065E-3</v>
      </c>
      <c r="U390" s="10">
        <f>GraphListeria!$H$43*Listeria!I390+GraphListeria!$H$44</f>
        <v>-4.1339244798784591E-2</v>
      </c>
    </row>
    <row r="391" spans="1:21" x14ac:dyDescent="0.2">
      <c r="A391" s="1" t="s">
        <v>1440</v>
      </c>
      <c r="B391" s="1" t="s">
        <v>1443</v>
      </c>
      <c r="D391" s="1" t="s">
        <v>11</v>
      </c>
      <c r="E391" s="1" t="s">
        <v>1262</v>
      </c>
      <c r="F391" s="1" t="s">
        <v>465</v>
      </c>
      <c r="G391" s="1"/>
      <c r="I391" s="4">
        <v>60</v>
      </c>
      <c r="J391" s="11">
        <v>2.54</v>
      </c>
      <c r="L391" s="12">
        <f t="shared" si="6"/>
        <v>0.40483371661993806</v>
      </c>
      <c r="M391" s="11">
        <f>GraphListeria!$B$10-(Listeria!I391-GraphListeria!$B$6)/GraphListeria!$B$5</f>
        <v>0.35623347030397379</v>
      </c>
      <c r="N391" s="1" t="s">
        <v>490</v>
      </c>
      <c r="O391">
        <v>2001</v>
      </c>
      <c r="S391" s="10">
        <f>GraphListeria!$B$43*Listeria!I391+GraphListeria!$B$44</f>
        <v>0.38409169809355426</v>
      </c>
      <c r="U391" s="10">
        <f>GraphListeria!$H$43*Listeria!I391+GraphListeria!$H$44</f>
        <v>0.35623347030397312</v>
      </c>
    </row>
    <row r="392" spans="1:21" x14ac:dyDescent="0.2">
      <c r="A392" s="1" t="s">
        <v>1440</v>
      </c>
      <c r="B392" s="1" t="s">
        <v>1443</v>
      </c>
      <c r="D392" s="1" t="s">
        <v>11</v>
      </c>
      <c r="E392" s="1" t="s">
        <v>1262</v>
      </c>
      <c r="F392" s="1" t="s">
        <v>465</v>
      </c>
      <c r="G392" s="1"/>
      <c r="I392" s="4">
        <v>64.5</v>
      </c>
      <c r="J392" s="11">
        <v>0.75</v>
      </c>
      <c r="L392" s="12">
        <f t="shared" si="6"/>
        <v>-0.12493873660829995</v>
      </c>
      <c r="M392" s="11">
        <f>GraphListeria!$B$10-(Listeria!I392-GraphListeria!$B$6)/GraphListeria!$B$5</f>
        <v>-0.2827226789683176</v>
      </c>
      <c r="N392" s="1" t="s">
        <v>490</v>
      </c>
      <c r="O392">
        <v>2001</v>
      </c>
      <c r="S392" s="10">
        <f>GraphListeria!$B$43*Listeria!I392+GraphListeria!$B$44</f>
        <v>-0.23724916341791946</v>
      </c>
      <c r="U392" s="10">
        <f>GraphListeria!$H$43*Listeria!I392+GraphListeria!$H$44</f>
        <v>-0.28272267896831771</v>
      </c>
    </row>
    <row r="393" spans="1:21" x14ac:dyDescent="0.2">
      <c r="A393" s="1" t="s">
        <v>1440</v>
      </c>
      <c r="B393" s="1" t="s">
        <v>1443</v>
      </c>
      <c r="D393" s="1" t="s">
        <v>11</v>
      </c>
      <c r="E393" s="1" t="s">
        <v>1262</v>
      </c>
      <c r="F393" s="1" t="s">
        <v>465</v>
      </c>
      <c r="G393" s="1"/>
      <c r="I393" s="4">
        <v>70</v>
      </c>
      <c r="J393" s="11">
        <v>0.23</v>
      </c>
      <c r="L393" s="12">
        <f t="shared" si="6"/>
        <v>-0.63827216398240705</v>
      </c>
      <c r="M393" s="11">
        <f>GraphListeria!$B$10-(Listeria!I393-GraphListeria!$B$6)/GraphListeria!$B$5</f>
        <v>-1.0636690836344513</v>
      </c>
      <c r="N393" s="1" t="s">
        <v>490</v>
      </c>
      <c r="O393">
        <v>2001</v>
      </c>
      <c r="S393" s="10">
        <f>GraphListeria!$B$43*Listeria!I393+GraphListeria!$B$44</f>
        <v>-0.9966657719319425</v>
      </c>
      <c r="U393" s="10">
        <f>GraphListeria!$H$43*Listeria!I393+GraphListeria!$H$44</f>
        <v>-1.0636690836344513</v>
      </c>
    </row>
    <row r="394" spans="1:21" x14ac:dyDescent="0.2">
      <c r="A394" s="1" t="s">
        <v>1440</v>
      </c>
      <c r="B394" s="1" t="s">
        <v>1443</v>
      </c>
      <c r="C394" t="s">
        <v>463</v>
      </c>
      <c r="D394" t="s">
        <v>11</v>
      </c>
      <c r="E394" s="1" t="s">
        <v>1262</v>
      </c>
      <c r="F394" s="1" t="s">
        <v>1219</v>
      </c>
      <c r="I394" s="4">
        <v>50</v>
      </c>
      <c r="J394" s="11">
        <v>32.700000000000003</v>
      </c>
      <c r="L394" s="12">
        <f t="shared" si="6"/>
        <v>1.5145477526602862</v>
      </c>
      <c r="M394" s="11">
        <f>GraphListeria!$B$10-(Listeria!I394-GraphListeria!$B$6)/GraphListeria!$B$5</f>
        <v>1.7761360242423989</v>
      </c>
      <c r="N394" s="1" t="s">
        <v>1192</v>
      </c>
      <c r="O394">
        <v>2000</v>
      </c>
      <c r="P394" t="s">
        <v>1190</v>
      </c>
      <c r="S394" s="10">
        <f>GraphListeria!$B$43*Listeria!I394+GraphListeria!$B$44</f>
        <v>1.7648491681190492</v>
      </c>
      <c r="U394" s="10">
        <f>GraphListeria!$H$43*Listeria!I394+GraphListeria!$H$44</f>
        <v>1.7761360242423985</v>
      </c>
    </row>
    <row r="395" spans="1:21" x14ac:dyDescent="0.2">
      <c r="A395" s="1" t="s">
        <v>1440</v>
      </c>
      <c r="B395" s="1" t="s">
        <v>1443</v>
      </c>
      <c r="C395" t="s">
        <v>463</v>
      </c>
      <c r="D395" t="s">
        <v>11</v>
      </c>
      <c r="E395" s="1" t="s">
        <v>1262</v>
      </c>
      <c r="F395" s="1" t="s">
        <v>1219</v>
      </c>
      <c r="I395" s="4">
        <v>50</v>
      </c>
      <c r="J395" s="11">
        <v>36.1</v>
      </c>
      <c r="L395" s="12">
        <f t="shared" si="6"/>
        <v>1.5575072019056579</v>
      </c>
      <c r="M395" s="11">
        <f>GraphListeria!$B$10-(Listeria!I395-GraphListeria!$B$6)/GraphListeria!$B$5</f>
        <v>1.7761360242423989</v>
      </c>
      <c r="N395" s="1" t="s">
        <v>1192</v>
      </c>
      <c r="O395">
        <v>2000</v>
      </c>
      <c r="P395" t="s">
        <v>1191</v>
      </c>
      <c r="S395" s="10">
        <f>GraphListeria!$B$43*Listeria!I395+GraphListeria!$B$44</f>
        <v>1.7648491681190492</v>
      </c>
      <c r="U395" s="10">
        <f>GraphListeria!$H$43*Listeria!I395+GraphListeria!$H$44</f>
        <v>1.7761360242423985</v>
      </c>
    </row>
    <row r="396" spans="1:21" x14ac:dyDescent="0.2">
      <c r="A396" s="1" t="s">
        <v>1440</v>
      </c>
      <c r="B396" s="1" t="s">
        <v>1443</v>
      </c>
      <c r="C396" t="s">
        <v>463</v>
      </c>
      <c r="D396" t="s">
        <v>11</v>
      </c>
      <c r="E396" s="1" t="s">
        <v>1262</v>
      </c>
      <c r="F396" s="1" t="s">
        <v>1219</v>
      </c>
      <c r="I396" s="4">
        <v>55</v>
      </c>
      <c r="J396" s="11">
        <v>3.4</v>
      </c>
      <c r="L396" s="12">
        <f t="shared" si="6"/>
        <v>0.53147891704225514</v>
      </c>
      <c r="M396" s="11">
        <f>GraphListeria!$B$10-(Listeria!I396-GraphListeria!$B$6)/GraphListeria!$B$5</f>
        <v>1.0661847472731862</v>
      </c>
      <c r="N396" s="1" t="s">
        <v>1192</v>
      </c>
      <c r="O396">
        <v>2000</v>
      </c>
      <c r="P396" t="s">
        <v>1190</v>
      </c>
      <c r="S396" s="10">
        <f>GraphListeria!$B$43*Listeria!I396+GraphListeria!$B$44</f>
        <v>1.0744704331063017</v>
      </c>
      <c r="U396" s="10">
        <f>GraphListeria!$H$43*Listeria!I396+GraphListeria!$H$44</f>
        <v>1.0661847472731862</v>
      </c>
    </row>
    <row r="397" spans="1:21" x14ac:dyDescent="0.2">
      <c r="A397" s="1" t="s">
        <v>1440</v>
      </c>
      <c r="B397" s="1" t="s">
        <v>1443</v>
      </c>
      <c r="C397" t="s">
        <v>463</v>
      </c>
      <c r="D397" t="s">
        <v>11</v>
      </c>
      <c r="E397" s="1" t="s">
        <v>1262</v>
      </c>
      <c r="F397" s="1" t="s">
        <v>1219</v>
      </c>
      <c r="I397" s="4">
        <v>55</v>
      </c>
      <c r="J397" s="11">
        <v>3.2</v>
      </c>
      <c r="L397" s="12">
        <f t="shared" si="6"/>
        <v>0.50514997831990605</v>
      </c>
      <c r="M397" s="11">
        <f>GraphListeria!$B$10-(Listeria!I397-GraphListeria!$B$6)/GraphListeria!$B$5</f>
        <v>1.0661847472731862</v>
      </c>
      <c r="N397" s="1" t="s">
        <v>1192</v>
      </c>
      <c r="O397">
        <v>2000</v>
      </c>
      <c r="P397" t="s">
        <v>1191</v>
      </c>
      <c r="S397" s="10">
        <f>GraphListeria!$B$43*Listeria!I397+GraphListeria!$B$44</f>
        <v>1.0744704331063017</v>
      </c>
      <c r="U397" s="10">
        <f>GraphListeria!$H$43*Listeria!I397+GraphListeria!$H$44</f>
        <v>1.0661847472731862</v>
      </c>
    </row>
    <row r="398" spans="1:21" x14ac:dyDescent="0.2">
      <c r="A398" s="1" t="s">
        <v>1440</v>
      </c>
      <c r="B398" s="1" t="s">
        <v>1443</v>
      </c>
      <c r="C398" t="s">
        <v>463</v>
      </c>
      <c r="D398" t="s">
        <v>11</v>
      </c>
      <c r="E398" s="1" t="s">
        <v>1262</v>
      </c>
      <c r="F398" s="1" t="s">
        <v>1219</v>
      </c>
      <c r="I398" s="4">
        <v>60</v>
      </c>
      <c r="J398" s="11">
        <v>0.31</v>
      </c>
      <c r="L398" s="12">
        <f t="shared" si="6"/>
        <v>-0.50863830616572736</v>
      </c>
      <c r="M398" s="11">
        <f>GraphListeria!$B$10-(Listeria!I398-GraphListeria!$B$6)/GraphListeria!$B$5</f>
        <v>0.35623347030397379</v>
      </c>
      <c r="N398" s="1" t="s">
        <v>1192</v>
      </c>
      <c r="O398">
        <v>2000</v>
      </c>
      <c r="P398" t="s">
        <v>1190</v>
      </c>
      <c r="S398" s="10">
        <f>GraphListeria!$B$43*Listeria!I398+GraphListeria!$B$44</f>
        <v>0.38409169809355426</v>
      </c>
      <c r="U398" s="10">
        <f>GraphListeria!$H$43*Listeria!I398+GraphListeria!$H$44</f>
        <v>0.35623347030397312</v>
      </c>
    </row>
    <row r="399" spans="1:21" x14ac:dyDescent="0.2">
      <c r="A399" s="1" t="s">
        <v>1440</v>
      </c>
      <c r="B399" s="1" t="s">
        <v>1443</v>
      </c>
      <c r="C399" t="s">
        <v>463</v>
      </c>
      <c r="D399" t="s">
        <v>11</v>
      </c>
      <c r="E399" s="1" t="s">
        <v>1262</v>
      </c>
      <c r="F399" s="1" t="s">
        <v>1219</v>
      </c>
      <c r="I399" s="4">
        <v>60</v>
      </c>
      <c r="J399" s="11">
        <v>0.15</v>
      </c>
      <c r="L399" s="12">
        <f t="shared" si="6"/>
        <v>-0.82390874094431876</v>
      </c>
      <c r="M399" s="11">
        <f>GraphListeria!$B$10-(Listeria!I399-GraphListeria!$B$6)/GraphListeria!$B$5</f>
        <v>0.35623347030397379</v>
      </c>
      <c r="N399" s="1" t="s">
        <v>1192</v>
      </c>
      <c r="O399">
        <v>2000</v>
      </c>
      <c r="P399" t="s">
        <v>1191</v>
      </c>
      <c r="S399" s="10">
        <f>GraphListeria!$B$43*Listeria!I399+GraphListeria!$B$44</f>
        <v>0.38409169809355426</v>
      </c>
      <c r="U399" s="10">
        <f>GraphListeria!$H$43*Listeria!I399+GraphListeria!$H$44</f>
        <v>0.35623347030397312</v>
      </c>
    </row>
    <row r="400" spans="1:21" x14ac:dyDescent="0.2">
      <c r="A400" s="1" t="s">
        <v>1440</v>
      </c>
      <c r="B400" s="1" t="s">
        <v>1443</v>
      </c>
      <c r="C400" t="s">
        <v>463</v>
      </c>
      <c r="D400" t="s">
        <v>11</v>
      </c>
      <c r="E400" s="1" t="s">
        <v>1262</v>
      </c>
      <c r="F400" t="s">
        <v>1219</v>
      </c>
      <c r="I400" s="4">
        <v>48</v>
      </c>
      <c r="J400" s="11">
        <v>74.099999999999994</v>
      </c>
      <c r="L400" s="12">
        <f t="shared" si="6"/>
        <v>1.8698182079793282</v>
      </c>
      <c r="M400" s="11">
        <f>GraphListeria!$B$10-(Listeria!I400-GraphListeria!$B$6)/GraphListeria!$B$5</f>
        <v>2.0601165350300836</v>
      </c>
      <c r="N400" s="1" t="s">
        <v>1192</v>
      </c>
      <c r="O400">
        <v>2000</v>
      </c>
      <c r="P400" s="2" t="s">
        <v>1194</v>
      </c>
      <c r="S400" s="10">
        <f>GraphListeria!$B$43*Listeria!I400+GraphListeria!$B$44</f>
        <v>2.0410006621241479</v>
      </c>
      <c r="U400" s="10">
        <f>GraphListeria!$H$43*Listeria!I400+GraphListeria!$H$44</f>
        <v>2.0601165350300832</v>
      </c>
    </row>
    <row r="401" spans="1:21" x14ac:dyDescent="0.2">
      <c r="A401" s="1" t="s">
        <v>1440</v>
      </c>
      <c r="B401" s="1" t="s">
        <v>1443</v>
      </c>
      <c r="C401" t="s">
        <v>463</v>
      </c>
      <c r="D401" t="s">
        <v>11</v>
      </c>
      <c r="E401" s="1" t="s">
        <v>1262</v>
      </c>
      <c r="F401" t="s">
        <v>1219</v>
      </c>
      <c r="I401" s="4">
        <v>48</v>
      </c>
      <c r="J401" s="11">
        <v>65.8</v>
      </c>
      <c r="L401" s="12">
        <f t="shared" si="6"/>
        <v>1.8182258936139555</v>
      </c>
      <c r="M401" s="11">
        <f>GraphListeria!$B$10-(Listeria!I401-GraphListeria!$B$6)/GraphListeria!$B$5</f>
        <v>2.0601165350300836</v>
      </c>
      <c r="N401" s="1" t="s">
        <v>1192</v>
      </c>
      <c r="O401">
        <v>2000</v>
      </c>
      <c r="P401" s="2" t="s">
        <v>1195</v>
      </c>
      <c r="S401" s="10">
        <f>GraphListeria!$B$43*Listeria!I401+GraphListeria!$B$44</f>
        <v>2.0410006621241479</v>
      </c>
      <c r="U401" s="10">
        <f>GraphListeria!$H$43*Listeria!I401+GraphListeria!$H$44</f>
        <v>2.0601165350300832</v>
      </c>
    </row>
    <row r="402" spans="1:21" x14ac:dyDescent="0.2">
      <c r="A402" s="1" t="s">
        <v>1440</v>
      </c>
      <c r="B402" s="1" t="s">
        <v>1443</v>
      </c>
      <c r="C402" t="s">
        <v>463</v>
      </c>
      <c r="D402" t="s">
        <v>11</v>
      </c>
      <c r="E402" s="1" t="s">
        <v>1262</v>
      </c>
      <c r="F402" t="s">
        <v>1219</v>
      </c>
      <c r="I402" s="4">
        <v>52</v>
      </c>
      <c r="J402" s="11">
        <v>16.3</v>
      </c>
      <c r="L402" s="12">
        <f t="shared" si="6"/>
        <v>1.2121876044039579</v>
      </c>
      <c r="M402" s="11">
        <f>GraphListeria!$B$10-(Listeria!I402-GraphListeria!$B$6)/GraphListeria!$B$5</f>
        <v>1.4921555134547138</v>
      </c>
      <c r="N402" s="1" t="s">
        <v>1192</v>
      </c>
      <c r="O402">
        <v>2000</v>
      </c>
      <c r="P402" s="2" t="s">
        <v>1194</v>
      </c>
      <c r="S402" s="10">
        <f>GraphListeria!$B$43*Listeria!I402+GraphListeria!$B$44</f>
        <v>1.4886976741139497</v>
      </c>
      <c r="U402" s="10">
        <f>GraphListeria!$H$43*Listeria!I402+GraphListeria!$H$44</f>
        <v>1.4921555134547138</v>
      </c>
    </row>
    <row r="403" spans="1:21" x14ac:dyDescent="0.2">
      <c r="A403" s="1" t="s">
        <v>1440</v>
      </c>
      <c r="B403" s="1" t="s">
        <v>1443</v>
      </c>
      <c r="C403" t="s">
        <v>463</v>
      </c>
      <c r="D403" t="s">
        <v>11</v>
      </c>
      <c r="E403" s="1" t="s">
        <v>1262</v>
      </c>
      <c r="F403" t="s">
        <v>1219</v>
      </c>
      <c r="I403" s="4">
        <v>52</v>
      </c>
      <c r="J403" s="11">
        <v>21.3</v>
      </c>
      <c r="L403" s="12">
        <f t="shared" si="6"/>
        <v>1.3283796034387378</v>
      </c>
      <c r="M403" s="11">
        <f>GraphListeria!$B$10-(Listeria!I403-GraphListeria!$B$6)/GraphListeria!$B$5</f>
        <v>1.4921555134547138</v>
      </c>
      <c r="N403" s="1" t="s">
        <v>1192</v>
      </c>
      <c r="O403">
        <v>2000</v>
      </c>
      <c r="P403" s="2" t="s">
        <v>1195</v>
      </c>
      <c r="S403" s="10">
        <f>GraphListeria!$B$43*Listeria!I403+GraphListeria!$B$44</f>
        <v>1.4886976741139497</v>
      </c>
      <c r="U403" s="10">
        <f>GraphListeria!$H$43*Listeria!I403+GraphListeria!$H$44</f>
        <v>1.4921555134547138</v>
      </c>
    </row>
    <row r="404" spans="1:21" x14ac:dyDescent="0.2">
      <c r="A404" s="1" t="s">
        <v>1440</v>
      </c>
      <c r="B404" s="1" t="s">
        <v>1443</v>
      </c>
      <c r="C404" t="s">
        <v>463</v>
      </c>
      <c r="D404" t="s">
        <v>11</v>
      </c>
      <c r="E404" s="1" t="s">
        <v>1262</v>
      </c>
      <c r="F404" t="s">
        <v>1219</v>
      </c>
      <c r="I404" s="4">
        <v>56</v>
      </c>
      <c r="J404" s="11">
        <v>2.2999999999999998</v>
      </c>
      <c r="L404" s="12">
        <f t="shared" ref="L404:L485" si="7">LOG(J404)</f>
        <v>0.36172783601759284</v>
      </c>
      <c r="M404" s="11">
        <f>GraphListeria!$B$10-(Listeria!I404-GraphListeria!$B$6)/GraphListeria!$B$5</f>
        <v>0.92419449187934366</v>
      </c>
      <c r="N404" s="1" t="s">
        <v>1192</v>
      </c>
      <c r="O404">
        <v>2000</v>
      </c>
      <c r="P404" s="2" t="s">
        <v>1194</v>
      </c>
      <c r="S404" s="10">
        <f>GraphListeria!$B$43*Listeria!I404+GraphListeria!$B$44</f>
        <v>0.93639468610375154</v>
      </c>
      <c r="U404" s="10">
        <f>GraphListeria!$H$43*Listeria!I404+GraphListeria!$H$44</f>
        <v>0.92419449187934344</v>
      </c>
    </row>
    <row r="405" spans="1:21" x14ac:dyDescent="0.2">
      <c r="A405" s="1" t="s">
        <v>1440</v>
      </c>
      <c r="B405" s="1" t="s">
        <v>1443</v>
      </c>
      <c r="C405" t="s">
        <v>463</v>
      </c>
      <c r="D405" t="s">
        <v>11</v>
      </c>
      <c r="E405" s="1" t="s">
        <v>1262</v>
      </c>
      <c r="F405" t="s">
        <v>1219</v>
      </c>
      <c r="I405" s="4">
        <v>56</v>
      </c>
      <c r="J405" s="11">
        <v>3</v>
      </c>
      <c r="L405" s="12">
        <f t="shared" si="7"/>
        <v>0.47712125471966244</v>
      </c>
      <c r="M405" s="11">
        <f>GraphListeria!$B$10-(Listeria!I405-GraphListeria!$B$6)/GraphListeria!$B$5</f>
        <v>0.92419449187934366</v>
      </c>
      <c r="N405" s="1" t="s">
        <v>1192</v>
      </c>
      <c r="O405">
        <v>2000</v>
      </c>
      <c r="P405" s="2" t="s">
        <v>1195</v>
      </c>
      <c r="S405" s="10">
        <f>GraphListeria!$B$43*Listeria!I405+GraphListeria!$B$44</f>
        <v>0.93639468610375154</v>
      </c>
      <c r="U405" s="10">
        <f>GraphListeria!$H$43*Listeria!I405+GraphListeria!$H$44</f>
        <v>0.92419449187934344</v>
      </c>
    </row>
    <row r="406" spans="1:21" x14ac:dyDescent="0.2">
      <c r="A406" s="1" t="s">
        <v>1440</v>
      </c>
      <c r="B406" s="1" t="s">
        <v>1443</v>
      </c>
      <c r="D406" t="s">
        <v>11</v>
      </c>
      <c r="E406" s="1" t="s">
        <v>1262</v>
      </c>
      <c r="F406" s="1" t="s">
        <v>9</v>
      </c>
      <c r="G406" s="1"/>
      <c r="I406" s="4">
        <v>54.4</v>
      </c>
      <c r="J406" s="11">
        <v>6.8</v>
      </c>
      <c r="L406" s="12">
        <f t="shared" si="7"/>
        <v>0.83250891270623628</v>
      </c>
      <c r="M406" s="11">
        <f>GraphListeria!$B$10-(Listeria!I406-GraphListeria!$B$6)/GraphListeria!$B$5</f>
        <v>1.1513789005094921</v>
      </c>
      <c r="N406" s="2" t="s">
        <v>1226</v>
      </c>
      <c r="O406">
        <v>1996</v>
      </c>
      <c r="S406" s="10">
        <f>GraphListeria!$B$43*Listeria!I406+GraphListeria!$B$44</f>
        <v>1.1573158813078317</v>
      </c>
      <c r="U406" s="10">
        <f>GraphListeria!$H$43*Listeria!I406+GraphListeria!$H$44</f>
        <v>1.1513789005094921</v>
      </c>
    </row>
    <row r="407" spans="1:21" x14ac:dyDescent="0.2">
      <c r="A407" s="1" t="s">
        <v>1440</v>
      </c>
      <c r="B407" s="1" t="s">
        <v>1443</v>
      </c>
      <c r="D407" t="s">
        <v>11</v>
      </c>
      <c r="E407" s="1" t="s">
        <v>1262</v>
      </c>
      <c r="F407" s="1" t="s">
        <v>9</v>
      </c>
      <c r="G407" s="1"/>
      <c r="I407" s="4">
        <v>54.4</v>
      </c>
      <c r="J407" s="11">
        <v>13</v>
      </c>
      <c r="L407" s="12">
        <f t="shared" si="7"/>
        <v>1.1139433523068367</v>
      </c>
      <c r="M407" s="11">
        <f>GraphListeria!$B$10-(Listeria!I407-GraphListeria!$B$6)/GraphListeria!$B$5</f>
        <v>1.1513789005094921</v>
      </c>
      <c r="N407" s="2" t="s">
        <v>1226</v>
      </c>
      <c r="O407">
        <v>1996</v>
      </c>
      <c r="S407" s="10">
        <f>GraphListeria!$B$43*Listeria!I407+GraphListeria!$B$44</f>
        <v>1.1573158813078317</v>
      </c>
      <c r="U407" s="10">
        <f>GraphListeria!$H$43*Listeria!I407+GraphListeria!$H$44</f>
        <v>1.1513789005094921</v>
      </c>
    </row>
    <row r="408" spans="1:21" x14ac:dyDescent="0.2">
      <c r="A408" s="1" t="s">
        <v>1440</v>
      </c>
      <c r="B408" s="1" t="s">
        <v>1443</v>
      </c>
      <c r="D408" t="s">
        <v>11</v>
      </c>
      <c r="E408" t="s">
        <v>1262</v>
      </c>
      <c r="F408" t="s">
        <v>9</v>
      </c>
      <c r="I408" s="4">
        <v>57.2</v>
      </c>
      <c r="J408" s="11">
        <v>2</v>
      </c>
      <c r="L408" s="12">
        <f t="shared" si="7"/>
        <v>0.3010299956639812</v>
      </c>
      <c r="M408" s="11">
        <f>GraphListeria!$B$10-(Listeria!I408-GraphListeria!$B$6)/GraphListeria!$B$5</f>
        <v>0.75380618540673239</v>
      </c>
      <c r="N408" s="2" t="s">
        <v>1226</v>
      </c>
      <c r="O408">
        <v>1996</v>
      </c>
      <c r="S408" s="10">
        <f>GraphListeria!$B$43*Listeria!I408+GraphListeria!$B$44</f>
        <v>0.77070378970069164</v>
      </c>
      <c r="U408" s="10">
        <f>GraphListeria!$H$43*Listeria!I408+GraphListeria!$H$44</f>
        <v>0.75380618540673261</v>
      </c>
    </row>
    <row r="409" spans="1:21" x14ac:dyDescent="0.2">
      <c r="A409" s="1" t="s">
        <v>1440</v>
      </c>
      <c r="B409" s="1" t="s">
        <v>1443</v>
      </c>
      <c r="D409" t="s">
        <v>11</v>
      </c>
      <c r="E409" t="s">
        <v>1262</v>
      </c>
      <c r="F409" t="s">
        <v>9</v>
      </c>
      <c r="I409" s="4">
        <v>57.2</v>
      </c>
      <c r="J409" s="11">
        <v>3.4</v>
      </c>
      <c r="L409" s="12">
        <f t="shared" si="7"/>
        <v>0.53147891704225514</v>
      </c>
      <c r="M409" s="11">
        <f>GraphListeria!$B$10-(Listeria!I409-GraphListeria!$B$6)/GraphListeria!$B$5</f>
        <v>0.75380618540673239</v>
      </c>
      <c r="N409" s="2" t="s">
        <v>1226</v>
      </c>
      <c r="O409">
        <v>1996</v>
      </c>
      <c r="S409" s="10">
        <f>GraphListeria!$B$43*Listeria!I409+GraphListeria!$B$44</f>
        <v>0.77070378970069164</v>
      </c>
      <c r="U409" s="10">
        <f>GraphListeria!$H$43*Listeria!I409+GraphListeria!$H$44</f>
        <v>0.75380618540673261</v>
      </c>
    </row>
    <row r="410" spans="1:21" x14ac:dyDescent="0.2">
      <c r="A410" s="1" t="s">
        <v>1440</v>
      </c>
      <c r="B410" s="1" t="s">
        <v>1443</v>
      </c>
      <c r="D410" t="s">
        <v>11</v>
      </c>
      <c r="E410" s="1" t="s">
        <v>1262</v>
      </c>
      <c r="F410" s="1" t="s">
        <v>9</v>
      </c>
      <c r="G410" s="1"/>
      <c r="I410" s="4">
        <v>60</v>
      </c>
      <c r="J410" s="11">
        <v>1.6</v>
      </c>
      <c r="L410" s="12">
        <f t="shared" si="7"/>
        <v>0.20411998265592479</v>
      </c>
      <c r="M410" s="11">
        <f>GraphListeria!$B$10-(Listeria!I410-GraphListeria!$B$6)/GraphListeria!$B$5</f>
        <v>0.35623347030397379</v>
      </c>
      <c r="N410" s="2" t="s">
        <v>1226</v>
      </c>
      <c r="O410">
        <v>1996</v>
      </c>
      <c r="S410" s="10">
        <f>GraphListeria!$B$43*Listeria!I410+GraphListeria!$B$44</f>
        <v>0.38409169809355426</v>
      </c>
      <c r="U410" s="10">
        <f>GraphListeria!$H$43*Listeria!I410+GraphListeria!$H$44</f>
        <v>0.35623347030397312</v>
      </c>
    </row>
    <row r="411" spans="1:21" x14ac:dyDescent="0.2">
      <c r="A411" s="1" t="s">
        <v>1440</v>
      </c>
      <c r="B411" s="1" t="s">
        <v>1443</v>
      </c>
      <c r="D411" t="s">
        <v>11</v>
      </c>
      <c r="E411" t="s">
        <v>1262</v>
      </c>
      <c r="F411" t="s">
        <v>9</v>
      </c>
      <c r="I411" s="4">
        <v>62.8</v>
      </c>
      <c r="J411" s="11">
        <v>0.5</v>
      </c>
      <c r="L411" s="12">
        <f t="shared" si="7"/>
        <v>-0.3010299956639812</v>
      </c>
      <c r="M411" s="11">
        <f>GraphListeria!$B$10-(Listeria!I411-GraphListeria!$B$6)/GraphListeria!$B$5</f>
        <v>-4.1339244798784813E-2</v>
      </c>
      <c r="N411" s="2" t="s">
        <v>1226</v>
      </c>
      <c r="O411">
        <v>1996</v>
      </c>
      <c r="S411" s="10">
        <f>GraphListeria!$B$43*Listeria!I411+GraphListeria!$B$44</f>
        <v>-2.5203935135849065E-3</v>
      </c>
      <c r="U411" s="10">
        <f>GraphListeria!$H$43*Listeria!I411+GraphListeria!$H$44</f>
        <v>-4.1339244798784591E-2</v>
      </c>
    </row>
    <row r="412" spans="1:21" x14ac:dyDescent="0.2">
      <c r="A412" s="1" t="s">
        <v>1440</v>
      </c>
      <c r="B412" s="1" t="s">
        <v>1443</v>
      </c>
      <c r="D412" t="s">
        <v>11</v>
      </c>
      <c r="E412" t="s">
        <v>1262</v>
      </c>
      <c r="F412" t="s">
        <v>9</v>
      </c>
      <c r="I412" s="4">
        <v>62.8</v>
      </c>
      <c r="J412" s="11">
        <v>0.7</v>
      </c>
      <c r="L412" s="12">
        <f t="shared" si="7"/>
        <v>-0.15490195998574319</v>
      </c>
      <c r="M412" s="11">
        <f>GraphListeria!$B$10-(Listeria!I412-GraphListeria!$B$6)/GraphListeria!$B$5</f>
        <v>-4.1339244798784813E-2</v>
      </c>
      <c r="N412" s="2" t="s">
        <v>1226</v>
      </c>
      <c r="O412">
        <v>1996</v>
      </c>
      <c r="S412" s="10">
        <f>GraphListeria!$B$43*Listeria!I412+GraphListeria!$B$44</f>
        <v>-2.5203935135849065E-3</v>
      </c>
      <c r="U412" s="10">
        <f>GraphListeria!$H$43*Listeria!I412+GraphListeria!$H$44</f>
        <v>-4.1339244798784591E-2</v>
      </c>
    </row>
    <row r="413" spans="1:21" x14ac:dyDescent="0.2">
      <c r="A413" s="1" t="s">
        <v>1440</v>
      </c>
      <c r="B413" s="1" t="s">
        <v>1443</v>
      </c>
      <c r="D413" s="1" t="s">
        <v>11</v>
      </c>
      <c r="E413" s="1" t="s">
        <v>1262</v>
      </c>
      <c r="F413" s="1" t="s">
        <v>464</v>
      </c>
      <c r="G413" s="1"/>
      <c r="I413" s="4">
        <v>50</v>
      </c>
      <c r="J413" s="11">
        <v>85</v>
      </c>
      <c r="K413" s="4">
        <v>7.2</v>
      </c>
      <c r="L413" s="12">
        <f t="shared" si="7"/>
        <v>1.9294189257142926</v>
      </c>
      <c r="M413" s="11">
        <f>GraphListeria!$B$10-(Listeria!I413-GraphListeria!$B$6)/GraphListeria!$B$5</f>
        <v>1.7761360242423989</v>
      </c>
      <c r="N413" s="1" t="s">
        <v>490</v>
      </c>
      <c r="O413">
        <v>2001</v>
      </c>
      <c r="S413" s="10">
        <f>GraphListeria!$B$43*Listeria!I413+GraphListeria!$B$44</f>
        <v>1.7648491681190492</v>
      </c>
      <c r="U413" s="10">
        <f>GraphListeria!$H$43*Listeria!I413+GraphListeria!$H$44</f>
        <v>1.7761360242423985</v>
      </c>
    </row>
    <row r="414" spans="1:21" x14ac:dyDescent="0.2">
      <c r="A414" s="1" t="s">
        <v>1440</v>
      </c>
      <c r="B414" s="1" t="s">
        <v>1443</v>
      </c>
      <c r="D414" s="1" t="s">
        <v>11</v>
      </c>
      <c r="E414" s="1" t="s">
        <v>1262</v>
      </c>
      <c r="F414" s="1" t="s">
        <v>464</v>
      </c>
      <c r="G414" s="1"/>
      <c r="I414" s="4">
        <v>55</v>
      </c>
      <c r="J414" s="11">
        <v>21</v>
      </c>
      <c r="K414" s="4">
        <v>7.2</v>
      </c>
      <c r="L414" s="12">
        <f t="shared" si="7"/>
        <v>1.3222192947339193</v>
      </c>
      <c r="M414" s="11">
        <f>GraphListeria!$B$10-(Listeria!I414-GraphListeria!$B$6)/GraphListeria!$B$5</f>
        <v>1.0661847472731862</v>
      </c>
      <c r="N414" s="1" t="s">
        <v>490</v>
      </c>
      <c r="O414">
        <v>2001</v>
      </c>
      <c r="S414" s="10">
        <f>GraphListeria!$B$43*Listeria!I414+GraphListeria!$B$44</f>
        <v>1.0744704331063017</v>
      </c>
      <c r="U414" s="10">
        <f>GraphListeria!$H$43*Listeria!I414+GraphListeria!$H$44</f>
        <v>1.0661847472731862</v>
      </c>
    </row>
    <row r="415" spans="1:21" x14ac:dyDescent="0.2">
      <c r="A415" s="1" t="s">
        <v>1440</v>
      </c>
      <c r="B415" s="1" t="s">
        <v>1443</v>
      </c>
      <c r="D415" s="1" t="s">
        <v>11</v>
      </c>
      <c r="E415" s="1" t="s">
        <v>1262</v>
      </c>
      <c r="F415" s="1" t="s">
        <v>464</v>
      </c>
      <c r="G415" s="1"/>
      <c r="I415" s="4">
        <v>60</v>
      </c>
      <c r="J415" s="11">
        <v>3.8</v>
      </c>
      <c r="K415" s="4">
        <v>7.2</v>
      </c>
      <c r="L415" s="12">
        <f t="shared" si="7"/>
        <v>0.57978359661681012</v>
      </c>
      <c r="M415" s="11">
        <f>GraphListeria!$B$10-(Listeria!I415-GraphListeria!$B$6)/GraphListeria!$B$5</f>
        <v>0.35623347030397379</v>
      </c>
      <c r="N415" s="1" t="s">
        <v>490</v>
      </c>
      <c r="O415">
        <v>2001</v>
      </c>
      <c r="S415" s="10">
        <f>GraphListeria!$B$43*Listeria!I415+GraphListeria!$B$44</f>
        <v>0.38409169809355426</v>
      </c>
      <c r="U415" s="10">
        <f>GraphListeria!$H$43*Listeria!I415+GraphListeria!$H$44</f>
        <v>0.35623347030397312</v>
      </c>
    </row>
    <row r="416" spans="1:21" x14ac:dyDescent="0.2">
      <c r="A416" s="1" t="s">
        <v>1440</v>
      </c>
      <c r="B416" s="1" t="s">
        <v>1443</v>
      </c>
      <c r="D416" s="1" t="s">
        <v>11</v>
      </c>
      <c r="E416" s="1" t="s">
        <v>1262</v>
      </c>
      <c r="F416" s="1" t="s">
        <v>464</v>
      </c>
      <c r="G416" s="1"/>
      <c r="I416" s="4">
        <v>64.5</v>
      </c>
      <c r="J416" s="11">
        <v>0.93</v>
      </c>
      <c r="K416" s="4">
        <v>7.2</v>
      </c>
      <c r="L416" s="12">
        <f t="shared" si="7"/>
        <v>-3.1517051446064863E-2</v>
      </c>
      <c r="M416" s="11">
        <f>GraphListeria!$B$10-(Listeria!I416-GraphListeria!$B$6)/GraphListeria!$B$5</f>
        <v>-0.2827226789683176</v>
      </c>
      <c r="N416" s="1" t="s">
        <v>490</v>
      </c>
      <c r="O416">
        <v>2001</v>
      </c>
      <c r="S416" s="10">
        <f>GraphListeria!$B$43*Listeria!I416+GraphListeria!$B$44</f>
        <v>-0.23724916341791946</v>
      </c>
      <c r="U416" s="10">
        <f>GraphListeria!$H$43*Listeria!I416+GraphListeria!$H$44</f>
        <v>-0.28272267896831771</v>
      </c>
    </row>
    <row r="417" spans="1:21" x14ac:dyDescent="0.2">
      <c r="A417" s="1" t="s">
        <v>1440</v>
      </c>
      <c r="B417" s="1" t="s">
        <v>1443</v>
      </c>
      <c r="D417" s="1" t="s">
        <v>11</v>
      </c>
      <c r="E417" s="1" t="s">
        <v>1262</v>
      </c>
      <c r="F417" s="1" t="s">
        <v>464</v>
      </c>
      <c r="G417" s="1"/>
      <c r="I417" s="4">
        <v>70</v>
      </c>
      <c r="J417" s="11">
        <v>0.14000000000000001</v>
      </c>
      <c r="K417" s="4">
        <v>7.2</v>
      </c>
      <c r="L417" s="12">
        <f t="shared" si="7"/>
        <v>-0.85387196432176193</v>
      </c>
      <c r="M417" s="11">
        <f>GraphListeria!$B$10-(Listeria!I417-GraphListeria!$B$6)/GraphListeria!$B$5</f>
        <v>-1.0636690836344513</v>
      </c>
      <c r="N417" s="1" t="s">
        <v>490</v>
      </c>
      <c r="O417">
        <v>2001</v>
      </c>
      <c r="S417" s="10">
        <f>GraphListeria!$B$43*Listeria!I417+GraphListeria!$B$44</f>
        <v>-0.9966657719319425</v>
      </c>
      <c r="U417" s="10">
        <f>GraphListeria!$H$43*Listeria!I417+GraphListeria!$H$44</f>
        <v>-1.0636690836344513</v>
      </c>
    </row>
    <row r="418" spans="1:21" x14ac:dyDescent="0.2">
      <c r="A418" s="1" t="s">
        <v>1440</v>
      </c>
      <c r="B418" s="1" t="s">
        <v>1443</v>
      </c>
      <c r="C418" t="s">
        <v>597</v>
      </c>
      <c r="D418" s="1" t="s">
        <v>11</v>
      </c>
      <c r="E418" s="1" t="s">
        <v>1262</v>
      </c>
      <c r="F418" s="1" t="s">
        <v>1274</v>
      </c>
      <c r="G418" s="1"/>
      <c r="I418" s="4">
        <v>60</v>
      </c>
      <c r="J418" s="11">
        <v>4.5</v>
      </c>
      <c r="L418" s="12">
        <f t="shared" si="7"/>
        <v>0.65321251377534373</v>
      </c>
      <c r="M418" s="11">
        <f>GraphListeria!$B$10-(Listeria!I418-GraphListeria!$B$6)/GraphListeria!$B$5</f>
        <v>0.35623347030397379</v>
      </c>
      <c r="N418" s="1" t="s">
        <v>598</v>
      </c>
      <c r="O418">
        <v>1989</v>
      </c>
      <c r="S418" s="10">
        <f>GraphListeria!$B$43*Listeria!I418+GraphListeria!$B$44</f>
        <v>0.38409169809355426</v>
      </c>
      <c r="U418" s="10">
        <f>GraphListeria!$H$43*Listeria!I418+GraphListeria!$H$44</f>
        <v>0.35623347030397312</v>
      </c>
    </row>
    <row r="419" spans="1:21" x14ac:dyDescent="0.2">
      <c r="A419" s="1" t="s">
        <v>1440</v>
      </c>
      <c r="B419" s="1" t="s">
        <v>1443</v>
      </c>
      <c r="C419" t="s">
        <v>597</v>
      </c>
      <c r="D419" s="1" t="s">
        <v>11</v>
      </c>
      <c r="E419" s="1" t="s">
        <v>1262</v>
      </c>
      <c r="F419" s="1" t="s">
        <v>1274</v>
      </c>
      <c r="G419" s="1"/>
      <c r="I419" s="4">
        <v>65</v>
      </c>
      <c r="J419" s="11">
        <v>0.65</v>
      </c>
      <c r="L419" s="12">
        <f t="shared" si="7"/>
        <v>-0.18708664335714442</v>
      </c>
      <c r="M419" s="11">
        <f>GraphListeria!$B$10-(Listeria!I419-GraphListeria!$B$6)/GraphListeria!$B$5</f>
        <v>-0.35371780666523878</v>
      </c>
      <c r="N419" s="1" t="s">
        <v>598</v>
      </c>
      <c r="O419">
        <v>1989</v>
      </c>
      <c r="S419" s="10">
        <f>GraphListeria!$B$43*Listeria!I419+GraphListeria!$B$44</f>
        <v>-0.30628703691919412</v>
      </c>
      <c r="U419" s="10">
        <f>GraphListeria!$H$43*Listeria!I419+GraphListeria!$H$44</f>
        <v>-0.35371780666523911</v>
      </c>
    </row>
    <row r="420" spans="1:21" x14ac:dyDescent="0.2">
      <c r="A420" s="1" t="s">
        <v>1440</v>
      </c>
      <c r="B420" s="1" t="s">
        <v>1443</v>
      </c>
      <c r="C420" t="s">
        <v>597</v>
      </c>
      <c r="D420" s="1" t="s">
        <v>11</v>
      </c>
      <c r="E420" s="1" t="s">
        <v>1262</v>
      </c>
      <c r="F420" s="1" t="s">
        <v>1274</v>
      </c>
      <c r="G420" s="1"/>
      <c r="I420" s="4">
        <v>70</v>
      </c>
      <c r="J420" s="11">
        <v>0.15</v>
      </c>
      <c r="L420" s="12">
        <f t="shared" si="7"/>
        <v>-0.82390874094431876</v>
      </c>
      <c r="M420" s="11">
        <f>GraphListeria!$B$10-(Listeria!I420-GraphListeria!$B$6)/GraphListeria!$B$5</f>
        <v>-1.0636690836344513</v>
      </c>
      <c r="N420" s="1" t="s">
        <v>598</v>
      </c>
      <c r="O420">
        <v>1989</v>
      </c>
      <c r="S420" s="10">
        <f>GraphListeria!$B$43*Listeria!I420+GraphListeria!$B$44</f>
        <v>-0.9966657719319425</v>
      </c>
      <c r="U420" s="10">
        <f>GraphListeria!$H$43*Listeria!I420+GraphListeria!$H$44</f>
        <v>-1.0636690836344513</v>
      </c>
    </row>
    <row r="421" spans="1:21" x14ac:dyDescent="0.2">
      <c r="A421" s="1" t="s">
        <v>1440</v>
      </c>
      <c r="B421" s="1" t="s">
        <v>1443</v>
      </c>
      <c r="D421" t="s">
        <v>11</v>
      </c>
      <c r="E421" s="1" t="s">
        <v>1262</v>
      </c>
      <c r="F421" s="1" t="s">
        <v>1326</v>
      </c>
      <c r="G421" s="1"/>
      <c r="I421" s="4">
        <v>54.4</v>
      </c>
      <c r="J421" s="11">
        <v>19</v>
      </c>
      <c r="L421" s="12">
        <f t="shared" si="7"/>
        <v>1.2787536009528289</v>
      </c>
      <c r="M421" s="11">
        <f>GraphListeria!$B$10-(Listeria!I421-GraphListeria!$B$6)/GraphListeria!$B$5</f>
        <v>1.1513789005094921</v>
      </c>
      <c r="N421" s="2" t="s">
        <v>1226</v>
      </c>
      <c r="O421">
        <v>1996</v>
      </c>
      <c r="S421" s="10">
        <f>GraphListeria!$B$43*Listeria!I421+GraphListeria!$B$44</f>
        <v>1.1573158813078317</v>
      </c>
      <c r="U421" s="10">
        <f>GraphListeria!$H$43*Listeria!I421+GraphListeria!$H$44</f>
        <v>1.1513789005094921</v>
      </c>
    </row>
    <row r="422" spans="1:21" x14ac:dyDescent="0.2">
      <c r="A422" s="1" t="s">
        <v>1440</v>
      </c>
      <c r="B422" s="1" t="s">
        <v>1443</v>
      </c>
      <c r="D422" t="s">
        <v>11</v>
      </c>
      <c r="E422" s="1" t="s">
        <v>1262</v>
      </c>
      <c r="F422" s="1" t="s">
        <v>1326</v>
      </c>
      <c r="G422" s="1"/>
      <c r="I422" s="4">
        <v>54.4</v>
      </c>
      <c r="J422" s="11">
        <v>22</v>
      </c>
      <c r="L422" s="12">
        <f t="shared" si="7"/>
        <v>1.3424226808222062</v>
      </c>
      <c r="M422" s="11">
        <f>GraphListeria!$B$10-(Listeria!I422-GraphListeria!$B$6)/GraphListeria!$B$5</f>
        <v>1.1513789005094921</v>
      </c>
      <c r="N422" s="2" t="s">
        <v>1226</v>
      </c>
      <c r="O422">
        <v>1996</v>
      </c>
      <c r="S422" s="10">
        <f>GraphListeria!$B$43*Listeria!I422+GraphListeria!$B$44</f>
        <v>1.1573158813078317</v>
      </c>
      <c r="U422" s="10">
        <f>GraphListeria!$H$43*Listeria!I422+GraphListeria!$H$44</f>
        <v>1.1513789005094921</v>
      </c>
    </row>
    <row r="423" spans="1:21" x14ac:dyDescent="0.2">
      <c r="A423" s="1" t="s">
        <v>1440</v>
      </c>
      <c r="B423" s="1" t="s">
        <v>1443</v>
      </c>
      <c r="D423" t="s">
        <v>11</v>
      </c>
      <c r="E423" t="s">
        <v>1262</v>
      </c>
      <c r="F423" t="s">
        <v>1326</v>
      </c>
      <c r="I423" s="4">
        <v>57.2</v>
      </c>
      <c r="J423" s="11">
        <v>16</v>
      </c>
      <c r="L423" s="12">
        <f t="shared" si="7"/>
        <v>1.2041199826559248</v>
      </c>
      <c r="M423" s="11">
        <f>GraphListeria!$B$10-(Listeria!I423-GraphListeria!$B$6)/GraphListeria!$B$5</f>
        <v>0.75380618540673239</v>
      </c>
      <c r="N423" s="2" t="s">
        <v>1226</v>
      </c>
      <c r="O423">
        <v>1996</v>
      </c>
      <c r="S423" s="10">
        <f>GraphListeria!$B$43*Listeria!I423+GraphListeria!$B$44</f>
        <v>0.77070378970069164</v>
      </c>
      <c r="U423" s="10">
        <f>GraphListeria!$H$43*Listeria!I423+GraphListeria!$H$44</f>
        <v>0.75380618540673261</v>
      </c>
    </row>
    <row r="424" spans="1:21" x14ac:dyDescent="0.2">
      <c r="A424" s="1" t="s">
        <v>1440</v>
      </c>
      <c r="B424" s="1" t="s">
        <v>1443</v>
      </c>
      <c r="D424" t="s">
        <v>11</v>
      </c>
      <c r="E424" t="s">
        <v>1262</v>
      </c>
      <c r="F424" t="s">
        <v>1326</v>
      </c>
      <c r="I424" s="4">
        <v>57.2</v>
      </c>
      <c r="J424" s="11">
        <v>18</v>
      </c>
      <c r="L424" s="12">
        <f t="shared" si="7"/>
        <v>1.255272505103306</v>
      </c>
      <c r="M424" s="11">
        <f>GraphListeria!$B$10-(Listeria!I424-GraphListeria!$B$6)/GraphListeria!$B$5</f>
        <v>0.75380618540673239</v>
      </c>
      <c r="N424" s="2" t="s">
        <v>1226</v>
      </c>
      <c r="O424">
        <v>1996</v>
      </c>
      <c r="S424" s="10">
        <f>GraphListeria!$B$43*Listeria!I424+GraphListeria!$B$44</f>
        <v>0.77070378970069164</v>
      </c>
      <c r="U424" s="10">
        <f>GraphListeria!$H$43*Listeria!I424+GraphListeria!$H$44</f>
        <v>0.75380618540673261</v>
      </c>
    </row>
    <row r="425" spans="1:21" x14ac:dyDescent="0.2">
      <c r="A425" s="1" t="s">
        <v>1440</v>
      </c>
      <c r="B425" s="1" t="s">
        <v>1443</v>
      </c>
      <c r="D425" t="s">
        <v>11</v>
      </c>
      <c r="E425" s="1" t="s">
        <v>1262</v>
      </c>
      <c r="F425" s="1" t="s">
        <v>1326</v>
      </c>
      <c r="G425" s="1"/>
      <c r="I425" s="4">
        <v>60</v>
      </c>
      <c r="J425" s="11">
        <v>3.5</v>
      </c>
      <c r="L425" s="12">
        <f t="shared" si="7"/>
        <v>0.54406804435027567</v>
      </c>
      <c r="M425" s="11">
        <f>GraphListeria!$B$10-(Listeria!I425-GraphListeria!$B$6)/GraphListeria!$B$5</f>
        <v>0.35623347030397379</v>
      </c>
      <c r="N425" s="2" t="s">
        <v>1226</v>
      </c>
      <c r="O425">
        <v>1996</v>
      </c>
      <c r="S425" s="10">
        <f>GraphListeria!$B$43*Listeria!I425+GraphListeria!$B$44</f>
        <v>0.38409169809355426</v>
      </c>
      <c r="U425" s="10">
        <f>GraphListeria!$H$43*Listeria!I425+GraphListeria!$H$44</f>
        <v>0.35623347030397312</v>
      </c>
    </row>
    <row r="426" spans="1:21" x14ac:dyDescent="0.2">
      <c r="A426" s="1" t="s">
        <v>1440</v>
      </c>
      <c r="B426" s="1" t="s">
        <v>1443</v>
      </c>
      <c r="D426" t="s">
        <v>11</v>
      </c>
      <c r="E426" s="1" t="s">
        <v>1262</v>
      </c>
      <c r="F426" s="1" t="s">
        <v>1326</v>
      </c>
      <c r="G426" s="1"/>
      <c r="I426" s="4">
        <v>60</v>
      </c>
      <c r="J426" s="11">
        <v>4.5</v>
      </c>
      <c r="L426" s="12">
        <f t="shared" si="7"/>
        <v>0.65321251377534373</v>
      </c>
      <c r="M426" s="11">
        <f>GraphListeria!$B$10-(Listeria!I426-GraphListeria!$B$6)/GraphListeria!$B$5</f>
        <v>0.35623347030397379</v>
      </c>
      <c r="N426" s="2" t="s">
        <v>1226</v>
      </c>
      <c r="O426">
        <v>1996</v>
      </c>
      <c r="S426" s="10">
        <f>GraphListeria!$B$43*Listeria!I426+GraphListeria!$B$44</f>
        <v>0.38409169809355426</v>
      </c>
      <c r="U426" s="10">
        <f>GraphListeria!$H$43*Listeria!I426+GraphListeria!$H$44</f>
        <v>0.35623347030397312</v>
      </c>
    </row>
    <row r="427" spans="1:21" x14ac:dyDescent="0.2">
      <c r="A427" s="1" t="s">
        <v>1440</v>
      </c>
      <c r="B427" s="1" t="s">
        <v>1443</v>
      </c>
      <c r="D427" t="s">
        <v>11</v>
      </c>
      <c r="E427" t="s">
        <v>1262</v>
      </c>
      <c r="F427" t="s">
        <v>1326</v>
      </c>
      <c r="I427" s="4">
        <v>62.8</v>
      </c>
      <c r="J427" s="11">
        <v>2.6</v>
      </c>
      <c r="L427" s="12">
        <f t="shared" si="7"/>
        <v>0.41497334797081797</v>
      </c>
      <c r="M427" s="11">
        <f>GraphListeria!$B$10-(Listeria!I427-GraphListeria!$B$6)/GraphListeria!$B$5</f>
        <v>-4.1339244798784813E-2</v>
      </c>
      <c r="N427" s="2" t="s">
        <v>1226</v>
      </c>
      <c r="O427">
        <v>1996</v>
      </c>
      <c r="S427" s="10">
        <f>GraphListeria!$B$43*Listeria!I427+GraphListeria!$B$44</f>
        <v>-2.5203935135849065E-3</v>
      </c>
      <c r="U427" s="10">
        <f>GraphListeria!$H$43*Listeria!I427+GraphListeria!$H$44</f>
        <v>-4.1339244798784591E-2</v>
      </c>
    </row>
    <row r="428" spans="1:21" x14ac:dyDescent="0.2">
      <c r="A428" s="1" t="s">
        <v>1440</v>
      </c>
      <c r="B428" s="1" t="s">
        <v>1443</v>
      </c>
      <c r="D428" t="s">
        <v>11</v>
      </c>
      <c r="E428" t="s">
        <v>1262</v>
      </c>
      <c r="F428" t="s">
        <v>1326</v>
      </c>
      <c r="I428" s="4">
        <v>62.8</v>
      </c>
      <c r="J428" s="11">
        <v>2.8</v>
      </c>
      <c r="L428" s="12">
        <f t="shared" si="7"/>
        <v>0.44715803134221921</v>
      </c>
      <c r="M428" s="11">
        <f>GraphListeria!$B$10-(Listeria!I428-GraphListeria!$B$6)/GraphListeria!$B$5</f>
        <v>-4.1339244798784813E-2</v>
      </c>
      <c r="N428" s="2" t="s">
        <v>1226</v>
      </c>
      <c r="O428">
        <v>1996</v>
      </c>
      <c r="S428" s="10">
        <f>GraphListeria!$B$43*Listeria!I428+GraphListeria!$B$44</f>
        <v>-2.5203935135849065E-3</v>
      </c>
      <c r="U428" s="10">
        <f>GraphListeria!$H$43*Listeria!I428+GraphListeria!$H$44</f>
        <v>-4.1339244798784591E-2</v>
      </c>
    </row>
    <row r="429" spans="1:21" x14ac:dyDescent="0.2">
      <c r="A429" s="1" t="s">
        <v>1440</v>
      </c>
      <c r="B429" s="1" t="s">
        <v>1443</v>
      </c>
      <c r="C429" t="s">
        <v>463</v>
      </c>
      <c r="D429" t="s">
        <v>11</v>
      </c>
      <c r="E429" s="1" t="s">
        <v>1262</v>
      </c>
      <c r="F429" s="1" t="s">
        <v>1193</v>
      </c>
      <c r="I429" s="4">
        <v>48</v>
      </c>
      <c r="J429" s="11">
        <v>88.6</v>
      </c>
      <c r="L429" s="12">
        <f t="shared" si="7"/>
        <v>1.9474337218870508</v>
      </c>
      <c r="M429" s="11">
        <f>GraphListeria!$B$10-(Listeria!I429-GraphListeria!$B$6)/GraphListeria!$B$5</f>
        <v>2.0601165350300836</v>
      </c>
      <c r="N429" s="1" t="s">
        <v>1192</v>
      </c>
      <c r="O429">
        <v>2000</v>
      </c>
      <c r="P429" s="2" t="s">
        <v>1194</v>
      </c>
      <c r="S429" s="10">
        <f>GraphListeria!$B$43*Listeria!I429+GraphListeria!$B$44</f>
        <v>2.0410006621241479</v>
      </c>
      <c r="U429" s="10">
        <f>GraphListeria!$H$43*Listeria!I429+GraphListeria!$H$44</f>
        <v>2.0601165350300832</v>
      </c>
    </row>
    <row r="430" spans="1:21" x14ac:dyDescent="0.2">
      <c r="A430" s="1" t="s">
        <v>1440</v>
      </c>
      <c r="B430" s="1" t="s">
        <v>1443</v>
      </c>
      <c r="C430" t="s">
        <v>463</v>
      </c>
      <c r="D430" t="s">
        <v>11</v>
      </c>
      <c r="E430" s="1" t="s">
        <v>1262</v>
      </c>
      <c r="F430" s="1" t="s">
        <v>1193</v>
      </c>
      <c r="I430" s="4">
        <v>48</v>
      </c>
      <c r="J430" s="11">
        <v>92.6</v>
      </c>
      <c r="L430" s="12">
        <f t="shared" si="7"/>
        <v>1.9666109866819343</v>
      </c>
      <c r="M430" s="11">
        <f>GraphListeria!$B$10-(Listeria!I430-GraphListeria!$B$6)/GraphListeria!$B$5</f>
        <v>2.0601165350300836</v>
      </c>
      <c r="N430" s="1" t="s">
        <v>1192</v>
      </c>
      <c r="O430">
        <v>2000</v>
      </c>
      <c r="P430" s="2" t="s">
        <v>1195</v>
      </c>
      <c r="S430" s="10">
        <f>GraphListeria!$B$43*Listeria!I430+GraphListeria!$B$44</f>
        <v>2.0410006621241479</v>
      </c>
      <c r="U430" s="10">
        <f>GraphListeria!$H$43*Listeria!I430+GraphListeria!$H$44</f>
        <v>2.0601165350300832</v>
      </c>
    </row>
    <row r="431" spans="1:21" x14ac:dyDescent="0.2">
      <c r="A431" s="1" t="s">
        <v>1440</v>
      </c>
      <c r="B431" s="1" t="s">
        <v>1443</v>
      </c>
      <c r="C431" t="s">
        <v>463</v>
      </c>
      <c r="D431" t="s">
        <v>11</v>
      </c>
      <c r="E431" s="1" t="s">
        <v>1262</v>
      </c>
      <c r="F431" t="s">
        <v>1193</v>
      </c>
      <c r="I431" s="4">
        <v>52</v>
      </c>
      <c r="J431" s="11">
        <v>26.7</v>
      </c>
      <c r="L431" s="12">
        <f t="shared" si="7"/>
        <v>1.4265112613645752</v>
      </c>
      <c r="M431" s="11">
        <f>GraphListeria!$B$10-(Listeria!I431-GraphListeria!$B$6)/GraphListeria!$B$5</f>
        <v>1.4921555134547138</v>
      </c>
      <c r="N431" s="1" t="s">
        <v>1192</v>
      </c>
      <c r="O431">
        <v>2000</v>
      </c>
      <c r="P431" s="2" t="s">
        <v>1194</v>
      </c>
      <c r="S431" s="10">
        <f>GraphListeria!$B$43*Listeria!I431+GraphListeria!$B$44</f>
        <v>1.4886976741139497</v>
      </c>
      <c r="U431" s="10">
        <f>GraphListeria!$H$43*Listeria!I431+GraphListeria!$H$44</f>
        <v>1.4921555134547138</v>
      </c>
    </row>
    <row r="432" spans="1:21" x14ac:dyDescent="0.2">
      <c r="A432" s="1" t="s">
        <v>1440</v>
      </c>
      <c r="B432" s="1" t="s">
        <v>1443</v>
      </c>
      <c r="C432" t="s">
        <v>463</v>
      </c>
      <c r="D432" t="s">
        <v>11</v>
      </c>
      <c r="E432" s="1" t="s">
        <v>1262</v>
      </c>
      <c r="F432" t="s">
        <v>1193</v>
      </c>
      <c r="I432" s="4">
        <v>52</v>
      </c>
      <c r="J432" s="11">
        <v>29</v>
      </c>
      <c r="L432" s="12">
        <f t="shared" si="7"/>
        <v>1.4623979978989561</v>
      </c>
      <c r="M432" s="11">
        <f>GraphListeria!$B$10-(Listeria!I432-GraphListeria!$B$6)/GraphListeria!$B$5</f>
        <v>1.4921555134547138</v>
      </c>
      <c r="N432" s="1" t="s">
        <v>1192</v>
      </c>
      <c r="O432">
        <v>2000</v>
      </c>
      <c r="P432" s="2" t="s">
        <v>1195</v>
      </c>
      <c r="S432" s="10">
        <f>GraphListeria!$B$43*Listeria!I432+GraphListeria!$B$44</f>
        <v>1.4886976741139497</v>
      </c>
      <c r="U432" s="10">
        <f>GraphListeria!$H$43*Listeria!I432+GraphListeria!$H$44</f>
        <v>1.4921555134547138</v>
      </c>
    </row>
    <row r="433" spans="1:21" x14ac:dyDescent="0.2">
      <c r="A433" s="1" t="s">
        <v>1440</v>
      </c>
      <c r="B433" s="1" t="s">
        <v>1443</v>
      </c>
      <c r="C433" t="s">
        <v>463</v>
      </c>
      <c r="D433" t="s">
        <v>11</v>
      </c>
      <c r="E433" s="1" t="s">
        <v>1262</v>
      </c>
      <c r="F433" t="s">
        <v>1193</v>
      </c>
      <c r="I433" s="4">
        <v>56</v>
      </c>
      <c r="J433" s="11">
        <v>3.1</v>
      </c>
      <c r="L433" s="12">
        <f t="shared" si="7"/>
        <v>0.49136169383427269</v>
      </c>
      <c r="M433" s="11">
        <f>GraphListeria!$B$10-(Listeria!I433-GraphListeria!$B$6)/GraphListeria!$B$5</f>
        <v>0.92419449187934366</v>
      </c>
      <c r="N433" s="1" t="s">
        <v>1192</v>
      </c>
      <c r="O433">
        <v>2000</v>
      </c>
      <c r="P433" s="2" t="s">
        <v>1194</v>
      </c>
      <c r="S433" s="10">
        <f>GraphListeria!$B$43*Listeria!I433+GraphListeria!$B$44</f>
        <v>0.93639468610375154</v>
      </c>
      <c r="U433" s="10">
        <f>GraphListeria!$H$43*Listeria!I433+GraphListeria!$H$44</f>
        <v>0.92419449187934344</v>
      </c>
    </row>
    <row r="434" spans="1:21" x14ac:dyDescent="0.2">
      <c r="A434" s="1" t="s">
        <v>1440</v>
      </c>
      <c r="B434" s="1" t="s">
        <v>1443</v>
      </c>
      <c r="C434" t="s">
        <v>463</v>
      </c>
      <c r="D434" t="s">
        <v>11</v>
      </c>
      <c r="E434" s="1" t="s">
        <v>1262</v>
      </c>
      <c r="F434" t="s">
        <v>1193</v>
      </c>
      <c r="I434" s="4">
        <v>56</v>
      </c>
      <c r="J434" s="11">
        <v>3.3</v>
      </c>
      <c r="L434" s="12">
        <f t="shared" si="7"/>
        <v>0.51851393987788741</v>
      </c>
      <c r="M434" s="11">
        <f>GraphListeria!$B$10-(Listeria!I434-GraphListeria!$B$6)/GraphListeria!$B$5</f>
        <v>0.92419449187934366</v>
      </c>
      <c r="N434" s="1" t="s">
        <v>1192</v>
      </c>
      <c r="O434">
        <v>2000</v>
      </c>
      <c r="P434" s="2" t="s">
        <v>1195</v>
      </c>
      <c r="S434" s="10">
        <f>GraphListeria!$B$43*Listeria!I434+GraphListeria!$B$44</f>
        <v>0.93639468610375154</v>
      </c>
      <c r="U434" s="10">
        <f>GraphListeria!$H$43*Listeria!I434+GraphListeria!$H$44</f>
        <v>0.92419449187934344</v>
      </c>
    </row>
    <row r="435" spans="1:21" x14ac:dyDescent="0.2">
      <c r="A435" s="1" t="s">
        <v>1440</v>
      </c>
      <c r="B435" s="1" t="s">
        <v>1443</v>
      </c>
      <c r="D435" t="s">
        <v>11</v>
      </c>
      <c r="E435" s="1" t="s">
        <v>1262</v>
      </c>
      <c r="F435" s="1" t="s">
        <v>15</v>
      </c>
      <c r="G435" s="1"/>
      <c r="I435" s="4">
        <v>60</v>
      </c>
      <c r="J435" s="11">
        <v>6.27</v>
      </c>
      <c r="L435" s="12">
        <f t="shared" si="7"/>
        <v>0.79726754083071638</v>
      </c>
      <c r="M435" s="11">
        <f>GraphListeria!$B$10-(Listeria!I435-GraphListeria!$B$6)/GraphListeria!$B$5</f>
        <v>0.35623347030397379</v>
      </c>
      <c r="N435" s="2" t="s">
        <v>1226</v>
      </c>
      <c r="O435">
        <v>1996</v>
      </c>
      <c r="S435" s="10">
        <f>GraphListeria!$B$43*Listeria!I435+GraphListeria!$B$44</f>
        <v>0.38409169809355426</v>
      </c>
      <c r="U435" s="10">
        <f>GraphListeria!$H$43*Listeria!I435+GraphListeria!$H$44</f>
        <v>0.35623347030397312</v>
      </c>
    </row>
    <row r="436" spans="1:21" x14ac:dyDescent="0.2">
      <c r="A436" s="1" t="s">
        <v>1440</v>
      </c>
      <c r="B436" s="1" t="s">
        <v>1443</v>
      </c>
      <c r="D436" t="s">
        <v>11</v>
      </c>
      <c r="E436" s="1" t="s">
        <v>1262</v>
      </c>
      <c r="F436" s="1" t="s">
        <v>15</v>
      </c>
      <c r="G436" s="1"/>
      <c r="I436" s="4">
        <v>60</v>
      </c>
      <c r="J436" s="11">
        <v>8.32</v>
      </c>
      <c r="L436" s="12">
        <f t="shared" si="7"/>
        <v>0.92012332629072391</v>
      </c>
      <c r="M436" s="11">
        <f>GraphListeria!$B$10-(Listeria!I436-GraphListeria!$B$6)/GraphListeria!$B$5</f>
        <v>0.35623347030397379</v>
      </c>
      <c r="N436" s="2" t="s">
        <v>1226</v>
      </c>
      <c r="O436">
        <v>1996</v>
      </c>
      <c r="S436" s="10">
        <f>GraphListeria!$B$43*Listeria!I436+GraphListeria!$B$44</f>
        <v>0.38409169809355426</v>
      </c>
      <c r="U436" s="10">
        <f>GraphListeria!$H$43*Listeria!I436+GraphListeria!$H$44</f>
        <v>0.35623347030397312</v>
      </c>
    </row>
    <row r="437" spans="1:21" x14ac:dyDescent="0.2">
      <c r="A437" s="1" t="s">
        <v>1440</v>
      </c>
      <c r="B437" s="1" t="s">
        <v>1443</v>
      </c>
      <c r="D437" t="s">
        <v>11</v>
      </c>
      <c r="E437" s="1" t="s">
        <v>1262</v>
      </c>
      <c r="F437" s="1" t="s">
        <v>15</v>
      </c>
      <c r="G437" s="1"/>
      <c r="I437" s="4">
        <v>62</v>
      </c>
      <c r="J437" s="11">
        <v>2.9</v>
      </c>
      <c r="L437" s="12">
        <f t="shared" si="7"/>
        <v>0.46239799789895608</v>
      </c>
      <c r="M437" s="11">
        <f>GraphListeria!$B$10-(Listeria!I437-GraphListeria!$B$6)/GraphListeria!$B$5</f>
        <v>7.2252959516288628E-2</v>
      </c>
      <c r="N437" s="2" t="s">
        <v>1226</v>
      </c>
      <c r="O437">
        <v>1996</v>
      </c>
      <c r="S437" s="10">
        <f>GraphListeria!$B$43*Listeria!I437+GraphListeria!$B$44</f>
        <v>0.10794020408845384</v>
      </c>
      <c r="U437" s="10">
        <f>GraphListeria!$H$43*Listeria!I437+GraphListeria!$H$44</f>
        <v>7.2252959516289295E-2</v>
      </c>
    </row>
    <row r="438" spans="1:21" x14ac:dyDescent="0.2">
      <c r="A438" s="1" t="s">
        <v>1440</v>
      </c>
      <c r="B438" s="1" t="s">
        <v>1443</v>
      </c>
      <c r="D438" t="s">
        <v>11</v>
      </c>
      <c r="E438" s="1" t="s">
        <v>1262</v>
      </c>
      <c r="F438" s="1" t="s">
        <v>15</v>
      </c>
      <c r="G438" s="1"/>
      <c r="I438" s="4">
        <v>62</v>
      </c>
      <c r="J438" s="11">
        <v>4.2</v>
      </c>
      <c r="L438" s="12">
        <f t="shared" si="7"/>
        <v>0.62324929039790045</v>
      </c>
      <c r="M438" s="11">
        <f>GraphListeria!$B$10-(Listeria!I438-GraphListeria!$B$6)/GraphListeria!$B$5</f>
        <v>7.2252959516288628E-2</v>
      </c>
      <c r="N438" s="2" t="s">
        <v>1226</v>
      </c>
      <c r="O438">
        <v>1996</v>
      </c>
      <c r="S438" s="10">
        <f>GraphListeria!$B$43*Listeria!I438+GraphListeria!$B$44</f>
        <v>0.10794020408845384</v>
      </c>
      <c r="U438" s="10">
        <f>GraphListeria!$H$43*Listeria!I438+GraphListeria!$H$44</f>
        <v>7.2252959516289295E-2</v>
      </c>
    </row>
    <row r="439" spans="1:21" x14ac:dyDescent="0.2">
      <c r="A439" s="1" t="s">
        <v>1440</v>
      </c>
      <c r="B439" s="1" t="s">
        <v>1443</v>
      </c>
      <c r="D439" t="s">
        <v>11</v>
      </c>
      <c r="E439" s="1" t="s">
        <v>1262</v>
      </c>
      <c r="F439" s="1" t="s">
        <v>15</v>
      </c>
      <c r="G439" s="1"/>
      <c r="I439" s="4">
        <v>64</v>
      </c>
      <c r="J439" s="11">
        <v>2.19</v>
      </c>
      <c r="L439" s="12">
        <f t="shared" si="7"/>
        <v>0.34044411484011833</v>
      </c>
      <c r="M439" s="11">
        <f>GraphListeria!$B$10-(Listeria!I439-GraphListeria!$B$6)/GraphListeria!$B$5</f>
        <v>-0.21172755127139631</v>
      </c>
      <c r="N439" s="2" t="s">
        <v>1226</v>
      </c>
      <c r="O439">
        <v>1996</v>
      </c>
      <c r="S439" s="10">
        <f>GraphListeria!$B$43*Listeria!I439+GraphListeria!$B$44</f>
        <v>-0.1682112899166448</v>
      </c>
      <c r="U439" s="10">
        <f>GraphListeria!$H$43*Listeria!I439+GraphListeria!$H$44</f>
        <v>-0.21172755127139631</v>
      </c>
    </row>
    <row r="440" spans="1:21" x14ac:dyDescent="0.2">
      <c r="A440" s="1" t="s">
        <v>1440</v>
      </c>
      <c r="B440" s="1" t="s">
        <v>1443</v>
      </c>
      <c r="D440" t="s">
        <v>11</v>
      </c>
      <c r="E440" s="1" t="s">
        <v>1262</v>
      </c>
      <c r="F440" s="1" t="s">
        <v>15</v>
      </c>
      <c r="G440" s="1"/>
      <c r="I440" s="4">
        <v>64</v>
      </c>
      <c r="J440" s="11">
        <v>2.21</v>
      </c>
      <c r="L440" s="12">
        <f t="shared" si="7"/>
        <v>0.34439227368511072</v>
      </c>
      <c r="M440" s="11">
        <f>GraphListeria!$B$10-(Listeria!I440-GraphListeria!$B$6)/GraphListeria!$B$5</f>
        <v>-0.21172755127139631</v>
      </c>
      <c r="N440" s="2" t="s">
        <v>1226</v>
      </c>
      <c r="O440">
        <v>1996</v>
      </c>
      <c r="S440" s="10">
        <f>GraphListeria!$B$43*Listeria!I440+GraphListeria!$B$44</f>
        <v>-0.1682112899166448</v>
      </c>
      <c r="U440" s="10">
        <f>GraphListeria!$H$43*Listeria!I440+GraphListeria!$H$44</f>
        <v>-0.21172755127139631</v>
      </c>
    </row>
    <row r="441" spans="1:21" x14ac:dyDescent="0.2">
      <c r="A441" s="1" t="s">
        <v>1440</v>
      </c>
      <c r="B441" s="1" t="s">
        <v>1443</v>
      </c>
      <c r="D441" t="s">
        <v>11</v>
      </c>
      <c r="E441" t="s">
        <v>1262</v>
      </c>
      <c r="F441" t="s">
        <v>15</v>
      </c>
      <c r="I441" s="4">
        <v>66</v>
      </c>
      <c r="J441" s="4">
        <v>0.93</v>
      </c>
      <c r="L441" s="12">
        <f t="shared" si="7"/>
        <v>-3.1517051446064863E-2</v>
      </c>
      <c r="M441" s="11">
        <f>GraphListeria!$B$10-(Listeria!I441-GraphListeria!$B$6)/GraphListeria!$B$5</f>
        <v>-0.49570806205908136</v>
      </c>
      <c r="N441" s="2" t="s">
        <v>1226</v>
      </c>
      <c r="O441">
        <v>1996</v>
      </c>
      <c r="S441" s="10">
        <f>GraphListeria!$B$43*Listeria!I441+GraphListeria!$B$44</f>
        <v>-0.44436278392174344</v>
      </c>
      <c r="U441" s="10">
        <f>GraphListeria!$H$43*Listeria!I441+GraphListeria!$H$44</f>
        <v>-0.49570806205908191</v>
      </c>
    </row>
    <row r="442" spans="1:21" x14ac:dyDescent="0.2">
      <c r="A442" s="1" t="s">
        <v>1440</v>
      </c>
      <c r="B442" s="1" t="s">
        <v>1443</v>
      </c>
      <c r="D442" t="s">
        <v>11</v>
      </c>
      <c r="E442" t="s">
        <v>1262</v>
      </c>
      <c r="F442" t="s">
        <v>15</v>
      </c>
      <c r="I442" s="4">
        <v>66</v>
      </c>
      <c r="J442" s="4">
        <v>0.94</v>
      </c>
      <c r="L442" s="12">
        <f t="shared" si="7"/>
        <v>-2.6872146400301365E-2</v>
      </c>
      <c r="M442" s="11">
        <f>GraphListeria!$B$10-(Listeria!I442-GraphListeria!$B$6)/GraphListeria!$B$5</f>
        <v>-0.49570806205908136</v>
      </c>
      <c r="N442" s="2" t="s">
        <v>1226</v>
      </c>
      <c r="O442">
        <v>1996</v>
      </c>
      <c r="S442" s="10">
        <f>GraphListeria!$B$43*Listeria!I442+GraphListeria!$B$44</f>
        <v>-0.44436278392174344</v>
      </c>
      <c r="U442" s="10">
        <f>GraphListeria!$H$43*Listeria!I442+GraphListeria!$H$44</f>
        <v>-0.49570806205908191</v>
      </c>
    </row>
    <row r="443" spans="1:21" x14ac:dyDescent="0.2">
      <c r="A443" s="1" t="s">
        <v>1440</v>
      </c>
      <c r="B443" s="1" t="s">
        <v>1443</v>
      </c>
      <c r="D443" t="s">
        <v>11</v>
      </c>
      <c r="E443" s="1" t="s">
        <v>1262</v>
      </c>
      <c r="F443" s="1" t="s">
        <v>15</v>
      </c>
      <c r="G443" s="1"/>
      <c r="I443" s="4">
        <v>68</v>
      </c>
      <c r="J443" s="11">
        <v>0.27</v>
      </c>
      <c r="L443" s="12">
        <f t="shared" si="7"/>
        <v>-0.56863623584101264</v>
      </c>
      <c r="M443" s="11">
        <f>GraphListeria!$B$10-(Listeria!I443-GraphListeria!$B$6)/GraphListeria!$B$5</f>
        <v>-0.7796885728467664</v>
      </c>
      <c r="N443" s="2" t="s">
        <v>1226</v>
      </c>
      <c r="O443">
        <v>1996</v>
      </c>
      <c r="S443" s="10">
        <f>GraphListeria!$B$43*Listeria!I443+GraphListeria!$B$44</f>
        <v>-0.72051427792684386</v>
      </c>
      <c r="U443" s="10">
        <f>GraphListeria!$H$43*Listeria!I443+GraphListeria!$H$44</f>
        <v>-0.77968857284676574</v>
      </c>
    </row>
    <row r="444" spans="1:21" x14ac:dyDescent="0.2">
      <c r="A444" s="1" t="s">
        <v>1440</v>
      </c>
      <c r="B444" s="1" t="s">
        <v>1443</v>
      </c>
      <c r="D444" t="s">
        <v>11</v>
      </c>
      <c r="E444" s="1" t="s">
        <v>1262</v>
      </c>
      <c r="F444" s="1" t="s">
        <v>15</v>
      </c>
      <c r="G444" s="1"/>
      <c r="I444" s="4">
        <v>68</v>
      </c>
      <c r="J444" s="11">
        <v>0.35</v>
      </c>
      <c r="L444" s="12">
        <f t="shared" si="7"/>
        <v>-0.45593195564972439</v>
      </c>
      <c r="M444" s="11">
        <f>GraphListeria!$B$10-(Listeria!I444-GraphListeria!$B$6)/GraphListeria!$B$5</f>
        <v>-0.7796885728467664</v>
      </c>
      <c r="N444" s="2" t="s">
        <v>1226</v>
      </c>
      <c r="O444">
        <v>1996</v>
      </c>
      <c r="S444" s="10">
        <f>GraphListeria!$B$43*Listeria!I444+GraphListeria!$B$44</f>
        <v>-0.72051427792684386</v>
      </c>
      <c r="U444" s="10">
        <f>GraphListeria!$H$43*Listeria!I444+GraphListeria!$H$44</f>
        <v>-0.77968857284676574</v>
      </c>
    </row>
    <row r="445" spans="1:21" x14ac:dyDescent="0.2">
      <c r="A445" s="1" t="s">
        <v>1440</v>
      </c>
      <c r="B445" s="1" t="s">
        <v>1443</v>
      </c>
      <c r="D445" t="s">
        <v>11</v>
      </c>
      <c r="E445" s="1" t="s">
        <v>1262</v>
      </c>
      <c r="F445" s="1" t="s">
        <v>15</v>
      </c>
      <c r="G445" s="1"/>
      <c r="I445" s="4">
        <v>70</v>
      </c>
      <c r="J445" s="11">
        <v>0.14000000000000001</v>
      </c>
      <c r="L445" s="12">
        <f t="shared" si="7"/>
        <v>-0.85387196432176193</v>
      </c>
      <c r="M445" s="11">
        <f>GraphListeria!$B$10-(Listeria!I445-GraphListeria!$B$6)/GraphListeria!$B$5</f>
        <v>-1.0636690836344513</v>
      </c>
      <c r="N445" s="2" t="s">
        <v>1226</v>
      </c>
      <c r="O445">
        <v>1996</v>
      </c>
      <c r="S445" s="10">
        <f>GraphListeria!$B$43*Listeria!I445+GraphListeria!$B$44</f>
        <v>-0.9966657719319425</v>
      </c>
      <c r="U445" s="10">
        <f>GraphListeria!$H$43*Listeria!I445+GraphListeria!$H$44</f>
        <v>-1.0636690836344513</v>
      </c>
    </row>
    <row r="446" spans="1:21" x14ac:dyDescent="0.2">
      <c r="A446" s="1" t="s">
        <v>1440</v>
      </c>
      <c r="B446" s="1" t="s">
        <v>1443</v>
      </c>
      <c r="D446" t="s">
        <v>11</v>
      </c>
      <c r="E446" s="1" t="s">
        <v>1262</v>
      </c>
      <c r="F446" s="1" t="s">
        <v>15</v>
      </c>
      <c r="G446" s="1"/>
      <c r="I446" s="4">
        <v>70</v>
      </c>
      <c r="J446" s="11">
        <v>0.2</v>
      </c>
      <c r="L446" s="12">
        <f t="shared" si="7"/>
        <v>-0.69897000433601875</v>
      </c>
      <c r="M446" s="11">
        <f>GraphListeria!$B$10-(Listeria!I446-GraphListeria!$B$6)/GraphListeria!$B$5</f>
        <v>-1.0636690836344513</v>
      </c>
      <c r="N446" s="2" t="s">
        <v>1226</v>
      </c>
      <c r="O446">
        <v>1996</v>
      </c>
      <c r="S446" s="10">
        <f>GraphListeria!$B$43*Listeria!I446+GraphListeria!$B$44</f>
        <v>-0.9966657719319425</v>
      </c>
      <c r="U446" s="10">
        <f>GraphListeria!$H$43*Listeria!I446+GraphListeria!$H$44</f>
        <v>-1.0636690836344513</v>
      </c>
    </row>
    <row r="447" spans="1:21" x14ac:dyDescent="0.2">
      <c r="A447" s="1" t="s">
        <v>1440</v>
      </c>
      <c r="B447" s="1" t="s">
        <v>1443</v>
      </c>
      <c r="C447" t="s">
        <v>57</v>
      </c>
      <c r="D447" s="1" t="s">
        <v>11</v>
      </c>
      <c r="E447" s="1" t="s">
        <v>1262</v>
      </c>
      <c r="F447" s="1" t="s">
        <v>596</v>
      </c>
      <c r="G447" s="1"/>
      <c r="I447" s="4">
        <v>60</v>
      </c>
      <c r="J447" s="11">
        <v>8.32</v>
      </c>
      <c r="L447" s="12">
        <f t="shared" si="7"/>
        <v>0.92012332629072391</v>
      </c>
      <c r="M447" s="11">
        <f>GraphListeria!$B$10-(Listeria!I447-GraphListeria!$B$6)/GraphListeria!$B$5</f>
        <v>0.35623347030397379</v>
      </c>
      <c r="N447" s="1" t="s">
        <v>598</v>
      </c>
      <c r="O447">
        <v>1989</v>
      </c>
      <c r="S447" s="10">
        <f>GraphListeria!$B$43*Listeria!I447+GraphListeria!$B$44</f>
        <v>0.38409169809355426</v>
      </c>
      <c r="U447" s="10">
        <f>GraphListeria!$H$43*Listeria!I447+GraphListeria!$H$44</f>
        <v>0.35623347030397312</v>
      </c>
    </row>
    <row r="448" spans="1:21" x14ac:dyDescent="0.2">
      <c r="A448" s="1" t="s">
        <v>1440</v>
      </c>
      <c r="B448" s="1" t="s">
        <v>1443</v>
      </c>
      <c r="C448" t="s">
        <v>463</v>
      </c>
      <c r="D448" s="1" t="s">
        <v>11</v>
      </c>
      <c r="E448" s="1" t="s">
        <v>1262</v>
      </c>
      <c r="F448" s="1" t="s">
        <v>596</v>
      </c>
      <c r="G448" s="1"/>
      <c r="I448" s="4">
        <v>60</v>
      </c>
      <c r="J448" s="11">
        <v>6.27</v>
      </c>
      <c r="L448" s="12">
        <f t="shared" si="7"/>
        <v>0.79726754083071638</v>
      </c>
      <c r="M448" s="11">
        <f>GraphListeria!$B$10-(Listeria!I448-GraphListeria!$B$6)/GraphListeria!$B$5</f>
        <v>0.35623347030397379</v>
      </c>
      <c r="N448" s="1" t="s">
        <v>598</v>
      </c>
      <c r="O448">
        <v>1989</v>
      </c>
      <c r="S448" s="10">
        <f>GraphListeria!$B$43*Listeria!I448+GraphListeria!$B$44</f>
        <v>0.38409169809355426</v>
      </c>
      <c r="U448" s="10">
        <f>GraphListeria!$H$43*Listeria!I448+GraphListeria!$H$44</f>
        <v>0.35623347030397312</v>
      </c>
    </row>
    <row r="449" spans="1:21" x14ac:dyDescent="0.2">
      <c r="A449" s="1" t="s">
        <v>1440</v>
      </c>
      <c r="B449" s="1" t="s">
        <v>1443</v>
      </c>
      <c r="C449" t="s">
        <v>57</v>
      </c>
      <c r="D449" s="1" t="s">
        <v>11</v>
      </c>
      <c r="E449" s="1" t="s">
        <v>1262</v>
      </c>
      <c r="F449" s="1"/>
      <c r="G449" s="1"/>
      <c r="I449" s="4">
        <v>60</v>
      </c>
      <c r="J449" s="11">
        <v>1.1499999999999999</v>
      </c>
      <c r="L449" s="12">
        <f t="shared" si="7"/>
        <v>6.069784035361165E-2</v>
      </c>
      <c r="M449" s="11">
        <f>GraphListeria!$B$10-(Listeria!I449-GraphListeria!$B$6)/GraphListeria!$B$5</f>
        <v>0.35623347030397379</v>
      </c>
      <c r="N449" s="1" t="s">
        <v>490</v>
      </c>
      <c r="O449">
        <v>2001</v>
      </c>
      <c r="P449" t="s">
        <v>473</v>
      </c>
      <c r="S449" s="10">
        <f>GraphListeria!$B$43*Listeria!I449+GraphListeria!$B$44</f>
        <v>0.38409169809355426</v>
      </c>
      <c r="U449" s="10">
        <f>GraphListeria!$H$43*Listeria!I449+GraphListeria!$H$44</f>
        <v>0.35623347030397312</v>
      </c>
    </row>
    <row r="450" spans="1:21" x14ac:dyDescent="0.2">
      <c r="A450" s="1" t="s">
        <v>1440</v>
      </c>
      <c r="B450" s="1" t="s">
        <v>1443</v>
      </c>
      <c r="C450" t="s">
        <v>57</v>
      </c>
      <c r="D450" s="1" t="s">
        <v>11</v>
      </c>
      <c r="E450" s="1" t="s">
        <v>1262</v>
      </c>
      <c r="F450" s="1"/>
      <c r="G450" s="1"/>
      <c r="I450" s="4">
        <v>60</v>
      </c>
      <c r="J450" s="11">
        <v>1.95</v>
      </c>
      <c r="L450" s="12">
        <f t="shared" si="7"/>
        <v>0.29003461136251801</v>
      </c>
      <c r="M450" s="11">
        <f>GraphListeria!$B$10-(Listeria!I450-GraphListeria!$B$6)/GraphListeria!$B$5</f>
        <v>0.35623347030397379</v>
      </c>
      <c r="N450" s="1" t="s">
        <v>490</v>
      </c>
      <c r="O450">
        <v>2001</v>
      </c>
      <c r="P450" t="s">
        <v>474</v>
      </c>
      <c r="S450" s="10">
        <f>GraphListeria!$B$43*Listeria!I450+GraphListeria!$B$44</f>
        <v>0.38409169809355426</v>
      </c>
      <c r="U450" s="10">
        <f>GraphListeria!$H$43*Listeria!I450+GraphListeria!$H$44</f>
        <v>0.35623347030397312</v>
      </c>
    </row>
    <row r="451" spans="1:21" x14ac:dyDescent="0.2">
      <c r="A451" s="1" t="s">
        <v>1440</v>
      </c>
      <c r="B451" s="1" t="s">
        <v>1443</v>
      </c>
      <c r="C451" t="s">
        <v>435</v>
      </c>
      <c r="D451" s="1" t="s">
        <v>11</v>
      </c>
      <c r="E451" s="1" t="s">
        <v>1262</v>
      </c>
      <c r="F451" s="1"/>
      <c r="G451" s="1"/>
      <c r="H451" s="4">
        <v>5.4</v>
      </c>
      <c r="I451" s="4">
        <v>60</v>
      </c>
      <c r="J451" s="11">
        <v>3.07</v>
      </c>
      <c r="L451" s="12">
        <f t="shared" si="7"/>
        <v>0.48713837547718647</v>
      </c>
      <c r="M451" s="11">
        <f>GraphListeria!$B$10-(Listeria!I451-GraphListeria!$B$6)/GraphListeria!$B$5</f>
        <v>0.35623347030397379</v>
      </c>
      <c r="N451" s="1" t="s">
        <v>490</v>
      </c>
      <c r="O451">
        <v>2001</v>
      </c>
      <c r="P451" t="s">
        <v>407</v>
      </c>
      <c r="S451" s="10">
        <f>GraphListeria!$B$43*Listeria!I451+GraphListeria!$B$44</f>
        <v>0.38409169809355426</v>
      </c>
      <c r="U451" s="10">
        <f>GraphListeria!$H$43*Listeria!I451+GraphListeria!$H$44</f>
        <v>0.35623347030397312</v>
      </c>
    </row>
    <row r="452" spans="1:21" x14ac:dyDescent="0.2">
      <c r="A452" s="1" t="s">
        <v>1440</v>
      </c>
      <c r="B452" s="1" t="s">
        <v>1443</v>
      </c>
      <c r="C452" t="s">
        <v>435</v>
      </c>
      <c r="D452" s="1" t="s">
        <v>11</v>
      </c>
      <c r="E452" s="1" t="s">
        <v>1262</v>
      </c>
      <c r="F452" s="1"/>
      <c r="G452" s="1"/>
      <c r="H452" s="4">
        <v>5.4</v>
      </c>
      <c r="I452" s="4">
        <v>60</v>
      </c>
      <c r="J452" s="11">
        <v>3.83</v>
      </c>
      <c r="L452" s="12">
        <f t="shared" si="7"/>
        <v>0.58319877396862274</v>
      </c>
      <c r="M452" s="11">
        <f>GraphListeria!$B$10-(Listeria!I452-GraphListeria!$B$6)/GraphListeria!$B$5</f>
        <v>0.35623347030397379</v>
      </c>
      <c r="N452" s="1" t="s">
        <v>490</v>
      </c>
      <c r="O452">
        <v>2001</v>
      </c>
      <c r="P452" t="s">
        <v>476</v>
      </c>
      <c r="S452" s="10">
        <f>GraphListeria!$B$43*Listeria!I452+GraphListeria!$B$44</f>
        <v>0.38409169809355426</v>
      </c>
      <c r="U452" s="10">
        <f>GraphListeria!$H$43*Listeria!I452+GraphListeria!$H$44</f>
        <v>0.35623347030397312</v>
      </c>
    </row>
    <row r="453" spans="1:21" x14ac:dyDescent="0.2">
      <c r="A453" s="1" t="s">
        <v>1440</v>
      </c>
      <c r="B453" s="1" t="s">
        <v>1443</v>
      </c>
      <c r="C453" t="s">
        <v>435</v>
      </c>
      <c r="D453" s="1" t="s">
        <v>11</v>
      </c>
      <c r="E453" s="1" t="s">
        <v>1262</v>
      </c>
      <c r="F453" s="1"/>
      <c r="G453" s="1"/>
      <c r="H453" s="4">
        <v>5.4</v>
      </c>
      <c r="I453" s="4">
        <v>60</v>
      </c>
      <c r="J453" s="11">
        <v>8.65</v>
      </c>
      <c r="L453" s="12">
        <f t="shared" si="7"/>
        <v>0.93701610746481423</v>
      </c>
      <c r="M453" s="11">
        <f>GraphListeria!$B$10-(Listeria!I453-GraphListeria!$B$6)/GraphListeria!$B$5</f>
        <v>0.35623347030397379</v>
      </c>
      <c r="N453" s="1" t="s">
        <v>490</v>
      </c>
      <c r="O453">
        <v>2001</v>
      </c>
      <c r="P453" t="s">
        <v>366</v>
      </c>
      <c r="S453" s="10">
        <f>GraphListeria!$B$43*Listeria!I453+GraphListeria!$B$44</f>
        <v>0.38409169809355426</v>
      </c>
      <c r="U453" s="10">
        <f>GraphListeria!$H$43*Listeria!I453+GraphListeria!$H$44</f>
        <v>0.35623347030397312</v>
      </c>
    </row>
    <row r="454" spans="1:21" x14ac:dyDescent="0.2">
      <c r="A454" s="1" t="s">
        <v>1440</v>
      </c>
      <c r="B454" s="1" t="s">
        <v>1443</v>
      </c>
      <c r="C454" t="s">
        <v>435</v>
      </c>
      <c r="D454" s="1" t="s">
        <v>11</v>
      </c>
      <c r="E454" s="1" t="s">
        <v>1262</v>
      </c>
      <c r="F454" s="1"/>
      <c r="G454" s="1"/>
      <c r="H454" s="4">
        <v>5.4</v>
      </c>
      <c r="I454" s="4">
        <v>60</v>
      </c>
      <c r="J454" s="11">
        <v>7.88</v>
      </c>
      <c r="L454" s="12">
        <f t="shared" si="7"/>
        <v>0.8965262174895553</v>
      </c>
      <c r="M454" s="11">
        <f>GraphListeria!$B$10-(Listeria!I454-GraphListeria!$B$6)/GraphListeria!$B$5</f>
        <v>0.35623347030397379</v>
      </c>
      <c r="N454" s="1" t="s">
        <v>490</v>
      </c>
      <c r="O454">
        <v>2001</v>
      </c>
      <c r="P454" t="s">
        <v>477</v>
      </c>
      <c r="S454" s="10">
        <f>GraphListeria!$B$43*Listeria!I454+GraphListeria!$B$44</f>
        <v>0.38409169809355426</v>
      </c>
      <c r="U454" s="10">
        <f>GraphListeria!$H$43*Listeria!I454+GraphListeria!$H$44</f>
        <v>0.35623347030397312</v>
      </c>
    </row>
    <row r="455" spans="1:21" x14ac:dyDescent="0.2">
      <c r="A455" s="1" t="s">
        <v>1440</v>
      </c>
      <c r="B455" s="1" t="s">
        <v>1443</v>
      </c>
      <c r="C455" t="s">
        <v>435</v>
      </c>
      <c r="D455" s="1" t="s">
        <v>11</v>
      </c>
      <c r="E455" s="1" t="s">
        <v>1262</v>
      </c>
      <c r="F455" s="1"/>
      <c r="G455" s="1"/>
      <c r="H455" s="4">
        <v>6.2</v>
      </c>
      <c r="I455" s="4">
        <v>60</v>
      </c>
      <c r="J455" s="11">
        <v>4.03</v>
      </c>
      <c r="L455" s="12">
        <f t="shared" si="7"/>
        <v>0.60530504614110947</v>
      </c>
      <c r="M455" s="11">
        <f>GraphListeria!$B$10-(Listeria!I455-GraphListeria!$B$6)/GraphListeria!$B$5</f>
        <v>0.35623347030397379</v>
      </c>
      <c r="N455" s="1" t="s">
        <v>490</v>
      </c>
      <c r="O455">
        <v>2001</v>
      </c>
      <c r="P455" t="s">
        <v>407</v>
      </c>
      <c r="S455" s="10">
        <f>GraphListeria!$B$43*Listeria!I455+GraphListeria!$B$44</f>
        <v>0.38409169809355426</v>
      </c>
      <c r="U455" s="10">
        <f>GraphListeria!$H$43*Listeria!I455+GraphListeria!$H$44</f>
        <v>0.35623347030397312</v>
      </c>
    </row>
    <row r="456" spans="1:21" x14ac:dyDescent="0.2">
      <c r="A456" s="1" t="s">
        <v>1440</v>
      </c>
      <c r="B456" s="1" t="s">
        <v>1443</v>
      </c>
      <c r="C456" t="s">
        <v>435</v>
      </c>
      <c r="D456" s="1" t="s">
        <v>11</v>
      </c>
      <c r="E456" s="1" t="s">
        <v>1262</v>
      </c>
      <c r="F456" s="1"/>
      <c r="G456" s="1"/>
      <c r="H456" s="4">
        <v>6.2</v>
      </c>
      <c r="I456" s="4">
        <v>60</v>
      </c>
      <c r="J456" s="11">
        <v>9.51</v>
      </c>
      <c r="L456" s="12">
        <f t="shared" si="7"/>
        <v>0.97818051693741392</v>
      </c>
      <c r="M456" s="11">
        <f>GraphListeria!$B$10-(Listeria!I456-GraphListeria!$B$6)/GraphListeria!$B$5</f>
        <v>0.35623347030397379</v>
      </c>
      <c r="N456" s="1" t="s">
        <v>490</v>
      </c>
      <c r="O456">
        <v>2001</v>
      </c>
      <c r="P456" t="s">
        <v>476</v>
      </c>
      <c r="S456" s="10">
        <f>GraphListeria!$B$43*Listeria!I456+GraphListeria!$B$44</f>
        <v>0.38409169809355426</v>
      </c>
      <c r="U456" s="10">
        <f>GraphListeria!$H$43*Listeria!I456+GraphListeria!$H$44</f>
        <v>0.35623347030397312</v>
      </c>
    </row>
    <row r="457" spans="1:21" x14ac:dyDescent="0.2">
      <c r="A457" s="1" t="s">
        <v>1440</v>
      </c>
      <c r="B457" s="1" t="s">
        <v>1443</v>
      </c>
      <c r="C457" t="s">
        <v>435</v>
      </c>
      <c r="D457" s="1" t="s">
        <v>11</v>
      </c>
      <c r="E457" s="1" t="s">
        <v>1262</v>
      </c>
      <c r="F457" s="1"/>
      <c r="G457" s="1"/>
      <c r="H457" s="4">
        <v>6.2</v>
      </c>
      <c r="I457" s="4">
        <v>60</v>
      </c>
      <c r="J457" s="11">
        <v>12.53</v>
      </c>
      <c r="L457" s="12">
        <f t="shared" si="7"/>
        <v>1.09795107099415</v>
      </c>
      <c r="M457" s="11">
        <f>GraphListeria!$B$10-(Listeria!I457-GraphListeria!$B$6)/GraphListeria!$B$5</f>
        <v>0.35623347030397379</v>
      </c>
      <c r="N457" s="1" t="s">
        <v>490</v>
      </c>
      <c r="O457">
        <v>2001</v>
      </c>
      <c r="P457" t="s">
        <v>366</v>
      </c>
      <c r="S457" s="10">
        <f>GraphListeria!$B$43*Listeria!I457+GraphListeria!$B$44</f>
        <v>0.38409169809355426</v>
      </c>
      <c r="U457" s="10">
        <f>GraphListeria!$H$43*Listeria!I457+GraphListeria!$H$44</f>
        <v>0.35623347030397312</v>
      </c>
    </row>
    <row r="458" spans="1:21" x14ac:dyDescent="0.2">
      <c r="A458" s="1" t="s">
        <v>1440</v>
      </c>
      <c r="B458" s="1" t="s">
        <v>1443</v>
      </c>
      <c r="C458" t="s">
        <v>435</v>
      </c>
      <c r="D458" s="1" t="s">
        <v>11</v>
      </c>
      <c r="E458" s="1" t="s">
        <v>1262</v>
      </c>
      <c r="F458" s="1"/>
      <c r="G458" s="1"/>
      <c r="H458" s="4">
        <v>6.2</v>
      </c>
      <c r="I458" s="4">
        <v>60</v>
      </c>
      <c r="J458" s="11">
        <v>12.23</v>
      </c>
      <c r="L458" s="12">
        <f t="shared" si="7"/>
        <v>1.0874264570362855</v>
      </c>
      <c r="M458" s="11">
        <f>GraphListeria!$B$10-(Listeria!I458-GraphListeria!$B$6)/GraphListeria!$B$5</f>
        <v>0.35623347030397379</v>
      </c>
      <c r="N458" s="1" t="s">
        <v>490</v>
      </c>
      <c r="O458">
        <v>2001</v>
      </c>
      <c r="P458" t="s">
        <v>477</v>
      </c>
      <c r="S458" s="10">
        <f>GraphListeria!$B$43*Listeria!I458+GraphListeria!$B$44</f>
        <v>0.38409169809355426</v>
      </c>
      <c r="U458" s="10">
        <f>GraphListeria!$H$43*Listeria!I458+GraphListeria!$H$44</f>
        <v>0.35623347030397312</v>
      </c>
    </row>
    <row r="459" spans="1:21" x14ac:dyDescent="0.2">
      <c r="A459" s="1" t="s">
        <v>1440</v>
      </c>
      <c r="B459" s="1" t="s">
        <v>1443</v>
      </c>
      <c r="D459" s="1" t="s">
        <v>11</v>
      </c>
      <c r="E459" s="1" t="s">
        <v>1262</v>
      </c>
      <c r="F459" s="1"/>
      <c r="G459" s="1"/>
      <c r="H459" s="4">
        <v>5.64</v>
      </c>
      <c r="I459" s="4">
        <v>60</v>
      </c>
      <c r="J459" s="11">
        <v>6.7</v>
      </c>
      <c r="K459" s="4">
        <v>6.9</v>
      </c>
      <c r="L459" s="12">
        <f t="shared" si="7"/>
        <v>0.82607480270082645</v>
      </c>
      <c r="M459" s="11">
        <f>GraphListeria!$B$10-(Listeria!I459-GraphListeria!$B$6)/GraphListeria!$B$5</f>
        <v>0.35623347030397379</v>
      </c>
      <c r="N459" s="1" t="s">
        <v>490</v>
      </c>
      <c r="O459">
        <v>2001</v>
      </c>
      <c r="P459" t="s">
        <v>478</v>
      </c>
      <c r="S459" s="10">
        <f>GraphListeria!$B$43*Listeria!I459+GraphListeria!$B$44</f>
        <v>0.38409169809355426</v>
      </c>
      <c r="U459" s="10">
        <f>GraphListeria!$H$43*Listeria!I459+GraphListeria!$H$44</f>
        <v>0.35623347030397312</v>
      </c>
    </row>
    <row r="460" spans="1:21" x14ac:dyDescent="0.2">
      <c r="A460" s="1" t="s">
        <v>1440</v>
      </c>
      <c r="B460" s="1" t="s">
        <v>1443</v>
      </c>
      <c r="D460" s="1" t="s">
        <v>11</v>
      </c>
      <c r="E460" s="1" t="s">
        <v>1262</v>
      </c>
      <c r="F460" s="1"/>
      <c r="G460" s="1"/>
      <c r="H460" s="4">
        <v>5.64</v>
      </c>
      <c r="I460" s="4">
        <v>64.5</v>
      </c>
      <c r="J460" s="11">
        <v>1.4</v>
      </c>
      <c r="K460" s="4">
        <v>6.9</v>
      </c>
      <c r="L460" s="12">
        <f t="shared" si="7"/>
        <v>0.14612803567823801</v>
      </c>
      <c r="M460" s="11">
        <f>GraphListeria!$B$10-(Listeria!I460-GraphListeria!$B$6)/GraphListeria!$B$5</f>
        <v>-0.2827226789683176</v>
      </c>
      <c r="N460" s="1" t="s">
        <v>490</v>
      </c>
      <c r="O460">
        <v>2001</v>
      </c>
      <c r="P460" t="s">
        <v>478</v>
      </c>
      <c r="S460" s="10">
        <f>GraphListeria!$B$43*Listeria!I460+GraphListeria!$B$44</f>
        <v>-0.23724916341791946</v>
      </c>
      <c r="U460" s="10">
        <f>GraphListeria!$H$43*Listeria!I460+GraphListeria!$H$44</f>
        <v>-0.28272267896831771</v>
      </c>
    </row>
    <row r="461" spans="1:21" x14ac:dyDescent="0.2">
      <c r="A461" s="1" t="s">
        <v>1440</v>
      </c>
      <c r="B461" s="1" t="s">
        <v>1443</v>
      </c>
      <c r="D461" s="1" t="s">
        <v>11</v>
      </c>
      <c r="E461" s="1" t="s">
        <v>1262</v>
      </c>
      <c r="F461" s="1"/>
      <c r="G461" s="1"/>
      <c r="H461" s="4">
        <v>5.64</v>
      </c>
      <c r="I461" s="4">
        <v>60</v>
      </c>
      <c r="J461" s="4">
        <v>6.4</v>
      </c>
      <c r="K461" s="4">
        <v>6.5</v>
      </c>
      <c r="L461" s="12">
        <f t="shared" si="7"/>
        <v>0.80617997398388719</v>
      </c>
      <c r="M461" s="11">
        <f>GraphListeria!$B$10-(Listeria!I461-GraphListeria!$B$6)/GraphListeria!$B$5</f>
        <v>0.35623347030397379</v>
      </c>
      <c r="N461" s="1" t="s">
        <v>490</v>
      </c>
      <c r="O461">
        <v>2001</v>
      </c>
      <c r="P461" t="s">
        <v>479</v>
      </c>
      <c r="S461" s="10">
        <f>GraphListeria!$B$43*Listeria!I461+GraphListeria!$B$44</f>
        <v>0.38409169809355426</v>
      </c>
      <c r="U461" s="10">
        <f>GraphListeria!$H$43*Listeria!I461+GraphListeria!$H$44</f>
        <v>0.35623347030397312</v>
      </c>
    </row>
    <row r="462" spans="1:21" x14ac:dyDescent="0.2">
      <c r="A462" s="1" t="s">
        <v>1440</v>
      </c>
      <c r="B462" s="1" t="s">
        <v>1443</v>
      </c>
      <c r="D462" s="1" t="s">
        <v>11</v>
      </c>
      <c r="E462" s="1" t="s">
        <v>1262</v>
      </c>
      <c r="F462" s="1"/>
      <c r="G462" s="1"/>
      <c r="H462" s="4">
        <v>5.64</v>
      </c>
      <c r="I462" s="4">
        <v>64.5</v>
      </c>
      <c r="J462" s="4">
        <v>1.6</v>
      </c>
      <c r="K462" s="4">
        <v>6.5</v>
      </c>
      <c r="L462" s="12">
        <f t="shared" si="7"/>
        <v>0.20411998265592479</v>
      </c>
      <c r="M462" s="11">
        <f>GraphListeria!$B$10-(Listeria!I462-GraphListeria!$B$6)/GraphListeria!$B$5</f>
        <v>-0.2827226789683176</v>
      </c>
      <c r="N462" s="1" t="s">
        <v>490</v>
      </c>
      <c r="O462">
        <v>2001</v>
      </c>
      <c r="P462" t="s">
        <v>479</v>
      </c>
      <c r="S462" s="10">
        <f>GraphListeria!$B$43*Listeria!I462+GraphListeria!$B$44</f>
        <v>-0.23724916341791946</v>
      </c>
      <c r="U462" s="10">
        <f>GraphListeria!$H$43*Listeria!I462+GraphListeria!$H$44</f>
        <v>-0.28272267896831771</v>
      </c>
    </row>
    <row r="463" spans="1:21" x14ac:dyDescent="0.2">
      <c r="A463" s="1" t="s">
        <v>1440</v>
      </c>
      <c r="B463" s="1" t="s">
        <v>1443</v>
      </c>
      <c r="D463" s="1" t="s">
        <v>11</v>
      </c>
      <c r="E463" s="1" t="s">
        <v>1262</v>
      </c>
      <c r="F463" s="1"/>
      <c r="G463" s="1"/>
      <c r="H463" s="4">
        <v>5.64</v>
      </c>
      <c r="I463" s="4">
        <v>60</v>
      </c>
      <c r="J463" s="4">
        <v>7.1</v>
      </c>
      <c r="K463" s="4">
        <v>6.6</v>
      </c>
      <c r="L463" s="12">
        <f t="shared" si="7"/>
        <v>0.85125834871907524</v>
      </c>
      <c r="M463" s="11">
        <f>GraphListeria!$B$10-(Listeria!I463-GraphListeria!$B$6)/GraphListeria!$B$5</f>
        <v>0.35623347030397379</v>
      </c>
      <c r="N463" s="1" t="s">
        <v>490</v>
      </c>
      <c r="O463">
        <v>2001</v>
      </c>
      <c r="P463" t="s">
        <v>480</v>
      </c>
      <c r="S463" s="10">
        <f>GraphListeria!$B$43*Listeria!I463+GraphListeria!$B$44</f>
        <v>0.38409169809355426</v>
      </c>
      <c r="U463" s="10">
        <f>GraphListeria!$H$43*Listeria!I463+GraphListeria!$H$44</f>
        <v>0.35623347030397312</v>
      </c>
    </row>
    <row r="464" spans="1:21" x14ac:dyDescent="0.2">
      <c r="A464" s="1" t="s">
        <v>1440</v>
      </c>
      <c r="B464" s="1" t="s">
        <v>1443</v>
      </c>
      <c r="D464" s="1" t="s">
        <v>11</v>
      </c>
      <c r="E464" s="1" t="s">
        <v>1262</v>
      </c>
      <c r="F464" s="1"/>
      <c r="G464" s="1"/>
      <c r="H464" s="4">
        <v>5.64</v>
      </c>
      <c r="I464" s="4">
        <v>64.5</v>
      </c>
      <c r="J464" s="4">
        <v>1.7</v>
      </c>
      <c r="K464" s="4">
        <v>6.6</v>
      </c>
      <c r="L464" s="12">
        <f t="shared" si="7"/>
        <v>0.23044892137827391</v>
      </c>
      <c r="M464" s="11">
        <f>GraphListeria!$B$10-(Listeria!I464-GraphListeria!$B$6)/GraphListeria!$B$5</f>
        <v>-0.2827226789683176</v>
      </c>
      <c r="N464" s="1" t="s">
        <v>490</v>
      </c>
      <c r="O464">
        <v>2001</v>
      </c>
      <c r="P464" t="s">
        <v>480</v>
      </c>
      <c r="S464" s="10">
        <f>GraphListeria!$B$43*Listeria!I464+GraphListeria!$B$44</f>
        <v>-0.23724916341791946</v>
      </c>
      <c r="U464" s="10">
        <f>GraphListeria!$H$43*Listeria!I464+GraphListeria!$H$44</f>
        <v>-0.28272267896831771</v>
      </c>
    </row>
    <row r="465" spans="1:21" x14ac:dyDescent="0.2">
      <c r="A465" s="1" t="s">
        <v>1440</v>
      </c>
      <c r="B465" s="1" t="s">
        <v>1443</v>
      </c>
      <c r="C465" t="s">
        <v>481</v>
      </c>
      <c r="D465" s="1" t="s">
        <v>11</v>
      </c>
      <c r="E465" s="1" t="s">
        <v>1262</v>
      </c>
      <c r="F465" s="1"/>
      <c r="G465" s="1"/>
      <c r="H465" s="4">
        <v>6</v>
      </c>
      <c r="I465" s="4">
        <v>60</v>
      </c>
      <c r="J465" s="4">
        <v>1.5</v>
      </c>
      <c r="K465" s="11">
        <v>19.8</v>
      </c>
      <c r="L465" s="12">
        <f t="shared" si="7"/>
        <v>0.17609125905568124</v>
      </c>
      <c r="M465" s="11">
        <f>GraphListeria!$B$10-(Listeria!I465-GraphListeria!$B$6)/GraphListeria!$B$5</f>
        <v>0.35623347030397379</v>
      </c>
      <c r="N465" s="1" t="s">
        <v>490</v>
      </c>
      <c r="O465">
        <v>2001</v>
      </c>
      <c r="S465" s="10">
        <f>GraphListeria!$B$43*Listeria!I465+GraphListeria!$B$44</f>
        <v>0.38409169809355426</v>
      </c>
      <c r="U465" s="10">
        <f>GraphListeria!$H$43*Listeria!I465+GraphListeria!$H$44</f>
        <v>0.35623347030397312</v>
      </c>
    </row>
    <row r="466" spans="1:21" x14ac:dyDescent="0.2">
      <c r="A466" s="1" t="s">
        <v>1440</v>
      </c>
      <c r="B466" s="1" t="s">
        <v>1443</v>
      </c>
      <c r="C466" t="s">
        <v>481</v>
      </c>
      <c r="D466" s="1" t="s">
        <v>11</v>
      </c>
      <c r="E466" s="1" t="s">
        <v>1262</v>
      </c>
      <c r="F466" s="1"/>
      <c r="G466" s="1"/>
      <c r="H466" s="4">
        <v>6</v>
      </c>
      <c r="I466" s="4">
        <v>64.5</v>
      </c>
      <c r="J466" s="4">
        <v>0.88</v>
      </c>
      <c r="K466" s="11">
        <v>19.8</v>
      </c>
      <c r="L466" s="12">
        <f t="shared" si="7"/>
        <v>-5.551732784983137E-2</v>
      </c>
      <c r="M466" s="11">
        <f>GraphListeria!$B$10-(Listeria!I466-GraphListeria!$B$6)/GraphListeria!$B$5</f>
        <v>-0.2827226789683176</v>
      </c>
      <c r="N466" s="1" t="s">
        <v>490</v>
      </c>
      <c r="O466">
        <v>2001</v>
      </c>
      <c r="S466" s="10">
        <f>GraphListeria!$B$43*Listeria!I466+GraphListeria!$B$44</f>
        <v>-0.23724916341791946</v>
      </c>
      <c r="U466" s="10">
        <f>GraphListeria!$H$43*Listeria!I466+GraphListeria!$H$44</f>
        <v>-0.28272267896831771</v>
      </c>
    </row>
    <row r="467" spans="1:21" x14ac:dyDescent="0.2">
      <c r="A467" s="1" t="s">
        <v>1440</v>
      </c>
      <c r="B467" s="1" t="s">
        <v>1443</v>
      </c>
      <c r="C467" t="s">
        <v>481</v>
      </c>
      <c r="D467" s="1" t="s">
        <v>11</v>
      </c>
      <c r="E467" s="1" t="s">
        <v>1262</v>
      </c>
      <c r="F467" s="1"/>
      <c r="G467" s="1"/>
      <c r="H467" s="4">
        <v>6</v>
      </c>
      <c r="I467" s="4">
        <v>70</v>
      </c>
      <c r="J467" s="4">
        <v>0.47</v>
      </c>
      <c r="K467" s="11">
        <v>19.8</v>
      </c>
      <c r="L467" s="12">
        <f t="shared" si="7"/>
        <v>-0.32790214206428259</v>
      </c>
      <c r="M467" s="11">
        <f>GraphListeria!$B$10-(Listeria!I467-GraphListeria!$B$6)/GraphListeria!$B$5</f>
        <v>-1.0636690836344513</v>
      </c>
      <c r="N467" s="1" t="s">
        <v>490</v>
      </c>
      <c r="O467">
        <v>2001</v>
      </c>
      <c r="S467" s="10">
        <f>GraphListeria!$B$43*Listeria!I467+GraphListeria!$B$44</f>
        <v>-0.9966657719319425</v>
      </c>
      <c r="U467" s="10">
        <f>GraphListeria!$H$43*Listeria!I467+GraphListeria!$H$44</f>
        <v>-1.0636690836344513</v>
      </c>
    </row>
    <row r="468" spans="1:21" x14ac:dyDescent="0.2">
      <c r="A468" s="1" t="s">
        <v>1440</v>
      </c>
      <c r="B468" s="1" t="s">
        <v>1443</v>
      </c>
      <c r="C468" t="s">
        <v>482</v>
      </c>
      <c r="D468" s="1" t="s">
        <v>11</v>
      </c>
      <c r="E468" s="1" t="s">
        <v>1262</v>
      </c>
      <c r="F468" s="1"/>
      <c r="G468" s="1"/>
      <c r="H468" s="4">
        <v>6</v>
      </c>
      <c r="I468" s="4">
        <v>60</v>
      </c>
      <c r="J468" s="11">
        <v>1.63</v>
      </c>
      <c r="K468" s="4">
        <v>15.6</v>
      </c>
      <c r="L468" s="12">
        <f t="shared" si="7"/>
        <v>0.21218760440395779</v>
      </c>
      <c r="M468" s="11">
        <f>GraphListeria!$B$10-(Listeria!I468-GraphListeria!$B$6)/GraphListeria!$B$5</f>
        <v>0.35623347030397379</v>
      </c>
      <c r="N468" s="1" t="s">
        <v>490</v>
      </c>
      <c r="O468">
        <v>2001</v>
      </c>
      <c r="S468" s="10">
        <f>GraphListeria!$B$43*Listeria!I468+GraphListeria!$B$44</f>
        <v>0.38409169809355426</v>
      </c>
      <c r="U468" s="10">
        <f>GraphListeria!$H$43*Listeria!I468+GraphListeria!$H$44</f>
        <v>0.35623347030397312</v>
      </c>
    </row>
    <row r="469" spans="1:21" x14ac:dyDescent="0.2">
      <c r="A469" s="1" t="s">
        <v>1440</v>
      </c>
      <c r="B469" s="1" t="s">
        <v>1443</v>
      </c>
      <c r="C469" t="s">
        <v>482</v>
      </c>
      <c r="D469" s="1" t="s">
        <v>11</v>
      </c>
      <c r="E469" s="1" t="s">
        <v>1262</v>
      </c>
      <c r="F469" s="1"/>
      <c r="G469" s="1"/>
      <c r="H469" s="4">
        <v>6</v>
      </c>
      <c r="I469" s="4">
        <v>64.5</v>
      </c>
      <c r="J469" s="11">
        <v>0.56000000000000005</v>
      </c>
      <c r="K469" s="4">
        <v>15.6</v>
      </c>
      <c r="L469" s="12">
        <f t="shared" si="7"/>
        <v>-0.25181197299379954</v>
      </c>
      <c r="M469" s="11">
        <f>GraphListeria!$B$10-(Listeria!I469-GraphListeria!$B$6)/GraphListeria!$B$5</f>
        <v>-0.2827226789683176</v>
      </c>
      <c r="N469" s="1" t="s">
        <v>490</v>
      </c>
      <c r="O469">
        <v>2001</v>
      </c>
      <c r="S469" s="10">
        <f>GraphListeria!$B$43*Listeria!I469+GraphListeria!$B$44</f>
        <v>-0.23724916341791946</v>
      </c>
      <c r="U469" s="10">
        <f>GraphListeria!$H$43*Listeria!I469+GraphListeria!$H$44</f>
        <v>-0.28272267896831771</v>
      </c>
    </row>
    <row r="470" spans="1:21" x14ac:dyDescent="0.2">
      <c r="A470" s="1" t="s">
        <v>1440</v>
      </c>
      <c r="B470" s="1" t="s">
        <v>1443</v>
      </c>
      <c r="C470" t="s">
        <v>482</v>
      </c>
      <c r="D470" s="1" t="s">
        <v>11</v>
      </c>
      <c r="E470" s="1" t="s">
        <v>1262</v>
      </c>
      <c r="F470" s="1"/>
      <c r="G470" s="1"/>
      <c r="H470" s="4">
        <v>6</v>
      </c>
      <c r="I470" s="4">
        <v>70</v>
      </c>
      <c r="J470" s="11">
        <v>0.37</v>
      </c>
      <c r="K470" s="4">
        <v>15.6</v>
      </c>
      <c r="L470" s="12">
        <f t="shared" si="7"/>
        <v>-0.43179827593300502</v>
      </c>
      <c r="M470" s="11">
        <f>GraphListeria!$B$10-(Listeria!I470-GraphListeria!$B$6)/GraphListeria!$B$5</f>
        <v>-1.0636690836344513</v>
      </c>
      <c r="N470" s="1" t="s">
        <v>490</v>
      </c>
      <c r="O470">
        <v>2001</v>
      </c>
      <c r="S470" s="10">
        <f>GraphListeria!$B$43*Listeria!I470+GraphListeria!$B$44</f>
        <v>-0.9966657719319425</v>
      </c>
      <c r="U470" s="10">
        <f>GraphListeria!$H$43*Listeria!I470+GraphListeria!$H$44</f>
        <v>-1.0636690836344513</v>
      </c>
    </row>
    <row r="471" spans="1:21" x14ac:dyDescent="0.2">
      <c r="A471" s="1" t="s">
        <v>1440</v>
      </c>
      <c r="B471" s="1" t="s">
        <v>1443</v>
      </c>
      <c r="D471" t="s">
        <v>11</v>
      </c>
      <c r="E471" s="1" t="s">
        <v>1262</v>
      </c>
      <c r="I471" s="4">
        <v>62</v>
      </c>
      <c r="J471" s="11">
        <v>2.9</v>
      </c>
      <c r="L471" s="12">
        <f t="shared" si="7"/>
        <v>0.46239799789895608</v>
      </c>
      <c r="M471" s="11">
        <f>GraphListeria!$B$10-(Listeria!I471-GraphListeria!$B$6)/GraphListeria!$B$5</f>
        <v>7.2252959516288628E-2</v>
      </c>
      <c r="N471" s="1" t="s">
        <v>294</v>
      </c>
      <c r="O471">
        <v>2000</v>
      </c>
      <c r="S471" s="10">
        <f>GraphListeria!$B$43*Listeria!I471+GraphListeria!$B$44</f>
        <v>0.10794020408845384</v>
      </c>
      <c r="U471" s="10">
        <f>GraphListeria!$H$43*Listeria!I471+GraphListeria!$H$44</f>
        <v>7.2252959516289295E-2</v>
      </c>
    </row>
    <row r="472" spans="1:21" x14ac:dyDescent="0.2">
      <c r="A472" s="1" t="s">
        <v>1440</v>
      </c>
      <c r="B472" s="1" t="s">
        <v>1443</v>
      </c>
      <c r="D472" t="s">
        <v>11</v>
      </c>
      <c r="E472" s="1" t="s">
        <v>1262</v>
      </c>
      <c r="I472" s="4">
        <v>62</v>
      </c>
      <c r="J472" s="11">
        <v>4.2</v>
      </c>
      <c r="L472" s="12">
        <f t="shared" si="7"/>
        <v>0.62324929039790045</v>
      </c>
      <c r="M472" s="11">
        <f>GraphListeria!$B$10-(Listeria!I472-GraphListeria!$B$6)/GraphListeria!$B$5</f>
        <v>7.2252959516288628E-2</v>
      </c>
      <c r="N472" s="1" t="s">
        <v>294</v>
      </c>
      <c r="O472">
        <v>2000</v>
      </c>
      <c r="S472" s="10">
        <f>GraphListeria!$B$43*Listeria!I472+GraphListeria!$B$44</f>
        <v>0.10794020408845384</v>
      </c>
      <c r="U472" s="10">
        <f>GraphListeria!$H$43*Listeria!I472+GraphListeria!$H$44</f>
        <v>7.2252959516289295E-2</v>
      </c>
    </row>
    <row r="473" spans="1:21" x14ac:dyDescent="0.2">
      <c r="A473" s="1" t="s">
        <v>1440</v>
      </c>
      <c r="B473" s="1" t="s">
        <v>1443</v>
      </c>
      <c r="C473" s="1"/>
      <c r="D473" t="s">
        <v>11</v>
      </c>
      <c r="E473" s="1" t="s">
        <v>1262</v>
      </c>
      <c r="F473" s="1"/>
      <c r="G473" s="1"/>
      <c r="H473" s="5">
        <v>5.5</v>
      </c>
      <c r="I473" s="5">
        <v>50</v>
      </c>
      <c r="J473" s="9">
        <v>85</v>
      </c>
      <c r="K473" s="5"/>
      <c r="L473" s="12">
        <f t="shared" si="7"/>
        <v>1.9294189257142926</v>
      </c>
      <c r="M473" s="11">
        <f>GraphListeria!$B$10-(Listeria!I473-GraphListeria!$B$6)/GraphListeria!$B$5</f>
        <v>1.7761360242423989</v>
      </c>
      <c r="N473" s="2" t="s">
        <v>1226</v>
      </c>
      <c r="O473">
        <v>1996</v>
      </c>
      <c r="S473" s="10">
        <f>GraphListeria!$B$43*Listeria!I473+GraphListeria!$B$44</f>
        <v>1.7648491681190492</v>
      </c>
      <c r="U473" s="10">
        <f>GraphListeria!$H$43*Listeria!I473+GraphListeria!$H$44</f>
        <v>1.7761360242423985</v>
      </c>
    </row>
    <row r="474" spans="1:21" x14ac:dyDescent="0.2">
      <c r="A474" s="1" t="s">
        <v>1440</v>
      </c>
      <c r="B474" s="1" t="s">
        <v>1443</v>
      </c>
      <c r="D474" t="s">
        <v>11</v>
      </c>
      <c r="E474" t="s">
        <v>1262</v>
      </c>
      <c r="H474" s="4">
        <v>5.5</v>
      </c>
      <c r="I474" s="4">
        <v>55</v>
      </c>
      <c r="J474" s="11">
        <v>21</v>
      </c>
      <c r="L474" s="12">
        <f t="shared" si="7"/>
        <v>1.3222192947339193</v>
      </c>
      <c r="M474" s="11">
        <f>GraphListeria!$B$10-(Listeria!I474-GraphListeria!$B$6)/GraphListeria!$B$5</f>
        <v>1.0661847472731862</v>
      </c>
      <c r="N474" s="2" t="s">
        <v>1226</v>
      </c>
      <c r="O474">
        <v>1996</v>
      </c>
      <c r="S474" s="10">
        <f>GraphListeria!$B$43*Listeria!I474+GraphListeria!$B$44</f>
        <v>1.0744704331063017</v>
      </c>
      <c r="U474" s="10">
        <f>GraphListeria!$H$43*Listeria!I474+GraphListeria!$H$44</f>
        <v>1.0661847472731862</v>
      </c>
    </row>
    <row r="475" spans="1:21" x14ac:dyDescent="0.2">
      <c r="A475" s="1" t="s">
        <v>1440</v>
      </c>
      <c r="B475" s="1" t="s">
        <v>1443</v>
      </c>
      <c r="D475" t="s">
        <v>11</v>
      </c>
      <c r="E475" s="1" t="s">
        <v>1262</v>
      </c>
      <c r="H475" s="4">
        <v>5.5</v>
      </c>
      <c r="I475" s="4">
        <v>60</v>
      </c>
      <c r="J475" s="11">
        <v>3.8</v>
      </c>
      <c r="L475" s="12">
        <f t="shared" si="7"/>
        <v>0.57978359661681012</v>
      </c>
      <c r="M475" s="11">
        <f>GraphListeria!$B$10-(Listeria!I475-GraphListeria!$B$6)/GraphListeria!$B$5</f>
        <v>0.35623347030397379</v>
      </c>
      <c r="N475" s="2" t="s">
        <v>1226</v>
      </c>
      <c r="O475">
        <v>1996</v>
      </c>
      <c r="S475" s="10">
        <f>GraphListeria!$B$43*Listeria!I475+GraphListeria!$B$44</f>
        <v>0.38409169809355426</v>
      </c>
      <c r="U475" s="10">
        <f>GraphListeria!$H$43*Listeria!I475+GraphListeria!$H$44</f>
        <v>0.35623347030397312</v>
      </c>
    </row>
    <row r="476" spans="1:21" x14ac:dyDescent="0.2">
      <c r="A476" s="1" t="s">
        <v>1440</v>
      </c>
      <c r="B476" s="1" t="s">
        <v>1443</v>
      </c>
      <c r="D476" t="s">
        <v>11</v>
      </c>
      <c r="E476" s="1" t="s">
        <v>1262</v>
      </c>
      <c r="H476" s="4">
        <v>5.5</v>
      </c>
      <c r="I476" s="4">
        <v>65</v>
      </c>
      <c r="J476" s="11">
        <v>0.93</v>
      </c>
      <c r="L476" s="12">
        <f t="shared" si="7"/>
        <v>-3.1517051446064863E-2</v>
      </c>
      <c r="M476" s="11">
        <f>GraphListeria!$B$10-(Listeria!I476-GraphListeria!$B$6)/GraphListeria!$B$5</f>
        <v>-0.35371780666523878</v>
      </c>
      <c r="N476" s="2" t="s">
        <v>1226</v>
      </c>
      <c r="O476">
        <v>1996</v>
      </c>
      <c r="S476" s="10">
        <f>GraphListeria!$B$43*Listeria!I476+GraphListeria!$B$44</f>
        <v>-0.30628703691919412</v>
      </c>
      <c r="U476" s="10">
        <f>GraphListeria!$H$43*Listeria!I476+GraphListeria!$H$44</f>
        <v>-0.35371780666523911</v>
      </c>
    </row>
    <row r="477" spans="1:21" x14ac:dyDescent="0.2">
      <c r="A477" s="1" t="s">
        <v>1440</v>
      </c>
      <c r="B477" s="1" t="s">
        <v>1443</v>
      </c>
      <c r="D477" t="s">
        <v>11</v>
      </c>
      <c r="E477" s="1" t="s">
        <v>1262</v>
      </c>
      <c r="H477" s="4">
        <v>5.5</v>
      </c>
      <c r="I477" s="4">
        <v>70</v>
      </c>
      <c r="J477" s="11">
        <v>0.14000000000000001</v>
      </c>
      <c r="L477" s="12">
        <f t="shared" si="7"/>
        <v>-0.85387196432176193</v>
      </c>
      <c r="M477" s="11">
        <f>GraphListeria!$B$10-(Listeria!I477-GraphListeria!$B$6)/GraphListeria!$B$5</f>
        <v>-1.0636690836344513</v>
      </c>
      <c r="N477" s="2" t="s">
        <v>1226</v>
      </c>
      <c r="O477">
        <v>1996</v>
      </c>
      <c r="S477" s="10">
        <f>GraphListeria!$B$43*Listeria!I477+GraphListeria!$B$44</f>
        <v>-0.9966657719319425</v>
      </c>
      <c r="U477" s="10">
        <f>GraphListeria!$H$43*Listeria!I477+GraphListeria!$H$44</f>
        <v>-1.0636690836344513</v>
      </c>
    </row>
    <row r="478" spans="1:21" x14ac:dyDescent="0.2">
      <c r="A478" s="1" t="s">
        <v>1440</v>
      </c>
      <c r="B478" s="1" t="s">
        <v>1443</v>
      </c>
      <c r="C478" s="1"/>
      <c r="D478" s="1" t="s">
        <v>11</v>
      </c>
      <c r="E478" s="1" t="s">
        <v>1267</v>
      </c>
      <c r="F478" s="1" t="s">
        <v>1446</v>
      </c>
      <c r="G478" s="1"/>
      <c r="H478" s="5">
        <v>5.75</v>
      </c>
      <c r="I478" s="5">
        <v>50</v>
      </c>
      <c r="J478" s="9">
        <v>100</v>
      </c>
      <c r="K478" s="7"/>
      <c r="L478" s="12">
        <f t="shared" si="7"/>
        <v>2</v>
      </c>
      <c r="M478" s="11">
        <f>GraphListeria!$B$10-(Listeria!I478-GraphListeria!$B$6)/GraphListeria!$B$5</f>
        <v>1.7761360242423989</v>
      </c>
      <c r="N478" s="2" t="s">
        <v>1226</v>
      </c>
      <c r="O478">
        <v>1996</v>
      </c>
      <c r="S478" s="10">
        <f>GraphListeria!$B$43*Listeria!I478+GraphListeria!$B$44</f>
        <v>1.7648491681190492</v>
      </c>
      <c r="U478" s="10">
        <f>GraphListeria!$H$43*Listeria!I478+GraphListeria!$H$44</f>
        <v>1.7761360242423985</v>
      </c>
    </row>
    <row r="479" spans="1:21" x14ac:dyDescent="0.2">
      <c r="A479" s="1" t="s">
        <v>1440</v>
      </c>
      <c r="B479" s="1" t="s">
        <v>1443</v>
      </c>
      <c r="D479" s="1" t="s">
        <v>11</v>
      </c>
      <c r="E479" t="s">
        <v>1267</v>
      </c>
      <c r="F479" t="s">
        <v>1446</v>
      </c>
      <c r="H479" s="4">
        <v>5.75</v>
      </c>
      <c r="I479" s="4">
        <v>55</v>
      </c>
      <c r="J479" s="11">
        <v>13</v>
      </c>
      <c r="L479" s="12">
        <f t="shared" si="7"/>
        <v>1.1139433523068367</v>
      </c>
      <c r="M479" s="11">
        <f>GraphListeria!$B$10-(Listeria!I479-GraphListeria!$B$6)/GraphListeria!$B$5</f>
        <v>1.0661847472731862</v>
      </c>
      <c r="N479" s="2" t="s">
        <v>1226</v>
      </c>
      <c r="O479">
        <v>1996</v>
      </c>
      <c r="S479" s="10">
        <f>GraphListeria!$B$43*Listeria!I479+GraphListeria!$B$44</f>
        <v>1.0744704331063017</v>
      </c>
      <c r="U479" s="10">
        <f>GraphListeria!$H$43*Listeria!I479+GraphListeria!$H$44</f>
        <v>1.0661847472731862</v>
      </c>
    </row>
    <row r="480" spans="1:21" x14ac:dyDescent="0.2">
      <c r="A480" s="1" t="s">
        <v>1440</v>
      </c>
      <c r="B480" s="1" t="s">
        <v>1443</v>
      </c>
      <c r="D480" s="1" t="s">
        <v>11</v>
      </c>
      <c r="E480" s="1" t="s">
        <v>1267</v>
      </c>
      <c r="F480" s="1" t="s">
        <v>1446</v>
      </c>
      <c r="G480" s="1"/>
      <c r="H480" s="4">
        <v>5.75</v>
      </c>
      <c r="I480" s="4">
        <v>60</v>
      </c>
      <c r="J480" s="11">
        <v>8.6999999999999993</v>
      </c>
      <c r="L480" s="12">
        <f t="shared" si="7"/>
        <v>0.93951925261861846</v>
      </c>
      <c r="M480" s="11">
        <f>GraphListeria!$B$10-(Listeria!I480-GraphListeria!$B$6)/GraphListeria!$B$5</f>
        <v>0.35623347030397379</v>
      </c>
      <c r="N480" s="2" t="s">
        <v>1226</v>
      </c>
      <c r="O480">
        <v>1996</v>
      </c>
      <c r="S480" s="10">
        <f>GraphListeria!$B$43*Listeria!I480+GraphListeria!$B$44</f>
        <v>0.38409169809355426</v>
      </c>
      <c r="U480" s="10">
        <f>GraphListeria!$H$43*Listeria!I480+GraphListeria!$H$44</f>
        <v>0.35623347030397312</v>
      </c>
    </row>
    <row r="481" spans="1:21" x14ac:dyDescent="0.2">
      <c r="A481" s="1" t="s">
        <v>1440</v>
      </c>
      <c r="B481" s="1" t="s">
        <v>1443</v>
      </c>
      <c r="D481" s="1" t="s">
        <v>11</v>
      </c>
      <c r="E481" s="1" t="s">
        <v>1267</v>
      </c>
      <c r="F481" s="1" t="s">
        <v>1446</v>
      </c>
      <c r="G481" s="1"/>
      <c r="H481" s="4">
        <v>5.75</v>
      </c>
      <c r="I481" s="4">
        <v>65</v>
      </c>
      <c r="J481" s="11">
        <v>0.52</v>
      </c>
      <c r="L481" s="12">
        <f t="shared" si="7"/>
        <v>-0.28399665636520083</v>
      </c>
      <c r="M481" s="11">
        <f>GraphListeria!$B$10-(Listeria!I481-GraphListeria!$B$6)/GraphListeria!$B$5</f>
        <v>-0.35371780666523878</v>
      </c>
      <c r="N481" s="2" t="s">
        <v>1226</v>
      </c>
      <c r="O481">
        <v>1996</v>
      </c>
      <c r="S481" s="10">
        <f>GraphListeria!$B$43*Listeria!I481+GraphListeria!$B$44</f>
        <v>-0.30628703691919412</v>
      </c>
      <c r="U481" s="10">
        <f>GraphListeria!$H$43*Listeria!I481+GraphListeria!$H$44</f>
        <v>-0.35371780666523911</v>
      </c>
    </row>
    <row r="482" spans="1:21" x14ac:dyDescent="0.2">
      <c r="A482" s="1" t="s">
        <v>1440</v>
      </c>
      <c r="B482" s="1" t="s">
        <v>1443</v>
      </c>
      <c r="D482" s="1" t="s">
        <v>11</v>
      </c>
      <c r="E482" s="1" t="s">
        <v>1267</v>
      </c>
      <c r="F482" t="s">
        <v>1446</v>
      </c>
      <c r="H482" s="4">
        <v>5.75</v>
      </c>
      <c r="I482" s="4">
        <v>70</v>
      </c>
      <c r="J482" s="11">
        <v>0.13</v>
      </c>
      <c r="L482" s="12">
        <f t="shared" si="7"/>
        <v>-0.88605664769316317</v>
      </c>
      <c r="M482" s="11">
        <f>GraphListeria!$B$10-(Listeria!I482-GraphListeria!$B$6)/GraphListeria!$B$5</f>
        <v>-1.0636690836344513</v>
      </c>
      <c r="N482" s="2" t="s">
        <v>1226</v>
      </c>
      <c r="O482">
        <v>1996</v>
      </c>
      <c r="S482" s="10">
        <f>GraphListeria!$B$43*Listeria!I482+GraphListeria!$B$44</f>
        <v>-0.9966657719319425</v>
      </c>
      <c r="U482" s="10">
        <f>GraphListeria!$H$43*Listeria!I482+GraphListeria!$H$44</f>
        <v>-1.0636690836344513</v>
      </c>
    </row>
    <row r="483" spans="1:21" x14ac:dyDescent="0.2">
      <c r="A483" s="1" t="s">
        <v>1440</v>
      </c>
      <c r="B483" s="1" t="s">
        <v>1443</v>
      </c>
      <c r="D483" s="1" t="s">
        <v>11</v>
      </c>
      <c r="E483" s="1" t="s">
        <v>1267</v>
      </c>
      <c r="F483" s="1" t="s">
        <v>1446</v>
      </c>
      <c r="G483" s="1"/>
      <c r="I483" s="4">
        <v>55</v>
      </c>
      <c r="J483" s="11">
        <v>51.02</v>
      </c>
      <c r="K483" s="4">
        <v>5.71</v>
      </c>
      <c r="L483" s="12">
        <f t="shared" si="7"/>
        <v>1.7077404542737713</v>
      </c>
      <c r="M483" s="11">
        <f>GraphListeria!$B$10-(Listeria!I483-GraphListeria!$B$6)/GraphListeria!$B$5</f>
        <v>1.0661847472731862</v>
      </c>
      <c r="N483" s="1" t="s">
        <v>572</v>
      </c>
      <c r="O483">
        <v>2003</v>
      </c>
      <c r="S483" s="10">
        <f>GraphListeria!$B$43*Listeria!I483+GraphListeria!$B$44</f>
        <v>1.0744704331063017</v>
      </c>
      <c r="U483" s="10">
        <f>GraphListeria!$H$43*Listeria!I483+GraphListeria!$H$44</f>
        <v>1.0661847472731862</v>
      </c>
    </row>
    <row r="484" spans="1:21" x14ac:dyDescent="0.2">
      <c r="A484" s="1" t="s">
        <v>1440</v>
      </c>
      <c r="B484" s="1" t="s">
        <v>1443</v>
      </c>
      <c r="D484" s="1" t="s">
        <v>11</v>
      </c>
      <c r="E484" s="1" t="s">
        <v>1267</v>
      </c>
      <c r="F484" s="1" t="s">
        <v>1446</v>
      </c>
      <c r="G484" s="1"/>
      <c r="I484" s="4">
        <v>57.5</v>
      </c>
      <c r="J484" s="11">
        <v>13.93</v>
      </c>
      <c r="K484" s="4">
        <v>5.71</v>
      </c>
      <c r="L484" s="12">
        <f t="shared" si="7"/>
        <v>1.1439511164239635</v>
      </c>
      <c r="M484" s="11">
        <f>GraphListeria!$B$10-(Listeria!I484-GraphListeria!$B$6)/GraphListeria!$B$5</f>
        <v>0.7112091087885799</v>
      </c>
      <c r="N484" s="1" t="s">
        <v>572</v>
      </c>
      <c r="O484">
        <v>2003</v>
      </c>
      <c r="S484" s="10">
        <f>GraphListeria!$B$43*Listeria!I484+GraphListeria!$B$44</f>
        <v>0.72928106559992756</v>
      </c>
      <c r="U484" s="10">
        <f>GraphListeria!$H$43*Listeria!I484+GraphListeria!$H$44</f>
        <v>0.71120910878858012</v>
      </c>
    </row>
    <row r="485" spans="1:21" x14ac:dyDescent="0.2">
      <c r="A485" s="1" t="s">
        <v>1440</v>
      </c>
      <c r="B485" s="1" t="s">
        <v>1443</v>
      </c>
      <c r="D485" s="1" t="s">
        <v>11</v>
      </c>
      <c r="E485" s="1" t="s">
        <v>1267</v>
      </c>
      <c r="F485" s="1" t="s">
        <v>1446</v>
      </c>
      <c r="G485" s="1"/>
      <c r="I485" s="4">
        <v>60</v>
      </c>
      <c r="J485" s="11">
        <v>8.49</v>
      </c>
      <c r="K485" s="4">
        <v>5.71</v>
      </c>
      <c r="L485" s="12">
        <f t="shared" si="7"/>
        <v>0.9289076902439527</v>
      </c>
      <c r="M485" s="11">
        <f>GraphListeria!$B$10-(Listeria!I485-GraphListeria!$B$6)/GraphListeria!$B$5</f>
        <v>0.35623347030397379</v>
      </c>
      <c r="N485" s="1" t="s">
        <v>572</v>
      </c>
      <c r="O485">
        <v>2003</v>
      </c>
      <c r="S485" s="10">
        <f>GraphListeria!$B$43*Listeria!I485+GraphListeria!$B$44</f>
        <v>0.38409169809355426</v>
      </c>
      <c r="U485" s="10">
        <f>GraphListeria!$H$43*Listeria!I485+GraphListeria!$H$44</f>
        <v>0.35623347030397312</v>
      </c>
    </row>
    <row r="486" spans="1:21" x14ac:dyDescent="0.2">
      <c r="A486" s="1" t="s">
        <v>1440</v>
      </c>
      <c r="B486" s="1" t="s">
        <v>1443</v>
      </c>
      <c r="D486" s="1" t="s">
        <v>11</v>
      </c>
      <c r="E486" s="1" t="s">
        <v>1267</v>
      </c>
      <c r="F486" s="1" t="s">
        <v>1446</v>
      </c>
      <c r="G486" s="1"/>
      <c r="I486" s="4">
        <v>62.5</v>
      </c>
      <c r="J486" s="11">
        <v>2.6</v>
      </c>
      <c r="K486" s="4">
        <v>5.71</v>
      </c>
      <c r="L486" s="12">
        <f t="shared" ref="L486:L549" si="8">LOG(J486)</f>
        <v>0.41497334797081797</v>
      </c>
      <c r="M486" s="11">
        <f>GraphListeria!$B$10-(Listeria!I486-GraphListeria!$B$6)/GraphListeria!$B$5</f>
        <v>1.2578318193674498E-3</v>
      </c>
      <c r="N486" s="1" t="s">
        <v>572</v>
      </c>
      <c r="O486">
        <v>2003</v>
      </c>
      <c r="S486" s="10">
        <f>GraphListeria!$B$43*Listeria!I486+GraphListeria!$B$44</f>
        <v>3.8902330587179179E-2</v>
      </c>
      <c r="U486" s="10">
        <f>GraphListeria!$H$43*Listeria!I486+GraphListeria!$H$44</f>
        <v>1.2578318193678939E-3</v>
      </c>
    </row>
    <row r="487" spans="1:21" x14ac:dyDescent="0.2">
      <c r="A487" s="1" t="s">
        <v>1440</v>
      </c>
      <c r="B487" s="1" t="s">
        <v>1443</v>
      </c>
      <c r="D487" s="1" t="s">
        <v>11</v>
      </c>
      <c r="E487" s="1" t="s">
        <v>1267</v>
      </c>
      <c r="F487" s="1" t="s">
        <v>1446</v>
      </c>
      <c r="G487" s="1"/>
      <c r="I487" s="4">
        <v>65</v>
      </c>
      <c r="J487" s="11">
        <v>0.65</v>
      </c>
      <c r="K487" s="4">
        <v>5.71</v>
      </c>
      <c r="L487" s="12">
        <f t="shared" si="8"/>
        <v>-0.18708664335714442</v>
      </c>
      <c r="M487" s="11">
        <f>GraphListeria!$B$10-(Listeria!I487-GraphListeria!$B$6)/GraphListeria!$B$5</f>
        <v>-0.35371780666523878</v>
      </c>
      <c r="N487" s="1" t="s">
        <v>572</v>
      </c>
      <c r="O487">
        <v>2003</v>
      </c>
      <c r="S487" s="10">
        <f>GraphListeria!$B$43*Listeria!I487+GraphListeria!$B$44</f>
        <v>-0.30628703691919412</v>
      </c>
      <c r="U487" s="10">
        <f>GraphListeria!$H$43*Listeria!I487+GraphListeria!$H$44</f>
        <v>-0.35371780666523911</v>
      </c>
    </row>
    <row r="488" spans="1:21" x14ac:dyDescent="0.2">
      <c r="A488" s="1" t="s">
        <v>1440</v>
      </c>
      <c r="B488" s="1" t="s">
        <v>1443</v>
      </c>
      <c r="D488" s="1" t="s">
        <v>11</v>
      </c>
      <c r="E488" s="1" t="s">
        <v>1267</v>
      </c>
      <c r="F488" s="1" t="s">
        <v>1446</v>
      </c>
      <c r="G488" s="1"/>
      <c r="I488" s="4">
        <v>67.5</v>
      </c>
      <c r="J488" s="11">
        <v>0.28999999999999998</v>
      </c>
      <c r="K488" s="4">
        <v>5.71</v>
      </c>
      <c r="L488" s="12">
        <f t="shared" si="8"/>
        <v>-0.53760200210104392</v>
      </c>
      <c r="M488" s="11">
        <f>GraphListeria!$B$10-(Listeria!I488-GraphListeria!$B$6)/GraphListeria!$B$5</f>
        <v>-0.708693445149845</v>
      </c>
      <c r="N488" s="1" t="s">
        <v>572</v>
      </c>
      <c r="O488">
        <v>2003</v>
      </c>
      <c r="S488" s="10">
        <f>GraphListeria!$B$43*Listeria!I488+GraphListeria!$B$44</f>
        <v>-0.65147640442556742</v>
      </c>
      <c r="U488" s="10">
        <f>GraphListeria!$H$43*Listeria!I488+GraphListeria!$H$44</f>
        <v>-0.70869344514984434</v>
      </c>
    </row>
    <row r="489" spans="1:21" x14ac:dyDescent="0.2">
      <c r="A489" s="1" t="s">
        <v>1440</v>
      </c>
      <c r="B489" s="1" t="s">
        <v>1443</v>
      </c>
      <c r="D489" s="1" t="s">
        <v>11</v>
      </c>
      <c r="E489" s="1" t="s">
        <v>1267</v>
      </c>
      <c r="F489" s="1" t="s">
        <v>1446</v>
      </c>
      <c r="G489" s="1"/>
      <c r="I489" s="4">
        <v>70</v>
      </c>
      <c r="J489" s="11">
        <v>0.13</v>
      </c>
      <c r="K489" s="4">
        <v>5.71</v>
      </c>
      <c r="L489" s="12">
        <f t="shared" si="8"/>
        <v>-0.88605664769316317</v>
      </c>
      <c r="M489" s="11">
        <f>GraphListeria!$B$10-(Listeria!I489-GraphListeria!$B$6)/GraphListeria!$B$5</f>
        <v>-1.0636690836344513</v>
      </c>
      <c r="N489" s="1" t="s">
        <v>572</v>
      </c>
      <c r="O489">
        <v>2003</v>
      </c>
      <c r="S489" s="10">
        <f>GraphListeria!$B$43*Listeria!I489+GraphListeria!$B$44</f>
        <v>-0.9966657719319425</v>
      </c>
      <c r="U489" s="10">
        <f>GraphListeria!$H$43*Listeria!I489+GraphListeria!$H$44</f>
        <v>-1.0636690836344513</v>
      </c>
    </row>
    <row r="490" spans="1:21" x14ac:dyDescent="0.2">
      <c r="A490" s="1" t="s">
        <v>1440</v>
      </c>
      <c r="B490" s="1" t="s">
        <v>1443</v>
      </c>
      <c r="C490" t="s">
        <v>57</v>
      </c>
      <c r="D490" s="1" t="s">
        <v>11</v>
      </c>
      <c r="E490" s="1" t="s">
        <v>1267</v>
      </c>
      <c r="F490" s="1" t="s">
        <v>483</v>
      </c>
      <c r="G490" s="1"/>
      <c r="I490" s="4">
        <v>60</v>
      </c>
      <c r="J490" s="4">
        <v>5.29</v>
      </c>
      <c r="K490" s="11">
        <v>6.72</v>
      </c>
      <c r="L490" s="12">
        <f t="shared" si="8"/>
        <v>0.72345567203518579</v>
      </c>
      <c r="M490" s="11">
        <f>GraphListeria!$B$10-(Listeria!I490-GraphListeria!$B$6)/GraphListeria!$B$5</f>
        <v>0.35623347030397379</v>
      </c>
      <c r="N490" s="1" t="s">
        <v>490</v>
      </c>
      <c r="O490">
        <v>2001</v>
      </c>
      <c r="S490" s="10">
        <f>GraphListeria!$B$43*Listeria!I490+GraphListeria!$B$44</f>
        <v>0.38409169809355426</v>
      </c>
      <c r="U490" s="10">
        <f>GraphListeria!$H$43*Listeria!I490+GraphListeria!$H$44</f>
        <v>0.35623347030397312</v>
      </c>
    </row>
    <row r="491" spans="1:21" x14ac:dyDescent="0.2">
      <c r="A491" s="1" t="s">
        <v>1440</v>
      </c>
      <c r="B491" s="1" t="s">
        <v>1443</v>
      </c>
      <c r="C491" t="s">
        <v>57</v>
      </c>
      <c r="D491" s="1" t="s">
        <v>11</v>
      </c>
      <c r="E491" s="1" t="s">
        <v>1267</v>
      </c>
      <c r="F491" s="1" t="s">
        <v>483</v>
      </c>
      <c r="G491" s="1"/>
      <c r="I491" s="4">
        <v>62</v>
      </c>
      <c r="J491" s="4">
        <v>2.5099999999999998</v>
      </c>
      <c r="K491" s="11">
        <v>6.72</v>
      </c>
      <c r="L491" s="12">
        <f t="shared" si="8"/>
        <v>0.39967372148103808</v>
      </c>
      <c r="M491" s="11">
        <f>GraphListeria!$B$10-(Listeria!I491-GraphListeria!$B$6)/GraphListeria!$B$5</f>
        <v>7.2252959516288628E-2</v>
      </c>
      <c r="N491" s="1" t="s">
        <v>490</v>
      </c>
      <c r="O491">
        <v>2001</v>
      </c>
      <c r="S491" s="10">
        <f>GraphListeria!$B$43*Listeria!I491+GraphListeria!$B$44</f>
        <v>0.10794020408845384</v>
      </c>
      <c r="U491" s="10">
        <f>GraphListeria!$H$43*Listeria!I491+GraphListeria!$H$44</f>
        <v>7.2252959516289295E-2</v>
      </c>
    </row>
    <row r="492" spans="1:21" x14ac:dyDescent="0.2">
      <c r="A492" s="1" t="s">
        <v>1440</v>
      </c>
      <c r="B492" s="1" t="s">
        <v>1443</v>
      </c>
      <c r="C492" t="s">
        <v>57</v>
      </c>
      <c r="D492" s="1" t="s">
        <v>11</v>
      </c>
      <c r="E492" s="1" t="s">
        <v>1267</v>
      </c>
      <c r="F492" s="1" t="s">
        <v>483</v>
      </c>
      <c r="G492" s="1"/>
      <c r="I492" s="4">
        <v>64.5</v>
      </c>
      <c r="J492" s="4">
        <v>1.56</v>
      </c>
      <c r="K492" s="11">
        <v>6.72</v>
      </c>
      <c r="L492" s="12">
        <f t="shared" si="8"/>
        <v>0.19312459835446161</v>
      </c>
      <c r="M492" s="11">
        <f>GraphListeria!$B$10-(Listeria!I492-GraphListeria!$B$6)/GraphListeria!$B$5</f>
        <v>-0.2827226789683176</v>
      </c>
      <c r="N492" s="1" t="s">
        <v>490</v>
      </c>
      <c r="O492">
        <v>2001</v>
      </c>
      <c r="S492" s="10">
        <f>GraphListeria!$B$43*Listeria!I492+GraphListeria!$B$44</f>
        <v>-0.23724916341791946</v>
      </c>
      <c r="U492" s="10">
        <f>GraphListeria!$H$43*Listeria!I492+GraphListeria!$H$44</f>
        <v>-0.28272267896831771</v>
      </c>
    </row>
    <row r="493" spans="1:21" x14ac:dyDescent="0.2">
      <c r="A493" s="1" t="s">
        <v>1440</v>
      </c>
      <c r="B493" s="1" t="s">
        <v>1443</v>
      </c>
      <c r="C493" t="s">
        <v>57</v>
      </c>
      <c r="D493" s="1" t="s">
        <v>11</v>
      </c>
      <c r="E493" s="1" t="s">
        <v>1267</v>
      </c>
      <c r="F493" s="1" t="s">
        <v>483</v>
      </c>
      <c r="G493" s="1"/>
      <c r="I493" s="4">
        <v>70</v>
      </c>
      <c r="J493" s="4">
        <v>0.16</v>
      </c>
      <c r="K493" s="11">
        <v>6.72</v>
      </c>
      <c r="L493" s="12">
        <f t="shared" si="8"/>
        <v>-0.79588001734407521</v>
      </c>
      <c r="M493" s="11">
        <f>GraphListeria!$B$10-(Listeria!I493-GraphListeria!$B$6)/GraphListeria!$B$5</f>
        <v>-1.0636690836344513</v>
      </c>
      <c r="N493" s="1" t="s">
        <v>490</v>
      </c>
      <c r="O493">
        <v>2001</v>
      </c>
      <c r="S493" s="10">
        <f>GraphListeria!$B$43*Listeria!I493+GraphListeria!$B$44</f>
        <v>-0.9966657719319425</v>
      </c>
      <c r="U493" s="10">
        <f>GraphListeria!$H$43*Listeria!I493+GraphListeria!$H$44</f>
        <v>-1.0636690836344513</v>
      </c>
    </row>
    <row r="494" spans="1:21" x14ac:dyDescent="0.2">
      <c r="A494" s="1" t="s">
        <v>1440</v>
      </c>
      <c r="B494" s="1" t="s">
        <v>1443</v>
      </c>
      <c r="C494" t="s">
        <v>463</v>
      </c>
      <c r="D494" s="1" t="s">
        <v>11</v>
      </c>
      <c r="E494" s="1" t="s">
        <v>1267</v>
      </c>
      <c r="F494" s="1" t="s">
        <v>483</v>
      </c>
      <c r="G494" s="1"/>
      <c r="I494" s="4">
        <v>60</v>
      </c>
      <c r="J494" s="11">
        <v>5.0199999999999996</v>
      </c>
      <c r="K494" s="4">
        <v>7.39</v>
      </c>
      <c r="L494" s="12">
        <f t="shared" si="8"/>
        <v>0.70070371714501933</v>
      </c>
      <c r="M494" s="11">
        <f>GraphListeria!$B$10-(Listeria!I494-GraphListeria!$B$6)/GraphListeria!$B$5</f>
        <v>0.35623347030397379</v>
      </c>
      <c r="N494" s="1" t="s">
        <v>490</v>
      </c>
      <c r="O494">
        <v>2001</v>
      </c>
      <c r="S494" s="10">
        <f>GraphListeria!$B$43*Listeria!I494+GraphListeria!$B$44</f>
        <v>0.38409169809355426</v>
      </c>
      <c r="U494" s="10">
        <f>GraphListeria!$H$43*Listeria!I494+GraphListeria!$H$44</f>
        <v>0.35623347030397312</v>
      </c>
    </row>
    <row r="495" spans="1:21" x14ac:dyDescent="0.2">
      <c r="A495" s="1" t="s">
        <v>1440</v>
      </c>
      <c r="B495" s="1" t="s">
        <v>1443</v>
      </c>
      <c r="C495" t="s">
        <v>463</v>
      </c>
      <c r="D495" s="1" t="s">
        <v>11</v>
      </c>
      <c r="E495" s="1" t="s">
        <v>1267</v>
      </c>
      <c r="F495" s="1" t="s">
        <v>483</v>
      </c>
      <c r="G495" s="1"/>
      <c r="I495" s="4">
        <v>62</v>
      </c>
      <c r="J495" s="11">
        <v>2.21</v>
      </c>
      <c r="K495" s="4">
        <v>7.39</v>
      </c>
      <c r="L495" s="12">
        <f t="shared" si="8"/>
        <v>0.34439227368511072</v>
      </c>
      <c r="M495" s="11">
        <f>GraphListeria!$B$10-(Listeria!I495-GraphListeria!$B$6)/GraphListeria!$B$5</f>
        <v>7.2252959516288628E-2</v>
      </c>
      <c r="N495" s="1" t="s">
        <v>490</v>
      </c>
      <c r="O495">
        <v>2001</v>
      </c>
      <c r="S495" s="10">
        <f>GraphListeria!$B$43*Listeria!I495+GraphListeria!$B$44</f>
        <v>0.10794020408845384</v>
      </c>
      <c r="U495" s="10">
        <f>GraphListeria!$H$43*Listeria!I495+GraphListeria!$H$44</f>
        <v>7.2252959516289295E-2</v>
      </c>
    </row>
    <row r="496" spans="1:21" x14ac:dyDescent="0.2">
      <c r="A496" s="1" t="s">
        <v>1440</v>
      </c>
      <c r="B496" s="1" t="s">
        <v>1443</v>
      </c>
      <c r="C496" t="s">
        <v>463</v>
      </c>
      <c r="D496" s="1" t="s">
        <v>11</v>
      </c>
      <c r="E496" s="1" t="s">
        <v>1267</v>
      </c>
      <c r="F496" s="1" t="s">
        <v>483</v>
      </c>
      <c r="G496" s="1"/>
      <c r="I496" s="4">
        <v>64.5</v>
      </c>
      <c r="J496" s="11">
        <v>1.84</v>
      </c>
      <c r="K496" s="4">
        <v>7.39</v>
      </c>
      <c r="L496" s="12">
        <f t="shared" si="8"/>
        <v>0.26481782300953649</v>
      </c>
      <c r="M496" s="11">
        <f>GraphListeria!$B$10-(Listeria!I496-GraphListeria!$B$6)/GraphListeria!$B$5</f>
        <v>-0.2827226789683176</v>
      </c>
      <c r="N496" s="1" t="s">
        <v>490</v>
      </c>
      <c r="O496">
        <v>2001</v>
      </c>
      <c r="S496" s="10">
        <f>GraphListeria!$B$43*Listeria!I496+GraphListeria!$B$44</f>
        <v>-0.23724916341791946</v>
      </c>
      <c r="U496" s="10">
        <f>GraphListeria!$H$43*Listeria!I496+GraphListeria!$H$44</f>
        <v>-0.28272267896831771</v>
      </c>
    </row>
    <row r="497" spans="1:21" x14ac:dyDescent="0.2">
      <c r="A497" s="1" t="s">
        <v>1440</v>
      </c>
      <c r="B497" s="1" t="s">
        <v>1443</v>
      </c>
      <c r="C497" t="s">
        <v>463</v>
      </c>
      <c r="D497" s="1" t="s">
        <v>11</v>
      </c>
      <c r="E497" s="1" t="s">
        <v>1267</v>
      </c>
      <c r="F497" s="1" t="s">
        <v>483</v>
      </c>
      <c r="G497" s="1"/>
      <c r="I497" s="4">
        <v>70</v>
      </c>
      <c r="J497" s="11">
        <v>0.2</v>
      </c>
      <c r="K497" s="4">
        <v>7.39</v>
      </c>
      <c r="L497" s="12">
        <f t="shared" si="8"/>
        <v>-0.69897000433601875</v>
      </c>
      <c r="M497" s="11">
        <f>GraphListeria!$B$10-(Listeria!I497-GraphListeria!$B$6)/GraphListeria!$B$5</f>
        <v>-1.0636690836344513</v>
      </c>
      <c r="N497" s="1" t="s">
        <v>490</v>
      </c>
      <c r="O497">
        <v>2001</v>
      </c>
      <c r="S497" s="10">
        <f>GraphListeria!$B$43*Listeria!I497+GraphListeria!$B$44</f>
        <v>-0.9966657719319425</v>
      </c>
      <c r="U497" s="10">
        <f>GraphListeria!$H$43*Listeria!I497+GraphListeria!$H$44</f>
        <v>-1.0636690836344513</v>
      </c>
    </row>
    <row r="498" spans="1:21" x14ac:dyDescent="0.2">
      <c r="A498" s="1" t="s">
        <v>1440</v>
      </c>
      <c r="B498" s="1" t="s">
        <v>1443</v>
      </c>
      <c r="C498" t="s">
        <v>57</v>
      </c>
      <c r="D498" s="1" t="s">
        <v>11</v>
      </c>
      <c r="E498" s="1" t="s">
        <v>1267</v>
      </c>
      <c r="F498" s="1" t="s">
        <v>1327</v>
      </c>
      <c r="G498" s="1"/>
      <c r="I498" s="4">
        <v>50</v>
      </c>
      <c r="J498" s="11">
        <v>119</v>
      </c>
      <c r="L498" s="12">
        <f t="shared" si="8"/>
        <v>2.0755469613925306</v>
      </c>
      <c r="M498" s="11">
        <f>GraphListeria!$B$10-(Listeria!I498-GraphListeria!$B$6)/GraphListeria!$B$5</f>
        <v>1.7761360242423989</v>
      </c>
      <c r="N498" s="2" t="s">
        <v>1226</v>
      </c>
      <c r="O498">
        <v>1996</v>
      </c>
      <c r="P498" t="s">
        <v>59</v>
      </c>
      <c r="S498" s="10">
        <f>GraphListeria!$B$43*Listeria!I498+GraphListeria!$B$44</f>
        <v>1.7648491681190492</v>
      </c>
      <c r="U498" s="10">
        <f>GraphListeria!$H$43*Listeria!I498+GraphListeria!$H$44</f>
        <v>1.7761360242423985</v>
      </c>
    </row>
    <row r="499" spans="1:21" x14ac:dyDescent="0.2">
      <c r="A499" s="1" t="s">
        <v>1440</v>
      </c>
      <c r="B499" s="1" t="s">
        <v>1443</v>
      </c>
      <c r="C499" t="s">
        <v>58</v>
      </c>
      <c r="D499" s="1" t="s">
        <v>11</v>
      </c>
      <c r="E499" s="1" t="s">
        <v>1267</v>
      </c>
      <c r="F499" s="1" t="s">
        <v>1327</v>
      </c>
      <c r="G499" s="1"/>
      <c r="I499" s="4">
        <v>50</v>
      </c>
      <c r="J499" s="11">
        <v>195</v>
      </c>
      <c r="L499" s="12">
        <f t="shared" si="8"/>
        <v>2.2900346113625178</v>
      </c>
      <c r="M499" s="11">
        <f>GraphListeria!$B$10-(Listeria!I499-GraphListeria!$B$6)/GraphListeria!$B$5</f>
        <v>1.7761360242423989</v>
      </c>
      <c r="N499" s="2" t="s">
        <v>1226</v>
      </c>
      <c r="O499">
        <v>1996</v>
      </c>
      <c r="P499" t="s">
        <v>59</v>
      </c>
      <c r="S499" s="10">
        <f>GraphListeria!$B$43*Listeria!I499+GraphListeria!$B$44</f>
        <v>1.7648491681190492</v>
      </c>
      <c r="U499" s="10">
        <f>GraphListeria!$H$43*Listeria!I499+GraphListeria!$H$44</f>
        <v>1.7761360242423985</v>
      </c>
    </row>
    <row r="500" spans="1:21" x14ac:dyDescent="0.2">
      <c r="A500" s="1" t="s">
        <v>1440</v>
      </c>
      <c r="B500" s="1" t="s">
        <v>1443</v>
      </c>
      <c r="C500" t="s">
        <v>58</v>
      </c>
      <c r="D500" s="1" t="s">
        <v>11</v>
      </c>
      <c r="E500" s="1" t="s">
        <v>1267</v>
      </c>
      <c r="F500" s="1" t="s">
        <v>1327</v>
      </c>
      <c r="G500" s="1"/>
      <c r="I500" s="4">
        <v>50</v>
      </c>
      <c r="J500" s="11">
        <v>99.9</v>
      </c>
      <c r="L500" s="12">
        <f t="shared" si="8"/>
        <v>1.9995654882259823</v>
      </c>
      <c r="M500" s="11">
        <f>GraphListeria!$B$10-(Listeria!I500-GraphListeria!$B$6)/GraphListeria!$B$5</f>
        <v>1.7761360242423989</v>
      </c>
      <c r="N500" s="2" t="s">
        <v>1226</v>
      </c>
      <c r="O500">
        <v>1996</v>
      </c>
      <c r="P500" t="s">
        <v>60</v>
      </c>
      <c r="S500" s="10">
        <f>GraphListeria!$B$43*Listeria!I500+GraphListeria!$B$44</f>
        <v>1.7648491681190492</v>
      </c>
      <c r="U500" s="10">
        <f>GraphListeria!$H$43*Listeria!I500+GraphListeria!$H$44</f>
        <v>1.7761360242423985</v>
      </c>
    </row>
    <row r="501" spans="1:21" x14ac:dyDescent="0.2">
      <c r="A501" s="1" t="s">
        <v>1440</v>
      </c>
      <c r="B501" s="1" t="s">
        <v>1443</v>
      </c>
      <c r="C501" t="s">
        <v>57</v>
      </c>
      <c r="D501" s="1" t="s">
        <v>11</v>
      </c>
      <c r="E501" s="1" t="s">
        <v>1267</v>
      </c>
      <c r="F501" s="1" t="s">
        <v>1327</v>
      </c>
      <c r="G501" s="1"/>
      <c r="I501" s="4">
        <v>50</v>
      </c>
      <c r="J501" s="11">
        <v>118</v>
      </c>
      <c r="L501" s="12">
        <f t="shared" si="8"/>
        <v>2.0718820073061255</v>
      </c>
      <c r="M501" s="11">
        <f>GraphListeria!$B$10-(Listeria!I501-GraphListeria!$B$6)/GraphListeria!$B$5</f>
        <v>1.7761360242423989</v>
      </c>
      <c r="N501" s="2" t="s">
        <v>1226</v>
      </c>
      <c r="O501">
        <v>1996</v>
      </c>
      <c r="P501" t="s">
        <v>60</v>
      </c>
      <c r="S501" s="10">
        <f>GraphListeria!$B$43*Listeria!I501+GraphListeria!$B$44</f>
        <v>1.7648491681190492</v>
      </c>
      <c r="U501" s="10">
        <f>GraphListeria!$H$43*Listeria!I501+GraphListeria!$H$44</f>
        <v>1.7761360242423985</v>
      </c>
    </row>
    <row r="502" spans="1:21" x14ac:dyDescent="0.2">
      <c r="A502" s="1" t="s">
        <v>1440</v>
      </c>
      <c r="B502" s="1" t="s">
        <v>1443</v>
      </c>
      <c r="C502" t="s">
        <v>57</v>
      </c>
      <c r="D502" s="1" t="s">
        <v>11</v>
      </c>
      <c r="E502" s="1" t="s">
        <v>1267</v>
      </c>
      <c r="F502" s="1" t="s">
        <v>1327</v>
      </c>
      <c r="G502" s="1"/>
      <c r="I502" s="4">
        <v>50</v>
      </c>
      <c r="J502" s="11">
        <v>83.2</v>
      </c>
      <c r="L502" s="12">
        <f t="shared" si="8"/>
        <v>1.920123326290724</v>
      </c>
      <c r="M502" s="11">
        <f>GraphListeria!$B$10-(Listeria!I502-GraphListeria!$B$6)/GraphListeria!$B$5</f>
        <v>1.7761360242423989</v>
      </c>
      <c r="N502" s="2" t="s">
        <v>1226</v>
      </c>
      <c r="O502">
        <v>1996</v>
      </c>
      <c r="P502" t="s">
        <v>61</v>
      </c>
      <c r="S502" s="10">
        <f>GraphListeria!$B$43*Listeria!I502+GraphListeria!$B$44</f>
        <v>1.7648491681190492</v>
      </c>
      <c r="U502" s="10">
        <f>GraphListeria!$H$43*Listeria!I502+GraphListeria!$H$44</f>
        <v>1.7761360242423985</v>
      </c>
    </row>
    <row r="503" spans="1:21" x14ac:dyDescent="0.2">
      <c r="A503" s="1" t="s">
        <v>1440</v>
      </c>
      <c r="B503" s="1" t="s">
        <v>1443</v>
      </c>
      <c r="C503" t="s">
        <v>58</v>
      </c>
      <c r="D503" s="1" t="s">
        <v>11</v>
      </c>
      <c r="E503" s="1" t="s">
        <v>1267</v>
      </c>
      <c r="F503" s="1" t="s">
        <v>1327</v>
      </c>
      <c r="G503" s="1"/>
      <c r="I503" s="4">
        <v>50</v>
      </c>
      <c r="J503" s="11">
        <v>132</v>
      </c>
      <c r="L503" s="12">
        <f t="shared" si="8"/>
        <v>2.12057393120585</v>
      </c>
      <c r="M503" s="11">
        <f>GraphListeria!$B$10-(Listeria!I503-GraphListeria!$B$6)/GraphListeria!$B$5</f>
        <v>1.7761360242423989</v>
      </c>
      <c r="N503" s="2" t="s">
        <v>1226</v>
      </c>
      <c r="O503">
        <v>1996</v>
      </c>
      <c r="P503" t="s">
        <v>61</v>
      </c>
      <c r="S503" s="10">
        <f>GraphListeria!$B$43*Listeria!I503+GraphListeria!$B$44</f>
        <v>1.7648491681190492</v>
      </c>
      <c r="U503" s="10">
        <f>GraphListeria!$H$43*Listeria!I503+GraphListeria!$H$44</f>
        <v>1.7761360242423985</v>
      </c>
    </row>
    <row r="504" spans="1:21" x14ac:dyDescent="0.2">
      <c r="A504" s="1" t="s">
        <v>1440</v>
      </c>
      <c r="B504" s="1" t="s">
        <v>1443</v>
      </c>
      <c r="C504" t="s">
        <v>57</v>
      </c>
      <c r="D504" s="1" t="s">
        <v>11</v>
      </c>
      <c r="E504" s="1" t="s">
        <v>1267</v>
      </c>
      <c r="F504" s="1" t="s">
        <v>1327</v>
      </c>
      <c r="G504" s="1"/>
      <c r="I504" s="4">
        <v>50</v>
      </c>
      <c r="J504" s="11">
        <v>114</v>
      </c>
      <c r="L504" s="12">
        <f t="shared" si="8"/>
        <v>2.0569048513364727</v>
      </c>
      <c r="M504" s="11">
        <f>GraphListeria!$B$10-(Listeria!I504-GraphListeria!$B$6)/GraphListeria!$B$5</f>
        <v>1.7761360242423989</v>
      </c>
      <c r="N504" s="2" t="s">
        <v>1226</v>
      </c>
      <c r="O504">
        <v>1996</v>
      </c>
      <c r="P504" t="s">
        <v>62</v>
      </c>
      <c r="S504" s="10">
        <f>GraphListeria!$B$43*Listeria!I504+GraphListeria!$B$44</f>
        <v>1.7648491681190492</v>
      </c>
      <c r="U504" s="10">
        <f>GraphListeria!$H$43*Listeria!I504+GraphListeria!$H$44</f>
        <v>1.7761360242423985</v>
      </c>
    </row>
    <row r="505" spans="1:21" x14ac:dyDescent="0.2">
      <c r="A505" s="1" t="s">
        <v>1440</v>
      </c>
      <c r="B505" s="1" t="s">
        <v>1443</v>
      </c>
      <c r="C505" t="s">
        <v>58</v>
      </c>
      <c r="D505" s="1" t="s">
        <v>11</v>
      </c>
      <c r="E505" s="1" t="s">
        <v>1267</v>
      </c>
      <c r="F505" s="1" t="s">
        <v>1327</v>
      </c>
      <c r="G505" s="1"/>
      <c r="I505" s="4">
        <v>50</v>
      </c>
      <c r="J505" s="11">
        <v>365</v>
      </c>
      <c r="L505" s="12">
        <f t="shared" si="8"/>
        <v>2.5622928644564746</v>
      </c>
      <c r="M505" s="11">
        <f>GraphListeria!$B$10-(Listeria!I505-GraphListeria!$B$6)/GraphListeria!$B$5</f>
        <v>1.7761360242423989</v>
      </c>
      <c r="N505" s="2" t="s">
        <v>1226</v>
      </c>
      <c r="O505">
        <v>1996</v>
      </c>
      <c r="P505" t="s">
        <v>62</v>
      </c>
      <c r="S505" s="10">
        <f>GraphListeria!$B$43*Listeria!I505+GraphListeria!$B$44</f>
        <v>1.7648491681190492</v>
      </c>
      <c r="U505" s="10">
        <f>GraphListeria!$H$43*Listeria!I505+GraphListeria!$H$44</f>
        <v>1.7761360242423985</v>
      </c>
    </row>
    <row r="506" spans="1:21" x14ac:dyDescent="0.2">
      <c r="A506" s="1" t="s">
        <v>1440</v>
      </c>
      <c r="B506" s="1" t="s">
        <v>1443</v>
      </c>
      <c r="C506" t="s">
        <v>57</v>
      </c>
      <c r="D506" s="1" t="s">
        <v>11</v>
      </c>
      <c r="E506" s="1" t="s">
        <v>1267</v>
      </c>
      <c r="F506" s="1" t="s">
        <v>1327</v>
      </c>
      <c r="G506" s="1"/>
      <c r="I506" s="4">
        <v>50</v>
      </c>
      <c r="J506" s="11">
        <v>115</v>
      </c>
      <c r="L506" s="12">
        <f t="shared" si="8"/>
        <v>2.0606978403536118</v>
      </c>
      <c r="M506" s="11">
        <f>GraphListeria!$B$10-(Listeria!I506-GraphListeria!$B$6)/GraphListeria!$B$5</f>
        <v>1.7761360242423989</v>
      </c>
      <c r="N506" s="2" t="s">
        <v>1226</v>
      </c>
      <c r="O506">
        <v>1996</v>
      </c>
      <c r="P506" t="s">
        <v>63</v>
      </c>
      <c r="S506" s="10">
        <f>GraphListeria!$B$43*Listeria!I506+GraphListeria!$B$44</f>
        <v>1.7648491681190492</v>
      </c>
      <c r="U506" s="10">
        <f>GraphListeria!$H$43*Listeria!I506+GraphListeria!$H$44</f>
        <v>1.7761360242423985</v>
      </c>
    </row>
    <row r="507" spans="1:21" x14ac:dyDescent="0.2">
      <c r="A507" s="1" t="s">
        <v>1440</v>
      </c>
      <c r="B507" s="1" t="s">
        <v>1443</v>
      </c>
      <c r="C507" t="s">
        <v>58</v>
      </c>
      <c r="D507" s="1" t="s">
        <v>11</v>
      </c>
      <c r="E507" s="1" t="s">
        <v>1267</v>
      </c>
      <c r="F507" s="1" t="s">
        <v>1327</v>
      </c>
      <c r="G507" s="1"/>
      <c r="I507" s="4">
        <v>50</v>
      </c>
      <c r="J507" s="11">
        <v>199</v>
      </c>
      <c r="L507" s="12">
        <f t="shared" si="8"/>
        <v>2.2988530764097068</v>
      </c>
      <c r="M507" s="11">
        <f>GraphListeria!$B$10-(Listeria!I507-GraphListeria!$B$6)/GraphListeria!$B$5</f>
        <v>1.7761360242423989</v>
      </c>
      <c r="N507" s="2" t="s">
        <v>1226</v>
      </c>
      <c r="O507">
        <v>1996</v>
      </c>
      <c r="P507" t="s">
        <v>63</v>
      </c>
      <c r="S507" s="10">
        <f>GraphListeria!$B$43*Listeria!I507+GraphListeria!$B$44</f>
        <v>1.7648491681190492</v>
      </c>
      <c r="U507" s="10">
        <f>GraphListeria!$H$43*Listeria!I507+GraphListeria!$H$44</f>
        <v>1.7761360242423985</v>
      </c>
    </row>
    <row r="508" spans="1:21" x14ac:dyDescent="0.2">
      <c r="A508" s="1" t="s">
        <v>1440</v>
      </c>
      <c r="B508" s="1" t="s">
        <v>1443</v>
      </c>
      <c r="C508" t="s">
        <v>58</v>
      </c>
      <c r="D508" s="1" t="s">
        <v>11</v>
      </c>
      <c r="E508" s="1" t="s">
        <v>1267</v>
      </c>
      <c r="F508" s="1" t="s">
        <v>1327</v>
      </c>
      <c r="G508" s="1"/>
      <c r="I508" s="4">
        <v>55</v>
      </c>
      <c r="J508" s="11">
        <v>39.4</v>
      </c>
      <c r="L508" s="12">
        <f t="shared" si="8"/>
        <v>1.5954962218255742</v>
      </c>
      <c r="M508" s="11">
        <f>GraphListeria!$B$10-(Listeria!I508-GraphListeria!$B$6)/GraphListeria!$B$5</f>
        <v>1.0661847472731862</v>
      </c>
      <c r="N508" s="2" t="s">
        <v>1226</v>
      </c>
      <c r="O508">
        <v>1996</v>
      </c>
      <c r="P508" t="s">
        <v>59</v>
      </c>
      <c r="S508" s="10">
        <f>GraphListeria!$B$43*Listeria!I508+GraphListeria!$B$44</f>
        <v>1.0744704331063017</v>
      </c>
      <c r="U508" s="10">
        <f>GraphListeria!$H$43*Listeria!I508+GraphListeria!$H$44</f>
        <v>1.0661847472731862</v>
      </c>
    </row>
    <row r="509" spans="1:21" x14ac:dyDescent="0.2">
      <c r="A509" s="1" t="s">
        <v>1440</v>
      </c>
      <c r="B509" s="1" t="s">
        <v>1443</v>
      </c>
      <c r="C509" t="s">
        <v>57</v>
      </c>
      <c r="D509" s="1" t="s">
        <v>11</v>
      </c>
      <c r="E509" s="1" t="s">
        <v>1267</v>
      </c>
      <c r="F509" s="1" t="s">
        <v>1327</v>
      </c>
      <c r="G509" s="1"/>
      <c r="I509" s="4">
        <v>55</v>
      </c>
      <c r="J509" s="11">
        <v>79.099999999999994</v>
      </c>
      <c r="L509" s="12">
        <f t="shared" si="8"/>
        <v>1.8981764834976764</v>
      </c>
      <c r="M509" s="11">
        <f>GraphListeria!$B$10-(Listeria!I509-GraphListeria!$B$6)/GraphListeria!$B$5</f>
        <v>1.0661847472731862</v>
      </c>
      <c r="N509" s="2" t="s">
        <v>1226</v>
      </c>
      <c r="O509">
        <v>1996</v>
      </c>
      <c r="P509" t="s">
        <v>59</v>
      </c>
      <c r="S509" s="10">
        <f>GraphListeria!$B$43*Listeria!I509+GraphListeria!$B$44</f>
        <v>1.0744704331063017</v>
      </c>
      <c r="U509" s="10">
        <f>GraphListeria!$H$43*Listeria!I509+GraphListeria!$H$44</f>
        <v>1.0661847472731862</v>
      </c>
    </row>
    <row r="510" spans="1:21" x14ac:dyDescent="0.2">
      <c r="A510" s="1" t="s">
        <v>1440</v>
      </c>
      <c r="B510" s="1" t="s">
        <v>1443</v>
      </c>
      <c r="C510" t="s">
        <v>58</v>
      </c>
      <c r="D510" s="1" t="s">
        <v>11</v>
      </c>
      <c r="E510" s="1" t="s">
        <v>1267</v>
      </c>
      <c r="F510" s="1" t="s">
        <v>1327</v>
      </c>
      <c r="G510" s="1"/>
      <c r="I510" s="4">
        <v>55</v>
      </c>
      <c r="J510" s="11">
        <v>19.399999999999999</v>
      </c>
      <c r="L510" s="12">
        <f t="shared" si="8"/>
        <v>1.287801729930226</v>
      </c>
      <c r="M510" s="11">
        <f>GraphListeria!$B$10-(Listeria!I510-GraphListeria!$B$6)/GraphListeria!$B$5</f>
        <v>1.0661847472731862</v>
      </c>
      <c r="N510" s="2" t="s">
        <v>1226</v>
      </c>
      <c r="O510">
        <v>1996</v>
      </c>
      <c r="P510" t="s">
        <v>60</v>
      </c>
      <c r="S510" s="10">
        <f>GraphListeria!$B$43*Listeria!I510+GraphListeria!$B$44</f>
        <v>1.0744704331063017</v>
      </c>
      <c r="U510" s="10">
        <f>GraphListeria!$H$43*Listeria!I510+GraphListeria!$H$44</f>
        <v>1.0661847472731862</v>
      </c>
    </row>
    <row r="511" spans="1:21" x14ac:dyDescent="0.2">
      <c r="A511" s="1" t="s">
        <v>1440</v>
      </c>
      <c r="B511" s="1" t="s">
        <v>1443</v>
      </c>
      <c r="C511" t="s">
        <v>57</v>
      </c>
      <c r="D511" s="1" t="s">
        <v>11</v>
      </c>
      <c r="E511" s="1" t="s">
        <v>1267</v>
      </c>
      <c r="F511" s="1" t="s">
        <v>1327</v>
      </c>
      <c r="G511" s="1"/>
      <c r="I511" s="4">
        <v>55</v>
      </c>
      <c r="J511" s="11">
        <v>34.6</v>
      </c>
      <c r="L511" s="12">
        <f t="shared" si="8"/>
        <v>1.5390760987927767</v>
      </c>
      <c r="M511" s="11">
        <f>GraphListeria!$B$10-(Listeria!I511-GraphListeria!$B$6)/GraphListeria!$B$5</f>
        <v>1.0661847472731862</v>
      </c>
      <c r="N511" s="2" t="s">
        <v>1226</v>
      </c>
      <c r="O511">
        <v>1996</v>
      </c>
      <c r="P511" t="s">
        <v>60</v>
      </c>
      <c r="S511" s="10">
        <f>GraphListeria!$B$43*Listeria!I511+GraphListeria!$B$44</f>
        <v>1.0744704331063017</v>
      </c>
      <c r="U511" s="10">
        <f>GraphListeria!$H$43*Listeria!I511+GraphListeria!$H$44</f>
        <v>1.0661847472731862</v>
      </c>
    </row>
    <row r="512" spans="1:21" x14ac:dyDescent="0.2">
      <c r="A512" s="1" t="s">
        <v>1440</v>
      </c>
      <c r="B512" s="1" t="s">
        <v>1443</v>
      </c>
      <c r="C512" t="s">
        <v>57</v>
      </c>
      <c r="D512" s="1" t="s">
        <v>11</v>
      </c>
      <c r="E512" s="1" t="s">
        <v>1267</v>
      </c>
      <c r="F512" s="1" t="s">
        <v>1327</v>
      </c>
      <c r="G512" s="1"/>
      <c r="I512" s="4">
        <v>55</v>
      </c>
      <c r="J512" s="11">
        <v>10.7</v>
      </c>
      <c r="L512" s="12">
        <f t="shared" si="8"/>
        <v>1.0293837776852097</v>
      </c>
      <c r="M512" s="11">
        <f>GraphListeria!$B$10-(Listeria!I512-GraphListeria!$B$6)/GraphListeria!$B$5</f>
        <v>1.0661847472731862</v>
      </c>
      <c r="N512" s="2" t="s">
        <v>1226</v>
      </c>
      <c r="O512">
        <v>1996</v>
      </c>
      <c r="P512" t="s">
        <v>61</v>
      </c>
      <c r="S512" s="10">
        <f>GraphListeria!$B$43*Listeria!I512+GraphListeria!$B$44</f>
        <v>1.0744704331063017</v>
      </c>
      <c r="U512" s="10">
        <f>GraphListeria!$H$43*Listeria!I512+GraphListeria!$H$44</f>
        <v>1.0661847472731862</v>
      </c>
    </row>
    <row r="513" spans="1:21" x14ac:dyDescent="0.2">
      <c r="A513" s="1" t="s">
        <v>1440</v>
      </c>
      <c r="B513" s="1" t="s">
        <v>1443</v>
      </c>
      <c r="C513" t="s">
        <v>58</v>
      </c>
      <c r="D513" s="1" t="s">
        <v>11</v>
      </c>
      <c r="E513" s="1" t="s">
        <v>1267</v>
      </c>
      <c r="F513" s="1" t="s">
        <v>1327</v>
      </c>
      <c r="G513" s="1"/>
      <c r="I513" s="4">
        <v>55</v>
      </c>
      <c r="J513" s="11">
        <v>18.2</v>
      </c>
      <c r="L513" s="12">
        <f t="shared" si="8"/>
        <v>1.2600713879850747</v>
      </c>
      <c r="M513" s="11">
        <f>GraphListeria!$B$10-(Listeria!I513-GraphListeria!$B$6)/GraphListeria!$B$5</f>
        <v>1.0661847472731862</v>
      </c>
      <c r="N513" s="2" t="s">
        <v>1226</v>
      </c>
      <c r="O513">
        <v>1996</v>
      </c>
      <c r="P513" t="s">
        <v>61</v>
      </c>
      <c r="S513" s="10">
        <f>GraphListeria!$B$43*Listeria!I513+GraphListeria!$B$44</f>
        <v>1.0744704331063017</v>
      </c>
      <c r="U513" s="10">
        <f>GraphListeria!$H$43*Listeria!I513+GraphListeria!$H$44</f>
        <v>1.0661847472731862</v>
      </c>
    </row>
    <row r="514" spans="1:21" x14ac:dyDescent="0.2">
      <c r="A514" s="1" t="s">
        <v>1440</v>
      </c>
      <c r="B514" s="1" t="s">
        <v>1443</v>
      </c>
      <c r="C514" t="s">
        <v>57</v>
      </c>
      <c r="D514" s="1" t="s">
        <v>11</v>
      </c>
      <c r="E514" s="1" t="s">
        <v>1267</v>
      </c>
      <c r="F514" s="1" t="s">
        <v>1327</v>
      </c>
      <c r="G514" s="1"/>
      <c r="I514" s="4">
        <v>55</v>
      </c>
      <c r="J514" s="11">
        <v>10.4</v>
      </c>
      <c r="L514" s="12">
        <f t="shared" si="8"/>
        <v>1.0170333392987803</v>
      </c>
      <c r="M514" s="11">
        <f>GraphListeria!$B$10-(Listeria!I514-GraphListeria!$B$6)/GraphListeria!$B$5</f>
        <v>1.0661847472731862</v>
      </c>
      <c r="N514" s="2" t="s">
        <v>1226</v>
      </c>
      <c r="O514">
        <v>1996</v>
      </c>
      <c r="P514" t="s">
        <v>62</v>
      </c>
      <c r="S514" s="10">
        <f>GraphListeria!$B$43*Listeria!I514+GraphListeria!$B$44</f>
        <v>1.0744704331063017</v>
      </c>
      <c r="U514" s="10">
        <f>GraphListeria!$H$43*Listeria!I514+GraphListeria!$H$44</f>
        <v>1.0661847472731862</v>
      </c>
    </row>
    <row r="515" spans="1:21" x14ac:dyDescent="0.2">
      <c r="A515" s="1" t="s">
        <v>1440</v>
      </c>
      <c r="B515" s="1" t="s">
        <v>1443</v>
      </c>
      <c r="C515" t="s">
        <v>58</v>
      </c>
      <c r="D515" s="1" t="s">
        <v>11</v>
      </c>
      <c r="E515" s="1" t="s">
        <v>1267</v>
      </c>
      <c r="F515" s="1" t="s">
        <v>1327</v>
      </c>
      <c r="G515" s="1"/>
      <c r="I515" s="4">
        <v>55</v>
      </c>
      <c r="J515" s="11">
        <v>16.2</v>
      </c>
      <c r="L515" s="12">
        <f t="shared" si="8"/>
        <v>1.209515014542631</v>
      </c>
      <c r="M515" s="11">
        <f>GraphListeria!$B$10-(Listeria!I515-GraphListeria!$B$6)/GraphListeria!$B$5</f>
        <v>1.0661847472731862</v>
      </c>
      <c r="N515" s="2" t="s">
        <v>1226</v>
      </c>
      <c r="O515">
        <v>1996</v>
      </c>
      <c r="P515" t="s">
        <v>62</v>
      </c>
      <c r="S515" s="10">
        <f>GraphListeria!$B$43*Listeria!I515+GraphListeria!$B$44</f>
        <v>1.0744704331063017</v>
      </c>
      <c r="U515" s="10">
        <f>GraphListeria!$H$43*Listeria!I515+GraphListeria!$H$44</f>
        <v>1.0661847472731862</v>
      </c>
    </row>
    <row r="516" spans="1:21" x14ac:dyDescent="0.2">
      <c r="A516" s="1" t="s">
        <v>1440</v>
      </c>
      <c r="B516" s="1" t="s">
        <v>1443</v>
      </c>
      <c r="C516" t="s">
        <v>57</v>
      </c>
      <c r="D516" s="1" t="s">
        <v>11</v>
      </c>
      <c r="E516" s="1" t="s">
        <v>1267</v>
      </c>
      <c r="F516" s="1" t="s">
        <v>1327</v>
      </c>
      <c r="G516" s="1"/>
      <c r="I516" s="4">
        <v>55</v>
      </c>
      <c r="J516" s="11">
        <v>13</v>
      </c>
      <c r="L516" s="12">
        <f t="shared" si="8"/>
        <v>1.1139433523068367</v>
      </c>
      <c r="M516" s="11">
        <f>GraphListeria!$B$10-(Listeria!I516-GraphListeria!$B$6)/GraphListeria!$B$5</f>
        <v>1.0661847472731862</v>
      </c>
      <c r="N516" s="2" t="s">
        <v>1226</v>
      </c>
      <c r="O516">
        <v>1996</v>
      </c>
      <c r="P516" t="s">
        <v>63</v>
      </c>
      <c r="S516" s="10">
        <f>GraphListeria!$B$43*Listeria!I516+GraphListeria!$B$44</f>
        <v>1.0744704331063017</v>
      </c>
      <c r="U516" s="10">
        <f>GraphListeria!$H$43*Listeria!I516+GraphListeria!$H$44</f>
        <v>1.0661847472731862</v>
      </c>
    </row>
    <row r="517" spans="1:21" x14ac:dyDescent="0.2">
      <c r="A517" s="1" t="s">
        <v>1440</v>
      </c>
      <c r="B517" s="1" t="s">
        <v>1443</v>
      </c>
      <c r="C517" t="s">
        <v>58</v>
      </c>
      <c r="D517" s="1" t="s">
        <v>11</v>
      </c>
      <c r="E517" s="1" t="s">
        <v>1267</v>
      </c>
      <c r="F517" s="1" t="s">
        <v>1327</v>
      </c>
      <c r="G517" s="1"/>
      <c r="I517" s="4">
        <v>55</v>
      </c>
      <c r="J517" s="11">
        <v>17.399999999999999</v>
      </c>
      <c r="L517" s="12">
        <f t="shared" si="8"/>
        <v>1.2405492482825997</v>
      </c>
      <c r="M517" s="11">
        <f>GraphListeria!$B$10-(Listeria!I517-GraphListeria!$B$6)/GraphListeria!$B$5</f>
        <v>1.0661847472731862</v>
      </c>
      <c r="N517" s="2" t="s">
        <v>1226</v>
      </c>
      <c r="O517">
        <v>1996</v>
      </c>
      <c r="P517" t="s">
        <v>63</v>
      </c>
      <c r="S517" s="10">
        <f>GraphListeria!$B$43*Listeria!I517+GraphListeria!$B$44</f>
        <v>1.0744704331063017</v>
      </c>
      <c r="U517" s="10">
        <f>GraphListeria!$H$43*Listeria!I517+GraphListeria!$H$44</f>
        <v>1.0661847472731862</v>
      </c>
    </row>
    <row r="518" spans="1:21" x14ac:dyDescent="0.2">
      <c r="A518" s="1" t="s">
        <v>1440</v>
      </c>
      <c r="B518" s="1" t="s">
        <v>1443</v>
      </c>
      <c r="C518" t="s">
        <v>58</v>
      </c>
      <c r="D518" s="1" t="s">
        <v>11</v>
      </c>
      <c r="E518" s="1" t="s">
        <v>1267</v>
      </c>
      <c r="F518" s="1" t="s">
        <v>1327</v>
      </c>
      <c r="G518" s="1"/>
      <c r="I518" s="4">
        <v>60</v>
      </c>
      <c r="J518" s="11">
        <v>3.13</v>
      </c>
      <c r="L518" s="12">
        <f t="shared" si="8"/>
        <v>0.49554433754644844</v>
      </c>
      <c r="M518" s="11">
        <f>GraphListeria!$B$10-(Listeria!I518-GraphListeria!$B$6)/GraphListeria!$B$5</f>
        <v>0.35623347030397379</v>
      </c>
      <c r="N518" s="2" t="s">
        <v>1226</v>
      </c>
      <c r="O518">
        <v>1996</v>
      </c>
      <c r="P518" t="s">
        <v>59</v>
      </c>
      <c r="S518" s="10">
        <f>GraphListeria!$B$43*Listeria!I518+GraphListeria!$B$44</f>
        <v>0.38409169809355426</v>
      </c>
      <c r="U518" s="10">
        <f>GraphListeria!$H$43*Listeria!I518+GraphListeria!$H$44</f>
        <v>0.35623347030397312</v>
      </c>
    </row>
    <row r="519" spans="1:21" x14ac:dyDescent="0.2">
      <c r="A519" s="1" t="s">
        <v>1440</v>
      </c>
      <c r="B519" s="1" t="s">
        <v>1443</v>
      </c>
      <c r="C519" t="s">
        <v>57</v>
      </c>
      <c r="D519" s="1" t="s">
        <v>11</v>
      </c>
      <c r="E519" s="1" t="s">
        <v>1267</v>
      </c>
      <c r="F519" s="1" t="s">
        <v>1327</v>
      </c>
      <c r="G519" s="1"/>
      <c r="I519" s="4">
        <v>60</v>
      </c>
      <c r="J519" s="11">
        <v>7.07</v>
      </c>
      <c r="L519" s="12">
        <f t="shared" si="8"/>
        <v>0.84941941379689945</v>
      </c>
      <c r="M519" s="11">
        <f>GraphListeria!$B$10-(Listeria!I519-GraphListeria!$B$6)/GraphListeria!$B$5</f>
        <v>0.35623347030397379</v>
      </c>
      <c r="N519" s="2" t="s">
        <v>1226</v>
      </c>
      <c r="O519">
        <v>1996</v>
      </c>
      <c r="P519" t="s">
        <v>59</v>
      </c>
      <c r="S519" s="10">
        <f>GraphListeria!$B$43*Listeria!I519+GraphListeria!$B$44</f>
        <v>0.38409169809355426</v>
      </c>
      <c r="U519" s="10">
        <f>GraphListeria!$H$43*Listeria!I519+GraphListeria!$H$44</f>
        <v>0.35623347030397312</v>
      </c>
    </row>
    <row r="520" spans="1:21" x14ac:dyDescent="0.2">
      <c r="A520" s="1" t="s">
        <v>1440</v>
      </c>
      <c r="B520" s="1" t="s">
        <v>1443</v>
      </c>
      <c r="C520" t="s">
        <v>58</v>
      </c>
      <c r="D520" s="1" t="s">
        <v>11</v>
      </c>
      <c r="E520" s="1" t="s">
        <v>1267</v>
      </c>
      <c r="F520" s="1" t="s">
        <v>1327</v>
      </c>
      <c r="G520" s="1"/>
      <c r="I520" s="4">
        <v>60</v>
      </c>
      <c r="J520" s="11">
        <v>1.1000000000000001</v>
      </c>
      <c r="L520" s="12">
        <f t="shared" si="8"/>
        <v>4.1392685158225077E-2</v>
      </c>
      <c r="M520" s="11">
        <f>GraphListeria!$B$10-(Listeria!I520-GraphListeria!$B$6)/GraphListeria!$B$5</f>
        <v>0.35623347030397379</v>
      </c>
      <c r="N520" s="2" t="s">
        <v>1226</v>
      </c>
      <c r="O520">
        <v>1996</v>
      </c>
      <c r="P520" t="s">
        <v>60</v>
      </c>
      <c r="S520" s="10">
        <f>GraphListeria!$B$43*Listeria!I520+GraphListeria!$B$44</f>
        <v>0.38409169809355426</v>
      </c>
      <c r="U520" s="10">
        <f>GraphListeria!$H$43*Listeria!I520+GraphListeria!$H$44</f>
        <v>0.35623347030397312</v>
      </c>
    </row>
    <row r="521" spans="1:21" x14ac:dyDescent="0.2">
      <c r="A521" s="1" t="s">
        <v>1440</v>
      </c>
      <c r="B521" s="1" t="s">
        <v>1443</v>
      </c>
      <c r="C521" t="s">
        <v>57</v>
      </c>
      <c r="D521" s="1" t="s">
        <v>11</v>
      </c>
      <c r="E521" s="1" t="s">
        <v>1267</v>
      </c>
      <c r="F521" s="1" t="s">
        <v>1327</v>
      </c>
      <c r="G521" s="1"/>
      <c r="I521" s="4">
        <v>60</v>
      </c>
      <c r="J521" s="11">
        <v>1.63</v>
      </c>
      <c r="L521" s="12">
        <f t="shared" si="8"/>
        <v>0.21218760440395779</v>
      </c>
      <c r="M521" s="11">
        <f>GraphListeria!$B$10-(Listeria!I521-GraphListeria!$B$6)/GraphListeria!$B$5</f>
        <v>0.35623347030397379</v>
      </c>
      <c r="N521" s="2" t="s">
        <v>1226</v>
      </c>
      <c r="O521">
        <v>1996</v>
      </c>
      <c r="P521" t="s">
        <v>60</v>
      </c>
      <c r="S521" s="10">
        <f>GraphListeria!$B$43*Listeria!I521+GraphListeria!$B$44</f>
        <v>0.38409169809355426</v>
      </c>
      <c r="U521" s="10">
        <f>GraphListeria!$H$43*Listeria!I521+GraphListeria!$H$44</f>
        <v>0.35623347030397312</v>
      </c>
    </row>
    <row r="522" spans="1:21" x14ac:dyDescent="0.2">
      <c r="A522" s="1" t="s">
        <v>1440</v>
      </c>
      <c r="B522" s="1" t="s">
        <v>1443</v>
      </c>
      <c r="C522" t="s">
        <v>58</v>
      </c>
      <c r="D522" s="1" t="s">
        <v>11</v>
      </c>
      <c r="E522" s="1" t="s">
        <v>1267</v>
      </c>
      <c r="F522" s="1" t="s">
        <v>1327</v>
      </c>
      <c r="G522" s="1"/>
      <c r="I522" s="4">
        <v>60</v>
      </c>
      <c r="J522" s="11">
        <v>1.23</v>
      </c>
      <c r="L522" s="12">
        <f t="shared" si="8"/>
        <v>8.9905111439397931E-2</v>
      </c>
      <c r="M522" s="11">
        <f>GraphListeria!$B$10-(Listeria!I522-GraphListeria!$B$6)/GraphListeria!$B$5</f>
        <v>0.35623347030397379</v>
      </c>
      <c r="N522" s="2" t="s">
        <v>1226</v>
      </c>
      <c r="O522">
        <v>1996</v>
      </c>
      <c r="P522" t="s">
        <v>61</v>
      </c>
      <c r="S522" s="10">
        <f>GraphListeria!$B$43*Listeria!I522+GraphListeria!$B$44</f>
        <v>0.38409169809355426</v>
      </c>
      <c r="U522" s="10">
        <f>GraphListeria!$H$43*Listeria!I522+GraphListeria!$H$44</f>
        <v>0.35623347030397312</v>
      </c>
    </row>
    <row r="523" spans="1:21" x14ac:dyDescent="0.2">
      <c r="A523" s="1" t="s">
        <v>1440</v>
      </c>
      <c r="B523" s="1" t="s">
        <v>1443</v>
      </c>
      <c r="C523" t="s">
        <v>57</v>
      </c>
      <c r="D523" s="1" t="s">
        <v>11</v>
      </c>
      <c r="E523" s="1" t="s">
        <v>1267</v>
      </c>
      <c r="F523" s="1" t="s">
        <v>1327</v>
      </c>
      <c r="G523" s="1"/>
      <c r="I523" s="4">
        <v>60</v>
      </c>
      <c r="J523" s="11">
        <v>1.42</v>
      </c>
      <c r="L523" s="12">
        <f t="shared" si="8"/>
        <v>0.15228834438305647</v>
      </c>
      <c r="M523" s="11">
        <f>GraphListeria!$B$10-(Listeria!I523-GraphListeria!$B$6)/GraphListeria!$B$5</f>
        <v>0.35623347030397379</v>
      </c>
      <c r="N523" s="2" t="s">
        <v>1226</v>
      </c>
      <c r="O523">
        <v>1996</v>
      </c>
      <c r="P523" t="s">
        <v>61</v>
      </c>
      <c r="S523" s="10">
        <f>GraphListeria!$B$43*Listeria!I523+GraphListeria!$B$44</f>
        <v>0.38409169809355426</v>
      </c>
      <c r="U523" s="10">
        <f>GraphListeria!$H$43*Listeria!I523+GraphListeria!$H$44</f>
        <v>0.35623347030397312</v>
      </c>
    </row>
    <row r="524" spans="1:21" x14ac:dyDescent="0.2">
      <c r="A524" s="1" t="s">
        <v>1440</v>
      </c>
      <c r="B524" s="1" t="s">
        <v>1443</v>
      </c>
      <c r="C524" t="s">
        <v>58</v>
      </c>
      <c r="D524" s="1" t="s">
        <v>11</v>
      </c>
      <c r="E524" s="1" t="s">
        <v>1267</v>
      </c>
      <c r="F524" s="1" t="s">
        <v>1327</v>
      </c>
      <c r="G524" s="1"/>
      <c r="I524" s="4">
        <v>60</v>
      </c>
      <c r="J524" s="11">
        <v>1.05</v>
      </c>
      <c r="L524" s="12">
        <f t="shared" si="8"/>
        <v>2.1189299069938092E-2</v>
      </c>
      <c r="M524" s="11">
        <f>GraphListeria!$B$10-(Listeria!I524-GraphListeria!$B$6)/GraphListeria!$B$5</f>
        <v>0.35623347030397379</v>
      </c>
      <c r="N524" s="2" t="s">
        <v>1226</v>
      </c>
      <c r="O524">
        <v>1996</v>
      </c>
      <c r="P524" t="s">
        <v>62</v>
      </c>
      <c r="S524" s="10">
        <f>GraphListeria!$B$43*Listeria!I524+GraphListeria!$B$44</f>
        <v>0.38409169809355426</v>
      </c>
      <c r="U524" s="10">
        <f>GraphListeria!$H$43*Listeria!I524+GraphListeria!$H$44</f>
        <v>0.35623347030397312</v>
      </c>
    </row>
    <row r="525" spans="1:21" x14ac:dyDescent="0.2">
      <c r="A525" s="1" t="s">
        <v>1440</v>
      </c>
      <c r="B525" s="1" t="s">
        <v>1443</v>
      </c>
      <c r="C525" t="s">
        <v>57</v>
      </c>
      <c r="D525" s="1" t="s">
        <v>11</v>
      </c>
      <c r="E525" s="1" t="s">
        <v>1267</v>
      </c>
      <c r="F525" s="1" t="s">
        <v>1327</v>
      </c>
      <c r="G525" s="1"/>
      <c r="I525" s="4">
        <v>60</v>
      </c>
      <c r="J525" s="11">
        <v>1.36</v>
      </c>
      <c r="L525" s="12">
        <f t="shared" si="8"/>
        <v>0.13353890837021754</v>
      </c>
      <c r="M525" s="11">
        <f>GraphListeria!$B$10-(Listeria!I525-GraphListeria!$B$6)/GraphListeria!$B$5</f>
        <v>0.35623347030397379</v>
      </c>
      <c r="N525" s="2" t="s">
        <v>1226</v>
      </c>
      <c r="O525">
        <v>1996</v>
      </c>
      <c r="P525" t="s">
        <v>62</v>
      </c>
      <c r="S525" s="10">
        <f>GraphListeria!$B$43*Listeria!I525+GraphListeria!$B$44</f>
        <v>0.38409169809355426</v>
      </c>
      <c r="U525" s="10">
        <f>GraphListeria!$H$43*Listeria!I525+GraphListeria!$H$44</f>
        <v>0.35623347030397312</v>
      </c>
    </row>
    <row r="526" spans="1:21" x14ac:dyDescent="0.2">
      <c r="A526" s="1" t="s">
        <v>1440</v>
      </c>
      <c r="B526" s="1" t="s">
        <v>1443</v>
      </c>
      <c r="C526" t="s">
        <v>58</v>
      </c>
      <c r="D526" s="1" t="s">
        <v>11</v>
      </c>
      <c r="E526" s="1" t="s">
        <v>1267</v>
      </c>
      <c r="F526" s="1" t="s">
        <v>1327</v>
      </c>
      <c r="G526" s="1"/>
      <c r="I526" s="4">
        <v>60</v>
      </c>
      <c r="J526" s="11">
        <v>0.75</v>
      </c>
      <c r="L526" s="12">
        <f t="shared" si="8"/>
        <v>-0.12493873660829995</v>
      </c>
      <c r="M526" s="11">
        <f>GraphListeria!$B$10-(Listeria!I526-GraphListeria!$B$6)/GraphListeria!$B$5</f>
        <v>0.35623347030397379</v>
      </c>
      <c r="N526" s="2" t="s">
        <v>1226</v>
      </c>
      <c r="O526">
        <v>1996</v>
      </c>
      <c r="P526" t="s">
        <v>63</v>
      </c>
      <c r="S526" s="10">
        <f>GraphListeria!$B$43*Listeria!I526+GraphListeria!$B$44</f>
        <v>0.38409169809355426</v>
      </c>
      <c r="U526" s="10">
        <f>GraphListeria!$H$43*Listeria!I526+GraphListeria!$H$44</f>
        <v>0.35623347030397312</v>
      </c>
    </row>
    <row r="527" spans="1:21" x14ac:dyDescent="0.2">
      <c r="A527" s="1" t="s">
        <v>1440</v>
      </c>
      <c r="B527" s="1" t="s">
        <v>1443</v>
      </c>
      <c r="C527" t="s">
        <v>57</v>
      </c>
      <c r="D527" s="1" t="s">
        <v>11</v>
      </c>
      <c r="E527" s="1" t="s">
        <v>1267</v>
      </c>
      <c r="F527" s="1" t="s">
        <v>1327</v>
      </c>
      <c r="G527" s="1"/>
      <c r="I527" s="4">
        <v>60</v>
      </c>
      <c r="J527" s="11">
        <v>0.88</v>
      </c>
      <c r="L527" s="12">
        <f t="shared" si="8"/>
        <v>-5.551732784983137E-2</v>
      </c>
      <c r="M527" s="11">
        <f>GraphListeria!$B$10-(Listeria!I527-GraphListeria!$B$6)/GraphListeria!$B$5</f>
        <v>0.35623347030397379</v>
      </c>
      <c r="N527" s="2" t="s">
        <v>1226</v>
      </c>
      <c r="O527">
        <v>1996</v>
      </c>
      <c r="P527" t="s">
        <v>63</v>
      </c>
      <c r="S527" s="10">
        <f>GraphListeria!$B$43*Listeria!I527+GraphListeria!$B$44</f>
        <v>0.38409169809355426</v>
      </c>
      <c r="U527" s="10">
        <f>GraphListeria!$H$43*Listeria!I527+GraphListeria!$H$44</f>
        <v>0.35623347030397312</v>
      </c>
    </row>
    <row r="528" spans="1:21" x14ac:dyDescent="0.2">
      <c r="A528" s="1" t="s">
        <v>1440</v>
      </c>
      <c r="B528" s="1" t="s">
        <v>1443</v>
      </c>
      <c r="C528" t="s">
        <v>58</v>
      </c>
      <c r="D528" s="1" t="s">
        <v>11</v>
      </c>
      <c r="E528" s="1" t="s">
        <v>1267</v>
      </c>
      <c r="F528" s="1" t="s">
        <v>1327</v>
      </c>
      <c r="G528" s="1"/>
      <c r="I528" s="4">
        <v>65</v>
      </c>
      <c r="J528" s="11">
        <v>0.19</v>
      </c>
      <c r="L528" s="12">
        <f t="shared" si="8"/>
        <v>-0.72124639904717103</v>
      </c>
      <c r="M528" s="11">
        <f>GraphListeria!$B$10-(Listeria!I528-GraphListeria!$B$6)/GraphListeria!$B$5</f>
        <v>-0.35371780666523878</v>
      </c>
      <c r="N528" s="2" t="s">
        <v>1226</v>
      </c>
      <c r="O528">
        <v>1996</v>
      </c>
      <c r="P528" t="s">
        <v>59</v>
      </c>
      <c r="S528" s="10">
        <f>GraphListeria!$B$43*Listeria!I528+GraphListeria!$B$44</f>
        <v>-0.30628703691919412</v>
      </c>
      <c r="U528" s="10">
        <f>GraphListeria!$H$43*Listeria!I528+GraphListeria!$H$44</f>
        <v>-0.35371780666523911</v>
      </c>
    </row>
    <row r="529" spans="1:21" x14ac:dyDescent="0.2">
      <c r="A529" s="1" t="s">
        <v>1440</v>
      </c>
      <c r="B529" s="1" t="s">
        <v>1443</v>
      </c>
      <c r="C529" t="s">
        <v>57</v>
      </c>
      <c r="D529" s="1" t="s">
        <v>11</v>
      </c>
      <c r="E529" s="1" t="s">
        <v>1267</v>
      </c>
      <c r="F529" s="1" t="s">
        <v>1327</v>
      </c>
      <c r="G529" s="1"/>
      <c r="I529" s="4">
        <v>65</v>
      </c>
      <c r="J529" s="11">
        <v>0.48</v>
      </c>
      <c r="L529" s="12">
        <f t="shared" si="8"/>
        <v>-0.31875876262441277</v>
      </c>
      <c r="M529" s="11">
        <f>GraphListeria!$B$10-(Listeria!I529-GraphListeria!$B$6)/GraphListeria!$B$5</f>
        <v>-0.35371780666523878</v>
      </c>
      <c r="N529" s="2" t="s">
        <v>1226</v>
      </c>
      <c r="O529">
        <v>1996</v>
      </c>
      <c r="P529" t="s">
        <v>59</v>
      </c>
      <c r="S529" s="10">
        <f>GraphListeria!$B$43*Listeria!I529+GraphListeria!$B$44</f>
        <v>-0.30628703691919412</v>
      </c>
      <c r="U529" s="10">
        <f>GraphListeria!$H$43*Listeria!I529+GraphListeria!$H$44</f>
        <v>-0.35371780666523911</v>
      </c>
    </row>
    <row r="530" spans="1:21" x14ac:dyDescent="0.2">
      <c r="A530" s="1" t="s">
        <v>1440</v>
      </c>
      <c r="B530" s="1" t="s">
        <v>1443</v>
      </c>
      <c r="C530" t="s">
        <v>58</v>
      </c>
      <c r="D530" s="1" t="s">
        <v>11</v>
      </c>
      <c r="E530" s="1" t="s">
        <v>1267</v>
      </c>
      <c r="F530" s="1" t="s">
        <v>1327</v>
      </c>
      <c r="G530" s="1"/>
      <c r="I530" s="4">
        <v>65</v>
      </c>
      <c r="J530" s="11">
        <v>0.16</v>
      </c>
      <c r="L530" s="12">
        <f t="shared" si="8"/>
        <v>-0.79588001734407521</v>
      </c>
      <c r="M530" s="11">
        <f>GraphListeria!$B$10-(Listeria!I530-GraphListeria!$B$6)/GraphListeria!$B$5</f>
        <v>-0.35371780666523878</v>
      </c>
      <c r="N530" s="2" t="s">
        <v>1226</v>
      </c>
      <c r="O530">
        <v>1996</v>
      </c>
      <c r="P530" t="s">
        <v>60</v>
      </c>
      <c r="S530" s="10">
        <f>GraphListeria!$B$43*Listeria!I530+GraphListeria!$B$44</f>
        <v>-0.30628703691919412</v>
      </c>
      <c r="U530" s="10">
        <f>GraphListeria!$H$43*Listeria!I530+GraphListeria!$H$44</f>
        <v>-0.35371780666523911</v>
      </c>
    </row>
    <row r="531" spans="1:21" x14ac:dyDescent="0.2">
      <c r="A531" s="1" t="s">
        <v>1440</v>
      </c>
      <c r="B531" s="1" t="s">
        <v>1443</v>
      </c>
      <c r="C531" t="s">
        <v>57</v>
      </c>
      <c r="D531" s="1" t="s">
        <v>11</v>
      </c>
      <c r="E531" s="1" t="s">
        <v>1267</v>
      </c>
      <c r="F531" s="1" t="s">
        <v>1327</v>
      </c>
      <c r="G531" s="1"/>
      <c r="I531" s="4">
        <v>65</v>
      </c>
      <c r="J531" s="11">
        <v>0.22</v>
      </c>
      <c r="L531" s="12">
        <f t="shared" si="8"/>
        <v>-0.65757731917779372</v>
      </c>
      <c r="M531" s="11">
        <f>GraphListeria!$B$10-(Listeria!I531-GraphListeria!$B$6)/GraphListeria!$B$5</f>
        <v>-0.35371780666523878</v>
      </c>
      <c r="N531" s="2" t="s">
        <v>1226</v>
      </c>
      <c r="O531">
        <v>1996</v>
      </c>
      <c r="P531" t="s">
        <v>60</v>
      </c>
      <c r="S531" s="10">
        <f>GraphListeria!$B$43*Listeria!I531+GraphListeria!$B$44</f>
        <v>-0.30628703691919412</v>
      </c>
      <c r="U531" s="10">
        <f>GraphListeria!$H$43*Listeria!I531+GraphListeria!$H$44</f>
        <v>-0.35371780666523911</v>
      </c>
    </row>
    <row r="532" spans="1:21" x14ac:dyDescent="0.2">
      <c r="A532" s="1" t="s">
        <v>1440</v>
      </c>
      <c r="B532" s="1" t="s">
        <v>1443</v>
      </c>
      <c r="C532" t="s">
        <v>58</v>
      </c>
      <c r="D532" s="1" t="s">
        <v>11</v>
      </c>
      <c r="E532" s="1" t="s">
        <v>1267</v>
      </c>
      <c r="F532" s="1" t="s">
        <v>1327</v>
      </c>
      <c r="G532" s="1"/>
      <c r="I532" s="4">
        <v>65</v>
      </c>
      <c r="J532" s="11">
        <v>3.1E-2</v>
      </c>
      <c r="L532" s="12">
        <f t="shared" si="8"/>
        <v>-1.5086383061657274</v>
      </c>
      <c r="M532" s="11">
        <f>GraphListeria!$B$10-(Listeria!I532-GraphListeria!$B$6)/GraphListeria!$B$5</f>
        <v>-0.35371780666523878</v>
      </c>
      <c r="N532" s="2" t="s">
        <v>1226</v>
      </c>
      <c r="O532">
        <v>1996</v>
      </c>
      <c r="P532" t="s">
        <v>61</v>
      </c>
      <c r="S532" s="10">
        <f>GraphListeria!$B$43*Listeria!I532+GraphListeria!$B$44</f>
        <v>-0.30628703691919412</v>
      </c>
      <c r="U532" s="10">
        <f>GraphListeria!$H$43*Listeria!I532+GraphListeria!$H$44</f>
        <v>-0.35371780666523911</v>
      </c>
    </row>
    <row r="533" spans="1:21" x14ac:dyDescent="0.2">
      <c r="A533" s="1" t="s">
        <v>1440</v>
      </c>
      <c r="B533" s="1" t="s">
        <v>1443</v>
      </c>
      <c r="C533" t="s">
        <v>57</v>
      </c>
      <c r="D533" s="1" t="s">
        <v>11</v>
      </c>
      <c r="E533" s="1" t="s">
        <v>1267</v>
      </c>
      <c r="F533" s="1" t="s">
        <v>1327</v>
      </c>
      <c r="G533" s="1"/>
      <c r="I533" s="4">
        <v>65</v>
      </c>
      <c r="J533" s="11">
        <v>7.0000000000000007E-2</v>
      </c>
      <c r="L533" s="12">
        <f t="shared" si="8"/>
        <v>-1.1549019599857431</v>
      </c>
      <c r="M533" s="11">
        <f>GraphListeria!$B$10-(Listeria!I533-GraphListeria!$B$6)/GraphListeria!$B$5</f>
        <v>-0.35371780666523878</v>
      </c>
      <c r="N533" s="2" t="s">
        <v>1226</v>
      </c>
      <c r="O533">
        <v>1996</v>
      </c>
      <c r="P533" t="s">
        <v>61</v>
      </c>
      <c r="S533" s="10">
        <f>GraphListeria!$B$43*Listeria!I533+GraphListeria!$B$44</f>
        <v>-0.30628703691919412</v>
      </c>
      <c r="U533" s="10">
        <f>GraphListeria!$H$43*Listeria!I533+GraphListeria!$H$44</f>
        <v>-0.35371780666523911</v>
      </c>
    </row>
    <row r="534" spans="1:21" x14ac:dyDescent="0.2">
      <c r="A534" s="1" t="s">
        <v>1440</v>
      </c>
      <c r="B534" s="1" t="s">
        <v>1443</v>
      </c>
      <c r="C534" t="s">
        <v>58</v>
      </c>
      <c r="D534" s="1" t="s">
        <v>11</v>
      </c>
      <c r="E534" s="1" t="s">
        <v>1267</v>
      </c>
      <c r="F534" s="1" t="s">
        <v>1327</v>
      </c>
      <c r="G534" s="1"/>
      <c r="I534" s="4">
        <v>65</v>
      </c>
      <c r="J534" s="11">
        <v>1.0999999999999999E-2</v>
      </c>
      <c r="L534" s="12">
        <f t="shared" si="8"/>
        <v>-1.9586073148417751</v>
      </c>
      <c r="M534" s="11">
        <f>GraphListeria!$B$10-(Listeria!I534-GraphListeria!$B$6)/GraphListeria!$B$5</f>
        <v>-0.35371780666523878</v>
      </c>
      <c r="N534" s="2" t="s">
        <v>1226</v>
      </c>
      <c r="O534">
        <v>1996</v>
      </c>
      <c r="P534" t="s">
        <v>62</v>
      </c>
      <c r="S534" s="10">
        <f>GraphListeria!$B$43*Listeria!I534+GraphListeria!$B$44</f>
        <v>-0.30628703691919412</v>
      </c>
      <c r="U534" s="10">
        <f>GraphListeria!$H$43*Listeria!I534+GraphListeria!$H$44</f>
        <v>-0.35371780666523911</v>
      </c>
    </row>
    <row r="535" spans="1:21" x14ac:dyDescent="0.2">
      <c r="A535" s="1" t="s">
        <v>1440</v>
      </c>
      <c r="B535" s="1" t="s">
        <v>1443</v>
      </c>
      <c r="C535" t="s">
        <v>57</v>
      </c>
      <c r="D535" s="1" t="s">
        <v>11</v>
      </c>
      <c r="E535" s="1" t="s">
        <v>1267</v>
      </c>
      <c r="F535" s="1" t="s">
        <v>1327</v>
      </c>
      <c r="G535" s="1"/>
      <c r="I535" s="4">
        <v>65</v>
      </c>
      <c r="J535" s="11">
        <v>2.9000000000000001E-2</v>
      </c>
      <c r="L535" s="12">
        <f t="shared" si="8"/>
        <v>-1.5376020021010439</v>
      </c>
      <c r="M535" s="11">
        <f>GraphListeria!$B$10-(Listeria!I535-GraphListeria!$B$6)/GraphListeria!$B$5</f>
        <v>-0.35371780666523878</v>
      </c>
      <c r="N535" s="2" t="s">
        <v>1226</v>
      </c>
      <c r="O535">
        <v>1996</v>
      </c>
      <c r="P535" t="s">
        <v>62</v>
      </c>
      <c r="S535" s="10">
        <f>GraphListeria!$B$43*Listeria!I535+GraphListeria!$B$44</f>
        <v>-0.30628703691919412</v>
      </c>
      <c r="U535" s="10">
        <f>GraphListeria!$H$43*Listeria!I535+GraphListeria!$H$44</f>
        <v>-0.35371780666523911</v>
      </c>
    </row>
    <row r="536" spans="1:21" x14ac:dyDescent="0.2">
      <c r="A536" s="1" t="s">
        <v>1440</v>
      </c>
      <c r="B536" s="1" t="s">
        <v>1443</v>
      </c>
      <c r="C536" t="s">
        <v>58</v>
      </c>
      <c r="D536" s="1" t="s">
        <v>11</v>
      </c>
      <c r="E536" s="1" t="s">
        <v>1267</v>
      </c>
      <c r="F536" s="1" t="s">
        <v>1327</v>
      </c>
      <c r="G536" s="1"/>
      <c r="I536" s="4">
        <v>65</v>
      </c>
      <c r="J536" s="11">
        <v>7.0000000000000001E-3</v>
      </c>
      <c r="L536" s="12">
        <f t="shared" si="8"/>
        <v>-2.1549019599857431</v>
      </c>
      <c r="M536" s="11">
        <f>GraphListeria!$B$10-(Listeria!I536-GraphListeria!$B$6)/GraphListeria!$B$5</f>
        <v>-0.35371780666523878</v>
      </c>
      <c r="N536" s="2" t="s">
        <v>1226</v>
      </c>
      <c r="O536">
        <v>1996</v>
      </c>
      <c r="P536" t="s">
        <v>63</v>
      </c>
      <c r="S536" s="10">
        <f>GraphListeria!$B$43*Listeria!I536+GraphListeria!$B$44</f>
        <v>-0.30628703691919412</v>
      </c>
      <c r="U536" s="10">
        <f>GraphListeria!$H$43*Listeria!I536+GraphListeria!$H$44</f>
        <v>-0.35371780666523911</v>
      </c>
    </row>
    <row r="537" spans="1:21" x14ac:dyDescent="0.2">
      <c r="A537" s="1" t="s">
        <v>1440</v>
      </c>
      <c r="B537" s="1" t="s">
        <v>1443</v>
      </c>
      <c r="C537" t="s">
        <v>57</v>
      </c>
      <c r="D537" s="1" t="s">
        <v>11</v>
      </c>
      <c r="E537" s="1" t="s">
        <v>1267</v>
      </c>
      <c r="F537" s="1" t="s">
        <v>1327</v>
      </c>
      <c r="G537" s="1"/>
      <c r="I537" s="4">
        <v>65</v>
      </c>
      <c r="J537" s="11">
        <v>1.4E-2</v>
      </c>
      <c r="L537" s="12">
        <f t="shared" si="8"/>
        <v>-1.853871964321762</v>
      </c>
      <c r="M537" s="11">
        <f>GraphListeria!$B$10-(Listeria!I537-GraphListeria!$B$6)/GraphListeria!$B$5</f>
        <v>-0.35371780666523878</v>
      </c>
      <c r="N537" s="2" t="s">
        <v>1226</v>
      </c>
      <c r="O537">
        <v>1996</v>
      </c>
      <c r="P537" t="s">
        <v>63</v>
      </c>
      <c r="S537" s="10">
        <f>GraphListeria!$B$43*Listeria!I537+GraphListeria!$B$44</f>
        <v>-0.30628703691919412</v>
      </c>
      <c r="U537" s="10">
        <f>GraphListeria!$H$43*Listeria!I537+GraphListeria!$H$44</f>
        <v>-0.35371780666523911</v>
      </c>
    </row>
    <row r="538" spans="1:21" x14ac:dyDescent="0.2">
      <c r="A538" s="1" t="s">
        <v>1440</v>
      </c>
      <c r="B538" s="1" t="s">
        <v>1443</v>
      </c>
      <c r="D538" s="1" t="s">
        <v>11</v>
      </c>
      <c r="E538" s="1" t="s">
        <v>1267</v>
      </c>
      <c r="F538" s="1" t="s">
        <v>14</v>
      </c>
      <c r="G538" s="1"/>
      <c r="I538" s="4">
        <v>60</v>
      </c>
      <c r="J538" s="11">
        <v>5.0199999999999996</v>
      </c>
      <c r="L538" s="12">
        <f t="shared" si="8"/>
        <v>0.70070371714501933</v>
      </c>
      <c r="M538" s="11">
        <f>GraphListeria!$B$10-(Listeria!I538-GraphListeria!$B$6)/GraphListeria!$B$5</f>
        <v>0.35623347030397379</v>
      </c>
      <c r="N538" s="2" t="s">
        <v>1226</v>
      </c>
      <c r="O538">
        <v>1996</v>
      </c>
      <c r="S538" s="10">
        <f>GraphListeria!$B$43*Listeria!I538+GraphListeria!$B$44</f>
        <v>0.38409169809355426</v>
      </c>
      <c r="U538" s="10">
        <f>GraphListeria!$H$43*Listeria!I538+GraphListeria!$H$44</f>
        <v>0.35623347030397312</v>
      </c>
    </row>
    <row r="539" spans="1:21" x14ac:dyDescent="0.2">
      <c r="A539" s="1" t="s">
        <v>1440</v>
      </c>
      <c r="B539" s="1" t="s">
        <v>1443</v>
      </c>
      <c r="D539" s="1" t="s">
        <v>11</v>
      </c>
      <c r="E539" s="1" t="s">
        <v>1267</v>
      </c>
      <c r="F539" s="1" t="s">
        <v>14</v>
      </c>
      <c r="G539" s="1"/>
      <c r="I539" s="4">
        <v>60</v>
      </c>
      <c r="J539" s="11">
        <v>5.29</v>
      </c>
      <c r="L539" s="12">
        <f t="shared" si="8"/>
        <v>0.72345567203518579</v>
      </c>
      <c r="M539" s="11">
        <f>GraphListeria!$B$10-(Listeria!I539-GraphListeria!$B$6)/GraphListeria!$B$5</f>
        <v>0.35623347030397379</v>
      </c>
      <c r="N539" s="2" t="s">
        <v>1226</v>
      </c>
      <c r="O539">
        <v>1996</v>
      </c>
      <c r="S539" s="10">
        <f>GraphListeria!$B$43*Listeria!I539+GraphListeria!$B$44</f>
        <v>0.38409169809355426</v>
      </c>
      <c r="U539" s="10">
        <f>GraphListeria!$H$43*Listeria!I539+GraphListeria!$H$44</f>
        <v>0.35623347030397312</v>
      </c>
    </row>
    <row r="540" spans="1:21" x14ac:dyDescent="0.2">
      <c r="A540" s="1" t="s">
        <v>1440</v>
      </c>
      <c r="B540" s="1" t="s">
        <v>1443</v>
      </c>
      <c r="D540" s="1" t="s">
        <v>11</v>
      </c>
      <c r="E540" s="1" t="s">
        <v>1267</v>
      </c>
      <c r="F540" s="1" t="s">
        <v>14</v>
      </c>
      <c r="G540" s="1"/>
      <c r="I540" s="4">
        <v>62</v>
      </c>
      <c r="J540" s="11">
        <v>2.21</v>
      </c>
      <c r="L540" s="12">
        <f t="shared" si="8"/>
        <v>0.34439227368511072</v>
      </c>
      <c r="M540" s="11">
        <f>GraphListeria!$B$10-(Listeria!I540-GraphListeria!$B$6)/GraphListeria!$B$5</f>
        <v>7.2252959516288628E-2</v>
      </c>
      <c r="N540" s="2" t="s">
        <v>1226</v>
      </c>
      <c r="O540">
        <v>1996</v>
      </c>
      <c r="S540" s="10">
        <f>GraphListeria!$B$43*Listeria!I540+GraphListeria!$B$44</f>
        <v>0.10794020408845384</v>
      </c>
      <c r="U540" s="10">
        <f>GraphListeria!$H$43*Listeria!I540+GraphListeria!$H$44</f>
        <v>7.2252959516289295E-2</v>
      </c>
    </row>
    <row r="541" spans="1:21" x14ac:dyDescent="0.2">
      <c r="A541" s="1" t="s">
        <v>1440</v>
      </c>
      <c r="B541" s="1" t="s">
        <v>1443</v>
      </c>
      <c r="D541" s="1" t="s">
        <v>11</v>
      </c>
      <c r="E541" s="1" t="s">
        <v>1267</v>
      </c>
      <c r="F541" s="1" t="s">
        <v>14</v>
      </c>
      <c r="G541" s="1"/>
      <c r="I541" s="4">
        <v>62</v>
      </c>
      <c r="J541" s="11">
        <v>2.5099999999999998</v>
      </c>
      <c r="L541" s="12">
        <f t="shared" si="8"/>
        <v>0.39967372148103808</v>
      </c>
      <c r="M541" s="11">
        <f>GraphListeria!$B$10-(Listeria!I541-GraphListeria!$B$6)/GraphListeria!$B$5</f>
        <v>7.2252959516288628E-2</v>
      </c>
      <c r="N541" s="2" t="s">
        <v>1226</v>
      </c>
      <c r="O541">
        <v>1996</v>
      </c>
      <c r="S541" s="10">
        <f>GraphListeria!$B$43*Listeria!I541+GraphListeria!$B$44</f>
        <v>0.10794020408845384</v>
      </c>
      <c r="U541" s="10">
        <f>GraphListeria!$H$43*Listeria!I541+GraphListeria!$H$44</f>
        <v>7.2252959516289295E-2</v>
      </c>
    </row>
    <row r="542" spans="1:21" x14ac:dyDescent="0.2">
      <c r="A542" s="1" t="s">
        <v>1440</v>
      </c>
      <c r="B542" s="1" t="s">
        <v>1443</v>
      </c>
      <c r="D542" s="1" t="s">
        <v>11</v>
      </c>
      <c r="E542" s="1" t="s">
        <v>1267</v>
      </c>
      <c r="F542" s="1" t="s">
        <v>14</v>
      </c>
      <c r="G542" s="1"/>
      <c r="I542" s="4">
        <v>64</v>
      </c>
      <c r="J542" s="11">
        <v>1.56</v>
      </c>
      <c r="L542" s="12">
        <f t="shared" si="8"/>
        <v>0.19312459835446161</v>
      </c>
      <c r="M542" s="11">
        <f>GraphListeria!$B$10-(Listeria!I542-GraphListeria!$B$6)/GraphListeria!$B$5</f>
        <v>-0.21172755127139631</v>
      </c>
      <c r="N542" s="2" t="s">
        <v>1226</v>
      </c>
      <c r="O542">
        <v>1996</v>
      </c>
      <c r="S542" s="10">
        <f>GraphListeria!$B$43*Listeria!I542+GraphListeria!$B$44</f>
        <v>-0.1682112899166448</v>
      </c>
      <c r="U542" s="10">
        <f>GraphListeria!$H$43*Listeria!I542+GraphListeria!$H$44</f>
        <v>-0.21172755127139631</v>
      </c>
    </row>
    <row r="543" spans="1:21" x14ac:dyDescent="0.2">
      <c r="A543" s="1" t="s">
        <v>1440</v>
      </c>
      <c r="B543" s="1" t="s">
        <v>1443</v>
      </c>
      <c r="D543" s="1" t="s">
        <v>11</v>
      </c>
      <c r="E543" s="1" t="s">
        <v>1267</v>
      </c>
      <c r="F543" s="1" t="s">
        <v>14</v>
      </c>
      <c r="G543" s="1"/>
      <c r="I543" s="4">
        <v>64</v>
      </c>
      <c r="J543" s="11">
        <v>1.84</v>
      </c>
      <c r="L543" s="12">
        <f t="shared" si="8"/>
        <v>0.26481782300953649</v>
      </c>
      <c r="M543" s="11">
        <f>GraphListeria!$B$10-(Listeria!I543-GraphListeria!$B$6)/GraphListeria!$B$5</f>
        <v>-0.21172755127139631</v>
      </c>
      <c r="N543" s="2" t="s">
        <v>1226</v>
      </c>
      <c r="O543">
        <v>1996</v>
      </c>
      <c r="S543" s="10">
        <f>GraphListeria!$B$43*Listeria!I543+GraphListeria!$B$44</f>
        <v>-0.1682112899166448</v>
      </c>
      <c r="U543" s="10">
        <f>GraphListeria!$H$43*Listeria!I543+GraphListeria!$H$44</f>
        <v>-0.21172755127139631</v>
      </c>
    </row>
    <row r="544" spans="1:21" x14ac:dyDescent="0.2">
      <c r="A544" s="1" t="s">
        <v>1440</v>
      </c>
      <c r="B544" s="1" t="s">
        <v>1443</v>
      </c>
      <c r="D544" s="1" t="s">
        <v>11</v>
      </c>
      <c r="E544" s="1" t="s">
        <v>1267</v>
      </c>
      <c r="F544" s="1" t="s">
        <v>14</v>
      </c>
      <c r="G544" s="1"/>
      <c r="I544" s="4">
        <v>66</v>
      </c>
      <c r="J544" s="11">
        <v>0.68</v>
      </c>
      <c r="L544" s="12">
        <f t="shared" si="8"/>
        <v>-0.16749108729376366</v>
      </c>
      <c r="M544" s="11">
        <f>GraphListeria!$B$10-(Listeria!I544-GraphListeria!$B$6)/GraphListeria!$B$5</f>
        <v>-0.49570806205908136</v>
      </c>
      <c r="N544" s="2" t="s">
        <v>1226</v>
      </c>
      <c r="O544">
        <v>1996</v>
      </c>
      <c r="S544" s="10">
        <f>GraphListeria!$B$43*Listeria!I544+GraphListeria!$B$44</f>
        <v>-0.44436278392174344</v>
      </c>
      <c r="U544" s="10">
        <f>GraphListeria!$H$43*Listeria!I544+GraphListeria!$H$44</f>
        <v>-0.49570806205908191</v>
      </c>
    </row>
    <row r="545" spans="1:21" x14ac:dyDescent="0.2">
      <c r="A545" s="1" t="s">
        <v>1440</v>
      </c>
      <c r="B545" s="1" t="s">
        <v>1443</v>
      </c>
      <c r="D545" s="1" t="s">
        <v>11</v>
      </c>
      <c r="E545" s="1" t="s">
        <v>1267</v>
      </c>
      <c r="F545" s="1" t="s">
        <v>14</v>
      </c>
      <c r="G545" s="1"/>
      <c r="I545" s="4">
        <v>66</v>
      </c>
      <c r="J545" s="11">
        <v>0.95</v>
      </c>
      <c r="L545" s="12">
        <f t="shared" si="8"/>
        <v>-2.2276394711152253E-2</v>
      </c>
      <c r="M545" s="11">
        <f>GraphListeria!$B$10-(Listeria!I545-GraphListeria!$B$6)/GraphListeria!$B$5</f>
        <v>-0.49570806205908136</v>
      </c>
      <c r="N545" s="2" t="s">
        <v>1226</v>
      </c>
      <c r="O545">
        <v>1996</v>
      </c>
      <c r="S545" s="10">
        <f>GraphListeria!$B$43*Listeria!I545+GraphListeria!$B$44</f>
        <v>-0.44436278392174344</v>
      </c>
      <c r="U545" s="10">
        <f>GraphListeria!$H$43*Listeria!I545+GraphListeria!$H$44</f>
        <v>-0.49570806205908191</v>
      </c>
    </row>
    <row r="546" spans="1:21" x14ac:dyDescent="0.2">
      <c r="A546" s="1" t="s">
        <v>1440</v>
      </c>
      <c r="B546" s="1" t="s">
        <v>1443</v>
      </c>
      <c r="D546" s="1" t="s">
        <v>11</v>
      </c>
      <c r="E546" s="1" t="s">
        <v>1267</v>
      </c>
      <c r="F546" s="1" t="s">
        <v>14</v>
      </c>
      <c r="G546" s="1"/>
      <c r="I546" s="4">
        <v>68</v>
      </c>
      <c r="J546" s="11">
        <v>0.38</v>
      </c>
      <c r="L546" s="12">
        <f t="shared" si="8"/>
        <v>-0.42021640338318983</v>
      </c>
      <c r="M546" s="11">
        <f>GraphListeria!$B$10-(Listeria!I546-GraphListeria!$B$6)/GraphListeria!$B$5</f>
        <v>-0.7796885728467664</v>
      </c>
      <c r="N546" s="2" t="s">
        <v>1226</v>
      </c>
      <c r="O546">
        <v>1996</v>
      </c>
      <c r="S546" s="10">
        <f>GraphListeria!$B$43*Listeria!I546+GraphListeria!$B$44</f>
        <v>-0.72051427792684386</v>
      </c>
      <c r="U546" s="10">
        <f>GraphListeria!$H$43*Listeria!I546+GraphListeria!$H$44</f>
        <v>-0.77968857284676574</v>
      </c>
    </row>
    <row r="547" spans="1:21" x14ac:dyDescent="0.2">
      <c r="A547" s="1" t="s">
        <v>1440</v>
      </c>
      <c r="B547" s="1" t="s">
        <v>1443</v>
      </c>
      <c r="D547" s="1" t="s">
        <v>11</v>
      </c>
      <c r="E547" s="1" t="s">
        <v>1267</v>
      </c>
      <c r="F547" s="1" t="s">
        <v>14</v>
      </c>
      <c r="G547" s="1"/>
      <c r="I547" s="4">
        <v>68</v>
      </c>
      <c r="J547" s="11">
        <v>0.41</v>
      </c>
      <c r="L547" s="12">
        <f t="shared" si="8"/>
        <v>-0.38721614328026455</v>
      </c>
      <c r="M547" s="11">
        <f>GraphListeria!$B$10-(Listeria!I547-GraphListeria!$B$6)/GraphListeria!$B$5</f>
        <v>-0.7796885728467664</v>
      </c>
      <c r="N547" s="2" t="s">
        <v>1226</v>
      </c>
      <c r="O547">
        <v>1996</v>
      </c>
      <c r="S547" s="10">
        <f>GraphListeria!$B$43*Listeria!I547+GraphListeria!$B$44</f>
        <v>-0.72051427792684386</v>
      </c>
      <c r="U547" s="10">
        <f>GraphListeria!$H$43*Listeria!I547+GraphListeria!$H$44</f>
        <v>-0.77968857284676574</v>
      </c>
    </row>
    <row r="548" spans="1:21" x14ac:dyDescent="0.2">
      <c r="A548" s="1" t="s">
        <v>1440</v>
      </c>
      <c r="B548" s="1" t="s">
        <v>1443</v>
      </c>
      <c r="D548" s="1" t="s">
        <v>11</v>
      </c>
      <c r="E548" s="1" t="s">
        <v>1267</v>
      </c>
      <c r="F548" s="1" t="s">
        <v>14</v>
      </c>
      <c r="G548" s="1"/>
      <c r="I548" s="4">
        <v>70</v>
      </c>
      <c r="J548" s="11">
        <v>0.16</v>
      </c>
      <c r="L548" s="12">
        <f t="shared" si="8"/>
        <v>-0.79588001734407521</v>
      </c>
      <c r="M548" s="11">
        <f>GraphListeria!$B$10-(Listeria!I548-GraphListeria!$B$6)/GraphListeria!$B$5</f>
        <v>-1.0636690836344513</v>
      </c>
      <c r="N548" s="2" t="s">
        <v>1226</v>
      </c>
      <c r="O548">
        <v>1996</v>
      </c>
      <c r="S548" s="10">
        <f>GraphListeria!$B$43*Listeria!I548+GraphListeria!$B$44</f>
        <v>-0.9966657719319425</v>
      </c>
      <c r="U548" s="10">
        <f>GraphListeria!$H$43*Listeria!I548+GraphListeria!$H$44</f>
        <v>-1.0636690836344513</v>
      </c>
    </row>
    <row r="549" spans="1:21" x14ac:dyDescent="0.2">
      <c r="A549" s="1" t="s">
        <v>1440</v>
      </c>
      <c r="B549" s="1" t="s">
        <v>1443</v>
      </c>
      <c r="D549" s="1" t="s">
        <v>11</v>
      </c>
      <c r="E549" s="1" t="s">
        <v>1267</v>
      </c>
      <c r="F549" s="1" t="s">
        <v>14</v>
      </c>
      <c r="G549" s="1"/>
      <c r="I549" s="4">
        <v>70</v>
      </c>
      <c r="J549" s="11">
        <v>0.2</v>
      </c>
      <c r="L549" s="12">
        <f t="shared" si="8"/>
        <v>-0.69897000433601875</v>
      </c>
      <c r="M549" s="11">
        <f>GraphListeria!$B$10-(Listeria!I549-GraphListeria!$B$6)/GraphListeria!$B$5</f>
        <v>-1.0636690836344513</v>
      </c>
      <c r="N549" s="2" t="s">
        <v>1226</v>
      </c>
      <c r="O549">
        <v>1996</v>
      </c>
      <c r="S549" s="10">
        <f>GraphListeria!$B$43*Listeria!I549+GraphListeria!$B$44</f>
        <v>-0.9966657719319425</v>
      </c>
      <c r="U549" s="10">
        <f>GraphListeria!$H$43*Listeria!I549+GraphListeria!$H$44</f>
        <v>-1.0636690836344513</v>
      </c>
    </row>
    <row r="550" spans="1:21" x14ac:dyDescent="0.2">
      <c r="A550" s="1" t="s">
        <v>1440</v>
      </c>
      <c r="B550" s="1" t="s">
        <v>1443</v>
      </c>
      <c r="C550" s="1"/>
      <c r="D550" s="1" t="s">
        <v>11</v>
      </c>
      <c r="E550" s="1" t="s">
        <v>1267</v>
      </c>
      <c r="F550" s="1" t="s">
        <v>1445</v>
      </c>
      <c r="G550" s="1"/>
      <c r="H550" s="5">
        <v>6.55</v>
      </c>
      <c r="I550" s="5">
        <v>50</v>
      </c>
      <c r="J550" s="9">
        <v>179</v>
      </c>
      <c r="K550" s="7"/>
      <c r="L550" s="12">
        <f t="shared" ref="L550:L613" si="9">LOG(J550)</f>
        <v>2.2528530309798933</v>
      </c>
      <c r="M550" s="11">
        <f>GraphListeria!$B$10-(Listeria!I550-GraphListeria!$B$6)/GraphListeria!$B$5</f>
        <v>1.7761360242423989</v>
      </c>
      <c r="N550" s="2" t="s">
        <v>1226</v>
      </c>
      <c r="O550">
        <v>1996</v>
      </c>
      <c r="S550" s="10">
        <f>GraphListeria!$B$43*Listeria!I550+GraphListeria!$B$44</f>
        <v>1.7648491681190492</v>
      </c>
      <c r="U550" s="10">
        <f>GraphListeria!$H$43*Listeria!I550+GraphListeria!$H$44</f>
        <v>1.7761360242423985</v>
      </c>
    </row>
    <row r="551" spans="1:21" x14ac:dyDescent="0.2">
      <c r="A551" s="1" t="s">
        <v>1440</v>
      </c>
      <c r="B551" s="1" t="s">
        <v>1443</v>
      </c>
      <c r="D551" s="1" t="s">
        <v>11</v>
      </c>
      <c r="E551" t="s">
        <v>1267</v>
      </c>
      <c r="F551" t="s">
        <v>1445</v>
      </c>
      <c r="H551" s="4">
        <v>6.55</v>
      </c>
      <c r="I551" s="4">
        <v>55</v>
      </c>
      <c r="J551" s="11">
        <v>14</v>
      </c>
      <c r="L551" s="12">
        <f t="shared" si="9"/>
        <v>1.146128035678238</v>
      </c>
      <c r="M551" s="11">
        <f>GraphListeria!$B$10-(Listeria!I551-GraphListeria!$B$6)/GraphListeria!$B$5</f>
        <v>1.0661847472731862</v>
      </c>
      <c r="N551" s="2" t="s">
        <v>1226</v>
      </c>
      <c r="O551">
        <v>1996</v>
      </c>
      <c r="S551" s="10">
        <f>GraphListeria!$B$43*Listeria!I551+GraphListeria!$B$44</f>
        <v>1.0744704331063017</v>
      </c>
      <c r="U551" s="10">
        <f>GraphListeria!$H$43*Listeria!I551+GraphListeria!$H$44</f>
        <v>1.0661847472731862</v>
      </c>
    </row>
    <row r="552" spans="1:21" x14ac:dyDescent="0.2">
      <c r="A552" s="1" t="s">
        <v>1440</v>
      </c>
      <c r="B552" s="1" t="s">
        <v>1443</v>
      </c>
      <c r="D552" s="1" t="s">
        <v>11</v>
      </c>
      <c r="E552" s="1" t="s">
        <v>1267</v>
      </c>
      <c r="F552" s="1" t="s">
        <v>1445</v>
      </c>
      <c r="G552" s="1"/>
      <c r="H552" s="4">
        <v>6.55</v>
      </c>
      <c r="I552" s="4">
        <v>60</v>
      </c>
      <c r="J552" s="11">
        <v>5.6</v>
      </c>
      <c r="L552" s="12">
        <f t="shared" si="9"/>
        <v>0.74818802700620035</v>
      </c>
      <c r="M552" s="11">
        <f>GraphListeria!$B$10-(Listeria!I552-GraphListeria!$B$6)/GraphListeria!$B$5</f>
        <v>0.35623347030397379</v>
      </c>
      <c r="N552" s="2" t="s">
        <v>1226</v>
      </c>
      <c r="O552">
        <v>1996</v>
      </c>
      <c r="S552" s="10">
        <f>GraphListeria!$B$43*Listeria!I552+GraphListeria!$B$44</f>
        <v>0.38409169809355426</v>
      </c>
      <c r="U552" s="10">
        <f>GraphListeria!$H$43*Listeria!I552+GraphListeria!$H$44</f>
        <v>0.35623347030397312</v>
      </c>
    </row>
    <row r="553" spans="1:21" x14ac:dyDescent="0.2">
      <c r="A553" s="1" t="s">
        <v>1440</v>
      </c>
      <c r="B553" s="1" t="s">
        <v>1443</v>
      </c>
      <c r="D553" s="1" t="s">
        <v>11</v>
      </c>
      <c r="E553" s="1" t="s">
        <v>1267</v>
      </c>
      <c r="F553" s="1" t="s">
        <v>1445</v>
      </c>
      <c r="G553" s="1"/>
      <c r="H553" s="4">
        <v>6.55</v>
      </c>
      <c r="I553" s="4">
        <v>65</v>
      </c>
      <c r="J553" s="11">
        <v>0.53</v>
      </c>
      <c r="L553" s="12">
        <f t="shared" si="9"/>
        <v>-0.27572413039921095</v>
      </c>
      <c r="M553" s="11">
        <f>GraphListeria!$B$10-(Listeria!I553-GraphListeria!$B$6)/GraphListeria!$B$5</f>
        <v>-0.35371780666523878</v>
      </c>
      <c r="N553" s="2" t="s">
        <v>1226</v>
      </c>
      <c r="O553">
        <v>1996</v>
      </c>
      <c r="S553" s="10">
        <f>GraphListeria!$B$43*Listeria!I553+GraphListeria!$B$44</f>
        <v>-0.30628703691919412</v>
      </c>
      <c r="U553" s="10">
        <f>GraphListeria!$H$43*Listeria!I553+GraphListeria!$H$44</f>
        <v>-0.35371780666523911</v>
      </c>
    </row>
    <row r="554" spans="1:21" x14ac:dyDescent="0.2">
      <c r="A554" s="1" t="s">
        <v>1440</v>
      </c>
      <c r="B554" s="1" t="s">
        <v>1443</v>
      </c>
      <c r="D554" s="1" t="s">
        <v>11</v>
      </c>
      <c r="E554" s="1" t="s">
        <v>1267</v>
      </c>
      <c r="F554" t="s">
        <v>1445</v>
      </c>
      <c r="H554" s="4">
        <v>6.55</v>
      </c>
      <c r="I554" s="4">
        <v>70</v>
      </c>
      <c r="J554" s="11">
        <v>0.11</v>
      </c>
      <c r="L554" s="12">
        <f t="shared" si="9"/>
        <v>-0.95860731484177497</v>
      </c>
      <c r="M554" s="11">
        <f>GraphListeria!$B$10-(Listeria!I554-GraphListeria!$B$6)/GraphListeria!$B$5</f>
        <v>-1.0636690836344513</v>
      </c>
      <c r="N554" s="2" t="s">
        <v>1226</v>
      </c>
      <c r="O554">
        <v>1996</v>
      </c>
      <c r="S554" s="10">
        <f>GraphListeria!$B$43*Listeria!I554+GraphListeria!$B$44</f>
        <v>-0.9966657719319425</v>
      </c>
      <c r="U554" s="10">
        <f>GraphListeria!$H$43*Listeria!I554+GraphListeria!$H$44</f>
        <v>-1.0636690836344513</v>
      </c>
    </row>
    <row r="555" spans="1:21" x14ac:dyDescent="0.2">
      <c r="A555" s="1" t="s">
        <v>1440</v>
      </c>
      <c r="B555" s="1" t="s">
        <v>1443</v>
      </c>
      <c r="D555" s="1" t="s">
        <v>11</v>
      </c>
      <c r="E555" s="1" t="s">
        <v>1267</v>
      </c>
      <c r="F555" s="1" t="s">
        <v>590</v>
      </c>
      <c r="G555" s="1"/>
      <c r="I555" s="4">
        <v>50</v>
      </c>
      <c r="J555" s="11">
        <v>100</v>
      </c>
      <c r="K555" s="4">
        <v>6.3</v>
      </c>
      <c r="L555" s="12">
        <f t="shared" si="9"/>
        <v>2</v>
      </c>
      <c r="M555" s="11">
        <f>GraphListeria!$B$10-(Listeria!I555-GraphListeria!$B$6)/GraphListeria!$B$5</f>
        <v>1.7761360242423989</v>
      </c>
      <c r="N555" s="1" t="s">
        <v>490</v>
      </c>
      <c r="O555">
        <v>2001</v>
      </c>
      <c r="S555" s="10">
        <f>GraphListeria!$B$43*Listeria!I555+GraphListeria!$B$44</f>
        <v>1.7648491681190492</v>
      </c>
      <c r="U555" s="10">
        <f>GraphListeria!$H$43*Listeria!I555+GraphListeria!$H$44</f>
        <v>1.7761360242423985</v>
      </c>
    </row>
    <row r="556" spans="1:21" x14ac:dyDescent="0.2">
      <c r="A556" s="1" t="s">
        <v>1440</v>
      </c>
      <c r="B556" s="1" t="s">
        <v>1443</v>
      </c>
      <c r="D556" s="1" t="s">
        <v>11</v>
      </c>
      <c r="E556" s="1" t="s">
        <v>1267</v>
      </c>
      <c r="F556" s="1" t="s">
        <v>590</v>
      </c>
      <c r="G556" s="1"/>
      <c r="I556" s="4">
        <v>55</v>
      </c>
      <c r="J556" s="11">
        <v>13</v>
      </c>
      <c r="K556" s="4">
        <v>6.3</v>
      </c>
      <c r="L556" s="12">
        <f t="shared" si="9"/>
        <v>1.1139433523068367</v>
      </c>
      <c r="M556" s="11">
        <f>GraphListeria!$B$10-(Listeria!I556-GraphListeria!$B$6)/GraphListeria!$B$5</f>
        <v>1.0661847472731862</v>
      </c>
      <c r="N556" s="1" t="s">
        <v>490</v>
      </c>
      <c r="O556">
        <v>2001</v>
      </c>
      <c r="S556" s="10">
        <f>GraphListeria!$B$43*Listeria!I556+GraphListeria!$B$44</f>
        <v>1.0744704331063017</v>
      </c>
      <c r="U556" s="10">
        <f>GraphListeria!$H$43*Listeria!I556+GraphListeria!$H$44</f>
        <v>1.0661847472731862</v>
      </c>
    </row>
    <row r="557" spans="1:21" x14ac:dyDescent="0.2">
      <c r="A557" s="1" t="s">
        <v>1440</v>
      </c>
      <c r="B557" s="1" t="s">
        <v>1443</v>
      </c>
      <c r="D557" s="1" t="s">
        <v>11</v>
      </c>
      <c r="E557" s="1" t="s">
        <v>1267</v>
      </c>
      <c r="F557" s="1" t="s">
        <v>590</v>
      </c>
      <c r="G557" s="1"/>
      <c r="I557" s="4">
        <v>60</v>
      </c>
      <c r="J557" s="11">
        <v>8.6999999999999993</v>
      </c>
      <c r="K557" s="4">
        <v>6.3</v>
      </c>
      <c r="L557" s="12">
        <f t="shared" si="9"/>
        <v>0.93951925261861846</v>
      </c>
      <c r="M557" s="11">
        <f>GraphListeria!$B$10-(Listeria!I557-GraphListeria!$B$6)/GraphListeria!$B$5</f>
        <v>0.35623347030397379</v>
      </c>
      <c r="N557" s="1" t="s">
        <v>490</v>
      </c>
      <c r="O557">
        <v>2001</v>
      </c>
      <c r="S557" s="10">
        <f>GraphListeria!$B$43*Listeria!I557+GraphListeria!$B$44</f>
        <v>0.38409169809355426</v>
      </c>
      <c r="U557" s="10">
        <f>GraphListeria!$H$43*Listeria!I557+GraphListeria!$H$44</f>
        <v>0.35623347030397312</v>
      </c>
    </row>
    <row r="558" spans="1:21" x14ac:dyDescent="0.2">
      <c r="A558" s="1" t="s">
        <v>1440</v>
      </c>
      <c r="B558" s="1" t="s">
        <v>1443</v>
      </c>
      <c r="D558" s="1" t="s">
        <v>11</v>
      </c>
      <c r="E558" s="1" t="s">
        <v>1267</v>
      </c>
      <c r="F558" s="1" t="s">
        <v>590</v>
      </c>
      <c r="G558" s="1"/>
      <c r="I558" s="4">
        <v>64.5</v>
      </c>
      <c r="J558" s="11">
        <v>0.52</v>
      </c>
      <c r="K558" s="4">
        <v>6.3</v>
      </c>
      <c r="L558" s="12">
        <f t="shared" si="9"/>
        <v>-0.28399665636520083</v>
      </c>
      <c r="M558" s="11">
        <f>GraphListeria!$B$10-(Listeria!I558-GraphListeria!$B$6)/GraphListeria!$B$5</f>
        <v>-0.2827226789683176</v>
      </c>
      <c r="N558" s="1" t="s">
        <v>490</v>
      </c>
      <c r="O558">
        <v>2001</v>
      </c>
      <c r="S558" s="10">
        <f>GraphListeria!$B$43*Listeria!I558+GraphListeria!$B$44</f>
        <v>-0.23724916341791946</v>
      </c>
      <c r="U558" s="10">
        <f>GraphListeria!$H$43*Listeria!I558+GraphListeria!$H$44</f>
        <v>-0.28272267896831771</v>
      </c>
    </row>
    <row r="559" spans="1:21" x14ac:dyDescent="0.2">
      <c r="A559" s="1" t="s">
        <v>1440</v>
      </c>
      <c r="B559" s="1" t="s">
        <v>1443</v>
      </c>
      <c r="D559" s="1" t="s">
        <v>11</v>
      </c>
      <c r="E559" s="1" t="s">
        <v>1267</v>
      </c>
      <c r="F559" s="1" t="s">
        <v>590</v>
      </c>
      <c r="G559" s="1"/>
      <c r="I559" s="4">
        <v>70</v>
      </c>
      <c r="J559" s="11">
        <v>0.13</v>
      </c>
      <c r="K559" s="4">
        <v>6.3</v>
      </c>
      <c r="L559" s="12">
        <f t="shared" si="9"/>
        <v>-0.88605664769316317</v>
      </c>
      <c r="M559" s="11">
        <f>GraphListeria!$B$10-(Listeria!I559-GraphListeria!$B$6)/GraphListeria!$B$5</f>
        <v>-1.0636690836344513</v>
      </c>
      <c r="N559" s="1" t="s">
        <v>490</v>
      </c>
      <c r="O559">
        <v>2001</v>
      </c>
      <c r="S559" s="10">
        <f>GraphListeria!$B$43*Listeria!I559+GraphListeria!$B$44</f>
        <v>-0.9966657719319425</v>
      </c>
      <c r="U559" s="10">
        <f>GraphListeria!$H$43*Listeria!I559+GraphListeria!$H$44</f>
        <v>-1.0636690836344513</v>
      </c>
    </row>
    <row r="560" spans="1:21" x14ac:dyDescent="0.2">
      <c r="A560" s="1" t="s">
        <v>1440</v>
      </c>
      <c r="B560" s="1" t="s">
        <v>1443</v>
      </c>
      <c r="D560" s="1" t="s">
        <v>11</v>
      </c>
      <c r="E560" s="1" t="s">
        <v>1267</v>
      </c>
      <c r="F560" s="1" t="s">
        <v>484</v>
      </c>
      <c r="G560" s="1"/>
      <c r="I560" s="4">
        <v>50</v>
      </c>
      <c r="J560" s="11">
        <v>179</v>
      </c>
      <c r="K560" s="4">
        <v>6.7</v>
      </c>
      <c r="L560" s="12">
        <f t="shared" si="9"/>
        <v>2.2528530309798933</v>
      </c>
      <c r="M560" s="11">
        <f>GraphListeria!$B$10-(Listeria!I560-GraphListeria!$B$6)/GraphListeria!$B$5</f>
        <v>1.7761360242423989</v>
      </c>
      <c r="N560" s="1" t="s">
        <v>490</v>
      </c>
      <c r="O560">
        <v>2001</v>
      </c>
      <c r="S560" s="10">
        <f>GraphListeria!$B$43*Listeria!I560+GraphListeria!$B$44</f>
        <v>1.7648491681190492</v>
      </c>
      <c r="U560" s="10">
        <f>GraphListeria!$H$43*Listeria!I560+GraphListeria!$H$44</f>
        <v>1.7761360242423985</v>
      </c>
    </row>
    <row r="561" spans="1:21" x14ac:dyDescent="0.2">
      <c r="A561" s="1" t="s">
        <v>1440</v>
      </c>
      <c r="B561" s="1" t="s">
        <v>1443</v>
      </c>
      <c r="D561" s="1" t="s">
        <v>11</v>
      </c>
      <c r="E561" s="1" t="s">
        <v>1267</v>
      </c>
      <c r="F561" s="1" t="s">
        <v>484</v>
      </c>
      <c r="G561" s="1"/>
      <c r="I561" s="4">
        <v>55</v>
      </c>
      <c r="J561" s="11">
        <v>14</v>
      </c>
      <c r="K561" s="4">
        <v>6.7</v>
      </c>
      <c r="L561" s="12">
        <f t="shared" si="9"/>
        <v>1.146128035678238</v>
      </c>
      <c r="M561" s="11">
        <f>GraphListeria!$B$10-(Listeria!I561-GraphListeria!$B$6)/GraphListeria!$B$5</f>
        <v>1.0661847472731862</v>
      </c>
      <c r="N561" s="1" t="s">
        <v>490</v>
      </c>
      <c r="O561">
        <v>2001</v>
      </c>
      <c r="S561" s="10">
        <f>GraphListeria!$B$43*Listeria!I561+GraphListeria!$B$44</f>
        <v>1.0744704331063017</v>
      </c>
      <c r="U561" s="10">
        <f>GraphListeria!$H$43*Listeria!I561+GraphListeria!$H$44</f>
        <v>1.0661847472731862</v>
      </c>
    </row>
    <row r="562" spans="1:21" x14ac:dyDescent="0.2">
      <c r="A562" s="1" t="s">
        <v>1440</v>
      </c>
      <c r="B562" s="1" t="s">
        <v>1443</v>
      </c>
      <c r="D562" s="1" t="s">
        <v>11</v>
      </c>
      <c r="E562" s="1" t="s">
        <v>1267</v>
      </c>
      <c r="F562" s="1" t="s">
        <v>484</v>
      </c>
      <c r="G562" s="1"/>
      <c r="I562" s="4">
        <v>60</v>
      </c>
      <c r="J562" s="11">
        <v>5.6</v>
      </c>
      <c r="K562" s="4">
        <v>6.7</v>
      </c>
      <c r="L562" s="12">
        <f t="shared" si="9"/>
        <v>0.74818802700620035</v>
      </c>
      <c r="M562" s="11">
        <f>GraphListeria!$B$10-(Listeria!I562-GraphListeria!$B$6)/GraphListeria!$B$5</f>
        <v>0.35623347030397379</v>
      </c>
      <c r="N562" s="1" t="s">
        <v>490</v>
      </c>
      <c r="O562">
        <v>2001</v>
      </c>
      <c r="S562" s="10">
        <f>GraphListeria!$B$43*Listeria!I562+GraphListeria!$B$44</f>
        <v>0.38409169809355426</v>
      </c>
      <c r="U562" s="10">
        <f>GraphListeria!$H$43*Listeria!I562+GraphListeria!$H$44</f>
        <v>0.35623347030397312</v>
      </c>
    </row>
    <row r="563" spans="1:21" x14ac:dyDescent="0.2">
      <c r="A563" s="1" t="s">
        <v>1440</v>
      </c>
      <c r="B563" s="1" t="s">
        <v>1443</v>
      </c>
      <c r="D563" s="1" t="s">
        <v>11</v>
      </c>
      <c r="E563" s="1" t="s">
        <v>1267</v>
      </c>
      <c r="F563" s="1" t="s">
        <v>484</v>
      </c>
      <c r="G563" s="1"/>
      <c r="I563" s="4">
        <v>64.5</v>
      </c>
      <c r="J563" s="11">
        <v>0.53</v>
      </c>
      <c r="K563" s="4">
        <v>6.7</v>
      </c>
      <c r="L563" s="12">
        <f t="shared" si="9"/>
        <v>-0.27572413039921095</v>
      </c>
      <c r="M563" s="11">
        <f>GraphListeria!$B$10-(Listeria!I563-GraphListeria!$B$6)/GraphListeria!$B$5</f>
        <v>-0.2827226789683176</v>
      </c>
      <c r="N563" s="1" t="s">
        <v>490</v>
      </c>
      <c r="O563">
        <v>2001</v>
      </c>
      <c r="S563" s="10">
        <f>GraphListeria!$B$43*Listeria!I563+GraphListeria!$B$44</f>
        <v>-0.23724916341791946</v>
      </c>
      <c r="U563" s="10">
        <f>GraphListeria!$H$43*Listeria!I563+GraphListeria!$H$44</f>
        <v>-0.28272267896831771</v>
      </c>
    </row>
    <row r="564" spans="1:21" x14ac:dyDescent="0.2">
      <c r="A564" s="1" t="s">
        <v>1440</v>
      </c>
      <c r="B564" s="1" t="s">
        <v>1443</v>
      </c>
      <c r="D564" s="1" t="s">
        <v>11</v>
      </c>
      <c r="E564" s="1" t="s">
        <v>1267</v>
      </c>
      <c r="F564" s="1" t="s">
        <v>484</v>
      </c>
      <c r="G564" s="1"/>
      <c r="I564" s="4">
        <v>70</v>
      </c>
      <c r="J564" s="11">
        <v>0.11</v>
      </c>
      <c r="K564" s="4">
        <v>6.7</v>
      </c>
      <c r="L564" s="12">
        <f t="shared" si="9"/>
        <v>-0.95860731484177497</v>
      </c>
      <c r="M564" s="11">
        <f>GraphListeria!$B$10-(Listeria!I564-GraphListeria!$B$6)/GraphListeria!$B$5</f>
        <v>-1.0636690836344513</v>
      </c>
      <c r="N564" s="1" t="s">
        <v>490</v>
      </c>
      <c r="O564">
        <v>2001</v>
      </c>
      <c r="S564" s="10">
        <f>GraphListeria!$B$43*Listeria!I564+GraphListeria!$B$44</f>
        <v>-0.9966657719319425</v>
      </c>
      <c r="U564" s="10">
        <f>GraphListeria!$H$43*Listeria!I564+GraphListeria!$H$44</f>
        <v>-1.0636690836344513</v>
      </c>
    </row>
    <row r="565" spans="1:21" x14ac:dyDescent="0.2">
      <c r="A565" s="1" t="s">
        <v>1440</v>
      </c>
      <c r="B565" s="1" t="s">
        <v>1443</v>
      </c>
      <c r="C565" t="s">
        <v>57</v>
      </c>
      <c r="D565" s="1" t="s">
        <v>11</v>
      </c>
      <c r="E565" s="1" t="s">
        <v>1267</v>
      </c>
      <c r="F565" s="1" t="s">
        <v>596</v>
      </c>
      <c r="G565" s="1"/>
      <c r="I565" s="4">
        <v>60</v>
      </c>
      <c r="J565" s="11">
        <v>5.29</v>
      </c>
      <c r="L565" s="12">
        <f t="shared" si="9"/>
        <v>0.72345567203518579</v>
      </c>
      <c r="M565" s="11">
        <f>GraphListeria!$B$10-(Listeria!I565-GraphListeria!$B$6)/GraphListeria!$B$5</f>
        <v>0.35623347030397379</v>
      </c>
      <c r="N565" s="1" t="s">
        <v>598</v>
      </c>
      <c r="O565">
        <v>1989</v>
      </c>
      <c r="S565" s="10">
        <f>GraphListeria!$B$43*Listeria!I565+GraphListeria!$B$44</f>
        <v>0.38409169809355426</v>
      </c>
      <c r="U565" s="10">
        <f>GraphListeria!$H$43*Listeria!I565+GraphListeria!$H$44</f>
        <v>0.35623347030397312</v>
      </c>
    </row>
    <row r="566" spans="1:21" x14ac:dyDescent="0.2">
      <c r="A566" s="1" t="s">
        <v>1440</v>
      </c>
      <c r="B566" s="1" t="s">
        <v>1443</v>
      </c>
      <c r="C566" t="s">
        <v>463</v>
      </c>
      <c r="D566" s="1" t="s">
        <v>11</v>
      </c>
      <c r="E566" s="1" t="s">
        <v>1267</v>
      </c>
      <c r="F566" s="1" t="s">
        <v>596</v>
      </c>
      <c r="G566" s="1"/>
      <c r="I566" s="4">
        <v>60</v>
      </c>
      <c r="J566" s="11">
        <v>5.0199999999999996</v>
      </c>
      <c r="L566" s="12">
        <f t="shared" si="9"/>
        <v>0.70070371714501933</v>
      </c>
      <c r="M566" s="11">
        <f>GraphListeria!$B$10-(Listeria!I566-GraphListeria!$B$6)/GraphListeria!$B$5</f>
        <v>0.35623347030397379</v>
      </c>
      <c r="N566" s="1" t="s">
        <v>598</v>
      </c>
      <c r="O566">
        <v>1989</v>
      </c>
      <c r="S566" s="10">
        <f>GraphListeria!$B$43*Listeria!I566+GraphListeria!$B$44</f>
        <v>0.38409169809355426</v>
      </c>
      <c r="U566" s="10">
        <f>GraphListeria!$H$43*Listeria!I566+GraphListeria!$H$44</f>
        <v>0.35623347030397312</v>
      </c>
    </row>
    <row r="567" spans="1:21" x14ac:dyDescent="0.2">
      <c r="A567" s="1" t="s">
        <v>1440</v>
      </c>
      <c r="B567" s="1" t="s">
        <v>1443</v>
      </c>
      <c r="D567" s="1" t="s">
        <v>11</v>
      </c>
      <c r="E567" s="1" t="s">
        <v>568</v>
      </c>
      <c r="F567" s="1" t="s">
        <v>569</v>
      </c>
      <c r="G567" s="1"/>
      <c r="I567" s="4">
        <v>55</v>
      </c>
      <c r="J567" s="11">
        <v>131.58000000000001</v>
      </c>
      <c r="K567" s="4">
        <v>5.04</v>
      </c>
      <c r="L567" s="12">
        <f t="shared" si="9"/>
        <v>2.1191898820611668</v>
      </c>
      <c r="M567" s="11">
        <f>GraphListeria!$B$10-(Listeria!I567-GraphListeria!$B$6)/GraphListeria!$B$5</f>
        <v>1.0661847472731862</v>
      </c>
      <c r="N567" s="1" t="s">
        <v>572</v>
      </c>
      <c r="O567">
        <v>2003</v>
      </c>
      <c r="S567" s="10">
        <f>GraphListeria!$B$43*Listeria!I567+GraphListeria!$B$44</f>
        <v>1.0744704331063017</v>
      </c>
      <c r="U567" s="10">
        <f>GraphListeria!$H$43*Listeria!I567+GraphListeria!$H$44</f>
        <v>1.0661847472731862</v>
      </c>
    </row>
    <row r="568" spans="1:21" x14ac:dyDescent="0.2">
      <c r="A568" s="1" t="s">
        <v>1440</v>
      </c>
      <c r="B568" s="1" t="s">
        <v>1443</v>
      </c>
      <c r="D568" s="1" t="s">
        <v>11</v>
      </c>
      <c r="E568" s="1" t="s">
        <v>568</v>
      </c>
      <c r="F568" s="1" t="s">
        <v>569</v>
      </c>
      <c r="G568" s="1"/>
      <c r="I568" s="4">
        <v>57.5</v>
      </c>
      <c r="J568" s="11">
        <v>23.64</v>
      </c>
      <c r="K568" s="4">
        <v>5.04</v>
      </c>
      <c r="L568" s="12">
        <f t="shared" si="9"/>
        <v>1.3736474722092178</v>
      </c>
      <c r="M568" s="11">
        <f>GraphListeria!$B$10-(Listeria!I568-GraphListeria!$B$6)/GraphListeria!$B$5</f>
        <v>0.7112091087885799</v>
      </c>
      <c r="N568" s="1" t="s">
        <v>572</v>
      </c>
      <c r="O568">
        <v>2003</v>
      </c>
      <c r="S568" s="10">
        <f>GraphListeria!$B$43*Listeria!I568+GraphListeria!$B$44</f>
        <v>0.72928106559992756</v>
      </c>
      <c r="U568" s="10">
        <f>GraphListeria!$H$43*Listeria!I568+GraphListeria!$H$44</f>
        <v>0.71120910878858012</v>
      </c>
    </row>
    <row r="569" spans="1:21" x14ac:dyDescent="0.2">
      <c r="A569" s="1" t="s">
        <v>1440</v>
      </c>
      <c r="B569" s="1" t="s">
        <v>1443</v>
      </c>
      <c r="D569" s="1" t="s">
        <v>11</v>
      </c>
      <c r="E569" s="1" t="s">
        <v>568</v>
      </c>
      <c r="F569" s="1" t="s">
        <v>569</v>
      </c>
      <c r="G569" s="1"/>
      <c r="I569" s="4">
        <v>60</v>
      </c>
      <c r="J569" s="11">
        <v>9.84</v>
      </c>
      <c r="K569" s="4">
        <v>5.04</v>
      </c>
      <c r="L569" s="12">
        <f t="shared" si="9"/>
        <v>0.99299509843134148</v>
      </c>
      <c r="M569" s="11">
        <f>GraphListeria!$B$10-(Listeria!I569-GraphListeria!$B$6)/GraphListeria!$B$5</f>
        <v>0.35623347030397379</v>
      </c>
      <c r="N569" s="1" t="s">
        <v>572</v>
      </c>
      <c r="O569">
        <v>2003</v>
      </c>
      <c r="S569" s="10">
        <f>GraphListeria!$B$43*Listeria!I569+GraphListeria!$B$44</f>
        <v>0.38409169809355426</v>
      </c>
      <c r="U569" s="10">
        <f>GraphListeria!$H$43*Listeria!I569+GraphListeria!$H$44</f>
        <v>0.35623347030397312</v>
      </c>
    </row>
    <row r="570" spans="1:21" x14ac:dyDescent="0.2">
      <c r="A570" s="1" t="s">
        <v>1440</v>
      </c>
      <c r="B570" s="1" t="s">
        <v>1443</v>
      </c>
      <c r="D570" s="1" t="s">
        <v>11</v>
      </c>
      <c r="E570" s="1" t="s">
        <v>568</v>
      </c>
      <c r="F570" s="1" t="s">
        <v>569</v>
      </c>
      <c r="G570" s="1"/>
      <c r="I570" s="4">
        <v>62.5</v>
      </c>
      <c r="J570" s="11">
        <v>2.23</v>
      </c>
      <c r="K570" s="4">
        <v>5.04</v>
      </c>
      <c r="L570" s="12">
        <f t="shared" si="9"/>
        <v>0.34830486304816066</v>
      </c>
      <c r="M570" s="11">
        <f>GraphListeria!$B$10-(Listeria!I570-GraphListeria!$B$6)/GraphListeria!$B$5</f>
        <v>1.2578318193674498E-3</v>
      </c>
      <c r="N570" s="1" t="s">
        <v>572</v>
      </c>
      <c r="O570">
        <v>2003</v>
      </c>
      <c r="S570" s="10">
        <f>GraphListeria!$B$43*Listeria!I570+GraphListeria!$B$44</f>
        <v>3.8902330587179179E-2</v>
      </c>
      <c r="U570" s="10">
        <f>GraphListeria!$H$43*Listeria!I570+GraphListeria!$H$44</f>
        <v>1.2578318193678939E-3</v>
      </c>
    </row>
    <row r="571" spans="1:21" x14ac:dyDescent="0.2">
      <c r="A571" s="1" t="s">
        <v>1440</v>
      </c>
      <c r="B571" s="1" t="s">
        <v>1443</v>
      </c>
      <c r="D571" s="1" t="s">
        <v>11</v>
      </c>
      <c r="E571" s="1" t="s">
        <v>568</v>
      </c>
      <c r="F571" s="1" t="s">
        <v>569</v>
      </c>
      <c r="G571" s="1"/>
      <c r="I571" s="4">
        <v>65</v>
      </c>
      <c r="J571" s="11">
        <v>0.93</v>
      </c>
      <c r="K571" s="4">
        <v>5.04</v>
      </c>
      <c r="L571" s="12">
        <f t="shared" si="9"/>
        <v>-3.1517051446064863E-2</v>
      </c>
      <c r="M571" s="11">
        <f>GraphListeria!$B$10-(Listeria!I571-GraphListeria!$B$6)/GraphListeria!$B$5</f>
        <v>-0.35371780666523878</v>
      </c>
      <c r="N571" s="1" t="s">
        <v>572</v>
      </c>
      <c r="O571">
        <v>2003</v>
      </c>
      <c r="S571" s="10">
        <f>GraphListeria!$B$43*Listeria!I571+GraphListeria!$B$44</f>
        <v>-0.30628703691919412</v>
      </c>
      <c r="U571" s="10">
        <f>GraphListeria!$H$43*Listeria!I571+GraphListeria!$H$44</f>
        <v>-0.35371780666523911</v>
      </c>
    </row>
    <row r="572" spans="1:21" x14ac:dyDescent="0.2">
      <c r="A572" s="1" t="s">
        <v>1440</v>
      </c>
      <c r="B572" s="1" t="s">
        <v>1443</v>
      </c>
      <c r="D572" s="1" t="s">
        <v>11</v>
      </c>
      <c r="E572" s="1" t="s">
        <v>568</v>
      </c>
      <c r="F572" s="1" t="s">
        <v>569</v>
      </c>
      <c r="G572" s="1"/>
      <c r="I572" s="4">
        <v>67.5</v>
      </c>
      <c r="J572" s="11">
        <v>0.42</v>
      </c>
      <c r="K572" s="4">
        <v>5.04</v>
      </c>
      <c r="L572" s="12">
        <f t="shared" si="9"/>
        <v>-0.37675070960209955</v>
      </c>
      <c r="M572" s="11">
        <f>GraphListeria!$B$10-(Listeria!I572-GraphListeria!$B$6)/GraphListeria!$B$5</f>
        <v>-0.708693445149845</v>
      </c>
      <c r="N572" s="1" t="s">
        <v>572</v>
      </c>
      <c r="O572">
        <v>2003</v>
      </c>
      <c r="S572" s="10">
        <f>GraphListeria!$B$43*Listeria!I572+GraphListeria!$B$44</f>
        <v>-0.65147640442556742</v>
      </c>
      <c r="U572" s="10">
        <f>GraphListeria!$H$43*Listeria!I572+GraphListeria!$H$44</f>
        <v>-0.70869344514984434</v>
      </c>
    </row>
    <row r="573" spans="1:21" x14ac:dyDescent="0.2">
      <c r="A573" s="1" t="s">
        <v>1440</v>
      </c>
      <c r="B573" s="1" t="s">
        <v>1443</v>
      </c>
      <c r="D573" s="1" t="s">
        <v>11</v>
      </c>
      <c r="E573" s="1" t="s">
        <v>568</v>
      </c>
      <c r="F573" s="1" t="s">
        <v>569</v>
      </c>
      <c r="G573" s="1"/>
      <c r="I573" s="4">
        <v>70</v>
      </c>
      <c r="J573" s="11">
        <v>0.11</v>
      </c>
      <c r="K573" s="4">
        <v>5.04</v>
      </c>
      <c r="L573" s="12">
        <f t="shared" si="9"/>
        <v>-0.95860731484177497</v>
      </c>
      <c r="M573" s="11">
        <f>GraphListeria!$B$10-(Listeria!I573-GraphListeria!$B$6)/GraphListeria!$B$5</f>
        <v>-1.0636690836344513</v>
      </c>
      <c r="N573" s="1" t="s">
        <v>572</v>
      </c>
      <c r="O573">
        <v>2003</v>
      </c>
      <c r="S573" s="10">
        <f>GraphListeria!$B$43*Listeria!I573+GraphListeria!$B$44</f>
        <v>-0.9966657719319425</v>
      </c>
      <c r="U573" s="10">
        <f>GraphListeria!$H$43*Listeria!I573+GraphListeria!$H$44</f>
        <v>-1.0636690836344513</v>
      </c>
    </row>
    <row r="574" spans="1:21" x14ac:dyDescent="0.2">
      <c r="A574" s="1" t="s">
        <v>1440</v>
      </c>
      <c r="B574" s="1" t="s">
        <v>1443</v>
      </c>
      <c r="D574" s="1" t="s">
        <v>11</v>
      </c>
      <c r="E574" s="1" t="s">
        <v>568</v>
      </c>
      <c r="F574" s="1" t="s">
        <v>571</v>
      </c>
      <c r="G574" s="1"/>
      <c r="I574" s="4">
        <v>55</v>
      </c>
      <c r="J574" s="4">
        <v>82.65</v>
      </c>
      <c r="K574" s="4">
        <v>5.76</v>
      </c>
      <c r="L574" s="12">
        <f t="shared" si="9"/>
        <v>1.9172428579074663</v>
      </c>
      <c r="M574" s="11">
        <f>GraphListeria!$B$10-(Listeria!I574-GraphListeria!$B$6)/GraphListeria!$B$5</f>
        <v>1.0661847472731862</v>
      </c>
      <c r="N574" s="1" t="s">
        <v>572</v>
      </c>
      <c r="O574">
        <v>2003</v>
      </c>
      <c r="S574" s="10">
        <f>GraphListeria!$B$43*Listeria!I574+GraphListeria!$B$44</f>
        <v>1.0744704331063017</v>
      </c>
      <c r="U574" s="10">
        <f>GraphListeria!$H$43*Listeria!I574+GraphListeria!$H$44</f>
        <v>1.0661847472731862</v>
      </c>
    </row>
    <row r="575" spans="1:21" x14ac:dyDescent="0.2">
      <c r="A575" s="1" t="s">
        <v>1440</v>
      </c>
      <c r="B575" s="1" t="s">
        <v>1443</v>
      </c>
      <c r="D575" s="1" t="s">
        <v>11</v>
      </c>
      <c r="E575" s="1" t="s">
        <v>568</v>
      </c>
      <c r="F575" s="1" t="s">
        <v>571</v>
      </c>
      <c r="G575" s="1"/>
      <c r="I575" s="4">
        <v>57.5</v>
      </c>
      <c r="J575" s="11">
        <v>21.69</v>
      </c>
      <c r="K575" s="4">
        <v>5.76</v>
      </c>
      <c r="L575" s="12">
        <f t="shared" si="9"/>
        <v>1.3362595520141933</v>
      </c>
      <c r="M575" s="11">
        <f>GraphListeria!$B$10-(Listeria!I575-GraphListeria!$B$6)/GraphListeria!$B$5</f>
        <v>0.7112091087885799</v>
      </c>
      <c r="N575" s="1" t="s">
        <v>572</v>
      </c>
      <c r="O575">
        <v>2003</v>
      </c>
      <c r="S575" s="10">
        <f>GraphListeria!$B$43*Listeria!I575+GraphListeria!$B$44</f>
        <v>0.72928106559992756</v>
      </c>
      <c r="U575" s="10">
        <f>GraphListeria!$H$43*Listeria!I575+GraphListeria!$H$44</f>
        <v>0.71120910878858012</v>
      </c>
    </row>
    <row r="576" spans="1:21" x14ac:dyDescent="0.2">
      <c r="A576" s="1" t="s">
        <v>1440</v>
      </c>
      <c r="B576" s="1" t="s">
        <v>1443</v>
      </c>
      <c r="D576" s="1" t="s">
        <v>11</v>
      </c>
      <c r="E576" s="1" t="s">
        <v>568</v>
      </c>
      <c r="F576" s="1" t="s">
        <v>571</v>
      </c>
      <c r="G576" s="1"/>
      <c r="I576" s="4">
        <v>60</v>
      </c>
      <c r="J576" s="11">
        <v>8.9</v>
      </c>
      <c r="K576" s="4">
        <v>5.76</v>
      </c>
      <c r="L576" s="12">
        <f t="shared" si="9"/>
        <v>0.9493900066449128</v>
      </c>
      <c r="M576" s="11">
        <f>GraphListeria!$B$10-(Listeria!I576-GraphListeria!$B$6)/GraphListeria!$B$5</f>
        <v>0.35623347030397379</v>
      </c>
      <c r="N576" s="1" t="s">
        <v>572</v>
      </c>
      <c r="O576">
        <v>2003</v>
      </c>
      <c r="S576" s="10">
        <f>GraphListeria!$B$43*Listeria!I576+GraphListeria!$B$44</f>
        <v>0.38409169809355426</v>
      </c>
      <c r="U576" s="10">
        <f>GraphListeria!$H$43*Listeria!I576+GraphListeria!$H$44</f>
        <v>0.35623347030397312</v>
      </c>
    </row>
    <row r="577" spans="1:21" x14ac:dyDescent="0.2">
      <c r="A577" s="1" t="s">
        <v>1440</v>
      </c>
      <c r="B577" s="1" t="s">
        <v>1443</v>
      </c>
      <c r="D577" s="1" t="s">
        <v>11</v>
      </c>
      <c r="E577" s="1" t="s">
        <v>568</v>
      </c>
      <c r="F577" s="1" t="s">
        <v>571</v>
      </c>
      <c r="G577" s="1"/>
      <c r="I577" s="4">
        <v>62.5</v>
      </c>
      <c r="J577" s="11">
        <v>3.57</v>
      </c>
      <c r="K577" s="4">
        <v>5.76</v>
      </c>
      <c r="L577" s="12">
        <f t="shared" si="9"/>
        <v>0.55266821611219319</v>
      </c>
      <c r="M577" s="11">
        <f>GraphListeria!$B$10-(Listeria!I577-GraphListeria!$B$6)/GraphListeria!$B$5</f>
        <v>1.2578318193674498E-3</v>
      </c>
      <c r="N577" s="1" t="s">
        <v>572</v>
      </c>
      <c r="O577">
        <v>2003</v>
      </c>
      <c r="S577" s="10">
        <f>GraphListeria!$B$43*Listeria!I577+GraphListeria!$B$44</f>
        <v>3.8902330587179179E-2</v>
      </c>
      <c r="U577" s="10">
        <f>GraphListeria!$H$43*Listeria!I577+GraphListeria!$H$44</f>
        <v>1.2578318193678939E-3</v>
      </c>
    </row>
    <row r="578" spans="1:21" x14ac:dyDescent="0.2">
      <c r="A578" s="1" t="s">
        <v>1440</v>
      </c>
      <c r="B578" s="1" t="s">
        <v>1443</v>
      </c>
      <c r="D578" s="1" t="s">
        <v>11</v>
      </c>
      <c r="E578" s="1" t="s">
        <v>568</v>
      </c>
      <c r="F578" s="1" t="s">
        <v>571</v>
      </c>
      <c r="G578" s="1"/>
      <c r="I578" s="4">
        <v>65</v>
      </c>
      <c r="J578" s="11">
        <v>1.1599999999999999</v>
      </c>
      <c r="K578" s="4">
        <v>5.76</v>
      </c>
      <c r="L578" s="12">
        <f t="shared" si="9"/>
        <v>6.445798922691845E-2</v>
      </c>
      <c r="M578" s="11">
        <f>GraphListeria!$B$10-(Listeria!I578-GraphListeria!$B$6)/GraphListeria!$B$5</f>
        <v>-0.35371780666523878</v>
      </c>
      <c r="N578" s="1" t="s">
        <v>572</v>
      </c>
      <c r="O578">
        <v>2003</v>
      </c>
      <c r="S578" s="10">
        <f>GraphListeria!$B$43*Listeria!I578+GraphListeria!$B$44</f>
        <v>-0.30628703691919412</v>
      </c>
      <c r="U578" s="10">
        <f>GraphListeria!$H$43*Listeria!I578+GraphListeria!$H$44</f>
        <v>-0.35371780666523911</v>
      </c>
    </row>
    <row r="579" spans="1:21" x14ac:dyDescent="0.2">
      <c r="A579" s="1" t="s">
        <v>1440</v>
      </c>
      <c r="B579" s="1" t="s">
        <v>1443</v>
      </c>
      <c r="D579" s="1" t="s">
        <v>11</v>
      </c>
      <c r="E579" s="1" t="s">
        <v>568</v>
      </c>
      <c r="F579" s="1" t="s">
        <v>571</v>
      </c>
      <c r="G579" s="1"/>
      <c r="I579" s="4">
        <v>67.5</v>
      </c>
      <c r="J579" s="11">
        <v>0.4</v>
      </c>
      <c r="K579" s="4">
        <v>5.76</v>
      </c>
      <c r="L579" s="12">
        <f t="shared" si="9"/>
        <v>-0.3979400086720376</v>
      </c>
      <c r="M579" s="11">
        <f>GraphListeria!$B$10-(Listeria!I579-GraphListeria!$B$6)/GraphListeria!$B$5</f>
        <v>-0.708693445149845</v>
      </c>
      <c r="N579" s="1" t="s">
        <v>572</v>
      </c>
      <c r="O579">
        <v>2003</v>
      </c>
      <c r="S579" s="10">
        <f>GraphListeria!$B$43*Listeria!I579+GraphListeria!$B$44</f>
        <v>-0.65147640442556742</v>
      </c>
      <c r="U579" s="10">
        <f>GraphListeria!$H$43*Listeria!I579+GraphListeria!$H$44</f>
        <v>-0.70869344514984434</v>
      </c>
    </row>
    <row r="580" spans="1:21" x14ac:dyDescent="0.2">
      <c r="A580" s="1" t="s">
        <v>1440</v>
      </c>
      <c r="B580" s="1" t="s">
        <v>1443</v>
      </c>
      <c r="D580" s="1" t="s">
        <v>11</v>
      </c>
      <c r="E580" s="1" t="s">
        <v>568</v>
      </c>
      <c r="F580" s="1" t="s">
        <v>571</v>
      </c>
      <c r="G580" s="1"/>
      <c r="I580" s="4">
        <v>70</v>
      </c>
      <c r="J580" s="11">
        <v>0.21</v>
      </c>
      <c r="K580" s="4">
        <v>5.76</v>
      </c>
      <c r="L580" s="12">
        <f t="shared" si="9"/>
        <v>-0.6777807052660807</v>
      </c>
      <c r="M580" s="11">
        <f>GraphListeria!$B$10-(Listeria!I580-GraphListeria!$B$6)/GraphListeria!$B$5</f>
        <v>-1.0636690836344513</v>
      </c>
      <c r="N580" s="1" t="s">
        <v>572</v>
      </c>
      <c r="O580">
        <v>2003</v>
      </c>
      <c r="S580" s="10">
        <f>GraphListeria!$B$43*Listeria!I580+GraphListeria!$B$44</f>
        <v>-0.9966657719319425</v>
      </c>
      <c r="U580" s="10">
        <f>GraphListeria!$H$43*Listeria!I580+GraphListeria!$H$44</f>
        <v>-1.0636690836344513</v>
      </c>
    </row>
    <row r="581" spans="1:21" x14ac:dyDescent="0.2">
      <c r="A581" s="1" t="s">
        <v>1440</v>
      </c>
      <c r="B581" s="1" t="s">
        <v>1443</v>
      </c>
      <c r="D581" s="1" t="s">
        <v>11</v>
      </c>
      <c r="E581" s="1" t="s">
        <v>305</v>
      </c>
      <c r="F581" s="1" t="s">
        <v>330</v>
      </c>
      <c r="G581" s="1"/>
      <c r="H581" s="4">
        <v>9</v>
      </c>
      <c r="I581" s="4">
        <v>53.2</v>
      </c>
      <c r="J581" s="11">
        <v>17.7</v>
      </c>
      <c r="K581" s="4">
        <v>7</v>
      </c>
      <c r="L581" s="12">
        <f t="shared" si="9"/>
        <v>1.2479732663618066</v>
      </c>
      <c r="M581" s="11">
        <f>GraphListeria!$B$10-(Listeria!I581-GraphListeria!$B$6)/GraphListeria!$B$5</f>
        <v>1.3217672069821025</v>
      </c>
      <c r="N581" s="1" t="s">
        <v>490</v>
      </c>
      <c r="O581">
        <v>2001</v>
      </c>
      <c r="S581" s="10">
        <f>GraphListeria!$B$43*Listeria!I581+GraphListeria!$B$44</f>
        <v>1.3230067777108898</v>
      </c>
      <c r="U581" s="10">
        <f>GraphListeria!$H$43*Listeria!I581+GraphListeria!$H$44</f>
        <v>1.321767206982102</v>
      </c>
    </row>
    <row r="582" spans="1:21" x14ac:dyDescent="0.2">
      <c r="A582" s="1" t="s">
        <v>1440</v>
      </c>
      <c r="B582" s="1" t="s">
        <v>1443</v>
      </c>
      <c r="D582" s="1" t="s">
        <v>11</v>
      </c>
      <c r="E582" s="1" t="s">
        <v>305</v>
      </c>
      <c r="F582" s="1" t="s">
        <v>330</v>
      </c>
      <c r="G582" s="1"/>
      <c r="H582" s="4">
        <v>8.1999999999999993</v>
      </c>
      <c r="I582" s="4">
        <v>55</v>
      </c>
      <c r="J582" s="11">
        <v>7.58</v>
      </c>
      <c r="K582" s="4">
        <v>9.43</v>
      </c>
      <c r="L582" s="12">
        <f t="shared" si="9"/>
        <v>0.87966920563205353</v>
      </c>
      <c r="M582" s="11">
        <f>GraphListeria!$B$10-(Listeria!I582-GraphListeria!$B$6)/GraphListeria!$B$5</f>
        <v>1.0661847472731862</v>
      </c>
      <c r="N582" s="1" t="s">
        <v>490</v>
      </c>
      <c r="O582">
        <v>2001</v>
      </c>
      <c r="S582" s="10">
        <f>GraphListeria!$B$43*Listeria!I582+GraphListeria!$B$44</f>
        <v>1.0744704331063017</v>
      </c>
      <c r="U582" s="10">
        <f>GraphListeria!$H$43*Listeria!I582+GraphListeria!$H$44</f>
        <v>1.0661847472731862</v>
      </c>
    </row>
    <row r="583" spans="1:21" x14ac:dyDescent="0.2">
      <c r="A583" s="1" t="s">
        <v>1440</v>
      </c>
      <c r="B583" s="1" t="s">
        <v>1443</v>
      </c>
      <c r="D583" s="1" t="s">
        <v>11</v>
      </c>
      <c r="E583" s="1" t="s">
        <v>305</v>
      </c>
      <c r="F583" s="1" t="s">
        <v>330</v>
      </c>
      <c r="G583" s="1"/>
      <c r="H583" s="4">
        <v>9.1</v>
      </c>
      <c r="I583" s="4">
        <v>55</v>
      </c>
      <c r="J583" s="11">
        <v>7.59</v>
      </c>
      <c r="K583" s="4">
        <v>6.41</v>
      </c>
      <c r="L583" s="12">
        <f t="shared" si="9"/>
        <v>0.88024177589548036</v>
      </c>
      <c r="M583" s="11">
        <f>GraphListeria!$B$10-(Listeria!I583-GraphListeria!$B$6)/GraphListeria!$B$5</f>
        <v>1.0661847472731862</v>
      </c>
      <c r="N583" s="1" t="s">
        <v>490</v>
      </c>
      <c r="O583">
        <v>2001</v>
      </c>
      <c r="S583" s="10">
        <f>GraphListeria!$B$43*Listeria!I583+GraphListeria!$B$44</f>
        <v>1.0744704331063017</v>
      </c>
      <c r="U583" s="10">
        <f>GraphListeria!$H$43*Listeria!I583+GraphListeria!$H$44</f>
        <v>1.0661847472731862</v>
      </c>
    </row>
    <row r="584" spans="1:21" x14ac:dyDescent="0.2">
      <c r="A584" s="1" t="s">
        <v>1440</v>
      </c>
      <c r="B584" s="1" t="s">
        <v>1443</v>
      </c>
      <c r="D584" s="1" t="s">
        <v>11</v>
      </c>
      <c r="E584" s="1" t="s">
        <v>305</v>
      </c>
      <c r="F584" s="1" t="s">
        <v>330</v>
      </c>
      <c r="G584" s="1"/>
      <c r="H584" s="4">
        <v>9</v>
      </c>
      <c r="I584" s="4">
        <v>55</v>
      </c>
      <c r="J584" s="11">
        <v>12.9</v>
      </c>
      <c r="K584" s="4">
        <v>7</v>
      </c>
      <c r="L584" s="12">
        <f t="shared" si="9"/>
        <v>1.110589710299249</v>
      </c>
      <c r="M584" s="11">
        <f>GraphListeria!$B$10-(Listeria!I584-GraphListeria!$B$6)/GraphListeria!$B$5</f>
        <v>1.0661847472731862</v>
      </c>
      <c r="N584" s="1" t="s">
        <v>490</v>
      </c>
      <c r="O584">
        <v>2001</v>
      </c>
      <c r="S584" s="10">
        <f>GraphListeria!$B$43*Listeria!I584+GraphListeria!$B$44</f>
        <v>1.0744704331063017</v>
      </c>
      <c r="U584" s="10">
        <f>GraphListeria!$H$43*Listeria!I584+GraphListeria!$H$44</f>
        <v>1.0661847472731862</v>
      </c>
    </row>
    <row r="585" spans="1:21" x14ac:dyDescent="0.2">
      <c r="A585" s="1" t="s">
        <v>1440</v>
      </c>
      <c r="B585" s="1" t="s">
        <v>1443</v>
      </c>
      <c r="D585" s="1" t="s">
        <v>11</v>
      </c>
      <c r="E585" s="1" t="s">
        <v>305</v>
      </c>
      <c r="F585" s="1" t="s">
        <v>330</v>
      </c>
      <c r="G585" s="1"/>
      <c r="I585" s="4">
        <v>55.5</v>
      </c>
      <c r="J585" s="11">
        <v>13</v>
      </c>
      <c r="K585" s="4">
        <v>11.3</v>
      </c>
      <c r="L585" s="12">
        <f t="shared" si="9"/>
        <v>1.1139433523068367</v>
      </c>
      <c r="M585" s="11">
        <f>GraphListeria!$B$10-(Listeria!I585-GraphListeria!$B$6)/GraphListeria!$B$5</f>
        <v>0.99518961957626484</v>
      </c>
      <c r="N585" s="1" t="s">
        <v>490</v>
      </c>
      <c r="O585">
        <v>2001</v>
      </c>
      <c r="S585" s="10">
        <f>GraphListeria!$B$43*Listeria!I585+GraphListeria!$B$44</f>
        <v>1.0054325596050262</v>
      </c>
      <c r="U585" s="10">
        <f>GraphListeria!$H$43*Listeria!I585+GraphListeria!$H$44</f>
        <v>0.99518961957626484</v>
      </c>
    </row>
    <row r="586" spans="1:21" x14ac:dyDescent="0.2">
      <c r="A586" s="1" t="s">
        <v>1440</v>
      </c>
      <c r="B586" s="1" t="s">
        <v>1443</v>
      </c>
      <c r="D586" s="1" t="s">
        <v>11</v>
      </c>
      <c r="E586" s="1" t="s">
        <v>305</v>
      </c>
      <c r="F586" s="1" t="s">
        <v>330</v>
      </c>
      <c r="G586" s="1"/>
      <c r="H586" s="4">
        <v>7.8</v>
      </c>
      <c r="I586" s="4">
        <v>56.65</v>
      </c>
      <c r="J586" s="11">
        <v>10.4</v>
      </c>
      <c r="L586" s="12">
        <f t="shared" si="9"/>
        <v>1.0170333392987803</v>
      </c>
      <c r="M586" s="11">
        <f>GraphListeria!$B$10-(Listeria!I586-GraphListeria!$B$6)/GraphListeria!$B$5</f>
        <v>0.83190082587334624</v>
      </c>
      <c r="N586" s="1" t="s">
        <v>490</v>
      </c>
      <c r="O586">
        <v>2001</v>
      </c>
      <c r="S586" s="10">
        <f>GraphListeria!$B$43*Listeria!I586+GraphListeria!$B$44</f>
        <v>0.84664545055209484</v>
      </c>
      <c r="U586" s="10">
        <f>GraphListeria!$H$43*Listeria!I586+GraphListeria!$H$44</f>
        <v>0.8319008258733458</v>
      </c>
    </row>
    <row r="587" spans="1:21" x14ac:dyDescent="0.2">
      <c r="A587" s="1" t="s">
        <v>1440</v>
      </c>
      <c r="B587" s="1" t="s">
        <v>1443</v>
      </c>
      <c r="D587" s="1" t="s">
        <v>11</v>
      </c>
      <c r="E587" s="1" t="s">
        <v>305</v>
      </c>
      <c r="F587" s="1" t="s">
        <v>330</v>
      </c>
      <c r="G587" s="1"/>
      <c r="H587" s="4">
        <v>8.1999999999999993</v>
      </c>
      <c r="I587" s="4">
        <v>56.65</v>
      </c>
      <c r="J587" s="11">
        <v>16.5</v>
      </c>
      <c r="L587" s="12">
        <f t="shared" si="9"/>
        <v>1.2174839442139063</v>
      </c>
      <c r="M587" s="11">
        <f>GraphListeria!$B$10-(Listeria!I587-GraphListeria!$B$6)/GraphListeria!$B$5</f>
        <v>0.83190082587334624</v>
      </c>
      <c r="N587" s="1" t="s">
        <v>490</v>
      </c>
      <c r="O587">
        <v>2001</v>
      </c>
      <c r="S587" s="10">
        <f>GraphListeria!$B$43*Listeria!I587+GraphListeria!$B$44</f>
        <v>0.84664545055209484</v>
      </c>
      <c r="U587" s="10">
        <f>GraphListeria!$H$43*Listeria!I587+GraphListeria!$H$44</f>
        <v>0.8319008258733458</v>
      </c>
    </row>
    <row r="588" spans="1:21" x14ac:dyDescent="0.2">
      <c r="A588" s="1" t="s">
        <v>1440</v>
      </c>
      <c r="B588" s="1" t="s">
        <v>1443</v>
      </c>
      <c r="D588" s="1" t="s">
        <v>11</v>
      </c>
      <c r="E588" s="1" t="s">
        <v>305</v>
      </c>
      <c r="F588" s="1" t="s">
        <v>330</v>
      </c>
      <c r="G588" s="1"/>
      <c r="H588" s="4">
        <v>8.8000000000000007</v>
      </c>
      <c r="I588" s="4">
        <v>56.65</v>
      </c>
      <c r="J588" s="11">
        <v>20.3</v>
      </c>
      <c r="L588" s="12">
        <f t="shared" si="9"/>
        <v>1.307496037913213</v>
      </c>
      <c r="M588" s="11">
        <f>GraphListeria!$B$10-(Listeria!I588-GraphListeria!$B$6)/GraphListeria!$B$5</f>
        <v>0.83190082587334624</v>
      </c>
      <c r="N588" s="1" t="s">
        <v>490</v>
      </c>
      <c r="O588">
        <v>2001</v>
      </c>
      <c r="S588" s="10">
        <f>GraphListeria!$B$43*Listeria!I588+GraphListeria!$B$44</f>
        <v>0.84664545055209484</v>
      </c>
      <c r="U588" s="10">
        <f>GraphListeria!$H$43*Listeria!I588+GraphListeria!$H$44</f>
        <v>0.8319008258733458</v>
      </c>
    </row>
    <row r="589" spans="1:21" x14ac:dyDescent="0.2">
      <c r="A589" s="1" t="s">
        <v>1440</v>
      </c>
      <c r="B589" s="1" t="s">
        <v>1443</v>
      </c>
      <c r="D589" s="1" t="s">
        <v>11</v>
      </c>
      <c r="E589" s="1" t="s">
        <v>305</v>
      </c>
      <c r="F589" s="1" t="s">
        <v>330</v>
      </c>
      <c r="G589" s="1"/>
      <c r="H589" s="4">
        <v>9.3000000000000007</v>
      </c>
      <c r="I589" s="4">
        <v>56.65</v>
      </c>
      <c r="J589" s="11">
        <v>20.9</v>
      </c>
      <c r="L589" s="12">
        <f t="shared" si="9"/>
        <v>1.320146286111054</v>
      </c>
      <c r="M589" s="11">
        <f>GraphListeria!$B$10-(Listeria!I589-GraphListeria!$B$6)/GraphListeria!$B$5</f>
        <v>0.83190082587334624</v>
      </c>
      <c r="N589" s="1" t="s">
        <v>490</v>
      </c>
      <c r="O589">
        <v>2001</v>
      </c>
      <c r="S589" s="10">
        <f>GraphListeria!$B$43*Listeria!I589+GraphListeria!$B$44</f>
        <v>0.84664545055209484</v>
      </c>
      <c r="U589" s="10">
        <f>GraphListeria!$H$43*Listeria!I589+GraphListeria!$H$44</f>
        <v>0.8319008258733458</v>
      </c>
    </row>
    <row r="590" spans="1:21" x14ac:dyDescent="0.2">
      <c r="A590" s="1" t="s">
        <v>1440</v>
      </c>
      <c r="B590" s="1" t="s">
        <v>1443</v>
      </c>
      <c r="D590" s="1" t="s">
        <v>11</v>
      </c>
      <c r="E590" s="1" t="s">
        <v>305</v>
      </c>
      <c r="F590" s="1" t="s">
        <v>330</v>
      </c>
      <c r="G590" s="1"/>
      <c r="H590" s="4">
        <v>8.1999999999999993</v>
      </c>
      <c r="I590" s="4">
        <v>56.65</v>
      </c>
      <c r="J590" s="11">
        <v>4.76</v>
      </c>
      <c r="K590" s="4">
        <v>9.43</v>
      </c>
      <c r="L590" s="12">
        <f t="shared" si="9"/>
        <v>0.67760695272049309</v>
      </c>
      <c r="M590" s="11">
        <f>GraphListeria!$B$10-(Listeria!I590-GraphListeria!$B$6)/GraphListeria!$B$5</f>
        <v>0.83190082587334624</v>
      </c>
      <c r="N590" s="1" t="s">
        <v>490</v>
      </c>
      <c r="O590">
        <v>2001</v>
      </c>
      <c r="S590" s="10">
        <f>GraphListeria!$B$43*Listeria!I590+GraphListeria!$B$44</f>
        <v>0.84664545055209484</v>
      </c>
      <c r="U590" s="10">
        <f>GraphListeria!$H$43*Listeria!I590+GraphListeria!$H$44</f>
        <v>0.8319008258733458</v>
      </c>
    </row>
    <row r="591" spans="1:21" x14ac:dyDescent="0.2">
      <c r="A591" s="1" t="s">
        <v>1440</v>
      </c>
      <c r="B591" s="1" t="s">
        <v>1443</v>
      </c>
      <c r="D591" s="1" t="s">
        <v>11</v>
      </c>
      <c r="E591" s="1" t="s">
        <v>305</v>
      </c>
      <c r="F591" s="1" t="s">
        <v>330</v>
      </c>
      <c r="G591" s="1"/>
      <c r="H591" s="4">
        <v>9.1</v>
      </c>
      <c r="I591" s="4">
        <v>56.65</v>
      </c>
      <c r="J591" s="11">
        <v>4.3499999999999996</v>
      </c>
      <c r="K591" s="4">
        <v>6.41</v>
      </c>
      <c r="L591" s="12">
        <f t="shared" si="9"/>
        <v>0.63848925695463732</v>
      </c>
      <c r="M591" s="11">
        <f>GraphListeria!$B$10-(Listeria!I591-GraphListeria!$B$6)/GraphListeria!$B$5</f>
        <v>0.83190082587334624</v>
      </c>
      <c r="N591" s="1" t="s">
        <v>490</v>
      </c>
      <c r="O591">
        <v>2001</v>
      </c>
      <c r="S591" s="10">
        <f>GraphListeria!$B$43*Listeria!I591+GraphListeria!$B$44</f>
        <v>0.84664545055209484</v>
      </c>
      <c r="U591" s="10">
        <f>GraphListeria!$H$43*Listeria!I591+GraphListeria!$H$44</f>
        <v>0.8319008258733458</v>
      </c>
    </row>
    <row r="592" spans="1:21" x14ac:dyDescent="0.2">
      <c r="A592" s="1" t="s">
        <v>1440</v>
      </c>
      <c r="B592" s="1" t="s">
        <v>1443</v>
      </c>
      <c r="D592" s="1" t="s">
        <v>11</v>
      </c>
      <c r="E592" s="1" t="s">
        <v>305</v>
      </c>
      <c r="F592" s="1" t="s">
        <v>330</v>
      </c>
      <c r="G592" s="1"/>
      <c r="I592" s="4">
        <v>56.65</v>
      </c>
      <c r="J592" s="11">
        <v>12</v>
      </c>
      <c r="K592" s="4">
        <v>11.3</v>
      </c>
      <c r="L592" s="12">
        <f t="shared" si="9"/>
        <v>1.0791812460476249</v>
      </c>
      <c r="M592" s="11">
        <f>GraphListeria!$B$10-(Listeria!I592-GraphListeria!$B$6)/GraphListeria!$B$5</f>
        <v>0.83190082587334624</v>
      </c>
      <c r="N592" s="1" t="s">
        <v>490</v>
      </c>
      <c r="O592">
        <v>2001</v>
      </c>
      <c r="S592" s="10">
        <f>GraphListeria!$B$43*Listeria!I592+GraphListeria!$B$44</f>
        <v>0.84664545055209484</v>
      </c>
      <c r="U592" s="10">
        <f>GraphListeria!$H$43*Listeria!I592+GraphListeria!$H$44</f>
        <v>0.8319008258733458</v>
      </c>
    </row>
    <row r="593" spans="1:21" x14ac:dyDescent="0.2">
      <c r="A593" s="1" t="s">
        <v>1440</v>
      </c>
      <c r="B593" s="1" t="s">
        <v>1443</v>
      </c>
      <c r="D593" s="1" t="s">
        <v>11</v>
      </c>
      <c r="E593" s="1" t="s">
        <v>305</v>
      </c>
      <c r="F593" s="1" t="s">
        <v>330</v>
      </c>
      <c r="G593" s="1"/>
      <c r="I593" s="4">
        <v>57.7</v>
      </c>
      <c r="J593" s="11">
        <v>8.3000000000000007</v>
      </c>
      <c r="K593" s="4">
        <v>11.3</v>
      </c>
      <c r="L593" s="12">
        <f t="shared" si="9"/>
        <v>0.91907809237607396</v>
      </c>
      <c r="M593" s="11">
        <f>GraphListeria!$B$10-(Listeria!I593-GraphListeria!$B$6)/GraphListeria!$B$5</f>
        <v>0.68281105770981099</v>
      </c>
      <c r="N593" s="1" t="s">
        <v>490</v>
      </c>
      <c r="O593">
        <v>2001</v>
      </c>
      <c r="S593" s="10">
        <f>GraphListeria!$B$43*Listeria!I593+GraphListeria!$B$44</f>
        <v>0.70166591619941698</v>
      </c>
      <c r="U593" s="10">
        <f>GraphListeria!$H$43*Listeria!I593+GraphListeria!$H$44</f>
        <v>0.68281105770981121</v>
      </c>
    </row>
    <row r="594" spans="1:21" x14ac:dyDescent="0.2">
      <c r="A594" s="1" t="s">
        <v>1440</v>
      </c>
      <c r="B594" s="1" t="s">
        <v>1443</v>
      </c>
      <c r="D594" s="1" t="s">
        <v>11</v>
      </c>
      <c r="E594" s="1" t="s">
        <v>305</v>
      </c>
      <c r="F594" s="1" t="s">
        <v>330</v>
      </c>
      <c r="G594" s="1"/>
      <c r="H594" s="4">
        <v>8.1999999999999993</v>
      </c>
      <c r="I594" s="4">
        <v>58.15</v>
      </c>
      <c r="J594" s="11">
        <v>3.47</v>
      </c>
      <c r="K594" s="4">
        <v>9.43</v>
      </c>
      <c r="L594" s="12">
        <f t="shared" si="9"/>
        <v>0.54032947479087379</v>
      </c>
      <c r="M594" s="11">
        <f>GraphListeria!$B$10-(Listeria!I594-GraphListeria!$B$6)/GraphListeria!$B$5</f>
        <v>0.61891544278258248</v>
      </c>
      <c r="N594" s="1" t="s">
        <v>490</v>
      </c>
      <c r="O594">
        <v>2001</v>
      </c>
      <c r="S594" s="10">
        <f>GraphListeria!$B$43*Listeria!I594+GraphListeria!$B$44</f>
        <v>0.63953183004826997</v>
      </c>
      <c r="U594" s="10">
        <f>GraphListeria!$H$43*Listeria!I594+GraphListeria!$H$44</f>
        <v>0.61891544278258337</v>
      </c>
    </row>
    <row r="595" spans="1:21" x14ac:dyDescent="0.2">
      <c r="A595" s="1" t="s">
        <v>1440</v>
      </c>
      <c r="B595" s="1" t="s">
        <v>1443</v>
      </c>
      <c r="D595" s="1" t="s">
        <v>11</v>
      </c>
      <c r="E595" s="1" t="s">
        <v>305</v>
      </c>
      <c r="F595" s="1" t="s">
        <v>330</v>
      </c>
      <c r="G595" s="1"/>
      <c r="H595" s="4">
        <v>9.1</v>
      </c>
      <c r="I595" s="4">
        <v>58.15</v>
      </c>
      <c r="J595" s="11">
        <v>2.41</v>
      </c>
      <c r="K595" s="4">
        <v>6.41</v>
      </c>
      <c r="L595" s="12">
        <f t="shared" si="9"/>
        <v>0.3820170425748684</v>
      </c>
      <c r="M595" s="11">
        <f>GraphListeria!$B$10-(Listeria!I595-GraphListeria!$B$6)/GraphListeria!$B$5</f>
        <v>0.61891544278258248</v>
      </c>
      <c r="N595" s="1" t="s">
        <v>490</v>
      </c>
      <c r="O595">
        <v>2001</v>
      </c>
      <c r="S595" s="10">
        <f>GraphListeria!$B$43*Listeria!I595+GraphListeria!$B$44</f>
        <v>0.63953183004826997</v>
      </c>
      <c r="U595" s="10">
        <f>GraphListeria!$H$43*Listeria!I595+GraphListeria!$H$44</f>
        <v>0.61891544278258337</v>
      </c>
    </row>
    <row r="596" spans="1:21" x14ac:dyDescent="0.2">
      <c r="A596" s="1" t="s">
        <v>1440</v>
      </c>
      <c r="B596" s="1" t="s">
        <v>1443</v>
      </c>
      <c r="D596" s="1" t="s">
        <v>11</v>
      </c>
      <c r="E596" s="1" t="s">
        <v>305</v>
      </c>
      <c r="F596" s="1" t="s">
        <v>330</v>
      </c>
      <c r="G596" s="1"/>
      <c r="H596" s="4">
        <v>9</v>
      </c>
      <c r="I596" s="4">
        <v>58.15</v>
      </c>
      <c r="J596" s="11">
        <v>3.8</v>
      </c>
      <c r="K596" s="4">
        <v>7</v>
      </c>
      <c r="L596" s="12">
        <f t="shared" si="9"/>
        <v>0.57978359661681012</v>
      </c>
      <c r="M596" s="11">
        <f>GraphListeria!$B$10-(Listeria!I596-GraphListeria!$B$6)/GraphListeria!$B$5</f>
        <v>0.61891544278258248</v>
      </c>
      <c r="N596" s="1" t="s">
        <v>490</v>
      </c>
      <c r="O596">
        <v>2001</v>
      </c>
      <c r="S596" s="10">
        <f>GraphListeria!$B$43*Listeria!I596+GraphListeria!$B$44</f>
        <v>0.63953183004826997</v>
      </c>
      <c r="U596" s="10">
        <f>GraphListeria!$H$43*Listeria!I596+GraphListeria!$H$44</f>
        <v>0.61891544278258337</v>
      </c>
    </row>
    <row r="597" spans="1:21" x14ac:dyDescent="0.2">
      <c r="A597" s="1" t="s">
        <v>1440</v>
      </c>
      <c r="B597" s="1" t="s">
        <v>1443</v>
      </c>
      <c r="D597" s="1" t="s">
        <v>11</v>
      </c>
      <c r="E597" s="1" t="s">
        <v>305</v>
      </c>
      <c r="F597" s="1" t="s">
        <v>771</v>
      </c>
      <c r="G597" s="1"/>
      <c r="H597" s="4">
        <v>8.8000000000000007</v>
      </c>
      <c r="I597" s="4">
        <v>51.5</v>
      </c>
      <c r="J597" s="11">
        <v>37.6</v>
      </c>
      <c r="L597" s="12">
        <f t="shared" si="9"/>
        <v>1.5751878449276611</v>
      </c>
      <c r="M597" s="11">
        <f>GraphListeria!$B$10-(Listeria!I597-GraphListeria!$B$6)/GraphListeria!$B$5</f>
        <v>1.5631506411516352</v>
      </c>
      <c r="N597" s="1" t="s">
        <v>490</v>
      </c>
      <c r="O597">
        <v>2001</v>
      </c>
      <c r="S597" s="10">
        <f>GraphListeria!$B$43*Listeria!I597+GraphListeria!$B$44</f>
        <v>1.5577355476152253</v>
      </c>
      <c r="U597" s="10">
        <f>GraphListeria!$H$43*Listeria!I597+GraphListeria!$H$44</f>
        <v>1.5631506411516352</v>
      </c>
    </row>
    <row r="598" spans="1:21" x14ac:dyDescent="0.2">
      <c r="A598" s="1" t="s">
        <v>1440</v>
      </c>
      <c r="B598" s="1" t="s">
        <v>1443</v>
      </c>
      <c r="D598" s="1" t="s">
        <v>11</v>
      </c>
      <c r="E598" s="1" t="s">
        <v>305</v>
      </c>
      <c r="F598" s="1" t="s">
        <v>771</v>
      </c>
      <c r="G598" s="1"/>
      <c r="H598" s="4">
        <v>8.8000000000000007</v>
      </c>
      <c r="I598" s="4">
        <v>53.2</v>
      </c>
      <c r="J598" s="11">
        <v>23.3</v>
      </c>
      <c r="L598" s="12">
        <f t="shared" si="9"/>
        <v>1.3673559210260189</v>
      </c>
      <c r="M598" s="11">
        <f>GraphListeria!$B$10-(Listeria!I598-GraphListeria!$B$6)/GraphListeria!$B$5</f>
        <v>1.3217672069821025</v>
      </c>
      <c r="N598" s="1" t="s">
        <v>490</v>
      </c>
      <c r="O598">
        <v>2001</v>
      </c>
      <c r="S598" s="10">
        <f>GraphListeria!$B$43*Listeria!I598+GraphListeria!$B$44</f>
        <v>1.3230067777108898</v>
      </c>
      <c r="U598" s="10">
        <f>GraphListeria!$H$43*Listeria!I598+GraphListeria!$H$44</f>
        <v>1.321767206982102</v>
      </c>
    </row>
    <row r="599" spans="1:21" x14ac:dyDescent="0.2">
      <c r="A599" s="1" t="s">
        <v>1440</v>
      </c>
      <c r="B599" s="1" t="s">
        <v>1443</v>
      </c>
      <c r="C599" t="s">
        <v>57</v>
      </c>
      <c r="D599" s="1" t="s">
        <v>11</v>
      </c>
      <c r="E599" s="1" t="s">
        <v>305</v>
      </c>
      <c r="F599" s="1" t="s">
        <v>306</v>
      </c>
      <c r="G599" s="1"/>
      <c r="I599" s="4">
        <v>51</v>
      </c>
      <c r="J599" s="11">
        <v>14.3</v>
      </c>
      <c r="K599" s="4">
        <v>7</v>
      </c>
      <c r="L599" s="12">
        <f t="shared" si="9"/>
        <v>1.1553360374650619</v>
      </c>
      <c r="M599" s="11">
        <f>GraphListeria!$B$10-(Listeria!I599-GraphListeria!$B$6)/GraphListeria!$B$5</f>
        <v>1.6341457688485561</v>
      </c>
      <c r="N599" s="1" t="s">
        <v>490</v>
      </c>
      <c r="O599">
        <v>2001</v>
      </c>
      <c r="S599" s="10">
        <f>GraphListeria!$B$43*Listeria!I599+GraphListeria!$B$44</f>
        <v>1.6267734211164999</v>
      </c>
      <c r="U599" s="10">
        <f>GraphListeria!$H$43*Listeria!I599+GraphListeria!$H$44</f>
        <v>1.6341457688485566</v>
      </c>
    </row>
    <row r="600" spans="1:21" x14ac:dyDescent="0.2">
      <c r="A600" s="1" t="s">
        <v>1440</v>
      </c>
      <c r="B600" s="1" t="s">
        <v>1443</v>
      </c>
      <c r="C600" t="s">
        <v>427</v>
      </c>
      <c r="D600" s="1" t="s">
        <v>11</v>
      </c>
      <c r="E600" s="1" t="s">
        <v>305</v>
      </c>
      <c r="F600" s="1" t="s">
        <v>306</v>
      </c>
      <c r="G600" s="1"/>
      <c r="I600" s="4">
        <v>51</v>
      </c>
      <c r="J600" s="11">
        <v>22.6</v>
      </c>
      <c r="K600" s="4">
        <v>7.2</v>
      </c>
      <c r="L600" s="12">
        <f t="shared" si="9"/>
        <v>1.354108439147401</v>
      </c>
      <c r="M600" s="11">
        <f>GraphListeria!$B$10-(Listeria!I600-GraphListeria!$B$6)/GraphListeria!$B$5</f>
        <v>1.6341457688485561</v>
      </c>
      <c r="N600" s="1" t="s">
        <v>490</v>
      </c>
      <c r="O600">
        <v>2001</v>
      </c>
      <c r="S600" s="10">
        <f>GraphListeria!$B$43*Listeria!I600+GraphListeria!$B$44</f>
        <v>1.6267734211164999</v>
      </c>
      <c r="U600" s="10">
        <f>GraphListeria!$H$43*Listeria!I600+GraphListeria!$H$44</f>
        <v>1.6341457688485566</v>
      </c>
    </row>
    <row r="601" spans="1:21" x14ac:dyDescent="0.2">
      <c r="A601" s="1" t="s">
        <v>1440</v>
      </c>
      <c r="B601" s="1" t="s">
        <v>1443</v>
      </c>
      <c r="C601" t="s">
        <v>419</v>
      </c>
      <c r="D601" s="1" t="s">
        <v>11</v>
      </c>
      <c r="E601" s="1" t="s">
        <v>305</v>
      </c>
      <c r="F601" s="1" t="s">
        <v>306</v>
      </c>
      <c r="G601" s="1"/>
      <c r="I601" s="4">
        <v>51</v>
      </c>
      <c r="J601" s="11">
        <v>21.3</v>
      </c>
      <c r="K601" s="4">
        <v>5.9</v>
      </c>
      <c r="L601" s="12">
        <f t="shared" si="9"/>
        <v>1.3283796034387378</v>
      </c>
      <c r="M601" s="11">
        <f>GraphListeria!$B$10-(Listeria!I601-GraphListeria!$B$6)/GraphListeria!$B$5</f>
        <v>1.6341457688485561</v>
      </c>
      <c r="N601" s="1" t="s">
        <v>490</v>
      </c>
      <c r="O601">
        <v>2001</v>
      </c>
      <c r="S601" s="10">
        <f>GraphListeria!$B$43*Listeria!I601+GraphListeria!$B$44</f>
        <v>1.6267734211164999</v>
      </c>
      <c r="U601" s="10">
        <f>GraphListeria!$H$43*Listeria!I601+GraphListeria!$H$44</f>
        <v>1.6341457688485566</v>
      </c>
    </row>
    <row r="602" spans="1:21" x14ac:dyDescent="0.2">
      <c r="A602" s="1" t="s">
        <v>1440</v>
      </c>
      <c r="B602" s="1" t="s">
        <v>1443</v>
      </c>
      <c r="C602" t="s">
        <v>684</v>
      </c>
      <c r="D602" s="1" t="s">
        <v>11</v>
      </c>
      <c r="E602" s="1" t="s">
        <v>305</v>
      </c>
      <c r="F602" s="1" t="s">
        <v>306</v>
      </c>
      <c r="G602" s="1"/>
      <c r="I602" s="4">
        <v>51</v>
      </c>
      <c r="J602" s="11">
        <v>22</v>
      </c>
      <c r="K602" s="4">
        <v>6.4</v>
      </c>
      <c r="L602" s="12">
        <f t="shared" si="9"/>
        <v>1.3424226808222062</v>
      </c>
      <c r="M602" s="11">
        <f>GraphListeria!$B$10-(Listeria!I602-GraphListeria!$B$6)/GraphListeria!$B$5</f>
        <v>1.6341457688485561</v>
      </c>
      <c r="N602" s="1" t="s">
        <v>490</v>
      </c>
      <c r="O602">
        <v>2001</v>
      </c>
      <c r="S602" s="10">
        <f>GraphListeria!$B$43*Listeria!I602+GraphListeria!$B$44</f>
        <v>1.6267734211164999</v>
      </c>
      <c r="U602" s="10">
        <f>GraphListeria!$H$43*Listeria!I602+GraphListeria!$H$44</f>
        <v>1.6341457688485566</v>
      </c>
    </row>
    <row r="603" spans="1:21" x14ac:dyDescent="0.2">
      <c r="A603" s="1" t="s">
        <v>1440</v>
      </c>
      <c r="B603" s="1" t="s">
        <v>1443</v>
      </c>
      <c r="C603" t="s">
        <v>685</v>
      </c>
      <c r="D603" s="1" t="s">
        <v>11</v>
      </c>
      <c r="E603" s="1" t="s">
        <v>305</v>
      </c>
      <c r="F603" s="1" t="s">
        <v>306</v>
      </c>
      <c r="G603" s="1"/>
      <c r="I603" s="4">
        <v>51</v>
      </c>
      <c r="J603" s="11">
        <v>21.5</v>
      </c>
      <c r="K603" s="4">
        <v>6.6</v>
      </c>
      <c r="L603" s="12">
        <f t="shared" si="9"/>
        <v>1.3324384599156054</v>
      </c>
      <c r="M603" s="11">
        <f>GraphListeria!$B$10-(Listeria!I603-GraphListeria!$B$6)/GraphListeria!$B$5</f>
        <v>1.6341457688485561</v>
      </c>
      <c r="N603" s="1" t="s">
        <v>490</v>
      </c>
      <c r="O603">
        <v>2001</v>
      </c>
      <c r="S603" s="10">
        <f>GraphListeria!$B$43*Listeria!I603+GraphListeria!$B$44</f>
        <v>1.6267734211164999</v>
      </c>
      <c r="U603" s="10">
        <f>GraphListeria!$H$43*Listeria!I603+GraphListeria!$H$44</f>
        <v>1.6341457688485566</v>
      </c>
    </row>
    <row r="604" spans="1:21" x14ac:dyDescent="0.2">
      <c r="A604" s="1" t="s">
        <v>1440</v>
      </c>
      <c r="B604" s="1" t="s">
        <v>1443</v>
      </c>
      <c r="C604" t="s">
        <v>57</v>
      </c>
      <c r="D604" s="1" t="s">
        <v>11</v>
      </c>
      <c r="E604" s="1" t="s">
        <v>305</v>
      </c>
      <c r="F604" s="1" t="s">
        <v>306</v>
      </c>
      <c r="G604" s="1"/>
      <c r="I604" s="4">
        <v>55.75</v>
      </c>
      <c r="J604" s="11">
        <v>5.3</v>
      </c>
      <c r="K604" s="4">
        <v>7</v>
      </c>
      <c r="L604" s="12">
        <f t="shared" si="9"/>
        <v>0.72427586960078905</v>
      </c>
      <c r="M604" s="11">
        <f>GraphListeria!$B$10-(Listeria!I604-GraphListeria!$B$6)/GraphListeria!$B$5</f>
        <v>0.95969205572780414</v>
      </c>
      <c r="N604" s="1" t="s">
        <v>490</v>
      </c>
      <c r="O604">
        <v>2001</v>
      </c>
      <c r="S604" s="10">
        <f>GraphListeria!$B$43*Listeria!I604+GraphListeria!$B$44</f>
        <v>0.97091362285438887</v>
      </c>
      <c r="U604" s="10">
        <f>GraphListeria!$H$43*Listeria!I604+GraphListeria!$H$44</f>
        <v>0.95969205572780414</v>
      </c>
    </row>
    <row r="605" spans="1:21" x14ac:dyDescent="0.2">
      <c r="A605" s="1" t="s">
        <v>1440</v>
      </c>
      <c r="B605" s="1" t="s">
        <v>1443</v>
      </c>
      <c r="C605" t="s">
        <v>57</v>
      </c>
      <c r="D605" s="1" t="s">
        <v>11</v>
      </c>
      <c r="E605" s="1" t="s">
        <v>305</v>
      </c>
      <c r="F605" s="1" t="s">
        <v>306</v>
      </c>
      <c r="G605" s="1"/>
      <c r="I605" s="4">
        <v>55.75</v>
      </c>
      <c r="J605" s="11">
        <v>3.4</v>
      </c>
      <c r="K605" s="4">
        <v>8.36</v>
      </c>
      <c r="L605" s="12">
        <f t="shared" si="9"/>
        <v>0.53147891704225514</v>
      </c>
      <c r="M605" s="11">
        <f>GraphListeria!$B$10-(Listeria!I605-GraphListeria!$B$6)/GraphListeria!$B$5</f>
        <v>0.95969205572780414</v>
      </c>
      <c r="N605" s="1" t="s">
        <v>490</v>
      </c>
      <c r="O605">
        <v>2001</v>
      </c>
      <c r="S605" s="10">
        <f>GraphListeria!$B$43*Listeria!I605+GraphListeria!$B$44</f>
        <v>0.97091362285438887</v>
      </c>
      <c r="U605" s="10">
        <f>GraphListeria!$H$43*Listeria!I605+GraphListeria!$H$44</f>
        <v>0.95969205572780414</v>
      </c>
    </row>
    <row r="606" spans="1:21" x14ac:dyDescent="0.2">
      <c r="A606" s="1" t="s">
        <v>1440</v>
      </c>
      <c r="B606" s="1" t="s">
        <v>1443</v>
      </c>
      <c r="C606" t="s">
        <v>427</v>
      </c>
      <c r="D606" s="1" t="s">
        <v>11</v>
      </c>
      <c r="E606" s="1" t="s">
        <v>305</v>
      </c>
      <c r="F606" s="1" t="s">
        <v>306</v>
      </c>
      <c r="G606" s="1"/>
      <c r="I606" s="4">
        <v>55.75</v>
      </c>
      <c r="J606" s="11">
        <v>7.1</v>
      </c>
      <c r="K606" s="4">
        <v>7.2</v>
      </c>
      <c r="L606" s="12">
        <f t="shared" si="9"/>
        <v>0.85125834871907524</v>
      </c>
      <c r="M606" s="11">
        <f>GraphListeria!$B$10-(Listeria!I606-GraphListeria!$B$6)/GraphListeria!$B$5</f>
        <v>0.95969205572780414</v>
      </c>
      <c r="N606" s="1" t="s">
        <v>490</v>
      </c>
      <c r="O606">
        <v>2001</v>
      </c>
      <c r="S606" s="10">
        <f>GraphListeria!$B$43*Listeria!I606+GraphListeria!$B$44</f>
        <v>0.97091362285438887</v>
      </c>
      <c r="U606" s="10">
        <f>GraphListeria!$H$43*Listeria!I606+GraphListeria!$H$44</f>
        <v>0.95969205572780414</v>
      </c>
    </row>
    <row r="607" spans="1:21" x14ac:dyDescent="0.2">
      <c r="A607" s="1" t="s">
        <v>1440</v>
      </c>
      <c r="B607" s="1" t="s">
        <v>1443</v>
      </c>
      <c r="C607" t="s">
        <v>419</v>
      </c>
      <c r="D607" s="1" t="s">
        <v>11</v>
      </c>
      <c r="E607" s="1" t="s">
        <v>305</v>
      </c>
      <c r="F607" s="1" t="s">
        <v>306</v>
      </c>
      <c r="G607" s="1"/>
      <c r="I607" s="4">
        <v>55.75</v>
      </c>
      <c r="J607" s="11">
        <v>6.2</v>
      </c>
      <c r="K607" s="4">
        <v>5.9</v>
      </c>
      <c r="L607" s="12">
        <f t="shared" si="9"/>
        <v>0.79239168949825389</v>
      </c>
      <c r="M607" s="11">
        <f>GraphListeria!$B$10-(Listeria!I607-GraphListeria!$B$6)/GraphListeria!$B$5</f>
        <v>0.95969205572780414</v>
      </c>
      <c r="N607" s="1" t="s">
        <v>490</v>
      </c>
      <c r="O607">
        <v>2001</v>
      </c>
      <c r="S607" s="10">
        <f>GraphListeria!$B$43*Listeria!I607+GraphListeria!$B$44</f>
        <v>0.97091362285438887</v>
      </c>
      <c r="U607" s="10">
        <f>GraphListeria!$H$43*Listeria!I607+GraphListeria!$H$44</f>
        <v>0.95969205572780414</v>
      </c>
    </row>
    <row r="608" spans="1:21" x14ac:dyDescent="0.2">
      <c r="A608" s="1" t="s">
        <v>1440</v>
      </c>
      <c r="B608" s="1" t="s">
        <v>1443</v>
      </c>
      <c r="C608" t="s">
        <v>684</v>
      </c>
      <c r="D608" s="1" t="s">
        <v>11</v>
      </c>
      <c r="E608" s="1" t="s">
        <v>305</v>
      </c>
      <c r="F608" s="1" t="s">
        <v>306</v>
      </c>
      <c r="G608" s="1"/>
      <c r="I608" s="4">
        <v>55.75</v>
      </c>
      <c r="J608" s="11">
        <v>8.1</v>
      </c>
      <c r="K608" s="4">
        <v>6.4</v>
      </c>
      <c r="L608" s="12">
        <f t="shared" si="9"/>
        <v>0.90848501887864974</v>
      </c>
      <c r="M608" s="11">
        <f>GraphListeria!$B$10-(Listeria!I608-GraphListeria!$B$6)/GraphListeria!$B$5</f>
        <v>0.95969205572780414</v>
      </c>
      <c r="N608" s="1" t="s">
        <v>490</v>
      </c>
      <c r="O608">
        <v>2001</v>
      </c>
      <c r="S608" s="10">
        <f>GraphListeria!$B$43*Listeria!I608+GraphListeria!$B$44</f>
        <v>0.97091362285438887</v>
      </c>
      <c r="U608" s="10">
        <f>GraphListeria!$H$43*Listeria!I608+GraphListeria!$H$44</f>
        <v>0.95969205572780414</v>
      </c>
    </row>
    <row r="609" spans="1:21" x14ac:dyDescent="0.2">
      <c r="A609" s="1" t="s">
        <v>1440</v>
      </c>
      <c r="B609" s="1" t="s">
        <v>1443</v>
      </c>
      <c r="C609" t="s">
        <v>685</v>
      </c>
      <c r="D609" s="1" t="s">
        <v>11</v>
      </c>
      <c r="E609" s="1" t="s">
        <v>305</v>
      </c>
      <c r="F609" s="1" t="s">
        <v>306</v>
      </c>
      <c r="G609" s="1"/>
      <c r="I609" s="4">
        <v>55.75</v>
      </c>
      <c r="J609" s="11">
        <v>8</v>
      </c>
      <c r="K609" s="4">
        <v>6.6</v>
      </c>
      <c r="L609" s="12">
        <f t="shared" si="9"/>
        <v>0.90308998699194354</v>
      </c>
      <c r="M609" s="11">
        <f>GraphListeria!$B$10-(Listeria!I609-GraphListeria!$B$6)/GraphListeria!$B$5</f>
        <v>0.95969205572780414</v>
      </c>
      <c r="N609" s="1" t="s">
        <v>490</v>
      </c>
      <c r="O609">
        <v>2001</v>
      </c>
      <c r="S609" s="10">
        <f>GraphListeria!$B$43*Listeria!I609+GraphListeria!$B$44</f>
        <v>0.97091362285438887</v>
      </c>
      <c r="U609" s="10">
        <f>GraphListeria!$H$43*Listeria!I609+GraphListeria!$H$44</f>
        <v>0.95969205572780414</v>
      </c>
    </row>
    <row r="610" spans="1:21" x14ac:dyDescent="0.2">
      <c r="A610" s="1" t="s">
        <v>1440</v>
      </c>
      <c r="B610" s="1" t="s">
        <v>1443</v>
      </c>
      <c r="D610" s="1" t="s">
        <v>11</v>
      </c>
      <c r="E610" s="1" t="s">
        <v>305</v>
      </c>
      <c r="F610" s="1" t="s">
        <v>306</v>
      </c>
      <c r="G610" s="1"/>
      <c r="I610" s="4">
        <v>55.75</v>
      </c>
      <c r="J610" s="11">
        <v>7.5</v>
      </c>
      <c r="K610" s="4">
        <v>6</v>
      </c>
      <c r="L610" s="12">
        <f t="shared" si="9"/>
        <v>0.87506126339170009</v>
      </c>
      <c r="M610" s="11">
        <f>GraphListeria!$B$10-(Listeria!I610-GraphListeria!$B$6)/GraphListeria!$B$5</f>
        <v>0.95969205572780414</v>
      </c>
      <c r="N610" s="1" t="s">
        <v>490</v>
      </c>
      <c r="O610">
        <v>2001</v>
      </c>
      <c r="S610" s="10">
        <f>GraphListeria!$B$43*Listeria!I610+GraphListeria!$B$44</f>
        <v>0.97091362285438887</v>
      </c>
      <c r="U610" s="10">
        <f>GraphListeria!$H$43*Listeria!I610+GraphListeria!$H$44</f>
        <v>0.95969205572780414</v>
      </c>
    </row>
    <row r="611" spans="1:21" x14ac:dyDescent="0.2">
      <c r="A611" s="1" t="s">
        <v>1440</v>
      </c>
      <c r="B611" s="1" t="s">
        <v>1443</v>
      </c>
      <c r="C611" t="s">
        <v>57</v>
      </c>
      <c r="D611" s="1" t="s">
        <v>11</v>
      </c>
      <c r="E611" s="1" t="s">
        <v>305</v>
      </c>
      <c r="F611" s="1" t="s">
        <v>306</v>
      </c>
      <c r="G611" s="1"/>
      <c r="I611" s="4">
        <v>57</v>
      </c>
      <c r="J611" s="11">
        <v>3.2</v>
      </c>
      <c r="K611" s="4">
        <v>7.3</v>
      </c>
      <c r="L611" s="12">
        <f t="shared" si="9"/>
        <v>0.50514997831990605</v>
      </c>
      <c r="M611" s="11">
        <f>GraphListeria!$B$10-(Listeria!I611-GraphListeria!$B$6)/GraphListeria!$B$5</f>
        <v>0.7822042364855013</v>
      </c>
      <c r="N611" s="1" t="s">
        <v>490</v>
      </c>
      <c r="O611">
        <v>2001</v>
      </c>
      <c r="S611" s="10">
        <f>GraphListeria!$B$43*Listeria!I611+GraphListeria!$B$44</f>
        <v>0.79831893910120222</v>
      </c>
      <c r="U611" s="10">
        <f>GraphListeria!$H$43*Listeria!I611+GraphListeria!$H$44</f>
        <v>0.78220423648550153</v>
      </c>
    </row>
    <row r="612" spans="1:21" x14ac:dyDescent="0.2">
      <c r="A612" s="1" t="s">
        <v>1440</v>
      </c>
      <c r="B612" s="1" t="s">
        <v>1443</v>
      </c>
      <c r="C612" t="s">
        <v>57</v>
      </c>
      <c r="D612" s="1" t="s">
        <v>11</v>
      </c>
      <c r="E612" s="1" t="s">
        <v>305</v>
      </c>
      <c r="F612" s="1" t="s">
        <v>306</v>
      </c>
      <c r="G612" s="1"/>
      <c r="I612" s="4">
        <v>57</v>
      </c>
      <c r="J612" s="11">
        <v>3.7</v>
      </c>
      <c r="K612" s="4">
        <v>7.2</v>
      </c>
      <c r="L612" s="12">
        <f t="shared" si="9"/>
        <v>0.56820172406699498</v>
      </c>
      <c r="M612" s="11">
        <f>GraphListeria!$B$10-(Listeria!I612-GraphListeria!$B$6)/GraphListeria!$B$5</f>
        <v>0.7822042364855013</v>
      </c>
      <c r="N612" s="1" t="s">
        <v>490</v>
      </c>
      <c r="O612">
        <v>2001</v>
      </c>
      <c r="S612" s="10">
        <f>GraphListeria!$B$43*Listeria!I612+GraphListeria!$B$44</f>
        <v>0.79831893910120222</v>
      </c>
      <c r="U612" s="10">
        <f>GraphListeria!$H$43*Listeria!I612+GraphListeria!$H$44</f>
        <v>0.78220423648550153</v>
      </c>
    </row>
    <row r="613" spans="1:21" x14ac:dyDescent="0.2">
      <c r="A613" s="1" t="s">
        <v>1440</v>
      </c>
      <c r="B613" s="1" t="s">
        <v>1443</v>
      </c>
      <c r="C613" t="s">
        <v>57</v>
      </c>
      <c r="D613" s="1" t="s">
        <v>11</v>
      </c>
      <c r="E613" s="1" t="s">
        <v>305</v>
      </c>
      <c r="F613" s="1" t="s">
        <v>306</v>
      </c>
      <c r="G613" s="1"/>
      <c r="I613" s="4">
        <v>60</v>
      </c>
      <c r="J613" s="11">
        <v>1.95</v>
      </c>
      <c r="K613" s="4">
        <v>7.3</v>
      </c>
      <c r="L613" s="12">
        <f t="shared" si="9"/>
        <v>0.29003461136251801</v>
      </c>
      <c r="M613" s="11">
        <f>GraphListeria!$B$10-(Listeria!I613-GraphListeria!$B$6)/GraphListeria!$B$5</f>
        <v>0.35623347030397379</v>
      </c>
      <c r="N613" s="1" t="s">
        <v>490</v>
      </c>
      <c r="O613">
        <v>2001</v>
      </c>
      <c r="S613" s="10">
        <f>GraphListeria!$B$43*Listeria!I613+GraphListeria!$B$44</f>
        <v>0.38409169809355426</v>
      </c>
      <c r="U613" s="10">
        <f>GraphListeria!$H$43*Listeria!I613+GraphListeria!$H$44</f>
        <v>0.35623347030397312</v>
      </c>
    </row>
    <row r="614" spans="1:21" x14ac:dyDescent="0.2">
      <c r="A614" s="1" t="s">
        <v>1440</v>
      </c>
      <c r="B614" s="1" t="s">
        <v>1443</v>
      </c>
      <c r="C614" t="s">
        <v>57</v>
      </c>
      <c r="D614" s="1" t="s">
        <v>11</v>
      </c>
      <c r="E614" s="1" t="s">
        <v>305</v>
      </c>
      <c r="F614" s="1" t="s">
        <v>306</v>
      </c>
      <c r="G614" s="1"/>
      <c r="I614" s="4">
        <v>60</v>
      </c>
      <c r="J614" s="11">
        <v>1.8</v>
      </c>
      <c r="K614" s="4">
        <v>7.2</v>
      </c>
      <c r="L614" s="12">
        <f t="shared" ref="L614:L658" si="10">LOG(J614)</f>
        <v>0.25527250510330607</v>
      </c>
      <c r="M614" s="11">
        <f>GraphListeria!$B$10-(Listeria!I614-GraphListeria!$B$6)/GraphListeria!$B$5</f>
        <v>0.35623347030397379</v>
      </c>
      <c r="N614" s="1" t="s">
        <v>490</v>
      </c>
      <c r="O614">
        <v>2001</v>
      </c>
      <c r="S614" s="10">
        <f>GraphListeria!$B$43*Listeria!I614+GraphListeria!$B$44</f>
        <v>0.38409169809355426</v>
      </c>
      <c r="U614" s="10">
        <f>GraphListeria!$H$43*Listeria!I614+GraphListeria!$H$44</f>
        <v>0.35623347030397312</v>
      </c>
    </row>
    <row r="615" spans="1:21" x14ac:dyDescent="0.2">
      <c r="A615" s="1" t="s">
        <v>1440</v>
      </c>
      <c r="B615" s="1" t="s">
        <v>1443</v>
      </c>
      <c r="C615" t="s">
        <v>57</v>
      </c>
      <c r="D615" s="1" t="s">
        <v>11</v>
      </c>
      <c r="E615" s="1" t="s">
        <v>305</v>
      </c>
      <c r="F615" s="1" t="s">
        <v>306</v>
      </c>
      <c r="G615" s="1"/>
      <c r="I615" s="4">
        <v>60</v>
      </c>
      <c r="J615" s="11">
        <v>2.1</v>
      </c>
      <c r="L615" s="12">
        <f t="shared" si="10"/>
        <v>0.3222192947339193</v>
      </c>
      <c r="M615" s="11">
        <f>GraphListeria!$B$10-(Listeria!I615-GraphListeria!$B$6)/GraphListeria!$B$5</f>
        <v>0.35623347030397379</v>
      </c>
      <c r="N615" s="1" t="s">
        <v>490</v>
      </c>
      <c r="O615">
        <v>2001</v>
      </c>
      <c r="S615" s="10">
        <f>GraphListeria!$B$43*Listeria!I615+GraphListeria!$B$44</f>
        <v>0.38409169809355426</v>
      </c>
      <c r="U615" s="10">
        <f>GraphListeria!$H$43*Listeria!I615+GraphListeria!$H$44</f>
        <v>0.35623347030397312</v>
      </c>
    </row>
    <row r="616" spans="1:21" x14ac:dyDescent="0.2">
      <c r="A616" s="1" t="s">
        <v>1440</v>
      </c>
      <c r="B616" s="1" t="s">
        <v>1443</v>
      </c>
      <c r="C616" t="s">
        <v>57</v>
      </c>
      <c r="D616" s="1" t="s">
        <v>11</v>
      </c>
      <c r="E616" s="1" t="s">
        <v>305</v>
      </c>
      <c r="F616" s="1" t="s">
        <v>306</v>
      </c>
      <c r="G616" s="1"/>
      <c r="I616" s="4">
        <v>60</v>
      </c>
      <c r="J616" s="11">
        <v>1.3</v>
      </c>
      <c r="K616" s="4">
        <v>7</v>
      </c>
      <c r="L616" s="12">
        <f t="shared" si="10"/>
        <v>0.11394335230683679</v>
      </c>
      <c r="M616" s="11">
        <f>GraphListeria!$B$10-(Listeria!I616-GraphListeria!$B$6)/GraphListeria!$B$5</f>
        <v>0.35623347030397379</v>
      </c>
      <c r="N616" s="1" t="s">
        <v>490</v>
      </c>
      <c r="O616">
        <v>2001</v>
      </c>
      <c r="S616" s="10">
        <f>GraphListeria!$B$43*Listeria!I616+GraphListeria!$B$44</f>
        <v>0.38409169809355426</v>
      </c>
      <c r="U616" s="10">
        <f>GraphListeria!$H$43*Listeria!I616+GraphListeria!$H$44</f>
        <v>0.35623347030397312</v>
      </c>
    </row>
    <row r="617" spans="1:21" x14ac:dyDescent="0.2">
      <c r="A617" s="1" t="s">
        <v>1440</v>
      </c>
      <c r="B617" s="1" t="s">
        <v>1443</v>
      </c>
      <c r="C617" t="s">
        <v>57</v>
      </c>
      <c r="D617" s="1" t="s">
        <v>11</v>
      </c>
      <c r="E617" s="1" t="s">
        <v>305</v>
      </c>
      <c r="F617" s="1" t="s">
        <v>306</v>
      </c>
      <c r="G617" s="1"/>
      <c r="I617" s="4">
        <v>60</v>
      </c>
      <c r="J617" s="11">
        <v>1.3</v>
      </c>
      <c r="K617" s="4">
        <v>8.36</v>
      </c>
      <c r="L617" s="12">
        <f t="shared" si="10"/>
        <v>0.11394335230683679</v>
      </c>
      <c r="M617" s="11">
        <f>GraphListeria!$B$10-(Listeria!I617-GraphListeria!$B$6)/GraphListeria!$B$5</f>
        <v>0.35623347030397379</v>
      </c>
      <c r="N617" s="1" t="s">
        <v>490</v>
      </c>
      <c r="O617">
        <v>2001</v>
      </c>
      <c r="S617" s="10">
        <f>GraphListeria!$B$43*Listeria!I617+GraphListeria!$B$44</f>
        <v>0.38409169809355426</v>
      </c>
      <c r="U617" s="10">
        <f>GraphListeria!$H$43*Listeria!I617+GraphListeria!$H$44</f>
        <v>0.35623347030397312</v>
      </c>
    </row>
    <row r="618" spans="1:21" x14ac:dyDescent="0.2">
      <c r="A618" s="1" t="s">
        <v>1440</v>
      </c>
      <c r="B618" s="1" t="s">
        <v>1443</v>
      </c>
      <c r="C618" t="s">
        <v>683</v>
      </c>
      <c r="D618" s="1" t="s">
        <v>11</v>
      </c>
      <c r="E618" s="1" t="s">
        <v>305</v>
      </c>
      <c r="F618" s="1" t="s">
        <v>306</v>
      </c>
      <c r="G618" s="1"/>
      <c r="I618" s="4">
        <v>60</v>
      </c>
      <c r="J618" s="11">
        <v>1.5</v>
      </c>
      <c r="L618" s="12">
        <f t="shared" si="10"/>
        <v>0.17609125905568124</v>
      </c>
      <c r="M618" s="11">
        <f>GraphListeria!$B$10-(Listeria!I618-GraphListeria!$B$6)/GraphListeria!$B$5</f>
        <v>0.35623347030397379</v>
      </c>
      <c r="N618" s="1" t="s">
        <v>490</v>
      </c>
      <c r="O618">
        <v>2001</v>
      </c>
      <c r="S618" s="10">
        <f>GraphListeria!$B$43*Listeria!I618+GraphListeria!$B$44</f>
        <v>0.38409169809355426</v>
      </c>
      <c r="U618" s="10">
        <f>GraphListeria!$H$43*Listeria!I618+GraphListeria!$H$44</f>
        <v>0.35623347030397312</v>
      </c>
    </row>
    <row r="619" spans="1:21" x14ac:dyDescent="0.2">
      <c r="A619" s="1" t="s">
        <v>1440</v>
      </c>
      <c r="B619" s="1" t="s">
        <v>1443</v>
      </c>
      <c r="C619" t="s">
        <v>427</v>
      </c>
      <c r="D619" s="1" t="s">
        <v>11</v>
      </c>
      <c r="E619" s="1" t="s">
        <v>305</v>
      </c>
      <c r="F619" s="1" t="s">
        <v>306</v>
      </c>
      <c r="G619" s="1"/>
      <c r="I619" s="4">
        <v>60</v>
      </c>
      <c r="J619" s="11">
        <v>1.4</v>
      </c>
      <c r="K619" s="4">
        <v>7.2</v>
      </c>
      <c r="L619" s="12">
        <f t="shared" si="10"/>
        <v>0.14612803567823801</v>
      </c>
      <c r="M619" s="11">
        <f>GraphListeria!$B$10-(Listeria!I619-GraphListeria!$B$6)/GraphListeria!$B$5</f>
        <v>0.35623347030397379</v>
      </c>
      <c r="N619" s="1" t="s">
        <v>490</v>
      </c>
      <c r="O619">
        <v>2001</v>
      </c>
      <c r="S619" s="10">
        <f>GraphListeria!$B$43*Listeria!I619+GraphListeria!$B$44</f>
        <v>0.38409169809355426</v>
      </c>
      <c r="U619" s="10">
        <f>GraphListeria!$H$43*Listeria!I619+GraphListeria!$H$44</f>
        <v>0.35623347030397312</v>
      </c>
    </row>
    <row r="620" spans="1:21" x14ac:dyDescent="0.2">
      <c r="A620" s="1" t="s">
        <v>1440</v>
      </c>
      <c r="B620" s="1" t="s">
        <v>1443</v>
      </c>
      <c r="C620" t="s">
        <v>419</v>
      </c>
      <c r="D620" s="1" t="s">
        <v>11</v>
      </c>
      <c r="E620" s="1" t="s">
        <v>305</v>
      </c>
      <c r="F620" s="1" t="s">
        <v>306</v>
      </c>
      <c r="G620" s="1"/>
      <c r="I620" s="4">
        <v>60</v>
      </c>
      <c r="J620" s="11">
        <v>1.3</v>
      </c>
      <c r="K620" s="4">
        <v>5.9</v>
      </c>
      <c r="L620" s="12">
        <f t="shared" si="10"/>
        <v>0.11394335230683679</v>
      </c>
      <c r="M620" s="11">
        <f>GraphListeria!$B$10-(Listeria!I620-GraphListeria!$B$6)/GraphListeria!$B$5</f>
        <v>0.35623347030397379</v>
      </c>
      <c r="N620" s="1" t="s">
        <v>490</v>
      </c>
      <c r="O620">
        <v>2001</v>
      </c>
      <c r="S620" s="10">
        <f>GraphListeria!$B$43*Listeria!I620+GraphListeria!$B$44</f>
        <v>0.38409169809355426</v>
      </c>
      <c r="U620" s="10">
        <f>GraphListeria!$H$43*Listeria!I620+GraphListeria!$H$44</f>
        <v>0.35623347030397312</v>
      </c>
    </row>
    <row r="621" spans="1:21" x14ac:dyDescent="0.2">
      <c r="A621" s="1" t="s">
        <v>1440</v>
      </c>
      <c r="B621" s="1" t="s">
        <v>1443</v>
      </c>
      <c r="C621" t="s">
        <v>684</v>
      </c>
      <c r="D621" s="1" t="s">
        <v>11</v>
      </c>
      <c r="E621" s="1" t="s">
        <v>305</v>
      </c>
      <c r="F621" s="1" t="s">
        <v>306</v>
      </c>
      <c r="G621" s="1"/>
      <c r="I621" s="4">
        <v>60</v>
      </c>
      <c r="J621" s="11">
        <v>1.6</v>
      </c>
      <c r="K621" s="4">
        <v>6.4</v>
      </c>
      <c r="L621" s="12">
        <f t="shared" si="10"/>
        <v>0.20411998265592479</v>
      </c>
      <c r="M621" s="11">
        <f>GraphListeria!$B$10-(Listeria!I621-GraphListeria!$B$6)/GraphListeria!$B$5</f>
        <v>0.35623347030397379</v>
      </c>
      <c r="N621" s="1" t="s">
        <v>490</v>
      </c>
      <c r="O621">
        <v>2001</v>
      </c>
      <c r="S621" s="10">
        <f>GraphListeria!$B$43*Listeria!I621+GraphListeria!$B$44</f>
        <v>0.38409169809355426</v>
      </c>
      <c r="U621" s="10">
        <f>GraphListeria!$H$43*Listeria!I621+GraphListeria!$H$44</f>
        <v>0.35623347030397312</v>
      </c>
    </row>
    <row r="622" spans="1:21" x14ac:dyDescent="0.2">
      <c r="A622" s="1" t="s">
        <v>1440</v>
      </c>
      <c r="B622" s="1" t="s">
        <v>1443</v>
      </c>
      <c r="C622" t="s">
        <v>685</v>
      </c>
      <c r="D622" s="1" t="s">
        <v>11</v>
      </c>
      <c r="E622" s="1" t="s">
        <v>305</v>
      </c>
      <c r="F622" s="1" t="s">
        <v>306</v>
      </c>
      <c r="G622" s="1"/>
      <c r="I622" s="4">
        <v>60</v>
      </c>
      <c r="J622" s="11">
        <v>1.7</v>
      </c>
      <c r="K622" s="4">
        <v>6.6</v>
      </c>
      <c r="L622" s="12">
        <f t="shared" si="10"/>
        <v>0.23044892137827391</v>
      </c>
      <c r="M622" s="11">
        <f>GraphListeria!$B$10-(Listeria!I622-GraphListeria!$B$6)/GraphListeria!$B$5</f>
        <v>0.35623347030397379</v>
      </c>
      <c r="N622" s="1" t="s">
        <v>490</v>
      </c>
      <c r="O622">
        <v>2001</v>
      </c>
      <c r="S622" s="10">
        <f>GraphListeria!$B$43*Listeria!I622+GraphListeria!$B$44</f>
        <v>0.38409169809355426</v>
      </c>
      <c r="U622" s="10">
        <f>GraphListeria!$H$43*Listeria!I622+GraphListeria!$H$44</f>
        <v>0.35623347030397312</v>
      </c>
    </row>
    <row r="623" spans="1:21" x14ac:dyDescent="0.2">
      <c r="A623" s="1" t="s">
        <v>1440</v>
      </c>
      <c r="B623" s="1" t="s">
        <v>1443</v>
      </c>
      <c r="C623" t="s">
        <v>57</v>
      </c>
      <c r="D623" s="1" t="s">
        <v>11</v>
      </c>
      <c r="E623" s="1" t="s">
        <v>305</v>
      </c>
      <c r="F623" s="1" t="s">
        <v>306</v>
      </c>
      <c r="G623" s="1"/>
      <c r="I623" s="4">
        <v>63</v>
      </c>
      <c r="J623" s="11">
        <v>0.49</v>
      </c>
      <c r="K623" s="4">
        <v>7.3</v>
      </c>
      <c r="L623" s="12">
        <f t="shared" si="10"/>
        <v>-0.30980391997148632</v>
      </c>
      <c r="M623" s="11">
        <f>GraphListeria!$B$10-(Listeria!I623-GraphListeria!$B$6)/GraphListeria!$B$5</f>
        <v>-6.973729587755384E-2</v>
      </c>
      <c r="N623" s="1" t="s">
        <v>490</v>
      </c>
      <c r="O623">
        <v>2001</v>
      </c>
      <c r="S623" s="10">
        <f>GraphListeria!$B$43*Listeria!I623+GraphListeria!$B$44</f>
        <v>-3.0135542914095481E-2</v>
      </c>
      <c r="U623" s="10">
        <f>GraphListeria!$H$43*Listeria!I623+GraphListeria!$H$44</f>
        <v>-6.9737295877553507E-2</v>
      </c>
    </row>
    <row r="624" spans="1:21" x14ac:dyDescent="0.2">
      <c r="A624" s="1" t="s">
        <v>1440</v>
      </c>
      <c r="B624" s="1" t="s">
        <v>1443</v>
      </c>
      <c r="C624" t="s">
        <v>57</v>
      </c>
      <c r="D624" s="1" t="s">
        <v>11</v>
      </c>
      <c r="E624" s="1" t="s">
        <v>305</v>
      </c>
      <c r="F624" s="1" t="s">
        <v>306</v>
      </c>
      <c r="G624" s="1"/>
      <c r="I624" s="4">
        <v>63</v>
      </c>
      <c r="J624" s="11">
        <v>0.55000000000000004</v>
      </c>
      <c r="K624" s="4">
        <v>7.2</v>
      </c>
      <c r="L624" s="12">
        <f t="shared" si="10"/>
        <v>-0.25963731050575611</v>
      </c>
      <c r="M624" s="11">
        <f>GraphListeria!$B$10-(Listeria!I624-GraphListeria!$B$6)/GraphListeria!$B$5</f>
        <v>-6.973729587755384E-2</v>
      </c>
      <c r="N624" s="1" t="s">
        <v>490</v>
      </c>
      <c r="O624">
        <v>2001</v>
      </c>
      <c r="S624" s="10">
        <f>GraphListeria!$B$43*Listeria!I624+GraphListeria!$B$44</f>
        <v>-3.0135542914095481E-2</v>
      </c>
      <c r="U624" s="10">
        <f>GraphListeria!$H$43*Listeria!I624+GraphListeria!$H$44</f>
        <v>-6.9737295877553507E-2</v>
      </c>
    </row>
    <row r="625" spans="1:21" x14ac:dyDescent="0.2">
      <c r="A625" s="1" t="s">
        <v>1440</v>
      </c>
      <c r="B625" s="1" t="s">
        <v>1443</v>
      </c>
      <c r="D625" s="1" t="s">
        <v>11</v>
      </c>
      <c r="E625" s="1" t="s">
        <v>305</v>
      </c>
      <c r="F625" s="1" t="s">
        <v>306</v>
      </c>
      <c r="G625" s="1"/>
      <c r="I625" s="4">
        <v>63</v>
      </c>
      <c r="J625" s="11">
        <v>0.42</v>
      </c>
      <c r="K625" s="4">
        <v>6</v>
      </c>
      <c r="L625" s="12">
        <f t="shared" si="10"/>
        <v>-0.37675070960209955</v>
      </c>
      <c r="M625" s="11">
        <f>GraphListeria!$B$10-(Listeria!I625-GraphListeria!$B$6)/GraphListeria!$B$5</f>
        <v>-6.973729587755384E-2</v>
      </c>
      <c r="N625" s="1" t="s">
        <v>490</v>
      </c>
      <c r="O625">
        <v>2001</v>
      </c>
      <c r="S625" s="10">
        <f>GraphListeria!$B$43*Listeria!I625+GraphListeria!$B$44</f>
        <v>-3.0135542914095481E-2</v>
      </c>
      <c r="U625" s="10">
        <f>GraphListeria!$H$43*Listeria!I625+GraphListeria!$H$44</f>
        <v>-6.9737295877553507E-2</v>
      </c>
    </row>
    <row r="626" spans="1:21" x14ac:dyDescent="0.2">
      <c r="A626" s="1" t="s">
        <v>1440</v>
      </c>
      <c r="B626" s="1" t="s">
        <v>1443</v>
      </c>
      <c r="C626" t="s">
        <v>57</v>
      </c>
      <c r="D626" s="1" t="s">
        <v>11</v>
      </c>
      <c r="E626" s="1" t="s">
        <v>305</v>
      </c>
      <c r="F626" s="1" t="s">
        <v>306</v>
      </c>
      <c r="G626" s="1"/>
      <c r="I626" s="4">
        <v>65.5</v>
      </c>
      <c r="J626" s="11">
        <v>0.11</v>
      </c>
      <c r="K626" s="4">
        <v>7</v>
      </c>
      <c r="L626" s="12">
        <f t="shared" si="10"/>
        <v>-0.95860731484177497</v>
      </c>
      <c r="M626" s="11">
        <f>GraphListeria!$B$10-(Listeria!I626-GraphListeria!$B$6)/GraphListeria!$B$5</f>
        <v>-0.42471293436216007</v>
      </c>
      <c r="N626" s="1" t="s">
        <v>490</v>
      </c>
      <c r="O626">
        <v>2001</v>
      </c>
      <c r="S626" s="10">
        <f>GraphListeria!$B$43*Listeria!I626+GraphListeria!$B$44</f>
        <v>-0.37532491042046878</v>
      </c>
      <c r="U626" s="10">
        <f>GraphListeria!$H$43*Listeria!I626+GraphListeria!$H$44</f>
        <v>-0.42471293436216051</v>
      </c>
    </row>
    <row r="627" spans="1:21" x14ac:dyDescent="0.2">
      <c r="A627" s="1" t="s">
        <v>1440</v>
      </c>
      <c r="B627" s="1" t="s">
        <v>1443</v>
      </c>
      <c r="C627" t="s">
        <v>427</v>
      </c>
      <c r="D627" s="1" t="s">
        <v>11</v>
      </c>
      <c r="E627" s="1" t="s">
        <v>305</v>
      </c>
      <c r="F627" s="1" t="s">
        <v>306</v>
      </c>
      <c r="G627" s="1"/>
      <c r="I627" s="4">
        <v>65.5</v>
      </c>
      <c r="J627" s="11">
        <v>0.2</v>
      </c>
      <c r="K627" s="4">
        <v>7.2</v>
      </c>
      <c r="L627" s="12">
        <f t="shared" si="10"/>
        <v>-0.69897000433601875</v>
      </c>
      <c r="M627" s="11">
        <f>GraphListeria!$B$10-(Listeria!I627-GraphListeria!$B$6)/GraphListeria!$B$5</f>
        <v>-0.42471293436216007</v>
      </c>
      <c r="N627" s="1" t="s">
        <v>490</v>
      </c>
      <c r="O627">
        <v>2001</v>
      </c>
      <c r="S627" s="10">
        <f>GraphListeria!$B$43*Listeria!I627+GraphListeria!$B$44</f>
        <v>-0.37532491042046878</v>
      </c>
      <c r="U627" s="10">
        <f>GraphListeria!$H$43*Listeria!I627+GraphListeria!$H$44</f>
        <v>-0.42471293436216051</v>
      </c>
    </row>
    <row r="628" spans="1:21" x14ac:dyDescent="0.2">
      <c r="A628" s="1" t="s">
        <v>1440</v>
      </c>
      <c r="B628" s="1" t="s">
        <v>1443</v>
      </c>
      <c r="C628" t="s">
        <v>419</v>
      </c>
      <c r="D628" s="1" t="s">
        <v>11</v>
      </c>
      <c r="E628" s="1" t="s">
        <v>305</v>
      </c>
      <c r="F628" s="1" t="s">
        <v>306</v>
      </c>
      <c r="G628" s="1"/>
      <c r="I628" s="4">
        <v>65.5</v>
      </c>
      <c r="J628" s="11">
        <v>0.06</v>
      </c>
      <c r="K628" s="4">
        <v>5.9</v>
      </c>
      <c r="L628" s="12">
        <f t="shared" si="10"/>
        <v>-1.2218487496163564</v>
      </c>
      <c r="M628" s="11">
        <f>GraphListeria!$B$10-(Listeria!I628-GraphListeria!$B$6)/GraphListeria!$B$5</f>
        <v>-0.42471293436216007</v>
      </c>
      <c r="N628" s="1" t="s">
        <v>490</v>
      </c>
      <c r="O628">
        <v>2001</v>
      </c>
      <c r="S628" s="10">
        <f>GraphListeria!$B$43*Listeria!I628+GraphListeria!$B$44</f>
        <v>-0.37532491042046878</v>
      </c>
      <c r="U628" s="10">
        <f>GraphListeria!$H$43*Listeria!I628+GraphListeria!$H$44</f>
        <v>-0.42471293436216051</v>
      </c>
    </row>
    <row r="629" spans="1:21" x14ac:dyDescent="0.2">
      <c r="A629" s="1" t="s">
        <v>1440</v>
      </c>
      <c r="B629" s="1" t="s">
        <v>1443</v>
      </c>
      <c r="C629" t="s">
        <v>684</v>
      </c>
      <c r="D629" s="1" t="s">
        <v>11</v>
      </c>
      <c r="E629" s="1" t="s">
        <v>305</v>
      </c>
      <c r="F629" s="1" t="s">
        <v>306</v>
      </c>
      <c r="G629" s="1"/>
      <c r="I629" s="4">
        <v>65.5</v>
      </c>
      <c r="J629" s="11">
        <v>0.11</v>
      </c>
      <c r="K629" s="4">
        <v>6.4</v>
      </c>
      <c r="L629" s="12">
        <f t="shared" si="10"/>
        <v>-0.95860731484177497</v>
      </c>
      <c r="M629" s="11">
        <f>GraphListeria!$B$10-(Listeria!I629-GraphListeria!$B$6)/GraphListeria!$B$5</f>
        <v>-0.42471293436216007</v>
      </c>
      <c r="N629" s="1" t="s">
        <v>490</v>
      </c>
      <c r="O629">
        <v>2001</v>
      </c>
      <c r="S629" s="10">
        <f>GraphListeria!$B$43*Listeria!I629+GraphListeria!$B$44</f>
        <v>-0.37532491042046878</v>
      </c>
      <c r="U629" s="10">
        <f>GraphListeria!$H$43*Listeria!I629+GraphListeria!$H$44</f>
        <v>-0.42471293436216051</v>
      </c>
    </row>
    <row r="630" spans="1:21" x14ac:dyDescent="0.2">
      <c r="A630" s="1" t="s">
        <v>1440</v>
      </c>
      <c r="B630" s="1" t="s">
        <v>1443</v>
      </c>
      <c r="C630" t="s">
        <v>685</v>
      </c>
      <c r="D630" s="1" t="s">
        <v>11</v>
      </c>
      <c r="E630" s="1" t="s">
        <v>305</v>
      </c>
      <c r="F630" s="1" t="s">
        <v>306</v>
      </c>
      <c r="G630" s="1"/>
      <c r="I630" s="4">
        <v>65.5</v>
      </c>
      <c r="J630" s="11">
        <v>0.12</v>
      </c>
      <c r="K630" s="4">
        <v>6.6</v>
      </c>
      <c r="L630" s="12">
        <f t="shared" si="10"/>
        <v>-0.92081875395237522</v>
      </c>
      <c r="M630" s="11">
        <f>GraphListeria!$B$10-(Listeria!I630-GraphListeria!$B$6)/GraphListeria!$B$5</f>
        <v>-0.42471293436216007</v>
      </c>
      <c r="N630" s="1" t="s">
        <v>490</v>
      </c>
      <c r="O630">
        <v>2001</v>
      </c>
      <c r="S630" s="10">
        <f>GraphListeria!$B$43*Listeria!I630+GraphListeria!$B$44</f>
        <v>-0.37532491042046878</v>
      </c>
      <c r="U630" s="10">
        <f>GraphListeria!$H$43*Listeria!I630+GraphListeria!$H$44</f>
        <v>-0.42471293436216051</v>
      </c>
    </row>
    <row r="631" spans="1:21" x14ac:dyDescent="0.2">
      <c r="A631" s="1" t="s">
        <v>1440</v>
      </c>
      <c r="B631" s="1" t="s">
        <v>1443</v>
      </c>
      <c r="C631" t="s">
        <v>57</v>
      </c>
      <c r="D631" s="1" t="s">
        <v>11</v>
      </c>
      <c r="E631" s="1" t="s">
        <v>305</v>
      </c>
      <c r="F631" s="1" t="s">
        <v>686</v>
      </c>
      <c r="G631" s="1"/>
      <c r="I631" s="4">
        <v>55.75</v>
      </c>
      <c r="J631" s="11">
        <v>2.17</v>
      </c>
      <c r="L631" s="12">
        <f t="shared" si="10"/>
        <v>0.33645973384852951</v>
      </c>
      <c r="M631" s="11">
        <f>GraphListeria!$B$10-(Listeria!I631-GraphListeria!$B$6)/GraphListeria!$B$5</f>
        <v>0.95969205572780414</v>
      </c>
      <c r="N631" s="1" t="s">
        <v>490</v>
      </c>
      <c r="O631">
        <v>2001</v>
      </c>
      <c r="S631" s="10">
        <f>GraphListeria!$B$43*Listeria!I631+GraphListeria!$B$44</f>
        <v>0.97091362285438887</v>
      </c>
      <c r="U631" s="10">
        <f>GraphListeria!$H$43*Listeria!I631+GraphListeria!$H$44</f>
        <v>0.95969205572780414</v>
      </c>
    </row>
    <row r="632" spans="1:21" x14ac:dyDescent="0.2">
      <c r="A632" s="1" t="s">
        <v>1440</v>
      </c>
      <c r="B632" s="1" t="s">
        <v>1443</v>
      </c>
      <c r="C632" t="s">
        <v>57</v>
      </c>
      <c r="D632" s="1" t="s">
        <v>11</v>
      </c>
      <c r="E632" s="1" t="s">
        <v>305</v>
      </c>
      <c r="F632" s="1" t="s">
        <v>686</v>
      </c>
      <c r="G632" s="1"/>
      <c r="I632" s="4">
        <v>60</v>
      </c>
      <c r="J632" s="11">
        <v>1.4</v>
      </c>
      <c r="L632" s="12">
        <f t="shared" si="10"/>
        <v>0.14612803567823801</v>
      </c>
      <c r="M632" s="11">
        <f>GraphListeria!$B$10-(Listeria!I632-GraphListeria!$B$6)/GraphListeria!$B$5</f>
        <v>0.35623347030397379</v>
      </c>
      <c r="N632" s="1" t="s">
        <v>490</v>
      </c>
      <c r="O632">
        <v>2001</v>
      </c>
      <c r="S632" s="10">
        <f>GraphListeria!$B$43*Listeria!I632+GraphListeria!$B$44</f>
        <v>0.38409169809355426</v>
      </c>
      <c r="U632" s="10">
        <f>GraphListeria!$H$43*Listeria!I632+GraphListeria!$H$44</f>
        <v>0.35623347030397312</v>
      </c>
    </row>
    <row r="633" spans="1:21" x14ac:dyDescent="0.2">
      <c r="A633" s="1" t="s">
        <v>1440</v>
      </c>
      <c r="B633" s="1" t="s">
        <v>1443</v>
      </c>
      <c r="C633" t="s">
        <v>57</v>
      </c>
      <c r="D633" s="1" t="s">
        <v>11</v>
      </c>
      <c r="E633" s="1" t="s">
        <v>305</v>
      </c>
      <c r="F633" s="1" t="s">
        <v>686</v>
      </c>
      <c r="G633" s="1"/>
      <c r="I633" s="4">
        <v>60</v>
      </c>
      <c r="J633" s="11">
        <v>1.1000000000000001</v>
      </c>
      <c r="L633" s="12">
        <f t="shared" si="10"/>
        <v>4.1392685158225077E-2</v>
      </c>
      <c r="M633" s="11">
        <f>GraphListeria!$B$10-(Listeria!I633-GraphListeria!$B$6)/GraphListeria!$B$5</f>
        <v>0.35623347030397379</v>
      </c>
      <c r="N633" s="1" t="s">
        <v>490</v>
      </c>
      <c r="O633">
        <v>2001</v>
      </c>
      <c r="P633" t="s">
        <v>714</v>
      </c>
      <c r="S633" s="10">
        <f>GraphListeria!$B$43*Listeria!I633+GraphListeria!$B$44</f>
        <v>0.38409169809355426</v>
      </c>
      <c r="U633" s="10">
        <f>GraphListeria!$H$43*Listeria!I633+GraphListeria!$H$44</f>
        <v>0.35623347030397312</v>
      </c>
    </row>
    <row r="634" spans="1:21" x14ac:dyDescent="0.2">
      <c r="A634" s="1" t="s">
        <v>1440</v>
      </c>
      <c r="B634" s="1" t="s">
        <v>1443</v>
      </c>
      <c r="C634" t="s">
        <v>57</v>
      </c>
      <c r="D634" s="1" t="s">
        <v>11</v>
      </c>
      <c r="E634" s="1" t="s">
        <v>305</v>
      </c>
      <c r="F634" s="1" t="s">
        <v>323</v>
      </c>
      <c r="G634" s="1"/>
      <c r="I634" s="4">
        <v>61</v>
      </c>
      <c r="J634" s="11">
        <v>1.9</v>
      </c>
      <c r="L634" s="12">
        <f t="shared" si="10"/>
        <v>0.27875360095282892</v>
      </c>
      <c r="M634" s="11">
        <f>GraphListeria!$B$10-(Listeria!I634-GraphListeria!$B$6)/GraphListeria!$B$5</f>
        <v>0.21424321491013121</v>
      </c>
      <c r="N634" s="1" t="s">
        <v>490</v>
      </c>
      <c r="O634">
        <v>2001</v>
      </c>
      <c r="S634" s="10">
        <f>GraphListeria!$B$43*Listeria!I634+GraphListeria!$B$44</f>
        <v>0.24601595109100316</v>
      </c>
      <c r="U634" s="10">
        <f>GraphListeria!$H$43*Listeria!I634+GraphListeria!$H$44</f>
        <v>0.21424321491013032</v>
      </c>
    </row>
    <row r="635" spans="1:21" x14ac:dyDescent="0.2">
      <c r="A635" s="1" t="s">
        <v>1440</v>
      </c>
      <c r="B635" s="1" t="s">
        <v>1443</v>
      </c>
      <c r="C635" t="s">
        <v>683</v>
      </c>
      <c r="D635" s="1" t="s">
        <v>11</v>
      </c>
      <c r="E635" s="1" t="s">
        <v>305</v>
      </c>
      <c r="F635" s="1" t="s">
        <v>323</v>
      </c>
      <c r="G635" s="1"/>
      <c r="I635" s="4">
        <v>61</v>
      </c>
      <c r="J635" s="11">
        <v>1.2</v>
      </c>
      <c r="L635" s="12">
        <f t="shared" si="10"/>
        <v>7.9181246047624818E-2</v>
      </c>
      <c r="M635" s="11">
        <f>GraphListeria!$B$10-(Listeria!I635-GraphListeria!$B$6)/GraphListeria!$B$5</f>
        <v>0.21424321491013121</v>
      </c>
      <c r="N635" s="1" t="s">
        <v>490</v>
      </c>
      <c r="O635">
        <v>2001</v>
      </c>
      <c r="S635" s="10">
        <f>GraphListeria!$B$43*Listeria!I635+GraphListeria!$B$44</f>
        <v>0.24601595109100316</v>
      </c>
      <c r="U635" s="10">
        <f>GraphListeria!$H$43*Listeria!I635+GraphListeria!$H$44</f>
        <v>0.21424321491013032</v>
      </c>
    </row>
    <row r="636" spans="1:21" x14ac:dyDescent="0.2">
      <c r="A636" s="1" t="s">
        <v>1440</v>
      </c>
      <c r="B636" s="1" t="s">
        <v>1443</v>
      </c>
      <c r="D636" s="1" t="s">
        <v>11</v>
      </c>
      <c r="E636" s="1" t="s">
        <v>305</v>
      </c>
      <c r="F636" s="1" t="s">
        <v>325</v>
      </c>
      <c r="G636" s="1"/>
      <c r="I636" s="4">
        <v>60</v>
      </c>
      <c r="J636" s="11">
        <v>1.34</v>
      </c>
      <c r="K636" s="4">
        <v>6.06</v>
      </c>
      <c r="L636" s="12">
        <f t="shared" si="10"/>
        <v>0.12710479836480765</v>
      </c>
      <c r="M636" s="11">
        <f>GraphListeria!$B$10-(Listeria!I636-GraphListeria!$B$6)/GraphListeria!$B$5</f>
        <v>0.35623347030397379</v>
      </c>
      <c r="N636" s="1" t="s">
        <v>490</v>
      </c>
      <c r="O636">
        <v>2001</v>
      </c>
      <c r="S636" s="10">
        <f>GraphListeria!$B$43*Listeria!I636+GraphListeria!$B$44</f>
        <v>0.38409169809355426</v>
      </c>
      <c r="U636" s="10">
        <f>GraphListeria!$H$43*Listeria!I636+GraphListeria!$H$44</f>
        <v>0.35623347030397312</v>
      </c>
    </row>
    <row r="637" spans="1:21" x14ac:dyDescent="0.2">
      <c r="A637" s="1" t="s">
        <v>1440</v>
      </c>
      <c r="B637" s="1" t="s">
        <v>1443</v>
      </c>
      <c r="C637" t="s">
        <v>57</v>
      </c>
      <c r="D637" s="1" t="s">
        <v>11</v>
      </c>
      <c r="E637" s="1" t="s">
        <v>305</v>
      </c>
      <c r="F637" s="1" t="s">
        <v>325</v>
      </c>
      <c r="G637" s="1"/>
      <c r="I637" s="4">
        <v>61.1</v>
      </c>
      <c r="J637" s="11">
        <v>1.56</v>
      </c>
      <c r="K637" s="4">
        <v>11.45</v>
      </c>
      <c r="L637" s="12">
        <f t="shared" si="10"/>
        <v>0.19312459835446161</v>
      </c>
      <c r="M637" s="11">
        <f>GraphListeria!$B$10-(Listeria!I637-GraphListeria!$B$6)/GraphListeria!$B$5</f>
        <v>0.20004418937074675</v>
      </c>
      <c r="N637" s="1" t="s">
        <v>490</v>
      </c>
      <c r="O637">
        <v>2001</v>
      </c>
      <c r="S637" s="10">
        <f>GraphListeria!$B$43*Listeria!I637+GraphListeria!$B$44</f>
        <v>0.23220837639074787</v>
      </c>
      <c r="U637" s="10">
        <f>GraphListeria!$H$43*Listeria!I637+GraphListeria!$H$44</f>
        <v>0.20004418937074675</v>
      </c>
    </row>
    <row r="638" spans="1:21" x14ac:dyDescent="0.2">
      <c r="A638" s="1" t="s">
        <v>1440</v>
      </c>
      <c r="B638" s="1" t="s">
        <v>1443</v>
      </c>
      <c r="C638" t="s">
        <v>687</v>
      </c>
      <c r="D638" s="1" t="s">
        <v>11</v>
      </c>
      <c r="E638" s="1" t="s">
        <v>305</v>
      </c>
      <c r="F638" s="1" t="s">
        <v>325</v>
      </c>
      <c r="G638" s="1"/>
      <c r="I638" s="4">
        <v>61.1</v>
      </c>
      <c r="J638" s="11">
        <v>0.94</v>
      </c>
      <c r="K638" s="4">
        <v>5.08</v>
      </c>
      <c r="L638" s="12">
        <f t="shared" si="10"/>
        <v>-2.6872146400301365E-2</v>
      </c>
      <c r="M638" s="11">
        <f>GraphListeria!$B$10-(Listeria!I638-GraphListeria!$B$6)/GraphListeria!$B$5</f>
        <v>0.20004418937074675</v>
      </c>
      <c r="N638" s="1" t="s">
        <v>490</v>
      </c>
      <c r="O638">
        <v>2001</v>
      </c>
      <c r="S638" s="10">
        <f>GraphListeria!$B$43*Listeria!I638+GraphListeria!$B$44</f>
        <v>0.23220837639074787</v>
      </c>
      <c r="U638" s="10">
        <f>GraphListeria!$H$43*Listeria!I638+GraphListeria!$H$44</f>
        <v>0.20004418937074675</v>
      </c>
    </row>
    <row r="639" spans="1:21" x14ac:dyDescent="0.2">
      <c r="A639" s="1" t="s">
        <v>1440</v>
      </c>
      <c r="B639" s="1" t="s">
        <v>1443</v>
      </c>
      <c r="C639">
        <v>2284</v>
      </c>
      <c r="D639" s="1" t="s">
        <v>11</v>
      </c>
      <c r="E639" s="1" t="s">
        <v>305</v>
      </c>
      <c r="F639" s="1" t="s">
        <v>325</v>
      </c>
      <c r="G639" s="1"/>
      <c r="I639" s="4">
        <v>61.1</v>
      </c>
      <c r="J639" s="11">
        <v>2.2999999999999998</v>
      </c>
      <c r="K639" s="4">
        <v>6.35</v>
      </c>
      <c r="L639" s="12">
        <f t="shared" si="10"/>
        <v>0.36172783601759284</v>
      </c>
      <c r="M639" s="11">
        <f>GraphListeria!$B$10-(Listeria!I639-GraphListeria!$B$6)/GraphListeria!$B$5</f>
        <v>0.20004418937074675</v>
      </c>
      <c r="N639" s="1" t="s">
        <v>490</v>
      </c>
      <c r="O639">
        <v>2001</v>
      </c>
      <c r="S639" s="10">
        <f>GraphListeria!$B$43*Listeria!I639+GraphListeria!$B$44</f>
        <v>0.23220837639074787</v>
      </c>
      <c r="U639" s="10">
        <f>GraphListeria!$H$43*Listeria!I639+GraphListeria!$H$44</f>
        <v>0.20004418937074675</v>
      </c>
    </row>
    <row r="640" spans="1:21" x14ac:dyDescent="0.2">
      <c r="A640" s="1" t="s">
        <v>1440</v>
      </c>
      <c r="B640" s="1" t="s">
        <v>1443</v>
      </c>
      <c r="C640" t="s">
        <v>688</v>
      </c>
      <c r="D640" s="1" t="s">
        <v>11</v>
      </c>
      <c r="E640" s="1" t="s">
        <v>305</v>
      </c>
      <c r="F640" s="1" t="s">
        <v>325</v>
      </c>
      <c r="G640" s="1"/>
      <c r="I640" s="4">
        <v>61.1</v>
      </c>
      <c r="J640" s="11">
        <v>0.92</v>
      </c>
      <c r="K640" s="4">
        <v>9.6999999999999993</v>
      </c>
      <c r="L640" s="12">
        <f t="shared" si="10"/>
        <v>-3.6212172654444715E-2</v>
      </c>
      <c r="M640" s="11">
        <f>GraphListeria!$B$10-(Listeria!I640-GraphListeria!$B$6)/GraphListeria!$B$5</f>
        <v>0.20004418937074675</v>
      </c>
      <c r="N640" s="1" t="s">
        <v>490</v>
      </c>
      <c r="O640">
        <v>2001</v>
      </c>
      <c r="S640" s="10">
        <f>GraphListeria!$B$43*Listeria!I640+GraphListeria!$B$44</f>
        <v>0.23220837639074787</v>
      </c>
      <c r="U640" s="10">
        <f>GraphListeria!$H$43*Listeria!I640+GraphListeria!$H$44</f>
        <v>0.20004418937074675</v>
      </c>
    </row>
    <row r="641" spans="1:21" x14ac:dyDescent="0.2">
      <c r="A641" s="1" t="s">
        <v>1440</v>
      </c>
      <c r="B641" s="1" t="s">
        <v>1443</v>
      </c>
      <c r="C641" t="s">
        <v>689</v>
      </c>
      <c r="D641" s="1" t="s">
        <v>11</v>
      </c>
      <c r="E641" s="1" t="s">
        <v>305</v>
      </c>
      <c r="F641" s="1" t="s">
        <v>325</v>
      </c>
      <c r="G641" s="1"/>
      <c r="I641" s="4">
        <v>61.1</v>
      </c>
      <c r="J641" s="11">
        <v>0.7</v>
      </c>
      <c r="K641" s="4">
        <v>6.22</v>
      </c>
      <c r="L641" s="12">
        <f t="shared" si="10"/>
        <v>-0.15490195998574319</v>
      </c>
      <c r="M641" s="11">
        <f>GraphListeria!$B$10-(Listeria!I641-GraphListeria!$B$6)/GraphListeria!$B$5</f>
        <v>0.20004418937074675</v>
      </c>
      <c r="N641" s="1" t="s">
        <v>490</v>
      </c>
      <c r="O641">
        <v>2001</v>
      </c>
      <c r="S641" s="10">
        <f>GraphListeria!$B$43*Listeria!I641+GraphListeria!$B$44</f>
        <v>0.23220837639074787</v>
      </c>
      <c r="U641" s="10">
        <f>GraphListeria!$H$43*Listeria!I641+GraphListeria!$H$44</f>
        <v>0.20004418937074675</v>
      </c>
    </row>
    <row r="642" spans="1:21" x14ac:dyDescent="0.2">
      <c r="A642" s="1" t="s">
        <v>1440</v>
      </c>
      <c r="B642" s="1" t="s">
        <v>1443</v>
      </c>
      <c r="D642" s="1" t="s">
        <v>11</v>
      </c>
      <c r="E642" s="1" t="s">
        <v>305</v>
      </c>
      <c r="F642" s="1" t="s">
        <v>325</v>
      </c>
      <c r="G642" s="1"/>
      <c r="I642" s="4">
        <v>61.1</v>
      </c>
      <c r="J642" s="11">
        <v>0.89</v>
      </c>
      <c r="K642" s="4">
        <v>6.06</v>
      </c>
      <c r="L642" s="12">
        <f t="shared" si="10"/>
        <v>-5.0609993355087209E-2</v>
      </c>
      <c r="M642" s="11">
        <f>GraphListeria!$B$10-(Listeria!I642-GraphListeria!$B$6)/GraphListeria!$B$5</f>
        <v>0.20004418937074675</v>
      </c>
      <c r="N642" s="1" t="s">
        <v>490</v>
      </c>
      <c r="O642">
        <v>2001</v>
      </c>
      <c r="S642" s="10">
        <f>GraphListeria!$B$43*Listeria!I642+GraphListeria!$B$44</f>
        <v>0.23220837639074787</v>
      </c>
      <c r="U642" s="10">
        <f>GraphListeria!$H$43*Listeria!I642+GraphListeria!$H$44</f>
        <v>0.20004418937074675</v>
      </c>
    </row>
    <row r="643" spans="1:21" x14ac:dyDescent="0.2">
      <c r="A643" s="1" t="s">
        <v>1440</v>
      </c>
      <c r="B643" s="1" t="s">
        <v>1443</v>
      </c>
      <c r="D643" s="1" t="s">
        <v>11</v>
      </c>
      <c r="E643" s="1" t="s">
        <v>305</v>
      </c>
      <c r="F643" s="1" t="s">
        <v>325</v>
      </c>
      <c r="G643" s="1"/>
      <c r="I643" s="4">
        <v>61.1</v>
      </c>
      <c r="J643" s="11">
        <v>1.41</v>
      </c>
      <c r="K643" s="4">
        <v>6.7</v>
      </c>
      <c r="L643" s="12">
        <f t="shared" si="10"/>
        <v>0.14921911265537988</v>
      </c>
      <c r="M643" s="11">
        <f>GraphListeria!$B$10-(Listeria!I643-GraphListeria!$B$6)/GraphListeria!$B$5</f>
        <v>0.20004418937074675</v>
      </c>
      <c r="N643" s="1" t="s">
        <v>490</v>
      </c>
      <c r="O643">
        <v>2001</v>
      </c>
      <c r="S643" s="10">
        <f>GraphListeria!$B$43*Listeria!I643+GraphListeria!$B$44</f>
        <v>0.23220837639074787</v>
      </c>
      <c r="U643" s="10">
        <f>GraphListeria!$H$43*Listeria!I643+GraphListeria!$H$44</f>
        <v>0.20004418937074675</v>
      </c>
    </row>
    <row r="644" spans="1:21" x14ac:dyDescent="0.2">
      <c r="A644" s="1" t="s">
        <v>1440</v>
      </c>
      <c r="B644" s="1" t="s">
        <v>1443</v>
      </c>
      <c r="D644" s="1" t="s">
        <v>11</v>
      </c>
      <c r="E644" s="1" t="s">
        <v>305</v>
      </c>
      <c r="F644" s="1" t="s">
        <v>325</v>
      </c>
      <c r="G644" s="1"/>
      <c r="I644" s="4">
        <v>62.2</v>
      </c>
      <c r="J644" s="11">
        <v>0.57999999999999996</v>
      </c>
      <c r="K644" s="4">
        <v>6.06</v>
      </c>
      <c r="L644" s="12">
        <f t="shared" si="10"/>
        <v>-0.23657200643706275</v>
      </c>
      <c r="M644" s="11">
        <f>GraphListeria!$B$10-(Listeria!I644-GraphListeria!$B$6)/GraphListeria!$B$5</f>
        <v>4.3854908437519713E-2</v>
      </c>
      <c r="N644" s="1" t="s">
        <v>490</v>
      </c>
      <c r="O644">
        <v>2001</v>
      </c>
      <c r="S644" s="10">
        <f>GraphListeria!$B$43*Listeria!I644+GraphListeria!$B$44</f>
        <v>8.0325054687943265E-2</v>
      </c>
      <c r="U644" s="10">
        <f>GraphListeria!$H$43*Listeria!I644+GraphListeria!$H$44</f>
        <v>4.3854908437520379E-2</v>
      </c>
    </row>
    <row r="645" spans="1:21" x14ac:dyDescent="0.2">
      <c r="A645" s="1" t="s">
        <v>1440</v>
      </c>
      <c r="B645" s="1" t="s">
        <v>1443</v>
      </c>
      <c r="C645" t="s">
        <v>57</v>
      </c>
      <c r="D645" s="1" t="s">
        <v>11</v>
      </c>
      <c r="E645" s="1" t="s">
        <v>305</v>
      </c>
      <c r="F645" s="1" t="s">
        <v>325</v>
      </c>
      <c r="G645" s="1"/>
      <c r="I645" s="4">
        <v>63.15</v>
      </c>
      <c r="J645" s="11">
        <v>0.92</v>
      </c>
      <c r="K645" s="4">
        <v>11.45</v>
      </c>
      <c r="L645" s="12">
        <f t="shared" si="10"/>
        <v>-3.6212172654444715E-2</v>
      </c>
      <c r="M645" s="11">
        <f>GraphListeria!$B$10-(Listeria!I645-GraphListeria!$B$6)/GraphListeria!$B$5</f>
        <v>-9.1035834186629971E-2</v>
      </c>
      <c r="N645" s="1" t="s">
        <v>490</v>
      </c>
      <c r="O645">
        <v>2001</v>
      </c>
      <c r="S645" s="10">
        <f>GraphListeria!$B$43*Listeria!I645+GraphListeria!$B$44</f>
        <v>-5.0846904964476636E-2</v>
      </c>
      <c r="U645" s="10">
        <f>GraphListeria!$H$43*Listeria!I645+GraphListeria!$H$44</f>
        <v>-9.1035834186630638E-2</v>
      </c>
    </row>
    <row r="646" spans="1:21" x14ac:dyDescent="0.2">
      <c r="A646" s="1" t="s">
        <v>1440</v>
      </c>
      <c r="B646" s="1" t="s">
        <v>1443</v>
      </c>
      <c r="C646" t="s">
        <v>687</v>
      </c>
      <c r="D646" s="1" t="s">
        <v>11</v>
      </c>
      <c r="E646" s="1" t="s">
        <v>305</v>
      </c>
      <c r="F646" s="1" t="s">
        <v>325</v>
      </c>
      <c r="G646" s="1"/>
      <c r="I646" s="4">
        <v>63.15</v>
      </c>
      <c r="J646" s="11">
        <v>0.35</v>
      </c>
      <c r="K646" s="4">
        <v>5.08</v>
      </c>
      <c r="L646" s="12">
        <f t="shared" si="10"/>
        <v>-0.45593195564972439</v>
      </c>
      <c r="M646" s="11">
        <f>GraphListeria!$B$10-(Listeria!I646-GraphListeria!$B$6)/GraphListeria!$B$5</f>
        <v>-9.1035834186629971E-2</v>
      </c>
      <c r="N646" s="1" t="s">
        <v>490</v>
      </c>
      <c r="O646">
        <v>2001</v>
      </c>
      <c r="S646" s="10">
        <f>GraphListeria!$B$43*Listeria!I646+GraphListeria!$B$44</f>
        <v>-5.0846904964476636E-2</v>
      </c>
      <c r="U646" s="10">
        <f>GraphListeria!$H$43*Listeria!I646+GraphListeria!$H$44</f>
        <v>-9.1035834186630638E-2</v>
      </c>
    </row>
    <row r="647" spans="1:21" x14ac:dyDescent="0.2">
      <c r="A647" s="1" t="s">
        <v>1440</v>
      </c>
      <c r="B647" s="1" t="s">
        <v>1443</v>
      </c>
      <c r="C647">
        <v>2284</v>
      </c>
      <c r="D647" s="1" t="s">
        <v>11</v>
      </c>
      <c r="E647" s="1" t="s">
        <v>305</v>
      </c>
      <c r="F647" s="1" t="s">
        <v>325</v>
      </c>
      <c r="G647" s="1"/>
      <c r="I647" s="4">
        <v>63.15</v>
      </c>
      <c r="J647" s="11">
        <v>1.28</v>
      </c>
      <c r="K647" s="4">
        <v>6.35</v>
      </c>
      <c r="L647" s="12">
        <f t="shared" si="10"/>
        <v>0.10720996964786837</v>
      </c>
      <c r="M647" s="11">
        <f>GraphListeria!$B$10-(Listeria!I647-GraphListeria!$B$6)/GraphListeria!$B$5</f>
        <v>-9.1035834186629971E-2</v>
      </c>
      <c r="N647" s="1" t="s">
        <v>490</v>
      </c>
      <c r="O647">
        <v>2001</v>
      </c>
      <c r="S647" s="10">
        <f>GraphListeria!$B$43*Listeria!I647+GraphListeria!$B$44</f>
        <v>-5.0846904964476636E-2</v>
      </c>
      <c r="U647" s="10">
        <f>GraphListeria!$H$43*Listeria!I647+GraphListeria!$H$44</f>
        <v>-9.1035834186630638E-2</v>
      </c>
    </row>
    <row r="648" spans="1:21" x14ac:dyDescent="0.2">
      <c r="A648" s="1" t="s">
        <v>1440</v>
      </c>
      <c r="B648" s="1" t="s">
        <v>1443</v>
      </c>
      <c r="C648" t="s">
        <v>688</v>
      </c>
      <c r="D648" s="1" t="s">
        <v>11</v>
      </c>
      <c r="E648" s="1" t="s">
        <v>305</v>
      </c>
      <c r="F648" s="1" t="s">
        <v>325</v>
      </c>
      <c r="G648" s="1"/>
      <c r="I648" s="4">
        <v>63.15</v>
      </c>
      <c r="J648" s="11">
        <v>0.38</v>
      </c>
      <c r="K648" s="4">
        <v>9.6999999999999993</v>
      </c>
      <c r="L648" s="12">
        <f t="shared" si="10"/>
        <v>-0.42021640338318983</v>
      </c>
      <c r="M648" s="11">
        <f>GraphListeria!$B$10-(Listeria!I648-GraphListeria!$B$6)/GraphListeria!$B$5</f>
        <v>-9.1035834186629971E-2</v>
      </c>
      <c r="N648" s="1" t="s">
        <v>490</v>
      </c>
      <c r="O648">
        <v>2001</v>
      </c>
      <c r="S648" s="10">
        <f>GraphListeria!$B$43*Listeria!I648+GraphListeria!$B$44</f>
        <v>-5.0846904964476636E-2</v>
      </c>
      <c r="U648" s="10">
        <f>GraphListeria!$H$43*Listeria!I648+GraphListeria!$H$44</f>
        <v>-9.1035834186630638E-2</v>
      </c>
    </row>
    <row r="649" spans="1:21" x14ac:dyDescent="0.2">
      <c r="A649" s="1" t="s">
        <v>1440</v>
      </c>
      <c r="B649" s="1" t="s">
        <v>1443</v>
      </c>
      <c r="C649" t="s">
        <v>689</v>
      </c>
      <c r="D649" s="1" t="s">
        <v>11</v>
      </c>
      <c r="E649" s="1" t="s">
        <v>305</v>
      </c>
      <c r="F649" s="1" t="s">
        <v>325</v>
      </c>
      <c r="G649" s="1"/>
      <c r="I649" s="4">
        <v>63.15</v>
      </c>
      <c r="J649" s="11">
        <v>0.43</v>
      </c>
      <c r="K649" s="4">
        <v>6.22</v>
      </c>
      <c r="L649" s="12">
        <f t="shared" si="10"/>
        <v>-0.36653154442041347</v>
      </c>
      <c r="M649" s="11">
        <f>GraphListeria!$B$10-(Listeria!I649-GraphListeria!$B$6)/GraphListeria!$B$5</f>
        <v>-9.1035834186629971E-2</v>
      </c>
      <c r="N649" s="1" t="s">
        <v>490</v>
      </c>
      <c r="O649">
        <v>2001</v>
      </c>
      <c r="S649" s="10">
        <f>GraphListeria!$B$43*Listeria!I649+GraphListeria!$B$44</f>
        <v>-5.0846904964476636E-2</v>
      </c>
      <c r="U649" s="10">
        <f>GraphListeria!$H$43*Listeria!I649+GraphListeria!$H$44</f>
        <v>-9.1035834186630638E-2</v>
      </c>
    </row>
    <row r="650" spans="1:21" x14ac:dyDescent="0.2">
      <c r="A650" s="1" t="s">
        <v>1440</v>
      </c>
      <c r="B650" s="1" t="s">
        <v>1443</v>
      </c>
      <c r="D650" s="1" t="s">
        <v>11</v>
      </c>
      <c r="E650" s="1" t="s">
        <v>305</v>
      </c>
      <c r="F650" s="1" t="s">
        <v>325</v>
      </c>
      <c r="G650" s="1"/>
      <c r="I650" s="4">
        <v>63.15</v>
      </c>
      <c r="J650" s="11">
        <v>0.81</v>
      </c>
      <c r="K650" s="4">
        <v>6.7</v>
      </c>
      <c r="L650" s="12">
        <f t="shared" si="10"/>
        <v>-9.1514981121350217E-2</v>
      </c>
      <c r="M650" s="11">
        <f>GraphListeria!$B$10-(Listeria!I650-GraphListeria!$B$6)/GraphListeria!$B$5</f>
        <v>-9.1035834186629971E-2</v>
      </c>
      <c r="N650" s="1" t="s">
        <v>490</v>
      </c>
      <c r="O650">
        <v>2001</v>
      </c>
      <c r="S650" s="10">
        <f>GraphListeria!$B$43*Listeria!I650+GraphListeria!$B$44</f>
        <v>-5.0846904964476636E-2</v>
      </c>
      <c r="U650" s="10">
        <f>GraphListeria!$H$43*Listeria!I650+GraphListeria!$H$44</f>
        <v>-9.1035834186630638E-2</v>
      </c>
    </row>
    <row r="651" spans="1:21" x14ac:dyDescent="0.2">
      <c r="A651" s="1" t="s">
        <v>1440</v>
      </c>
      <c r="B651" s="1" t="s">
        <v>1443</v>
      </c>
      <c r="D651" s="1" t="s">
        <v>11</v>
      </c>
      <c r="E651" s="1" t="s">
        <v>305</v>
      </c>
      <c r="F651" s="1" t="s">
        <v>325</v>
      </c>
      <c r="G651" s="1"/>
      <c r="I651" s="4">
        <v>63.15</v>
      </c>
      <c r="J651" s="11">
        <v>0.35</v>
      </c>
      <c r="K651" s="4">
        <v>5</v>
      </c>
      <c r="L651" s="12">
        <f t="shared" si="10"/>
        <v>-0.45593195564972439</v>
      </c>
      <c r="M651" s="11">
        <f>GraphListeria!$B$10-(Listeria!I651-GraphListeria!$B$6)/GraphListeria!$B$5</f>
        <v>-9.1035834186629971E-2</v>
      </c>
      <c r="N651" s="1" t="s">
        <v>490</v>
      </c>
      <c r="O651">
        <v>2001</v>
      </c>
      <c r="S651" s="10">
        <f>GraphListeria!$B$43*Listeria!I651+GraphListeria!$B$44</f>
        <v>-5.0846904964476636E-2</v>
      </c>
      <c r="U651" s="10">
        <f>GraphListeria!$H$43*Listeria!I651+GraphListeria!$H$44</f>
        <v>-9.1035834186630638E-2</v>
      </c>
    </row>
    <row r="652" spans="1:21" x14ac:dyDescent="0.2">
      <c r="A652" s="1" t="s">
        <v>1440</v>
      </c>
      <c r="B652" s="1" t="s">
        <v>1443</v>
      </c>
      <c r="C652" t="s">
        <v>57</v>
      </c>
      <c r="D652" s="1" t="s">
        <v>11</v>
      </c>
      <c r="E652" s="1" t="s">
        <v>305</v>
      </c>
      <c r="F652" s="1" t="s">
        <v>325</v>
      </c>
      <c r="G652" s="1"/>
      <c r="I652" s="4">
        <v>64.400000000000006</v>
      </c>
      <c r="J652" s="11">
        <v>0.82</v>
      </c>
      <c r="K652" s="4">
        <v>11.45</v>
      </c>
      <c r="L652" s="12">
        <f t="shared" si="10"/>
        <v>-8.6186147616283335E-2</v>
      </c>
      <c r="M652" s="11">
        <f>GraphListeria!$B$10-(Listeria!I652-GraphListeria!$B$6)/GraphListeria!$B$5</f>
        <v>-0.26852365342893414</v>
      </c>
      <c r="N652" s="1" t="s">
        <v>490</v>
      </c>
      <c r="O652">
        <v>2001</v>
      </c>
      <c r="S652" s="10">
        <f>GraphListeria!$B$43*Listeria!I652+GraphListeria!$B$44</f>
        <v>-0.22344158871766595</v>
      </c>
      <c r="U652" s="10">
        <f>GraphListeria!$H$43*Listeria!I652+GraphListeria!$H$44</f>
        <v>-0.26852365342893414</v>
      </c>
    </row>
    <row r="653" spans="1:21" x14ac:dyDescent="0.2">
      <c r="A653" s="1" t="s">
        <v>1440</v>
      </c>
      <c r="B653" s="1" t="s">
        <v>1443</v>
      </c>
      <c r="C653" t="s">
        <v>687</v>
      </c>
      <c r="D653" s="1" t="s">
        <v>11</v>
      </c>
      <c r="E653" s="1" t="s">
        <v>305</v>
      </c>
      <c r="F653" s="1" t="s">
        <v>325</v>
      </c>
      <c r="G653" s="1"/>
      <c r="I653" s="4">
        <v>64.400000000000006</v>
      </c>
      <c r="J653" s="11">
        <v>0.21</v>
      </c>
      <c r="K653" s="4">
        <v>5.08</v>
      </c>
      <c r="L653" s="12">
        <f t="shared" si="10"/>
        <v>-0.6777807052660807</v>
      </c>
      <c r="M653" s="11">
        <f>GraphListeria!$B$10-(Listeria!I653-GraphListeria!$B$6)/GraphListeria!$B$5</f>
        <v>-0.26852365342893414</v>
      </c>
      <c r="N653" s="1" t="s">
        <v>490</v>
      </c>
      <c r="O653">
        <v>2001</v>
      </c>
      <c r="S653" s="10">
        <f>GraphListeria!$B$43*Listeria!I653+GraphListeria!$B$44</f>
        <v>-0.22344158871766595</v>
      </c>
      <c r="U653" s="10">
        <f>GraphListeria!$H$43*Listeria!I653+GraphListeria!$H$44</f>
        <v>-0.26852365342893414</v>
      </c>
    </row>
    <row r="654" spans="1:21" x14ac:dyDescent="0.2">
      <c r="A654" s="1" t="s">
        <v>1440</v>
      </c>
      <c r="B654" s="1" t="s">
        <v>1443</v>
      </c>
      <c r="C654">
        <v>2284</v>
      </c>
      <c r="D654" s="1" t="s">
        <v>11</v>
      </c>
      <c r="E654" s="1" t="s">
        <v>305</v>
      </c>
      <c r="F654" s="1" t="s">
        <v>325</v>
      </c>
      <c r="G654" s="1"/>
      <c r="I654" s="4">
        <v>64.400000000000006</v>
      </c>
      <c r="J654" s="11">
        <v>0.66</v>
      </c>
      <c r="K654" s="4">
        <v>6.35</v>
      </c>
      <c r="L654" s="12">
        <f t="shared" si="10"/>
        <v>-0.18045606445813131</v>
      </c>
      <c r="M654" s="11">
        <f>GraphListeria!$B$10-(Listeria!I654-GraphListeria!$B$6)/GraphListeria!$B$5</f>
        <v>-0.26852365342893414</v>
      </c>
      <c r="N654" s="1" t="s">
        <v>490</v>
      </c>
      <c r="O654">
        <v>2001</v>
      </c>
      <c r="S654" s="10">
        <f>GraphListeria!$B$43*Listeria!I654+GraphListeria!$B$44</f>
        <v>-0.22344158871766595</v>
      </c>
      <c r="U654" s="10">
        <f>GraphListeria!$H$43*Listeria!I654+GraphListeria!$H$44</f>
        <v>-0.26852365342893414</v>
      </c>
    </row>
    <row r="655" spans="1:21" x14ac:dyDescent="0.2">
      <c r="A655" s="1" t="s">
        <v>1440</v>
      </c>
      <c r="B655" s="1" t="s">
        <v>1443</v>
      </c>
      <c r="C655" t="s">
        <v>688</v>
      </c>
      <c r="D655" s="1" t="s">
        <v>11</v>
      </c>
      <c r="E655" s="1" t="s">
        <v>305</v>
      </c>
      <c r="F655" s="1" t="s">
        <v>325</v>
      </c>
      <c r="G655" s="1"/>
      <c r="I655" s="4">
        <v>64.400000000000006</v>
      </c>
      <c r="J655" s="11">
        <v>0.46</v>
      </c>
      <c r="K655" s="4">
        <v>9.6999999999999993</v>
      </c>
      <c r="L655" s="12">
        <f t="shared" si="10"/>
        <v>-0.33724216831842591</v>
      </c>
      <c r="M655" s="11">
        <f>GraphListeria!$B$10-(Listeria!I655-GraphListeria!$B$6)/GraphListeria!$B$5</f>
        <v>-0.26852365342893414</v>
      </c>
      <c r="N655" s="1" t="s">
        <v>490</v>
      </c>
      <c r="O655">
        <v>2001</v>
      </c>
      <c r="S655" s="10">
        <f>GraphListeria!$B$43*Listeria!I655+GraphListeria!$B$44</f>
        <v>-0.22344158871766595</v>
      </c>
      <c r="U655" s="10">
        <f>GraphListeria!$H$43*Listeria!I655+GraphListeria!$H$44</f>
        <v>-0.26852365342893414</v>
      </c>
    </row>
    <row r="656" spans="1:21" x14ac:dyDescent="0.2">
      <c r="A656" s="1" t="s">
        <v>1440</v>
      </c>
      <c r="B656" s="1" t="s">
        <v>1443</v>
      </c>
      <c r="C656" t="s">
        <v>689</v>
      </c>
      <c r="D656" s="1" t="s">
        <v>11</v>
      </c>
      <c r="E656" s="1" t="s">
        <v>305</v>
      </c>
      <c r="F656" s="1" t="s">
        <v>325</v>
      </c>
      <c r="G656" s="1"/>
      <c r="I656" s="4">
        <v>64.400000000000006</v>
      </c>
      <c r="J656" s="11">
        <v>0.19</v>
      </c>
      <c r="K656" s="4">
        <v>6.22</v>
      </c>
      <c r="L656" s="12">
        <f t="shared" si="10"/>
        <v>-0.72124639904717103</v>
      </c>
      <c r="M656" s="11">
        <f>GraphListeria!$B$10-(Listeria!I656-GraphListeria!$B$6)/GraphListeria!$B$5</f>
        <v>-0.26852365342893414</v>
      </c>
      <c r="N656" s="1" t="s">
        <v>490</v>
      </c>
      <c r="O656">
        <v>2001</v>
      </c>
      <c r="S656" s="10">
        <f>GraphListeria!$B$43*Listeria!I656+GraphListeria!$B$44</f>
        <v>-0.22344158871766595</v>
      </c>
      <c r="U656" s="10">
        <f>GraphListeria!$H$43*Listeria!I656+GraphListeria!$H$44</f>
        <v>-0.26852365342893414</v>
      </c>
    </row>
    <row r="657" spans="1:21" x14ac:dyDescent="0.2">
      <c r="A657" s="1" t="s">
        <v>1440</v>
      </c>
      <c r="B657" s="1" t="s">
        <v>1443</v>
      </c>
      <c r="D657" s="1" t="s">
        <v>11</v>
      </c>
      <c r="E657" s="1" t="s">
        <v>305</v>
      </c>
      <c r="F657" s="1" t="s">
        <v>325</v>
      </c>
      <c r="G657" s="1"/>
      <c r="I657" s="4">
        <v>64.400000000000006</v>
      </c>
      <c r="J657" s="11">
        <v>0.44</v>
      </c>
      <c r="K657" s="4">
        <v>6.7</v>
      </c>
      <c r="L657" s="12">
        <f t="shared" si="10"/>
        <v>-0.35654732351381258</v>
      </c>
      <c r="M657" s="11">
        <f>GraphListeria!$B$10-(Listeria!I657-GraphListeria!$B$6)/GraphListeria!$B$5</f>
        <v>-0.26852365342893414</v>
      </c>
      <c r="N657" s="1" t="s">
        <v>490</v>
      </c>
      <c r="O657">
        <v>2001</v>
      </c>
      <c r="S657" s="10">
        <f>GraphListeria!$B$43*Listeria!I657+GraphListeria!$B$44</f>
        <v>-0.22344158871766595</v>
      </c>
      <c r="U657" s="10">
        <f>GraphListeria!$H$43*Listeria!I657+GraphListeria!$H$44</f>
        <v>-0.26852365342893414</v>
      </c>
    </row>
    <row r="658" spans="1:21" x14ac:dyDescent="0.2">
      <c r="A658" s="1" t="s">
        <v>1440</v>
      </c>
      <c r="B658" s="1" t="s">
        <v>1443</v>
      </c>
      <c r="D658" s="1" t="s">
        <v>11</v>
      </c>
      <c r="E658" s="1" t="s">
        <v>305</v>
      </c>
      <c r="F658" s="1" t="s">
        <v>325</v>
      </c>
      <c r="G658" s="1"/>
      <c r="I658" s="4">
        <v>66.849999999999994</v>
      </c>
      <c r="J658" s="11">
        <v>0.08</v>
      </c>
      <c r="K658" s="4">
        <v>5</v>
      </c>
      <c r="L658" s="12">
        <f t="shared" si="10"/>
        <v>-1.0969100130080565</v>
      </c>
      <c r="M658" s="11">
        <f>GraphListeria!$B$10-(Listeria!I658-GraphListeria!$B$6)/GraphListeria!$B$5</f>
        <v>-0.61639977914384669</v>
      </c>
      <c r="N658" s="1" t="s">
        <v>490</v>
      </c>
      <c r="O658">
        <v>2001</v>
      </c>
      <c r="S658" s="10">
        <f>GraphListeria!$B$43*Listeria!I658+GraphListeria!$B$44</f>
        <v>-0.56172716887390983</v>
      </c>
      <c r="U658" s="10">
        <f>GraphListeria!$H$43*Listeria!I658+GraphListeria!$H$44</f>
        <v>-0.61639977914384581</v>
      </c>
    </row>
    <row r="659" spans="1:21" x14ac:dyDescent="0.2">
      <c r="A659" s="1" t="s">
        <v>1440</v>
      </c>
      <c r="B659" s="1" t="s">
        <v>1443</v>
      </c>
      <c r="D659" s="1" t="s">
        <v>11</v>
      </c>
      <c r="E659" s="1" t="s">
        <v>305</v>
      </c>
      <c r="F659" s="1" t="s">
        <v>777</v>
      </c>
      <c r="G659" s="1"/>
      <c r="I659" s="4">
        <v>63.15</v>
      </c>
      <c r="J659" s="11">
        <v>3.75</v>
      </c>
      <c r="K659" s="4">
        <v>6</v>
      </c>
      <c r="L659" s="12">
        <f t="shared" ref="L659:L722" si="11">LOG(J659)</f>
        <v>0.57403126772771884</v>
      </c>
      <c r="M659" s="11">
        <f>GraphListeria!$B$10-(Listeria!I659-GraphListeria!$B$6)/GraphListeria!$B$5</f>
        <v>-9.1035834186629971E-2</v>
      </c>
      <c r="N659" s="1" t="s">
        <v>490</v>
      </c>
      <c r="O659">
        <v>2001</v>
      </c>
      <c r="S659" s="10">
        <f>GraphListeria!$B$43*Listeria!I659+GraphListeria!$B$44</f>
        <v>-5.0846904964476636E-2</v>
      </c>
      <c r="U659" s="10">
        <f>GraphListeria!$H$43*Listeria!I659+GraphListeria!$H$44</f>
        <v>-9.1035834186630638E-2</v>
      </c>
    </row>
    <row r="660" spans="1:21" x14ac:dyDescent="0.2">
      <c r="A660" s="1" t="s">
        <v>1440</v>
      </c>
      <c r="B660" s="1" t="s">
        <v>1443</v>
      </c>
      <c r="D660" s="1" t="s">
        <v>11</v>
      </c>
      <c r="E660" s="1" t="s">
        <v>305</v>
      </c>
      <c r="F660" s="1" t="s">
        <v>777</v>
      </c>
      <c r="G660" s="1"/>
      <c r="I660" s="4">
        <v>66.849999999999994</v>
      </c>
      <c r="J660" s="11">
        <v>0.67</v>
      </c>
      <c r="K660" s="4">
        <v>6</v>
      </c>
      <c r="L660" s="12">
        <f t="shared" si="11"/>
        <v>-0.17392519729917355</v>
      </c>
      <c r="M660" s="11">
        <f>GraphListeria!$B$10-(Listeria!I660-GraphListeria!$B$6)/GraphListeria!$B$5</f>
        <v>-0.61639977914384669</v>
      </c>
      <c r="N660" s="1" t="s">
        <v>490</v>
      </c>
      <c r="O660">
        <v>2001</v>
      </c>
      <c r="S660" s="10">
        <f>GraphListeria!$B$43*Listeria!I660+GraphListeria!$B$44</f>
        <v>-0.56172716887390983</v>
      </c>
      <c r="U660" s="10">
        <f>GraphListeria!$H$43*Listeria!I660+GraphListeria!$H$44</f>
        <v>-0.61639977914384581</v>
      </c>
    </row>
    <row r="661" spans="1:21" x14ac:dyDescent="0.2">
      <c r="A661" s="1" t="s">
        <v>1440</v>
      </c>
      <c r="B661" s="1" t="s">
        <v>1443</v>
      </c>
      <c r="D661" s="1" t="s">
        <v>11</v>
      </c>
      <c r="E661" s="1" t="s">
        <v>305</v>
      </c>
      <c r="F661" s="1" t="s">
        <v>772</v>
      </c>
      <c r="G661" s="1"/>
      <c r="I661" s="4">
        <v>61.1</v>
      </c>
      <c r="J661" s="11">
        <v>2.0499999999999998</v>
      </c>
      <c r="K661" s="4">
        <v>8.9</v>
      </c>
      <c r="L661" s="12">
        <f t="shared" si="11"/>
        <v>0.31175386105575426</v>
      </c>
      <c r="M661" s="11">
        <f>GraphListeria!$B$10-(Listeria!I661-GraphListeria!$B$6)/GraphListeria!$B$5</f>
        <v>0.20004418937074675</v>
      </c>
      <c r="N661" s="1" t="s">
        <v>490</v>
      </c>
      <c r="O661">
        <v>2001</v>
      </c>
      <c r="S661" s="10">
        <f>GraphListeria!$B$43*Listeria!I661+GraphListeria!$B$44</f>
        <v>0.23220837639074787</v>
      </c>
      <c r="U661" s="10">
        <f>GraphListeria!$H$43*Listeria!I661+GraphListeria!$H$44</f>
        <v>0.20004418937074675</v>
      </c>
    </row>
    <row r="662" spans="1:21" x14ac:dyDescent="0.2">
      <c r="A662" s="1" t="s">
        <v>1440</v>
      </c>
      <c r="B662" s="1" t="s">
        <v>1443</v>
      </c>
      <c r="D662" s="1" t="s">
        <v>11</v>
      </c>
      <c r="E662" s="1" t="s">
        <v>305</v>
      </c>
      <c r="F662" s="1" t="s">
        <v>772</v>
      </c>
      <c r="G662" s="1"/>
      <c r="I662" s="4">
        <v>63.15</v>
      </c>
      <c r="J662" s="11">
        <v>1.05</v>
      </c>
      <c r="K662" s="4">
        <v>8.9</v>
      </c>
      <c r="L662" s="12">
        <f t="shared" si="11"/>
        <v>2.1189299069938092E-2</v>
      </c>
      <c r="M662" s="11">
        <f>GraphListeria!$B$10-(Listeria!I662-GraphListeria!$B$6)/GraphListeria!$B$5</f>
        <v>-9.1035834186629971E-2</v>
      </c>
      <c r="N662" s="1" t="s">
        <v>490</v>
      </c>
      <c r="O662">
        <v>2001</v>
      </c>
      <c r="S662" s="10">
        <f>GraphListeria!$B$43*Listeria!I662+GraphListeria!$B$44</f>
        <v>-5.0846904964476636E-2</v>
      </c>
      <c r="U662" s="10">
        <f>GraphListeria!$H$43*Listeria!I662+GraphListeria!$H$44</f>
        <v>-9.1035834186630638E-2</v>
      </c>
    </row>
    <row r="663" spans="1:21" x14ac:dyDescent="0.2">
      <c r="A663" s="1" t="s">
        <v>1440</v>
      </c>
      <c r="B663" s="1" t="s">
        <v>1443</v>
      </c>
      <c r="C663" t="s">
        <v>57</v>
      </c>
      <c r="D663" s="1" t="s">
        <v>11</v>
      </c>
      <c r="E663" s="1" t="s">
        <v>305</v>
      </c>
      <c r="F663" s="1" t="s">
        <v>772</v>
      </c>
      <c r="G663" s="1"/>
      <c r="I663" s="4">
        <v>63.15</v>
      </c>
      <c r="J663" s="11">
        <v>2.1</v>
      </c>
      <c r="L663" s="12">
        <f t="shared" si="11"/>
        <v>0.3222192947339193</v>
      </c>
      <c r="M663" s="11">
        <f>GraphListeria!$B$10-(Listeria!I663-GraphListeria!$B$6)/GraphListeria!$B$5</f>
        <v>-9.1035834186629971E-2</v>
      </c>
      <c r="N663" s="1" t="s">
        <v>490</v>
      </c>
      <c r="O663">
        <v>2001</v>
      </c>
      <c r="S663" s="10">
        <f>GraphListeria!$B$43*Listeria!I663+GraphListeria!$B$44</f>
        <v>-5.0846904964476636E-2</v>
      </c>
      <c r="U663" s="10">
        <f>GraphListeria!$H$43*Listeria!I663+GraphListeria!$H$44</f>
        <v>-9.1035834186630638E-2</v>
      </c>
    </row>
    <row r="664" spans="1:21" x14ac:dyDescent="0.2">
      <c r="A664" s="1" t="s">
        <v>1440</v>
      </c>
      <c r="B664" s="1" t="s">
        <v>1443</v>
      </c>
      <c r="C664" t="s">
        <v>683</v>
      </c>
      <c r="D664" s="1" t="s">
        <v>11</v>
      </c>
      <c r="E664" s="1" t="s">
        <v>305</v>
      </c>
      <c r="F664" s="1" t="s">
        <v>772</v>
      </c>
      <c r="G664" s="1"/>
      <c r="I664" s="4">
        <v>63.15</v>
      </c>
      <c r="J664" s="11">
        <v>0.8</v>
      </c>
      <c r="L664" s="12">
        <f t="shared" si="11"/>
        <v>-9.6910013008056392E-2</v>
      </c>
      <c r="M664" s="11">
        <f>GraphListeria!$B$10-(Listeria!I664-GraphListeria!$B$6)/GraphListeria!$B$5</f>
        <v>-9.1035834186629971E-2</v>
      </c>
      <c r="N664" s="1" t="s">
        <v>490</v>
      </c>
      <c r="O664">
        <v>2001</v>
      </c>
      <c r="S664" s="10">
        <f>GraphListeria!$B$43*Listeria!I664+GraphListeria!$B$44</f>
        <v>-5.0846904964476636E-2</v>
      </c>
      <c r="U664" s="10">
        <f>GraphListeria!$H$43*Listeria!I664+GraphListeria!$H$44</f>
        <v>-9.1035834186630638E-2</v>
      </c>
    </row>
    <row r="665" spans="1:21" x14ac:dyDescent="0.2">
      <c r="A665" s="1" t="s">
        <v>1440</v>
      </c>
      <c r="B665" s="1" t="s">
        <v>1443</v>
      </c>
      <c r="D665" s="1" t="s">
        <v>11</v>
      </c>
      <c r="E665" s="1" t="s">
        <v>305</v>
      </c>
      <c r="F665" s="1" t="s">
        <v>772</v>
      </c>
      <c r="G665" s="1"/>
      <c r="I665" s="4">
        <v>64.400000000000006</v>
      </c>
      <c r="J665" s="11">
        <v>0.97</v>
      </c>
      <c r="K665" s="4">
        <v>8.9</v>
      </c>
      <c r="L665" s="12">
        <f t="shared" si="11"/>
        <v>-1.322826573375516E-2</v>
      </c>
      <c r="M665" s="11">
        <f>GraphListeria!$B$10-(Listeria!I665-GraphListeria!$B$6)/GraphListeria!$B$5</f>
        <v>-0.26852365342893414</v>
      </c>
      <c r="N665" s="1" t="s">
        <v>490</v>
      </c>
      <c r="O665">
        <v>2001</v>
      </c>
      <c r="S665" s="10">
        <f>GraphListeria!$B$43*Listeria!I665+GraphListeria!$B$44</f>
        <v>-0.22344158871766595</v>
      </c>
      <c r="U665" s="10">
        <f>GraphListeria!$H$43*Listeria!I665+GraphListeria!$H$44</f>
        <v>-0.26852365342893414</v>
      </c>
    </row>
    <row r="666" spans="1:21" x14ac:dyDescent="0.2">
      <c r="A666" s="1" t="s">
        <v>1440</v>
      </c>
      <c r="B666" s="1" t="s">
        <v>1443</v>
      </c>
      <c r="D666" s="1" t="s">
        <v>11</v>
      </c>
      <c r="E666" s="1" t="s">
        <v>305</v>
      </c>
      <c r="F666" s="1" t="s">
        <v>772</v>
      </c>
      <c r="G666" s="1"/>
      <c r="I666" s="4">
        <v>66.849999999999994</v>
      </c>
      <c r="J666" s="11">
        <v>0.46</v>
      </c>
      <c r="K666" s="4">
        <v>8.9</v>
      </c>
      <c r="L666" s="12">
        <f t="shared" si="11"/>
        <v>-0.33724216831842591</v>
      </c>
      <c r="M666" s="11">
        <f>GraphListeria!$B$10-(Listeria!I666-GraphListeria!$B$6)/GraphListeria!$B$5</f>
        <v>-0.61639977914384669</v>
      </c>
      <c r="N666" s="1" t="s">
        <v>490</v>
      </c>
      <c r="O666">
        <v>2001</v>
      </c>
      <c r="S666" s="10">
        <f>GraphListeria!$B$43*Listeria!I666+GraphListeria!$B$44</f>
        <v>-0.56172716887390983</v>
      </c>
      <c r="U666" s="10">
        <f>GraphListeria!$H$43*Listeria!I666+GraphListeria!$H$44</f>
        <v>-0.61639977914384581</v>
      </c>
    </row>
    <row r="667" spans="1:21" x14ac:dyDescent="0.2">
      <c r="A667" s="1" t="s">
        <v>1440</v>
      </c>
      <c r="B667" s="1" t="s">
        <v>1443</v>
      </c>
      <c r="D667" s="1" t="s">
        <v>11</v>
      </c>
      <c r="E667" s="1" t="s">
        <v>619</v>
      </c>
      <c r="F667" s="1"/>
      <c r="G667" s="1"/>
      <c r="I667" s="11">
        <v>54.7</v>
      </c>
      <c r="J667" s="4">
        <v>17.8</v>
      </c>
      <c r="K667" s="4">
        <v>5.05</v>
      </c>
      <c r="L667" s="12">
        <f t="shared" si="11"/>
        <v>1.2504200023088941</v>
      </c>
      <c r="M667" s="11">
        <f>GraphListeria!$B$10-(Listeria!I667-GraphListeria!$B$6)/GraphListeria!$B$5</f>
        <v>1.1087818238913387</v>
      </c>
      <c r="N667" s="1" t="s">
        <v>490</v>
      </c>
      <c r="O667">
        <v>2001</v>
      </c>
      <c r="S667" s="10">
        <f>GraphListeria!$B$43*Listeria!I667+GraphListeria!$B$44</f>
        <v>1.1158931572070658</v>
      </c>
      <c r="U667" s="10">
        <f>GraphListeria!$H$43*Listeria!I667+GraphListeria!$H$44</f>
        <v>1.1087818238913387</v>
      </c>
    </row>
    <row r="668" spans="1:21" x14ac:dyDescent="0.2">
      <c r="A668" s="1" t="s">
        <v>1440</v>
      </c>
      <c r="B668" s="1" t="s">
        <v>1443</v>
      </c>
      <c r="D668" s="1" t="s">
        <v>11</v>
      </c>
      <c r="E668" s="1" t="s">
        <v>619</v>
      </c>
      <c r="F668" s="1"/>
      <c r="G668" s="1"/>
      <c r="I668" s="4">
        <v>60</v>
      </c>
      <c r="J668" s="11">
        <v>1.82</v>
      </c>
      <c r="K668" s="4">
        <v>5.05</v>
      </c>
      <c r="L668" s="12">
        <f t="shared" si="11"/>
        <v>0.26007138798507479</v>
      </c>
      <c r="M668" s="11">
        <f>GraphListeria!$B$10-(Listeria!I668-GraphListeria!$B$6)/GraphListeria!$B$5</f>
        <v>0.35623347030397379</v>
      </c>
      <c r="N668" s="1" t="s">
        <v>490</v>
      </c>
      <c r="O668">
        <v>2001</v>
      </c>
      <c r="S668" s="10">
        <f>GraphListeria!$B$43*Listeria!I668+GraphListeria!$B$44</f>
        <v>0.38409169809355426</v>
      </c>
      <c r="U668" s="10">
        <f>GraphListeria!$H$43*Listeria!I668+GraphListeria!$H$44</f>
        <v>0.35623347030397312</v>
      </c>
    </row>
    <row r="669" spans="1:21" x14ac:dyDescent="0.2">
      <c r="A669" s="1" t="s">
        <v>1440</v>
      </c>
      <c r="B669" s="1" t="s">
        <v>1443</v>
      </c>
      <c r="D669" s="1" t="s">
        <v>11</v>
      </c>
      <c r="E669" s="1" t="s">
        <v>619</v>
      </c>
      <c r="F669" s="1"/>
      <c r="G669" s="1"/>
      <c r="I669" s="11">
        <v>54.7</v>
      </c>
      <c r="J669" s="11">
        <v>19.2</v>
      </c>
      <c r="K669" s="4">
        <v>6.74</v>
      </c>
      <c r="L669" s="12">
        <f t="shared" si="11"/>
        <v>1.2833012287035497</v>
      </c>
      <c r="M669" s="11">
        <f>GraphListeria!$B$10-(Listeria!I669-GraphListeria!$B$6)/GraphListeria!$B$5</f>
        <v>1.1087818238913387</v>
      </c>
      <c r="N669" s="1" t="s">
        <v>490</v>
      </c>
      <c r="O669">
        <v>2001</v>
      </c>
      <c r="P669" t="s">
        <v>620</v>
      </c>
      <c r="S669" s="10">
        <f>GraphListeria!$B$43*Listeria!I669+GraphListeria!$B$44</f>
        <v>1.1158931572070658</v>
      </c>
      <c r="U669" s="10">
        <f>GraphListeria!$H$43*Listeria!I669+GraphListeria!$H$44</f>
        <v>1.1087818238913387</v>
      </c>
    </row>
    <row r="670" spans="1:21" x14ac:dyDescent="0.2">
      <c r="A670" s="1" t="s">
        <v>1440</v>
      </c>
      <c r="B670" s="1" t="s">
        <v>1443</v>
      </c>
      <c r="D670" s="1" t="s">
        <v>11</v>
      </c>
      <c r="E670" s="1" t="s">
        <v>619</v>
      </c>
      <c r="F670" s="1"/>
      <c r="G670" s="1"/>
      <c r="I670" s="4">
        <v>60</v>
      </c>
      <c r="J670" s="11">
        <v>3.48</v>
      </c>
      <c r="K670" s="4">
        <v>6.74</v>
      </c>
      <c r="L670" s="12">
        <f t="shared" si="11"/>
        <v>0.54157924394658097</v>
      </c>
      <c r="M670" s="11">
        <f>GraphListeria!$B$10-(Listeria!I670-GraphListeria!$B$6)/GraphListeria!$B$5</f>
        <v>0.35623347030397379</v>
      </c>
      <c r="N670" s="1" t="s">
        <v>490</v>
      </c>
      <c r="O670">
        <v>2001</v>
      </c>
      <c r="P670" t="s">
        <v>620</v>
      </c>
      <c r="S670" s="10">
        <f>GraphListeria!$B$43*Listeria!I670+GraphListeria!$B$44</f>
        <v>0.38409169809355426</v>
      </c>
      <c r="U670" s="10">
        <f>GraphListeria!$H$43*Listeria!I670+GraphListeria!$H$44</f>
        <v>0.35623347030397312</v>
      </c>
    </row>
    <row r="671" spans="1:21" x14ac:dyDescent="0.2">
      <c r="A671" s="1" t="s">
        <v>1440</v>
      </c>
      <c r="B671" s="1" t="s">
        <v>1443</v>
      </c>
      <c r="D671" s="1" t="s">
        <v>11</v>
      </c>
      <c r="E671" s="1" t="s">
        <v>11</v>
      </c>
      <c r="F671" t="s">
        <v>36</v>
      </c>
      <c r="I671" s="4">
        <v>60</v>
      </c>
      <c r="J671" s="11">
        <v>7.3</v>
      </c>
      <c r="L671" s="12">
        <f t="shared" si="11"/>
        <v>0.86332286012045589</v>
      </c>
      <c r="M671" s="11">
        <f>GraphListeria!$B$10-(Listeria!I671-GraphListeria!$B$6)/GraphListeria!$B$5</f>
        <v>0.35623347030397379</v>
      </c>
      <c r="N671" s="2" t="s">
        <v>1226</v>
      </c>
      <c r="O671">
        <v>1996</v>
      </c>
      <c r="P671" t="s">
        <v>38</v>
      </c>
      <c r="S671" s="10">
        <f>GraphListeria!$B$43*Listeria!I671+GraphListeria!$B$44</f>
        <v>0.38409169809355426</v>
      </c>
      <c r="U671" s="10">
        <f>GraphListeria!$H$43*Listeria!I671+GraphListeria!$H$44</f>
        <v>0.35623347030397312</v>
      </c>
    </row>
    <row r="672" spans="1:21" x14ac:dyDescent="0.2">
      <c r="A672" s="1" t="s">
        <v>1440</v>
      </c>
      <c r="B672" s="1" t="s">
        <v>1443</v>
      </c>
      <c r="D672" s="1" t="s">
        <v>11</v>
      </c>
      <c r="E672" s="1" t="s">
        <v>11</v>
      </c>
      <c r="F672" t="s">
        <v>36</v>
      </c>
      <c r="I672" s="4">
        <v>60</v>
      </c>
      <c r="J672" s="11">
        <v>12.95</v>
      </c>
      <c r="L672" s="12">
        <f t="shared" si="11"/>
        <v>1.1122697684172707</v>
      </c>
      <c r="M672" s="11">
        <f>GraphListeria!$B$10-(Listeria!I672-GraphListeria!$B$6)/GraphListeria!$B$5</f>
        <v>0.35623347030397379</v>
      </c>
      <c r="N672" s="2" t="s">
        <v>1226</v>
      </c>
      <c r="O672">
        <v>1996</v>
      </c>
      <c r="P672" t="s">
        <v>38</v>
      </c>
      <c r="S672" s="10">
        <f>GraphListeria!$B$43*Listeria!I672+GraphListeria!$B$44</f>
        <v>0.38409169809355426</v>
      </c>
      <c r="U672" s="10">
        <f>GraphListeria!$H$43*Listeria!I672+GraphListeria!$H$44</f>
        <v>0.35623347030397312</v>
      </c>
    </row>
    <row r="673" spans="1:21" x14ac:dyDescent="0.2">
      <c r="A673" s="1" t="s">
        <v>1440</v>
      </c>
      <c r="B673" s="1" t="s">
        <v>1443</v>
      </c>
      <c r="D673" s="1" t="s">
        <v>11</v>
      </c>
      <c r="E673" s="1" t="s">
        <v>11</v>
      </c>
      <c r="F673" t="s">
        <v>36</v>
      </c>
      <c r="I673" s="4">
        <v>63</v>
      </c>
      <c r="J673" s="11">
        <v>3</v>
      </c>
      <c r="L673" s="12">
        <f t="shared" si="11"/>
        <v>0.47712125471966244</v>
      </c>
      <c r="M673" s="11">
        <f>GraphListeria!$B$10-(Listeria!I673-GraphListeria!$B$6)/GraphListeria!$B$5</f>
        <v>-6.973729587755384E-2</v>
      </c>
      <c r="N673" s="2" t="s">
        <v>1226</v>
      </c>
      <c r="O673">
        <v>1996</v>
      </c>
      <c r="P673" t="s">
        <v>38</v>
      </c>
      <c r="S673" s="10">
        <f>GraphListeria!$B$43*Listeria!I673+GraphListeria!$B$44</f>
        <v>-3.0135542914095481E-2</v>
      </c>
      <c r="U673" s="10">
        <f>GraphListeria!$H$43*Listeria!I673+GraphListeria!$H$44</f>
        <v>-6.9737295877553507E-2</v>
      </c>
    </row>
    <row r="674" spans="1:21" x14ac:dyDescent="0.2">
      <c r="A674" s="1" t="s">
        <v>1440</v>
      </c>
      <c r="B674" s="1" t="s">
        <v>1443</v>
      </c>
      <c r="D674" s="1" t="s">
        <v>11</v>
      </c>
      <c r="E674" s="1" t="s">
        <v>11</v>
      </c>
      <c r="F674" t="s">
        <v>36</v>
      </c>
      <c r="I674" s="4">
        <v>63</v>
      </c>
      <c r="J674" s="11">
        <v>5.4</v>
      </c>
      <c r="L674" s="12">
        <f t="shared" si="11"/>
        <v>0.7323937598229685</v>
      </c>
      <c r="M674" s="11">
        <f>GraphListeria!$B$10-(Listeria!I674-GraphListeria!$B$6)/GraphListeria!$B$5</f>
        <v>-6.973729587755384E-2</v>
      </c>
      <c r="N674" s="2" t="s">
        <v>1226</v>
      </c>
      <c r="O674">
        <v>1996</v>
      </c>
      <c r="P674" t="s">
        <v>38</v>
      </c>
      <c r="S674" s="10">
        <f>GraphListeria!$B$43*Listeria!I674+GraphListeria!$B$44</f>
        <v>-3.0135542914095481E-2</v>
      </c>
      <c r="U674" s="10">
        <f>GraphListeria!$H$43*Listeria!I674+GraphListeria!$H$44</f>
        <v>-6.9737295877553507E-2</v>
      </c>
    </row>
    <row r="675" spans="1:21" x14ac:dyDescent="0.2">
      <c r="A675" s="1" t="s">
        <v>1440</v>
      </c>
      <c r="B675" s="1" t="s">
        <v>1443</v>
      </c>
      <c r="D675" s="1" t="s">
        <v>11</v>
      </c>
      <c r="E675" s="1" t="s">
        <v>11</v>
      </c>
      <c r="F675" t="s">
        <v>36</v>
      </c>
      <c r="I675" s="4">
        <v>66</v>
      </c>
      <c r="J675" s="11">
        <v>1</v>
      </c>
      <c r="L675" s="12">
        <f t="shared" si="11"/>
        <v>0</v>
      </c>
      <c r="M675" s="11">
        <f>GraphListeria!$B$10-(Listeria!I675-GraphListeria!$B$6)/GraphListeria!$B$5</f>
        <v>-0.49570806205908136</v>
      </c>
      <c r="N675" s="2" t="s">
        <v>1226</v>
      </c>
      <c r="O675">
        <v>1996</v>
      </c>
      <c r="P675" t="s">
        <v>38</v>
      </c>
      <c r="S675" s="10">
        <f>GraphListeria!$B$43*Listeria!I675+GraphListeria!$B$44</f>
        <v>-0.44436278392174344</v>
      </c>
      <c r="U675" s="10">
        <f>GraphListeria!$H$43*Listeria!I675+GraphListeria!$H$44</f>
        <v>-0.49570806205908191</v>
      </c>
    </row>
    <row r="676" spans="1:21" x14ac:dyDescent="0.2">
      <c r="A676" s="1" t="s">
        <v>1440</v>
      </c>
      <c r="B676" s="1" t="s">
        <v>1443</v>
      </c>
      <c r="D676" s="1" t="s">
        <v>11</v>
      </c>
      <c r="E676" t="s">
        <v>11</v>
      </c>
      <c r="F676" t="s">
        <v>1263</v>
      </c>
      <c r="I676" s="4">
        <v>56</v>
      </c>
      <c r="J676" s="11">
        <v>13.18</v>
      </c>
      <c r="L676" s="12">
        <f t="shared" si="11"/>
        <v>1.1199154102579911</v>
      </c>
      <c r="M676" s="11">
        <f>GraphListeria!$B$10-(Listeria!I676-GraphListeria!$B$6)/GraphListeria!$B$5</f>
        <v>0.92419449187934366</v>
      </c>
      <c r="N676" s="2" t="s">
        <v>1226</v>
      </c>
      <c r="O676">
        <v>1996</v>
      </c>
      <c r="S676" s="10">
        <f>GraphListeria!$B$43*Listeria!I676+GraphListeria!$B$44</f>
        <v>0.93639468610375154</v>
      </c>
      <c r="U676" s="10">
        <f>GraphListeria!$H$43*Listeria!I676+GraphListeria!$H$44</f>
        <v>0.92419449187934344</v>
      </c>
    </row>
    <row r="677" spans="1:21" x14ac:dyDescent="0.2">
      <c r="A677" s="1" t="s">
        <v>1440</v>
      </c>
      <c r="B677" s="1" t="s">
        <v>1443</v>
      </c>
      <c r="D677" s="1" t="s">
        <v>11</v>
      </c>
      <c r="E677" s="1" t="s">
        <v>11</v>
      </c>
      <c r="F677" s="1" t="s">
        <v>1263</v>
      </c>
      <c r="G677" s="1"/>
      <c r="I677" s="4">
        <v>58</v>
      </c>
      <c r="J677" s="11">
        <v>6.39</v>
      </c>
      <c r="L677" s="12">
        <f t="shared" si="11"/>
        <v>0.80550085815840011</v>
      </c>
      <c r="M677" s="11">
        <f>GraphListeria!$B$10-(Listeria!I677-GraphListeria!$B$6)/GraphListeria!$B$5</f>
        <v>0.64021398109165872</v>
      </c>
      <c r="N677" s="2" t="s">
        <v>1226</v>
      </c>
      <c r="O677">
        <v>1996</v>
      </c>
      <c r="S677" s="10">
        <f>GraphListeria!$B$43*Listeria!I677+GraphListeria!$B$44</f>
        <v>0.6602431920986529</v>
      </c>
      <c r="U677" s="10">
        <f>GraphListeria!$H$43*Listeria!I677+GraphListeria!$H$44</f>
        <v>0.64021398109165872</v>
      </c>
    </row>
    <row r="678" spans="1:21" x14ac:dyDescent="0.2">
      <c r="A678" s="1" t="s">
        <v>1440</v>
      </c>
      <c r="B678" s="1" t="s">
        <v>1443</v>
      </c>
      <c r="D678" s="1" t="s">
        <v>11</v>
      </c>
      <c r="E678" s="1" t="s">
        <v>11</v>
      </c>
      <c r="F678" s="1" t="s">
        <v>1263</v>
      </c>
      <c r="G678" s="1"/>
      <c r="I678" s="4">
        <v>60</v>
      </c>
      <c r="J678" s="11">
        <v>3.12</v>
      </c>
      <c r="L678" s="12">
        <f t="shared" si="11"/>
        <v>0.49415459401844281</v>
      </c>
      <c r="M678" s="11">
        <f>GraphListeria!$B$10-(Listeria!I678-GraphListeria!$B$6)/GraphListeria!$B$5</f>
        <v>0.35623347030397379</v>
      </c>
      <c r="N678" s="2" t="s">
        <v>1226</v>
      </c>
      <c r="O678">
        <v>1996</v>
      </c>
      <c r="S678" s="10">
        <f>GraphListeria!$B$43*Listeria!I678+GraphListeria!$B$44</f>
        <v>0.38409169809355426</v>
      </c>
      <c r="U678" s="10">
        <f>GraphListeria!$H$43*Listeria!I678+GraphListeria!$H$44</f>
        <v>0.35623347030397312</v>
      </c>
    </row>
    <row r="679" spans="1:21" x14ac:dyDescent="0.2">
      <c r="A679" s="1" t="s">
        <v>1440</v>
      </c>
      <c r="B679" s="1" t="s">
        <v>1443</v>
      </c>
      <c r="D679" s="1" t="s">
        <v>11</v>
      </c>
      <c r="E679" s="1" t="s">
        <v>11</v>
      </c>
      <c r="F679" s="1" t="s">
        <v>1263</v>
      </c>
      <c r="G679" s="1"/>
      <c r="I679" s="4">
        <v>62</v>
      </c>
      <c r="J679" s="11">
        <v>1.01</v>
      </c>
      <c r="L679" s="12">
        <f t="shared" si="11"/>
        <v>4.3213737826425782E-3</v>
      </c>
      <c r="M679" s="11">
        <f>GraphListeria!$B$10-(Listeria!I679-GraphListeria!$B$6)/GraphListeria!$B$5</f>
        <v>7.2252959516288628E-2</v>
      </c>
      <c r="N679" s="2" t="s">
        <v>1226</v>
      </c>
      <c r="O679">
        <v>1996</v>
      </c>
      <c r="S679" s="10">
        <f>GraphListeria!$B$43*Listeria!I679+GraphListeria!$B$44</f>
        <v>0.10794020408845384</v>
      </c>
      <c r="U679" s="10">
        <f>GraphListeria!$H$43*Listeria!I679+GraphListeria!$H$44</f>
        <v>7.2252959516289295E-2</v>
      </c>
    </row>
    <row r="680" spans="1:21" x14ac:dyDescent="0.2">
      <c r="A680" s="1" t="s">
        <v>1440</v>
      </c>
      <c r="B680" s="1" t="s">
        <v>1443</v>
      </c>
      <c r="D680" s="1" t="s">
        <v>11</v>
      </c>
      <c r="E680" s="1" t="s">
        <v>11</v>
      </c>
      <c r="F680" s="1" t="s">
        <v>13</v>
      </c>
      <c r="G680" s="1"/>
      <c r="I680" s="4">
        <v>58</v>
      </c>
      <c r="J680" s="11">
        <v>50</v>
      </c>
      <c r="L680" s="12">
        <f t="shared" si="11"/>
        <v>1.6989700043360187</v>
      </c>
      <c r="M680" s="11">
        <f>GraphListeria!$B$10-(Listeria!I680-GraphListeria!$B$6)/GraphListeria!$B$5</f>
        <v>0.64021398109165872</v>
      </c>
      <c r="N680" s="2" t="s">
        <v>1226</v>
      </c>
      <c r="O680">
        <v>1996</v>
      </c>
      <c r="S680" s="10">
        <f>GraphListeria!$B$43*Listeria!I680+GraphListeria!$B$44</f>
        <v>0.6602431920986529</v>
      </c>
      <c r="U680" s="10">
        <f>GraphListeria!$H$43*Listeria!I680+GraphListeria!$H$44</f>
        <v>0.64021398109165872</v>
      </c>
    </row>
    <row r="681" spans="1:21" x14ac:dyDescent="0.2">
      <c r="A681" s="1" t="s">
        <v>1440</v>
      </c>
      <c r="B681" s="1" t="s">
        <v>1443</v>
      </c>
      <c r="D681" s="1" t="s">
        <v>11</v>
      </c>
      <c r="E681" s="1" t="s">
        <v>11</v>
      </c>
      <c r="F681" s="1" t="s">
        <v>13</v>
      </c>
      <c r="G681" s="1"/>
      <c r="I681" s="4">
        <v>60</v>
      </c>
      <c r="J681" s="11">
        <v>16.7</v>
      </c>
      <c r="L681" s="12">
        <f t="shared" si="11"/>
        <v>1.2227164711475833</v>
      </c>
      <c r="M681" s="11">
        <f>GraphListeria!$B$10-(Listeria!I681-GraphListeria!$B$6)/GraphListeria!$B$5</f>
        <v>0.35623347030397379</v>
      </c>
      <c r="N681" s="2" t="s">
        <v>1226</v>
      </c>
      <c r="O681">
        <v>1996</v>
      </c>
      <c r="S681" s="10">
        <f>GraphListeria!$B$43*Listeria!I681+GraphListeria!$B$44</f>
        <v>0.38409169809355426</v>
      </c>
      <c r="U681" s="10">
        <f>GraphListeria!$H$43*Listeria!I681+GraphListeria!$H$44</f>
        <v>0.35623347030397312</v>
      </c>
    </row>
    <row r="682" spans="1:21" x14ac:dyDescent="0.2">
      <c r="A682" s="1" t="s">
        <v>1440</v>
      </c>
      <c r="B682" s="1" t="s">
        <v>1443</v>
      </c>
      <c r="D682" s="1" t="s">
        <v>11</v>
      </c>
      <c r="E682" s="1" t="s">
        <v>11</v>
      </c>
      <c r="F682" s="1" t="s">
        <v>13</v>
      </c>
      <c r="G682" s="1"/>
      <c r="I682" s="4">
        <v>62</v>
      </c>
      <c r="J682" s="11">
        <v>7.06</v>
      </c>
      <c r="L682" s="12">
        <f t="shared" si="11"/>
        <v>0.84880470105180372</v>
      </c>
      <c r="M682" s="11">
        <f>GraphListeria!$B$10-(Listeria!I682-GraphListeria!$B$6)/GraphListeria!$B$5</f>
        <v>7.2252959516288628E-2</v>
      </c>
      <c r="N682" s="2" t="s">
        <v>1226</v>
      </c>
      <c r="O682">
        <v>1996</v>
      </c>
      <c r="S682" s="10">
        <f>GraphListeria!$B$43*Listeria!I682+GraphListeria!$B$44</f>
        <v>0.10794020408845384</v>
      </c>
      <c r="U682" s="10">
        <f>GraphListeria!$H$43*Listeria!I682+GraphListeria!$H$44</f>
        <v>7.2252959516289295E-2</v>
      </c>
    </row>
    <row r="683" spans="1:21" x14ac:dyDescent="0.2">
      <c r="A683" s="1" t="s">
        <v>1440</v>
      </c>
      <c r="B683" s="1" t="s">
        <v>1443</v>
      </c>
      <c r="D683" s="1" t="s">
        <v>11</v>
      </c>
      <c r="E683" s="1" t="s">
        <v>11</v>
      </c>
      <c r="F683" s="1" t="s">
        <v>13</v>
      </c>
      <c r="G683" s="1"/>
      <c r="I683" s="4">
        <v>64</v>
      </c>
      <c r="J683" s="11">
        <v>1.28</v>
      </c>
      <c r="L683" s="12">
        <f t="shared" si="11"/>
        <v>0.10720996964786837</v>
      </c>
      <c r="M683" s="11">
        <f>GraphListeria!$B$10-(Listeria!I683-GraphListeria!$B$6)/GraphListeria!$B$5</f>
        <v>-0.21172755127139631</v>
      </c>
      <c r="N683" s="2" t="s">
        <v>1226</v>
      </c>
      <c r="O683">
        <v>1996</v>
      </c>
      <c r="S683" s="10">
        <f>GraphListeria!$B$43*Listeria!I683+GraphListeria!$B$44</f>
        <v>-0.1682112899166448</v>
      </c>
      <c r="U683" s="10">
        <f>GraphListeria!$H$43*Listeria!I683+GraphListeria!$H$44</f>
        <v>-0.21172755127139631</v>
      </c>
    </row>
    <row r="684" spans="1:21" x14ac:dyDescent="0.2">
      <c r="A684" s="1" t="s">
        <v>1440</v>
      </c>
      <c r="B684" s="1" t="s">
        <v>1443</v>
      </c>
      <c r="D684" s="1" t="s">
        <v>11</v>
      </c>
      <c r="E684" s="1" t="s">
        <v>11</v>
      </c>
      <c r="F684" s="1" t="s">
        <v>17</v>
      </c>
      <c r="G684" s="1"/>
      <c r="H684" s="4">
        <v>5.9</v>
      </c>
      <c r="I684" s="4">
        <v>60</v>
      </c>
      <c r="J684" s="11">
        <v>2.54</v>
      </c>
      <c r="L684" s="12">
        <f t="shared" si="11"/>
        <v>0.40483371661993806</v>
      </c>
      <c r="M684" s="11">
        <f>GraphListeria!$B$10-(Listeria!I684-GraphListeria!$B$6)/GraphListeria!$B$5</f>
        <v>0.35623347030397379</v>
      </c>
      <c r="N684" s="2" t="s">
        <v>1226</v>
      </c>
      <c r="O684">
        <v>1996</v>
      </c>
      <c r="S684" s="10">
        <f>GraphListeria!$B$43*Listeria!I684+GraphListeria!$B$44</f>
        <v>0.38409169809355426</v>
      </c>
      <c r="U684" s="10">
        <f>GraphListeria!$H$43*Listeria!I684+GraphListeria!$H$44</f>
        <v>0.35623347030397312</v>
      </c>
    </row>
    <row r="685" spans="1:21" x14ac:dyDescent="0.2">
      <c r="A685" s="1" t="s">
        <v>1440</v>
      </c>
      <c r="B685" s="1" t="s">
        <v>1443</v>
      </c>
      <c r="D685" s="1" t="s">
        <v>11</v>
      </c>
      <c r="E685" s="1" t="s">
        <v>11</v>
      </c>
      <c r="F685" s="1" t="s">
        <v>17</v>
      </c>
      <c r="G685" s="1"/>
      <c r="H685" s="4">
        <v>5.9</v>
      </c>
      <c r="I685" s="4">
        <v>65</v>
      </c>
      <c r="J685" s="11">
        <v>0.75</v>
      </c>
      <c r="L685" s="12">
        <f t="shared" si="11"/>
        <v>-0.12493873660829995</v>
      </c>
      <c r="M685" s="11">
        <f>GraphListeria!$B$10-(Listeria!I685-GraphListeria!$B$6)/GraphListeria!$B$5</f>
        <v>-0.35371780666523878</v>
      </c>
      <c r="N685" s="2" t="s">
        <v>1226</v>
      </c>
      <c r="O685">
        <v>1996</v>
      </c>
      <c r="S685" s="10">
        <f>GraphListeria!$B$43*Listeria!I685+GraphListeria!$B$44</f>
        <v>-0.30628703691919412</v>
      </c>
      <c r="U685" s="10">
        <f>GraphListeria!$H$43*Listeria!I685+GraphListeria!$H$44</f>
        <v>-0.35371780666523911</v>
      </c>
    </row>
    <row r="686" spans="1:21" x14ac:dyDescent="0.2">
      <c r="A686" s="1" t="s">
        <v>1440</v>
      </c>
      <c r="B686" s="1" t="s">
        <v>1443</v>
      </c>
      <c r="D686" s="1" t="s">
        <v>11</v>
      </c>
      <c r="E686" s="1" t="s">
        <v>11</v>
      </c>
      <c r="F686" t="s">
        <v>17</v>
      </c>
      <c r="H686" s="4">
        <v>5.9</v>
      </c>
      <c r="I686" s="4">
        <v>70</v>
      </c>
      <c r="J686" s="11">
        <v>0.23</v>
      </c>
      <c r="L686" s="12">
        <f t="shared" si="11"/>
        <v>-0.63827216398240705</v>
      </c>
      <c r="M686" s="11">
        <f>GraphListeria!$B$10-(Listeria!I686-GraphListeria!$B$6)/GraphListeria!$B$5</f>
        <v>-1.0636690836344513</v>
      </c>
      <c r="N686" s="2" t="s">
        <v>1226</v>
      </c>
      <c r="O686">
        <v>1996</v>
      </c>
      <c r="S686" s="10">
        <f>GraphListeria!$B$43*Listeria!I686+GraphListeria!$B$44</f>
        <v>-0.9966657719319425</v>
      </c>
      <c r="U686" s="10">
        <f>GraphListeria!$H$43*Listeria!I686+GraphListeria!$H$44</f>
        <v>-1.0636690836344513</v>
      </c>
    </row>
    <row r="687" spans="1:21" x14ac:dyDescent="0.2">
      <c r="A687" s="1" t="s">
        <v>1440</v>
      </c>
      <c r="B687" s="1" t="s">
        <v>1443</v>
      </c>
      <c r="D687" s="1" t="s">
        <v>11</v>
      </c>
      <c r="E687" s="1" t="s">
        <v>143</v>
      </c>
      <c r="F687" s="19" t="s">
        <v>489</v>
      </c>
      <c r="G687" s="19"/>
      <c r="I687" s="4">
        <v>50</v>
      </c>
      <c r="J687" s="11">
        <v>114</v>
      </c>
      <c r="K687" s="4">
        <v>5.45</v>
      </c>
      <c r="L687" s="12">
        <f t="shared" si="11"/>
        <v>2.0569048513364727</v>
      </c>
      <c r="M687" s="11">
        <f>GraphListeria!$B$10-(Listeria!I687-GraphListeria!$B$6)/GraphListeria!$B$5</f>
        <v>1.7761360242423989</v>
      </c>
      <c r="N687" s="1" t="s">
        <v>490</v>
      </c>
      <c r="O687">
        <v>2001</v>
      </c>
      <c r="S687" s="10">
        <f>GraphListeria!$B$43*Listeria!I687+GraphListeria!$B$44</f>
        <v>1.7648491681190492</v>
      </c>
      <c r="U687" s="10">
        <f>GraphListeria!$H$43*Listeria!I687+GraphListeria!$H$44</f>
        <v>1.7761360242423985</v>
      </c>
    </row>
    <row r="688" spans="1:21" x14ac:dyDescent="0.2">
      <c r="A688" s="1" t="s">
        <v>1440</v>
      </c>
      <c r="B688" s="1" t="s">
        <v>1443</v>
      </c>
      <c r="D688" s="1" t="s">
        <v>11</v>
      </c>
      <c r="E688" s="1" t="s">
        <v>143</v>
      </c>
      <c r="F688" s="19" t="s">
        <v>489</v>
      </c>
      <c r="G688" s="1"/>
      <c r="I688" s="4">
        <v>55</v>
      </c>
      <c r="J688" s="11">
        <v>10.199999999999999</v>
      </c>
      <c r="K688" s="4">
        <v>5.45</v>
      </c>
      <c r="L688" s="12">
        <f t="shared" si="11"/>
        <v>1.0086001717619175</v>
      </c>
      <c r="M688" s="11">
        <f>GraphListeria!$B$10-(Listeria!I688-GraphListeria!$B$6)/GraphListeria!$B$5</f>
        <v>1.0661847472731862</v>
      </c>
      <c r="N688" s="1" t="s">
        <v>490</v>
      </c>
      <c r="O688">
        <v>2001</v>
      </c>
      <c r="S688" s="10">
        <f>GraphListeria!$B$43*Listeria!I688+GraphListeria!$B$44</f>
        <v>1.0744704331063017</v>
      </c>
      <c r="U688" s="10">
        <f>GraphListeria!$H$43*Listeria!I688+GraphListeria!$H$44</f>
        <v>1.0661847472731862</v>
      </c>
    </row>
    <row r="689" spans="1:21" x14ac:dyDescent="0.2">
      <c r="A689" s="1" t="s">
        <v>1440</v>
      </c>
      <c r="B689" s="1" t="s">
        <v>1443</v>
      </c>
      <c r="D689" s="1" t="s">
        <v>11</v>
      </c>
      <c r="E689" s="1" t="s">
        <v>143</v>
      </c>
      <c r="F689" s="19" t="s">
        <v>489</v>
      </c>
      <c r="G689" s="1"/>
      <c r="I689" s="4">
        <v>60</v>
      </c>
      <c r="J689" s="11">
        <v>1.7</v>
      </c>
      <c r="K689" s="4">
        <v>5.45</v>
      </c>
      <c r="L689" s="12">
        <f t="shared" si="11"/>
        <v>0.23044892137827391</v>
      </c>
      <c r="M689" s="11">
        <f>GraphListeria!$B$10-(Listeria!I689-GraphListeria!$B$6)/GraphListeria!$B$5</f>
        <v>0.35623347030397379</v>
      </c>
      <c r="N689" s="1" t="s">
        <v>490</v>
      </c>
      <c r="O689">
        <v>2001</v>
      </c>
      <c r="S689" s="10">
        <f>GraphListeria!$B$43*Listeria!I689+GraphListeria!$B$44</f>
        <v>0.38409169809355426</v>
      </c>
      <c r="U689" s="10">
        <f>GraphListeria!$H$43*Listeria!I689+GraphListeria!$H$44</f>
        <v>0.35623347030397312</v>
      </c>
    </row>
    <row r="690" spans="1:21" x14ac:dyDescent="0.2">
      <c r="A690" s="1" t="s">
        <v>1440</v>
      </c>
      <c r="B690" s="1" t="s">
        <v>1443</v>
      </c>
      <c r="C690" t="s">
        <v>57</v>
      </c>
      <c r="D690" s="1" t="s">
        <v>11</v>
      </c>
      <c r="E690" s="1" t="s">
        <v>143</v>
      </c>
      <c r="F690" s="1" t="s">
        <v>1294</v>
      </c>
      <c r="G690" s="1"/>
      <c r="I690" s="4">
        <v>62</v>
      </c>
      <c r="J690" s="11">
        <v>6.5</v>
      </c>
      <c r="L690" s="12">
        <f t="shared" si="11"/>
        <v>0.81291335664285558</v>
      </c>
      <c r="M690" s="11">
        <f>GraphListeria!$B$10-(Listeria!I690-GraphListeria!$B$6)/GraphListeria!$B$5</f>
        <v>7.2252959516288628E-2</v>
      </c>
      <c r="N690" s="1" t="s">
        <v>490</v>
      </c>
      <c r="O690">
        <v>2001</v>
      </c>
      <c r="S690" s="10">
        <f>GraphListeria!$B$43*Listeria!I690+GraphListeria!$B$44</f>
        <v>0.10794020408845384</v>
      </c>
      <c r="U690" s="10">
        <f>GraphListeria!$H$43*Listeria!I690+GraphListeria!$H$44</f>
        <v>7.2252959516289295E-2</v>
      </c>
    </row>
    <row r="691" spans="1:21" x14ac:dyDescent="0.2">
      <c r="A691" s="1" t="s">
        <v>1440</v>
      </c>
      <c r="B691" s="1" t="s">
        <v>1443</v>
      </c>
      <c r="C691" t="s">
        <v>419</v>
      </c>
      <c r="D691" s="1" t="s">
        <v>11</v>
      </c>
      <c r="E691" s="1" t="s">
        <v>143</v>
      </c>
      <c r="F691" s="1" t="s">
        <v>1294</v>
      </c>
      <c r="G691" s="1"/>
      <c r="I691" s="4">
        <v>62</v>
      </c>
      <c r="J691" s="11">
        <v>7.7</v>
      </c>
      <c r="L691" s="12">
        <f t="shared" si="11"/>
        <v>0.88649072517248184</v>
      </c>
      <c r="M691" s="11">
        <f>GraphListeria!$B$10-(Listeria!I691-GraphListeria!$B$6)/GraphListeria!$B$5</f>
        <v>7.2252959516288628E-2</v>
      </c>
      <c r="N691" s="1" t="s">
        <v>490</v>
      </c>
      <c r="O691">
        <v>2001</v>
      </c>
      <c r="S691" s="10">
        <f>GraphListeria!$B$43*Listeria!I691+GraphListeria!$B$44</f>
        <v>0.10794020408845384</v>
      </c>
      <c r="U691" s="10">
        <f>GraphListeria!$H$43*Listeria!I691+GraphListeria!$H$44</f>
        <v>7.2252959516289295E-2</v>
      </c>
    </row>
    <row r="692" spans="1:21" x14ac:dyDescent="0.2">
      <c r="A692" s="1" t="s">
        <v>1440</v>
      </c>
      <c r="B692" s="1" t="s">
        <v>1443</v>
      </c>
      <c r="C692" t="s">
        <v>57</v>
      </c>
      <c r="D692" s="1" t="s">
        <v>11</v>
      </c>
      <c r="E692" s="1" t="s">
        <v>143</v>
      </c>
      <c r="F692" s="1" t="s">
        <v>485</v>
      </c>
      <c r="G692" s="1"/>
      <c r="I692" s="4">
        <v>62</v>
      </c>
      <c r="J692" s="11">
        <v>4.3</v>
      </c>
      <c r="L692" s="12">
        <f t="shared" si="11"/>
        <v>0.63346845557958653</v>
      </c>
      <c r="M692" s="11">
        <f>GraphListeria!$B$10-(Listeria!I692-GraphListeria!$B$6)/GraphListeria!$B$5</f>
        <v>7.2252959516288628E-2</v>
      </c>
      <c r="N692" s="1" t="s">
        <v>490</v>
      </c>
      <c r="O692">
        <v>2001</v>
      </c>
      <c r="S692" s="10">
        <f>GraphListeria!$B$43*Listeria!I692+GraphListeria!$B$44</f>
        <v>0.10794020408845384</v>
      </c>
      <c r="U692" s="10">
        <f>GraphListeria!$H$43*Listeria!I692+GraphListeria!$H$44</f>
        <v>7.2252959516289295E-2</v>
      </c>
    </row>
    <row r="693" spans="1:21" x14ac:dyDescent="0.2">
      <c r="A693" s="1" t="s">
        <v>1440</v>
      </c>
      <c r="B693" s="1" t="s">
        <v>1443</v>
      </c>
      <c r="C693" t="s">
        <v>419</v>
      </c>
      <c r="D693" s="1" t="s">
        <v>11</v>
      </c>
      <c r="E693" s="1" t="s">
        <v>143</v>
      </c>
      <c r="F693" s="1" t="s">
        <v>485</v>
      </c>
      <c r="G693" s="1"/>
      <c r="I693" s="4">
        <v>62</v>
      </c>
      <c r="J693" s="11">
        <v>5.2</v>
      </c>
      <c r="L693" s="12">
        <f t="shared" si="11"/>
        <v>0.71600334363479923</v>
      </c>
      <c r="M693" s="11">
        <f>GraphListeria!$B$10-(Listeria!I693-GraphListeria!$B$6)/GraphListeria!$B$5</f>
        <v>7.2252959516288628E-2</v>
      </c>
      <c r="N693" s="1" t="s">
        <v>490</v>
      </c>
      <c r="O693">
        <v>2001</v>
      </c>
      <c r="S693" s="10">
        <f>GraphListeria!$B$43*Listeria!I693+GraphListeria!$B$44</f>
        <v>0.10794020408845384</v>
      </c>
      <c r="U693" s="10">
        <f>GraphListeria!$H$43*Listeria!I693+GraphListeria!$H$44</f>
        <v>7.2252959516289295E-2</v>
      </c>
    </row>
    <row r="694" spans="1:21" x14ac:dyDescent="0.2">
      <c r="A694" s="1" t="s">
        <v>1440</v>
      </c>
      <c r="B694" s="1" t="s">
        <v>1443</v>
      </c>
      <c r="C694" t="s">
        <v>419</v>
      </c>
      <c r="D694" s="1" t="s">
        <v>11</v>
      </c>
      <c r="E694" s="1" t="s">
        <v>143</v>
      </c>
      <c r="F694" s="1"/>
      <c r="G694" s="1"/>
      <c r="I694" s="4">
        <v>62</v>
      </c>
      <c r="J694" s="11">
        <v>9.1999999999999993</v>
      </c>
      <c r="L694" s="12">
        <f t="shared" si="11"/>
        <v>0.96378782734555524</v>
      </c>
      <c r="M694" s="11">
        <f>GraphListeria!$B$10-(Listeria!I694-GraphListeria!$B$6)/GraphListeria!$B$5</f>
        <v>7.2252959516288628E-2</v>
      </c>
      <c r="N694" s="1" t="s">
        <v>490</v>
      </c>
      <c r="O694">
        <v>2001</v>
      </c>
      <c r="P694" t="s">
        <v>486</v>
      </c>
      <c r="S694" s="10">
        <f>GraphListeria!$B$43*Listeria!I694+GraphListeria!$B$44</f>
        <v>0.10794020408845384</v>
      </c>
      <c r="U694" s="10">
        <f>GraphListeria!$H$43*Listeria!I694+GraphListeria!$H$44</f>
        <v>7.2252959516289295E-2</v>
      </c>
    </row>
    <row r="695" spans="1:21" x14ac:dyDescent="0.2">
      <c r="A695" s="1" t="s">
        <v>1440</v>
      </c>
      <c r="B695" s="1" t="s">
        <v>1443</v>
      </c>
      <c r="C695" t="s">
        <v>419</v>
      </c>
      <c r="D695" s="1" t="s">
        <v>11</v>
      </c>
      <c r="E695" s="1" t="s">
        <v>143</v>
      </c>
      <c r="F695" s="1"/>
      <c r="G695" s="1"/>
      <c r="I695" s="4">
        <v>62</v>
      </c>
      <c r="J695" s="11">
        <v>6.2</v>
      </c>
      <c r="L695" s="12">
        <f t="shared" si="11"/>
        <v>0.79239168949825389</v>
      </c>
      <c r="M695" s="11">
        <f>GraphListeria!$B$10-(Listeria!I695-GraphListeria!$B$6)/GraphListeria!$B$5</f>
        <v>7.2252959516288628E-2</v>
      </c>
      <c r="N695" s="1" t="s">
        <v>490</v>
      </c>
      <c r="O695">
        <v>2001</v>
      </c>
      <c r="P695" t="s">
        <v>487</v>
      </c>
      <c r="S695" s="10">
        <f>GraphListeria!$B$43*Listeria!I695+GraphListeria!$B$44</f>
        <v>0.10794020408845384</v>
      </c>
      <c r="U695" s="10">
        <f>GraphListeria!$H$43*Listeria!I695+GraphListeria!$H$44</f>
        <v>7.2252959516289295E-2</v>
      </c>
    </row>
    <row r="696" spans="1:21" x14ac:dyDescent="0.2">
      <c r="A696" s="1" t="s">
        <v>1440</v>
      </c>
      <c r="B696" s="1" t="s">
        <v>1443</v>
      </c>
      <c r="C696" t="s">
        <v>419</v>
      </c>
      <c r="D696" s="1" t="s">
        <v>11</v>
      </c>
      <c r="E696" s="1" t="s">
        <v>143</v>
      </c>
      <c r="F696" s="1"/>
      <c r="G696" s="1"/>
      <c r="I696" s="4">
        <v>62</v>
      </c>
      <c r="J696" s="11">
        <v>5.5</v>
      </c>
      <c r="L696" s="12">
        <f t="shared" si="11"/>
        <v>0.74036268949424389</v>
      </c>
      <c r="M696" s="11">
        <f>GraphListeria!$B$10-(Listeria!I696-GraphListeria!$B$6)/GraphListeria!$B$5</f>
        <v>7.2252959516288628E-2</v>
      </c>
      <c r="N696" s="1" t="s">
        <v>490</v>
      </c>
      <c r="O696">
        <v>2001</v>
      </c>
      <c r="P696" t="s">
        <v>488</v>
      </c>
      <c r="S696" s="10">
        <f>GraphListeria!$B$43*Listeria!I696+GraphListeria!$B$44</f>
        <v>0.10794020408845384</v>
      </c>
      <c r="U696" s="10">
        <f>GraphListeria!$H$43*Listeria!I696+GraphListeria!$H$44</f>
        <v>7.2252959516289295E-2</v>
      </c>
    </row>
    <row r="697" spans="1:21" x14ac:dyDescent="0.2">
      <c r="A697" s="1" t="s">
        <v>1440</v>
      </c>
      <c r="B697" s="1" t="s">
        <v>1443</v>
      </c>
      <c r="D697" s="1" t="s">
        <v>11</v>
      </c>
      <c r="E697" s="1" t="s">
        <v>143</v>
      </c>
      <c r="F697" s="1"/>
      <c r="G697" s="1"/>
      <c r="I697" s="4">
        <v>50</v>
      </c>
      <c r="J697" s="11">
        <v>109</v>
      </c>
      <c r="K697" s="4">
        <v>5.05</v>
      </c>
      <c r="L697" s="12">
        <f t="shared" si="11"/>
        <v>2.0374264979406238</v>
      </c>
      <c r="M697" s="11">
        <f>GraphListeria!$B$10-(Listeria!I697-GraphListeria!$B$6)/GraphListeria!$B$5</f>
        <v>1.7761360242423989</v>
      </c>
      <c r="N697" s="1" t="s">
        <v>490</v>
      </c>
      <c r="O697">
        <v>2001</v>
      </c>
      <c r="S697" s="10">
        <f>GraphListeria!$B$43*Listeria!I697+GraphListeria!$B$44</f>
        <v>1.7648491681190492</v>
      </c>
      <c r="U697" s="10">
        <f>GraphListeria!$H$43*Listeria!I697+GraphListeria!$H$44</f>
        <v>1.7761360242423985</v>
      </c>
    </row>
    <row r="698" spans="1:21" x14ac:dyDescent="0.2">
      <c r="A698" s="1" t="s">
        <v>1440</v>
      </c>
      <c r="B698" s="1" t="s">
        <v>1443</v>
      </c>
      <c r="D698" s="1" t="s">
        <v>11</v>
      </c>
      <c r="E698" s="1" t="s">
        <v>143</v>
      </c>
      <c r="F698" s="1"/>
      <c r="G698" s="1"/>
      <c r="I698" s="4">
        <v>55</v>
      </c>
      <c r="J698" s="11">
        <v>9.8000000000000007</v>
      </c>
      <c r="K698" s="4">
        <v>5.05</v>
      </c>
      <c r="L698" s="12">
        <f t="shared" si="11"/>
        <v>0.99122607569249488</v>
      </c>
      <c r="M698" s="11">
        <f>GraphListeria!$B$10-(Listeria!I698-GraphListeria!$B$6)/GraphListeria!$B$5</f>
        <v>1.0661847472731862</v>
      </c>
      <c r="N698" s="1" t="s">
        <v>490</v>
      </c>
      <c r="O698">
        <v>2001</v>
      </c>
      <c r="S698" s="10">
        <f>GraphListeria!$B$43*Listeria!I698+GraphListeria!$B$44</f>
        <v>1.0744704331063017</v>
      </c>
      <c r="U698" s="10">
        <f>GraphListeria!$H$43*Listeria!I698+GraphListeria!$H$44</f>
        <v>1.0661847472731862</v>
      </c>
    </row>
    <row r="699" spans="1:21" x14ac:dyDescent="0.2">
      <c r="A699" s="1" t="s">
        <v>1440</v>
      </c>
      <c r="B699" s="1" t="s">
        <v>1443</v>
      </c>
      <c r="D699" s="1" t="s">
        <v>11</v>
      </c>
      <c r="E699" s="1" t="s">
        <v>143</v>
      </c>
      <c r="F699" s="1"/>
      <c r="G699" s="1"/>
      <c r="I699" s="4">
        <v>60</v>
      </c>
      <c r="J699" s="11">
        <v>1.1399999999999999</v>
      </c>
      <c r="K699" s="4">
        <v>5.05</v>
      </c>
      <c r="L699" s="12">
        <f t="shared" si="11"/>
        <v>5.6904851336472557E-2</v>
      </c>
      <c r="M699" s="11">
        <f>GraphListeria!$B$10-(Listeria!I699-GraphListeria!$B$6)/GraphListeria!$B$5</f>
        <v>0.35623347030397379</v>
      </c>
      <c r="N699" s="1" t="s">
        <v>490</v>
      </c>
      <c r="O699">
        <v>2001</v>
      </c>
      <c r="S699" s="10">
        <f>GraphListeria!$B$43*Listeria!I699+GraphListeria!$B$44</f>
        <v>0.38409169809355426</v>
      </c>
      <c r="U699" s="10">
        <f>GraphListeria!$H$43*Listeria!I699+GraphListeria!$H$44</f>
        <v>0.35623347030397312</v>
      </c>
    </row>
    <row r="700" spans="1:21" x14ac:dyDescent="0.2">
      <c r="A700" s="1" t="s">
        <v>1440</v>
      </c>
      <c r="B700" s="1" t="s">
        <v>1443</v>
      </c>
      <c r="D700" s="1" t="s">
        <v>11</v>
      </c>
      <c r="E700" s="1" t="s">
        <v>1447</v>
      </c>
      <c r="F700" s="1" t="s">
        <v>611</v>
      </c>
      <c r="G700" s="1"/>
      <c r="I700" s="4">
        <v>51.7</v>
      </c>
      <c r="J700" s="11">
        <v>44.4</v>
      </c>
      <c r="K700" s="4">
        <v>10</v>
      </c>
      <c r="L700" s="12">
        <f t="shared" si="11"/>
        <v>1.6473829701146199</v>
      </c>
      <c r="M700" s="11">
        <f>GraphListeria!$B$10-(Listeria!I700-GraphListeria!$B$6)/GraphListeria!$B$5</f>
        <v>1.5347525900728662</v>
      </c>
      <c r="N700" s="1" t="s">
        <v>490</v>
      </c>
      <c r="O700">
        <v>2001</v>
      </c>
      <c r="S700" s="10">
        <f>GraphListeria!$B$43*Listeria!I700+GraphListeria!$B$44</f>
        <v>1.5301203982147147</v>
      </c>
      <c r="U700" s="10">
        <f>GraphListeria!$H$43*Listeria!I700+GraphListeria!$H$44</f>
        <v>1.5347525900728662</v>
      </c>
    </row>
    <row r="701" spans="1:21" x14ac:dyDescent="0.2">
      <c r="A701" s="1" t="s">
        <v>1440</v>
      </c>
      <c r="B701" s="1" t="s">
        <v>1443</v>
      </c>
      <c r="D701" s="1" t="s">
        <v>11</v>
      </c>
      <c r="E701" s="1" t="s">
        <v>1447</v>
      </c>
      <c r="F701" s="1" t="s">
        <v>611</v>
      </c>
      <c r="G701" s="1"/>
      <c r="I701" s="4">
        <v>54.7</v>
      </c>
      <c r="J701" s="11">
        <v>20.100000000000001</v>
      </c>
      <c r="K701" s="4">
        <v>10</v>
      </c>
      <c r="L701" s="12">
        <f t="shared" si="11"/>
        <v>1.3031960574204888</v>
      </c>
      <c r="M701" s="11">
        <f>GraphListeria!$B$10-(Listeria!I701-GraphListeria!$B$6)/GraphListeria!$B$5</f>
        <v>1.1087818238913387</v>
      </c>
      <c r="N701" s="1" t="s">
        <v>490</v>
      </c>
      <c r="O701">
        <v>2001</v>
      </c>
      <c r="S701" s="10">
        <f>GraphListeria!$B$43*Listeria!I701+GraphListeria!$B$44</f>
        <v>1.1158931572070658</v>
      </c>
      <c r="U701" s="10">
        <f>GraphListeria!$H$43*Listeria!I701+GraphListeria!$H$44</f>
        <v>1.1087818238913387</v>
      </c>
    </row>
    <row r="702" spans="1:21" x14ac:dyDescent="0.2">
      <c r="A702" s="1" t="s">
        <v>1440</v>
      </c>
      <c r="B702" s="1" t="s">
        <v>1443</v>
      </c>
      <c r="D702" s="1" t="s">
        <v>11</v>
      </c>
      <c r="E702" s="1" t="s">
        <v>1447</v>
      </c>
      <c r="F702" s="1" t="s">
        <v>611</v>
      </c>
      <c r="G702" s="1"/>
      <c r="I702" s="4">
        <v>57.2</v>
      </c>
      <c r="J702" s="11">
        <v>11.2</v>
      </c>
      <c r="K702" s="4">
        <v>10</v>
      </c>
      <c r="L702" s="12">
        <f t="shared" si="11"/>
        <v>1.0492180226701815</v>
      </c>
      <c r="M702" s="11">
        <f>GraphListeria!$B$10-(Listeria!I702-GraphListeria!$B$6)/GraphListeria!$B$5</f>
        <v>0.75380618540673239</v>
      </c>
      <c r="N702" s="1" t="s">
        <v>490</v>
      </c>
      <c r="O702">
        <v>2001</v>
      </c>
      <c r="S702" s="10">
        <f>GraphListeria!$B$43*Listeria!I702+GraphListeria!$B$44</f>
        <v>0.77070378970069164</v>
      </c>
      <c r="U702" s="10">
        <f>GraphListeria!$H$43*Listeria!I702+GraphListeria!$H$44</f>
        <v>0.75380618540673261</v>
      </c>
    </row>
    <row r="703" spans="1:21" x14ac:dyDescent="0.2">
      <c r="A703" s="1" t="s">
        <v>1440</v>
      </c>
      <c r="B703" s="1" t="s">
        <v>1443</v>
      </c>
      <c r="D703" s="1" t="s">
        <v>11</v>
      </c>
      <c r="E703" s="1" t="s">
        <v>1447</v>
      </c>
      <c r="F703" s="1" t="s">
        <v>611</v>
      </c>
      <c r="G703" s="1"/>
      <c r="I703" s="4">
        <v>60</v>
      </c>
      <c r="J703" s="11">
        <v>9.1300000000000008</v>
      </c>
      <c r="K703" s="4">
        <v>10</v>
      </c>
      <c r="L703" s="12">
        <f t="shared" si="11"/>
        <v>0.96047077753429899</v>
      </c>
      <c r="M703" s="11">
        <f>GraphListeria!$B$10-(Listeria!I703-GraphListeria!$B$6)/GraphListeria!$B$5</f>
        <v>0.35623347030397379</v>
      </c>
      <c r="N703" s="1" t="s">
        <v>490</v>
      </c>
      <c r="O703">
        <v>2001</v>
      </c>
      <c r="S703" s="10">
        <f>GraphListeria!$B$43*Listeria!I703+GraphListeria!$B$44</f>
        <v>0.38409169809355426</v>
      </c>
      <c r="U703" s="10">
        <f>GraphListeria!$H$43*Listeria!I703+GraphListeria!$H$44</f>
        <v>0.35623347030397312</v>
      </c>
    </row>
    <row r="704" spans="1:21" x14ac:dyDescent="0.2">
      <c r="A704" s="1" t="s">
        <v>1440</v>
      </c>
      <c r="B704" s="1" t="s">
        <v>1443</v>
      </c>
      <c r="C704" s="1"/>
      <c r="D704" s="1" t="s">
        <v>11</v>
      </c>
      <c r="E704" s="1" t="s">
        <v>1447</v>
      </c>
      <c r="F704" s="1" t="s">
        <v>1448</v>
      </c>
      <c r="G704" s="1"/>
      <c r="H704" s="5"/>
      <c r="I704" s="5">
        <v>52</v>
      </c>
      <c r="J704" s="9">
        <v>38</v>
      </c>
      <c r="K704" s="7"/>
      <c r="L704" s="12">
        <f t="shared" si="11"/>
        <v>1.5797835966168101</v>
      </c>
      <c r="M704" s="11">
        <f>GraphListeria!$B$10-(Listeria!I704-GraphListeria!$B$6)/GraphListeria!$B$5</f>
        <v>1.4921555134547138</v>
      </c>
      <c r="N704" s="2" t="s">
        <v>1226</v>
      </c>
      <c r="O704">
        <v>1996</v>
      </c>
      <c r="S704" s="10">
        <f>GraphListeria!$B$43*Listeria!I704+GraphListeria!$B$44</f>
        <v>1.4886976741139497</v>
      </c>
      <c r="U704" s="10">
        <f>GraphListeria!$H$43*Listeria!I704+GraphListeria!$H$44</f>
        <v>1.4921555134547138</v>
      </c>
    </row>
    <row r="705" spans="1:21" x14ac:dyDescent="0.2">
      <c r="A705" s="1" t="s">
        <v>1440</v>
      </c>
      <c r="B705" s="1" t="s">
        <v>1443</v>
      </c>
      <c r="C705" s="1"/>
      <c r="D705" s="1" t="s">
        <v>11</v>
      </c>
      <c r="E705" s="1" t="s">
        <v>1447</v>
      </c>
      <c r="F705" s="1" t="s">
        <v>1448</v>
      </c>
      <c r="G705" s="1"/>
      <c r="H705" s="5"/>
      <c r="I705" s="5">
        <v>52</v>
      </c>
      <c r="J705" s="9">
        <v>42</v>
      </c>
      <c r="K705" s="7"/>
      <c r="L705" s="12">
        <f t="shared" si="11"/>
        <v>1.6232492903979006</v>
      </c>
      <c r="M705" s="11">
        <f>GraphListeria!$B$10-(Listeria!I705-GraphListeria!$B$6)/GraphListeria!$B$5</f>
        <v>1.4921555134547138</v>
      </c>
      <c r="N705" s="2" t="s">
        <v>1226</v>
      </c>
      <c r="O705">
        <v>1996</v>
      </c>
      <c r="S705" s="10">
        <f>GraphListeria!$B$43*Listeria!I705+GraphListeria!$B$44</f>
        <v>1.4886976741139497</v>
      </c>
      <c r="U705" s="10">
        <f>GraphListeria!$H$43*Listeria!I705+GraphListeria!$H$44</f>
        <v>1.4921555134547138</v>
      </c>
    </row>
    <row r="706" spans="1:21" x14ac:dyDescent="0.2">
      <c r="A706" s="1" t="s">
        <v>1440</v>
      </c>
      <c r="B706" s="1" t="s">
        <v>1443</v>
      </c>
      <c r="D706" s="1" t="s">
        <v>11</v>
      </c>
      <c r="E706" s="1" t="s">
        <v>1447</v>
      </c>
      <c r="F706" s="1" t="s">
        <v>1448</v>
      </c>
      <c r="G706" s="1"/>
      <c r="I706" s="4">
        <v>54.4</v>
      </c>
      <c r="J706" s="11">
        <v>20</v>
      </c>
      <c r="L706" s="12">
        <f t="shared" si="11"/>
        <v>1.3010299956639813</v>
      </c>
      <c r="M706" s="11">
        <f>GraphListeria!$B$10-(Listeria!I706-GraphListeria!$B$6)/GraphListeria!$B$5</f>
        <v>1.1513789005094921</v>
      </c>
      <c r="N706" s="2" t="s">
        <v>1226</v>
      </c>
      <c r="O706">
        <v>1996</v>
      </c>
      <c r="S706" s="10">
        <f>GraphListeria!$B$43*Listeria!I706+GraphListeria!$B$44</f>
        <v>1.1573158813078317</v>
      </c>
      <c r="U706" s="10">
        <f>GraphListeria!$H$43*Listeria!I706+GraphListeria!$H$44</f>
        <v>1.1513789005094921</v>
      </c>
    </row>
    <row r="707" spans="1:21" x14ac:dyDescent="0.2">
      <c r="A707" s="1" t="s">
        <v>1440</v>
      </c>
      <c r="B707" s="1" t="s">
        <v>1443</v>
      </c>
      <c r="D707" s="1" t="s">
        <v>11</v>
      </c>
      <c r="E707" t="s">
        <v>1447</v>
      </c>
      <c r="F707" t="s">
        <v>1448</v>
      </c>
      <c r="I707" s="4">
        <v>57.2</v>
      </c>
      <c r="J707" s="11">
        <v>6.6</v>
      </c>
      <c r="L707" s="12">
        <f t="shared" si="11"/>
        <v>0.81954393554186866</v>
      </c>
      <c r="M707" s="11">
        <f>GraphListeria!$B$10-(Listeria!I707-GraphListeria!$B$6)/GraphListeria!$B$5</f>
        <v>0.75380618540673239</v>
      </c>
      <c r="N707" s="2" t="s">
        <v>1226</v>
      </c>
      <c r="O707">
        <v>1996</v>
      </c>
      <c r="S707" s="10">
        <f>GraphListeria!$B$43*Listeria!I707+GraphListeria!$B$44</f>
        <v>0.77070378970069164</v>
      </c>
      <c r="U707" s="10">
        <f>GraphListeria!$H$43*Listeria!I707+GraphListeria!$H$44</f>
        <v>0.75380618540673261</v>
      </c>
    </row>
    <row r="708" spans="1:21" x14ac:dyDescent="0.2">
      <c r="A708" s="1" t="s">
        <v>1440</v>
      </c>
      <c r="B708" s="1" t="s">
        <v>1443</v>
      </c>
      <c r="D708" s="1" t="s">
        <v>11</v>
      </c>
      <c r="E708" t="s">
        <v>1447</v>
      </c>
      <c r="F708" t="s">
        <v>1448</v>
      </c>
      <c r="I708" s="4">
        <v>57.2</v>
      </c>
      <c r="J708" s="11">
        <v>9.8000000000000007</v>
      </c>
      <c r="L708" s="12">
        <f t="shared" si="11"/>
        <v>0.99122607569249488</v>
      </c>
      <c r="M708" s="11">
        <f>GraphListeria!$B$10-(Listeria!I708-GraphListeria!$B$6)/GraphListeria!$B$5</f>
        <v>0.75380618540673239</v>
      </c>
      <c r="N708" s="2" t="s">
        <v>1226</v>
      </c>
      <c r="O708">
        <v>1996</v>
      </c>
      <c r="S708" s="10">
        <f>GraphListeria!$B$43*Listeria!I708+GraphListeria!$B$44</f>
        <v>0.77070378970069164</v>
      </c>
      <c r="U708" s="10">
        <f>GraphListeria!$H$43*Listeria!I708+GraphListeria!$H$44</f>
        <v>0.75380618540673261</v>
      </c>
    </row>
    <row r="709" spans="1:21" x14ac:dyDescent="0.2">
      <c r="A709" s="1" t="s">
        <v>1440</v>
      </c>
      <c r="B709" s="1" t="s">
        <v>1443</v>
      </c>
      <c r="D709" s="1" t="s">
        <v>11</v>
      </c>
      <c r="E709" s="1" t="s">
        <v>1447</v>
      </c>
      <c r="F709" s="1" t="s">
        <v>1448</v>
      </c>
      <c r="G709" s="1"/>
      <c r="I709" s="4">
        <v>60</v>
      </c>
      <c r="J709" s="11">
        <v>9.1999999999999993</v>
      </c>
      <c r="L709" s="12">
        <f t="shared" si="11"/>
        <v>0.96378782734555524</v>
      </c>
      <c r="M709" s="11">
        <f>GraphListeria!$B$10-(Listeria!I709-GraphListeria!$B$6)/GraphListeria!$B$5</f>
        <v>0.35623347030397379</v>
      </c>
      <c r="N709" s="2" t="s">
        <v>1226</v>
      </c>
      <c r="O709">
        <v>1996</v>
      </c>
      <c r="S709" s="10">
        <f>GraphListeria!$B$43*Listeria!I709+GraphListeria!$B$44</f>
        <v>0.38409169809355426</v>
      </c>
      <c r="U709" s="10">
        <f>GraphListeria!$H$43*Listeria!I709+GraphListeria!$H$44</f>
        <v>0.35623347030397312</v>
      </c>
    </row>
    <row r="710" spans="1:21" x14ac:dyDescent="0.2">
      <c r="A710" s="1" t="s">
        <v>1440</v>
      </c>
      <c r="B710" s="1" t="s">
        <v>1443</v>
      </c>
      <c r="D710" s="1" t="s">
        <v>11</v>
      </c>
      <c r="E710" s="1" t="s">
        <v>1447</v>
      </c>
      <c r="F710" s="1" t="s">
        <v>1448</v>
      </c>
      <c r="G710" s="1"/>
      <c r="I710" s="4">
        <v>60</v>
      </c>
      <c r="J710" s="11">
        <v>11</v>
      </c>
      <c r="L710" s="12">
        <f t="shared" si="11"/>
        <v>1.0413926851582251</v>
      </c>
      <c r="M710" s="11">
        <f>GraphListeria!$B$10-(Listeria!I710-GraphListeria!$B$6)/GraphListeria!$B$5</f>
        <v>0.35623347030397379</v>
      </c>
      <c r="N710" s="2" t="s">
        <v>1226</v>
      </c>
      <c r="O710">
        <v>1996</v>
      </c>
      <c r="S710" s="10">
        <f>GraphListeria!$B$43*Listeria!I710+GraphListeria!$B$44</f>
        <v>0.38409169809355426</v>
      </c>
      <c r="U710" s="10">
        <f>GraphListeria!$H$43*Listeria!I710+GraphListeria!$H$44</f>
        <v>0.35623347030397312</v>
      </c>
    </row>
    <row r="711" spans="1:21" x14ac:dyDescent="0.2">
      <c r="A711" s="1" t="s">
        <v>1440</v>
      </c>
      <c r="B711" s="1" t="s">
        <v>1443</v>
      </c>
      <c r="D711" s="1" t="s">
        <v>11</v>
      </c>
      <c r="E711" s="1" t="s">
        <v>1447</v>
      </c>
      <c r="F711" s="1" t="s">
        <v>31</v>
      </c>
      <c r="G711" s="1"/>
      <c r="I711" s="4">
        <v>48.9</v>
      </c>
      <c r="J711" s="11">
        <v>98.6</v>
      </c>
      <c r="L711" s="12">
        <f t="shared" si="11"/>
        <v>1.9938769149412112</v>
      </c>
      <c r="M711" s="11">
        <f>GraphListeria!$B$10-(Listeria!I711-GraphListeria!$B$6)/GraphListeria!$B$5</f>
        <v>1.9323253051756257</v>
      </c>
      <c r="N711" s="2" t="s">
        <v>1226</v>
      </c>
      <c r="O711">
        <v>1996</v>
      </c>
      <c r="P711" t="s">
        <v>29</v>
      </c>
      <c r="S711" s="10">
        <f>GraphListeria!$B$43*Listeria!I711+GraphListeria!$B$44</f>
        <v>1.9167324898218538</v>
      </c>
      <c r="U711" s="10">
        <f>GraphListeria!$H$43*Listeria!I711+GraphListeria!$H$44</f>
        <v>1.9323253051756257</v>
      </c>
    </row>
    <row r="712" spans="1:21" x14ac:dyDescent="0.2">
      <c r="A712" s="1" t="s">
        <v>1440</v>
      </c>
      <c r="B712" s="1" t="s">
        <v>1443</v>
      </c>
      <c r="D712" s="1" t="s">
        <v>11</v>
      </c>
      <c r="E712" s="1" t="s">
        <v>1447</v>
      </c>
      <c r="F712" s="1" t="s">
        <v>31</v>
      </c>
      <c r="G712" s="1"/>
      <c r="I712" s="4">
        <v>48.9</v>
      </c>
      <c r="J712" s="11">
        <v>106.3</v>
      </c>
      <c r="L712" s="12">
        <f t="shared" si="11"/>
        <v>2.0265332645232967</v>
      </c>
      <c r="M712" s="11">
        <f>GraphListeria!$B$10-(Listeria!I712-GraphListeria!$B$6)/GraphListeria!$B$5</f>
        <v>1.9323253051756257</v>
      </c>
      <c r="N712" s="2" t="s">
        <v>1226</v>
      </c>
      <c r="O712">
        <v>1996</v>
      </c>
      <c r="P712" t="s">
        <v>29</v>
      </c>
      <c r="S712" s="10">
        <f>GraphListeria!$B$43*Listeria!I712+GraphListeria!$B$44</f>
        <v>1.9167324898218538</v>
      </c>
      <c r="U712" s="10">
        <f>GraphListeria!$H$43*Listeria!I712+GraphListeria!$H$44</f>
        <v>1.9323253051756257</v>
      </c>
    </row>
    <row r="713" spans="1:21" x14ac:dyDescent="0.2">
      <c r="A713" s="1" t="s">
        <v>1440</v>
      </c>
      <c r="B713" s="1" t="s">
        <v>1443</v>
      </c>
      <c r="D713" s="1" t="s">
        <v>11</v>
      </c>
      <c r="E713" s="1" t="s">
        <v>1447</v>
      </c>
      <c r="F713" s="1" t="s">
        <v>31</v>
      </c>
      <c r="G713" s="1"/>
      <c r="I713" s="4">
        <v>51.7</v>
      </c>
      <c r="J713" s="11">
        <v>44.4</v>
      </c>
      <c r="L713" s="12">
        <f t="shared" si="11"/>
        <v>1.6473829701146199</v>
      </c>
      <c r="M713" s="11">
        <f>GraphListeria!$B$10-(Listeria!I713-GraphListeria!$B$6)/GraphListeria!$B$5</f>
        <v>1.5347525900728662</v>
      </c>
      <c r="N713" s="2" t="s">
        <v>1226</v>
      </c>
      <c r="O713">
        <v>1996</v>
      </c>
      <c r="P713" t="s">
        <v>29</v>
      </c>
      <c r="S713" s="10">
        <f>GraphListeria!$B$43*Listeria!I713+GraphListeria!$B$44</f>
        <v>1.5301203982147147</v>
      </c>
      <c r="U713" s="10">
        <f>GraphListeria!$H$43*Listeria!I713+GraphListeria!$H$44</f>
        <v>1.5347525900728662</v>
      </c>
    </row>
    <row r="714" spans="1:21" x14ac:dyDescent="0.2">
      <c r="A714" s="1" t="s">
        <v>1440</v>
      </c>
      <c r="B714" s="1" t="s">
        <v>1443</v>
      </c>
      <c r="D714" s="1" t="s">
        <v>11</v>
      </c>
      <c r="E714" s="1" t="s">
        <v>1447</v>
      </c>
      <c r="F714" s="1" t="s">
        <v>31</v>
      </c>
      <c r="G714" s="1"/>
      <c r="I714" s="4">
        <v>51.7</v>
      </c>
      <c r="J714" s="11">
        <v>44.5</v>
      </c>
      <c r="L714" s="12">
        <f t="shared" si="11"/>
        <v>1.6483600109809315</v>
      </c>
      <c r="M714" s="11">
        <f>GraphListeria!$B$10-(Listeria!I714-GraphListeria!$B$6)/GraphListeria!$B$5</f>
        <v>1.5347525900728662</v>
      </c>
      <c r="N714" s="2" t="s">
        <v>1226</v>
      </c>
      <c r="O714">
        <v>1996</v>
      </c>
      <c r="P714" t="s">
        <v>29</v>
      </c>
      <c r="S714" s="10">
        <f>GraphListeria!$B$43*Listeria!I714+GraphListeria!$B$44</f>
        <v>1.5301203982147147</v>
      </c>
      <c r="U714" s="10">
        <f>GraphListeria!$H$43*Listeria!I714+GraphListeria!$H$44</f>
        <v>1.5347525900728662</v>
      </c>
    </row>
    <row r="715" spans="1:21" x14ac:dyDescent="0.2">
      <c r="A715" s="1" t="s">
        <v>1440</v>
      </c>
      <c r="B715" s="1" t="s">
        <v>1443</v>
      </c>
      <c r="D715" s="1" t="s">
        <v>11</v>
      </c>
      <c r="E715" s="1" t="s">
        <v>1447</v>
      </c>
      <c r="F715" s="1" t="s">
        <v>31</v>
      </c>
      <c r="G715" s="1"/>
      <c r="I715" s="4">
        <v>54.4</v>
      </c>
      <c r="J715" s="11">
        <v>20.100000000000001</v>
      </c>
      <c r="L715" s="12">
        <f t="shared" si="11"/>
        <v>1.3031960574204888</v>
      </c>
      <c r="M715" s="11">
        <f>GraphListeria!$B$10-(Listeria!I715-GraphListeria!$B$6)/GraphListeria!$B$5</f>
        <v>1.1513789005094921</v>
      </c>
      <c r="N715" s="2" t="s">
        <v>1226</v>
      </c>
      <c r="O715">
        <v>1996</v>
      </c>
      <c r="P715" t="s">
        <v>29</v>
      </c>
      <c r="S715" s="10">
        <f>GraphListeria!$B$43*Listeria!I715+GraphListeria!$B$44</f>
        <v>1.1573158813078317</v>
      </c>
      <c r="U715" s="10">
        <f>GraphListeria!$H$43*Listeria!I715+GraphListeria!$H$44</f>
        <v>1.1513789005094921</v>
      </c>
    </row>
    <row r="716" spans="1:21" x14ac:dyDescent="0.2">
      <c r="A716" s="1" t="s">
        <v>1440</v>
      </c>
      <c r="B716" s="1" t="s">
        <v>1443</v>
      </c>
      <c r="D716" s="1" t="s">
        <v>11</v>
      </c>
      <c r="E716" s="1" t="s">
        <v>1447</v>
      </c>
      <c r="F716" s="1" t="s">
        <v>31</v>
      </c>
      <c r="G716" s="1"/>
      <c r="I716" s="4">
        <v>54.4</v>
      </c>
      <c r="J716" s="11">
        <v>19.7</v>
      </c>
      <c r="L716" s="12">
        <f t="shared" si="11"/>
        <v>1.2944662261615929</v>
      </c>
      <c r="M716" s="11">
        <f>GraphListeria!$B$10-(Listeria!I716-GraphListeria!$B$6)/GraphListeria!$B$5</f>
        <v>1.1513789005094921</v>
      </c>
      <c r="N716" s="2" t="s">
        <v>1226</v>
      </c>
      <c r="O716">
        <v>1996</v>
      </c>
      <c r="P716" t="s">
        <v>29</v>
      </c>
      <c r="S716" s="10">
        <f>GraphListeria!$B$43*Listeria!I716+GraphListeria!$B$44</f>
        <v>1.1573158813078317</v>
      </c>
      <c r="U716" s="10">
        <f>GraphListeria!$H$43*Listeria!I716+GraphListeria!$H$44</f>
        <v>1.1513789005094921</v>
      </c>
    </row>
    <row r="717" spans="1:21" x14ac:dyDescent="0.2">
      <c r="A717" s="1" t="s">
        <v>1440</v>
      </c>
      <c r="B717" s="1" t="s">
        <v>1443</v>
      </c>
      <c r="D717" s="1" t="s">
        <v>11</v>
      </c>
      <c r="E717" s="1" t="s">
        <v>1447</v>
      </c>
      <c r="F717" s="1" t="s">
        <v>31</v>
      </c>
      <c r="G717" s="1"/>
      <c r="I717" s="4">
        <v>57.2</v>
      </c>
      <c r="J717" s="11">
        <v>11.2</v>
      </c>
      <c r="L717" s="12">
        <f t="shared" si="11"/>
        <v>1.0492180226701815</v>
      </c>
      <c r="M717" s="11">
        <f>GraphListeria!$B$10-(Listeria!I717-GraphListeria!$B$6)/GraphListeria!$B$5</f>
        <v>0.75380618540673239</v>
      </c>
      <c r="N717" s="2" t="s">
        <v>1226</v>
      </c>
      <c r="O717">
        <v>1996</v>
      </c>
      <c r="P717" t="s">
        <v>29</v>
      </c>
      <c r="S717" s="10">
        <f>GraphListeria!$B$43*Listeria!I717+GraphListeria!$B$44</f>
        <v>0.77070378970069164</v>
      </c>
      <c r="U717" s="10">
        <f>GraphListeria!$H$43*Listeria!I717+GraphListeria!$H$44</f>
        <v>0.75380618540673261</v>
      </c>
    </row>
    <row r="718" spans="1:21" x14ac:dyDescent="0.2">
      <c r="A718" s="1" t="s">
        <v>1440</v>
      </c>
      <c r="B718" s="1" t="s">
        <v>1443</v>
      </c>
      <c r="D718" s="1" t="s">
        <v>11</v>
      </c>
      <c r="E718" s="1" t="s">
        <v>1447</v>
      </c>
      <c r="F718" s="1" t="s">
        <v>31</v>
      </c>
      <c r="G718" s="1"/>
      <c r="I718" s="4">
        <v>57.2</v>
      </c>
      <c r="J718" s="11">
        <v>11.4</v>
      </c>
      <c r="L718" s="12">
        <f t="shared" si="11"/>
        <v>1.0569048513364727</v>
      </c>
      <c r="M718" s="11">
        <f>GraphListeria!$B$10-(Listeria!I718-GraphListeria!$B$6)/GraphListeria!$B$5</f>
        <v>0.75380618540673239</v>
      </c>
      <c r="N718" s="2" t="s">
        <v>1226</v>
      </c>
      <c r="O718">
        <v>1996</v>
      </c>
      <c r="P718" t="s">
        <v>29</v>
      </c>
      <c r="S718" s="10">
        <f>GraphListeria!$B$43*Listeria!I718+GraphListeria!$B$44</f>
        <v>0.77070378970069164</v>
      </c>
      <c r="U718" s="10">
        <f>GraphListeria!$H$43*Listeria!I718+GraphListeria!$H$44</f>
        <v>0.75380618540673261</v>
      </c>
    </row>
    <row r="719" spans="1:21" x14ac:dyDescent="0.2">
      <c r="A719" s="1" t="s">
        <v>1440</v>
      </c>
      <c r="B719" s="1" t="s">
        <v>1443</v>
      </c>
      <c r="D719" s="1" t="s">
        <v>11</v>
      </c>
      <c r="E719" s="1" t="s">
        <v>1447</v>
      </c>
      <c r="F719" s="1" t="s">
        <v>31</v>
      </c>
      <c r="G719" s="1"/>
      <c r="I719" s="4">
        <v>60</v>
      </c>
      <c r="J719" s="11">
        <v>9.1300000000000008</v>
      </c>
      <c r="L719" s="12">
        <f t="shared" si="11"/>
        <v>0.96047077753429899</v>
      </c>
      <c r="M719" s="11">
        <f>GraphListeria!$B$10-(Listeria!I719-GraphListeria!$B$6)/GraphListeria!$B$5</f>
        <v>0.35623347030397379</v>
      </c>
      <c r="N719" s="2" t="s">
        <v>1226</v>
      </c>
      <c r="O719">
        <v>1996</v>
      </c>
      <c r="P719" t="s">
        <v>29</v>
      </c>
      <c r="S719" s="10">
        <f>GraphListeria!$B$43*Listeria!I719+GraphListeria!$B$44</f>
        <v>0.38409169809355426</v>
      </c>
      <c r="U719" s="10">
        <f>GraphListeria!$H$43*Listeria!I719+GraphListeria!$H$44</f>
        <v>0.35623347030397312</v>
      </c>
    </row>
    <row r="720" spans="1:21" x14ac:dyDescent="0.2">
      <c r="A720" s="1" t="s">
        <v>1440</v>
      </c>
      <c r="B720" s="1" t="s">
        <v>1443</v>
      </c>
      <c r="D720" s="1" t="s">
        <v>11</v>
      </c>
      <c r="E720" s="1" t="s">
        <v>1447</v>
      </c>
      <c r="F720" s="1" t="s">
        <v>31</v>
      </c>
      <c r="G720" s="1"/>
      <c r="I720" s="4">
        <v>60</v>
      </c>
      <c r="J720" s="11">
        <v>5.1100000000000003</v>
      </c>
      <c r="L720" s="12">
        <f t="shared" si="11"/>
        <v>0.70842090013471271</v>
      </c>
      <c r="M720" s="11">
        <f>GraphListeria!$B$10-(Listeria!I720-GraphListeria!$B$6)/GraphListeria!$B$5</f>
        <v>0.35623347030397379</v>
      </c>
      <c r="N720" s="2" t="s">
        <v>1226</v>
      </c>
      <c r="O720">
        <v>1996</v>
      </c>
      <c r="P720" t="s">
        <v>29</v>
      </c>
      <c r="S720" s="10">
        <f>GraphListeria!$B$43*Listeria!I720+GraphListeria!$B$44</f>
        <v>0.38409169809355426</v>
      </c>
      <c r="U720" s="10">
        <f>GraphListeria!$H$43*Listeria!I720+GraphListeria!$H$44</f>
        <v>0.35623347030397312</v>
      </c>
    </row>
    <row r="721" spans="1:21" x14ac:dyDescent="0.2">
      <c r="A721" s="1" t="s">
        <v>1440</v>
      </c>
      <c r="B721" s="1" t="s">
        <v>1443</v>
      </c>
      <c r="D721" s="1" t="s">
        <v>11</v>
      </c>
      <c r="E721" s="1" t="s">
        <v>1447</v>
      </c>
      <c r="F721" s="1" t="s">
        <v>28</v>
      </c>
      <c r="G721" s="1"/>
      <c r="H721" s="4">
        <v>7</v>
      </c>
      <c r="I721" s="4">
        <v>57.2</v>
      </c>
      <c r="J721" s="11">
        <v>8.91</v>
      </c>
      <c r="L721" s="12">
        <f t="shared" si="11"/>
        <v>0.94987770403687477</v>
      </c>
      <c r="M721" s="11">
        <f>GraphListeria!$B$10-(Listeria!I721-GraphListeria!$B$6)/GraphListeria!$B$5</f>
        <v>0.75380618540673239</v>
      </c>
      <c r="N721" s="2" t="s">
        <v>1226</v>
      </c>
      <c r="O721">
        <v>1996</v>
      </c>
      <c r="S721" s="10">
        <f>GraphListeria!$B$43*Listeria!I721+GraphListeria!$B$44</f>
        <v>0.77070378970069164</v>
      </c>
      <c r="U721" s="10">
        <f>GraphListeria!$H$43*Listeria!I721+GraphListeria!$H$44</f>
        <v>0.75380618540673261</v>
      </c>
    </row>
    <row r="722" spans="1:21" x14ac:dyDescent="0.2">
      <c r="A722" s="1" t="s">
        <v>1440</v>
      </c>
      <c r="B722" s="1" t="s">
        <v>1443</v>
      </c>
      <c r="D722" s="1" t="s">
        <v>11</v>
      </c>
      <c r="E722" s="1" t="s">
        <v>1447</v>
      </c>
      <c r="F722" s="1" t="s">
        <v>28</v>
      </c>
      <c r="G722" s="1"/>
      <c r="H722" s="4">
        <v>7</v>
      </c>
      <c r="I722" s="4">
        <v>60</v>
      </c>
      <c r="J722" s="11">
        <v>2.42</v>
      </c>
      <c r="L722" s="12">
        <f t="shared" si="11"/>
        <v>0.38381536598043126</v>
      </c>
      <c r="M722" s="11">
        <f>GraphListeria!$B$10-(Listeria!I722-GraphListeria!$B$6)/GraphListeria!$B$5</f>
        <v>0.35623347030397379</v>
      </c>
      <c r="N722" s="2" t="s">
        <v>1226</v>
      </c>
      <c r="O722">
        <v>1996</v>
      </c>
      <c r="S722" s="10">
        <f>GraphListeria!$B$43*Listeria!I722+GraphListeria!$B$44</f>
        <v>0.38409169809355426</v>
      </c>
      <c r="U722" s="10">
        <f>GraphListeria!$H$43*Listeria!I722+GraphListeria!$H$44</f>
        <v>0.35623347030397312</v>
      </c>
    </row>
    <row r="723" spans="1:21" x14ac:dyDescent="0.2">
      <c r="A723" s="1" t="s">
        <v>1440</v>
      </c>
      <c r="B723" s="1" t="s">
        <v>1443</v>
      </c>
      <c r="D723" s="1" t="s">
        <v>11</v>
      </c>
      <c r="E723" s="1" t="s">
        <v>1447</v>
      </c>
      <c r="F723" s="1" t="s">
        <v>28</v>
      </c>
      <c r="G723" s="1"/>
      <c r="H723" s="4">
        <v>7</v>
      </c>
      <c r="I723" s="4">
        <v>62.8</v>
      </c>
      <c r="J723" s="11">
        <v>1.1200000000000001</v>
      </c>
      <c r="L723" s="12">
        <f t="shared" ref="L723:L794" si="12">LOG(J723)</f>
        <v>4.9218022670181653E-2</v>
      </c>
      <c r="M723" s="11">
        <f>GraphListeria!$B$10-(Listeria!I723-GraphListeria!$B$6)/GraphListeria!$B$5</f>
        <v>-4.1339244798784813E-2</v>
      </c>
      <c r="N723" s="2" t="s">
        <v>1226</v>
      </c>
      <c r="O723">
        <v>1996</v>
      </c>
      <c r="S723" s="10">
        <f>GraphListeria!$B$43*Listeria!I723+GraphListeria!$B$44</f>
        <v>-2.5203935135849065E-3</v>
      </c>
      <c r="U723" s="10">
        <f>GraphListeria!$H$43*Listeria!I723+GraphListeria!$H$44</f>
        <v>-4.1339244798784591E-2</v>
      </c>
    </row>
    <row r="724" spans="1:21" x14ac:dyDescent="0.2">
      <c r="A724" s="1" t="s">
        <v>1440</v>
      </c>
      <c r="B724" s="1" t="s">
        <v>1443</v>
      </c>
      <c r="D724" s="1" t="s">
        <v>11</v>
      </c>
      <c r="E724" s="1" t="s">
        <v>1447</v>
      </c>
      <c r="F724" s="1" t="s">
        <v>20</v>
      </c>
      <c r="G724" s="1"/>
      <c r="I724" s="4">
        <v>64</v>
      </c>
      <c r="J724" s="11">
        <v>3.3</v>
      </c>
      <c r="L724" s="12">
        <f t="shared" si="12"/>
        <v>0.51851393987788741</v>
      </c>
      <c r="M724" s="11">
        <f>GraphListeria!$B$10-(Listeria!I724-GraphListeria!$B$6)/GraphListeria!$B$5</f>
        <v>-0.21172755127139631</v>
      </c>
      <c r="N724" s="2" t="s">
        <v>1226</v>
      </c>
      <c r="O724">
        <v>1996</v>
      </c>
      <c r="S724" s="10">
        <f>GraphListeria!$B$43*Listeria!I724+GraphListeria!$B$44</f>
        <v>-0.1682112899166448</v>
      </c>
      <c r="U724" s="10">
        <f>GraphListeria!$H$43*Listeria!I724+GraphListeria!$H$44</f>
        <v>-0.21172755127139631</v>
      </c>
    </row>
    <row r="725" spans="1:21" x14ac:dyDescent="0.2">
      <c r="A725" s="1" t="s">
        <v>1440</v>
      </c>
      <c r="B725" s="1" t="s">
        <v>1443</v>
      </c>
      <c r="D725" s="1" t="s">
        <v>11</v>
      </c>
      <c r="E725" s="1" t="s">
        <v>1447</v>
      </c>
      <c r="F725" s="1" t="s">
        <v>20</v>
      </c>
      <c r="G725" s="1"/>
      <c r="I725" s="4">
        <v>64</v>
      </c>
      <c r="J725" s="11">
        <v>4.2</v>
      </c>
      <c r="L725" s="12">
        <f t="shared" si="12"/>
        <v>0.62324929039790045</v>
      </c>
      <c r="M725" s="11">
        <f>GraphListeria!$B$10-(Listeria!I725-GraphListeria!$B$6)/GraphListeria!$B$5</f>
        <v>-0.21172755127139631</v>
      </c>
      <c r="N725" s="2" t="s">
        <v>1226</v>
      </c>
      <c r="O725">
        <v>1996</v>
      </c>
      <c r="S725" s="10">
        <f>GraphListeria!$B$43*Listeria!I725+GraphListeria!$B$44</f>
        <v>-0.1682112899166448</v>
      </c>
      <c r="U725" s="10">
        <f>GraphListeria!$H$43*Listeria!I725+GraphListeria!$H$44</f>
        <v>-0.21172755127139631</v>
      </c>
    </row>
    <row r="726" spans="1:21" x14ac:dyDescent="0.2">
      <c r="A726" s="1" t="s">
        <v>1440</v>
      </c>
      <c r="B726" s="1" t="s">
        <v>1443</v>
      </c>
      <c r="D726" s="1" t="s">
        <v>11</v>
      </c>
      <c r="E726" s="1" t="s">
        <v>1447</v>
      </c>
      <c r="F726" s="1" t="s">
        <v>20</v>
      </c>
      <c r="G726" s="1"/>
      <c r="I726" s="4">
        <v>64</v>
      </c>
      <c r="J726" s="11">
        <v>4.7</v>
      </c>
      <c r="L726" s="12">
        <f t="shared" si="12"/>
        <v>0.67209785793571752</v>
      </c>
      <c r="M726" s="11">
        <f>GraphListeria!$B$10-(Listeria!I726-GraphListeria!$B$6)/GraphListeria!$B$5</f>
        <v>-0.21172755127139631</v>
      </c>
      <c r="N726" s="2" t="s">
        <v>1226</v>
      </c>
      <c r="O726">
        <v>1996</v>
      </c>
      <c r="S726" s="10">
        <f>GraphListeria!$B$43*Listeria!I726+GraphListeria!$B$44</f>
        <v>-0.1682112899166448</v>
      </c>
      <c r="U726" s="10">
        <f>GraphListeria!$H$43*Listeria!I726+GraphListeria!$H$44</f>
        <v>-0.21172755127139631</v>
      </c>
    </row>
    <row r="727" spans="1:21" x14ac:dyDescent="0.2">
      <c r="A727" s="1" t="s">
        <v>1440</v>
      </c>
      <c r="B727" s="1" t="s">
        <v>1443</v>
      </c>
      <c r="D727" s="1" t="s">
        <v>11</v>
      </c>
      <c r="E727" s="1" t="s">
        <v>1447</v>
      </c>
      <c r="F727" s="1" t="s">
        <v>20</v>
      </c>
      <c r="G727" s="1"/>
      <c r="I727" s="4">
        <v>64</v>
      </c>
      <c r="J727" s="11">
        <v>8</v>
      </c>
      <c r="L727" s="12">
        <f t="shared" si="12"/>
        <v>0.90308998699194354</v>
      </c>
      <c r="M727" s="11">
        <f>GraphListeria!$B$10-(Listeria!I727-GraphListeria!$B$6)/GraphListeria!$B$5</f>
        <v>-0.21172755127139631</v>
      </c>
      <c r="N727" s="2" t="s">
        <v>1226</v>
      </c>
      <c r="O727">
        <v>1996</v>
      </c>
      <c r="S727" s="10">
        <f>GraphListeria!$B$43*Listeria!I727+GraphListeria!$B$44</f>
        <v>-0.1682112899166448</v>
      </c>
      <c r="U727" s="10">
        <f>GraphListeria!$H$43*Listeria!I727+GraphListeria!$H$44</f>
        <v>-0.21172755127139631</v>
      </c>
    </row>
    <row r="728" spans="1:21" x14ac:dyDescent="0.2">
      <c r="A728" s="1" t="s">
        <v>1440</v>
      </c>
      <c r="B728" s="1" t="s">
        <v>1443</v>
      </c>
      <c r="C728" t="s">
        <v>57</v>
      </c>
      <c r="D728" s="1" t="s">
        <v>11</v>
      </c>
      <c r="E728" s="1" t="s">
        <v>1447</v>
      </c>
      <c r="F728" s="1" t="s">
        <v>613</v>
      </c>
      <c r="G728" s="1"/>
      <c r="I728" s="4">
        <v>57.2</v>
      </c>
      <c r="J728" s="11">
        <v>8.91</v>
      </c>
      <c r="K728" s="4">
        <v>6.2</v>
      </c>
      <c r="L728" s="12">
        <f t="shared" si="12"/>
        <v>0.94987770403687477</v>
      </c>
      <c r="M728" s="11">
        <f>GraphListeria!$B$10-(Listeria!I728-GraphListeria!$B$6)/GraphListeria!$B$5</f>
        <v>0.75380618540673239</v>
      </c>
      <c r="N728" s="1" t="s">
        <v>490</v>
      </c>
      <c r="O728">
        <v>2001</v>
      </c>
      <c r="S728" s="10">
        <f>GraphListeria!$B$43*Listeria!I728+GraphListeria!$B$44</f>
        <v>0.77070378970069164</v>
      </c>
      <c r="U728" s="10">
        <f>GraphListeria!$H$43*Listeria!I728+GraphListeria!$H$44</f>
        <v>0.75380618540673261</v>
      </c>
    </row>
    <row r="729" spans="1:21" x14ac:dyDescent="0.2">
      <c r="A729" s="1" t="s">
        <v>1440</v>
      </c>
      <c r="B729" s="1" t="s">
        <v>1443</v>
      </c>
      <c r="C729" t="s">
        <v>57</v>
      </c>
      <c r="D729" s="1" t="s">
        <v>11</v>
      </c>
      <c r="E729" s="1" t="s">
        <v>1447</v>
      </c>
      <c r="F729" s="1" t="s">
        <v>613</v>
      </c>
      <c r="G729" s="1"/>
      <c r="I729" s="4">
        <v>60</v>
      </c>
      <c r="J729" s="11">
        <v>2.42</v>
      </c>
      <c r="K729" s="4">
        <v>6.2</v>
      </c>
      <c r="L729" s="12">
        <f t="shared" si="12"/>
        <v>0.38381536598043126</v>
      </c>
      <c r="M729" s="11">
        <f>GraphListeria!$B$10-(Listeria!I729-GraphListeria!$B$6)/GraphListeria!$B$5</f>
        <v>0.35623347030397379</v>
      </c>
      <c r="N729" s="1" t="s">
        <v>490</v>
      </c>
      <c r="O729">
        <v>2001</v>
      </c>
      <c r="S729" s="10">
        <f>GraphListeria!$B$43*Listeria!I729+GraphListeria!$B$44</f>
        <v>0.38409169809355426</v>
      </c>
      <c r="U729" s="10">
        <f>GraphListeria!$H$43*Listeria!I729+GraphListeria!$H$44</f>
        <v>0.35623347030397312</v>
      </c>
    </row>
    <row r="730" spans="1:21" x14ac:dyDescent="0.2">
      <c r="A730" s="1" t="s">
        <v>1440</v>
      </c>
      <c r="B730" s="1" t="s">
        <v>1443</v>
      </c>
      <c r="C730" t="s">
        <v>57</v>
      </c>
      <c r="D730" s="1" t="s">
        <v>11</v>
      </c>
      <c r="E730" s="1" t="s">
        <v>1447</v>
      </c>
      <c r="F730" s="1" t="s">
        <v>613</v>
      </c>
      <c r="G730" s="1"/>
      <c r="I730" s="4">
        <v>62.9</v>
      </c>
      <c r="J730" s="11">
        <v>1.1200000000000001</v>
      </c>
      <c r="K730" s="4">
        <v>6.2</v>
      </c>
      <c r="L730" s="12">
        <f t="shared" si="12"/>
        <v>4.9218022670181653E-2</v>
      </c>
      <c r="M730" s="11">
        <f>GraphListeria!$B$10-(Listeria!I730-GraphListeria!$B$6)/GraphListeria!$B$5</f>
        <v>-5.5538270338169271E-2</v>
      </c>
      <c r="N730" s="1" t="s">
        <v>490</v>
      </c>
      <c r="O730">
        <v>2001</v>
      </c>
      <c r="S730" s="10">
        <f>GraphListeria!$B$43*Listeria!I730+GraphListeria!$B$44</f>
        <v>-1.6327968213840194E-2</v>
      </c>
      <c r="U730" s="10">
        <f>GraphListeria!$H$43*Listeria!I730+GraphListeria!$H$44</f>
        <v>-5.5538270338169937E-2</v>
      </c>
    </row>
    <row r="731" spans="1:21" x14ac:dyDescent="0.2">
      <c r="A731" s="1" t="s">
        <v>1440</v>
      </c>
      <c r="B731" s="1" t="s">
        <v>1443</v>
      </c>
      <c r="C731" t="s">
        <v>58</v>
      </c>
      <c r="D731" s="1" t="s">
        <v>11</v>
      </c>
      <c r="E731" s="1" t="s">
        <v>1447</v>
      </c>
      <c r="F731" s="1" t="s">
        <v>613</v>
      </c>
      <c r="G731" s="1"/>
      <c r="I731" s="4">
        <v>60</v>
      </c>
      <c r="J731" s="11">
        <v>1</v>
      </c>
      <c r="L731" s="12">
        <f t="shared" si="12"/>
        <v>0</v>
      </c>
      <c r="M731" s="11">
        <f>GraphListeria!$B$10-(Listeria!I731-GraphListeria!$B$6)/GraphListeria!$B$5</f>
        <v>0.35623347030397379</v>
      </c>
      <c r="N731" s="1" t="s">
        <v>490</v>
      </c>
      <c r="O731">
        <v>2001</v>
      </c>
      <c r="S731" s="10">
        <f>GraphListeria!$B$43*Listeria!I731+GraphListeria!$B$44</f>
        <v>0.38409169809355426</v>
      </c>
      <c r="U731" s="10">
        <f>GraphListeria!$H$43*Listeria!I731+GraphListeria!$H$44</f>
        <v>0.35623347030397312</v>
      </c>
    </row>
    <row r="732" spans="1:21" x14ac:dyDescent="0.2">
      <c r="A732" s="1" t="s">
        <v>1440</v>
      </c>
      <c r="B732" s="1" t="s">
        <v>1443</v>
      </c>
      <c r="C732" t="s">
        <v>614</v>
      </c>
      <c r="D732" s="1" t="s">
        <v>11</v>
      </c>
      <c r="E732" s="1" t="s">
        <v>1447</v>
      </c>
      <c r="F732" s="1" t="s">
        <v>613</v>
      </c>
      <c r="G732" s="1"/>
      <c r="I732" s="4">
        <v>60</v>
      </c>
      <c r="J732" s="11">
        <v>1.6</v>
      </c>
      <c r="L732" s="12">
        <f t="shared" si="12"/>
        <v>0.20411998265592479</v>
      </c>
      <c r="M732" s="11">
        <f>GraphListeria!$B$10-(Listeria!I732-GraphListeria!$B$6)/GraphListeria!$B$5</f>
        <v>0.35623347030397379</v>
      </c>
      <c r="N732" s="1" t="s">
        <v>490</v>
      </c>
      <c r="O732">
        <v>2001</v>
      </c>
      <c r="S732" s="10">
        <f>GraphListeria!$B$43*Listeria!I732+GraphListeria!$B$44</f>
        <v>0.38409169809355426</v>
      </c>
      <c r="U732" s="10">
        <f>GraphListeria!$H$43*Listeria!I732+GraphListeria!$H$44</f>
        <v>0.35623347030397312</v>
      </c>
    </row>
    <row r="733" spans="1:21" x14ac:dyDescent="0.2">
      <c r="A733" s="1" t="s">
        <v>1440</v>
      </c>
      <c r="B733" s="1" t="s">
        <v>1443</v>
      </c>
      <c r="D733" s="1" t="s">
        <v>11</v>
      </c>
      <c r="E733" s="1" t="s">
        <v>1447</v>
      </c>
      <c r="F733" s="1" t="s">
        <v>612</v>
      </c>
      <c r="G733" s="1"/>
      <c r="I733" s="4">
        <v>60</v>
      </c>
      <c r="J733" s="11">
        <v>7.3</v>
      </c>
      <c r="K733" s="4">
        <v>6.8</v>
      </c>
      <c r="L733" s="12">
        <f t="shared" si="12"/>
        <v>0.86332286012045589</v>
      </c>
      <c r="M733" s="11">
        <f>GraphListeria!$B$10-(Listeria!I733-GraphListeria!$B$6)/GraphListeria!$B$5</f>
        <v>0.35623347030397379</v>
      </c>
      <c r="N733" s="1" t="s">
        <v>490</v>
      </c>
      <c r="O733">
        <v>2001</v>
      </c>
      <c r="S733" s="10">
        <f>GraphListeria!$B$43*Listeria!I733+GraphListeria!$B$44</f>
        <v>0.38409169809355426</v>
      </c>
      <c r="U733" s="10">
        <f>GraphListeria!$H$43*Listeria!I733+GraphListeria!$H$44</f>
        <v>0.35623347030397312</v>
      </c>
    </row>
    <row r="734" spans="1:21" x14ac:dyDescent="0.2">
      <c r="A734" s="1" t="s">
        <v>1440</v>
      </c>
      <c r="B734" s="1" t="s">
        <v>1443</v>
      </c>
      <c r="D734" s="1" t="s">
        <v>11</v>
      </c>
      <c r="E734" s="1" t="s">
        <v>1447</v>
      </c>
      <c r="F734" s="1" t="s">
        <v>612</v>
      </c>
      <c r="G734" s="1"/>
      <c r="I734" s="4">
        <v>62.9</v>
      </c>
      <c r="J734" s="11">
        <v>3</v>
      </c>
      <c r="K734" s="4">
        <v>6.8</v>
      </c>
      <c r="L734" s="12">
        <f t="shared" si="12"/>
        <v>0.47712125471966244</v>
      </c>
      <c r="M734" s="11">
        <f>GraphListeria!$B$10-(Listeria!I734-GraphListeria!$B$6)/GraphListeria!$B$5</f>
        <v>-5.5538270338169271E-2</v>
      </c>
      <c r="N734" s="1" t="s">
        <v>490</v>
      </c>
      <c r="O734">
        <v>2001</v>
      </c>
      <c r="S734" s="10">
        <f>GraphListeria!$B$43*Listeria!I734+GraphListeria!$B$44</f>
        <v>-1.6327968213840194E-2</v>
      </c>
      <c r="U734" s="10">
        <f>GraphListeria!$H$43*Listeria!I734+GraphListeria!$H$44</f>
        <v>-5.5538270338169937E-2</v>
      </c>
    </row>
    <row r="735" spans="1:21" x14ac:dyDescent="0.2">
      <c r="A735" s="1" t="s">
        <v>1440</v>
      </c>
      <c r="B735" s="1" t="s">
        <v>1443</v>
      </c>
      <c r="D735" s="1" t="s">
        <v>11</v>
      </c>
      <c r="E735" s="1" t="s">
        <v>1447</v>
      </c>
      <c r="F735" s="1" t="s">
        <v>612</v>
      </c>
      <c r="G735" s="1"/>
      <c r="I735" s="4">
        <v>66</v>
      </c>
      <c r="J735" s="11">
        <v>1</v>
      </c>
      <c r="K735" s="4">
        <v>6.8</v>
      </c>
      <c r="L735" s="12">
        <f t="shared" si="12"/>
        <v>0</v>
      </c>
      <c r="M735" s="11">
        <f>GraphListeria!$B$10-(Listeria!I735-GraphListeria!$B$6)/GraphListeria!$B$5</f>
        <v>-0.49570806205908136</v>
      </c>
      <c r="N735" s="1" t="s">
        <v>490</v>
      </c>
      <c r="O735">
        <v>2001</v>
      </c>
      <c r="S735" s="10">
        <f>GraphListeria!$B$43*Listeria!I735+GraphListeria!$B$44</f>
        <v>-0.44436278392174344</v>
      </c>
      <c r="U735" s="10">
        <f>GraphListeria!$H$43*Listeria!I735+GraphListeria!$H$44</f>
        <v>-0.49570806205908191</v>
      </c>
    </row>
    <row r="736" spans="1:21" x14ac:dyDescent="0.2">
      <c r="A736" s="1" t="s">
        <v>1440</v>
      </c>
      <c r="B736" s="1" t="s">
        <v>1443</v>
      </c>
      <c r="D736" s="1" t="s">
        <v>11</v>
      </c>
      <c r="E736" s="1" t="s">
        <v>1447</v>
      </c>
      <c r="F736" s="1"/>
      <c r="G736" s="1"/>
      <c r="I736" s="4">
        <v>64</v>
      </c>
      <c r="J736" s="11">
        <v>3.3</v>
      </c>
      <c r="L736" s="12">
        <f t="shared" si="12"/>
        <v>0.51851393987788741</v>
      </c>
      <c r="M736" s="11">
        <f>GraphListeria!$B$10-(Listeria!I736-GraphListeria!$B$6)/GraphListeria!$B$5</f>
        <v>-0.21172755127139631</v>
      </c>
      <c r="N736" s="1" t="s">
        <v>490</v>
      </c>
      <c r="O736">
        <v>2001</v>
      </c>
      <c r="S736" s="10">
        <f>GraphListeria!$B$43*Listeria!I736+GraphListeria!$B$44</f>
        <v>-0.1682112899166448</v>
      </c>
      <c r="U736" s="10">
        <f>GraphListeria!$H$43*Listeria!I736+GraphListeria!$H$44</f>
        <v>-0.21172755127139631</v>
      </c>
    </row>
    <row r="737" spans="1:21" x14ac:dyDescent="0.2">
      <c r="A737" s="1" t="s">
        <v>1440</v>
      </c>
      <c r="B737" s="1" t="s">
        <v>1443</v>
      </c>
      <c r="D737" s="1" t="s">
        <v>11</v>
      </c>
      <c r="E737" s="1" t="s">
        <v>1447</v>
      </c>
      <c r="F737" s="1"/>
      <c r="G737" s="1"/>
      <c r="I737" s="4">
        <v>64</v>
      </c>
      <c r="J737" s="11">
        <v>4.2</v>
      </c>
      <c r="L737" s="12">
        <f t="shared" si="12"/>
        <v>0.62324929039790045</v>
      </c>
      <c r="M737" s="11">
        <f>GraphListeria!$B$10-(Listeria!I737-GraphListeria!$B$6)/GraphListeria!$B$5</f>
        <v>-0.21172755127139631</v>
      </c>
      <c r="N737" s="1" t="s">
        <v>490</v>
      </c>
      <c r="O737">
        <v>2001</v>
      </c>
      <c r="P737" t="s">
        <v>616</v>
      </c>
      <c r="S737" s="10">
        <f>GraphListeria!$B$43*Listeria!I737+GraphListeria!$B$44</f>
        <v>-0.1682112899166448</v>
      </c>
      <c r="U737" s="10">
        <f>GraphListeria!$H$43*Listeria!I737+GraphListeria!$H$44</f>
        <v>-0.21172755127139631</v>
      </c>
    </row>
    <row r="738" spans="1:21" x14ac:dyDescent="0.2">
      <c r="A738" s="1" t="s">
        <v>1440</v>
      </c>
      <c r="B738" s="1" t="s">
        <v>1443</v>
      </c>
      <c r="D738" s="1" t="s">
        <v>11</v>
      </c>
      <c r="E738" s="1" t="s">
        <v>1447</v>
      </c>
      <c r="F738" s="1"/>
      <c r="G738" s="1"/>
      <c r="I738" s="4">
        <v>64</v>
      </c>
      <c r="J738" s="11">
        <v>4.7</v>
      </c>
      <c r="L738" s="12">
        <f t="shared" si="12"/>
        <v>0.67209785793571752</v>
      </c>
      <c r="M738" s="11">
        <f>GraphListeria!$B$10-(Listeria!I738-GraphListeria!$B$6)/GraphListeria!$B$5</f>
        <v>-0.21172755127139631</v>
      </c>
      <c r="N738" s="1" t="s">
        <v>490</v>
      </c>
      <c r="O738">
        <v>2001</v>
      </c>
      <c r="P738" t="s">
        <v>617</v>
      </c>
      <c r="S738" s="10">
        <f>GraphListeria!$B$43*Listeria!I738+GraphListeria!$B$44</f>
        <v>-0.1682112899166448</v>
      </c>
      <c r="U738" s="10">
        <f>GraphListeria!$H$43*Listeria!I738+GraphListeria!$H$44</f>
        <v>-0.21172755127139631</v>
      </c>
    </row>
    <row r="739" spans="1:21" x14ac:dyDescent="0.2">
      <c r="A739" s="1" t="s">
        <v>1440</v>
      </c>
      <c r="B739" s="1" t="s">
        <v>1443</v>
      </c>
      <c r="D739" s="1" t="s">
        <v>11</v>
      </c>
      <c r="E739" s="1" t="s">
        <v>1447</v>
      </c>
      <c r="F739" s="1"/>
      <c r="G739" s="1"/>
      <c r="I739" s="4">
        <v>64</v>
      </c>
      <c r="J739" s="11">
        <v>8</v>
      </c>
      <c r="L739" s="12">
        <f t="shared" si="12"/>
        <v>0.90308998699194354</v>
      </c>
      <c r="M739" s="11">
        <f>GraphListeria!$B$10-(Listeria!I739-GraphListeria!$B$6)/GraphListeria!$B$5</f>
        <v>-0.21172755127139631</v>
      </c>
      <c r="N739" s="1" t="s">
        <v>490</v>
      </c>
      <c r="O739">
        <v>2001</v>
      </c>
      <c r="P739" t="s">
        <v>618</v>
      </c>
      <c r="S739" s="10">
        <f>GraphListeria!$B$43*Listeria!I739+GraphListeria!$B$44</f>
        <v>-0.1682112899166448</v>
      </c>
      <c r="U739" s="10">
        <f>GraphListeria!$H$43*Listeria!I739+GraphListeria!$H$44</f>
        <v>-0.21172755127139631</v>
      </c>
    </row>
    <row r="740" spans="1:21" x14ac:dyDescent="0.2">
      <c r="A740" s="1" t="s">
        <v>1440</v>
      </c>
      <c r="B740" s="1" t="s">
        <v>1443</v>
      </c>
      <c r="D740" s="1" t="s">
        <v>11</v>
      </c>
      <c r="E740" s="1" t="s">
        <v>576</v>
      </c>
      <c r="F740" s="1" t="s">
        <v>1446</v>
      </c>
      <c r="G740" s="1"/>
      <c r="I740" s="4">
        <v>55</v>
      </c>
      <c r="J740" s="11">
        <v>119.05</v>
      </c>
      <c r="K740" s="4">
        <v>5.29</v>
      </c>
      <c r="L740" s="12">
        <f t="shared" si="12"/>
        <v>2.0757293997408985</v>
      </c>
      <c r="M740" s="11">
        <f>GraphListeria!$B$10-(Listeria!I740-GraphListeria!$B$6)/GraphListeria!$B$5</f>
        <v>1.0661847472731862</v>
      </c>
      <c r="N740" s="1" t="s">
        <v>572</v>
      </c>
      <c r="O740">
        <v>2003</v>
      </c>
      <c r="S740" s="10">
        <f>GraphListeria!$B$43*Listeria!I740+GraphListeria!$B$44</f>
        <v>1.0744704331063017</v>
      </c>
      <c r="U740" s="10">
        <f>GraphListeria!$H$43*Listeria!I740+GraphListeria!$H$44</f>
        <v>1.0661847472731862</v>
      </c>
    </row>
    <row r="741" spans="1:21" x14ac:dyDescent="0.2">
      <c r="A741" s="1" t="s">
        <v>1440</v>
      </c>
      <c r="B741" s="1" t="s">
        <v>1443</v>
      </c>
      <c r="D741" s="1" t="s">
        <v>11</v>
      </c>
      <c r="E741" s="1" t="s">
        <v>576</v>
      </c>
      <c r="F741" s="1" t="s">
        <v>1446</v>
      </c>
      <c r="G741" s="1"/>
      <c r="I741" s="4">
        <v>57.5</v>
      </c>
      <c r="J741" s="11">
        <v>40.159999999999997</v>
      </c>
      <c r="K741" s="4">
        <v>5.29</v>
      </c>
      <c r="L741" s="12">
        <f t="shared" si="12"/>
        <v>1.603793704136963</v>
      </c>
      <c r="M741" s="11">
        <f>GraphListeria!$B$10-(Listeria!I741-GraphListeria!$B$6)/GraphListeria!$B$5</f>
        <v>0.7112091087885799</v>
      </c>
      <c r="N741" s="1" t="s">
        <v>572</v>
      </c>
      <c r="O741">
        <v>2003</v>
      </c>
      <c r="S741" s="10">
        <f>GraphListeria!$B$43*Listeria!I741+GraphListeria!$B$44</f>
        <v>0.72928106559992756</v>
      </c>
      <c r="U741" s="10">
        <f>GraphListeria!$H$43*Listeria!I741+GraphListeria!$H$44</f>
        <v>0.71120910878858012</v>
      </c>
    </row>
    <row r="742" spans="1:21" x14ac:dyDescent="0.2">
      <c r="A742" s="1" t="s">
        <v>1440</v>
      </c>
      <c r="B742" s="1" t="s">
        <v>1443</v>
      </c>
      <c r="D742" s="1" t="s">
        <v>11</v>
      </c>
      <c r="E742" s="1" t="s">
        <v>576</v>
      </c>
      <c r="F742" s="1" t="s">
        <v>1446</v>
      </c>
      <c r="G742" s="1"/>
      <c r="I742" s="4">
        <v>60</v>
      </c>
      <c r="J742" s="11">
        <v>16.7</v>
      </c>
      <c r="K742" s="4">
        <v>5.29</v>
      </c>
      <c r="L742" s="12">
        <f t="shared" si="12"/>
        <v>1.2227164711475833</v>
      </c>
      <c r="M742" s="11">
        <f>GraphListeria!$B$10-(Listeria!I742-GraphListeria!$B$6)/GraphListeria!$B$5</f>
        <v>0.35623347030397379</v>
      </c>
      <c r="N742" s="1" t="s">
        <v>572</v>
      </c>
      <c r="O742">
        <v>2003</v>
      </c>
      <c r="S742" s="10">
        <f>GraphListeria!$B$43*Listeria!I742+GraphListeria!$B$44</f>
        <v>0.38409169809355426</v>
      </c>
      <c r="U742" s="10">
        <f>GraphListeria!$H$43*Listeria!I742+GraphListeria!$H$44</f>
        <v>0.35623347030397312</v>
      </c>
    </row>
    <row r="743" spans="1:21" x14ac:dyDescent="0.2">
      <c r="A743" s="1" t="s">
        <v>1440</v>
      </c>
      <c r="B743" s="1" t="s">
        <v>1443</v>
      </c>
      <c r="D743" s="1" t="s">
        <v>11</v>
      </c>
      <c r="E743" s="1" t="s">
        <v>576</v>
      </c>
      <c r="F743" s="1" t="s">
        <v>1446</v>
      </c>
      <c r="G743" s="1"/>
      <c r="I743" s="4">
        <v>62.5</v>
      </c>
      <c r="J743" s="11">
        <v>4.54</v>
      </c>
      <c r="K743" s="4">
        <v>5.29</v>
      </c>
      <c r="L743" s="12">
        <f t="shared" si="12"/>
        <v>0.65705585285710388</v>
      </c>
      <c r="M743" s="11">
        <f>GraphListeria!$B$10-(Listeria!I743-GraphListeria!$B$6)/GraphListeria!$B$5</f>
        <v>1.2578318193674498E-3</v>
      </c>
      <c r="N743" s="1" t="s">
        <v>572</v>
      </c>
      <c r="O743">
        <v>2003</v>
      </c>
      <c r="S743" s="10">
        <f>GraphListeria!$B$43*Listeria!I743+GraphListeria!$B$44</f>
        <v>3.8902330587179179E-2</v>
      </c>
      <c r="U743" s="10">
        <f>GraphListeria!$H$43*Listeria!I743+GraphListeria!$H$44</f>
        <v>1.2578318193678939E-3</v>
      </c>
    </row>
    <row r="744" spans="1:21" x14ac:dyDescent="0.2">
      <c r="A744" s="1" t="s">
        <v>1440</v>
      </c>
      <c r="B744" s="1" t="s">
        <v>1443</v>
      </c>
      <c r="D744" s="1" t="s">
        <v>11</v>
      </c>
      <c r="E744" s="1" t="s">
        <v>576</v>
      </c>
      <c r="F744" s="1" t="s">
        <v>1446</v>
      </c>
      <c r="G744" s="1"/>
      <c r="I744" s="4">
        <v>65</v>
      </c>
      <c r="J744" s="11">
        <v>1.29</v>
      </c>
      <c r="K744" s="4">
        <v>5.29</v>
      </c>
      <c r="L744" s="12">
        <f t="shared" si="12"/>
        <v>0.11058971029924898</v>
      </c>
      <c r="M744" s="11">
        <f>GraphListeria!$B$10-(Listeria!I744-GraphListeria!$B$6)/GraphListeria!$B$5</f>
        <v>-0.35371780666523878</v>
      </c>
      <c r="N744" s="1" t="s">
        <v>572</v>
      </c>
      <c r="O744">
        <v>2003</v>
      </c>
      <c r="S744" s="10">
        <f>GraphListeria!$B$43*Listeria!I744+GraphListeria!$B$44</f>
        <v>-0.30628703691919412</v>
      </c>
      <c r="U744" s="10">
        <f>GraphListeria!$H$43*Listeria!I744+GraphListeria!$H$44</f>
        <v>-0.35371780666523911</v>
      </c>
    </row>
    <row r="745" spans="1:21" x14ac:dyDescent="0.2">
      <c r="A745" s="1" t="s">
        <v>1440</v>
      </c>
      <c r="B745" s="1" t="s">
        <v>1443</v>
      </c>
      <c r="D745" s="1" t="s">
        <v>11</v>
      </c>
      <c r="E745" s="1" t="s">
        <v>576</v>
      </c>
      <c r="F745" s="1" t="s">
        <v>1446</v>
      </c>
      <c r="G745" s="1"/>
      <c r="I745" s="4">
        <v>67.5</v>
      </c>
      <c r="J745" s="11">
        <v>0.46</v>
      </c>
      <c r="K745" s="4">
        <v>5.29</v>
      </c>
      <c r="L745" s="12">
        <f t="shared" si="12"/>
        <v>-0.33724216831842591</v>
      </c>
      <c r="M745" s="11">
        <f>GraphListeria!$B$10-(Listeria!I745-GraphListeria!$B$6)/GraphListeria!$B$5</f>
        <v>-0.708693445149845</v>
      </c>
      <c r="N745" s="1" t="s">
        <v>572</v>
      </c>
      <c r="O745">
        <v>2003</v>
      </c>
      <c r="S745" s="10">
        <f>GraphListeria!$B$43*Listeria!I745+GraphListeria!$B$44</f>
        <v>-0.65147640442556742</v>
      </c>
      <c r="U745" s="10">
        <f>GraphListeria!$H$43*Listeria!I745+GraphListeria!$H$44</f>
        <v>-0.70869344514984434</v>
      </c>
    </row>
    <row r="746" spans="1:21" x14ac:dyDescent="0.2">
      <c r="A746" s="1" t="s">
        <v>1440</v>
      </c>
      <c r="B746" s="1" t="s">
        <v>1443</v>
      </c>
      <c r="D746" s="1" t="s">
        <v>11</v>
      </c>
      <c r="E746" s="1" t="s">
        <v>576</v>
      </c>
      <c r="F746" s="1" t="s">
        <v>1446</v>
      </c>
      <c r="G746" s="1"/>
      <c r="I746" s="4">
        <v>70</v>
      </c>
      <c r="J746" s="11">
        <v>0.21</v>
      </c>
      <c r="K746" s="4">
        <v>5.29</v>
      </c>
      <c r="L746" s="12">
        <f t="shared" si="12"/>
        <v>-0.6777807052660807</v>
      </c>
      <c r="M746" s="11">
        <f>GraphListeria!$B$10-(Listeria!I746-GraphListeria!$B$6)/GraphListeria!$B$5</f>
        <v>-1.0636690836344513</v>
      </c>
      <c r="N746" s="1" t="s">
        <v>572</v>
      </c>
      <c r="O746">
        <v>2003</v>
      </c>
      <c r="S746" s="10">
        <f>GraphListeria!$B$43*Listeria!I746+GraphListeria!$B$44</f>
        <v>-0.9966657719319425</v>
      </c>
      <c r="U746" s="10">
        <f>GraphListeria!$H$43*Listeria!I746+GraphListeria!$H$44</f>
        <v>-1.0636690836344513</v>
      </c>
    </row>
    <row r="747" spans="1:21" x14ac:dyDescent="0.2">
      <c r="A747" s="1" t="s">
        <v>1440</v>
      </c>
      <c r="B747" s="1" t="s">
        <v>1443</v>
      </c>
      <c r="C747" t="s">
        <v>57</v>
      </c>
      <c r="D747" s="1" t="s">
        <v>44</v>
      </c>
      <c r="E747" s="1" t="s">
        <v>428</v>
      </c>
      <c r="F747" s="1"/>
      <c r="G747" s="1"/>
      <c r="I747" s="4">
        <v>50</v>
      </c>
      <c r="J747" s="11">
        <v>49.4</v>
      </c>
      <c r="K747" s="4">
        <v>6.6</v>
      </c>
      <c r="L747" s="12">
        <f>LOG(J747)</f>
        <v>1.6937269489236468</v>
      </c>
      <c r="M747" s="11">
        <f>GraphListeria!$B$10-(Listeria!I747-GraphListeria!$B$6)/GraphListeria!$B$5</f>
        <v>1.7761360242423989</v>
      </c>
      <c r="N747" s="1" t="s">
        <v>490</v>
      </c>
      <c r="O747">
        <v>2001</v>
      </c>
      <c r="P747" t="s">
        <v>322</v>
      </c>
      <c r="S747" s="10">
        <f>GraphListeria!$B$43*Listeria!I747+GraphListeria!$B$44</f>
        <v>1.7648491681190492</v>
      </c>
      <c r="U747" s="10">
        <f>GraphListeria!$H$43*Listeria!I747+GraphListeria!$H$44</f>
        <v>1.7761360242423985</v>
      </c>
    </row>
    <row r="748" spans="1:21" x14ac:dyDescent="0.2">
      <c r="A748" s="1" t="s">
        <v>1440</v>
      </c>
      <c r="B748" s="1" t="s">
        <v>1443</v>
      </c>
      <c r="C748" t="s">
        <v>57</v>
      </c>
      <c r="D748" s="1" t="s">
        <v>44</v>
      </c>
      <c r="E748" s="1" t="s">
        <v>428</v>
      </c>
      <c r="F748" s="1"/>
      <c r="G748" s="1"/>
      <c r="I748" s="4">
        <v>50</v>
      </c>
      <c r="J748" s="11">
        <v>96.9</v>
      </c>
      <c r="K748" s="4">
        <v>6.7</v>
      </c>
      <c r="L748" s="12">
        <f>LOG(J748)</f>
        <v>1.9863237770507653</v>
      </c>
      <c r="M748" s="11">
        <f>GraphListeria!$B$10-(Listeria!I748-GraphListeria!$B$6)/GraphListeria!$B$5</f>
        <v>1.7761360242423989</v>
      </c>
      <c r="N748" s="1" t="s">
        <v>490</v>
      </c>
      <c r="O748">
        <v>2001</v>
      </c>
      <c r="P748" t="s">
        <v>431</v>
      </c>
      <c r="S748" s="10">
        <f>GraphListeria!$B$43*Listeria!I748+GraphListeria!$B$44</f>
        <v>1.7648491681190492</v>
      </c>
      <c r="U748" s="10">
        <f>GraphListeria!$H$43*Listeria!I748+GraphListeria!$H$44</f>
        <v>1.7761360242423985</v>
      </c>
    </row>
    <row r="749" spans="1:21" x14ac:dyDescent="0.2">
      <c r="A749" s="1" t="s">
        <v>1440</v>
      </c>
      <c r="B749" s="1" t="s">
        <v>1443</v>
      </c>
      <c r="C749" t="s">
        <v>57</v>
      </c>
      <c r="D749" s="1" t="s">
        <v>44</v>
      </c>
      <c r="E749" s="1" t="s">
        <v>69</v>
      </c>
      <c r="F749" s="1"/>
      <c r="G749" s="1"/>
      <c r="I749" s="4">
        <v>52</v>
      </c>
      <c r="J749" s="11">
        <v>9.9</v>
      </c>
      <c r="K749" s="4">
        <v>7.27</v>
      </c>
      <c r="L749" s="12">
        <f t="shared" si="12"/>
        <v>0.9956351945975499</v>
      </c>
      <c r="M749" s="11">
        <f>GraphListeria!$B$10-(Listeria!I749-GraphListeria!$B$6)/GraphListeria!$B$5</f>
        <v>1.4921555134547138</v>
      </c>
      <c r="N749" s="1" t="s">
        <v>606</v>
      </c>
      <c r="O749">
        <v>1998</v>
      </c>
      <c r="S749" s="10">
        <f>GraphListeria!$B$43*Listeria!I749+GraphListeria!$B$44</f>
        <v>1.4886976741139497</v>
      </c>
      <c r="U749" s="10">
        <f>GraphListeria!$H$43*Listeria!I749+GraphListeria!$H$44</f>
        <v>1.4921555134547138</v>
      </c>
    </row>
    <row r="750" spans="1:21" x14ac:dyDescent="0.2">
      <c r="A750" s="1" t="s">
        <v>1440</v>
      </c>
      <c r="B750" s="1" t="s">
        <v>1443</v>
      </c>
      <c r="C750">
        <v>1151</v>
      </c>
      <c r="D750" s="1" t="s">
        <v>44</v>
      </c>
      <c r="E750" s="1" t="s">
        <v>69</v>
      </c>
      <c r="F750" s="1"/>
      <c r="G750" s="1"/>
      <c r="I750" s="4">
        <v>52</v>
      </c>
      <c r="J750" s="11">
        <v>20.100000000000001</v>
      </c>
      <c r="K750" s="4">
        <v>7.05</v>
      </c>
      <c r="L750" s="12">
        <f t="shared" si="12"/>
        <v>1.3031960574204888</v>
      </c>
      <c r="M750" s="11">
        <f>GraphListeria!$B$10-(Listeria!I750-GraphListeria!$B$6)/GraphListeria!$B$5</f>
        <v>1.4921555134547138</v>
      </c>
      <c r="N750" s="1" t="s">
        <v>606</v>
      </c>
      <c r="O750">
        <v>1998</v>
      </c>
      <c r="S750" s="10">
        <f>GraphListeria!$B$43*Listeria!I750+GraphListeria!$B$44</f>
        <v>1.4886976741139497</v>
      </c>
      <c r="U750" s="10">
        <f>GraphListeria!$H$43*Listeria!I750+GraphListeria!$H$44</f>
        <v>1.4921555134547138</v>
      </c>
    </row>
    <row r="751" spans="1:21" x14ac:dyDescent="0.2">
      <c r="A751" s="1" t="s">
        <v>1440</v>
      </c>
      <c r="B751" s="1" t="s">
        <v>1443</v>
      </c>
      <c r="C751" t="s">
        <v>427</v>
      </c>
      <c r="D751" s="1" t="s">
        <v>44</v>
      </c>
      <c r="E751" s="1" t="s">
        <v>428</v>
      </c>
      <c r="F751" s="1"/>
      <c r="G751" s="1"/>
      <c r="I751" s="4">
        <v>52</v>
      </c>
      <c r="J751" s="11">
        <v>37.9</v>
      </c>
      <c r="L751" s="12">
        <f t="shared" si="12"/>
        <v>1.5786392099680724</v>
      </c>
      <c r="M751" s="11">
        <f>GraphListeria!$B$10-(Listeria!I751-GraphListeria!$B$6)/GraphListeria!$B$5</f>
        <v>1.4921555134547138</v>
      </c>
      <c r="N751" s="1" t="s">
        <v>490</v>
      </c>
      <c r="O751">
        <v>2001</v>
      </c>
      <c r="P751" t="s">
        <v>322</v>
      </c>
      <c r="S751" s="10">
        <f>GraphListeria!$B$43*Listeria!I751+GraphListeria!$B$44</f>
        <v>1.4886976741139497</v>
      </c>
      <c r="U751" s="10">
        <f>GraphListeria!$H$43*Listeria!I751+GraphListeria!$H$44</f>
        <v>1.4921555134547138</v>
      </c>
    </row>
    <row r="752" spans="1:21" x14ac:dyDescent="0.2">
      <c r="A752" s="1" t="s">
        <v>1440</v>
      </c>
      <c r="B752" s="1" t="s">
        <v>1443</v>
      </c>
      <c r="C752" s="1"/>
      <c r="D752" t="s">
        <v>44</v>
      </c>
      <c r="E752" s="1" t="s">
        <v>1449</v>
      </c>
      <c r="F752" s="1" t="s">
        <v>1450</v>
      </c>
      <c r="G752" s="1"/>
      <c r="H752" s="5">
        <v>7.1</v>
      </c>
      <c r="I752" s="5">
        <v>52</v>
      </c>
      <c r="J752" s="9">
        <v>38.799999999999997</v>
      </c>
      <c r="K752" s="7"/>
      <c r="L752" s="12">
        <f>LOG(J752)</f>
        <v>1.5888317255942073</v>
      </c>
      <c r="M752" s="11">
        <f>GraphListeria!$B$10-(Listeria!I752-GraphListeria!$B$6)/GraphListeria!$B$5</f>
        <v>1.4921555134547138</v>
      </c>
      <c r="N752" s="2" t="s">
        <v>1226</v>
      </c>
      <c r="O752">
        <v>1996</v>
      </c>
      <c r="S752" s="10">
        <f>GraphListeria!$B$43*Listeria!I752+GraphListeria!$B$44</f>
        <v>1.4886976741139497</v>
      </c>
      <c r="U752" s="10">
        <f>GraphListeria!$H$43*Listeria!I752+GraphListeria!$H$44</f>
        <v>1.4921555134547138</v>
      </c>
    </row>
    <row r="753" spans="1:21" x14ac:dyDescent="0.2">
      <c r="A753" s="1" t="s">
        <v>1440</v>
      </c>
      <c r="B753" s="1" t="s">
        <v>1443</v>
      </c>
      <c r="C753" t="s">
        <v>57</v>
      </c>
      <c r="D753" s="1" t="s">
        <v>44</v>
      </c>
      <c r="E753" s="1" t="s">
        <v>409</v>
      </c>
      <c r="F753" s="1"/>
      <c r="G753" s="1"/>
      <c r="I753" s="4">
        <v>52</v>
      </c>
      <c r="J753" s="11">
        <v>38.799999999999997</v>
      </c>
      <c r="K753" s="4">
        <v>5.6</v>
      </c>
      <c r="L753" s="12">
        <f>LOG(J753)</f>
        <v>1.5888317255942073</v>
      </c>
      <c r="M753" s="11">
        <f>GraphListeria!$B$10-(Listeria!I753-GraphListeria!$B$6)/GraphListeria!$B$5</f>
        <v>1.4921555134547138</v>
      </c>
      <c r="N753" s="1" t="s">
        <v>490</v>
      </c>
      <c r="O753">
        <v>2001</v>
      </c>
      <c r="S753" s="10">
        <f>GraphListeria!$B$43*Listeria!I753+GraphListeria!$B$44</f>
        <v>1.4886976741139497</v>
      </c>
      <c r="U753" s="10">
        <f>GraphListeria!$H$43*Listeria!I753+GraphListeria!$H$44</f>
        <v>1.4921555134547138</v>
      </c>
    </row>
    <row r="754" spans="1:21" x14ac:dyDescent="0.2">
      <c r="A754" s="1" t="s">
        <v>1440</v>
      </c>
      <c r="B754" s="1" t="s">
        <v>1443</v>
      </c>
      <c r="C754" t="s">
        <v>410</v>
      </c>
      <c r="D754" s="1" t="s">
        <v>44</v>
      </c>
      <c r="E754" s="1" t="s">
        <v>409</v>
      </c>
      <c r="F754" s="1"/>
      <c r="G754" s="1"/>
      <c r="I754" s="4">
        <v>52</v>
      </c>
      <c r="J754" s="11">
        <v>49.1</v>
      </c>
      <c r="K754" s="4">
        <v>6</v>
      </c>
      <c r="L754" s="12">
        <f t="shared" si="12"/>
        <v>1.6910814921229684</v>
      </c>
      <c r="M754" s="11">
        <f>GraphListeria!$B$10-(Listeria!I754-GraphListeria!$B$6)/GraphListeria!$B$5</f>
        <v>1.4921555134547138</v>
      </c>
      <c r="N754" s="1" t="s">
        <v>490</v>
      </c>
      <c r="O754">
        <v>2001</v>
      </c>
      <c r="S754" s="10">
        <f>GraphListeria!$B$43*Listeria!I754+GraphListeria!$B$44</f>
        <v>1.4886976741139497</v>
      </c>
      <c r="U754" s="10">
        <f>GraphListeria!$H$43*Listeria!I754+GraphListeria!$H$44</f>
        <v>1.4921555134547138</v>
      </c>
    </row>
    <row r="755" spans="1:21" x14ac:dyDescent="0.2">
      <c r="A755" s="1" t="s">
        <v>1440</v>
      </c>
      <c r="B755" s="1" t="s">
        <v>1443</v>
      </c>
      <c r="C755" t="s">
        <v>427</v>
      </c>
      <c r="D755" s="1" t="s">
        <v>44</v>
      </c>
      <c r="E755" s="1" t="s">
        <v>428</v>
      </c>
      <c r="F755" s="1"/>
      <c r="G755" s="1"/>
      <c r="I755" s="4">
        <v>52</v>
      </c>
      <c r="J755" s="11">
        <v>49.8</v>
      </c>
      <c r="L755" s="12">
        <f t="shared" si="12"/>
        <v>1.6972293427597176</v>
      </c>
      <c r="M755" s="11">
        <f>GraphListeria!$B$10-(Listeria!I755-GraphListeria!$B$6)/GraphListeria!$B$5</f>
        <v>1.4921555134547138</v>
      </c>
      <c r="N755" s="1" t="s">
        <v>490</v>
      </c>
      <c r="O755">
        <v>2001</v>
      </c>
      <c r="P755" t="s">
        <v>429</v>
      </c>
      <c r="S755" s="10">
        <f>GraphListeria!$B$43*Listeria!I755+GraphListeria!$B$44</f>
        <v>1.4886976741139497</v>
      </c>
      <c r="U755" s="10">
        <f>GraphListeria!$H$43*Listeria!I755+GraphListeria!$H$44</f>
        <v>1.4921555134547138</v>
      </c>
    </row>
    <row r="756" spans="1:21" x14ac:dyDescent="0.2">
      <c r="A756" s="1" t="s">
        <v>1440</v>
      </c>
      <c r="B756" s="1" t="s">
        <v>1443</v>
      </c>
      <c r="C756" t="s">
        <v>411</v>
      </c>
      <c r="D756" s="1" t="s">
        <v>44</v>
      </c>
      <c r="E756" s="1" t="s">
        <v>409</v>
      </c>
      <c r="F756" s="1"/>
      <c r="G756" s="1"/>
      <c r="I756" s="4">
        <v>52</v>
      </c>
      <c r="J756" s="11">
        <v>63.8</v>
      </c>
      <c r="K756" s="4">
        <v>3.85</v>
      </c>
      <c r="L756" s="12">
        <f>LOG(J756)</f>
        <v>1.8048206787211623</v>
      </c>
      <c r="M756" s="11">
        <f>GraphListeria!$B$10-(Listeria!I756-GraphListeria!$B$6)/GraphListeria!$B$5</f>
        <v>1.4921555134547138</v>
      </c>
      <c r="N756" s="1" t="s">
        <v>490</v>
      </c>
      <c r="O756">
        <v>2001</v>
      </c>
      <c r="S756" s="10">
        <f>GraphListeria!$B$43*Listeria!I756+GraphListeria!$B$44</f>
        <v>1.4886976741139497</v>
      </c>
      <c r="U756" s="10">
        <f>GraphListeria!$H$43*Listeria!I756+GraphListeria!$H$44</f>
        <v>1.4921555134547138</v>
      </c>
    </row>
    <row r="757" spans="1:21" x14ac:dyDescent="0.2">
      <c r="A757" s="1" t="s">
        <v>1440</v>
      </c>
      <c r="B757" s="1" t="s">
        <v>1443</v>
      </c>
      <c r="C757" s="1"/>
      <c r="D757" t="s">
        <v>44</v>
      </c>
      <c r="E757" s="1" t="s">
        <v>1449</v>
      </c>
      <c r="F757" s="1" t="s">
        <v>1450</v>
      </c>
      <c r="G757" s="1"/>
      <c r="H757" s="5">
        <v>7.1</v>
      </c>
      <c r="I757" s="5">
        <v>52</v>
      </c>
      <c r="J757" s="9">
        <v>64.099999999999994</v>
      </c>
      <c r="K757" s="7"/>
      <c r="L757" s="12">
        <f t="shared" si="12"/>
        <v>1.8068580295188175</v>
      </c>
      <c r="M757" s="11">
        <f>GraphListeria!$B$10-(Listeria!I757-GraphListeria!$B$6)/GraphListeria!$B$5</f>
        <v>1.4921555134547138</v>
      </c>
      <c r="N757" s="2" t="s">
        <v>1226</v>
      </c>
      <c r="O757">
        <v>1996</v>
      </c>
      <c r="S757" s="10">
        <f>GraphListeria!$B$43*Listeria!I757+GraphListeria!$B$44</f>
        <v>1.4886976741139497</v>
      </c>
      <c r="U757" s="10">
        <f>GraphListeria!$H$43*Listeria!I757+GraphListeria!$H$44</f>
        <v>1.4921555134547138</v>
      </c>
    </row>
    <row r="758" spans="1:21" x14ac:dyDescent="0.2">
      <c r="A758" s="1" t="s">
        <v>1440</v>
      </c>
      <c r="B758" s="1" t="s">
        <v>1443</v>
      </c>
      <c r="C758" t="s">
        <v>412</v>
      </c>
      <c r="D758" s="1" t="s">
        <v>44</v>
      </c>
      <c r="E758" s="1" t="s">
        <v>409</v>
      </c>
      <c r="F758" s="1"/>
      <c r="G758" s="1"/>
      <c r="I758" s="4">
        <v>52</v>
      </c>
      <c r="J758" s="11">
        <v>64.099999999999994</v>
      </c>
      <c r="K758" s="4">
        <v>6.6</v>
      </c>
      <c r="L758" s="12">
        <f t="shared" si="12"/>
        <v>1.8068580295188175</v>
      </c>
      <c r="M758" s="11">
        <f>GraphListeria!$B$10-(Listeria!I758-GraphListeria!$B$6)/GraphListeria!$B$5</f>
        <v>1.4921555134547138</v>
      </c>
      <c r="N758" s="1" t="s">
        <v>490</v>
      </c>
      <c r="O758">
        <v>2001</v>
      </c>
      <c r="S758" s="10">
        <f>GraphListeria!$B$43*Listeria!I758+GraphListeria!$B$44</f>
        <v>1.4886976741139497</v>
      </c>
      <c r="U758" s="10">
        <f>GraphListeria!$H$43*Listeria!I758+GraphListeria!$H$44</f>
        <v>1.4921555134547138</v>
      </c>
    </row>
    <row r="759" spans="1:21" x14ac:dyDescent="0.2">
      <c r="A759" s="1" t="s">
        <v>1440</v>
      </c>
      <c r="B759" s="1" t="s">
        <v>1443</v>
      </c>
      <c r="D759" t="s">
        <v>44</v>
      </c>
      <c r="E759" s="1" t="s">
        <v>1449</v>
      </c>
      <c r="F759" s="1" t="s">
        <v>1450</v>
      </c>
      <c r="G759" s="1"/>
      <c r="H759" s="4">
        <v>7.1</v>
      </c>
      <c r="I759" s="4">
        <v>54</v>
      </c>
      <c r="J759" s="11">
        <v>14.4</v>
      </c>
      <c r="L759" s="12">
        <f t="shared" si="12"/>
        <v>1.1583624920952498</v>
      </c>
      <c r="M759" s="11">
        <f>GraphListeria!$B$10-(Listeria!I759-GraphListeria!$B$6)/GraphListeria!$B$5</f>
        <v>1.2081750026670286</v>
      </c>
      <c r="N759" s="2" t="s">
        <v>1226</v>
      </c>
      <c r="O759">
        <v>1996</v>
      </c>
      <c r="S759" s="10">
        <f>GraphListeria!$B$43*Listeria!I759+GraphListeria!$B$44</f>
        <v>1.2125461801088511</v>
      </c>
      <c r="U759" s="10">
        <f>GraphListeria!$H$43*Listeria!I759+GraphListeria!$H$44</f>
        <v>1.208175002667029</v>
      </c>
    </row>
    <row r="760" spans="1:21" x14ac:dyDescent="0.2">
      <c r="A760" s="1" t="s">
        <v>1440</v>
      </c>
      <c r="B760" s="1" t="s">
        <v>1443</v>
      </c>
      <c r="C760" t="s">
        <v>410</v>
      </c>
      <c r="D760" s="1" t="s">
        <v>44</v>
      </c>
      <c r="E760" s="1" t="s">
        <v>409</v>
      </c>
      <c r="F760" s="1"/>
      <c r="G760" s="1"/>
      <c r="I760" s="4">
        <v>54</v>
      </c>
      <c r="J760" s="11">
        <v>14.4</v>
      </c>
      <c r="K760" s="4">
        <v>6</v>
      </c>
      <c r="L760" s="12">
        <f t="shared" si="12"/>
        <v>1.1583624920952498</v>
      </c>
      <c r="M760" s="11">
        <f>GraphListeria!$B$10-(Listeria!I760-GraphListeria!$B$6)/GraphListeria!$B$5</f>
        <v>1.2081750026670286</v>
      </c>
      <c r="N760" s="1" t="s">
        <v>490</v>
      </c>
      <c r="O760">
        <v>2001</v>
      </c>
      <c r="S760" s="10">
        <f>GraphListeria!$B$43*Listeria!I760+GraphListeria!$B$44</f>
        <v>1.2125461801088511</v>
      </c>
      <c r="U760" s="10">
        <f>GraphListeria!$H$43*Listeria!I760+GraphListeria!$H$44</f>
        <v>1.208175002667029</v>
      </c>
    </row>
    <row r="761" spans="1:21" x14ac:dyDescent="0.2">
      <c r="A761" s="1" t="s">
        <v>1440</v>
      </c>
      <c r="B761" s="1" t="s">
        <v>1443</v>
      </c>
      <c r="C761" t="s">
        <v>57</v>
      </c>
      <c r="D761" s="1" t="s">
        <v>44</v>
      </c>
      <c r="E761" s="1" t="s">
        <v>409</v>
      </c>
      <c r="F761" s="1"/>
      <c r="G761" s="1"/>
      <c r="I761" s="4">
        <v>54</v>
      </c>
      <c r="J761" s="11">
        <v>16.8</v>
      </c>
      <c r="K761" s="4">
        <v>5.6</v>
      </c>
      <c r="L761" s="12">
        <f t="shared" si="12"/>
        <v>1.2253092817258628</v>
      </c>
      <c r="M761" s="11">
        <f>GraphListeria!$B$10-(Listeria!I761-GraphListeria!$B$6)/GraphListeria!$B$5</f>
        <v>1.2081750026670286</v>
      </c>
      <c r="N761" s="1" t="s">
        <v>490</v>
      </c>
      <c r="O761">
        <v>2001</v>
      </c>
      <c r="S761" s="10">
        <f>GraphListeria!$B$43*Listeria!I761+GraphListeria!$B$44</f>
        <v>1.2125461801088511</v>
      </c>
      <c r="U761" s="10">
        <f>GraphListeria!$H$43*Listeria!I761+GraphListeria!$H$44</f>
        <v>1.208175002667029</v>
      </c>
    </row>
    <row r="762" spans="1:21" x14ac:dyDescent="0.2">
      <c r="A762" s="1" t="s">
        <v>1440</v>
      </c>
      <c r="B762" s="1" t="s">
        <v>1443</v>
      </c>
      <c r="C762" t="s">
        <v>411</v>
      </c>
      <c r="D762" s="1" t="s">
        <v>44</v>
      </c>
      <c r="E762" s="1" t="s">
        <v>409</v>
      </c>
      <c r="F762" s="1"/>
      <c r="G762" s="1"/>
      <c r="I762" s="4">
        <v>54</v>
      </c>
      <c r="J762" s="11">
        <v>22.8</v>
      </c>
      <c r="K762" s="4">
        <v>3.85</v>
      </c>
      <c r="L762" s="12">
        <f t="shared" si="12"/>
        <v>1.3579348470004537</v>
      </c>
      <c r="M762" s="11">
        <f>GraphListeria!$B$10-(Listeria!I762-GraphListeria!$B$6)/GraphListeria!$B$5</f>
        <v>1.2081750026670286</v>
      </c>
      <c r="N762" s="1" t="s">
        <v>490</v>
      </c>
      <c r="O762">
        <v>2001</v>
      </c>
      <c r="S762" s="10">
        <f>GraphListeria!$B$43*Listeria!I762+GraphListeria!$B$44</f>
        <v>1.2125461801088511</v>
      </c>
      <c r="U762" s="10">
        <f>GraphListeria!$H$43*Listeria!I762+GraphListeria!$H$44</f>
        <v>1.208175002667029</v>
      </c>
    </row>
    <row r="763" spans="1:21" x14ac:dyDescent="0.2">
      <c r="A763" s="1" t="s">
        <v>1440</v>
      </c>
      <c r="B763" s="1" t="s">
        <v>1443</v>
      </c>
      <c r="D763" t="s">
        <v>44</v>
      </c>
      <c r="E763" s="1" t="s">
        <v>1449</v>
      </c>
      <c r="F763" s="1" t="s">
        <v>1450</v>
      </c>
      <c r="G763" s="1"/>
      <c r="H763" s="4">
        <v>7.1</v>
      </c>
      <c r="I763" s="4">
        <v>54</v>
      </c>
      <c r="J763" s="11">
        <v>31.6</v>
      </c>
      <c r="L763" s="12">
        <f t="shared" si="12"/>
        <v>1.4996870826184039</v>
      </c>
      <c r="M763" s="11">
        <f>GraphListeria!$B$10-(Listeria!I763-GraphListeria!$B$6)/GraphListeria!$B$5</f>
        <v>1.2081750026670286</v>
      </c>
      <c r="N763" s="2" t="s">
        <v>1226</v>
      </c>
      <c r="O763">
        <v>1996</v>
      </c>
      <c r="S763" s="10">
        <f>GraphListeria!$B$43*Listeria!I763+GraphListeria!$B$44</f>
        <v>1.2125461801088511</v>
      </c>
      <c r="U763" s="10">
        <f>GraphListeria!$H$43*Listeria!I763+GraphListeria!$H$44</f>
        <v>1.208175002667029</v>
      </c>
    </row>
    <row r="764" spans="1:21" x14ac:dyDescent="0.2">
      <c r="A764" s="1" t="s">
        <v>1440</v>
      </c>
      <c r="B764" s="1" t="s">
        <v>1443</v>
      </c>
      <c r="C764" t="s">
        <v>412</v>
      </c>
      <c r="D764" s="1" t="s">
        <v>44</v>
      </c>
      <c r="E764" s="1" t="s">
        <v>409</v>
      </c>
      <c r="F764" s="1"/>
      <c r="G764" s="1"/>
      <c r="I764" s="4">
        <v>54</v>
      </c>
      <c r="J764" s="11">
        <v>31.6</v>
      </c>
      <c r="K764" s="4">
        <v>6.6</v>
      </c>
      <c r="L764" s="12">
        <f t="shared" si="12"/>
        <v>1.4996870826184039</v>
      </c>
      <c r="M764" s="11">
        <f>GraphListeria!$B$10-(Listeria!I764-GraphListeria!$B$6)/GraphListeria!$B$5</f>
        <v>1.2081750026670286</v>
      </c>
      <c r="N764" s="1" t="s">
        <v>490</v>
      </c>
      <c r="O764">
        <v>2001</v>
      </c>
      <c r="S764" s="10">
        <f>GraphListeria!$B$43*Listeria!I764+GraphListeria!$B$44</f>
        <v>1.2125461801088511</v>
      </c>
      <c r="U764" s="10">
        <f>GraphListeria!$H$43*Listeria!I764+GraphListeria!$H$44</f>
        <v>1.208175002667029</v>
      </c>
    </row>
    <row r="765" spans="1:21" x14ac:dyDescent="0.2">
      <c r="A765" s="1" t="s">
        <v>1440</v>
      </c>
      <c r="B765" s="1" t="s">
        <v>1443</v>
      </c>
      <c r="C765" t="s">
        <v>423</v>
      </c>
      <c r="D765" s="1" t="s">
        <v>44</v>
      </c>
      <c r="E765" s="1" t="s">
        <v>1252</v>
      </c>
      <c r="F765" s="1"/>
      <c r="G765" s="1"/>
      <c r="I765" s="4">
        <v>55</v>
      </c>
      <c r="J765" s="11">
        <v>3.1</v>
      </c>
      <c r="L765" s="12">
        <f t="shared" si="12"/>
        <v>0.49136169383427269</v>
      </c>
      <c r="M765" s="11">
        <f>GraphListeria!$B$10-(Listeria!I765-GraphListeria!$B$6)/GraphListeria!$B$5</f>
        <v>1.0661847472731862</v>
      </c>
      <c r="N765" s="1" t="s">
        <v>490</v>
      </c>
      <c r="O765">
        <v>2001</v>
      </c>
      <c r="P765" t="s">
        <v>438</v>
      </c>
      <c r="S765" s="10">
        <f>GraphListeria!$B$43*Listeria!I765+GraphListeria!$B$44</f>
        <v>1.0744704331063017</v>
      </c>
      <c r="U765" s="10">
        <f>GraphListeria!$H$43*Listeria!I765+GraphListeria!$H$44</f>
        <v>1.0661847472731862</v>
      </c>
    </row>
    <row r="766" spans="1:21" x14ac:dyDescent="0.2">
      <c r="A766" s="1" t="s">
        <v>1440</v>
      </c>
      <c r="B766" s="1" t="s">
        <v>1443</v>
      </c>
      <c r="C766" t="s">
        <v>423</v>
      </c>
      <c r="D766" s="1" t="s">
        <v>44</v>
      </c>
      <c r="E766" s="1" t="s">
        <v>1252</v>
      </c>
      <c r="F766" s="1"/>
      <c r="G766" s="1"/>
      <c r="I766" s="4">
        <v>55</v>
      </c>
      <c r="J766" s="11">
        <v>3.9</v>
      </c>
      <c r="L766" s="12">
        <f t="shared" si="12"/>
        <v>0.59106460702649921</v>
      </c>
      <c r="M766" s="11">
        <f>GraphListeria!$B$10-(Listeria!I766-GraphListeria!$B$6)/GraphListeria!$B$5</f>
        <v>1.0661847472731862</v>
      </c>
      <c r="N766" s="1" t="s">
        <v>490</v>
      </c>
      <c r="O766">
        <v>2001</v>
      </c>
      <c r="P766" t="s">
        <v>439</v>
      </c>
      <c r="S766" s="10">
        <f>GraphListeria!$B$43*Listeria!I766+GraphListeria!$B$44</f>
        <v>1.0744704331063017</v>
      </c>
      <c r="U766" s="10">
        <f>GraphListeria!$H$43*Listeria!I766+GraphListeria!$H$44</f>
        <v>1.0661847472731862</v>
      </c>
    </row>
    <row r="767" spans="1:21" x14ac:dyDescent="0.2">
      <c r="A767" s="1" t="s">
        <v>1440</v>
      </c>
      <c r="B767" s="1" t="s">
        <v>1443</v>
      </c>
      <c r="C767" t="s">
        <v>423</v>
      </c>
      <c r="D767" s="1" t="s">
        <v>44</v>
      </c>
      <c r="E767" s="1" t="s">
        <v>1252</v>
      </c>
      <c r="F767" s="1"/>
      <c r="G767" s="1"/>
      <c r="I767" s="4">
        <v>55</v>
      </c>
      <c r="J767" s="11">
        <v>4.2</v>
      </c>
      <c r="L767" s="12">
        <f t="shared" ref="L767:L842" si="13">LOG(J767)</f>
        <v>0.62324929039790045</v>
      </c>
      <c r="M767" s="11">
        <f>GraphListeria!$B$10-(Listeria!I767-GraphListeria!$B$6)/GraphListeria!$B$5</f>
        <v>1.0661847472731862</v>
      </c>
      <c r="N767" s="1" t="s">
        <v>490</v>
      </c>
      <c r="O767">
        <v>2001</v>
      </c>
      <c r="P767" t="s">
        <v>424</v>
      </c>
      <c r="S767" s="10">
        <f>GraphListeria!$B$43*Listeria!I767+GraphListeria!$B$44</f>
        <v>1.0744704331063017</v>
      </c>
      <c r="U767" s="10">
        <f>GraphListeria!$H$43*Listeria!I767+GraphListeria!$H$44</f>
        <v>1.0661847472731862</v>
      </c>
    </row>
    <row r="768" spans="1:21" x14ac:dyDescent="0.2">
      <c r="A768" s="1" t="s">
        <v>1440</v>
      </c>
      <c r="B768" s="1" t="s">
        <v>1443</v>
      </c>
      <c r="C768" t="s">
        <v>423</v>
      </c>
      <c r="D768" s="1" t="s">
        <v>44</v>
      </c>
      <c r="E768" s="1" t="s">
        <v>1252</v>
      </c>
      <c r="F768" s="1"/>
      <c r="G768" s="1"/>
      <c r="I768" s="4">
        <v>55</v>
      </c>
      <c r="J768" s="11">
        <v>4.2</v>
      </c>
      <c r="L768" s="12">
        <f t="shared" si="13"/>
        <v>0.62324929039790045</v>
      </c>
      <c r="M768" s="11">
        <f>GraphListeria!$B$10-(Listeria!I768-GraphListeria!$B$6)/GraphListeria!$B$5</f>
        <v>1.0661847472731862</v>
      </c>
      <c r="N768" s="1" t="s">
        <v>490</v>
      </c>
      <c r="O768">
        <v>2001</v>
      </c>
      <c r="P768" t="s">
        <v>440</v>
      </c>
      <c r="S768" s="10">
        <f>GraphListeria!$B$43*Listeria!I768+GraphListeria!$B$44</f>
        <v>1.0744704331063017</v>
      </c>
      <c r="U768" s="10">
        <f>GraphListeria!$H$43*Listeria!I768+GraphListeria!$H$44</f>
        <v>1.0661847472731862</v>
      </c>
    </row>
    <row r="769" spans="1:21" x14ac:dyDescent="0.2">
      <c r="A769" s="1" t="s">
        <v>1440</v>
      </c>
      <c r="B769" s="1" t="s">
        <v>1443</v>
      </c>
      <c r="C769" t="s">
        <v>423</v>
      </c>
      <c r="D769" s="1" t="s">
        <v>44</v>
      </c>
      <c r="E769" s="1" t="s">
        <v>1252</v>
      </c>
      <c r="F769" s="1"/>
      <c r="G769" s="1"/>
      <c r="I769" s="4">
        <v>55</v>
      </c>
      <c r="J769" s="11">
        <v>6.3</v>
      </c>
      <c r="L769" s="12">
        <f t="shared" si="13"/>
        <v>0.79934054945358168</v>
      </c>
      <c r="M769" s="11">
        <f>GraphListeria!$B$10-(Listeria!I769-GraphListeria!$B$6)/GraphListeria!$B$5</f>
        <v>1.0661847472731862</v>
      </c>
      <c r="N769" s="1" t="s">
        <v>490</v>
      </c>
      <c r="O769">
        <v>2001</v>
      </c>
      <c r="P769" t="s">
        <v>425</v>
      </c>
      <c r="S769" s="10">
        <f>GraphListeria!$B$43*Listeria!I769+GraphListeria!$B$44</f>
        <v>1.0744704331063017</v>
      </c>
      <c r="U769" s="10">
        <f>GraphListeria!$H$43*Listeria!I769+GraphListeria!$H$44</f>
        <v>1.0661847472731862</v>
      </c>
    </row>
    <row r="770" spans="1:21" x14ac:dyDescent="0.2">
      <c r="A770" s="1" t="s">
        <v>1440</v>
      </c>
      <c r="B770" s="1" t="s">
        <v>1443</v>
      </c>
      <c r="C770" t="s">
        <v>423</v>
      </c>
      <c r="D770" s="1" t="s">
        <v>44</v>
      </c>
      <c r="E770" s="1" t="s">
        <v>1252</v>
      </c>
      <c r="F770" s="1"/>
      <c r="G770" s="1"/>
      <c r="I770" s="4">
        <v>55</v>
      </c>
      <c r="J770" s="11">
        <v>6.3</v>
      </c>
      <c r="L770" s="12">
        <f t="shared" si="13"/>
        <v>0.79934054945358168</v>
      </c>
      <c r="M770" s="11">
        <f>GraphListeria!$B$10-(Listeria!I770-GraphListeria!$B$6)/GraphListeria!$B$5</f>
        <v>1.0661847472731862</v>
      </c>
      <c r="N770" s="1" t="s">
        <v>490</v>
      </c>
      <c r="O770">
        <v>2001</v>
      </c>
      <c r="P770" t="s">
        <v>441</v>
      </c>
      <c r="S770" s="10">
        <f>GraphListeria!$B$43*Listeria!I770+GraphListeria!$B$44</f>
        <v>1.0744704331063017</v>
      </c>
      <c r="U770" s="10">
        <f>GraphListeria!$H$43*Listeria!I770+GraphListeria!$H$44</f>
        <v>1.0661847472731862</v>
      </c>
    </row>
    <row r="771" spans="1:21" x14ac:dyDescent="0.2">
      <c r="A771" s="1" t="s">
        <v>1440</v>
      </c>
      <c r="B771" s="1" t="s">
        <v>1443</v>
      </c>
      <c r="D771" t="s">
        <v>44</v>
      </c>
      <c r="E771" s="1" t="s">
        <v>1449</v>
      </c>
      <c r="F771" s="1" t="s">
        <v>32</v>
      </c>
      <c r="G771" s="1"/>
      <c r="I771" s="4">
        <v>55</v>
      </c>
      <c r="J771" s="11">
        <v>6.69</v>
      </c>
      <c r="L771" s="12">
        <f t="shared" si="13"/>
        <v>0.82542611776782315</v>
      </c>
      <c r="M771" s="11">
        <f>GraphListeria!$B$10-(Listeria!I771-GraphListeria!$B$6)/GraphListeria!$B$5</f>
        <v>1.0661847472731862</v>
      </c>
      <c r="N771" s="2" t="s">
        <v>1226</v>
      </c>
      <c r="O771">
        <v>1996</v>
      </c>
      <c r="S771" s="10">
        <f>GraphListeria!$B$43*Listeria!I771+GraphListeria!$B$44</f>
        <v>1.0744704331063017</v>
      </c>
      <c r="U771" s="10">
        <f>GraphListeria!$H$43*Listeria!I771+GraphListeria!$H$44</f>
        <v>1.0661847472731862</v>
      </c>
    </row>
    <row r="772" spans="1:21" x14ac:dyDescent="0.2">
      <c r="A772" s="1" t="s">
        <v>1440</v>
      </c>
      <c r="B772" s="1" t="s">
        <v>1443</v>
      </c>
      <c r="C772" t="s">
        <v>57</v>
      </c>
      <c r="D772" s="1" t="s">
        <v>44</v>
      </c>
      <c r="E772" s="1" t="s">
        <v>428</v>
      </c>
      <c r="F772" s="1"/>
      <c r="G772" s="1"/>
      <c r="I772" s="4">
        <v>55</v>
      </c>
      <c r="J772" s="11">
        <v>8.81</v>
      </c>
      <c r="K772" s="4">
        <v>6.6</v>
      </c>
      <c r="L772" s="12">
        <f t="shared" si="13"/>
        <v>0.94497590841204793</v>
      </c>
      <c r="M772" s="11">
        <f>GraphListeria!$B$10-(Listeria!I772-GraphListeria!$B$6)/GraphListeria!$B$5</f>
        <v>1.0661847472731862</v>
      </c>
      <c r="N772" s="1" t="s">
        <v>490</v>
      </c>
      <c r="O772">
        <v>2001</v>
      </c>
      <c r="P772" t="s">
        <v>322</v>
      </c>
      <c r="S772" s="10">
        <f>GraphListeria!$B$43*Listeria!I772+GraphListeria!$B$44</f>
        <v>1.0744704331063017</v>
      </c>
      <c r="U772" s="10">
        <f>GraphListeria!$H$43*Listeria!I772+GraphListeria!$H$44</f>
        <v>1.0661847472731862</v>
      </c>
    </row>
    <row r="773" spans="1:21" x14ac:dyDescent="0.2">
      <c r="A773" s="1" t="s">
        <v>1440</v>
      </c>
      <c r="B773" s="1" t="s">
        <v>1443</v>
      </c>
      <c r="D773" t="s">
        <v>44</v>
      </c>
      <c r="E773" s="1" t="s">
        <v>1449</v>
      </c>
      <c r="F773" s="1" t="s">
        <v>32</v>
      </c>
      <c r="G773" s="1"/>
      <c r="I773" s="4">
        <v>55</v>
      </c>
      <c r="J773" s="11">
        <v>8.89</v>
      </c>
      <c r="L773" s="12">
        <f t="shared" si="13"/>
        <v>0.94890176097021373</v>
      </c>
      <c r="M773" s="11">
        <f>GraphListeria!$B$10-(Listeria!I773-GraphListeria!$B$6)/GraphListeria!$B$5</f>
        <v>1.0661847472731862</v>
      </c>
      <c r="N773" s="2" t="s">
        <v>1226</v>
      </c>
      <c r="O773">
        <v>1996</v>
      </c>
      <c r="S773" s="10">
        <f>GraphListeria!$B$43*Listeria!I773+GraphListeria!$B$44</f>
        <v>1.0744704331063017</v>
      </c>
      <c r="U773" s="10">
        <f>GraphListeria!$H$43*Listeria!I773+GraphListeria!$H$44</f>
        <v>1.0661847472731862</v>
      </c>
    </row>
    <row r="774" spans="1:21" x14ac:dyDescent="0.2">
      <c r="A774" s="1" t="s">
        <v>1440</v>
      </c>
      <c r="B774" s="1" t="s">
        <v>1443</v>
      </c>
      <c r="C774" t="s">
        <v>57</v>
      </c>
      <c r="D774" s="1" t="s">
        <v>44</v>
      </c>
      <c r="E774" s="1" t="s">
        <v>428</v>
      </c>
      <c r="F774" s="1"/>
      <c r="G774" s="1"/>
      <c r="I774" s="4">
        <v>55</v>
      </c>
      <c r="J774" s="11">
        <v>8.89</v>
      </c>
      <c r="L774" s="12">
        <f t="shared" si="13"/>
        <v>0.94890176097021373</v>
      </c>
      <c r="M774" s="11">
        <f>GraphListeria!$B$10-(Listeria!I774-GraphListeria!$B$6)/GraphListeria!$B$5</f>
        <v>1.0661847472731862</v>
      </c>
      <c r="N774" s="1" t="s">
        <v>490</v>
      </c>
      <c r="O774">
        <v>2001</v>
      </c>
      <c r="P774" t="s">
        <v>432</v>
      </c>
      <c r="S774" s="10">
        <f>GraphListeria!$B$43*Listeria!I774+GraphListeria!$B$44</f>
        <v>1.0744704331063017</v>
      </c>
      <c r="U774" s="10">
        <f>GraphListeria!$H$43*Listeria!I774+GraphListeria!$H$44</f>
        <v>1.0661847472731862</v>
      </c>
    </row>
    <row r="775" spans="1:21" x14ac:dyDescent="0.2">
      <c r="A775" s="1" t="s">
        <v>1440</v>
      </c>
      <c r="B775" s="1" t="s">
        <v>1443</v>
      </c>
      <c r="D775" t="s">
        <v>44</v>
      </c>
      <c r="E775" s="1" t="s">
        <v>1449</v>
      </c>
      <c r="F775" s="1" t="s">
        <v>32</v>
      </c>
      <c r="G775" s="1"/>
      <c r="I775" s="4">
        <v>55</v>
      </c>
      <c r="J775" s="11">
        <v>9.5500000000000007</v>
      </c>
      <c r="L775" s="12">
        <f t="shared" si="13"/>
        <v>0.9800033715837464</v>
      </c>
      <c r="M775" s="11">
        <f>GraphListeria!$B$10-(Listeria!I775-GraphListeria!$B$6)/GraphListeria!$B$5</f>
        <v>1.0661847472731862</v>
      </c>
      <c r="N775" s="2" t="s">
        <v>1226</v>
      </c>
      <c r="O775">
        <v>1996</v>
      </c>
      <c r="P775" t="s">
        <v>33</v>
      </c>
      <c r="S775" s="10">
        <f>GraphListeria!$B$43*Listeria!I775+GraphListeria!$B$44</f>
        <v>1.0744704331063017</v>
      </c>
      <c r="U775" s="10">
        <f>GraphListeria!$H$43*Listeria!I775+GraphListeria!$H$44</f>
        <v>1.0661847472731862</v>
      </c>
    </row>
    <row r="776" spans="1:21" x14ac:dyDescent="0.2">
      <c r="A776" s="1" t="s">
        <v>1440</v>
      </c>
      <c r="B776" s="1" t="s">
        <v>1443</v>
      </c>
      <c r="D776" t="s">
        <v>44</v>
      </c>
      <c r="E776" s="1" t="s">
        <v>1449</v>
      </c>
      <c r="F776" s="1" t="s">
        <v>32</v>
      </c>
      <c r="G776" s="1"/>
      <c r="I776" s="4">
        <v>55</v>
      </c>
      <c r="J776" s="11">
        <v>12</v>
      </c>
      <c r="L776" s="12">
        <f t="shared" si="13"/>
        <v>1.0791812460476249</v>
      </c>
      <c r="M776" s="11">
        <f>GraphListeria!$B$10-(Listeria!I776-GraphListeria!$B$6)/GraphListeria!$B$5</f>
        <v>1.0661847472731862</v>
      </c>
      <c r="N776" s="2" t="s">
        <v>1226</v>
      </c>
      <c r="O776">
        <v>1996</v>
      </c>
      <c r="S776" s="10">
        <f>GraphListeria!$B$43*Listeria!I776+GraphListeria!$B$44</f>
        <v>1.0744704331063017</v>
      </c>
      <c r="U776" s="10">
        <f>GraphListeria!$H$43*Listeria!I776+GraphListeria!$H$44</f>
        <v>1.0661847472731862</v>
      </c>
    </row>
    <row r="777" spans="1:21" x14ac:dyDescent="0.2">
      <c r="A777" s="1" t="s">
        <v>1440</v>
      </c>
      <c r="B777" s="1" t="s">
        <v>1443</v>
      </c>
      <c r="C777" t="s">
        <v>57</v>
      </c>
      <c r="D777" s="1" t="s">
        <v>44</v>
      </c>
      <c r="E777" s="1" t="s">
        <v>428</v>
      </c>
      <c r="F777" s="1"/>
      <c r="G777" s="1"/>
      <c r="I777" s="4">
        <v>55</v>
      </c>
      <c r="J777" s="11">
        <v>12</v>
      </c>
      <c r="L777" s="12">
        <f t="shared" si="13"/>
        <v>1.0791812460476249</v>
      </c>
      <c r="M777" s="11">
        <f>GraphListeria!$B$10-(Listeria!I777-GraphListeria!$B$6)/GraphListeria!$B$5</f>
        <v>1.0661847472731862</v>
      </c>
      <c r="N777" s="1" t="s">
        <v>490</v>
      </c>
      <c r="O777">
        <v>2001</v>
      </c>
      <c r="P777" t="s">
        <v>433</v>
      </c>
      <c r="S777" s="10">
        <f>GraphListeria!$B$43*Listeria!I777+GraphListeria!$B$44</f>
        <v>1.0744704331063017</v>
      </c>
      <c r="U777" s="10">
        <f>GraphListeria!$H$43*Listeria!I777+GraphListeria!$H$44</f>
        <v>1.0661847472731862</v>
      </c>
    </row>
    <row r="778" spans="1:21" x14ac:dyDescent="0.2">
      <c r="A778" s="1" t="s">
        <v>1440</v>
      </c>
      <c r="B778" s="1" t="s">
        <v>1443</v>
      </c>
      <c r="D778" t="s">
        <v>44</v>
      </c>
      <c r="E778" s="1" t="s">
        <v>1449</v>
      </c>
      <c r="F778" s="1" t="s">
        <v>32</v>
      </c>
      <c r="G778" s="1"/>
      <c r="I778" s="4">
        <v>55</v>
      </c>
      <c r="J778" s="11">
        <v>18.7</v>
      </c>
      <c r="L778" s="12">
        <f t="shared" si="13"/>
        <v>1.271841606536499</v>
      </c>
      <c r="M778" s="11">
        <f>GraphListeria!$B$10-(Listeria!I778-GraphListeria!$B$6)/GraphListeria!$B$5</f>
        <v>1.0661847472731862</v>
      </c>
      <c r="N778" s="2" t="s">
        <v>1226</v>
      </c>
      <c r="O778">
        <v>1996</v>
      </c>
      <c r="P778" t="s">
        <v>33</v>
      </c>
      <c r="S778" s="10">
        <f>GraphListeria!$B$43*Listeria!I778+GraphListeria!$B$44</f>
        <v>1.0744704331063017</v>
      </c>
      <c r="U778" s="10">
        <f>GraphListeria!$H$43*Listeria!I778+GraphListeria!$H$44</f>
        <v>1.0661847472731862</v>
      </c>
    </row>
    <row r="779" spans="1:21" x14ac:dyDescent="0.2">
      <c r="A779" s="1" t="s">
        <v>1440</v>
      </c>
      <c r="B779" s="1" t="s">
        <v>1443</v>
      </c>
      <c r="C779" t="s">
        <v>57</v>
      </c>
      <c r="D779" s="1" t="s">
        <v>44</v>
      </c>
      <c r="E779" s="1" t="s">
        <v>428</v>
      </c>
      <c r="F779" s="1"/>
      <c r="G779" s="1"/>
      <c r="I779" s="4">
        <v>55</v>
      </c>
      <c r="J779" s="11">
        <v>18.7</v>
      </c>
      <c r="L779" s="12">
        <f t="shared" si="13"/>
        <v>1.271841606536499</v>
      </c>
      <c r="M779" s="11">
        <f>GraphListeria!$B$10-(Listeria!I779-GraphListeria!$B$6)/GraphListeria!$B$5</f>
        <v>1.0661847472731862</v>
      </c>
      <c r="N779" s="1" t="s">
        <v>490</v>
      </c>
      <c r="O779">
        <v>2001</v>
      </c>
      <c r="P779" t="s">
        <v>434</v>
      </c>
      <c r="S779" s="10">
        <f>GraphListeria!$B$43*Listeria!I779+GraphListeria!$B$44</f>
        <v>1.0744704331063017</v>
      </c>
      <c r="U779" s="10">
        <f>GraphListeria!$H$43*Listeria!I779+GraphListeria!$H$44</f>
        <v>1.0661847472731862</v>
      </c>
    </row>
    <row r="780" spans="1:21" x14ac:dyDescent="0.2">
      <c r="A780" s="1" t="s">
        <v>1440</v>
      </c>
      <c r="B780" s="1" t="s">
        <v>1443</v>
      </c>
      <c r="C780" t="s">
        <v>57</v>
      </c>
      <c r="D780" s="1" t="s">
        <v>44</v>
      </c>
      <c r="E780" s="1" t="s">
        <v>428</v>
      </c>
      <c r="F780" s="1"/>
      <c r="G780" s="1"/>
      <c r="I780" s="4">
        <v>55</v>
      </c>
      <c r="J780" s="11">
        <v>20</v>
      </c>
      <c r="K780" s="4">
        <v>6.7</v>
      </c>
      <c r="L780" s="12">
        <f t="shared" si="13"/>
        <v>1.3010299956639813</v>
      </c>
      <c r="M780" s="11">
        <f>GraphListeria!$B$10-(Listeria!I780-GraphListeria!$B$6)/GraphListeria!$B$5</f>
        <v>1.0661847472731862</v>
      </c>
      <c r="N780" s="1" t="s">
        <v>490</v>
      </c>
      <c r="O780">
        <v>2001</v>
      </c>
      <c r="P780" t="s">
        <v>431</v>
      </c>
      <c r="S780" s="10">
        <f>GraphListeria!$B$43*Listeria!I780+GraphListeria!$B$44</f>
        <v>1.0744704331063017</v>
      </c>
      <c r="U780" s="10">
        <f>GraphListeria!$H$43*Listeria!I780+GraphListeria!$H$44</f>
        <v>1.0661847472731862</v>
      </c>
    </row>
    <row r="781" spans="1:21" x14ac:dyDescent="0.2">
      <c r="A781" s="1" t="s">
        <v>1440</v>
      </c>
      <c r="B781" s="1" t="s">
        <v>1443</v>
      </c>
      <c r="D781" t="s">
        <v>44</v>
      </c>
      <c r="E781" s="1" t="s">
        <v>1449</v>
      </c>
      <c r="F781" s="1" t="s">
        <v>32</v>
      </c>
      <c r="G781" s="1"/>
      <c r="I781" s="4">
        <v>55</v>
      </c>
      <c r="J781" s="11">
        <v>26.4</v>
      </c>
      <c r="L781" s="12">
        <f t="shared" si="13"/>
        <v>1.4216039268698311</v>
      </c>
      <c r="M781" s="11">
        <f>GraphListeria!$B$10-(Listeria!I781-GraphListeria!$B$6)/GraphListeria!$B$5</f>
        <v>1.0661847472731862</v>
      </c>
      <c r="N781" s="2" t="s">
        <v>1226</v>
      </c>
      <c r="O781">
        <v>1996</v>
      </c>
      <c r="P781" t="s">
        <v>33</v>
      </c>
      <c r="S781" s="10">
        <f>GraphListeria!$B$43*Listeria!I781+GraphListeria!$B$44</f>
        <v>1.0744704331063017</v>
      </c>
      <c r="U781" s="10">
        <f>GraphListeria!$H$43*Listeria!I781+GraphListeria!$H$44</f>
        <v>1.0661847472731862</v>
      </c>
    </row>
    <row r="782" spans="1:21" x14ac:dyDescent="0.2">
      <c r="A782" s="1" t="s">
        <v>1440</v>
      </c>
      <c r="B782" s="1" t="s">
        <v>1443</v>
      </c>
      <c r="C782" t="s">
        <v>57</v>
      </c>
      <c r="D782" s="1" t="s">
        <v>44</v>
      </c>
      <c r="E782" s="1" t="s">
        <v>428</v>
      </c>
      <c r="F782" s="1"/>
      <c r="G782" s="1"/>
      <c r="I782" s="4">
        <v>55</v>
      </c>
      <c r="J782" s="11">
        <v>26.4</v>
      </c>
      <c r="L782" s="12">
        <f t="shared" si="13"/>
        <v>1.4216039268698311</v>
      </c>
      <c r="M782" s="11">
        <f>GraphListeria!$B$10-(Listeria!I782-GraphListeria!$B$6)/GraphListeria!$B$5</f>
        <v>1.0661847472731862</v>
      </c>
      <c r="N782" s="1" t="s">
        <v>490</v>
      </c>
      <c r="O782">
        <v>2001</v>
      </c>
      <c r="P782" t="s">
        <v>434</v>
      </c>
      <c r="S782" s="10">
        <f>GraphListeria!$B$43*Listeria!I782+GraphListeria!$B$44</f>
        <v>1.0744704331063017</v>
      </c>
      <c r="U782" s="10">
        <f>GraphListeria!$H$43*Listeria!I782+GraphListeria!$H$44</f>
        <v>1.0661847472731862</v>
      </c>
    </row>
    <row r="783" spans="1:21" x14ac:dyDescent="0.2">
      <c r="A783" s="1" t="s">
        <v>1440</v>
      </c>
      <c r="B783" s="1" t="s">
        <v>1443</v>
      </c>
      <c r="C783" t="s">
        <v>57</v>
      </c>
      <c r="D783" s="1" t="s">
        <v>44</v>
      </c>
      <c r="E783" s="1" t="s">
        <v>457</v>
      </c>
      <c r="F783" s="1"/>
      <c r="G783" s="1"/>
      <c r="I783" s="4">
        <v>56</v>
      </c>
      <c r="J783" s="11">
        <v>1</v>
      </c>
      <c r="L783" s="12">
        <f t="shared" si="13"/>
        <v>0</v>
      </c>
      <c r="M783" s="11">
        <f>GraphListeria!$B$10-(Listeria!I783-GraphListeria!$B$6)/GraphListeria!$B$5</f>
        <v>0.92419449187934366</v>
      </c>
      <c r="N783" s="1" t="s">
        <v>490</v>
      </c>
      <c r="O783">
        <v>2001</v>
      </c>
      <c r="P783" t="s">
        <v>407</v>
      </c>
      <c r="S783" s="10">
        <f>GraphListeria!$B$43*Listeria!I783+GraphListeria!$B$44</f>
        <v>0.93639468610375154</v>
      </c>
      <c r="U783" s="10">
        <f>GraphListeria!$H$43*Listeria!I783+GraphListeria!$H$44</f>
        <v>0.92419449187934344</v>
      </c>
    </row>
    <row r="784" spans="1:21" x14ac:dyDescent="0.2">
      <c r="A784" s="1" t="s">
        <v>1440</v>
      </c>
      <c r="B784" s="1" t="s">
        <v>1443</v>
      </c>
      <c r="C784" t="s">
        <v>57</v>
      </c>
      <c r="D784" s="1" t="s">
        <v>44</v>
      </c>
      <c r="E784" s="1" t="s">
        <v>69</v>
      </c>
      <c r="F784" s="1"/>
      <c r="G784" s="1"/>
      <c r="I784" s="4">
        <v>56</v>
      </c>
      <c r="J784" s="11">
        <v>2.21</v>
      </c>
      <c r="K784" s="4">
        <v>7.27</v>
      </c>
      <c r="L784" s="12">
        <f t="shared" si="13"/>
        <v>0.34439227368511072</v>
      </c>
      <c r="M784" s="11">
        <f>GraphListeria!$B$10-(Listeria!I784-GraphListeria!$B$6)/GraphListeria!$B$5</f>
        <v>0.92419449187934366</v>
      </c>
      <c r="N784" s="1" t="s">
        <v>606</v>
      </c>
      <c r="O784">
        <v>1998</v>
      </c>
      <c r="S784" s="10">
        <f>GraphListeria!$B$43*Listeria!I784+GraphListeria!$B$44</f>
        <v>0.93639468610375154</v>
      </c>
      <c r="U784" s="10">
        <f>GraphListeria!$H$43*Listeria!I784+GraphListeria!$H$44</f>
        <v>0.92419449187934344</v>
      </c>
    </row>
    <row r="785" spans="1:21" x14ac:dyDescent="0.2">
      <c r="A785" s="1" t="s">
        <v>1440</v>
      </c>
      <c r="B785" s="1" t="s">
        <v>1443</v>
      </c>
      <c r="C785" t="s">
        <v>57</v>
      </c>
      <c r="D785" s="1" t="s">
        <v>44</v>
      </c>
      <c r="E785" s="1" t="s">
        <v>457</v>
      </c>
      <c r="F785" s="19" t="s">
        <v>461</v>
      </c>
      <c r="G785" s="19"/>
      <c r="I785" s="4">
        <v>56</v>
      </c>
      <c r="J785" s="11">
        <v>2.9</v>
      </c>
      <c r="L785" s="12">
        <f t="shared" si="12"/>
        <v>0.46239799789895608</v>
      </c>
      <c r="M785" s="11">
        <f>GraphListeria!$B$10-(Listeria!I785-GraphListeria!$B$6)/GraphListeria!$B$5</f>
        <v>0.92419449187934366</v>
      </c>
      <c r="N785" s="1" t="s">
        <v>490</v>
      </c>
      <c r="O785">
        <v>2001</v>
      </c>
      <c r="P785" t="s">
        <v>407</v>
      </c>
      <c r="S785" s="10">
        <f>GraphListeria!$B$43*Listeria!I785+GraphListeria!$B$44</f>
        <v>0.93639468610375154</v>
      </c>
      <c r="T785" s="10"/>
      <c r="U785" s="10">
        <f>GraphListeria!$H$43*Listeria!I785+GraphListeria!$H$44</f>
        <v>0.92419449187934344</v>
      </c>
    </row>
    <row r="786" spans="1:21" x14ac:dyDescent="0.2">
      <c r="A786" s="1" t="s">
        <v>1440</v>
      </c>
      <c r="B786" s="1" t="s">
        <v>1443</v>
      </c>
      <c r="C786" t="s">
        <v>57</v>
      </c>
      <c r="D786" s="1" t="s">
        <v>44</v>
      </c>
      <c r="E786" s="1" t="s">
        <v>1252</v>
      </c>
      <c r="F786" s="1"/>
      <c r="G786" s="1"/>
      <c r="I786" s="4">
        <v>56</v>
      </c>
      <c r="J786" s="11">
        <v>3</v>
      </c>
      <c r="K786" s="4">
        <v>5.9</v>
      </c>
      <c r="L786" s="12">
        <f>LOG(J786)</f>
        <v>0.47712125471966244</v>
      </c>
      <c r="M786" s="11">
        <f>GraphListeria!$B$10-(Listeria!I786-GraphListeria!$B$6)/GraphListeria!$B$5</f>
        <v>0.92419449187934366</v>
      </c>
      <c r="N786" s="1" t="s">
        <v>490</v>
      </c>
      <c r="O786">
        <v>2001</v>
      </c>
      <c r="S786" s="10">
        <f>GraphListeria!$B$43*Listeria!I786+GraphListeria!$B$44</f>
        <v>0.93639468610375154</v>
      </c>
      <c r="T786" s="10"/>
      <c r="U786" s="10">
        <f>GraphListeria!$H$43*Listeria!I786+GraphListeria!$H$44</f>
        <v>0.92419449187934344</v>
      </c>
    </row>
    <row r="787" spans="1:21" x14ac:dyDescent="0.2">
      <c r="A787" s="1" t="s">
        <v>1440</v>
      </c>
      <c r="B787" s="1" t="s">
        <v>1443</v>
      </c>
      <c r="C787">
        <v>1151</v>
      </c>
      <c r="D787" s="1" t="s">
        <v>44</v>
      </c>
      <c r="E787" s="1" t="s">
        <v>69</v>
      </c>
      <c r="F787" s="1"/>
      <c r="G787" s="1"/>
      <c r="I787" s="4">
        <v>56</v>
      </c>
      <c r="J787" s="11">
        <v>3.8</v>
      </c>
      <c r="K787" s="4">
        <v>7.05</v>
      </c>
      <c r="L787" s="12">
        <f t="shared" si="13"/>
        <v>0.57978359661681012</v>
      </c>
      <c r="M787" s="11">
        <f>GraphListeria!$B$10-(Listeria!I787-GraphListeria!$B$6)/GraphListeria!$B$5</f>
        <v>0.92419449187934366</v>
      </c>
      <c r="N787" s="1" t="s">
        <v>606</v>
      </c>
      <c r="O787">
        <v>1998</v>
      </c>
      <c r="S787" s="10">
        <f>GraphListeria!$B$43*Listeria!I787+GraphListeria!$B$44</f>
        <v>0.93639468610375154</v>
      </c>
      <c r="T787" s="10"/>
      <c r="U787" s="10">
        <f>GraphListeria!$H$43*Listeria!I787+GraphListeria!$H$44</f>
        <v>0.92419449187934344</v>
      </c>
    </row>
    <row r="788" spans="1:21" x14ac:dyDescent="0.2">
      <c r="A788" s="1" t="s">
        <v>1440</v>
      </c>
      <c r="B788" s="1" t="s">
        <v>1443</v>
      </c>
      <c r="C788" t="s">
        <v>413</v>
      </c>
      <c r="D788" s="1" t="s">
        <v>44</v>
      </c>
      <c r="E788" s="1" t="s">
        <v>1252</v>
      </c>
      <c r="F788" s="1"/>
      <c r="G788" s="1"/>
      <c r="I788" s="4">
        <v>56</v>
      </c>
      <c r="J788" s="11">
        <v>4.0999999999999996</v>
      </c>
      <c r="K788" s="4">
        <v>6.6</v>
      </c>
      <c r="L788" s="12">
        <f t="shared" si="13"/>
        <v>0.61278385671973545</v>
      </c>
      <c r="M788" s="11">
        <f>GraphListeria!$B$10-(Listeria!I788-GraphListeria!$B$6)/GraphListeria!$B$5</f>
        <v>0.92419449187934366</v>
      </c>
      <c r="N788" s="1" t="s">
        <v>490</v>
      </c>
      <c r="O788">
        <v>2001</v>
      </c>
      <c r="S788" s="10">
        <f>GraphListeria!$B$43*Listeria!I788+GraphListeria!$B$44</f>
        <v>0.93639468610375154</v>
      </c>
      <c r="T788" s="10"/>
      <c r="U788" s="10">
        <f>GraphListeria!$H$43*Listeria!I788+GraphListeria!$H$44</f>
        <v>0.92419449187934344</v>
      </c>
    </row>
    <row r="789" spans="1:21" x14ac:dyDescent="0.2">
      <c r="A789" s="1" t="s">
        <v>1440</v>
      </c>
      <c r="B789" s="1" t="s">
        <v>1443</v>
      </c>
      <c r="C789" t="s">
        <v>57</v>
      </c>
      <c r="D789" s="1" t="s">
        <v>44</v>
      </c>
      <c r="E789" s="1" t="s">
        <v>457</v>
      </c>
      <c r="F789" s="19" t="s">
        <v>459</v>
      </c>
      <c r="G789" s="19"/>
      <c r="I789" s="4">
        <v>56</v>
      </c>
      <c r="J789" s="11">
        <v>4.0999999999999996</v>
      </c>
      <c r="L789" s="12">
        <f>LOG(J789)</f>
        <v>0.61278385671973545</v>
      </c>
      <c r="M789" s="11">
        <f>GraphListeria!$B$10-(Listeria!I789-GraphListeria!$B$6)/GraphListeria!$B$5</f>
        <v>0.92419449187934366</v>
      </c>
      <c r="N789" s="1" t="s">
        <v>490</v>
      </c>
      <c r="O789">
        <v>2001</v>
      </c>
      <c r="P789" t="s">
        <v>407</v>
      </c>
      <c r="S789" s="10">
        <f>GraphListeria!$B$43*Listeria!I789+GraphListeria!$B$44</f>
        <v>0.93639468610375154</v>
      </c>
      <c r="T789" s="10"/>
      <c r="U789" s="10">
        <f>GraphListeria!$H$43*Listeria!I789+GraphListeria!$H$44</f>
        <v>0.92419449187934344</v>
      </c>
    </row>
    <row r="790" spans="1:21" x14ac:dyDescent="0.2">
      <c r="A790" s="1" t="s">
        <v>1440</v>
      </c>
      <c r="B790" s="1" t="s">
        <v>1443</v>
      </c>
      <c r="C790" t="s">
        <v>411</v>
      </c>
      <c r="D790" s="1" t="s">
        <v>44</v>
      </c>
      <c r="E790" s="1" t="s">
        <v>409</v>
      </c>
      <c r="F790" s="1"/>
      <c r="G790" s="1"/>
      <c r="I790" s="4">
        <v>56</v>
      </c>
      <c r="J790" s="11">
        <v>5.7</v>
      </c>
      <c r="K790" s="4">
        <v>3.85</v>
      </c>
      <c r="L790" s="12">
        <f t="shared" si="12"/>
        <v>0.75587485567249146</v>
      </c>
      <c r="M790" s="11">
        <f>GraphListeria!$B$10-(Listeria!I790-GraphListeria!$B$6)/GraphListeria!$B$5</f>
        <v>0.92419449187934366</v>
      </c>
      <c r="N790" s="1" t="s">
        <v>490</v>
      </c>
      <c r="O790">
        <v>2001</v>
      </c>
      <c r="S790" s="10">
        <f>GraphListeria!$B$43*Listeria!I790+GraphListeria!$B$44</f>
        <v>0.93639468610375154</v>
      </c>
      <c r="T790" s="10"/>
      <c r="U790" s="10">
        <f>GraphListeria!$H$43*Listeria!I790+GraphListeria!$H$44</f>
        <v>0.92419449187934344</v>
      </c>
    </row>
    <row r="791" spans="1:21" x14ac:dyDescent="0.2">
      <c r="A791" s="1" t="s">
        <v>1440</v>
      </c>
      <c r="B791" s="1" t="s">
        <v>1443</v>
      </c>
      <c r="C791" t="s">
        <v>57</v>
      </c>
      <c r="D791" s="1" t="s">
        <v>44</v>
      </c>
      <c r="E791" s="1" t="s">
        <v>409</v>
      </c>
      <c r="F791" s="1"/>
      <c r="G791" s="1"/>
      <c r="I791" s="4">
        <v>56</v>
      </c>
      <c r="J791" s="11">
        <v>7.4</v>
      </c>
      <c r="K791" s="4">
        <v>5.6</v>
      </c>
      <c r="L791" s="12">
        <f t="shared" si="12"/>
        <v>0.86923171973097624</v>
      </c>
      <c r="M791" s="11">
        <f>GraphListeria!$B$10-(Listeria!I791-GraphListeria!$B$6)/GraphListeria!$B$5</f>
        <v>0.92419449187934366</v>
      </c>
      <c r="N791" s="1" t="s">
        <v>490</v>
      </c>
      <c r="O791">
        <v>2001</v>
      </c>
      <c r="S791" s="10">
        <f>GraphListeria!$B$43*Listeria!I791+GraphListeria!$B$44</f>
        <v>0.93639468610375154</v>
      </c>
      <c r="T791" s="10"/>
      <c r="U791" s="10">
        <f>GraphListeria!$H$43*Listeria!I791+GraphListeria!$H$44</f>
        <v>0.92419449187934344</v>
      </c>
    </row>
    <row r="792" spans="1:21" x14ac:dyDescent="0.2">
      <c r="A792" s="1" t="s">
        <v>1440</v>
      </c>
      <c r="B792" s="1" t="s">
        <v>1443</v>
      </c>
      <c r="C792" t="s">
        <v>57</v>
      </c>
      <c r="D792" s="1" t="s">
        <v>44</v>
      </c>
      <c r="E792" s="1" t="s">
        <v>457</v>
      </c>
      <c r="F792" s="1"/>
      <c r="G792" s="1"/>
      <c r="I792" s="4">
        <v>56</v>
      </c>
      <c r="J792" s="11">
        <v>8.6</v>
      </c>
      <c r="L792" s="12">
        <f t="shared" si="13"/>
        <v>0.93449845124356767</v>
      </c>
      <c r="M792" s="11">
        <f>GraphListeria!$B$10-(Listeria!I792-GraphListeria!$B$6)/GraphListeria!$B$5</f>
        <v>0.92419449187934366</v>
      </c>
      <c r="N792" s="1" t="s">
        <v>490</v>
      </c>
      <c r="O792">
        <v>2001</v>
      </c>
      <c r="P792" t="s">
        <v>366</v>
      </c>
      <c r="S792" s="10">
        <f>GraphListeria!$B$43*Listeria!I792+GraphListeria!$B$44</f>
        <v>0.93639468610375154</v>
      </c>
      <c r="T792" s="10"/>
      <c r="U792" s="10">
        <f>GraphListeria!$H$43*Listeria!I792+GraphListeria!$H$44</f>
        <v>0.92419449187934344</v>
      </c>
    </row>
    <row r="793" spans="1:21" x14ac:dyDescent="0.2">
      <c r="A793" s="1" t="s">
        <v>1440</v>
      </c>
      <c r="B793" s="1" t="s">
        <v>1443</v>
      </c>
      <c r="C793" t="s">
        <v>57</v>
      </c>
      <c r="D793" s="1" t="s">
        <v>44</v>
      </c>
      <c r="E793" s="1" t="s">
        <v>457</v>
      </c>
      <c r="F793" s="19" t="s">
        <v>460</v>
      </c>
      <c r="G793" s="19"/>
      <c r="H793" s="4">
        <v>4.5</v>
      </c>
      <c r="I793" s="4">
        <v>56</v>
      </c>
      <c r="J793" s="11">
        <v>8.8000000000000007</v>
      </c>
      <c r="L793" s="12">
        <f t="shared" si="12"/>
        <v>0.94448267215016868</v>
      </c>
      <c r="M793" s="11">
        <f>GraphListeria!$B$10-(Listeria!I793-GraphListeria!$B$6)/GraphListeria!$B$5</f>
        <v>0.92419449187934366</v>
      </c>
      <c r="N793" s="1" t="s">
        <v>490</v>
      </c>
      <c r="O793">
        <v>2001</v>
      </c>
      <c r="P793" t="s">
        <v>407</v>
      </c>
      <c r="S793" s="10">
        <f>GraphListeria!$B$43*Listeria!I793+GraphListeria!$B$44</f>
        <v>0.93639468610375154</v>
      </c>
      <c r="T793" s="10"/>
      <c r="U793" s="10">
        <f>GraphListeria!$H$43*Listeria!I793+GraphListeria!$H$44</f>
        <v>0.92419449187934344</v>
      </c>
    </row>
    <row r="794" spans="1:21" x14ac:dyDescent="0.2">
      <c r="A794" s="1" t="s">
        <v>1440</v>
      </c>
      <c r="B794" s="1" t="s">
        <v>1443</v>
      </c>
      <c r="D794" t="s">
        <v>44</v>
      </c>
      <c r="E794" t="s">
        <v>1449</v>
      </c>
      <c r="F794" t="s">
        <v>1450</v>
      </c>
      <c r="H794" s="4">
        <v>7.1</v>
      </c>
      <c r="I794" s="4">
        <v>56</v>
      </c>
      <c r="J794" s="11">
        <v>10.4</v>
      </c>
      <c r="L794" s="12">
        <f t="shared" si="12"/>
        <v>1.0170333392987803</v>
      </c>
      <c r="M794" s="11">
        <f>GraphListeria!$B$10-(Listeria!I794-GraphListeria!$B$6)/GraphListeria!$B$5</f>
        <v>0.92419449187934366</v>
      </c>
      <c r="N794" s="2" t="s">
        <v>1226</v>
      </c>
      <c r="O794">
        <v>1996</v>
      </c>
      <c r="S794" s="10">
        <f>GraphListeria!$B$43*Listeria!I794+GraphListeria!$B$44</f>
        <v>0.93639468610375154</v>
      </c>
      <c r="T794" s="10"/>
      <c r="U794" s="10">
        <f>GraphListeria!$H$43*Listeria!I794+GraphListeria!$H$44</f>
        <v>0.92419449187934344</v>
      </c>
    </row>
    <row r="795" spans="1:21" x14ac:dyDescent="0.2">
      <c r="A795" s="1" t="s">
        <v>1440</v>
      </c>
      <c r="B795" s="1" t="s">
        <v>1443</v>
      </c>
      <c r="C795" t="s">
        <v>410</v>
      </c>
      <c r="D795" s="1" t="s">
        <v>44</v>
      </c>
      <c r="E795" s="1" t="s">
        <v>409</v>
      </c>
      <c r="F795" s="1"/>
      <c r="G795" s="1"/>
      <c r="I795" s="4">
        <v>56</v>
      </c>
      <c r="J795" s="11">
        <v>10.4</v>
      </c>
      <c r="K795" s="4">
        <v>6</v>
      </c>
      <c r="L795" s="12">
        <f>LOG(J795)</f>
        <v>1.0170333392987803</v>
      </c>
      <c r="M795" s="11">
        <f>GraphListeria!$B$10-(Listeria!I795-GraphListeria!$B$6)/GraphListeria!$B$5</f>
        <v>0.92419449187934366</v>
      </c>
      <c r="N795" s="1" t="s">
        <v>490</v>
      </c>
      <c r="O795">
        <v>2001</v>
      </c>
      <c r="S795" s="10">
        <f>GraphListeria!$B$43*Listeria!I795+GraphListeria!$B$44</f>
        <v>0.93639468610375154</v>
      </c>
      <c r="T795" s="10"/>
      <c r="U795" s="10">
        <f>GraphListeria!$H$43*Listeria!I795+GraphListeria!$H$44</f>
        <v>0.92419449187934344</v>
      </c>
    </row>
    <row r="796" spans="1:21" x14ac:dyDescent="0.2">
      <c r="A796" s="1" t="s">
        <v>1440</v>
      </c>
      <c r="B796" s="1" t="s">
        <v>1443</v>
      </c>
      <c r="C796" t="s">
        <v>57</v>
      </c>
      <c r="D796" s="1" t="s">
        <v>44</v>
      </c>
      <c r="E796" s="1" t="s">
        <v>457</v>
      </c>
      <c r="F796" s="1"/>
      <c r="G796" s="1"/>
      <c r="I796" s="4">
        <v>56</v>
      </c>
      <c r="J796" s="11">
        <v>13.6</v>
      </c>
      <c r="L796" s="12">
        <f>LOG(J796)</f>
        <v>1.1335389083702174</v>
      </c>
      <c r="M796" s="11">
        <f>GraphListeria!$B$10-(Listeria!I796-GraphListeria!$B$6)/GraphListeria!$B$5</f>
        <v>0.92419449187934366</v>
      </c>
      <c r="N796" s="1" t="s">
        <v>490</v>
      </c>
      <c r="O796">
        <v>2001</v>
      </c>
      <c r="P796" t="s">
        <v>458</v>
      </c>
      <c r="S796" s="10">
        <f>GraphListeria!$B$43*Listeria!I796+GraphListeria!$B$44</f>
        <v>0.93639468610375154</v>
      </c>
      <c r="T796" s="10"/>
      <c r="U796" s="10">
        <f>GraphListeria!$H$43*Listeria!I796+GraphListeria!$H$44</f>
        <v>0.92419449187934344</v>
      </c>
    </row>
    <row r="797" spans="1:21" x14ac:dyDescent="0.2">
      <c r="A797" s="1" t="s">
        <v>1440</v>
      </c>
      <c r="B797" s="1" t="s">
        <v>1443</v>
      </c>
      <c r="D797" t="s">
        <v>44</v>
      </c>
      <c r="E797" t="s">
        <v>1449</v>
      </c>
      <c r="F797" t="s">
        <v>1450</v>
      </c>
      <c r="H797" s="4">
        <v>7.1</v>
      </c>
      <c r="I797" s="4">
        <v>56</v>
      </c>
      <c r="J797" s="11">
        <v>16</v>
      </c>
      <c r="L797" s="12">
        <f t="shared" si="13"/>
        <v>1.2041199826559248</v>
      </c>
      <c r="M797" s="11">
        <f>GraphListeria!$B$10-(Listeria!I797-GraphListeria!$B$6)/GraphListeria!$B$5</f>
        <v>0.92419449187934366</v>
      </c>
      <c r="N797" s="2" t="s">
        <v>1226</v>
      </c>
      <c r="O797">
        <v>1996</v>
      </c>
      <c r="S797" s="10">
        <f>GraphListeria!$B$43*Listeria!I797+GraphListeria!$B$44</f>
        <v>0.93639468610375154</v>
      </c>
      <c r="U797" s="10">
        <f>GraphListeria!$H$43*Listeria!I797+GraphListeria!$H$44</f>
        <v>0.92419449187934344</v>
      </c>
    </row>
    <row r="798" spans="1:21" x14ac:dyDescent="0.2">
      <c r="A798" s="1" t="s">
        <v>1440</v>
      </c>
      <c r="B798" s="1" t="s">
        <v>1443</v>
      </c>
      <c r="C798" t="s">
        <v>412</v>
      </c>
      <c r="D798" s="1" t="s">
        <v>44</v>
      </c>
      <c r="E798" s="1" t="s">
        <v>409</v>
      </c>
      <c r="F798" s="1"/>
      <c r="G798" s="1"/>
      <c r="I798" s="4">
        <v>56</v>
      </c>
      <c r="J798" s="11">
        <v>16</v>
      </c>
      <c r="K798" s="4">
        <v>6.6</v>
      </c>
      <c r="L798" s="12">
        <f t="shared" si="13"/>
        <v>1.2041199826559248</v>
      </c>
      <c r="M798" s="11">
        <f>GraphListeria!$B$10-(Listeria!I798-GraphListeria!$B$6)/GraphListeria!$B$5</f>
        <v>0.92419449187934366</v>
      </c>
      <c r="N798" s="1" t="s">
        <v>490</v>
      </c>
      <c r="O798">
        <v>2001</v>
      </c>
      <c r="S798" s="10">
        <f>GraphListeria!$B$43*Listeria!I798+GraphListeria!$B$44</f>
        <v>0.93639468610375154</v>
      </c>
      <c r="U798" s="10">
        <f>GraphListeria!$H$43*Listeria!I798+GraphListeria!$H$44</f>
        <v>0.92419449187934344</v>
      </c>
    </row>
    <row r="799" spans="1:21" x14ac:dyDescent="0.2">
      <c r="A799" s="1" t="s">
        <v>1440</v>
      </c>
      <c r="B799" s="1" t="s">
        <v>1443</v>
      </c>
      <c r="C799" t="s">
        <v>427</v>
      </c>
      <c r="D799" s="1" t="s">
        <v>44</v>
      </c>
      <c r="E799" s="1" t="s">
        <v>428</v>
      </c>
      <c r="F799" s="1"/>
      <c r="G799" s="1"/>
      <c r="I799" s="4">
        <v>57.8</v>
      </c>
      <c r="J799" s="11">
        <v>9.4</v>
      </c>
      <c r="L799" s="12">
        <f t="shared" si="13"/>
        <v>0.97312785359969867</v>
      </c>
      <c r="M799" s="11">
        <f>GraphListeria!$B$10-(Listeria!I799-GraphListeria!$B$6)/GraphListeria!$B$5</f>
        <v>0.66861203217042764</v>
      </c>
      <c r="N799" s="1" t="s">
        <v>490</v>
      </c>
      <c r="O799">
        <v>2001</v>
      </c>
      <c r="P799" t="s">
        <v>322</v>
      </c>
      <c r="S799" s="10">
        <f>GraphListeria!$B$43*Listeria!I799+GraphListeria!$B$44</f>
        <v>0.68785834149916258</v>
      </c>
      <c r="U799" s="10">
        <f>GraphListeria!$H$43*Listeria!I799+GraphListeria!$H$44</f>
        <v>0.66861203217042764</v>
      </c>
    </row>
    <row r="800" spans="1:21" x14ac:dyDescent="0.2">
      <c r="A800" s="1" t="s">
        <v>1440</v>
      </c>
      <c r="B800" s="1" t="s">
        <v>1443</v>
      </c>
      <c r="C800" t="s">
        <v>427</v>
      </c>
      <c r="D800" s="1" t="s">
        <v>44</v>
      </c>
      <c r="E800" s="1" t="s">
        <v>428</v>
      </c>
      <c r="F800" s="1"/>
      <c r="G800" s="1"/>
      <c r="I800" s="4">
        <v>57.8</v>
      </c>
      <c r="J800" s="11">
        <v>10.3</v>
      </c>
      <c r="L800" s="12">
        <f t="shared" si="13"/>
        <v>1.0128372247051722</v>
      </c>
      <c r="M800" s="11">
        <f>GraphListeria!$B$10-(Listeria!I800-GraphListeria!$B$6)/GraphListeria!$B$5</f>
        <v>0.66861203217042764</v>
      </c>
      <c r="N800" s="1" t="s">
        <v>490</v>
      </c>
      <c r="O800">
        <v>2001</v>
      </c>
      <c r="P800" t="s">
        <v>429</v>
      </c>
      <c r="S800" s="10">
        <f>GraphListeria!$B$43*Listeria!I800+GraphListeria!$B$44</f>
        <v>0.68785834149916258</v>
      </c>
      <c r="U800" s="10">
        <f>GraphListeria!$H$43*Listeria!I800+GraphListeria!$H$44</f>
        <v>0.66861203217042764</v>
      </c>
    </row>
    <row r="801" spans="1:21" x14ac:dyDescent="0.2">
      <c r="A801" s="1" t="s">
        <v>1440</v>
      </c>
      <c r="B801" s="1" t="s">
        <v>1443</v>
      </c>
      <c r="C801" t="s">
        <v>427</v>
      </c>
      <c r="D801" s="1" t="s">
        <v>44</v>
      </c>
      <c r="E801" s="1" t="s">
        <v>428</v>
      </c>
      <c r="F801" s="1"/>
      <c r="G801" s="1"/>
      <c r="I801" s="4">
        <v>57.8</v>
      </c>
      <c r="J801" s="11">
        <v>11.7</v>
      </c>
      <c r="L801" s="12">
        <f t="shared" si="13"/>
        <v>1.0681858617461617</v>
      </c>
      <c r="M801" s="11">
        <f>GraphListeria!$B$10-(Listeria!I801-GraphListeria!$B$6)/GraphListeria!$B$5</f>
        <v>0.66861203217042764</v>
      </c>
      <c r="N801" s="1" t="s">
        <v>490</v>
      </c>
      <c r="O801">
        <v>2001</v>
      </c>
      <c r="P801" t="s">
        <v>430</v>
      </c>
      <c r="S801" s="10">
        <f>GraphListeria!$B$43*Listeria!I801+GraphListeria!$B$44</f>
        <v>0.68785834149916258</v>
      </c>
      <c r="U801" s="10">
        <f>GraphListeria!$H$43*Listeria!I801+GraphListeria!$H$44</f>
        <v>0.66861203217042764</v>
      </c>
    </row>
    <row r="802" spans="1:21" x14ac:dyDescent="0.2">
      <c r="A802" s="1" t="s">
        <v>1440</v>
      </c>
      <c r="B802" s="1" t="s">
        <v>1443</v>
      </c>
      <c r="C802" t="s">
        <v>417</v>
      </c>
      <c r="D802" s="1" t="s">
        <v>44</v>
      </c>
      <c r="E802" s="1" t="s">
        <v>415</v>
      </c>
      <c r="F802" s="1"/>
      <c r="G802" s="1"/>
      <c r="I802" s="4">
        <v>58</v>
      </c>
      <c r="J802" s="4">
        <v>1.3</v>
      </c>
      <c r="K802" s="4">
        <v>6.5</v>
      </c>
      <c r="L802" s="12">
        <f t="shared" si="13"/>
        <v>0.11394335230683679</v>
      </c>
      <c r="M802" s="11">
        <f>GraphListeria!$B$10-(Listeria!I802-GraphListeria!$B$6)/GraphListeria!$B$5</f>
        <v>0.64021398109165872</v>
      </c>
      <c r="N802" s="1" t="s">
        <v>490</v>
      </c>
      <c r="O802">
        <v>2001</v>
      </c>
      <c r="S802" s="10">
        <f>GraphListeria!$B$43*Listeria!I802+GraphListeria!$B$44</f>
        <v>0.6602431920986529</v>
      </c>
      <c r="U802" s="10">
        <f>GraphListeria!$H$43*Listeria!I802+GraphListeria!$H$44</f>
        <v>0.64021398109165872</v>
      </c>
    </row>
    <row r="803" spans="1:21" x14ac:dyDescent="0.2">
      <c r="A803" s="1" t="s">
        <v>1440</v>
      </c>
      <c r="B803" s="1" t="s">
        <v>1443</v>
      </c>
      <c r="C803" t="s">
        <v>418</v>
      </c>
      <c r="D803" s="1" t="s">
        <v>44</v>
      </c>
      <c r="E803" s="1" t="s">
        <v>415</v>
      </c>
      <c r="F803" s="1"/>
      <c r="G803" s="1"/>
      <c r="I803" s="4">
        <v>58</v>
      </c>
      <c r="J803" s="11">
        <v>1.7</v>
      </c>
      <c r="K803" s="4">
        <v>5.3</v>
      </c>
      <c r="L803" s="12">
        <f t="shared" si="13"/>
        <v>0.23044892137827391</v>
      </c>
      <c r="M803" s="11">
        <f>GraphListeria!$B$10-(Listeria!I803-GraphListeria!$B$6)/GraphListeria!$B$5</f>
        <v>0.64021398109165872</v>
      </c>
      <c r="N803" s="1" t="s">
        <v>490</v>
      </c>
      <c r="O803">
        <v>2001</v>
      </c>
      <c r="S803" s="10">
        <f>GraphListeria!$B$43*Listeria!I803+GraphListeria!$B$44</f>
        <v>0.6602431920986529</v>
      </c>
      <c r="U803" s="10">
        <f>GraphListeria!$H$43*Listeria!I803+GraphListeria!$H$44</f>
        <v>0.64021398109165872</v>
      </c>
    </row>
    <row r="804" spans="1:21" x14ac:dyDescent="0.2">
      <c r="A804" s="1" t="s">
        <v>1440</v>
      </c>
      <c r="B804" s="1" t="s">
        <v>1443</v>
      </c>
      <c r="C804" t="s">
        <v>419</v>
      </c>
      <c r="D804" s="1" t="s">
        <v>44</v>
      </c>
      <c r="E804" s="1" t="s">
        <v>415</v>
      </c>
      <c r="F804" s="1"/>
      <c r="G804" s="1"/>
      <c r="I804" s="4">
        <v>58</v>
      </c>
      <c r="J804" s="11">
        <v>1.8</v>
      </c>
      <c r="K804" s="4">
        <v>5.6</v>
      </c>
      <c r="L804" s="12">
        <f t="shared" si="13"/>
        <v>0.25527250510330607</v>
      </c>
      <c r="M804" s="11">
        <f>GraphListeria!$B$10-(Listeria!I804-GraphListeria!$B$6)/GraphListeria!$B$5</f>
        <v>0.64021398109165872</v>
      </c>
      <c r="N804" s="1" t="s">
        <v>490</v>
      </c>
      <c r="O804">
        <v>2001</v>
      </c>
      <c r="S804" s="10">
        <f>GraphListeria!$B$43*Listeria!I804+GraphListeria!$B$44</f>
        <v>0.6602431920986529</v>
      </c>
      <c r="U804" s="10">
        <f>GraphListeria!$H$43*Listeria!I804+GraphListeria!$H$44</f>
        <v>0.64021398109165872</v>
      </c>
    </row>
    <row r="805" spans="1:21" x14ac:dyDescent="0.2">
      <c r="A805" s="1" t="s">
        <v>1440</v>
      </c>
      <c r="B805" s="1" t="s">
        <v>1443</v>
      </c>
      <c r="C805" t="s">
        <v>416</v>
      </c>
      <c r="D805" s="1" t="s">
        <v>44</v>
      </c>
      <c r="E805" s="1" t="s">
        <v>415</v>
      </c>
      <c r="F805" s="1"/>
      <c r="G805" s="1"/>
      <c r="I805" s="4">
        <v>58</v>
      </c>
      <c r="J805" s="11">
        <v>1.9</v>
      </c>
      <c r="K805" s="4">
        <v>6.6</v>
      </c>
      <c r="L805" s="12">
        <f t="shared" si="13"/>
        <v>0.27875360095282892</v>
      </c>
      <c r="M805" s="11">
        <f>GraphListeria!$B$10-(Listeria!I805-GraphListeria!$B$6)/GraphListeria!$B$5</f>
        <v>0.64021398109165872</v>
      </c>
      <c r="N805" s="1" t="s">
        <v>490</v>
      </c>
      <c r="O805">
        <v>2001</v>
      </c>
      <c r="S805" s="10">
        <f>GraphListeria!$B$43*Listeria!I805+GraphListeria!$B$44</f>
        <v>0.6602431920986529</v>
      </c>
      <c r="U805" s="10">
        <f>GraphListeria!$H$43*Listeria!I805+GraphListeria!$H$44</f>
        <v>0.64021398109165872</v>
      </c>
    </row>
    <row r="806" spans="1:21" x14ac:dyDescent="0.2">
      <c r="A806" s="1" t="s">
        <v>1440</v>
      </c>
      <c r="B806" s="1" t="s">
        <v>1443</v>
      </c>
      <c r="C806" t="s">
        <v>420</v>
      </c>
      <c r="D806" s="1" t="s">
        <v>44</v>
      </c>
      <c r="E806" s="1" t="s">
        <v>415</v>
      </c>
      <c r="F806" s="1"/>
      <c r="G806" s="1"/>
      <c r="I806" s="4">
        <v>58</v>
      </c>
      <c r="J806" s="11">
        <v>1.9</v>
      </c>
      <c r="K806" s="4">
        <v>5.7</v>
      </c>
      <c r="L806" s="12">
        <f t="shared" si="13"/>
        <v>0.27875360095282892</v>
      </c>
      <c r="M806" s="11">
        <f>GraphListeria!$B$10-(Listeria!I806-GraphListeria!$B$6)/GraphListeria!$B$5</f>
        <v>0.64021398109165872</v>
      </c>
      <c r="N806" s="1" t="s">
        <v>490</v>
      </c>
      <c r="O806">
        <v>2001</v>
      </c>
      <c r="S806" s="10">
        <f>GraphListeria!$B$43*Listeria!I806+GraphListeria!$B$44</f>
        <v>0.6602431920986529</v>
      </c>
      <c r="U806" s="10">
        <f>GraphListeria!$H$43*Listeria!I806+GraphListeria!$H$44</f>
        <v>0.64021398109165872</v>
      </c>
    </row>
    <row r="807" spans="1:21" x14ac:dyDescent="0.2">
      <c r="A807" s="1" t="s">
        <v>1440</v>
      </c>
      <c r="B807" s="1" t="s">
        <v>1443</v>
      </c>
      <c r="C807" t="s">
        <v>414</v>
      </c>
      <c r="D807" s="1" t="s">
        <v>44</v>
      </c>
      <c r="E807" s="1" t="s">
        <v>415</v>
      </c>
      <c r="F807" s="1"/>
      <c r="G807" s="1"/>
      <c r="I807" s="4">
        <v>58</v>
      </c>
      <c r="J807" s="11">
        <v>2.2000000000000002</v>
      </c>
      <c r="K807" s="4">
        <v>5.6</v>
      </c>
      <c r="L807" s="12">
        <f t="shared" si="13"/>
        <v>0.34242268082220628</v>
      </c>
      <c r="M807" s="11">
        <f>GraphListeria!$B$10-(Listeria!I807-GraphListeria!$B$6)/GraphListeria!$B$5</f>
        <v>0.64021398109165872</v>
      </c>
      <c r="N807" s="1" t="s">
        <v>490</v>
      </c>
      <c r="O807">
        <v>2001</v>
      </c>
      <c r="S807" s="10">
        <f>GraphListeria!$B$43*Listeria!I807+GraphListeria!$B$44</f>
        <v>0.6602431920986529</v>
      </c>
      <c r="U807" s="10">
        <f>GraphListeria!$H$43*Listeria!I807+GraphListeria!$H$44</f>
        <v>0.64021398109165872</v>
      </c>
    </row>
    <row r="808" spans="1:21" x14ac:dyDescent="0.2">
      <c r="A808" s="1" t="s">
        <v>1440</v>
      </c>
      <c r="B808" s="1" t="s">
        <v>1443</v>
      </c>
      <c r="C808" t="s">
        <v>57</v>
      </c>
      <c r="D808" s="1" t="s">
        <v>44</v>
      </c>
      <c r="E808" s="1" t="s">
        <v>69</v>
      </c>
      <c r="F808" s="1"/>
      <c r="G808" s="1"/>
      <c r="I808" s="4">
        <v>60</v>
      </c>
      <c r="J808" s="11">
        <v>0.38</v>
      </c>
      <c r="K808" s="4">
        <v>7.27</v>
      </c>
      <c r="L808" s="12">
        <f t="shared" si="13"/>
        <v>-0.42021640338318983</v>
      </c>
      <c r="M808" s="11">
        <f>GraphListeria!$B$10-(Listeria!I808-GraphListeria!$B$6)/GraphListeria!$B$5</f>
        <v>0.35623347030397379</v>
      </c>
      <c r="N808" s="1" t="s">
        <v>606</v>
      </c>
      <c r="O808">
        <v>1998</v>
      </c>
      <c r="S808" s="10">
        <f>GraphListeria!$B$43*Listeria!I808+GraphListeria!$B$44</f>
        <v>0.38409169809355426</v>
      </c>
      <c r="U808" s="10">
        <f>GraphListeria!$H$43*Listeria!I808+GraphListeria!$H$44</f>
        <v>0.35623347030397312</v>
      </c>
    </row>
    <row r="809" spans="1:21" x14ac:dyDescent="0.2">
      <c r="A809" s="1" t="s">
        <v>1440</v>
      </c>
      <c r="B809" s="1" t="s">
        <v>1443</v>
      </c>
      <c r="C809" t="s">
        <v>57</v>
      </c>
      <c r="D809" s="1" t="s">
        <v>44</v>
      </c>
      <c r="E809" s="1" t="s">
        <v>1252</v>
      </c>
      <c r="F809" s="1"/>
      <c r="G809" s="1"/>
      <c r="I809" s="4">
        <v>60</v>
      </c>
      <c r="J809" s="11">
        <v>0.5</v>
      </c>
      <c r="K809" s="4">
        <v>5.9</v>
      </c>
      <c r="L809" s="12">
        <f t="shared" si="13"/>
        <v>-0.3010299956639812</v>
      </c>
      <c r="M809" s="11">
        <f>GraphListeria!$B$10-(Listeria!I809-GraphListeria!$B$6)/GraphListeria!$B$5</f>
        <v>0.35623347030397379</v>
      </c>
      <c r="N809" s="1" t="s">
        <v>490</v>
      </c>
      <c r="O809">
        <v>2001</v>
      </c>
      <c r="S809" s="10">
        <f>GraphListeria!$B$43*Listeria!I809+GraphListeria!$B$44</f>
        <v>0.38409169809355426</v>
      </c>
      <c r="U809" s="10">
        <f>GraphListeria!$H$43*Listeria!I809+GraphListeria!$H$44</f>
        <v>0.35623347030397312</v>
      </c>
    </row>
    <row r="810" spans="1:21" x14ac:dyDescent="0.2">
      <c r="A810" s="1" t="s">
        <v>1440</v>
      </c>
      <c r="B810" s="1" t="s">
        <v>1443</v>
      </c>
      <c r="C810" t="s">
        <v>435</v>
      </c>
      <c r="D810" s="1" t="s">
        <v>44</v>
      </c>
      <c r="E810" s="1" t="s">
        <v>409</v>
      </c>
      <c r="F810" s="1"/>
      <c r="G810" s="1"/>
      <c r="I810" s="4">
        <v>60</v>
      </c>
      <c r="J810" s="11">
        <v>0.6</v>
      </c>
      <c r="L810" s="12">
        <f t="shared" si="13"/>
        <v>-0.22184874961635639</v>
      </c>
      <c r="M810" s="11">
        <f>GraphListeria!$B$10-(Listeria!I810-GraphListeria!$B$6)/GraphListeria!$B$5</f>
        <v>0.35623347030397379</v>
      </c>
      <c r="N810" s="1" t="s">
        <v>490</v>
      </c>
      <c r="O810">
        <v>2001</v>
      </c>
      <c r="P810" t="s">
        <v>436</v>
      </c>
      <c r="S810" s="10">
        <f>GraphListeria!$B$43*Listeria!I810+GraphListeria!$B$44</f>
        <v>0.38409169809355426</v>
      </c>
      <c r="U810" s="10">
        <f>GraphListeria!$H$43*Listeria!I810+GraphListeria!$H$44</f>
        <v>0.35623347030397312</v>
      </c>
    </row>
    <row r="811" spans="1:21" x14ac:dyDescent="0.2">
      <c r="A811" s="1" t="s">
        <v>1440</v>
      </c>
      <c r="B811" s="1" t="s">
        <v>1443</v>
      </c>
      <c r="D811" s="1" t="s">
        <v>44</v>
      </c>
      <c r="E811" s="1" t="s">
        <v>1252</v>
      </c>
      <c r="H811" s="4">
        <v>7.2</v>
      </c>
      <c r="I811" s="4">
        <v>60</v>
      </c>
      <c r="J811" s="11">
        <v>0.63</v>
      </c>
      <c r="L811" s="12">
        <f t="shared" si="13"/>
        <v>-0.20065945054641829</v>
      </c>
      <c r="M811" s="11">
        <f>GraphListeria!$B$10-(Listeria!I811-GraphListeria!$B$6)/GraphListeria!$B$5</f>
        <v>0.35623347030397379</v>
      </c>
      <c r="N811" s="2" t="s">
        <v>1226</v>
      </c>
      <c r="O811">
        <v>1996</v>
      </c>
      <c r="S811" s="10">
        <f>GraphListeria!$B$43*Listeria!I811+GraphListeria!$B$44</f>
        <v>0.38409169809355426</v>
      </c>
      <c r="U811" s="10">
        <f>GraphListeria!$H$43*Listeria!I811+GraphListeria!$H$44</f>
        <v>0.35623347030397312</v>
      </c>
    </row>
    <row r="812" spans="1:21" x14ac:dyDescent="0.2">
      <c r="A812" s="1" t="s">
        <v>1440</v>
      </c>
      <c r="B812" s="1" t="s">
        <v>1443</v>
      </c>
      <c r="C812" t="s">
        <v>413</v>
      </c>
      <c r="D812" s="1" t="s">
        <v>44</v>
      </c>
      <c r="E812" s="1" t="s">
        <v>1252</v>
      </c>
      <c r="F812" s="1"/>
      <c r="G812" s="1"/>
      <c r="I812" s="4">
        <v>60</v>
      </c>
      <c r="J812" s="11">
        <v>0.7</v>
      </c>
      <c r="K812" s="4">
        <v>6.6</v>
      </c>
      <c r="L812" s="12">
        <f t="shared" si="13"/>
        <v>-0.15490195998574319</v>
      </c>
      <c r="M812" s="11">
        <f>GraphListeria!$B$10-(Listeria!I812-GraphListeria!$B$6)/GraphListeria!$B$5</f>
        <v>0.35623347030397379</v>
      </c>
      <c r="N812" s="1" t="s">
        <v>490</v>
      </c>
      <c r="O812">
        <v>2001</v>
      </c>
      <c r="S812" s="10">
        <f>GraphListeria!$B$43*Listeria!I812+GraphListeria!$B$44</f>
        <v>0.38409169809355426</v>
      </c>
      <c r="U812" s="10">
        <f>GraphListeria!$H$43*Listeria!I812+GraphListeria!$H$44</f>
        <v>0.35623347030397312</v>
      </c>
    </row>
    <row r="813" spans="1:21" x14ac:dyDescent="0.2">
      <c r="A813" s="1" t="s">
        <v>1440</v>
      </c>
      <c r="B813" s="1" t="s">
        <v>1443</v>
      </c>
      <c r="C813" t="s">
        <v>419</v>
      </c>
      <c r="D813" s="1" t="s">
        <v>44</v>
      </c>
      <c r="E813" s="1" t="s">
        <v>415</v>
      </c>
      <c r="F813" s="1"/>
      <c r="G813" s="1"/>
      <c r="I813" s="4">
        <v>60</v>
      </c>
      <c r="J813" s="11">
        <v>0.72</v>
      </c>
      <c r="K813" s="4">
        <v>5.6</v>
      </c>
      <c r="L813" s="12">
        <f t="shared" si="13"/>
        <v>-0.14266750356873156</v>
      </c>
      <c r="M813" s="11">
        <f>GraphListeria!$B$10-(Listeria!I813-GraphListeria!$B$6)/GraphListeria!$B$5</f>
        <v>0.35623347030397379</v>
      </c>
      <c r="N813" s="1" t="s">
        <v>490</v>
      </c>
      <c r="O813">
        <v>2001</v>
      </c>
      <c r="S813" s="10">
        <f>GraphListeria!$B$43*Listeria!I813+GraphListeria!$B$44</f>
        <v>0.38409169809355426</v>
      </c>
      <c r="U813" s="10">
        <f>GraphListeria!$H$43*Listeria!I813+GraphListeria!$H$44</f>
        <v>0.35623347030397312</v>
      </c>
    </row>
    <row r="814" spans="1:21" x14ac:dyDescent="0.2">
      <c r="A814" s="1" t="s">
        <v>1440</v>
      </c>
      <c r="B814" s="1" t="s">
        <v>1443</v>
      </c>
      <c r="C814" t="s">
        <v>418</v>
      </c>
      <c r="D814" s="1" t="s">
        <v>44</v>
      </c>
      <c r="E814" s="1" t="s">
        <v>415</v>
      </c>
      <c r="F814" s="1"/>
      <c r="G814" s="1"/>
      <c r="I814" s="4">
        <v>60</v>
      </c>
      <c r="J814" s="11">
        <v>0.75</v>
      </c>
      <c r="K814" s="4">
        <v>5.3</v>
      </c>
      <c r="L814" s="12">
        <f t="shared" si="13"/>
        <v>-0.12493873660829995</v>
      </c>
      <c r="M814" s="11">
        <f>GraphListeria!$B$10-(Listeria!I814-GraphListeria!$B$6)/GraphListeria!$B$5</f>
        <v>0.35623347030397379</v>
      </c>
      <c r="N814" s="1" t="s">
        <v>490</v>
      </c>
      <c r="O814">
        <v>2001</v>
      </c>
      <c r="S814" s="10">
        <f>GraphListeria!$B$43*Listeria!I814+GraphListeria!$B$44</f>
        <v>0.38409169809355426</v>
      </c>
      <c r="U814" s="10">
        <f>GraphListeria!$H$43*Listeria!I814+GraphListeria!$H$44</f>
        <v>0.35623347030397312</v>
      </c>
    </row>
    <row r="815" spans="1:21" x14ac:dyDescent="0.2">
      <c r="A815" s="1" t="s">
        <v>1440</v>
      </c>
      <c r="B815" s="1" t="s">
        <v>1443</v>
      </c>
      <c r="C815" t="s">
        <v>417</v>
      </c>
      <c r="D815" s="1" t="s">
        <v>44</v>
      </c>
      <c r="E815" s="1" t="s">
        <v>415</v>
      </c>
      <c r="F815" s="1"/>
      <c r="G815" s="1"/>
      <c r="I815" s="4">
        <v>60</v>
      </c>
      <c r="J815" s="4">
        <v>0.81</v>
      </c>
      <c r="K815" s="4">
        <v>6.5</v>
      </c>
      <c r="L815" s="12">
        <f t="shared" si="13"/>
        <v>-9.1514981121350217E-2</v>
      </c>
      <c r="M815" s="11">
        <f>GraphListeria!$B$10-(Listeria!I815-GraphListeria!$B$6)/GraphListeria!$B$5</f>
        <v>0.35623347030397379</v>
      </c>
      <c r="N815" s="1" t="s">
        <v>490</v>
      </c>
      <c r="O815">
        <v>2001</v>
      </c>
      <c r="S815" s="10">
        <f>GraphListeria!$B$43*Listeria!I815+GraphListeria!$B$44</f>
        <v>0.38409169809355426</v>
      </c>
      <c r="U815" s="10">
        <f>GraphListeria!$H$43*Listeria!I815+GraphListeria!$H$44</f>
        <v>0.35623347030397312</v>
      </c>
    </row>
    <row r="816" spans="1:21" x14ac:dyDescent="0.2">
      <c r="A816" s="1" t="s">
        <v>1440</v>
      </c>
      <c r="B816" s="1" t="s">
        <v>1443</v>
      </c>
      <c r="C816" t="s">
        <v>57</v>
      </c>
      <c r="D816" s="1" t="s">
        <v>44</v>
      </c>
      <c r="E816" s="1" t="s">
        <v>141</v>
      </c>
      <c r="F816" s="19" t="s">
        <v>454</v>
      </c>
      <c r="G816" s="19"/>
      <c r="I816" s="4">
        <v>60</v>
      </c>
      <c r="J816" s="11">
        <v>0.83</v>
      </c>
      <c r="L816" s="12">
        <f t="shared" si="13"/>
        <v>-8.092190762392612E-2</v>
      </c>
      <c r="M816" s="11">
        <f>GraphListeria!$B$10-(Listeria!I816-GraphListeria!$B$6)/GraphListeria!$B$5</f>
        <v>0.35623347030397379</v>
      </c>
      <c r="N816" s="1" t="s">
        <v>490</v>
      </c>
      <c r="O816">
        <v>2001</v>
      </c>
      <c r="P816" t="s">
        <v>442</v>
      </c>
      <c r="S816" s="10">
        <f>GraphListeria!$B$43*Listeria!I816+GraphListeria!$B$44</f>
        <v>0.38409169809355426</v>
      </c>
      <c r="U816" s="10">
        <f>GraphListeria!$H$43*Listeria!I816+GraphListeria!$H$44</f>
        <v>0.35623347030397312</v>
      </c>
    </row>
    <row r="817" spans="1:21" x14ac:dyDescent="0.2">
      <c r="A817" s="1" t="s">
        <v>1440</v>
      </c>
      <c r="B817" s="1" t="s">
        <v>1443</v>
      </c>
      <c r="C817" t="s">
        <v>416</v>
      </c>
      <c r="D817" s="1" t="s">
        <v>44</v>
      </c>
      <c r="E817" s="1" t="s">
        <v>415</v>
      </c>
      <c r="F817" s="1"/>
      <c r="G817" s="1"/>
      <c r="I817" s="4">
        <v>60</v>
      </c>
      <c r="J817" s="11">
        <v>0.85</v>
      </c>
      <c r="K817" s="4">
        <v>6.6</v>
      </c>
      <c r="L817" s="12">
        <f t="shared" si="13"/>
        <v>-7.0581074285707285E-2</v>
      </c>
      <c r="M817" s="11">
        <f>GraphListeria!$B$10-(Listeria!I817-GraphListeria!$B$6)/GraphListeria!$B$5</f>
        <v>0.35623347030397379</v>
      </c>
      <c r="N817" s="1" t="s">
        <v>490</v>
      </c>
      <c r="O817">
        <v>2001</v>
      </c>
      <c r="S817" s="10">
        <f>GraphListeria!$B$43*Listeria!I817+GraphListeria!$B$44</f>
        <v>0.38409169809355426</v>
      </c>
      <c r="U817" s="10">
        <f>GraphListeria!$H$43*Listeria!I817+GraphListeria!$H$44</f>
        <v>0.35623347030397312</v>
      </c>
    </row>
    <row r="818" spans="1:21" x14ac:dyDescent="0.2">
      <c r="A818" s="1" t="s">
        <v>1440</v>
      </c>
      <c r="B818" s="1" t="s">
        <v>1443</v>
      </c>
      <c r="C818">
        <v>1151</v>
      </c>
      <c r="D818" s="1" t="s">
        <v>44</v>
      </c>
      <c r="E818" s="1" t="s">
        <v>69</v>
      </c>
      <c r="F818" s="1"/>
      <c r="G818" s="1"/>
      <c r="I818" s="4">
        <v>60</v>
      </c>
      <c r="J818" s="11">
        <v>0.88</v>
      </c>
      <c r="K818" s="4">
        <v>7.05</v>
      </c>
      <c r="L818" s="12">
        <f t="shared" si="13"/>
        <v>-5.551732784983137E-2</v>
      </c>
      <c r="M818" s="11">
        <f>GraphListeria!$B$10-(Listeria!I818-GraphListeria!$B$6)/GraphListeria!$B$5</f>
        <v>0.35623347030397379</v>
      </c>
      <c r="N818" s="1" t="s">
        <v>606</v>
      </c>
      <c r="O818">
        <v>1998</v>
      </c>
      <c r="S818" s="10">
        <f>GraphListeria!$B$43*Listeria!I818+GraphListeria!$B$44</f>
        <v>0.38409169809355426</v>
      </c>
      <c r="U818" s="10">
        <f>GraphListeria!$H$43*Listeria!I818+GraphListeria!$H$44</f>
        <v>0.35623347030397312</v>
      </c>
    </row>
    <row r="819" spans="1:21" x14ac:dyDescent="0.2">
      <c r="A819" s="1" t="s">
        <v>1440</v>
      </c>
      <c r="B819" s="1" t="s">
        <v>1443</v>
      </c>
      <c r="C819" t="s">
        <v>57</v>
      </c>
      <c r="D819" s="1" t="s">
        <v>44</v>
      </c>
      <c r="E819" s="1" t="s">
        <v>141</v>
      </c>
      <c r="F819" s="19" t="s">
        <v>455</v>
      </c>
      <c r="G819" s="19"/>
      <c r="I819" s="4">
        <v>60</v>
      </c>
      <c r="J819" s="11">
        <v>0.95</v>
      </c>
      <c r="L819" s="12">
        <f t="shared" si="13"/>
        <v>-2.2276394711152253E-2</v>
      </c>
      <c r="M819" s="11">
        <f>GraphListeria!$B$10-(Listeria!I819-GraphListeria!$B$6)/GraphListeria!$B$5</f>
        <v>0.35623347030397379</v>
      </c>
      <c r="N819" s="1" t="s">
        <v>490</v>
      </c>
      <c r="O819">
        <v>2001</v>
      </c>
      <c r="P819" t="s">
        <v>442</v>
      </c>
      <c r="S819" s="10">
        <f>GraphListeria!$B$43*Listeria!I819+GraphListeria!$B$44</f>
        <v>0.38409169809355426</v>
      </c>
      <c r="U819" s="10">
        <f>GraphListeria!$H$43*Listeria!I819+GraphListeria!$H$44</f>
        <v>0.35623347030397312</v>
      </c>
    </row>
    <row r="820" spans="1:21" x14ac:dyDescent="0.2">
      <c r="A820" s="1" t="s">
        <v>1440</v>
      </c>
      <c r="B820" s="1" t="s">
        <v>1443</v>
      </c>
      <c r="C820" t="s">
        <v>420</v>
      </c>
      <c r="D820" s="1" t="s">
        <v>44</v>
      </c>
      <c r="E820" s="1" t="s">
        <v>415</v>
      </c>
      <c r="F820" s="1"/>
      <c r="G820" s="1"/>
      <c r="I820" s="4">
        <v>60</v>
      </c>
      <c r="J820" s="11">
        <v>1.1000000000000001</v>
      </c>
      <c r="K820" s="4">
        <v>5.7</v>
      </c>
      <c r="L820" s="12">
        <f t="shared" si="13"/>
        <v>4.1392685158225077E-2</v>
      </c>
      <c r="M820" s="11">
        <f>GraphListeria!$B$10-(Listeria!I820-GraphListeria!$B$6)/GraphListeria!$B$5</f>
        <v>0.35623347030397379</v>
      </c>
      <c r="N820" s="1" t="s">
        <v>490</v>
      </c>
      <c r="O820">
        <v>2001</v>
      </c>
      <c r="S820" s="10">
        <f>GraphListeria!$B$43*Listeria!I820+GraphListeria!$B$44</f>
        <v>0.38409169809355426</v>
      </c>
      <c r="U820" s="10">
        <f>GraphListeria!$H$43*Listeria!I820+GraphListeria!$H$44</f>
        <v>0.35623347030397312</v>
      </c>
    </row>
    <row r="821" spans="1:21" x14ac:dyDescent="0.2">
      <c r="A821" s="1" t="s">
        <v>1440</v>
      </c>
      <c r="B821" s="1" t="s">
        <v>1443</v>
      </c>
      <c r="C821" t="s">
        <v>57</v>
      </c>
      <c r="D821" s="1" t="s">
        <v>44</v>
      </c>
      <c r="E821" s="1" t="s">
        <v>141</v>
      </c>
      <c r="F821" s="19" t="s">
        <v>454</v>
      </c>
      <c r="G821" s="19"/>
      <c r="I821" s="4">
        <v>60</v>
      </c>
      <c r="J821" s="11">
        <v>1.1100000000000001</v>
      </c>
      <c r="L821" s="12">
        <f t="shared" si="13"/>
        <v>4.5322978786657475E-2</v>
      </c>
      <c r="M821" s="11">
        <f>GraphListeria!$B$10-(Listeria!I821-GraphListeria!$B$6)/GraphListeria!$B$5</f>
        <v>0.35623347030397379</v>
      </c>
      <c r="N821" s="1" t="s">
        <v>490</v>
      </c>
      <c r="O821">
        <v>2001</v>
      </c>
      <c r="P821" t="s">
        <v>443</v>
      </c>
      <c r="S821" s="10">
        <f>GraphListeria!$B$43*Listeria!I821+GraphListeria!$B$44</f>
        <v>0.38409169809355426</v>
      </c>
      <c r="U821" s="10">
        <f>GraphListeria!$H$43*Listeria!I821+GraphListeria!$H$44</f>
        <v>0.35623347030397312</v>
      </c>
    </row>
    <row r="822" spans="1:21" x14ac:dyDescent="0.2">
      <c r="A822" s="1" t="s">
        <v>1440</v>
      </c>
      <c r="B822" s="1" t="s">
        <v>1443</v>
      </c>
      <c r="C822" t="s">
        <v>57</v>
      </c>
      <c r="D822" s="1" t="s">
        <v>44</v>
      </c>
      <c r="E822" s="1" t="s">
        <v>141</v>
      </c>
      <c r="F822" s="19" t="s">
        <v>454</v>
      </c>
      <c r="G822" s="19"/>
      <c r="H822" s="4">
        <v>7</v>
      </c>
      <c r="I822" s="4">
        <v>60</v>
      </c>
      <c r="J822" s="11">
        <v>1.1100000000000001</v>
      </c>
      <c r="L822" s="12">
        <f t="shared" si="13"/>
        <v>4.5322978786657475E-2</v>
      </c>
      <c r="M822" s="11">
        <f>GraphListeria!$B$10-(Listeria!I822-GraphListeria!$B$6)/GraphListeria!$B$5</f>
        <v>0.35623347030397379</v>
      </c>
      <c r="N822" s="1" t="s">
        <v>490</v>
      </c>
      <c r="O822">
        <v>2001</v>
      </c>
      <c r="S822" s="10">
        <f>GraphListeria!$B$43*Listeria!I822+GraphListeria!$B$44</f>
        <v>0.38409169809355426</v>
      </c>
      <c r="U822" s="10">
        <f>GraphListeria!$H$43*Listeria!I822+GraphListeria!$H$44</f>
        <v>0.35623347030397312</v>
      </c>
    </row>
    <row r="823" spans="1:21" x14ac:dyDescent="0.2">
      <c r="A823" s="1" t="s">
        <v>1440</v>
      </c>
      <c r="B823" s="1" t="s">
        <v>1443</v>
      </c>
      <c r="C823" t="s">
        <v>57</v>
      </c>
      <c r="D823" s="1" t="s">
        <v>44</v>
      </c>
      <c r="E823" s="1" t="s">
        <v>141</v>
      </c>
      <c r="F823" s="19" t="s">
        <v>456</v>
      </c>
      <c r="G823" s="19"/>
      <c r="H823" s="4">
        <v>5.4</v>
      </c>
      <c r="I823" s="4">
        <v>60</v>
      </c>
      <c r="J823" s="11">
        <v>1.1399999999999999</v>
      </c>
      <c r="L823" s="12">
        <f t="shared" si="13"/>
        <v>5.6904851336472557E-2</v>
      </c>
      <c r="M823" s="11">
        <f>GraphListeria!$B$10-(Listeria!I823-GraphListeria!$B$6)/GraphListeria!$B$5</f>
        <v>0.35623347030397379</v>
      </c>
      <c r="N823" s="1" t="s">
        <v>490</v>
      </c>
      <c r="O823">
        <v>2001</v>
      </c>
      <c r="S823" s="10">
        <f>GraphListeria!$B$43*Listeria!I823+GraphListeria!$B$44</f>
        <v>0.38409169809355426</v>
      </c>
      <c r="U823" s="10">
        <f>GraphListeria!$H$43*Listeria!I823+GraphListeria!$H$44</f>
        <v>0.35623347030397312</v>
      </c>
    </row>
    <row r="824" spans="1:21" x14ac:dyDescent="0.2">
      <c r="A824" s="1" t="s">
        <v>1440</v>
      </c>
      <c r="B824" s="1" t="s">
        <v>1443</v>
      </c>
      <c r="C824" t="s">
        <v>414</v>
      </c>
      <c r="D824" s="1" t="s">
        <v>44</v>
      </c>
      <c r="E824" s="1" t="s">
        <v>415</v>
      </c>
      <c r="F824" s="1"/>
      <c r="G824" s="1"/>
      <c r="I824" s="4">
        <v>60</v>
      </c>
      <c r="J824" s="11">
        <v>1.2</v>
      </c>
      <c r="K824" s="4">
        <v>5.6</v>
      </c>
      <c r="L824" s="12">
        <f t="shared" si="13"/>
        <v>7.9181246047624818E-2</v>
      </c>
      <c r="M824" s="11">
        <f>GraphListeria!$B$10-(Listeria!I824-GraphListeria!$B$6)/GraphListeria!$B$5</f>
        <v>0.35623347030397379</v>
      </c>
      <c r="N824" s="1" t="s">
        <v>490</v>
      </c>
      <c r="O824">
        <v>2001</v>
      </c>
      <c r="S824" s="10">
        <f>GraphListeria!$B$43*Listeria!I824+GraphListeria!$B$44</f>
        <v>0.38409169809355426</v>
      </c>
      <c r="U824" s="10">
        <f>GraphListeria!$H$43*Listeria!I824+GraphListeria!$H$44</f>
        <v>0.35623347030397312</v>
      </c>
    </row>
    <row r="825" spans="1:21" x14ac:dyDescent="0.2">
      <c r="A825" s="1" t="s">
        <v>1440</v>
      </c>
      <c r="B825" s="1" t="s">
        <v>1443</v>
      </c>
      <c r="C825" t="s">
        <v>57</v>
      </c>
      <c r="D825" s="1" t="s">
        <v>44</v>
      </c>
      <c r="E825" s="1" t="s">
        <v>141</v>
      </c>
      <c r="F825" s="19" t="s">
        <v>454</v>
      </c>
      <c r="G825" s="19"/>
      <c r="H825" s="4">
        <v>5.4</v>
      </c>
      <c r="I825" s="4">
        <v>60</v>
      </c>
      <c r="J825" s="11">
        <v>1.22</v>
      </c>
      <c r="L825" s="12">
        <f t="shared" si="13"/>
        <v>8.6359830674748214E-2</v>
      </c>
      <c r="M825" s="11">
        <f>GraphListeria!$B$10-(Listeria!I825-GraphListeria!$B$6)/GraphListeria!$B$5</f>
        <v>0.35623347030397379</v>
      </c>
      <c r="N825" s="1" t="s">
        <v>490</v>
      </c>
      <c r="O825">
        <v>2001</v>
      </c>
      <c r="S825" s="10">
        <f>GraphListeria!$B$43*Listeria!I825+GraphListeria!$B$44</f>
        <v>0.38409169809355426</v>
      </c>
      <c r="U825" s="10">
        <f>GraphListeria!$H$43*Listeria!I825+GraphListeria!$H$44</f>
        <v>0.35623347030397312</v>
      </c>
    </row>
    <row r="826" spans="1:21" x14ac:dyDescent="0.2">
      <c r="A826" s="1" t="s">
        <v>1440</v>
      </c>
      <c r="B826" s="1" t="s">
        <v>1443</v>
      </c>
      <c r="C826" t="s">
        <v>57</v>
      </c>
      <c r="D826" s="1" t="s">
        <v>44</v>
      </c>
      <c r="E826" s="1" t="s">
        <v>141</v>
      </c>
      <c r="F826" s="19" t="s">
        <v>456</v>
      </c>
      <c r="G826" s="19"/>
      <c r="H826" s="4">
        <v>7</v>
      </c>
      <c r="I826" s="4">
        <v>60</v>
      </c>
      <c r="J826" s="11">
        <v>1.28</v>
      </c>
      <c r="L826" s="12">
        <f t="shared" si="13"/>
        <v>0.10720996964786837</v>
      </c>
      <c r="M826" s="11">
        <f>GraphListeria!$B$10-(Listeria!I826-GraphListeria!$B$6)/GraphListeria!$B$5</f>
        <v>0.35623347030397379</v>
      </c>
      <c r="N826" s="1" t="s">
        <v>490</v>
      </c>
      <c r="O826">
        <v>2001</v>
      </c>
      <c r="S826" s="10">
        <f>GraphListeria!$B$43*Listeria!I826+GraphListeria!$B$44</f>
        <v>0.38409169809355426</v>
      </c>
      <c r="U826" s="10">
        <f>GraphListeria!$H$43*Listeria!I826+GraphListeria!$H$44</f>
        <v>0.35623347030397312</v>
      </c>
    </row>
    <row r="827" spans="1:21" x14ac:dyDescent="0.2">
      <c r="A827" s="1" t="s">
        <v>1440</v>
      </c>
      <c r="B827" s="1" t="s">
        <v>1443</v>
      </c>
      <c r="C827" t="s">
        <v>57</v>
      </c>
      <c r="D827" s="1" t="s">
        <v>44</v>
      </c>
      <c r="E827" s="1" t="s">
        <v>141</v>
      </c>
      <c r="F827" s="19" t="s">
        <v>455</v>
      </c>
      <c r="G827" s="19"/>
      <c r="I827" s="4">
        <v>60</v>
      </c>
      <c r="J827" s="11">
        <v>1.28</v>
      </c>
      <c r="L827" s="12">
        <f t="shared" si="13"/>
        <v>0.10720996964786837</v>
      </c>
      <c r="M827" s="11">
        <f>GraphListeria!$B$10-(Listeria!I827-GraphListeria!$B$6)/GraphListeria!$B$5</f>
        <v>0.35623347030397379</v>
      </c>
      <c r="N827" s="1" t="s">
        <v>490</v>
      </c>
      <c r="O827">
        <v>2001</v>
      </c>
      <c r="P827" t="s">
        <v>443</v>
      </c>
      <c r="S827" s="10">
        <f>GraphListeria!$B$43*Listeria!I827+GraphListeria!$B$44</f>
        <v>0.38409169809355426</v>
      </c>
      <c r="U827" s="10">
        <f>GraphListeria!$H$43*Listeria!I827+GraphListeria!$H$44</f>
        <v>0.35623347030397312</v>
      </c>
    </row>
    <row r="828" spans="1:21" x14ac:dyDescent="0.2">
      <c r="A828" s="1" t="s">
        <v>1440</v>
      </c>
      <c r="B828" s="1" t="s">
        <v>1443</v>
      </c>
      <c r="C828" t="s">
        <v>57</v>
      </c>
      <c r="D828" s="1" t="s">
        <v>44</v>
      </c>
      <c r="E828" s="1" t="s">
        <v>428</v>
      </c>
      <c r="F828" s="1"/>
      <c r="G828" s="1"/>
      <c r="I828" s="4">
        <v>60</v>
      </c>
      <c r="J828" s="11">
        <v>1.58</v>
      </c>
      <c r="K828" s="4">
        <v>6.6</v>
      </c>
      <c r="L828" s="12">
        <f t="shared" si="13"/>
        <v>0.19865708695442263</v>
      </c>
      <c r="M828" s="11">
        <f>GraphListeria!$B$10-(Listeria!I828-GraphListeria!$B$6)/GraphListeria!$B$5</f>
        <v>0.35623347030397379</v>
      </c>
      <c r="N828" s="1" t="s">
        <v>490</v>
      </c>
      <c r="O828">
        <v>2001</v>
      </c>
      <c r="P828" t="s">
        <v>322</v>
      </c>
      <c r="S828" s="10">
        <f>GraphListeria!$B$43*Listeria!I828+GraphListeria!$B$44</f>
        <v>0.38409169809355426</v>
      </c>
      <c r="U828" s="10">
        <f>GraphListeria!$H$43*Listeria!I828+GraphListeria!$H$44</f>
        <v>0.35623347030397312</v>
      </c>
    </row>
    <row r="829" spans="1:21" x14ac:dyDescent="0.2">
      <c r="A829" s="1" t="s">
        <v>1440</v>
      </c>
      <c r="B829" s="1" t="s">
        <v>1443</v>
      </c>
      <c r="C829" t="s">
        <v>435</v>
      </c>
      <c r="D829" s="1" t="s">
        <v>44</v>
      </c>
      <c r="E829" s="1" t="s">
        <v>409</v>
      </c>
      <c r="F829" s="1"/>
      <c r="G829" s="1"/>
      <c r="I829" s="4">
        <v>60</v>
      </c>
      <c r="J829" s="11">
        <v>1.7</v>
      </c>
      <c r="L829" s="12">
        <f t="shared" si="13"/>
        <v>0.23044892137827391</v>
      </c>
      <c r="M829" s="11">
        <f>GraphListeria!$B$10-(Listeria!I829-GraphListeria!$B$6)/GraphListeria!$B$5</f>
        <v>0.35623347030397379</v>
      </c>
      <c r="N829" s="1" t="s">
        <v>490</v>
      </c>
      <c r="O829">
        <v>2001</v>
      </c>
      <c r="P829" t="s">
        <v>710</v>
      </c>
      <c r="S829" s="10">
        <f>GraphListeria!$B$43*Listeria!I829+GraphListeria!$B$44</f>
        <v>0.38409169809355426</v>
      </c>
      <c r="U829" s="10">
        <f>GraphListeria!$H$43*Listeria!I829+GraphListeria!$H$44</f>
        <v>0.35623347030397312</v>
      </c>
    </row>
    <row r="830" spans="1:21" x14ac:dyDescent="0.2">
      <c r="A830" s="1" t="s">
        <v>1440</v>
      </c>
      <c r="B830" s="1" t="s">
        <v>1443</v>
      </c>
      <c r="C830" t="s">
        <v>421</v>
      </c>
      <c r="D830" s="1" t="s">
        <v>44</v>
      </c>
      <c r="E830" s="1" t="s">
        <v>415</v>
      </c>
      <c r="F830" s="1"/>
      <c r="G830" s="1"/>
      <c r="I830" s="4">
        <v>60</v>
      </c>
      <c r="J830" s="11">
        <v>1.9</v>
      </c>
      <c r="K830" s="4">
        <v>6.9</v>
      </c>
      <c r="L830" s="12">
        <f t="shared" si="13"/>
        <v>0.27875360095282892</v>
      </c>
      <c r="M830" s="11">
        <f>GraphListeria!$B$10-(Listeria!I830-GraphListeria!$B$6)/GraphListeria!$B$5</f>
        <v>0.35623347030397379</v>
      </c>
      <c r="N830" s="1" t="s">
        <v>490</v>
      </c>
      <c r="O830">
        <v>2001</v>
      </c>
      <c r="S830" s="10">
        <f>GraphListeria!$B$43*Listeria!I830+GraphListeria!$B$44</f>
        <v>0.38409169809355426</v>
      </c>
      <c r="U830" s="10">
        <f>GraphListeria!$H$43*Listeria!I830+GraphListeria!$H$44</f>
        <v>0.35623347030397312</v>
      </c>
    </row>
    <row r="831" spans="1:21" x14ac:dyDescent="0.2">
      <c r="A831" s="1" t="s">
        <v>1440</v>
      </c>
      <c r="B831" s="1" t="s">
        <v>1443</v>
      </c>
      <c r="C831" t="s">
        <v>57</v>
      </c>
      <c r="D831" s="1" t="s">
        <v>44</v>
      </c>
      <c r="E831" s="1" t="s">
        <v>1252</v>
      </c>
      <c r="F831" s="19" t="s">
        <v>53</v>
      </c>
      <c r="G831" s="19" t="s">
        <v>511</v>
      </c>
      <c r="I831" s="4">
        <v>60</v>
      </c>
      <c r="J831" s="11">
        <v>2</v>
      </c>
      <c r="L831" s="12">
        <f>LOG(J831)</f>
        <v>0.3010299956639812</v>
      </c>
      <c r="M831" s="11">
        <f>GraphListeria!$B$10-(Listeria!I831-GraphListeria!$B$6)/GraphListeria!$B$5</f>
        <v>0.35623347030397379</v>
      </c>
      <c r="N831" s="1" t="s">
        <v>490</v>
      </c>
      <c r="O831">
        <v>2001</v>
      </c>
      <c r="S831" s="10">
        <f>GraphListeria!$B$43*Listeria!I831+GraphListeria!$B$44</f>
        <v>0.38409169809355426</v>
      </c>
      <c r="U831" s="10">
        <f>GraphListeria!$H$43*Listeria!I831+GraphListeria!$H$44</f>
        <v>0.35623347030397312</v>
      </c>
    </row>
    <row r="832" spans="1:21" x14ac:dyDescent="0.2">
      <c r="A832" s="1" t="s">
        <v>1440</v>
      </c>
      <c r="B832" s="1" t="s">
        <v>1443</v>
      </c>
      <c r="C832" t="s">
        <v>435</v>
      </c>
      <c r="D832" s="1" t="s">
        <v>44</v>
      </c>
      <c r="E832" s="1" t="s">
        <v>409</v>
      </c>
      <c r="F832" s="1"/>
      <c r="G832" s="1"/>
      <c r="I832" s="4">
        <v>60</v>
      </c>
      <c r="J832" s="11">
        <v>2.2200000000000002</v>
      </c>
      <c r="L832" s="12">
        <f t="shared" si="13"/>
        <v>0.34635297445063867</v>
      </c>
      <c r="M832" s="11">
        <f>GraphListeria!$B$10-(Listeria!I832-GraphListeria!$B$6)/GraphListeria!$B$5</f>
        <v>0.35623347030397379</v>
      </c>
      <c r="N832" s="1" t="s">
        <v>490</v>
      </c>
      <c r="O832">
        <v>2001</v>
      </c>
      <c r="P832" t="s">
        <v>437</v>
      </c>
      <c r="S832" s="10">
        <f>GraphListeria!$B$43*Listeria!I832+GraphListeria!$B$44</f>
        <v>0.38409169809355426</v>
      </c>
      <c r="U832" s="10">
        <f>GraphListeria!$H$43*Listeria!I832+GraphListeria!$H$44</f>
        <v>0.35623347030397312</v>
      </c>
    </row>
    <row r="833" spans="1:21" x14ac:dyDescent="0.2">
      <c r="A833" s="1" t="s">
        <v>1440</v>
      </c>
      <c r="B833" s="1" t="s">
        <v>1443</v>
      </c>
      <c r="C833" t="s">
        <v>57</v>
      </c>
      <c r="D833" s="1" t="s">
        <v>44</v>
      </c>
      <c r="E833" s="1" t="s">
        <v>1252</v>
      </c>
      <c r="F833" s="19" t="s">
        <v>53</v>
      </c>
      <c r="G833" s="19" t="s">
        <v>517</v>
      </c>
      <c r="I833" s="4">
        <v>60</v>
      </c>
      <c r="J833" s="11">
        <v>2.9</v>
      </c>
      <c r="L833" s="12">
        <f>LOG(J833)</f>
        <v>0.46239799789895608</v>
      </c>
      <c r="M833" s="11">
        <f>GraphListeria!$B$10-(Listeria!I833-GraphListeria!$B$6)/GraphListeria!$B$5</f>
        <v>0.35623347030397379</v>
      </c>
      <c r="N833" s="1" t="s">
        <v>490</v>
      </c>
      <c r="O833">
        <v>2001</v>
      </c>
      <c r="S833" s="10">
        <f>GraphListeria!$B$43*Listeria!I833+GraphListeria!$B$44</f>
        <v>0.38409169809355426</v>
      </c>
      <c r="U833" s="10">
        <f>GraphListeria!$H$43*Listeria!I833+GraphListeria!$H$44</f>
        <v>0.35623347030397312</v>
      </c>
    </row>
    <row r="834" spans="1:21" x14ac:dyDescent="0.2">
      <c r="A834" s="1" t="s">
        <v>1440</v>
      </c>
      <c r="B834" s="1" t="s">
        <v>1443</v>
      </c>
      <c r="C834" t="s">
        <v>422</v>
      </c>
      <c r="D834" s="1" t="s">
        <v>44</v>
      </c>
      <c r="E834" s="1" t="s">
        <v>415</v>
      </c>
      <c r="F834" s="1"/>
      <c r="G834" s="1"/>
      <c r="I834" s="4">
        <v>60</v>
      </c>
      <c r="J834" s="11">
        <v>3.1</v>
      </c>
      <c r="K834" s="4">
        <v>6.1</v>
      </c>
      <c r="L834" s="12">
        <f t="shared" si="13"/>
        <v>0.49136169383427269</v>
      </c>
      <c r="M834" s="11">
        <f>GraphListeria!$B$10-(Listeria!I834-GraphListeria!$B$6)/GraphListeria!$B$5</f>
        <v>0.35623347030397379</v>
      </c>
      <c r="N834" s="1" t="s">
        <v>490</v>
      </c>
      <c r="O834">
        <v>2001</v>
      </c>
      <c r="S834" s="10">
        <f>GraphListeria!$B$43*Listeria!I834+GraphListeria!$B$44</f>
        <v>0.38409169809355426</v>
      </c>
      <c r="U834" s="10">
        <f>GraphListeria!$H$43*Listeria!I834+GraphListeria!$H$44</f>
        <v>0.35623347030397312</v>
      </c>
    </row>
    <row r="835" spans="1:21" x14ac:dyDescent="0.2">
      <c r="A835" s="1" t="s">
        <v>1440</v>
      </c>
      <c r="B835" s="1" t="s">
        <v>1443</v>
      </c>
      <c r="C835" t="s">
        <v>57</v>
      </c>
      <c r="D835" s="1" t="s">
        <v>44</v>
      </c>
      <c r="E835" s="1" t="s">
        <v>428</v>
      </c>
      <c r="F835" s="1"/>
      <c r="G835" s="1"/>
      <c r="I835" s="4">
        <v>60</v>
      </c>
      <c r="J835" s="11">
        <v>3.32</v>
      </c>
      <c r="K835" s="4">
        <v>6.7</v>
      </c>
      <c r="L835" s="12">
        <f t="shared" si="13"/>
        <v>0.52113808370403625</v>
      </c>
      <c r="M835" s="11">
        <f>GraphListeria!$B$10-(Listeria!I835-GraphListeria!$B$6)/GraphListeria!$B$5</f>
        <v>0.35623347030397379</v>
      </c>
      <c r="N835" s="1" t="s">
        <v>490</v>
      </c>
      <c r="O835">
        <v>2001</v>
      </c>
      <c r="P835" t="s">
        <v>431</v>
      </c>
      <c r="S835" s="10">
        <f>GraphListeria!$B$43*Listeria!I835+GraphListeria!$B$44</f>
        <v>0.38409169809355426</v>
      </c>
      <c r="U835" s="10">
        <f>GraphListeria!$H$43*Listeria!I835+GraphListeria!$H$44</f>
        <v>0.35623347030397312</v>
      </c>
    </row>
    <row r="836" spans="1:21" x14ac:dyDescent="0.2">
      <c r="A836" s="1" t="s">
        <v>1440</v>
      </c>
      <c r="B836" s="1" t="s">
        <v>1443</v>
      </c>
      <c r="C836" t="s">
        <v>435</v>
      </c>
      <c r="D836" s="1" t="s">
        <v>44</v>
      </c>
      <c r="E836" s="1" t="s">
        <v>409</v>
      </c>
      <c r="F836" s="1"/>
      <c r="G836" s="1"/>
      <c r="I836" s="4">
        <v>60</v>
      </c>
      <c r="J836" s="11">
        <v>4.01</v>
      </c>
      <c r="L836" s="12">
        <f t="shared" si="13"/>
        <v>0.60314437262018228</v>
      </c>
      <c r="M836" s="11">
        <f>GraphListeria!$B$10-(Listeria!I836-GraphListeria!$B$6)/GraphListeria!$B$5</f>
        <v>0.35623347030397379</v>
      </c>
      <c r="N836" s="1" t="s">
        <v>490</v>
      </c>
      <c r="O836">
        <v>2001</v>
      </c>
      <c r="P836" t="s">
        <v>711</v>
      </c>
      <c r="S836" s="10">
        <f>GraphListeria!$B$43*Listeria!I836+GraphListeria!$B$44</f>
        <v>0.38409169809355426</v>
      </c>
      <c r="U836" s="10">
        <f>GraphListeria!$H$43*Listeria!I836+GraphListeria!$H$44</f>
        <v>0.35623347030397312</v>
      </c>
    </row>
    <row r="837" spans="1:21" x14ac:dyDescent="0.2">
      <c r="A837" s="1" t="s">
        <v>1440</v>
      </c>
      <c r="B837" s="1" t="s">
        <v>1443</v>
      </c>
      <c r="D837" t="s">
        <v>44</v>
      </c>
      <c r="E837" s="1" t="s">
        <v>1449</v>
      </c>
      <c r="F837" t="s">
        <v>34</v>
      </c>
      <c r="I837" s="4">
        <v>60</v>
      </c>
      <c r="J837" s="11">
        <v>4.0999999999999996</v>
      </c>
      <c r="L837" s="12">
        <f t="shared" si="13"/>
        <v>0.61278385671973545</v>
      </c>
      <c r="M837" s="11">
        <f>GraphListeria!$B$10-(Listeria!I837-GraphListeria!$B$6)/GraphListeria!$B$5</f>
        <v>0.35623347030397379</v>
      </c>
      <c r="N837" s="2" t="s">
        <v>1226</v>
      </c>
      <c r="O837">
        <v>1996</v>
      </c>
      <c r="P837" t="s">
        <v>35</v>
      </c>
      <c r="S837" s="10">
        <f>GraphListeria!$B$43*Listeria!I837+GraphListeria!$B$44</f>
        <v>0.38409169809355426</v>
      </c>
      <c r="U837" s="10">
        <f>GraphListeria!$H$43*Listeria!I837+GraphListeria!$H$44</f>
        <v>0.35623347030397312</v>
      </c>
    </row>
    <row r="838" spans="1:21" x14ac:dyDescent="0.2">
      <c r="A838" s="1" t="s">
        <v>1440</v>
      </c>
      <c r="B838" s="1" t="s">
        <v>1443</v>
      </c>
      <c r="C838" t="s">
        <v>712</v>
      </c>
      <c r="D838" s="1" t="s">
        <v>44</v>
      </c>
      <c r="E838" s="1" t="s">
        <v>426</v>
      </c>
      <c r="F838" s="1"/>
      <c r="G838" s="1"/>
      <c r="I838" s="4">
        <v>60</v>
      </c>
      <c r="J838" s="11">
        <v>4.0999999999999996</v>
      </c>
      <c r="K838" s="4">
        <v>6</v>
      </c>
      <c r="L838" s="12">
        <f t="shared" si="13"/>
        <v>0.61278385671973545</v>
      </c>
      <c r="M838" s="11">
        <f>GraphListeria!$B$10-(Listeria!I838-GraphListeria!$B$6)/GraphListeria!$B$5</f>
        <v>0.35623347030397379</v>
      </c>
      <c r="N838" s="1" t="s">
        <v>490</v>
      </c>
      <c r="O838">
        <v>2001</v>
      </c>
      <c r="S838" s="10">
        <f>GraphListeria!$B$43*Listeria!I838+GraphListeria!$B$44</f>
        <v>0.38409169809355426</v>
      </c>
      <c r="U838" s="10">
        <f>GraphListeria!$H$43*Listeria!I838+GraphListeria!$H$44</f>
        <v>0.35623347030397312</v>
      </c>
    </row>
    <row r="839" spans="1:21" x14ac:dyDescent="0.2">
      <c r="A839" s="1" t="s">
        <v>1440</v>
      </c>
      <c r="B839" s="1" t="s">
        <v>1443</v>
      </c>
      <c r="C839" t="s">
        <v>57</v>
      </c>
      <c r="D839" s="1" t="s">
        <v>44</v>
      </c>
      <c r="E839" s="1" t="s">
        <v>1252</v>
      </c>
      <c r="F839" s="19" t="s">
        <v>53</v>
      </c>
      <c r="G839" s="19" t="s">
        <v>512</v>
      </c>
      <c r="I839" s="4">
        <v>60</v>
      </c>
      <c r="J839" s="11">
        <v>5.6</v>
      </c>
      <c r="L839" s="12">
        <f>LOG(J839)</f>
        <v>0.74818802700620035</v>
      </c>
      <c r="M839" s="11">
        <f>GraphListeria!$B$10-(Listeria!I839-GraphListeria!$B$6)/GraphListeria!$B$5</f>
        <v>0.35623347030397379</v>
      </c>
      <c r="N839" s="1" t="s">
        <v>490</v>
      </c>
      <c r="O839">
        <v>2001</v>
      </c>
      <c r="S839" s="10">
        <f>GraphListeria!$B$43*Listeria!I839+GraphListeria!$B$44</f>
        <v>0.38409169809355426</v>
      </c>
      <c r="U839" s="10">
        <f>GraphListeria!$H$43*Listeria!I839+GraphListeria!$H$44</f>
        <v>0.35623347030397312</v>
      </c>
    </row>
    <row r="840" spans="1:21" x14ac:dyDescent="0.2">
      <c r="A840" s="1" t="s">
        <v>1440</v>
      </c>
      <c r="B840" s="1" t="s">
        <v>1443</v>
      </c>
      <c r="C840" t="s">
        <v>417</v>
      </c>
      <c r="D840" s="1" t="s">
        <v>44</v>
      </c>
      <c r="E840" s="1" t="s">
        <v>415</v>
      </c>
      <c r="F840" s="1"/>
      <c r="G840" s="1"/>
      <c r="I840" s="4">
        <v>62</v>
      </c>
      <c r="J840" s="4">
        <v>0.1</v>
      </c>
      <c r="K840" s="4">
        <v>6.5</v>
      </c>
      <c r="L840" s="12">
        <f t="shared" si="13"/>
        <v>-1</v>
      </c>
      <c r="M840" s="11">
        <f>GraphListeria!$B$10-(Listeria!I840-GraphListeria!$B$6)/GraphListeria!$B$5</f>
        <v>7.2252959516288628E-2</v>
      </c>
      <c r="N840" s="1" t="s">
        <v>490</v>
      </c>
      <c r="O840">
        <v>2001</v>
      </c>
      <c r="S840" s="10">
        <f>GraphListeria!$B$43*Listeria!I840+GraphListeria!$B$44</f>
        <v>0.10794020408845384</v>
      </c>
      <c r="U840" s="10">
        <f>GraphListeria!$H$43*Listeria!I840+GraphListeria!$H$44</f>
        <v>7.2252959516289295E-2</v>
      </c>
    </row>
    <row r="841" spans="1:21" x14ac:dyDescent="0.2">
      <c r="A841" s="1" t="s">
        <v>1440</v>
      </c>
      <c r="B841" s="1" t="s">
        <v>1443</v>
      </c>
      <c r="C841" t="s">
        <v>418</v>
      </c>
      <c r="D841" s="1" t="s">
        <v>44</v>
      </c>
      <c r="E841" s="1" t="s">
        <v>415</v>
      </c>
      <c r="F841" s="1"/>
      <c r="G841" s="1"/>
      <c r="I841" s="4">
        <v>62</v>
      </c>
      <c r="J841" s="11">
        <v>0.3</v>
      </c>
      <c r="K841" s="4">
        <v>5.3</v>
      </c>
      <c r="L841" s="12">
        <f t="shared" si="13"/>
        <v>-0.52287874528033762</v>
      </c>
      <c r="M841" s="11">
        <f>GraphListeria!$B$10-(Listeria!I841-GraphListeria!$B$6)/GraphListeria!$B$5</f>
        <v>7.2252959516288628E-2</v>
      </c>
      <c r="N841" s="1" t="s">
        <v>490</v>
      </c>
      <c r="O841">
        <v>2001</v>
      </c>
      <c r="S841" s="10">
        <f>GraphListeria!$B$43*Listeria!I841+GraphListeria!$B$44</f>
        <v>0.10794020408845384</v>
      </c>
      <c r="U841" s="10">
        <f>GraphListeria!$H$43*Listeria!I841+GraphListeria!$H$44</f>
        <v>7.2252959516289295E-2</v>
      </c>
    </row>
    <row r="842" spans="1:21" x14ac:dyDescent="0.2">
      <c r="A842" s="1" t="s">
        <v>1440</v>
      </c>
      <c r="B842" s="1" t="s">
        <v>1443</v>
      </c>
      <c r="C842" t="s">
        <v>419</v>
      </c>
      <c r="D842" s="1" t="s">
        <v>44</v>
      </c>
      <c r="E842" s="1" t="s">
        <v>415</v>
      </c>
      <c r="F842" s="1"/>
      <c r="G842" s="1"/>
      <c r="I842" s="4">
        <v>62</v>
      </c>
      <c r="J842" s="11">
        <v>0.35</v>
      </c>
      <c r="K842" s="4">
        <v>5.6</v>
      </c>
      <c r="L842" s="12">
        <f t="shared" si="13"/>
        <v>-0.45593195564972439</v>
      </c>
      <c r="M842" s="11">
        <f>GraphListeria!$B$10-(Listeria!I842-GraphListeria!$B$6)/GraphListeria!$B$5</f>
        <v>7.2252959516288628E-2</v>
      </c>
      <c r="N842" s="1" t="s">
        <v>490</v>
      </c>
      <c r="O842">
        <v>2001</v>
      </c>
      <c r="S842" s="10">
        <f>GraphListeria!$B$43*Listeria!I842+GraphListeria!$B$44</f>
        <v>0.10794020408845384</v>
      </c>
      <c r="U842" s="10">
        <f>GraphListeria!$H$43*Listeria!I842+GraphListeria!$H$44</f>
        <v>7.2252959516289295E-2</v>
      </c>
    </row>
    <row r="843" spans="1:21" x14ac:dyDescent="0.2">
      <c r="A843" s="1" t="s">
        <v>1440</v>
      </c>
      <c r="B843" s="1" t="s">
        <v>1443</v>
      </c>
      <c r="C843" t="s">
        <v>420</v>
      </c>
      <c r="D843" s="1" t="s">
        <v>44</v>
      </c>
      <c r="E843" s="1" t="s">
        <v>415</v>
      </c>
      <c r="F843" s="1"/>
      <c r="G843" s="1"/>
      <c r="I843" s="4">
        <v>62</v>
      </c>
      <c r="J843" s="11">
        <v>0.38</v>
      </c>
      <c r="K843" s="4">
        <v>5.7</v>
      </c>
      <c r="L843" s="12">
        <f t="shared" ref="L843:L874" si="14">LOG(J843)</f>
        <v>-0.42021640338318983</v>
      </c>
      <c r="M843" s="11">
        <f>GraphListeria!$B$10-(Listeria!I843-GraphListeria!$B$6)/GraphListeria!$B$5</f>
        <v>7.2252959516288628E-2</v>
      </c>
      <c r="N843" s="1" t="s">
        <v>490</v>
      </c>
      <c r="O843">
        <v>2001</v>
      </c>
      <c r="S843" s="10">
        <f>GraphListeria!$B$43*Listeria!I843+GraphListeria!$B$44</f>
        <v>0.10794020408845384</v>
      </c>
      <c r="U843" s="10">
        <f>GraphListeria!$H$43*Listeria!I843+GraphListeria!$H$44</f>
        <v>7.2252959516289295E-2</v>
      </c>
    </row>
    <row r="844" spans="1:21" x14ac:dyDescent="0.2">
      <c r="A844" s="1" t="s">
        <v>1440</v>
      </c>
      <c r="B844" s="1" t="s">
        <v>1443</v>
      </c>
      <c r="C844" t="s">
        <v>414</v>
      </c>
      <c r="D844" s="1" t="s">
        <v>44</v>
      </c>
      <c r="E844" s="1" t="s">
        <v>415</v>
      </c>
      <c r="F844" s="1"/>
      <c r="G844" s="1"/>
      <c r="I844" s="4">
        <v>62</v>
      </c>
      <c r="J844" s="11">
        <v>0.42</v>
      </c>
      <c r="K844" s="4">
        <v>5.6</v>
      </c>
      <c r="L844" s="12">
        <f t="shared" si="14"/>
        <v>-0.37675070960209955</v>
      </c>
      <c r="M844" s="11">
        <f>GraphListeria!$B$10-(Listeria!I844-GraphListeria!$B$6)/GraphListeria!$B$5</f>
        <v>7.2252959516288628E-2</v>
      </c>
      <c r="N844" s="1" t="s">
        <v>490</v>
      </c>
      <c r="O844">
        <v>2001</v>
      </c>
      <c r="S844" s="10">
        <f>GraphListeria!$B$43*Listeria!I844+GraphListeria!$B$44</f>
        <v>0.10794020408845384</v>
      </c>
      <c r="U844" s="10">
        <f>GraphListeria!$H$43*Listeria!I844+GraphListeria!$H$44</f>
        <v>7.2252959516289295E-2</v>
      </c>
    </row>
    <row r="845" spans="1:21" x14ac:dyDescent="0.2">
      <c r="A845" s="1" t="s">
        <v>1440</v>
      </c>
      <c r="B845" s="1" t="s">
        <v>1443</v>
      </c>
      <c r="C845" t="s">
        <v>416</v>
      </c>
      <c r="D845" s="1" t="s">
        <v>44</v>
      </c>
      <c r="E845" s="1" t="s">
        <v>415</v>
      </c>
      <c r="F845" s="1"/>
      <c r="G845" s="1"/>
      <c r="I845" s="4">
        <v>62</v>
      </c>
      <c r="J845" s="11">
        <v>0.46</v>
      </c>
      <c r="K845" s="4">
        <v>6.6</v>
      </c>
      <c r="L845" s="12">
        <f t="shared" si="14"/>
        <v>-0.33724216831842591</v>
      </c>
      <c r="M845" s="11">
        <f>GraphListeria!$B$10-(Listeria!I845-GraphListeria!$B$6)/GraphListeria!$B$5</f>
        <v>7.2252959516288628E-2</v>
      </c>
      <c r="N845" s="1" t="s">
        <v>490</v>
      </c>
      <c r="O845">
        <v>2001</v>
      </c>
      <c r="S845" s="10">
        <f>GraphListeria!$B$43*Listeria!I845+GraphListeria!$B$44</f>
        <v>0.10794020408845384</v>
      </c>
      <c r="U845" s="10">
        <f>GraphListeria!$H$43*Listeria!I845+GraphListeria!$H$44</f>
        <v>7.2252959516289295E-2</v>
      </c>
    </row>
    <row r="846" spans="1:21" x14ac:dyDescent="0.2">
      <c r="A846" s="1" t="s">
        <v>1440</v>
      </c>
      <c r="B846" s="1" t="s">
        <v>1443</v>
      </c>
      <c r="C846" t="s">
        <v>421</v>
      </c>
      <c r="D846" s="1" t="s">
        <v>44</v>
      </c>
      <c r="E846" s="1" t="s">
        <v>415</v>
      </c>
      <c r="F846" s="1"/>
      <c r="G846" s="1"/>
      <c r="I846" s="4">
        <v>62</v>
      </c>
      <c r="J846" s="11">
        <v>1.1000000000000001</v>
      </c>
      <c r="K846" s="4">
        <v>6.9</v>
      </c>
      <c r="L846" s="12">
        <f t="shared" si="14"/>
        <v>4.1392685158225077E-2</v>
      </c>
      <c r="M846" s="11">
        <f>GraphListeria!$B$10-(Listeria!I846-GraphListeria!$B$6)/GraphListeria!$B$5</f>
        <v>7.2252959516288628E-2</v>
      </c>
      <c r="N846" s="1" t="s">
        <v>490</v>
      </c>
      <c r="O846">
        <v>2001</v>
      </c>
      <c r="S846" s="10">
        <f>GraphListeria!$B$43*Listeria!I846+GraphListeria!$B$44</f>
        <v>0.10794020408845384</v>
      </c>
      <c r="U846" s="10">
        <f>GraphListeria!$H$43*Listeria!I846+GraphListeria!$H$44</f>
        <v>7.2252959516289295E-2</v>
      </c>
    </row>
    <row r="847" spans="1:21" x14ac:dyDescent="0.2">
      <c r="A847" s="1" t="s">
        <v>1440</v>
      </c>
      <c r="B847" s="1" t="s">
        <v>1443</v>
      </c>
      <c r="C847" t="s">
        <v>422</v>
      </c>
      <c r="D847" s="1" t="s">
        <v>44</v>
      </c>
      <c r="E847" s="1" t="s">
        <v>415</v>
      </c>
      <c r="F847" s="1"/>
      <c r="G847" s="1"/>
      <c r="I847" s="4">
        <v>62</v>
      </c>
      <c r="J847" s="11">
        <v>1.3</v>
      </c>
      <c r="K847" s="4">
        <v>6.1</v>
      </c>
      <c r="L847" s="12">
        <f t="shared" si="14"/>
        <v>0.11394335230683679</v>
      </c>
      <c r="M847" s="11">
        <f>GraphListeria!$B$10-(Listeria!I847-GraphListeria!$B$6)/GraphListeria!$B$5</f>
        <v>7.2252959516288628E-2</v>
      </c>
      <c r="N847" s="1" t="s">
        <v>490</v>
      </c>
      <c r="O847">
        <v>2001</v>
      </c>
      <c r="S847" s="10">
        <f>GraphListeria!$B$43*Listeria!I847+GraphListeria!$B$44</f>
        <v>0.10794020408845384</v>
      </c>
      <c r="U847" s="10">
        <f>GraphListeria!$H$43*Listeria!I847+GraphListeria!$H$44</f>
        <v>7.2252959516289295E-2</v>
      </c>
    </row>
    <row r="848" spans="1:21" x14ac:dyDescent="0.2">
      <c r="A848" s="1" t="s">
        <v>1440</v>
      </c>
      <c r="B848" s="1" t="s">
        <v>1443</v>
      </c>
      <c r="C848" t="s">
        <v>57</v>
      </c>
      <c r="D848" s="1" t="s">
        <v>44</v>
      </c>
      <c r="E848" s="1" t="s">
        <v>1252</v>
      </c>
      <c r="F848" s="19" t="s">
        <v>53</v>
      </c>
      <c r="G848" s="19" t="s">
        <v>511</v>
      </c>
      <c r="I848" s="4">
        <v>62.8</v>
      </c>
      <c r="J848" s="11">
        <v>0.74</v>
      </c>
      <c r="L848" s="12">
        <f t="shared" si="14"/>
        <v>-0.13076828026902382</v>
      </c>
      <c r="M848" s="11">
        <f>GraphListeria!$B$10-(Listeria!I848-GraphListeria!$B$6)/GraphListeria!$B$5</f>
        <v>-4.1339244798784813E-2</v>
      </c>
      <c r="N848" s="1" t="s">
        <v>490</v>
      </c>
      <c r="O848">
        <v>2001</v>
      </c>
      <c r="S848" s="10">
        <f>GraphListeria!$B$43*Listeria!I848+GraphListeria!$B$44</f>
        <v>-2.5203935135849065E-3</v>
      </c>
      <c r="U848" s="10">
        <f>GraphListeria!$H$43*Listeria!I848+GraphListeria!$H$44</f>
        <v>-4.1339244798784591E-2</v>
      </c>
    </row>
    <row r="849" spans="1:21" x14ac:dyDescent="0.2">
      <c r="A849" s="1" t="s">
        <v>1440</v>
      </c>
      <c r="B849" s="1" t="s">
        <v>1443</v>
      </c>
      <c r="C849" t="s">
        <v>57</v>
      </c>
      <c r="D849" s="1" t="s">
        <v>44</v>
      </c>
      <c r="E849" s="1" t="s">
        <v>1252</v>
      </c>
      <c r="F849" s="19" t="s">
        <v>53</v>
      </c>
      <c r="G849" s="19" t="s">
        <v>517</v>
      </c>
      <c r="I849" s="4">
        <v>62.8</v>
      </c>
      <c r="J849" s="11">
        <v>0.97</v>
      </c>
      <c r="L849" s="12">
        <f t="shared" si="14"/>
        <v>-1.322826573375516E-2</v>
      </c>
      <c r="M849" s="11">
        <f>GraphListeria!$B$10-(Listeria!I849-GraphListeria!$B$6)/GraphListeria!$B$5</f>
        <v>-4.1339244798784813E-2</v>
      </c>
      <c r="N849" s="1" t="s">
        <v>490</v>
      </c>
      <c r="O849">
        <v>2001</v>
      </c>
      <c r="S849" s="10">
        <f>GraphListeria!$B$43*Listeria!I849+GraphListeria!$B$44</f>
        <v>-2.5203935135849065E-3</v>
      </c>
      <c r="U849" s="10">
        <f>GraphListeria!$H$43*Listeria!I849+GraphListeria!$H$44</f>
        <v>-4.1339244798784591E-2</v>
      </c>
    </row>
    <row r="850" spans="1:21" x14ac:dyDescent="0.2">
      <c r="A850" s="1" t="s">
        <v>1440</v>
      </c>
      <c r="B850" s="1" t="s">
        <v>1443</v>
      </c>
      <c r="C850" t="s">
        <v>57</v>
      </c>
      <c r="D850" s="1" t="s">
        <v>44</v>
      </c>
      <c r="E850" s="1" t="s">
        <v>1252</v>
      </c>
      <c r="F850" s="19" t="s">
        <v>53</v>
      </c>
      <c r="G850" s="19" t="s">
        <v>512</v>
      </c>
      <c r="I850" s="4">
        <v>62.8</v>
      </c>
      <c r="J850" s="11">
        <v>3</v>
      </c>
      <c r="L850" s="12">
        <f t="shared" si="14"/>
        <v>0.47712125471966244</v>
      </c>
      <c r="M850" s="11">
        <f>GraphListeria!$B$10-(Listeria!I850-GraphListeria!$B$6)/GraphListeria!$B$5</f>
        <v>-4.1339244798784813E-2</v>
      </c>
      <c r="N850" s="1" t="s">
        <v>490</v>
      </c>
      <c r="O850">
        <v>2001</v>
      </c>
      <c r="S850" s="10">
        <f>GraphListeria!$B$43*Listeria!I850+GraphListeria!$B$44</f>
        <v>-2.5203935135849065E-3</v>
      </c>
      <c r="U850" s="10">
        <f>GraphListeria!$H$43*Listeria!I850+GraphListeria!$H$44</f>
        <v>-4.1339244798784591E-2</v>
      </c>
    </row>
    <row r="851" spans="1:21" x14ac:dyDescent="0.2">
      <c r="A851" s="1" t="s">
        <v>1440</v>
      </c>
      <c r="B851" s="1" t="s">
        <v>1443</v>
      </c>
      <c r="D851" t="s">
        <v>44</v>
      </c>
      <c r="E851" s="1" t="s">
        <v>1449</v>
      </c>
      <c r="F851" t="s">
        <v>34</v>
      </c>
      <c r="I851" s="4">
        <v>63</v>
      </c>
      <c r="J851" s="11">
        <v>1</v>
      </c>
      <c r="L851" s="12">
        <f t="shared" si="14"/>
        <v>0</v>
      </c>
      <c r="M851" s="11">
        <f>GraphListeria!$B$10-(Listeria!I851-GraphListeria!$B$6)/GraphListeria!$B$5</f>
        <v>-6.973729587755384E-2</v>
      </c>
      <c r="N851" s="2" t="s">
        <v>1226</v>
      </c>
      <c r="O851">
        <v>1996</v>
      </c>
      <c r="P851" t="s">
        <v>35</v>
      </c>
      <c r="S851" s="10">
        <f>GraphListeria!$B$43*Listeria!I851+GraphListeria!$B$44</f>
        <v>-3.0135542914095481E-2</v>
      </c>
      <c r="U851" s="10">
        <f>GraphListeria!$H$43*Listeria!I851+GraphListeria!$H$44</f>
        <v>-6.9737295877553507E-2</v>
      </c>
    </row>
    <row r="852" spans="1:21" x14ac:dyDescent="0.2">
      <c r="A852" s="1" t="s">
        <v>1440</v>
      </c>
      <c r="B852" s="1" t="s">
        <v>1443</v>
      </c>
      <c r="C852" t="s">
        <v>57</v>
      </c>
      <c r="D852" s="1" t="s">
        <v>44</v>
      </c>
      <c r="E852" s="1" t="s">
        <v>69</v>
      </c>
      <c r="F852" s="1"/>
      <c r="G852" s="1"/>
      <c r="I852" s="4">
        <v>64</v>
      </c>
      <c r="J852" s="11">
        <v>0.15</v>
      </c>
      <c r="K852" s="4">
        <v>7.27</v>
      </c>
      <c r="L852" s="12">
        <f t="shared" si="14"/>
        <v>-0.82390874094431876</v>
      </c>
      <c r="M852" s="11">
        <f>GraphListeria!$B$10-(Listeria!I852-GraphListeria!$B$6)/GraphListeria!$B$5</f>
        <v>-0.21172755127139631</v>
      </c>
      <c r="N852" s="1" t="s">
        <v>606</v>
      </c>
      <c r="O852">
        <v>1998</v>
      </c>
      <c r="S852" s="10">
        <f>GraphListeria!$B$43*Listeria!I852+GraphListeria!$B$44</f>
        <v>-0.1682112899166448</v>
      </c>
      <c r="U852" s="10">
        <f>GraphListeria!$H$43*Listeria!I852+GraphListeria!$H$44</f>
        <v>-0.21172755127139631</v>
      </c>
    </row>
    <row r="853" spans="1:21" x14ac:dyDescent="0.2">
      <c r="A853" s="1" t="s">
        <v>1440</v>
      </c>
      <c r="B853" s="1" t="s">
        <v>1443</v>
      </c>
      <c r="C853">
        <v>1151</v>
      </c>
      <c r="D853" s="1" t="s">
        <v>44</v>
      </c>
      <c r="E853" s="1" t="s">
        <v>69</v>
      </c>
      <c r="F853" s="1"/>
      <c r="G853" s="1"/>
      <c r="I853" s="4">
        <v>64</v>
      </c>
      <c r="J853" s="11">
        <v>0.23</v>
      </c>
      <c r="K853" s="4">
        <v>7.05</v>
      </c>
      <c r="L853" s="12">
        <f t="shared" si="14"/>
        <v>-0.63827216398240705</v>
      </c>
      <c r="M853" s="11">
        <f>GraphListeria!$B$10-(Listeria!I853-GraphListeria!$B$6)/GraphListeria!$B$5</f>
        <v>-0.21172755127139631</v>
      </c>
      <c r="N853" s="1" t="s">
        <v>606</v>
      </c>
      <c r="O853">
        <v>1998</v>
      </c>
      <c r="S853" s="10">
        <f>GraphListeria!$B$43*Listeria!I853+GraphListeria!$B$44</f>
        <v>-0.1682112899166448</v>
      </c>
      <c r="U853" s="10">
        <f>GraphListeria!$H$43*Listeria!I853+GraphListeria!$H$44</f>
        <v>-0.21172755127139631</v>
      </c>
    </row>
    <row r="854" spans="1:21" x14ac:dyDescent="0.2">
      <c r="A854" s="1" t="s">
        <v>1440</v>
      </c>
      <c r="B854" s="1" t="s">
        <v>1443</v>
      </c>
      <c r="C854" t="s">
        <v>421</v>
      </c>
      <c r="D854" s="1" t="s">
        <v>44</v>
      </c>
      <c r="E854" s="1" t="s">
        <v>415</v>
      </c>
      <c r="F854" s="1"/>
      <c r="G854" s="1"/>
      <c r="I854" s="4">
        <v>64</v>
      </c>
      <c r="J854" s="11">
        <v>0.5</v>
      </c>
      <c r="K854" s="4">
        <v>6.9</v>
      </c>
      <c r="L854" s="12">
        <f t="shared" si="14"/>
        <v>-0.3010299956639812</v>
      </c>
      <c r="M854" s="11">
        <f>GraphListeria!$B$10-(Listeria!I854-GraphListeria!$B$6)/GraphListeria!$B$5</f>
        <v>-0.21172755127139631</v>
      </c>
      <c r="N854" s="1" t="s">
        <v>490</v>
      </c>
      <c r="O854">
        <v>2001</v>
      </c>
      <c r="S854" s="10">
        <f>GraphListeria!$B$43*Listeria!I854+GraphListeria!$B$44</f>
        <v>-0.1682112899166448</v>
      </c>
      <c r="U854" s="10">
        <f>GraphListeria!$H$43*Listeria!I854+GraphListeria!$H$44</f>
        <v>-0.21172755127139631</v>
      </c>
    </row>
    <row r="855" spans="1:21" x14ac:dyDescent="0.2">
      <c r="A855" s="1" t="s">
        <v>1440</v>
      </c>
      <c r="B855" s="1" t="s">
        <v>1443</v>
      </c>
      <c r="C855" t="s">
        <v>422</v>
      </c>
      <c r="D855" s="1" t="s">
        <v>44</v>
      </c>
      <c r="E855" s="1" t="s">
        <v>415</v>
      </c>
      <c r="F855" s="1"/>
      <c r="G855" s="1"/>
      <c r="I855" s="4">
        <v>64</v>
      </c>
      <c r="J855" s="11">
        <v>0.68</v>
      </c>
      <c r="K855" s="4">
        <v>6.1</v>
      </c>
      <c r="L855" s="12">
        <f t="shared" si="14"/>
        <v>-0.16749108729376366</v>
      </c>
      <c r="M855" s="11">
        <f>GraphListeria!$B$10-(Listeria!I855-GraphListeria!$B$6)/GraphListeria!$B$5</f>
        <v>-0.21172755127139631</v>
      </c>
      <c r="N855" s="1" t="s">
        <v>490</v>
      </c>
      <c r="O855">
        <v>2001</v>
      </c>
      <c r="S855" s="10">
        <f>GraphListeria!$B$43*Listeria!I855+GraphListeria!$B$44</f>
        <v>-0.1682112899166448</v>
      </c>
      <c r="U855" s="10">
        <f>GraphListeria!$H$43*Listeria!I855+GraphListeria!$H$44</f>
        <v>-0.21172755127139631</v>
      </c>
    </row>
    <row r="856" spans="1:21" x14ac:dyDescent="0.2">
      <c r="A856" s="1" t="s">
        <v>1440</v>
      </c>
      <c r="B856" s="1" t="s">
        <v>1443</v>
      </c>
      <c r="C856" t="s">
        <v>57</v>
      </c>
      <c r="D856" s="1" t="s">
        <v>44</v>
      </c>
      <c r="E856" s="1" t="s">
        <v>428</v>
      </c>
      <c r="F856" s="1"/>
      <c r="G856" s="1"/>
      <c r="I856" s="4">
        <v>65</v>
      </c>
      <c r="J856" s="11">
        <v>0.28000000000000003</v>
      </c>
      <c r="K856" s="4">
        <v>6.6</v>
      </c>
      <c r="L856" s="12">
        <f t="shared" si="14"/>
        <v>-0.55284196865778079</v>
      </c>
      <c r="M856" s="11">
        <f>GraphListeria!$B$10-(Listeria!I856-GraphListeria!$B$6)/GraphListeria!$B$5</f>
        <v>-0.35371780666523878</v>
      </c>
      <c r="N856" s="1" t="s">
        <v>490</v>
      </c>
      <c r="O856">
        <v>2001</v>
      </c>
      <c r="P856" t="s">
        <v>322</v>
      </c>
      <c r="S856" s="10">
        <f>GraphListeria!$B$43*Listeria!I856+GraphListeria!$B$44</f>
        <v>-0.30628703691919412</v>
      </c>
      <c r="U856" s="10">
        <f>GraphListeria!$H$43*Listeria!I856+GraphListeria!$H$44</f>
        <v>-0.35371780666523911</v>
      </c>
    </row>
    <row r="857" spans="1:21" x14ac:dyDescent="0.2">
      <c r="A857" s="1" t="s">
        <v>1440</v>
      </c>
      <c r="B857" s="1" t="s">
        <v>1443</v>
      </c>
      <c r="D857" s="1" t="s">
        <v>44</v>
      </c>
      <c r="E857" s="1" t="s">
        <v>1252</v>
      </c>
      <c r="H857" s="4">
        <v>7.2</v>
      </c>
      <c r="I857" s="4">
        <v>65</v>
      </c>
      <c r="J857" s="11">
        <v>0.28999999999999998</v>
      </c>
      <c r="L857" s="12">
        <f t="shared" si="14"/>
        <v>-0.53760200210104392</v>
      </c>
      <c r="M857" s="11">
        <f>GraphListeria!$B$10-(Listeria!I857-GraphListeria!$B$6)/GraphListeria!$B$5</f>
        <v>-0.35371780666523878</v>
      </c>
      <c r="N857" s="2" t="s">
        <v>1226</v>
      </c>
      <c r="O857">
        <v>1996</v>
      </c>
      <c r="S857" s="10">
        <f>GraphListeria!$B$43*Listeria!I857+GraphListeria!$B$44</f>
        <v>-0.30628703691919412</v>
      </c>
      <c r="U857" s="10">
        <f>GraphListeria!$H$43*Listeria!I857+GraphListeria!$H$44</f>
        <v>-0.35371780666523911</v>
      </c>
    </row>
    <row r="858" spans="1:21" x14ac:dyDescent="0.2">
      <c r="A858" s="1" t="s">
        <v>1440</v>
      </c>
      <c r="B858" s="1" t="s">
        <v>1443</v>
      </c>
      <c r="C858" t="s">
        <v>57</v>
      </c>
      <c r="D858" s="1" t="s">
        <v>44</v>
      </c>
      <c r="E858" s="1" t="s">
        <v>428</v>
      </c>
      <c r="F858" s="1"/>
      <c r="G858" s="1"/>
      <c r="I858" s="4">
        <v>65</v>
      </c>
      <c r="J858" s="11">
        <v>0.54</v>
      </c>
      <c r="K858" s="4">
        <v>6.7</v>
      </c>
      <c r="L858" s="12">
        <f t="shared" si="14"/>
        <v>-0.26760624017703144</v>
      </c>
      <c r="M858" s="11">
        <f>GraphListeria!$B$10-(Listeria!I858-GraphListeria!$B$6)/GraphListeria!$B$5</f>
        <v>-0.35371780666523878</v>
      </c>
      <c r="N858" s="1" t="s">
        <v>490</v>
      </c>
      <c r="O858">
        <v>2001</v>
      </c>
      <c r="P858" t="s">
        <v>431</v>
      </c>
      <c r="S858" s="10">
        <f>GraphListeria!$B$43*Listeria!I858+GraphListeria!$B$44</f>
        <v>-0.30628703691919412</v>
      </c>
      <c r="U858" s="10">
        <f>GraphListeria!$H$43*Listeria!I858+GraphListeria!$H$44</f>
        <v>-0.35371780666523911</v>
      </c>
    </row>
    <row r="859" spans="1:21" x14ac:dyDescent="0.2">
      <c r="A859" s="1" t="s">
        <v>1440</v>
      </c>
      <c r="B859" s="1" t="s">
        <v>1443</v>
      </c>
      <c r="C859" t="s">
        <v>57</v>
      </c>
      <c r="D859" s="1" t="s">
        <v>44</v>
      </c>
      <c r="E859" s="1" t="s">
        <v>1252</v>
      </c>
      <c r="F859" s="19" t="s">
        <v>53</v>
      </c>
      <c r="G859" s="19" t="s">
        <v>511</v>
      </c>
      <c r="I859" s="4">
        <v>65.599999999999994</v>
      </c>
      <c r="J859" s="11">
        <v>0.36</v>
      </c>
      <c r="L859" s="12">
        <f t="shared" si="14"/>
        <v>-0.44369749923271273</v>
      </c>
      <c r="M859" s="11">
        <f>GraphListeria!$B$10-(Listeria!I859-GraphListeria!$B$6)/GraphListeria!$B$5</f>
        <v>-0.43891195990154352</v>
      </c>
      <c r="N859" s="1" t="s">
        <v>490</v>
      </c>
      <c r="O859">
        <v>2001</v>
      </c>
      <c r="S859" s="10">
        <f>GraphListeria!$B$43*Listeria!I859+GraphListeria!$B$44</f>
        <v>-0.38913248512072407</v>
      </c>
      <c r="U859" s="10">
        <f>GraphListeria!$H$43*Listeria!I859+GraphListeria!$H$44</f>
        <v>-0.43891195990154408</v>
      </c>
    </row>
    <row r="860" spans="1:21" x14ac:dyDescent="0.2">
      <c r="A860" s="1" t="s">
        <v>1440</v>
      </c>
      <c r="B860" s="1" t="s">
        <v>1443</v>
      </c>
      <c r="C860" t="s">
        <v>57</v>
      </c>
      <c r="D860" s="1" t="s">
        <v>44</v>
      </c>
      <c r="E860" s="1" t="s">
        <v>1252</v>
      </c>
      <c r="F860" s="19" t="s">
        <v>53</v>
      </c>
      <c r="G860" s="19" t="s">
        <v>517</v>
      </c>
      <c r="I860" s="4">
        <v>65.599999999999994</v>
      </c>
      <c r="J860" s="11">
        <v>0.52</v>
      </c>
      <c r="L860" s="12">
        <f t="shared" si="14"/>
        <v>-0.28399665636520083</v>
      </c>
      <c r="M860" s="11">
        <f>GraphListeria!$B$10-(Listeria!I860-GraphListeria!$B$6)/GraphListeria!$B$5</f>
        <v>-0.43891195990154352</v>
      </c>
      <c r="N860" s="1" t="s">
        <v>490</v>
      </c>
      <c r="O860">
        <v>2001</v>
      </c>
      <c r="S860" s="10">
        <f>GraphListeria!$B$43*Listeria!I860+GraphListeria!$B$44</f>
        <v>-0.38913248512072407</v>
      </c>
      <c r="U860" s="10">
        <f>GraphListeria!$H$43*Listeria!I860+GraphListeria!$H$44</f>
        <v>-0.43891195990154408</v>
      </c>
    </row>
    <row r="861" spans="1:21" x14ac:dyDescent="0.2">
      <c r="A861" s="1" t="s">
        <v>1440</v>
      </c>
      <c r="B861" s="1" t="s">
        <v>1443</v>
      </c>
      <c r="C861" t="s">
        <v>57</v>
      </c>
      <c r="D861" s="1" t="s">
        <v>44</v>
      </c>
      <c r="E861" s="1" t="s">
        <v>1252</v>
      </c>
      <c r="F861" s="19" t="s">
        <v>53</v>
      </c>
      <c r="G861" s="19" t="s">
        <v>512</v>
      </c>
      <c r="I861" s="4">
        <v>65.599999999999994</v>
      </c>
      <c r="J861" s="11">
        <v>1.1000000000000001</v>
      </c>
      <c r="L861" s="12">
        <f t="shared" si="14"/>
        <v>4.1392685158225077E-2</v>
      </c>
      <c r="M861" s="11">
        <f>GraphListeria!$B$10-(Listeria!I861-GraphListeria!$B$6)/GraphListeria!$B$5</f>
        <v>-0.43891195990154352</v>
      </c>
      <c r="N861" s="1" t="s">
        <v>490</v>
      </c>
      <c r="O861">
        <v>2001</v>
      </c>
      <c r="S861" s="10">
        <f>GraphListeria!$B$43*Listeria!I861+GraphListeria!$B$44</f>
        <v>-0.38913248512072407</v>
      </c>
      <c r="U861" s="10">
        <f>GraphListeria!$H$43*Listeria!I861+GraphListeria!$H$44</f>
        <v>-0.43891195990154408</v>
      </c>
    </row>
    <row r="862" spans="1:21" x14ac:dyDescent="0.2">
      <c r="A862" s="1" t="s">
        <v>1440</v>
      </c>
      <c r="B862" s="1" t="s">
        <v>1443</v>
      </c>
      <c r="C862" t="s">
        <v>57</v>
      </c>
      <c r="D862" s="1" t="s">
        <v>44</v>
      </c>
      <c r="E862" s="1" t="s">
        <v>1252</v>
      </c>
      <c r="F862" s="1"/>
      <c r="G862" s="1"/>
      <c r="I862" s="4">
        <v>66</v>
      </c>
      <c r="J862" s="11">
        <v>0.1</v>
      </c>
      <c r="K862" s="4">
        <v>5.9</v>
      </c>
      <c r="L862" s="12">
        <f t="shared" si="14"/>
        <v>-1</v>
      </c>
      <c r="M862" s="11">
        <f>GraphListeria!$B$10-(Listeria!I862-GraphListeria!$B$6)/GraphListeria!$B$5</f>
        <v>-0.49570806205908136</v>
      </c>
      <c r="N862" s="1" t="s">
        <v>490</v>
      </c>
      <c r="O862">
        <v>2001</v>
      </c>
      <c r="S862" s="10">
        <f>GraphListeria!$B$43*Listeria!I862+GraphListeria!$B$44</f>
        <v>-0.44436278392174344</v>
      </c>
      <c r="U862" s="10">
        <f>GraphListeria!$H$43*Listeria!I862+GraphListeria!$H$44</f>
        <v>-0.49570806205908191</v>
      </c>
    </row>
    <row r="863" spans="1:21" x14ac:dyDescent="0.2">
      <c r="A863" s="1" t="s">
        <v>1440</v>
      </c>
      <c r="B863" s="1" t="s">
        <v>1443</v>
      </c>
      <c r="C863" t="s">
        <v>413</v>
      </c>
      <c r="D863" s="1" t="s">
        <v>44</v>
      </c>
      <c r="E863" s="1" t="s">
        <v>1252</v>
      </c>
      <c r="F863" s="1"/>
      <c r="G863" s="1"/>
      <c r="I863" s="4">
        <v>66</v>
      </c>
      <c r="J863" s="11">
        <v>0.1</v>
      </c>
      <c r="K863" s="4">
        <v>6.6</v>
      </c>
      <c r="L863" s="12">
        <f t="shared" si="14"/>
        <v>-1</v>
      </c>
      <c r="M863" s="11">
        <f>GraphListeria!$B$10-(Listeria!I863-GraphListeria!$B$6)/GraphListeria!$B$5</f>
        <v>-0.49570806205908136</v>
      </c>
      <c r="N863" s="1" t="s">
        <v>490</v>
      </c>
      <c r="O863">
        <v>2001</v>
      </c>
      <c r="S863" s="10">
        <f>GraphListeria!$B$43*Listeria!I863+GraphListeria!$B$44</f>
        <v>-0.44436278392174344</v>
      </c>
      <c r="U863" s="10">
        <f>GraphListeria!$H$43*Listeria!I863+GraphListeria!$H$44</f>
        <v>-0.49570806205908191</v>
      </c>
    </row>
    <row r="864" spans="1:21" x14ac:dyDescent="0.2">
      <c r="A864" s="1" t="s">
        <v>1440</v>
      </c>
      <c r="B864" s="1" t="s">
        <v>1443</v>
      </c>
      <c r="D864" t="s">
        <v>44</v>
      </c>
      <c r="E864" s="1" t="s">
        <v>1449</v>
      </c>
      <c r="F864" t="s">
        <v>34</v>
      </c>
      <c r="I864" s="4">
        <v>66</v>
      </c>
      <c r="J864" s="11">
        <v>0.4</v>
      </c>
      <c r="L864" s="12">
        <f t="shared" si="14"/>
        <v>-0.3979400086720376</v>
      </c>
      <c r="M864" s="11">
        <f>GraphListeria!$B$10-(Listeria!I864-GraphListeria!$B$6)/GraphListeria!$B$5</f>
        <v>-0.49570806205908136</v>
      </c>
      <c r="N864" s="2" t="s">
        <v>1226</v>
      </c>
      <c r="O864">
        <v>1996</v>
      </c>
      <c r="P864" t="s">
        <v>35</v>
      </c>
      <c r="S864" s="10">
        <f>GraphListeria!$B$43*Listeria!I864+GraphListeria!$B$44</f>
        <v>-0.44436278392174344</v>
      </c>
      <c r="U864" s="10">
        <f>GraphListeria!$H$43*Listeria!I864+GraphListeria!$H$44</f>
        <v>-0.49570806205908191</v>
      </c>
    </row>
    <row r="865" spans="1:21" x14ac:dyDescent="0.2">
      <c r="A865" s="1" t="s">
        <v>1440</v>
      </c>
      <c r="B865" s="1" t="s">
        <v>1443</v>
      </c>
      <c r="C865" t="s">
        <v>712</v>
      </c>
      <c r="D865" s="1" t="s">
        <v>44</v>
      </c>
      <c r="E865" s="1" t="s">
        <v>426</v>
      </c>
      <c r="F865" s="1"/>
      <c r="G865" s="1"/>
      <c r="I865" s="4">
        <v>66</v>
      </c>
      <c r="J865" s="11">
        <v>0.4</v>
      </c>
      <c r="K865" s="4">
        <v>6</v>
      </c>
      <c r="L865" s="12">
        <f t="shared" si="14"/>
        <v>-0.3979400086720376</v>
      </c>
      <c r="M865" s="11">
        <f>GraphListeria!$B$10-(Listeria!I865-GraphListeria!$B$6)/GraphListeria!$B$5</f>
        <v>-0.49570806205908136</v>
      </c>
      <c r="N865" s="1" t="s">
        <v>490</v>
      </c>
      <c r="O865">
        <v>2001</v>
      </c>
      <c r="S865" s="10">
        <f>GraphListeria!$B$43*Listeria!I865+GraphListeria!$B$44</f>
        <v>-0.44436278392174344</v>
      </c>
      <c r="U865" s="10">
        <f>GraphListeria!$H$43*Listeria!I865+GraphListeria!$H$44</f>
        <v>-0.49570806205908191</v>
      </c>
    </row>
    <row r="866" spans="1:21" x14ac:dyDescent="0.2">
      <c r="A866" s="1" t="s">
        <v>1440</v>
      </c>
      <c r="B866" s="1" t="s">
        <v>1443</v>
      </c>
      <c r="C866" t="s">
        <v>57</v>
      </c>
      <c r="D866" s="1" t="s">
        <v>44</v>
      </c>
      <c r="E866" s="1" t="s">
        <v>69</v>
      </c>
      <c r="F866" s="1"/>
      <c r="G866" s="1"/>
      <c r="I866" s="4">
        <v>68</v>
      </c>
      <c r="J866" s="11">
        <f>3.98/60</f>
        <v>6.6333333333333327E-2</v>
      </c>
      <c r="L866" s="12">
        <f t="shared" si="14"/>
        <v>-1.1782681783099558</v>
      </c>
      <c r="M866" s="11">
        <f>GraphListeria!$B$10-(Listeria!I866-GraphListeria!$B$6)/GraphListeria!$B$5</f>
        <v>-0.7796885728467664</v>
      </c>
      <c r="N866" s="1" t="s">
        <v>606</v>
      </c>
      <c r="O866">
        <v>1998</v>
      </c>
      <c r="S866" s="10">
        <f>GraphListeria!$B$43*Listeria!I866+GraphListeria!$B$44</f>
        <v>-0.72051427792684386</v>
      </c>
      <c r="U866" s="10">
        <f>GraphListeria!$H$43*Listeria!I866+GraphListeria!$H$44</f>
        <v>-0.77968857284676574</v>
      </c>
    </row>
    <row r="867" spans="1:21" x14ac:dyDescent="0.2">
      <c r="A867" s="1" t="s">
        <v>1440</v>
      </c>
      <c r="B867" s="1" t="s">
        <v>1443</v>
      </c>
      <c r="C867">
        <v>1151</v>
      </c>
      <c r="D867" s="1" t="s">
        <v>44</v>
      </c>
      <c r="E867" s="1" t="s">
        <v>69</v>
      </c>
      <c r="F867" s="1"/>
      <c r="G867" s="1"/>
      <c r="I867" s="4">
        <v>68</v>
      </c>
      <c r="J867" s="11">
        <f>7.07/60</f>
        <v>0.11783333333333333</v>
      </c>
      <c r="L867" s="12">
        <f t="shared" si="14"/>
        <v>-0.92873183658674419</v>
      </c>
      <c r="M867" s="11">
        <f>GraphListeria!$B$10-(Listeria!I867-GraphListeria!$B$6)/GraphListeria!$B$5</f>
        <v>-0.7796885728467664</v>
      </c>
      <c r="N867" s="1" t="s">
        <v>606</v>
      </c>
      <c r="O867">
        <v>1998</v>
      </c>
      <c r="S867" s="10">
        <f>GraphListeria!$B$43*Listeria!I867+GraphListeria!$B$44</f>
        <v>-0.72051427792684386</v>
      </c>
      <c r="U867" s="10">
        <f>GraphListeria!$H$43*Listeria!I867+GraphListeria!$H$44</f>
        <v>-0.77968857284676574</v>
      </c>
    </row>
    <row r="868" spans="1:21" x14ac:dyDescent="0.2">
      <c r="A868" s="1" t="s">
        <v>1440</v>
      </c>
      <c r="B868" s="1" t="s">
        <v>1443</v>
      </c>
      <c r="C868" t="s">
        <v>57</v>
      </c>
      <c r="D868" s="1" t="s">
        <v>44</v>
      </c>
      <c r="E868" s="1" t="s">
        <v>1252</v>
      </c>
      <c r="F868" s="19" t="s">
        <v>53</v>
      </c>
      <c r="G868" s="19" t="s">
        <v>511</v>
      </c>
      <c r="I868" s="4">
        <v>68.3</v>
      </c>
      <c r="J868" s="11">
        <v>0.15</v>
      </c>
      <c r="L868" s="12">
        <f t="shared" si="14"/>
        <v>-0.82390874094431876</v>
      </c>
      <c r="M868" s="11">
        <f>GraphListeria!$B$10-(Listeria!I868-GraphListeria!$B$6)/GraphListeria!$B$5</f>
        <v>-0.82228564946491867</v>
      </c>
      <c r="N868" s="1" t="s">
        <v>490</v>
      </c>
      <c r="O868">
        <v>2001</v>
      </c>
      <c r="S868" s="10">
        <f>GraphListeria!$B$43*Listeria!I868+GraphListeria!$B$44</f>
        <v>-0.76193700202760795</v>
      </c>
      <c r="U868" s="10">
        <f>GraphListeria!$H$43*Listeria!I868+GraphListeria!$H$44</f>
        <v>-0.82228564946491822</v>
      </c>
    </row>
    <row r="869" spans="1:21" x14ac:dyDescent="0.2">
      <c r="A869" s="1" t="s">
        <v>1440</v>
      </c>
      <c r="B869" s="1" t="s">
        <v>1443</v>
      </c>
      <c r="C869" t="s">
        <v>57</v>
      </c>
      <c r="D869" s="1" t="s">
        <v>44</v>
      </c>
      <c r="E869" s="1" t="s">
        <v>1252</v>
      </c>
      <c r="F869" s="19" t="s">
        <v>53</v>
      </c>
      <c r="G869" s="19" t="s">
        <v>517</v>
      </c>
      <c r="I869" s="4">
        <v>68.3</v>
      </c>
      <c r="J869" s="11">
        <v>0.3</v>
      </c>
      <c r="L869" s="12">
        <f t="shared" si="14"/>
        <v>-0.52287874528033762</v>
      </c>
      <c r="M869" s="11">
        <f>GraphListeria!$B$10-(Listeria!I869-GraphListeria!$B$6)/GraphListeria!$B$5</f>
        <v>-0.82228564946491867</v>
      </c>
      <c r="N869" s="1" t="s">
        <v>490</v>
      </c>
      <c r="O869">
        <v>2001</v>
      </c>
      <c r="S869" s="10">
        <f>GraphListeria!$B$43*Listeria!I869+GraphListeria!$B$44</f>
        <v>-0.76193700202760795</v>
      </c>
      <c r="U869" s="10">
        <f>GraphListeria!$H$43*Listeria!I869+GraphListeria!$H$44</f>
        <v>-0.82228564946491822</v>
      </c>
    </row>
    <row r="870" spans="1:21" x14ac:dyDescent="0.2">
      <c r="A870" s="1" t="s">
        <v>1440</v>
      </c>
      <c r="B870" s="1" t="s">
        <v>1443</v>
      </c>
      <c r="C870" t="s">
        <v>57</v>
      </c>
      <c r="D870" s="1" t="s">
        <v>44</v>
      </c>
      <c r="E870" s="1" t="s">
        <v>1252</v>
      </c>
      <c r="F870" s="19" t="s">
        <v>53</v>
      </c>
      <c r="G870" s="19" t="s">
        <v>512</v>
      </c>
      <c r="I870" s="4">
        <v>68.3</v>
      </c>
      <c r="J870" s="11">
        <v>0.47</v>
      </c>
      <c r="L870" s="12">
        <f t="shared" si="14"/>
        <v>-0.32790214206428259</v>
      </c>
      <c r="M870" s="11">
        <f>GraphListeria!$B$10-(Listeria!I870-GraphListeria!$B$6)/GraphListeria!$B$5</f>
        <v>-0.82228564946491867</v>
      </c>
      <c r="N870" s="1" t="s">
        <v>490</v>
      </c>
      <c r="O870">
        <v>2001</v>
      </c>
      <c r="S870" s="10">
        <f>GraphListeria!$B$43*Listeria!I870+GraphListeria!$B$44</f>
        <v>-0.76193700202760795</v>
      </c>
      <c r="U870" s="10">
        <f>GraphListeria!$H$43*Listeria!I870+GraphListeria!$H$44</f>
        <v>-0.82228564946491822</v>
      </c>
    </row>
    <row r="871" spans="1:21" x14ac:dyDescent="0.2">
      <c r="A871" s="1" t="s">
        <v>1440</v>
      </c>
      <c r="B871" s="1" t="s">
        <v>1443</v>
      </c>
      <c r="D871" s="1" t="s">
        <v>44</v>
      </c>
      <c r="E871" s="1" t="s">
        <v>1252</v>
      </c>
      <c r="I871" s="4">
        <v>70</v>
      </c>
      <c r="J871" s="11">
        <v>0.15</v>
      </c>
      <c r="L871" s="12">
        <f t="shared" si="14"/>
        <v>-0.82390874094431876</v>
      </c>
      <c r="M871" s="11">
        <f>GraphListeria!$B$10-(Listeria!I871-GraphListeria!$B$6)/GraphListeria!$B$5</f>
        <v>-1.0636690836344513</v>
      </c>
      <c r="N871" s="2" t="s">
        <v>1226</v>
      </c>
      <c r="O871">
        <v>1996</v>
      </c>
      <c r="S871" s="10">
        <f>GraphListeria!$B$43*Listeria!I871+GraphListeria!$B$44</f>
        <v>-0.9966657719319425</v>
      </c>
      <c r="U871" s="10">
        <f>GraphListeria!$H$43*Listeria!I871+GraphListeria!$H$44</f>
        <v>-1.0636690836344513</v>
      </c>
    </row>
    <row r="872" spans="1:21" x14ac:dyDescent="0.2">
      <c r="A872" s="1" t="s">
        <v>1440</v>
      </c>
      <c r="B872" s="1" t="s">
        <v>1443</v>
      </c>
      <c r="C872" t="s">
        <v>57</v>
      </c>
      <c r="D872" s="1" t="s">
        <v>44</v>
      </c>
      <c r="E872" s="1"/>
      <c r="F872" s="19" t="s">
        <v>444</v>
      </c>
      <c r="G872" s="19"/>
      <c r="I872" s="4">
        <v>60</v>
      </c>
      <c r="J872" s="11">
        <v>0.4</v>
      </c>
      <c r="L872" s="12">
        <f t="shared" si="14"/>
        <v>-0.3979400086720376</v>
      </c>
      <c r="M872" s="11">
        <f>GraphListeria!$B$10-(Listeria!I872-GraphListeria!$B$6)/GraphListeria!$B$5</f>
        <v>0.35623347030397379</v>
      </c>
      <c r="N872" s="1" t="s">
        <v>490</v>
      </c>
      <c r="O872">
        <v>2001</v>
      </c>
      <c r="P872" t="s">
        <v>713</v>
      </c>
      <c r="S872" s="10">
        <f>GraphListeria!$B$43*Listeria!I872+GraphListeria!$B$44</f>
        <v>0.38409169809355426</v>
      </c>
      <c r="U872" s="10">
        <f>GraphListeria!$H$43*Listeria!I872+GraphListeria!$H$44</f>
        <v>0.35623347030397312</v>
      </c>
    </row>
    <row r="873" spans="1:21" x14ac:dyDescent="0.2">
      <c r="A873" s="1" t="s">
        <v>1440</v>
      </c>
      <c r="B873" s="1" t="s">
        <v>1443</v>
      </c>
      <c r="C873" t="s">
        <v>57</v>
      </c>
      <c r="D873" s="1" t="s">
        <v>44</v>
      </c>
      <c r="E873" s="1"/>
      <c r="F873" s="19" t="s">
        <v>444</v>
      </c>
      <c r="G873" s="19"/>
      <c r="I873" s="4">
        <v>60</v>
      </c>
      <c r="J873" s="11">
        <v>0.5</v>
      </c>
      <c r="L873" s="12">
        <f t="shared" si="14"/>
        <v>-0.3010299956639812</v>
      </c>
      <c r="M873" s="11">
        <f>GraphListeria!$B$10-(Listeria!I873-GraphListeria!$B$6)/GraphListeria!$B$5</f>
        <v>0.35623347030397379</v>
      </c>
      <c r="N873" s="1" t="s">
        <v>490</v>
      </c>
      <c r="O873">
        <v>2001</v>
      </c>
      <c r="P873" t="s">
        <v>445</v>
      </c>
      <c r="S873" s="10">
        <f>GraphListeria!$B$43*Listeria!I873+GraphListeria!$B$44</f>
        <v>0.38409169809355426</v>
      </c>
      <c r="U873" s="10">
        <f>GraphListeria!$H$43*Listeria!I873+GraphListeria!$H$44</f>
        <v>0.35623347030397312</v>
      </c>
    </row>
    <row r="874" spans="1:21" x14ac:dyDescent="0.2">
      <c r="A874" s="1" t="s">
        <v>1440</v>
      </c>
      <c r="B874" s="1" t="s">
        <v>1443</v>
      </c>
      <c r="C874" t="s">
        <v>57</v>
      </c>
      <c r="D874" s="1" t="s">
        <v>44</v>
      </c>
      <c r="E874" s="1"/>
      <c r="F874" s="19" t="s">
        <v>444</v>
      </c>
      <c r="G874" s="19"/>
      <c r="I874" s="4">
        <v>60</v>
      </c>
      <c r="J874" s="11">
        <v>0.63</v>
      </c>
      <c r="L874" s="12">
        <f t="shared" si="14"/>
        <v>-0.20065945054641829</v>
      </c>
      <c r="M874" s="11">
        <f>GraphListeria!$B$10-(Listeria!I874-GraphListeria!$B$6)/GraphListeria!$B$5</f>
        <v>0.35623347030397379</v>
      </c>
      <c r="N874" s="1" t="s">
        <v>490</v>
      </c>
      <c r="O874">
        <v>2001</v>
      </c>
      <c r="P874" t="s">
        <v>448</v>
      </c>
      <c r="S874" s="10">
        <f>GraphListeria!$B$43*Listeria!I874+GraphListeria!$B$44</f>
        <v>0.38409169809355426</v>
      </c>
      <c r="U874" s="10">
        <f>GraphListeria!$H$43*Listeria!I874+GraphListeria!$H$44</f>
        <v>0.35623347030397312</v>
      </c>
    </row>
    <row r="875" spans="1:21" x14ac:dyDescent="0.2">
      <c r="A875" s="1" t="s">
        <v>1440</v>
      </c>
      <c r="B875" s="1" t="s">
        <v>1443</v>
      </c>
      <c r="C875" t="s">
        <v>57</v>
      </c>
      <c r="D875" s="1" t="s">
        <v>44</v>
      </c>
      <c r="E875" s="1"/>
      <c r="F875" s="19" t="s">
        <v>444</v>
      </c>
      <c r="G875" s="19"/>
      <c r="I875" s="4">
        <v>60</v>
      </c>
      <c r="J875" s="11">
        <v>0.95</v>
      </c>
      <c r="L875" s="12">
        <f t="shared" ref="L875:L906" si="15">LOG(J875)</f>
        <v>-2.2276394711152253E-2</v>
      </c>
      <c r="M875" s="11">
        <f>GraphListeria!$B$10-(Listeria!I875-GraphListeria!$B$6)/GraphListeria!$B$5</f>
        <v>0.35623347030397379</v>
      </c>
      <c r="N875" s="1" t="s">
        <v>490</v>
      </c>
      <c r="O875">
        <v>2001</v>
      </c>
      <c r="P875" t="s">
        <v>453</v>
      </c>
      <c r="S875" s="10">
        <f>GraphListeria!$B$43*Listeria!I875+GraphListeria!$B$44</f>
        <v>0.38409169809355426</v>
      </c>
      <c r="U875" s="10">
        <f>GraphListeria!$H$43*Listeria!I875+GraphListeria!$H$44</f>
        <v>0.35623347030397312</v>
      </c>
    </row>
    <row r="876" spans="1:21" x14ac:dyDescent="0.2">
      <c r="A876" s="1" t="s">
        <v>1440</v>
      </c>
      <c r="B876" s="1" t="s">
        <v>1443</v>
      </c>
      <c r="C876" t="s">
        <v>57</v>
      </c>
      <c r="D876" s="1" t="s">
        <v>44</v>
      </c>
      <c r="E876" s="1"/>
      <c r="F876" s="19" t="s">
        <v>444</v>
      </c>
      <c r="G876" s="19"/>
      <c r="I876" s="4">
        <v>60</v>
      </c>
      <c r="J876" s="11">
        <v>1.1499999999999999</v>
      </c>
      <c r="L876" s="12">
        <f t="shared" si="15"/>
        <v>6.069784035361165E-2</v>
      </c>
      <c r="M876" s="11">
        <f>GraphListeria!$B$10-(Listeria!I876-GraphListeria!$B$6)/GraphListeria!$B$5</f>
        <v>0.35623347030397379</v>
      </c>
      <c r="N876" s="1" t="s">
        <v>490</v>
      </c>
      <c r="O876">
        <v>2001</v>
      </c>
      <c r="P876" t="s">
        <v>446</v>
      </c>
      <c r="S876" s="10">
        <f>GraphListeria!$B$43*Listeria!I876+GraphListeria!$B$44</f>
        <v>0.38409169809355426</v>
      </c>
      <c r="U876" s="10">
        <f>GraphListeria!$H$43*Listeria!I876+GraphListeria!$H$44</f>
        <v>0.35623347030397312</v>
      </c>
    </row>
    <row r="877" spans="1:21" x14ac:dyDescent="0.2">
      <c r="A877" s="1" t="s">
        <v>1440</v>
      </c>
      <c r="B877" s="1" t="s">
        <v>1443</v>
      </c>
      <c r="C877" t="s">
        <v>57</v>
      </c>
      <c r="D877" s="1" t="s">
        <v>44</v>
      </c>
      <c r="E877" s="1"/>
      <c r="F877" s="19" t="s">
        <v>444</v>
      </c>
      <c r="G877" s="19"/>
      <c r="I877" s="4">
        <v>60</v>
      </c>
      <c r="J877" s="11">
        <v>1.85</v>
      </c>
      <c r="L877" s="12">
        <f t="shared" si="15"/>
        <v>0.26717172840301384</v>
      </c>
      <c r="M877" s="11">
        <f>GraphListeria!$B$10-(Listeria!I877-GraphListeria!$B$6)/GraphListeria!$B$5</f>
        <v>0.35623347030397379</v>
      </c>
      <c r="N877" s="1" t="s">
        <v>490</v>
      </c>
      <c r="O877">
        <v>2001</v>
      </c>
      <c r="P877" t="s">
        <v>451</v>
      </c>
      <c r="S877" s="10">
        <f>GraphListeria!$B$43*Listeria!I877+GraphListeria!$B$44</f>
        <v>0.38409169809355426</v>
      </c>
      <c r="U877" s="10">
        <f>GraphListeria!$H$43*Listeria!I877+GraphListeria!$H$44</f>
        <v>0.35623347030397312</v>
      </c>
    </row>
    <row r="878" spans="1:21" x14ac:dyDescent="0.2">
      <c r="A878" s="1" t="s">
        <v>1440</v>
      </c>
      <c r="B878" s="1" t="s">
        <v>1443</v>
      </c>
      <c r="C878" t="s">
        <v>57</v>
      </c>
      <c r="D878" s="1" t="s">
        <v>44</v>
      </c>
      <c r="E878" s="1"/>
      <c r="F878" s="19" t="s">
        <v>444</v>
      </c>
      <c r="G878" s="19"/>
      <c r="I878" s="4">
        <v>60</v>
      </c>
      <c r="J878" s="11">
        <v>3.3</v>
      </c>
      <c r="L878" s="12">
        <f t="shared" si="15"/>
        <v>0.51851393987788741</v>
      </c>
      <c r="M878" s="11">
        <f>GraphListeria!$B$10-(Listeria!I878-GraphListeria!$B$6)/GraphListeria!$B$5</f>
        <v>0.35623347030397379</v>
      </c>
      <c r="N878" s="1" t="s">
        <v>490</v>
      </c>
      <c r="O878">
        <v>2001</v>
      </c>
      <c r="P878" t="s">
        <v>447</v>
      </c>
      <c r="S878" s="10">
        <f>GraphListeria!$B$43*Listeria!I878+GraphListeria!$B$44</f>
        <v>0.38409169809355426</v>
      </c>
      <c r="U878" s="10">
        <f>GraphListeria!$H$43*Listeria!I878+GraphListeria!$H$44</f>
        <v>0.35623347030397312</v>
      </c>
    </row>
    <row r="879" spans="1:21" x14ac:dyDescent="0.2">
      <c r="A879" s="1" t="s">
        <v>1440</v>
      </c>
      <c r="B879" s="1" t="s">
        <v>1443</v>
      </c>
      <c r="C879" t="s">
        <v>57</v>
      </c>
      <c r="D879" s="1" t="s">
        <v>44</v>
      </c>
      <c r="E879" s="1"/>
      <c r="F879" s="19" t="s">
        <v>444</v>
      </c>
      <c r="G879" s="19"/>
      <c r="I879" s="4">
        <v>60</v>
      </c>
      <c r="J879" s="11">
        <v>9.5299999999999994</v>
      </c>
      <c r="L879" s="12">
        <f t="shared" si="15"/>
        <v>0.97909290063832632</v>
      </c>
      <c r="M879" s="11">
        <f>GraphListeria!$B$10-(Listeria!I879-GraphListeria!$B$6)/GraphListeria!$B$5</f>
        <v>0.35623347030397379</v>
      </c>
      <c r="N879" s="1" t="s">
        <v>490</v>
      </c>
      <c r="O879">
        <v>2001</v>
      </c>
      <c r="P879" t="s">
        <v>452</v>
      </c>
      <c r="S879" s="10">
        <f>GraphListeria!$B$43*Listeria!I879+GraphListeria!$B$44</f>
        <v>0.38409169809355426</v>
      </c>
      <c r="U879" s="10">
        <f>GraphListeria!$H$43*Listeria!I879+GraphListeria!$H$44</f>
        <v>0.35623347030397312</v>
      </c>
    </row>
    <row r="880" spans="1:21" x14ac:dyDescent="0.2">
      <c r="A880" s="1" t="s">
        <v>1440</v>
      </c>
      <c r="B880" s="1" t="s">
        <v>1443</v>
      </c>
      <c r="D880" s="1" t="s">
        <v>43</v>
      </c>
      <c r="E880" s="1" t="s">
        <v>702</v>
      </c>
      <c r="F880" s="1"/>
      <c r="G880" s="1"/>
      <c r="I880" s="4">
        <v>56</v>
      </c>
      <c r="J880" s="11">
        <v>2.2999999999999998</v>
      </c>
      <c r="K880" s="4">
        <v>7.8</v>
      </c>
      <c r="L880" s="12">
        <f t="shared" si="15"/>
        <v>0.36172783601759284</v>
      </c>
      <c r="M880" s="11">
        <f>GraphListeria!$B$10-(Listeria!I880-GraphListeria!$B$6)/GraphListeria!$B$5</f>
        <v>0.92419449187934366</v>
      </c>
      <c r="N880" s="1" t="s">
        <v>490</v>
      </c>
      <c r="O880">
        <v>2001</v>
      </c>
      <c r="S880" s="10">
        <f>GraphListeria!$B$43*Listeria!I880+GraphListeria!$B$44</f>
        <v>0.93639468610375154</v>
      </c>
      <c r="U880" s="10">
        <f>GraphListeria!$H$43*Listeria!I880+GraphListeria!$H$44</f>
        <v>0.92419449187934344</v>
      </c>
    </row>
    <row r="881" spans="1:21" x14ac:dyDescent="0.2">
      <c r="A881" s="1" t="s">
        <v>1440</v>
      </c>
      <c r="B881" s="1" t="s">
        <v>1443</v>
      </c>
      <c r="D881" s="1" t="s">
        <v>43</v>
      </c>
      <c r="E881" s="1" t="s">
        <v>702</v>
      </c>
      <c r="F881" s="1"/>
      <c r="G881" s="1"/>
      <c r="I881" s="4">
        <v>60</v>
      </c>
      <c r="J881" s="11">
        <v>0.62</v>
      </c>
      <c r="K881" s="4">
        <v>7.8</v>
      </c>
      <c r="L881" s="12">
        <f t="shared" si="15"/>
        <v>-0.20760831050174613</v>
      </c>
      <c r="M881" s="11">
        <f>GraphListeria!$B$10-(Listeria!I881-GraphListeria!$B$6)/GraphListeria!$B$5</f>
        <v>0.35623347030397379</v>
      </c>
      <c r="N881" s="1" t="s">
        <v>490</v>
      </c>
      <c r="O881">
        <v>2001</v>
      </c>
      <c r="S881" s="10">
        <f>GraphListeria!$B$43*Listeria!I881+GraphListeria!$B$44</f>
        <v>0.38409169809355426</v>
      </c>
      <c r="U881" s="10">
        <f>GraphListeria!$H$43*Listeria!I881+GraphListeria!$H$44</f>
        <v>0.35623347030397312</v>
      </c>
    </row>
    <row r="882" spans="1:21" x14ac:dyDescent="0.2">
      <c r="A882" s="1" t="s">
        <v>1440</v>
      </c>
      <c r="B882" s="1" t="s">
        <v>1443</v>
      </c>
      <c r="D882" s="1" t="s">
        <v>43</v>
      </c>
      <c r="E882" s="1" t="s">
        <v>702</v>
      </c>
      <c r="F882" s="1"/>
      <c r="G882" s="1"/>
      <c r="I882" s="4">
        <v>62</v>
      </c>
      <c r="J882" s="11">
        <v>0.39</v>
      </c>
      <c r="K882" s="4">
        <v>7.8</v>
      </c>
      <c r="L882" s="12">
        <f t="shared" si="15"/>
        <v>-0.40893539297350079</v>
      </c>
      <c r="M882" s="11">
        <f>GraphListeria!$B$10-(Listeria!I882-GraphListeria!$B$6)/GraphListeria!$B$5</f>
        <v>7.2252959516288628E-2</v>
      </c>
      <c r="N882" s="1" t="s">
        <v>490</v>
      </c>
      <c r="O882">
        <v>2001</v>
      </c>
      <c r="S882" s="10">
        <f>GraphListeria!$B$43*Listeria!I882+GraphListeria!$B$44</f>
        <v>0.10794020408845384</v>
      </c>
      <c r="U882" s="10">
        <f>GraphListeria!$H$43*Listeria!I882+GraphListeria!$H$44</f>
        <v>7.2252959516289295E-2</v>
      </c>
    </row>
    <row r="883" spans="1:21" x14ac:dyDescent="0.2">
      <c r="A883" s="1" t="s">
        <v>1440</v>
      </c>
      <c r="B883" s="1" t="s">
        <v>1443</v>
      </c>
      <c r="C883" t="s">
        <v>57</v>
      </c>
      <c r="D883" s="1" t="s">
        <v>43</v>
      </c>
      <c r="E883" s="1" t="s">
        <v>1444</v>
      </c>
      <c r="F883" s="1" t="s">
        <v>1277</v>
      </c>
      <c r="G883" s="1"/>
      <c r="H883" s="4">
        <v>4.5999999999999996</v>
      </c>
      <c r="I883" s="4">
        <v>50</v>
      </c>
      <c r="J883" s="11">
        <v>25</v>
      </c>
      <c r="K883" s="4">
        <v>7.01</v>
      </c>
      <c r="L883" s="12">
        <f t="shared" si="15"/>
        <v>1.3979400086720377</v>
      </c>
      <c r="M883" s="11">
        <f>GraphListeria!$B$10-(Listeria!I883-GraphListeria!$B$6)/GraphListeria!$B$5</f>
        <v>1.7761360242423989</v>
      </c>
      <c r="N883" s="1" t="s">
        <v>490</v>
      </c>
      <c r="O883">
        <v>2001</v>
      </c>
      <c r="S883" s="10">
        <f>GraphListeria!$B$43*Listeria!I883+GraphListeria!$B$44</f>
        <v>1.7648491681190492</v>
      </c>
      <c r="U883" s="10">
        <f>GraphListeria!$H$43*Listeria!I883+GraphListeria!$H$44</f>
        <v>1.7761360242423985</v>
      </c>
    </row>
    <row r="884" spans="1:21" x14ac:dyDescent="0.2">
      <c r="A884" s="1" t="s">
        <v>1440</v>
      </c>
      <c r="B884" s="1" t="s">
        <v>1443</v>
      </c>
      <c r="C884" t="s">
        <v>57</v>
      </c>
      <c r="D884" s="1" t="s">
        <v>43</v>
      </c>
      <c r="E884" s="1" t="s">
        <v>1444</v>
      </c>
      <c r="F884" s="1" t="s">
        <v>1277</v>
      </c>
      <c r="G884" s="1"/>
      <c r="H884" s="4">
        <v>4.5999999999999996</v>
      </c>
      <c r="I884" s="4">
        <v>54</v>
      </c>
      <c r="J884" s="11">
        <v>6.71</v>
      </c>
      <c r="K884" s="4">
        <v>7.01</v>
      </c>
      <c r="L884" s="12">
        <f t="shared" si="15"/>
        <v>0.82672252016899206</v>
      </c>
      <c r="M884" s="11">
        <f>GraphListeria!$B$10-(Listeria!I884-GraphListeria!$B$6)/GraphListeria!$B$5</f>
        <v>1.2081750026670286</v>
      </c>
      <c r="N884" s="1" t="s">
        <v>490</v>
      </c>
      <c r="O884">
        <v>2001</v>
      </c>
      <c r="S884" s="10">
        <f>GraphListeria!$B$43*Listeria!I884+GraphListeria!$B$44</f>
        <v>1.2125461801088511</v>
      </c>
      <c r="U884" s="10">
        <f>GraphListeria!$H$43*Listeria!I884+GraphListeria!$H$44</f>
        <v>1.208175002667029</v>
      </c>
    </row>
    <row r="885" spans="1:21" x14ac:dyDescent="0.2">
      <c r="A885" s="1" t="s">
        <v>1440</v>
      </c>
      <c r="B885" s="1" t="s">
        <v>1443</v>
      </c>
      <c r="C885" t="s">
        <v>57</v>
      </c>
      <c r="D885" s="1" t="s">
        <v>43</v>
      </c>
      <c r="E885" s="1" t="s">
        <v>1444</v>
      </c>
      <c r="F885" s="1" t="s">
        <v>1277</v>
      </c>
      <c r="G885" s="1"/>
      <c r="H885" s="4">
        <v>4.5999999999999996</v>
      </c>
      <c r="I885" s="4">
        <v>56</v>
      </c>
      <c r="J885" s="11">
        <v>3.64</v>
      </c>
      <c r="K885" s="4">
        <v>7.01</v>
      </c>
      <c r="L885" s="12">
        <f t="shared" si="15"/>
        <v>0.56110138364905604</v>
      </c>
      <c r="M885" s="11">
        <f>GraphListeria!$B$10-(Listeria!I885-GraphListeria!$B$6)/GraphListeria!$B$5</f>
        <v>0.92419449187934366</v>
      </c>
      <c r="N885" s="1" t="s">
        <v>490</v>
      </c>
      <c r="O885">
        <v>2001</v>
      </c>
      <c r="S885" s="10">
        <f>GraphListeria!$B$43*Listeria!I885+GraphListeria!$B$44</f>
        <v>0.93639468610375154</v>
      </c>
      <c r="U885" s="10">
        <f>GraphListeria!$H$43*Listeria!I885+GraphListeria!$H$44</f>
        <v>0.92419449187934344</v>
      </c>
    </row>
    <row r="886" spans="1:21" x14ac:dyDescent="0.2">
      <c r="A886" s="1" t="s">
        <v>1440</v>
      </c>
      <c r="B886" s="1" t="s">
        <v>1443</v>
      </c>
      <c r="C886" t="s">
        <v>57</v>
      </c>
      <c r="D886" s="1" t="s">
        <v>43</v>
      </c>
      <c r="E886" s="1" t="s">
        <v>1444</v>
      </c>
      <c r="F886" s="1" t="s">
        <v>1277</v>
      </c>
      <c r="G886" s="1"/>
      <c r="H886" s="4">
        <v>5.6</v>
      </c>
      <c r="I886" s="4">
        <v>54</v>
      </c>
      <c r="J886" s="11">
        <v>8.35</v>
      </c>
      <c r="K886" s="4">
        <v>5.63</v>
      </c>
      <c r="L886" s="12">
        <f t="shared" si="15"/>
        <v>0.92168647548360205</v>
      </c>
      <c r="M886" s="11">
        <f>GraphListeria!$B$10-(Listeria!I886-GraphListeria!$B$6)/GraphListeria!$B$5</f>
        <v>1.2081750026670286</v>
      </c>
      <c r="N886" s="1" t="s">
        <v>490</v>
      </c>
      <c r="O886">
        <v>2001</v>
      </c>
      <c r="S886" s="10">
        <f>GraphListeria!$B$43*Listeria!I886+GraphListeria!$B$44</f>
        <v>1.2125461801088511</v>
      </c>
      <c r="U886" s="10">
        <f>GraphListeria!$H$43*Listeria!I886+GraphListeria!$H$44</f>
        <v>1.208175002667029</v>
      </c>
    </row>
    <row r="887" spans="1:21" x14ac:dyDescent="0.2">
      <c r="A887" s="1" t="s">
        <v>1440</v>
      </c>
      <c r="B887" s="1" t="s">
        <v>1443</v>
      </c>
      <c r="C887" t="s">
        <v>57</v>
      </c>
      <c r="D887" s="1" t="s">
        <v>43</v>
      </c>
      <c r="E887" s="1" t="s">
        <v>1444</v>
      </c>
      <c r="F887" s="1" t="s">
        <v>1277</v>
      </c>
      <c r="G887" s="1"/>
      <c r="H887" s="4">
        <v>5.6</v>
      </c>
      <c r="I887" s="4">
        <v>56</v>
      </c>
      <c r="J887" s="11">
        <v>6.8</v>
      </c>
      <c r="K887" s="4">
        <v>5.63</v>
      </c>
      <c r="L887" s="12">
        <f t="shared" si="15"/>
        <v>0.83250891270623628</v>
      </c>
      <c r="M887" s="11">
        <f>GraphListeria!$B$10-(Listeria!I887-GraphListeria!$B$6)/GraphListeria!$B$5</f>
        <v>0.92419449187934366</v>
      </c>
      <c r="N887" s="1" t="s">
        <v>490</v>
      </c>
      <c r="O887">
        <v>2001</v>
      </c>
      <c r="S887" s="10">
        <f>GraphListeria!$B$43*Listeria!I887+GraphListeria!$B$44</f>
        <v>0.93639468610375154</v>
      </c>
      <c r="U887" s="10">
        <f>GraphListeria!$H$43*Listeria!I887+GraphListeria!$H$44</f>
        <v>0.92419449187934344</v>
      </c>
    </row>
    <row r="888" spans="1:21" x14ac:dyDescent="0.2">
      <c r="A888" s="1" t="s">
        <v>1440</v>
      </c>
      <c r="B888" s="1" t="s">
        <v>1443</v>
      </c>
      <c r="C888" t="s">
        <v>698</v>
      </c>
      <c r="D888" s="1" t="s">
        <v>43</v>
      </c>
      <c r="E888" s="1" t="s">
        <v>1444</v>
      </c>
      <c r="F888" s="1" t="s">
        <v>1277</v>
      </c>
      <c r="G888" s="1"/>
      <c r="H888" s="4">
        <v>4.5999999999999996</v>
      </c>
      <c r="I888" s="4">
        <v>50</v>
      </c>
      <c r="J888" s="11">
        <v>13.3</v>
      </c>
      <c r="K888" s="4">
        <v>7.54</v>
      </c>
      <c r="L888" s="12">
        <f t="shared" si="15"/>
        <v>1.1238516409670858</v>
      </c>
      <c r="M888" s="11">
        <f>GraphListeria!$B$10-(Listeria!I888-GraphListeria!$B$6)/GraphListeria!$B$5</f>
        <v>1.7761360242423989</v>
      </c>
      <c r="N888" s="1" t="s">
        <v>490</v>
      </c>
      <c r="O888">
        <v>2001</v>
      </c>
      <c r="S888" s="10">
        <f>GraphListeria!$B$43*Listeria!I888+GraphListeria!$B$44</f>
        <v>1.7648491681190492</v>
      </c>
      <c r="U888" s="10">
        <f>GraphListeria!$H$43*Listeria!I888+GraphListeria!$H$44</f>
        <v>1.7761360242423985</v>
      </c>
    </row>
    <row r="889" spans="1:21" x14ac:dyDescent="0.2">
      <c r="A889" s="1" t="s">
        <v>1440</v>
      </c>
      <c r="B889" s="1" t="s">
        <v>1443</v>
      </c>
      <c r="C889" t="s">
        <v>698</v>
      </c>
      <c r="D889" s="1" t="s">
        <v>43</v>
      </c>
      <c r="E889" s="1" t="s">
        <v>1444</v>
      </c>
      <c r="F889" s="1" t="s">
        <v>1277</v>
      </c>
      <c r="G889" s="1"/>
      <c r="H889" s="4">
        <v>4.5999999999999996</v>
      </c>
      <c r="I889" s="4">
        <v>54</v>
      </c>
      <c r="J889" s="11">
        <v>4.88</v>
      </c>
      <c r="K889" s="4">
        <v>7.54</v>
      </c>
      <c r="L889" s="12">
        <f t="shared" si="15"/>
        <v>0.68841982200271057</v>
      </c>
      <c r="M889" s="11">
        <f>GraphListeria!$B$10-(Listeria!I889-GraphListeria!$B$6)/GraphListeria!$B$5</f>
        <v>1.2081750026670286</v>
      </c>
      <c r="N889" s="1" t="s">
        <v>490</v>
      </c>
      <c r="O889">
        <v>2001</v>
      </c>
      <c r="S889" s="10">
        <f>GraphListeria!$B$43*Listeria!I889+GraphListeria!$B$44</f>
        <v>1.2125461801088511</v>
      </c>
      <c r="U889" s="10">
        <f>GraphListeria!$H$43*Listeria!I889+GraphListeria!$H$44</f>
        <v>1.208175002667029</v>
      </c>
    </row>
    <row r="890" spans="1:21" x14ac:dyDescent="0.2">
      <c r="A890" s="1" t="s">
        <v>1440</v>
      </c>
      <c r="B890" s="1" t="s">
        <v>1443</v>
      </c>
      <c r="C890" t="s">
        <v>698</v>
      </c>
      <c r="D890" s="1" t="s">
        <v>43</v>
      </c>
      <c r="E890" s="1" t="s">
        <v>1444</v>
      </c>
      <c r="F890" s="1" t="s">
        <v>1277</v>
      </c>
      <c r="G890" s="1"/>
      <c r="H890" s="4">
        <v>4.5999999999999996</v>
      </c>
      <c r="I890" s="4">
        <v>56</v>
      </c>
      <c r="J890" s="11">
        <v>2.04</v>
      </c>
      <c r="K890" s="4">
        <v>7.54</v>
      </c>
      <c r="L890" s="12">
        <f t="shared" si="15"/>
        <v>0.30963016742589877</v>
      </c>
      <c r="M890" s="11">
        <f>GraphListeria!$B$10-(Listeria!I890-GraphListeria!$B$6)/GraphListeria!$B$5</f>
        <v>0.92419449187934366</v>
      </c>
      <c r="N890" s="1" t="s">
        <v>490</v>
      </c>
      <c r="O890">
        <v>2001</v>
      </c>
      <c r="S890" s="10">
        <f>GraphListeria!$B$43*Listeria!I890+GraphListeria!$B$44</f>
        <v>0.93639468610375154</v>
      </c>
      <c r="U890" s="10">
        <f>GraphListeria!$H$43*Listeria!I890+GraphListeria!$H$44</f>
        <v>0.92419449187934344</v>
      </c>
    </row>
    <row r="891" spans="1:21" x14ac:dyDescent="0.2">
      <c r="A891" s="1" t="s">
        <v>1440</v>
      </c>
      <c r="B891" s="1" t="s">
        <v>1443</v>
      </c>
      <c r="C891" t="s">
        <v>698</v>
      </c>
      <c r="D891" s="1" t="s">
        <v>43</v>
      </c>
      <c r="E891" s="1" t="s">
        <v>1444</v>
      </c>
      <c r="F891" s="1" t="s">
        <v>1277</v>
      </c>
      <c r="G891" s="1"/>
      <c r="H891" s="4">
        <v>5.6</v>
      </c>
      <c r="I891" s="4">
        <v>54</v>
      </c>
      <c r="J891" s="11">
        <v>8.93</v>
      </c>
      <c r="K891" s="4">
        <v>6.45</v>
      </c>
      <c r="L891" s="12">
        <f t="shared" si="15"/>
        <v>0.95085145888854639</v>
      </c>
      <c r="M891" s="11">
        <f>GraphListeria!$B$10-(Listeria!I891-GraphListeria!$B$6)/GraphListeria!$B$5</f>
        <v>1.2081750026670286</v>
      </c>
      <c r="N891" s="1" t="s">
        <v>490</v>
      </c>
      <c r="O891">
        <v>2001</v>
      </c>
      <c r="S891" s="10">
        <f>GraphListeria!$B$43*Listeria!I891+GraphListeria!$B$44</f>
        <v>1.2125461801088511</v>
      </c>
      <c r="U891" s="10">
        <f>GraphListeria!$H$43*Listeria!I891+GraphListeria!$H$44</f>
        <v>1.208175002667029</v>
      </c>
    </row>
    <row r="892" spans="1:21" x14ac:dyDescent="0.2">
      <c r="A892" s="1" t="s">
        <v>1440</v>
      </c>
      <c r="B892" s="1" t="s">
        <v>1443</v>
      </c>
      <c r="C892" t="s">
        <v>698</v>
      </c>
      <c r="D892" s="1" t="s">
        <v>43</v>
      </c>
      <c r="E892" s="1" t="s">
        <v>1444</v>
      </c>
      <c r="F892" s="1" t="s">
        <v>1277</v>
      </c>
      <c r="G892" s="1"/>
      <c r="H892" s="4">
        <v>5.6</v>
      </c>
      <c r="I892" s="4">
        <v>56</v>
      </c>
      <c r="J892" s="11">
        <v>4.74</v>
      </c>
      <c r="K892" s="4">
        <v>6.45</v>
      </c>
      <c r="L892" s="12">
        <f t="shared" si="15"/>
        <v>0.67577834167408513</v>
      </c>
      <c r="M892" s="11">
        <f>GraphListeria!$B$10-(Listeria!I892-GraphListeria!$B$6)/GraphListeria!$B$5</f>
        <v>0.92419449187934366</v>
      </c>
      <c r="N892" s="1" t="s">
        <v>490</v>
      </c>
      <c r="O892">
        <v>2001</v>
      </c>
      <c r="S892" s="10">
        <f>GraphListeria!$B$43*Listeria!I892+GraphListeria!$B$44</f>
        <v>0.93639468610375154</v>
      </c>
      <c r="U892" s="10">
        <f>GraphListeria!$H$43*Listeria!I892+GraphListeria!$H$44</f>
        <v>0.92419449187934344</v>
      </c>
    </row>
    <row r="893" spans="1:21" x14ac:dyDescent="0.2">
      <c r="A893" s="1" t="s">
        <v>1440</v>
      </c>
      <c r="B893" s="1" t="s">
        <v>1443</v>
      </c>
      <c r="C893" s="1"/>
      <c r="D893" s="1" t="s">
        <v>43</v>
      </c>
      <c r="E893" s="1" t="s">
        <v>1444</v>
      </c>
      <c r="F893" s="1" t="s">
        <v>1277</v>
      </c>
      <c r="G893" s="1"/>
      <c r="H893" s="5">
        <v>4.5999999999999996</v>
      </c>
      <c r="I893" s="5">
        <v>50</v>
      </c>
      <c r="J893" s="9">
        <v>13.33</v>
      </c>
      <c r="K893" s="5"/>
      <c r="L893" s="12">
        <f t="shared" si="15"/>
        <v>1.1248301494138593</v>
      </c>
      <c r="M893" s="11">
        <f>GraphListeria!$B$10-(Listeria!I893-GraphListeria!$B$6)/GraphListeria!$B$5</f>
        <v>1.7761360242423989</v>
      </c>
      <c r="N893" s="2" t="s">
        <v>1226</v>
      </c>
      <c r="O893">
        <v>1996</v>
      </c>
      <c r="S893" s="10">
        <f>GraphListeria!$B$43*Listeria!I893+GraphListeria!$B$44</f>
        <v>1.7648491681190492</v>
      </c>
      <c r="U893" s="10">
        <f>GraphListeria!$H$43*Listeria!I893+GraphListeria!$H$44</f>
        <v>1.7761360242423985</v>
      </c>
    </row>
    <row r="894" spans="1:21" x14ac:dyDescent="0.2">
      <c r="A894" s="1" t="s">
        <v>1440</v>
      </c>
      <c r="B894" s="1" t="s">
        <v>1443</v>
      </c>
      <c r="C894" s="1"/>
      <c r="D894" s="1" t="s">
        <v>43</v>
      </c>
      <c r="E894" s="1" t="s">
        <v>1444</v>
      </c>
      <c r="F894" s="1" t="s">
        <v>1277</v>
      </c>
      <c r="G894" s="1"/>
      <c r="H894" s="5">
        <v>4.5999999999999996</v>
      </c>
      <c r="I894" s="5">
        <v>50</v>
      </c>
      <c r="J894" s="9">
        <v>25</v>
      </c>
      <c r="K894" s="5"/>
      <c r="L894" s="12">
        <f t="shared" si="15"/>
        <v>1.3979400086720377</v>
      </c>
      <c r="M894" s="11">
        <f>GraphListeria!$B$10-(Listeria!I894-GraphListeria!$B$6)/GraphListeria!$B$5</f>
        <v>1.7761360242423989</v>
      </c>
      <c r="N894" s="2" t="s">
        <v>1226</v>
      </c>
      <c r="O894">
        <v>1996</v>
      </c>
      <c r="S894" s="10">
        <f>GraphListeria!$B$43*Listeria!I894+GraphListeria!$B$44</f>
        <v>1.7648491681190492</v>
      </c>
      <c r="U894" s="10">
        <f>GraphListeria!$H$43*Listeria!I894+GraphListeria!$H$44</f>
        <v>1.7761360242423985</v>
      </c>
    </row>
    <row r="895" spans="1:21" x14ac:dyDescent="0.2">
      <c r="A895" s="1" t="s">
        <v>1440</v>
      </c>
      <c r="B895" s="1" t="s">
        <v>1443</v>
      </c>
      <c r="C895" s="2"/>
      <c r="D895" s="1" t="s">
        <v>43</v>
      </c>
      <c r="E895" s="1" t="s">
        <v>1444</v>
      </c>
      <c r="F895" s="1" t="s">
        <v>1277</v>
      </c>
      <c r="G895" s="1"/>
      <c r="H895" s="5">
        <v>4.5999999999999996</v>
      </c>
      <c r="I895" s="5">
        <v>51.7</v>
      </c>
      <c r="J895" s="9">
        <v>8.1999999999999993</v>
      </c>
      <c r="K895" s="7"/>
      <c r="L895" s="12">
        <f t="shared" si="15"/>
        <v>0.91381385238371671</v>
      </c>
      <c r="M895" s="11">
        <f>GraphListeria!$B$10-(Listeria!I895-GraphListeria!$B$6)/GraphListeria!$B$5</f>
        <v>1.5347525900728662</v>
      </c>
      <c r="N895" s="2" t="s">
        <v>1226</v>
      </c>
      <c r="O895">
        <v>1996</v>
      </c>
      <c r="S895" s="10">
        <f>GraphListeria!$B$43*Listeria!I895+GraphListeria!$B$44</f>
        <v>1.5301203982147147</v>
      </c>
      <c r="U895" s="10">
        <f>GraphListeria!$H$43*Listeria!I895+GraphListeria!$H$44</f>
        <v>1.5347525900728662</v>
      </c>
    </row>
    <row r="896" spans="1:21" x14ac:dyDescent="0.2">
      <c r="A896" s="1" t="s">
        <v>1440</v>
      </c>
      <c r="B896" s="1" t="s">
        <v>1443</v>
      </c>
      <c r="C896" s="2"/>
      <c r="D896" s="1" t="s">
        <v>43</v>
      </c>
      <c r="E896" s="1" t="s">
        <v>1444</v>
      </c>
      <c r="F896" s="1" t="s">
        <v>1277</v>
      </c>
      <c r="G896" s="1"/>
      <c r="H896" s="5">
        <v>4.5999999999999996</v>
      </c>
      <c r="I896" s="5">
        <v>51.7</v>
      </c>
      <c r="J896" s="9">
        <v>14.39</v>
      </c>
      <c r="K896" s="7"/>
      <c r="L896" s="12">
        <f t="shared" si="15"/>
        <v>1.1580607939366052</v>
      </c>
      <c r="M896" s="11">
        <f>GraphListeria!$B$10-(Listeria!I896-GraphListeria!$B$6)/GraphListeria!$B$5</f>
        <v>1.5347525900728662</v>
      </c>
      <c r="N896" s="2" t="s">
        <v>1226</v>
      </c>
      <c r="O896">
        <v>1996</v>
      </c>
      <c r="S896" s="10">
        <f>GraphListeria!$B$43*Listeria!I896+GraphListeria!$B$44</f>
        <v>1.5301203982147147</v>
      </c>
      <c r="U896" s="10">
        <f>GraphListeria!$H$43*Listeria!I896+GraphListeria!$H$44</f>
        <v>1.5347525900728662</v>
      </c>
    </row>
    <row r="897" spans="1:21" x14ac:dyDescent="0.2">
      <c r="A897" s="1" t="s">
        <v>1440</v>
      </c>
      <c r="B897" s="1" t="s">
        <v>1443</v>
      </c>
      <c r="C897" s="1"/>
      <c r="D897" s="1" t="s">
        <v>43</v>
      </c>
      <c r="E897" s="1" t="s">
        <v>1444</v>
      </c>
      <c r="F897" s="1" t="s">
        <v>1277</v>
      </c>
      <c r="G897" s="1"/>
      <c r="H897" s="5">
        <v>5.6</v>
      </c>
      <c r="I897" s="5">
        <v>52</v>
      </c>
      <c r="J897" s="9">
        <v>20</v>
      </c>
      <c r="K897" s="7"/>
      <c r="L897" s="12">
        <f t="shared" si="15"/>
        <v>1.3010299956639813</v>
      </c>
      <c r="M897" s="11">
        <f>GraphListeria!$B$10-(Listeria!I897-GraphListeria!$B$6)/GraphListeria!$B$5</f>
        <v>1.4921555134547138</v>
      </c>
      <c r="N897" s="2" t="s">
        <v>1226</v>
      </c>
      <c r="O897">
        <v>1996</v>
      </c>
      <c r="S897" s="10">
        <f>GraphListeria!$B$43*Listeria!I897+GraphListeria!$B$44</f>
        <v>1.4886976741139497</v>
      </c>
      <c r="U897" s="10">
        <f>GraphListeria!$H$43*Listeria!I897+GraphListeria!$H$44</f>
        <v>1.4921555134547138</v>
      </c>
    </row>
    <row r="898" spans="1:21" x14ac:dyDescent="0.2">
      <c r="A898" s="1" t="s">
        <v>1440</v>
      </c>
      <c r="B898" s="1" t="s">
        <v>1443</v>
      </c>
      <c r="C898" s="1"/>
      <c r="D898" s="1" t="s">
        <v>43</v>
      </c>
      <c r="E898" s="1" t="s">
        <v>1444</v>
      </c>
      <c r="F898" s="1" t="s">
        <v>1277</v>
      </c>
      <c r="G898" s="1"/>
      <c r="H898" s="5">
        <v>5.6</v>
      </c>
      <c r="I898" s="5">
        <v>52</v>
      </c>
      <c r="J898" s="9">
        <v>34.479999999999997</v>
      </c>
      <c r="K898" s="7"/>
      <c r="L898" s="12">
        <f t="shared" si="15"/>
        <v>1.5375672571526751</v>
      </c>
      <c r="M898" s="11">
        <f>GraphListeria!$B$10-(Listeria!I898-GraphListeria!$B$6)/GraphListeria!$B$5</f>
        <v>1.4921555134547138</v>
      </c>
      <c r="N898" s="2" t="s">
        <v>1226</v>
      </c>
      <c r="O898">
        <v>1996</v>
      </c>
      <c r="S898" s="10">
        <f>GraphListeria!$B$43*Listeria!I898+GraphListeria!$B$44</f>
        <v>1.4886976741139497</v>
      </c>
      <c r="U898" s="10">
        <f>GraphListeria!$H$43*Listeria!I898+GraphListeria!$H$44</f>
        <v>1.4921555134547138</v>
      </c>
    </row>
    <row r="899" spans="1:21" x14ac:dyDescent="0.2">
      <c r="A899" s="1" t="s">
        <v>1440</v>
      </c>
      <c r="B899" s="1" t="s">
        <v>1443</v>
      </c>
      <c r="C899" s="1"/>
      <c r="D899" s="1" t="s">
        <v>43</v>
      </c>
      <c r="E899" s="1" t="s">
        <v>1444</v>
      </c>
      <c r="F899" s="1" t="s">
        <v>1277</v>
      </c>
      <c r="G899" s="1"/>
      <c r="H899" s="5">
        <v>4.5999999999999996</v>
      </c>
      <c r="I899" s="5">
        <v>54</v>
      </c>
      <c r="J899" s="9">
        <v>4.88</v>
      </c>
      <c r="K899" s="5"/>
      <c r="L899" s="12">
        <f t="shared" si="15"/>
        <v>0.68841982200271057</v>
      </c>
      <c r="M899" s="11">
        <f>GraphListeria!$B$10-(Listeria!I899-GraphListeria!$B$6)/GraphListeria!$B$5</f>
        <v>1.2081750026670286</v>
      </c>
      <c r="N899" s="2" t="s">
        <v>1226</v>
      </c>
      <c r="O899">
        <v>1996</v>
      </c>
      <c r="S899" s="10">
        <f>GraphListeria!$B$43*Listeria!I899+GraphListeria!$B$44</f>
        <v>1.2125461801088511</v>
      </c>
      <c r="U899" s="10">
        <f>GraphListeria!$H$43*Listeria!I899+GraphListeria!$H$44</f>
        <v>1.208175002667029</v>
      </c>
    </row>
    <row r="900" spans="1:21" x14ac:dyDescent="0.2">
      <c r="A900" s="1" t="s">
        <v>1440</v>
      </c>
      <c r="B900" s="1" t="s">
        <v>1443</v>
      </c>
      <c r="D900" s="1" t="s">
        <v>43</v>
      </c>
      <c r="E900" s="1" t="s">
        <v>1444</v>
      </c>
      <c r="F900" s="1" t="s">
        <v>1277</v>
      </c>
      <c r="G900" s="1"/>
      <c r="H900" s="5">
        <v>4.5999999999999996</v>
      </c>
      <c r="I900" s="5">
        <v>54</v>
      </c>
      <c r="J900" s="11">
        <v>6.71</v>
      </c>
      <c r="L900" s="12">
        <f t="shared" si="15"/>
        <v>0.82672252016899206</v>
      </c>
      <c r="M900" s="11">
        <f>GraphListeria!$B$10-(Listeria!I900-GraphListeria!$B$6)/GraphListeria!$B$5</f>
        <v>1.2081750026670286</v>
      </c>
      <c r="N900" s="2" t="s">
        <v>1226</v>
      </c>
      <c r="O900">
        <v>1996</v>
      </c>
      <c r="S900" s="10">
        <f>GraphListeria!$B$43*Listeria!I900+GraphListeria!$B$44</f>
        <v>1.2125461801088511</v>
      </c>
      <c r="U900" s="10">
        <f>GraphListeria!$H$43*Listeria!I900+GraphListeria!$H$44</f>
        <v>1.208175002667029</v>
      </c>
    </row>
    <row r="901" spans="1:21" x14ac:dyDescent="0.2">
      <c r="A901" s="1" t="s">
        <v>1440</v>
      </c>
      <c r="B901" s="1" t="s">
        <v>1443</v>
      </c>
      <c r="D901" s="1" t="s">
        <v>43</v>
      </c>
      <c r="E901" s="1" t="s">
        <v>1444</v>
      </c>
      <c r="F901" s="1" t="s">
        <v>1277</v>
      </c>
      <c r="G901" s="1"/>
      <c r="H901" s="4">
        <v>5.6</v>
      </c>
      <c r="I901" s="4">
        <v>54</v>
      </c>
      <c r="J901" s="11">
        <v>8.35</v>
      </c>
      <c r="L901" s="12">
        <f t="shared" si="15"/>
        <v>0.92168647548360205</v>
      </c>
      <c r="M901" s="11">
        <f>GraphListeria!$B$10-(Listeria!I901-GraphListeria!$B$6)/GraphListeria!$B$5</f>
        <v>1.2081750026670286</v>
      </c>
      <c r="N901" s="2" t="s">
        <v>1226</v>
      </c>
      <c r="O901">
        <v>1996</v>
      </c>
      <c r="S901" s="10">
        <f>GraphListeria!$B$43*Listeria!I901+GraphListeria!$B$44</f>
        <v>1.2125461801088511</v>
      </c>
      <c r="U901" s="10">
        <f>GraphListeria!$H$43*Listeria!I901+GraphListeria!$H$44</f>
        <v>1.208175002667029</v>
      </c>
    </row>
    <row r="902" spans="1:21" x14ac:dyDescent="0.2">
      <c r="A902" s="1" t="s">
        <v>1440</v>
      </c>
      <c r="B902" s="1" t="s">
        <v>1443</v>
      </c>
      <c r="D902" s="1" t="s">
        <v>43</v>
      </c>
      <c r="E902" s="1" t="s">
        <v>1444</v>
      </c>
      <c r="F902" s="1" t="s">
        <v>1277</v>
      </c>
      <c r="G902" s="1"/>
      <c r="H902" s="4">
        <v>5.6</v>
      </c>
      <c r="I902" s="4">
        <v>54</v>
      </c>
      <c r="J902" s="11">
        <v>8.39</v>
      </c>
      <c r="L902" s="12">
        <f t="shared" si="15"/>
        <v>0.92376196082870032</v>
      </c>
      <c r="M902" s="11">
        <f>GraphListeria!$B$10-(Listeria!I902-GraphListeria!$B$6)/GraphListeria!$B$5</f>
        <v>1.2081750026670286</v>
      </c>
      <c r="N902" s="2" t="s">
        <v>1226</v>
      </c>
      <c r="O902">
        <v>1996</v>
      </c>
      <c r="S902" s="10">
        <f>GraphListeria!$B$43*Listeria!I902+GraphListeria!$B$44</f>
        <v>1.2125461801088511</v>
      </c>
      <c r="U902" s="10">
        <f>GraphListeria!$H$43*Listeria!I902+GraphListeria!$H$44</f>
        <v>1.208175002667029</v>
      </c>
    </row>
    <row r="903" spans="1:21" x14ac:dyDescent="0.2">
      <c r="A903" s="1" t="s">
        <v>1440</v>
      </c>
      <c r="B903" s="1" t="s">
        <v>1443</v>
      </c>
      <c r="D903" s="1" t="s">
        <v>43</v>
      </c>
      <c r="E903" t="s">
        <v>1444</v>
      </c>
      <c r="F903" t="s">
        <v>1277</v>
      </c>
      <c r="H903" s="4">
        <v>4.5999999999999996</v>
      </c>
      <c r="I903" s="4">
        <v>56</v>
      </c>
      <c r="J903" s="11">
        <v>2.04</v>
      </c>
      <c r="L903" s="12">
        <f t="shared" si="15"/>
        <v>0.30963016742589877</v>
      </c>
      <c r="M903" s="11">
        <f>GraphListeria!$B$10-(Listeria!I903-GraphListeria!$B$6)/GraphListeria!$B$5</f>
        <v>0.92419449187934366</v>
      </c>
      <c r="N903" s="2" t="s">
        <v>1226</v>
      </c>
      <c r="O903">
        <v>1996</v>
      </c>
      <c r="S903" s="10">
        <f>GraphListeria!$B$43*Listeria!I903+GraphListeria!$B$44</f>
        <v>0.93639468610375154</v>
      </c>
      <c r="U903" s="10">
        <f>GraphListeria!$H$43*Listeria!I903+GraphListeria!$H$44</f>
        <v>0.92419449187934344</v>
      </c>
    </row>
    <row r="904" spans="1:21" x14ac:dyDescent="0.2">
      <c r="A904" s="1" t="s">
        <v>1440</v>
      </c>
      <c r="B904" s="1" t="s">
        <v>1443</v>
      </c>
      <c r="D904" s="1" t="s">
        <v>43</v>
      </c>
      <c r="E904" t="s">
        <v>1444</v>
      </c>
      <c r="F904" t="s">
        <v>1277</v>
      </c>
      <c r="H904" s="4">
        <v>4.5999999999999996</v>
      </c>
      <c r="I904" s="4">
        <v>56</v>
      </c>
      <c r="J904" s="11">
        <v>4.74</v>
      </c>
      <c r="L904" s="12">
        <f t="shared" si="15"/>
        <v>0.67577834167408513</v>
      </c>
      <c r="M904" s="11">
        <f>GraphListeria!$B$10-(Listeria!I904-GraphListeria!$B$6)/GraphListeria!$B$5</f>
        <v>0.92419449187934366</v>
      </c>
      <c r="N904" s="2" t="s">
        <v>1226</v>
      </c>
      <c r="O904">
        <v>1996</v>
      </c>
      <c r="S904" s="10">
        <f>GraphListeria!$B$43*Listeria!I904+GraphListeria!$B$44</f>
        <v>0.93639468610375154</v>
      </c>
      <c r="U904" s="10">
        <f>GraphListeria!$H$43*Listeria!I904+GraphListeria!$H$44</f>
        <v>0.92419449187934344</v>
      </c>
    </row>
    <row r="905" spans="1:21" x14ac:dyDescent="0.2">
      <c r="A905" s="1" t="s">
        <v>1440</v>
      </c>
      <c r="B905" s="1" t="s">
        <v>1443</v>
      </c>
      <c r="D905" s="1" t="s">
        <v>43</v>
      </c>
      <c r="E905" t="s">
        <v>1444</v>
      </c>
      <c r="F905" t="s">
        <v>1277</v>
      </c>
      <c r="H905" s="4">
        <v>5.6</v>
      </c>
      <c r="I905" s="4">
        <v>56</v>
      </c>
      <c r="J905" s="11">
        <v>4.74</v>
      </c>
      <c r="L905" s="12">
        <f t="shared" si="15"/>
        <v>0.67577834167408513</v>
      </c>
      <c r="M905" s="11">
        <f>GraphListeria!$B$10-(Listeria!I905-GraphListeria!$B$6)/GraphListeria!$B$5</f>
        <v>0.92419449187934366</v>
      </c>
      <c r="N905" s="2" t="s">
        <v>1226</v>
      </c>
      <c r="O905">
        <v>1996</v>
      </c>
      <c r="S905" s="10">
        <f>GraphListeria!$B$43*Listeria!I905+GraphListeria!$B$44</f>
        <v>0.93639468610375154</v>
      </c>
      <c r="U905" s="10">
        <f>GraphListeria!$H$43*Listeria!I905+GraphListeria!$H$44</f>
        <v>0.92419449187934344</v>
      </c>
    </row>
    <row r="906" spans="1:21" x14ac:dyDescent="0.2">
      <c r="A906" s="1" t="s">
        <v>1440</v>
      </c>
      <c r="B906" s="1" t="s">
        <v>1443</v>
      </c>
      <c r="D906" s="1" t="s">
        <v>43</v>
      </c>
      <c r="E906" t="s">
        <v>1444</v>
      </c>
      <c r="F906" t="s">
        <v>1277</v>
      </c>
      <c r="H906" s="4">
        <v>5.6</v>
      </c>
      <c r="I906" s="4">
        <v>56</v>
      </c>
      <c r="J906" s="11">
        <v>6.8</v>
      </c>
      <c r="L906" s="12">
        <f t="shared" si="15"/>
        <v>0.83250891270623628</v>
      </c>
      <c r="M906" s="11">
        <f>GraphListeria!$B$10-(Listeria!I906-GraphListeria!$B$6)/GraphListeria!$B$5</f>
        <v>0.92419449187934366</v>
      </c>
      <c r="N906" s="2" t="s">
        <v>1226</v>
      </c>
      <c r="O906">
        <v>1996</v>
      </c>
      <c r="S906" s="10">
        <f>GraphListeria!$B$43*Listeria!I906+GraphListeria!$B$44</f>
        <v>0.93639468610375154</v>
      </c>
      <c r="U906" s="10">
        <f>GraphListeria!$H$43*Listeria!I906+GraphListeria!$H$44</f>
        <v>0.92419449187934344</v>
      </c>
    </row>
    <row r="907" spans="1:21" x14ac:dyDescent="0.2">
      <c r="A907" s="1" t="s">
        <v>1440</v>
      </c>
      <c r="B907" s="1" t="s">
        <v>1443</v>
      </c>
      <c r="D907" s="1" t="s">
        <v>43</v>
      </c>
      <c r="E907" s="1" t="s">
        <v>16</v>
      </c>
      <c r="F907" s="1" t="s">
        <v>14</v>
      </c>
      <c r="G907" s="1"/>
      <c r="I907" s="4">
        <v>60</v>
      </c>
      <c r="J907" s="11">
        <v>5.0199999999999996</v>
      </c>
      <c r="L907" s="12">
        <f t="shared" ref="L907:L926" si="16">LOG(J907)</f>
        <v>0.70070371714501933</v>
      </c>
      <c r="M907" s="11">
        <f>GraphListeria!$B$10-(Listeria!I907-GraphListeria!$B$6)/GraphListeria!$B$5</f>
        <v>0.35623347030397379</v>
      </c>
      <c r="N907" s="2" t="s">
        <v>1226</v>
      </c>
      <c r="O907">
        <v>1996</v>
      </c>
      <c r="S907" s="10">
        <f>GraphListeria!$B$43*Listeria!I907+GraphListeria!$B$44</f>
        <v>0.38409169809355426</v>
      </c>
      <c r="U907" s="10">
        <f>GraphListeria!$H$43*Listeria!I907+GraphListeria!$H$44</f>
        <v>0.35623347030397312</v>
      </c>
    </row>
    <row r="908" spans="1:21" x14ac:dyDescent="0.2">
      <c r="A908" s="1" t="s">
        <v>1440</v>
      </c>
      <c r="B908" s="1" t="s">
        <v>1443</v>
      </c>
      <c r="D908" s="1" t="s">
        <v>43</v>
      </c>
      <c r="E908" s="1" t="s">
        <v>16</v>
      </c>
      <c r="F908" s="1" t="s">
        <v>14</v>
      </c>
      <c r="G908" s="1"/>
      <c r="I908" s="4">
        <v>60</v>
      </c>
      <c r="J908" s="11">
        <v>7.76</v>
      </c>
      <c r="L908" s="12">
        <f t="shared" si="16"/>
        <v>0.88986172125818841</v>
      </c>
      <c r="M908" s="11">
        <f>GraphListeria!$B$10-(Listeria!I908-GraphListeria!$B$6)/GraphListeria!$B$5</f>
        <v>0.35623347030397379</v>
      </c>
      <c r="N908" s="2" t="s">
        <v>1226</v>
      </c>
      <c r="O908">
        <v>1996</v>
      </c>
      <c r="S908" s="10">
        <f>GraphListeria!$B$43*Listeria!I908+GraphListeria!$B$44</f>
        <v>0.38409169809355426</v>
      </c>
      <c r="U908" s="10">
        <f>GraphListeria!$H$43*Listeria!I908+GraphListeria!$H$44</f>
        <v>0.35623347030397312</v>
      </c>
    </row>
    <row r="909" spans="1:21" x14ac:dyDescent="0.2">
      <c r="A909" s="1" t="s">
        <v>1440</v>
      </c>
      <c r="B909" s="1" t="s">
        <v>1443</v>
      </c>
      <c r="D909" s="1" t="s">
        <v>43</v>
      </c>
      <c r="E909" s="1" t="s">
        <v>16</v>
      </c>
      <c r="F909" s="1" t="s">
        <v>14</v>
      </c>
      <c r="G909" s="1"/>
      <c r="I909" s="4">
        <v>62</v>
      </c>
      <c r="J909" s="11">
        <v>3.1</v>
      </c>
      <c r="L909" s="12">
        <f t="shared" si="16"/>
        <v>0.49136169383427269</v>
      </c>
      <c r="M909" s="11">
        <f>GraphListeria!$B$10-(Listeria!I909-GraphListeria!$B$6)/GraphListeria!$B$5</f>
        <v>7.2252959516288628E-2</v>
      </c>
      <c r="N909" s="2" t="s">
        <v>1226</v>
      </c>
      <c r="O909">
        <v>1996</v>
      </c>
      <c r="S909" s="10">
        <f>GraphListeria!$B$43*Listeria!I909+GraphListeria!$B$44</f>
        <v>0.10794020408845384</v>
      </c>
      <c r="U909" s="10">
        <f>GraphListeria!$H$43*Listeria!I909+GraphListeria!$H$44</f>
        <v>7.2252959516289295E-2</v>
      </c>
    </row>
    <row r="910" spans="1:21" x14ac:dyDescent="0.2">
      <c r="A910" s="1" t="s">
        <v>1440</v>
      </c>
      <c r="B910" s="1" t="s">
        <v>1443</v>
      </c>
      <c r="D910" s="1" t="s">
        <v>43</v>
      </c>
      <c r="E910" s="1" t="s">
        <v>16</v>
      </c>
      <c r="F910" s="1" t="s">
        <v>14</v>
      </c>
      <c r="G910" s="1"/>
      <c r="I910" s="4">
        <v>62</v>
      </c>
      <c r="J910" s="11">
        <v>3.29</v>
      </c>
      <c r="L910" s="12">
        <f t="shared" si="16"/>
        <v>0.51719589794997434</v>
      </c>
      <c r="M910" s="11">
        <f>GraphListeria!$B$10-(Listeria!I910-GraphListeria!$B$6)/GraphListeria!$B$5</f>
        <v>7.2252959516288628E-2</v>
      </c>
      <c r="N910" s="2" t="s">
        <v>1226</v>
      </c>
      <c r="O910">
        <v>1996</v>
      </c>
      <c r="S910" s="10">
        <f>GraphListeria!$B$43*Listeria!I910+GraphListeria!$B$44</f>
        <v>0.10794020408845384</v>
      </c>
      <c r="U910" s="10">
        <f>GraphListeria!$H$43*Listeria!I910+GraphListeria!$H$44</f>
        <v>7.2252959516289295E-2</v>
      </c>
    </row>
    <row r="911" spans="1:21" x14ac:dyDescent="0.2">
      <c r="A911" s="1" t="s">
        <v>1440</v>
      </c>
      <c r="B911" s="1" t="s">
        <v>1443</v>
      </c>
      <c r="D911" s="1" t="s">
        <v>43</v>
      </c>
      <c r="E911" s="1" t="s">
        <v>16</v>
      </c>
      <c r="F911" s="1" t="s">
        <v>14</v>
      </c>
      <c r="G911" s="1"/>
      <c r="I911" s="4">
        <v>64</v>
      </c>
      <c r="J911" s="11">
        <v>1.47</v>
      </c>
      <c r="L911" s="12">
        <f t="shared" si="16"/>
        <v>0.16731733474817609</v>
      </c>
      <c r="M911" s="11">
        <f>GraphListeria!$B$10-(Listeria!I911-GraphListeria!$B$6)/GraphListeria!$B$5</f>
        <v>-0.21172755127139631</v>
      </c>
      <c r="N911" s="2" t="s">
        <v>1226</v>
      </c>
      <c r="O911">
        <v>1996</v>
      </c>
      <c r="S911" s="10">
        <f>GraphListeria!$B$43*Listeria!I911+GraphListeria!$B$44</f>
        <v>-0.1682112899166448</v>
      </c>
      <c r="U911" s="10">
        <f>GraphListeria!$H$43*Listeria!I911+GraphListeria!$H$44</f>
        <v>-0.21172755127139631</v>
      </c>
    </row>
    <row r="912" spans="1:21" x14ac:dyDescent="0.2">
      <c r="A912" s="1" t="s">
        <v>1440</v>
      </c>
      <c r="B912" s="1" t="s">
        <v>1443</v>
      </c>
      <c r="D912" s="1" t="s">
        <v>43</v>
      </c>
      <c r="E912" s="1" t="s">
        <v>16</v>
      </c>
      <c r="F912" s="1" t="s">
        <v>14</v>
      </c>
      <c r="G912" s="1"/>
      <c r="I912" s="4">
        <v>64</v>
      </c>
      <c r="J912" s="11">
        <v>2.5299999999999998</v>
      </c>
      <c r="L912" s="12">
        <f t="shared" si="16"/>
        <v>0.40312052117581787</v>
      </c>
      <c r="M912" s="11">
        <f>GraphListeria!$B$10-(Listeria!I912-GraphListeria!$B$6)/GraphListeria!$B$5</f>
        <v>-0.21172755127139631</v>
      </c>
      <c r="N912" s="2" t="s">
        <v>1226</v>
      </c>
      <c r="O912">
        <v>1996</v>
      </c>
      <c r="S912" s="10">
        <f>GraphListeria!$B$43*Listeria!I912+GraphListeria!$B$44</f>
        <v>-0.1682112899166448</v>
      </c>
      <c r="U912" s="10">
        <f>GraphListeria!$H$43*Listeria!I912+GraphListeria!$H$44</f>
        <v>-0.21172755127139631</v>
      </c>
    </row>
    <row r="913" spans="1:21" x14ac:dyDescent="0.2">
      <c r="A913" s="1" t="s">
        <v>1440</v>
      </c>
      <c r="B913" s="1" t="s">
        <v>1443</v>
      </c>
      <c r="D913" s="1" t="s">
        <v>43</v>
      </c>
      <c r="E913" s="1" t="s">
        <v>16</v>
      </c>
      <c r="F913" s="1" t="s">
        <v>14</v>
      </c>
      <c r="G913" s="1"/>
      <c r="I913" s="4">
        <v>68</v>
      </c>
      <c r="J913" s="11">
        <v>0.3</v>
      </c>
      <c r="L913" s="12">
        <f t="shared" si="16"/>
        <v>-0.52287874528033762</v>
      </c>
      <c r="M913" s="11">
        <f>GraphListeria!$B$10-(Listeria!I913-GraphListeria!$B$6)/GraphListeria!$B$5</f>
        <v>-0.7796885728467664</v>
      </c>
      <c r="N913" s="2" t="s">
        <v>1226</v>
      </c>
      <c r="O913">
        <v>1996</v>
      </c>
      <c r="S913" s="10">
        <f>GraphListeria!$B$43*Listeria!I913+GraphListeria!$B$44</f>
        <v>-0.72051427792684386</v>
      </c>
      <c r="U913" s="10">
        <f>GraphListeria!$H$43*Listeria!I913+GraphListeria!$H$44</f>
        <v>-0.77968857284676574</v>
      </c>
    </row>
    <row r="914" spans="1:21" x14ac:dyDescent="0.2">
      <c r="A914" s="1" t="s">
        <v>1440</v>
      </c>
      <c r="B914" s="1" t="s">
        <v>1443</v>
      </c>
      <c r="D914" s="1" t="s">
        <v>43</v>
      </c>
      <c r="E914" s="1" t="s">
        <v>16</v>
      </c>
      <c r="F914" s="1" t="s">
        <v>14</v>
      </c>
      <c r="G914" s="1"/>
      <c r="I914" s="4">
        <v>68</v>
      </c>
      <c r="J914" s="11">
        <v>0.44</v>
      </c>
      <c r="L914" s="12">
        <f t="shared" si="16"/>
        <v>-0.35654732351381258</v>
      </c>
      <c r="M914" s="11">
        <f>GraphListeria!$B$10-(Listeria!I914-GraphListeria!$B$6)/GraphListeria!$B$5</f>
        <v>-0.7796885728467664</v>
      </c>
      <c r="N914" s="2" t="s">
        <v>1226</v>
      </c>
      <c r="O914">
        <v>1996</v>
      </c>
      <c r="S914" s="10">
        <f>GraphListeria!$B$43*Listeria!I914+GraphListeria!$B$44</f>
        <v>-0.72051427792684386</v>
      </c>
      <c r="U914" s="10">
        <f>GraphListeria!$H$43*Listeria!I914+GraphListeria!$H$44</f>
        <v>-0.77968857284676574</v>
      </c>
    </row>
    <row r="915" spans="1:21" x14ac:dyDescent="0.2">
      <c r="A915" s="1" t="s">
        <v>1440</v>
      </c>
      <c r="B915" s="1" t="s">
        <v>1443</v>
      </c>
      <c r="D915" s="1" t="s">
        <v>43</v>
      </c>
      <c r="E915" s="1" t="s">
        <v>16</v>
      </c>
      <c r="F915" s="1" t="s">
        <v>14</v>
      </c>
      <c r="G915" s="1"/>
      <c r="I915" s="4">
        <v>70</v>
      </c>
      <c r="J915" s="11">
        <v>0.23</v>
      </c>
      <c r="L915" s="12">
        <f t="shared" si="16"/>
        <v>-0.63827216398240705</v>
      </c>
      <c r="M915" s="11">
        <f>GraphListeria!$B$10-(Listeria!I915-GraphListeria!$B$6)/GraphListeria!$B$5</f>
        <v>-1.0636690836344513</v>
      </c>
      <c r="N915" s="2" t="s">
        <v>1226</v>
      </c>
      <c r="O915">
        <v>1996</v>
      </c>
      <c r="S915" s="10">
        <f>GraphListeria!$B$43*Listeria!I915+GraphListeria!$B$44</f>
        <v>-0.9966657719319425</v>
      </c>
      <c r="U915" s="10">
        <f>GraphListeria!$H$43*Listeria!I915+GraphListeria!$H$44</f>
        <v>-1.0636690836344513</v>
      </c>
    </row>
    <row r="916" spans="1:21" x14ac:dyDescent="0.2">
      <c r="A916" s="1" t="s">
        <v>1440</v>
      </c>
      <c r="B916" s="1" t="s">
        <v>1443</v>
      </c>
      <c r="D916" s="1" t="s">
        <v>43</v>
      </c>
      <c r="E916" s="1" t="s">
        <v>16</v>
      </c>
      <c r="F916" s="1" t="s">
        <v>14</v>
      </c>
      <c r="G916" s="1"/>
      <c r="I916" s="4">
        <v>70</v>
      </c>
      <c r="J916" s="11">
        <v>0.27</v>
      </c>
      <c r="L916" s="12">
        <f t="shared" si="16"/>
        <v>-0.56863623584101264</v>
      </c>
      <c r="M916" s="11">
        <f>GraphListeria!$B$10-(Listeria!I916-GraphListeria!$B$6)/GraphListeria!$B$5</f>
        <v>-1.0636690836344513</v>
      </c>
      <c r="N916" s="2" t="s">
        <v>1226</v>
      </c>
      <c r="O916">
        <v>1996</v>
      </c>
      <c r="S916" s="10">
        <f>GraphListeria!$B$43*Listeria!I916+GraphListeria!$B$44</f>
        <v>-0.9966657719319425</v>
      </c>
      <c r="U916" s="10">
        <f>GraphListeria!$H$43*Listeria!I916+GraphListeria!$H$44</f>
        <v>-1.0636690836344513</v>
      </c>
    </row>
    <row r="917" spans="1:21" x14ac:dyDescent="0.2">
      <c r="A917" s="1" t="s">
        <v>1440</v>
      </c>
      <c r="B917" s="1" t="s">
        <v>1443</v>
      </c>
      <c r="C917" t="s">
        <v>57</v>
      </c>
      <c r="D917" s="1" t="s">
        <v>43</v>
      </c>
      <c r="E917" s="1" t="s">
        <v>21</v>
      </c>
      <c r="F917" s="1" t="s">
        <v>14</v>
      </c>
      <c r="G917" s="1"/>
      <c r="I917" s="4">
        <v>60</v>
      </c>
      <c r="J917" s="11">
        <v>5.0199999999999996</v>
      </c>
      <c r="K917" s="4">
        <v>7.04</v>
      </c>
      <c r="L917" s="12">
        <f t="shared" si="16"/>
        <v>0.70070371714501933</v>
      </c>
      <c r="M917" s="11">
        <f>GraphListeria!$B$10-(Listeria!I917-GraphListeria!$B$6)/GraphListeria!$B$5</f>
        <v>0.35623347030397379</v>
      </c>
      <c r="N917" s="1" t="s">
        <v>490</v>
      </c>
      <c r="O917">
        <v>2001</v>
      </c>
      <c r="S917" s="10">
        <f>GraphListeria!$B$43*Listeria!I917+GraphListeria!$B$44</f>
        <v>0.38409169809355426</v>
      </c>
      <c r="U917" s="10">
        <f>GraphListeria!$H$43*Listeria!I917+GraphListeria!$H$44</f>
        <v>0.35623347030397312</v>
      </c>
    </row>
    <row r="918" spans="1:21" x14ac:dyDescent="0.2">
      <c r="A918" s="1" t="s">
        <v>1440</v>
      </c>
      <c r="B918" s="1" t="s">
        <v>1443</v>
      </c>
      <c r="C918" t="s">
        <v>57</v>
      </c>
      <c r="D918" s="1" t="s">
        <v>43</v>
      </c>
      <c r="E918" s="1" t="s">
        <v>21</v>
      </c>
      <c r="F918" s="1" t="s">
        <v>14</v>
      </c>
      <c r="G918" s="1"/>
      <c r="I918" s="4">
        <v>64</v>
      </c>
      <c r="J918" s="11">
        <v>1.47</v>
      </c>
      <c r="K918" s="4">
        <v>7.04</v>
      </c>
      <c r="L918" s="12">
        <f t="shared" si="16"/>
        <v>0.16731733474817609</v>
      </c>
      <c r="M918" s="11">
        <f>GraphListeria!$B$10-(Listeria!I918-GraphListeria!$B$6)/GraphListeria!$B$5</f>
        <v>-0.21172755127139631</v>
      </c>
      <c r="N918" s="1" t="s">
        <v>490</v>
      </c>
      <c r="O918">
        <v>2001</v>
      </c>
      <c r="S918" s="10">
        <f>GraphListeria!$B$43*Listeria!I918+GraphListeria!$B$44</f>
        <v>-0.1682112899166448</v>
      </c>
      <c r="U918" s="10">
        <f>GraphListeria!$H$43*Listeria!I918+GraphListeria!$H$44</f>
        <v>-0.21172755127139631</v>
      </c>
    </row>
    <row r="919" spans="1:21" x14ac:dyDescent="0.2">
      <c r="A919" s="1" t="s">
        <v>1440</v>
      </c>
      <c r="B919" s="1" t="s">
        <v>1443</v>
      </c>
      <c r="C919" t="s">
        <v>57</v>
      </c>
      <c r="D919" s="1" t="s">
        <v>43</v>
      </c>
      <c r="E919" s="1" t="s">
        <v>21</v>
      </c>
      <c r="F919" s="1" t="s">
        <v>14</v>
      </c>
      <c r="G919" s="1"/>
      <c r="I919" s="4">
        <v>68</v>
      </c>
      <c r="J919" s="11">
        <v>0.3</v>
      </c>
      <c r="K919" s="4">
        <v>7.04</v>
      </c>
      <c r="L919" s="12">
        <f t="shared" si="16"/>
        <v>-0.52287874528033762</v>
      </c>
      <c r="M919" s="11">
        <f>GraphListeria!$B$10-(Listeria!I919-GraphListeria!$B$6)/GraphListeria!$B$5</f>
        <v>-0.7796885728467664</v>
      </c>
      <c r="N919" s="1" t="s">
        <v>490</v>
      </c>
      <c r="O919">
        <v>2001</v>
      </c>
      <c r="S919" s="10">
        <f>GraphListeria!$B$43*Listeria!I919+GraphListeria!$B$44</f>
        <v>-0.72051427792684386</v>
      </c>
      <c r="U919" s="10">
        <f>GraphListeria!$H$43*Listeria!I919+GraphListeria!$H$44</f>
        <v>-0.77968857284676574</v>
      </c>
    </row>
    <row r="920" spans="1:21" x14ac:dyDescent="0.2">
      <c r="A920" s="1" t="s">
        <v>1440</v>
      </c>
      <c r="B920" s="1" t="s">
        <v>1443</v>
      </c>
      <c r="C920" t="s">
        <v>463</v>
      </c>
      <c r="D920" s="1" t="s">
        <v>43</v>
      </c>
      <c r="E920" s="1" t="s">
        <v>21</v>
      </c>
      <c r="F920" s="1" t="s">
        <v>14</v>
      </c>
      <c r="G920" s="1"/>
      <c r="I920" s="4">
        <v>60</v>
      </c>
      <c r="J920" s="11">
        <v>7.76</v>
      </c>
      <c r="K920" s="4">
        <v>6.7</v>
      </c>
      <c r="L920" s="12">
        <f t="shared" si="16"/>
        <v>0.88986172125818841</v>
      </c>
      <c r="M920" s="11">
        <f>GraphListeria!$B$10-(Listeria!I920-GraphListeria!$B$6)/GraphListeria!$B$5</f>
        <v>0.35623347030397379</v>
      </c>
      <c r="N920" s="1" t="s">
        <v>490</v>
      </c>
      <c r="O920">
        <v>2001</v>
      </c>
      <c r="S920" s="10">
        <f>GraphListeria!$B$43*Listeria!I920+GraphListeria!$B$44</f>
        <v>0.38409169809355426</v>
      </c>
      <c r="U920" s="10">
        <f>GraphListeria!$H$43*Listeria!I920+GraphListeria!$H$44</f>
        <v>0.35623347030397312</v>
      </c>
    </row>
    <row r="921" spans="1:21" x14ac:dyDescent="0.2">
      <c r="A921" s="1" t="s">
        <v>1440</v>
      </c>
      <c r="B921" s="1" t="s">
        <v>1443</v>
      </c>
      <c r="C921" t="s">
        <v>463</v>
      </c>
      <c r="D921" s="1" t="s">
        <v>43</v>
      </c>
      <c r="E921" s="1" t="s">
        <v>21</v>
      </c>
      <c r="F921" s="1" t="s">
        <v>14</v>
      </c>
      <c r="G921" s="1"/>
      <c r="I921" s="4">
        <v>64</v>
      </c>
      <c r="J921" s="11">
        <v>2.5299999999999998</v>
      </c>
      <c r="K921" s="4">
        <v>6.7</v>
      </c>
      <c r="L921" s="12">
        <f t="shared" si="16"/>
        <v>0.40312052117581787</v>
      </c>
      <c r="M921" s="11">
        <f>GraphListeria!$B$10-(Listeria!I921-GraphListeria!$B$6)/GraphListeria!$B$5</f>
        <v>-0.21172755127139631</v>
      </c>
      <c r="N921" s="1" t="s">
        <v>490</v>
      </c>
      <c r="O921">
        <v>2001</v>
      </c>
      <c r="S921" s="10">
        <f>GraphListeria!$B$43*Listeria!I921+GraphListeria!$B$44</f>
        <v>-0.1682112899166448</v>
      </c>
      <c r="U921" s="10">
        <f>GraphListeria!$H$43*Listeria!I921+GraphListeria!$H$44</f>
        <v>-0.21172755127139631</v>
      </c>
    </row>
    <row r="922" spans="1:21" x14ac:dyDescent="0.2">
      <c r="A922" s="1" t="s">
        <v>1440</v>
      </c>
      <c r="B922" s="1" t="s">
        <v>1443</v>
      </c>
      <c r="C922" t="s">
        <v>463</v>
      </c>
      <c r="D922" s="1" t="s">
        <v>43</v>
      </c>
      <c r="E922" s="1" t="s">
        <v>21</v>
      </c>
      <c r="F922" s="1" t="s">
        <v>14</v>
      </c>
      <c r="G922" s="1"/>
      <c r="I922" s="4">
        <v>68</v>
      </c>
      <c r="J922" s="11">
        <v>0.44</v>
      </c>
      <c r="K922" s="4">
        <v>6.7</v>
      </c>
      <c r="L922" s="12">
        <f t="shared" si="16"/>
        <v>-0.35654732351381258</v>
      </c>
      <c r="M922" s="11">
        <f>GraphListeria!$B$10-(Listeria!I922-GraphListeria!$B$6)/GraphListeria!$B$5</f>
        <v>-0.7796885728467664</v>
      </c>
      <c r="N922" s="1" t="s">
        <v>490</v>
      </c>
      <c r="O922">
        <v>2001</v>
      </c>
      <c r="S922" s="10">
        <f>GraphListeria!$B$43*Listeria!I922+GraphListeria!$B$44</f>
        <v>-0.72051427792684386</v>
      </c>
      <c r="U922" s="10">
        <f>GraphListeria!$H$43*Listeria!I922+GraphListeria!$H$44</f>
        <v>-0.77968857284676574</v>
      </c>
    </row>
    <row r="923" spans="1:21" x14ac:dyDescent="0.2">
      <c r="A923" s="1" t="s">
        <v>1440</v>
      </c>
      <c r="B923" s="1" t="s">
        <v>1443</v>
      </c>
      <c r="D923" s="1" t="s">
        <v>43</v>
      </c>
      <c r="E923" t="s">
        <v>21</v>
      </c>
      <c r="F923" t="s">
        <v>14</v>
      </c>
      <c r="I923" s="4">
        <v>66</v>
      </c>
      <c r="J923" s="11">
        <v>0.73</v>
      </c>
      <c r="L923" s="12">
        <f t="shared" si="16"/>
        <v>-0.13667713987954411</v>
      </c>
      <c r="M923" s="11">
        <f>GraphListeria!$B$10-(Listeria!I923-GraphListeria!$B$6)/GraphListeria!$B$5</f>
        <v>-0.49570806205908136</v>
      </c>
      <c r="N923" s="2" t="s">
        <v>1226</v>
      </c>
      <c r="O923">
        <v>1996</v>
      </c>
      <c r="S923" s="10">
        <f>GraphListeria!$B$43*Listeria!I923+GraphListeria!$B$44</f>
        <v>-0.44436278392174344</v>
      </c>
      <c r="U923" s="10">
        <f>GraphListeria!$H$43*Listeria!I923+GraphListeria!$H$44</f>
        <v>-0.49570806205908191</v>
      </c>
    </row>
    <row r="924" spans="1:21" x14ac:dyDescent="0.2">
      <c r="A924" s="1" t="s">
        <v>1440</v>
      </c>
      <c r="B924" s="1" t="s">
        <v>1443</v>
      </c>
      <c r="D924" s="1" t="s">
        <v>43</v>
      </c>
      <c r="E924" t="s">
        <v>21</v>
      </c>
      <c r="F924" t="s">
        <v>14</v>
      </c>
      <c r="I924" s="4">
        <v>66</v>
      </c>
      <c r="J924" s="11">
        <v>0.91</v>
      </c>
      <c r="L924" s="12">
        <f t="shared" si="16"/>
        <v>-4.0958607678906384E-2</v>
      </c>
      <c r="M924" s="11">
        <f>GraphListeria!$B$10-(Listeria!I924-GraphListeria!$B$6)/GraphListeria!$B$5</f>
        <v>-0.49570806205908136</v>
      </c>
      <c r="N924" s="2" t="s">
        <v>1226</v>
      </c>
      <c r="O924">
        <v>1996</v>
      </c>
      <c r="S924" s="10">
        <f>GraphListeria!$B$43*Listeria!I924+GraphListeria!$B$44</f>
        <v>-0.44436278392174344</v>
      </c>
      <c r="T924" s="10"/>
      <c r="U924" s="10">
        <f>GraphListeria!$H$43*Listeria!I924+GraphListeria!$H$44</f>
        <v>-0.49570806205908191</v>
      </c>
    </row>
    <row r="925" spans="1:21" x14ac:dyDescent="0.2">
      <c r="A925" s="1" t="s">
        <v>1440</v>
      </c>
      <c r="B925" s="1" t="s">
        <v>1443</v>
      </c>
      <c r="D925" s="1" t="s">
        <v>43</v>
      </c>
      <c r="E925" s="1" t="s">
        <v>704</v>
      </c>
      <c r="F925" s="1"/>
      <c r="G925" s="1"/>
      <c r="I925" s="4">
        <v>56</v>
      </c>
      <c r="J925" s="11">
        <v>5</v>
      </c>
      <c r="K925" s="4">
        <v>4.9000000000000004</v>
      </c>
      <c r="L925" s="12">
        <f t="shared" si="16"/>
        <v>0.69897000433601886</v>
      </c>
      <c r="M925" s="11">
        <f>GraphListeria!$B$10-(Listeria!I925-GraphListeria!$B$6)/GraphListeria!$B$5</f>
        <v>0.92419449187934366</v>
      </c>
      <c r="N925" s="1" t="s">
        <v>490</v>
      </c>
      <c r="O925">
        <v>2001</v>
      </c>
      <c r="S925" s="10">
        <f>GraphListeria!$B$43*Listeria!I925+GraphListeria!$B$44</f>
        <v>0.93639468610375154</v>
      </c>
      <c r="T925" s="10"/>
      <c r="U925" s="10">
        <f>GraphListeria!$H$43*Listeria!I925+GraphListeria!$H$44</f>
        <v>0.92419449187934344</v>
      </c>
    </row>
    <row r="926" spans="1:21" x14ac:dyDescent="0.2">
      <c r="A926" s="1" t="s">
        <v>1440</v>
      </c>
      <c r="B926" s="1" t="s">
        <v>1443</v>
      </c>
      <c r="D926" s="1" t="s">
        <v>43</v>
      </c>
      <c r="E926" s="1" t="s">
        <v>704</v>
      </c>
      <c r="F926" s="1"/>
      <c r="G926" s="1"/>
      <c r="I926" s="4">
        <v>60</v>
      </c>
      <c r="J926" s="11">
        <v>0.69</v>
      </c>
      <c r="K926" s="4">
        <v>4.9000000000000004</v>
      </c>
      <c r="L926" s="12">
        <f t="shared" si="16"/>
        <v>-0.16115090926274472</v>
      </c>
      <c r="M926" s="11">
        <f>GraphListeria!$B$10-(Listeria!I926-GraphListeria!$B$6)/GraphListeria!$B$5</f>
        <v>0.35623347030397379</v>
      </c>
      <c r="N926" s="1" t="s">
        <v>490</v>
      </c>
      <c r="O926">
        <v>2001</v>
      </c>
      <c r="S926" s="10">
        <f>GraphListeria!$B$43*Listeria!I926+GraphListeria!$B$44</f>
        <v>0.38409169809355426</v>
      </c>
      <c r="T926" s="10"/>
      <c r="U926" s="10">
        <f>GraphListeria!$H$43*Listeria!I926+GraphListeria!$H$44</f>
        <v>0.35623347030397312</v>
      </c>
    </row>
    <row r="927" spans="1:21" x14ac:dyDescent="0.2">
      <c r="A927" s="1" t="s">
        <v>1440</v>
      </c>
      <c r="B927" s="1" t="s">
        <v>1443</v>
      </c>
      <c r="D927" s="1" t="s">
        <v>43</v>
      </c>
      <c r="E927" s="1" t="s">
        <v>704</v>
      </c>
      <c r="F927" s="1"/>
      <c r="G927" s="1"/>
      <c r="I927" s="4">
        <v>62</v>
      </c>
      <c r="J927" s="11">
        <v>0.3</v>
      </c>
      <c r="K927" s="4">
        <v>4.9000000000000004</v>
      </c>
      <c r="L927" s="12">
        <f t="shared" ref="L927:L941" si="17">LOG(J927)</f>
        <v>-0.52287874528033762</v>
      </c>
      <c r="M927" s="11">
        <f>GraphListeria!$B$10-(Listeria!I927-GraphListeria!$B$6)/GraphListeria!$B$5</f>
        <v>7.2252959516288628E-2</v>
      </c>
      <c r="N927" s="1" t="s">
        <v>490</v>
      </c>
      <c r="O927">
        <v>2001</v>
      </c>
      <c r="S927" s="10">
        <f>GraphListeria!$B$43*Listeria!I927+GraphListeria!$B$44</f>
        <v>0.10794020408845384</v>
      </c>
      <c r="T927" s="10"/>
      <c r="U927" s="10">
        <f>GraphListeria!$H$43*Listeria!I927+GraphListeria!$H$44</f>
        <v>7.2252959516289295E-2</v>
      </c>
    </row>
    <row r="928" spans="1:21" x14ac:dyDescent="0.2">
      <c r="A928" s="1" t="s">
        <v>1440</v>
      </c>
      <c r="B928" s="1" t="s">
        <v>1443</v>
      </c>
      <c r="D928" s="1" t="s">
        <v>43</v>
      </c>
      <c r="E928" s="1" t="s">
        <v>701</v>
      </c>
      <c r="F928" s="1"/>
      <c r="G928" s="1"/>
      <c r="I928" s="4">
        <v>56</v>
      </c>
      <c r="J928" s="11">
        <v>0.8</v>
      </c>
      <c r="K928" s="4">
        <v>6.7</v>
      </c>
      <c r="L928" s="12">
        <f t="shared" si="17"/>
        <v>-9.6910013008056392E-2</v>
      </c>
      <c r="M928" s="11">
        <f>GraphListeria!$B$10-(Listeria!I928-GraphListeria!$B$6)/GraphListeria!$B$5</f>
        <v>0.92419449187934366</v>
      </c>
      <c r="N928" s="1" t="s">
        <v>490</v>
      </c>
      <c r="O928">
        <v>2001</v>
      </c>
      <c r="S928" s="10">
        <f>GraphListeria!$B$43*Listeria!I928+GraphListeria!$B$44</f>
        <v>0.93639468610375154</v>
      </c>
      <c r="T928" s="10"/>
      <c r="U928" s="10">
        <f>GraphListeria!$H$43*Listeria!I928+GraphListeria!$H$44</f>
        <v>0.92419449187934344</v>
      </c>
    </row>
    <row r="929" spans="1:21" x14ac:dyDescent="0.2">
      <c r="A929" s="1" t="s">
        <v>1440</v>
      </c>
      <c r="B929" s="1" t="s">
        <v>1443</v>
      </c>
      <c r="D929" s="1" t="s">
        <v>43</v>
      </c>
      <c r="E929" s="1" t="s">
        <v>701</v>
      </c>
      <c r="F929" s="1"/>
      <c r="G929" s="1"/>
      <c r="I929" s="4">
        <v>60</v>
      </c>
      <c r="J929" s="11">
        <v>0.23</v>
      </c>
      <c r="K929" s="4">
        <v>6.7</v>
      </c>
      <c r="L929" s="12">
        <f t="shared" si="17"/>
        <v>-0.63827216398240705</v>
      </c>
      <c r="M929" s="11">
        <f>GraphListeria!$B$10-(Listeria!I929-GraphListeria!$B$6)/GraphListeria!$B$5</f>
        <v>0.35623347030397379</v>
      </c>
      <c r="N929" s="1" t="s">
        <v>490</v>
      </c>
      <c r="O929">
        <v>2001</v>
      </c>
      <c r="S929" s="10">
        <f>GraphListeria!$B$43*Listeria!I929+GraphListeria!$B$44</f>
        <v>0.38409169809355426</v>
      </c>
      <c r="T929" s="10"/>
      <c r="U929" s="10">
        <f>GraphListeria!$H$43*Listeria!I929+GraphListeria!$H$44</f>
        <v>0.35623347030397312</v>
      </c>
    </row>
    <row r="930" spans="1:21" x14ac:dyDescent="0.2">
      <c r="A930" s="1" t="s">
        <v>1440</v>
      </c>
      <c r="B930" s="1" t="s">
        <v>1443</v>
      </c>
      <c r="D930" s="1" t="s">
        <v>43</v>
      </c>
      <c r="E930" s="1" t="s">
        <v>701</v>
      </c>
      <c r="F930" s="1"/>
      <c r="G930" s="1"/>
      <c r="I930" s="4">
        <v>62</v>
      </c>
      <c r="J930" s="11">
        <v>0.1</v>
      </c>
      <c r="K930" s="4">
        <v>6.7</v>
      </c>
      <c r="L930" s="12">
        <f t="shared" si="17"/>
        <v>-1</v>
      </c>
      <c r="M930" s="11">
        <f>GraphListeria!$B$10-(Listeria!I930-GraphListeria!$B$6)/GraphListeria!$B$5</f>
        <v>7.2252959516288628E-2</v>
      </c>
      <c r="N930" s="1" t="s">
        <v>490</v>
      </c>
      <c r="O930">
        <v>2001</v>
      </c>
      <c r="S930" s="10">
        <f>GraphListeria!$B$43*Listeria!I930+GraphListeria!$B$44</f>
        <v>0.10794020408845384</v>
      </c>
      <c r="T930" s="10"/>
      <c r="U930" s="10">
        <f>GraphListeria!$H$43*Listeria!I930+GraphListeria!$H$44</f>
        <v>7.2252959516289295E-2</v>
      </c>
    </row>
    <row r="931" spans="1:21" x14ac:dyDescent="0.2">
      <c r="A931" s="1" t="s">
        <v>1440</v>
      </c>
      <c r="B931" s="1" t="s">
        <v>1443</v>
      </c>
      <c r="D931" s="1" t="s">
        <v>43</v>
      </c>
      <c r="E931" s="1" t="s">
        <v>1271</v>
      </c>
      <c r="F931" s="1"/>
      <c r="G931" s="1"/>
      <c r="I931" s="4">
        <v>56</v>
      </c>
      <c r="J931" s="11">
        <v>5.2</v>
      </c>
      <c r="K931" s="4">
        <v>5.5</v>
      </c>
      <c r="L931" s="12">
        <f t="shared" si="17"/>
        <v>0.71600334363479923</v>
      </c>
      <c r="M931" s="11">
        <f>GraphListeria!$B$10-(Listeria!I931-GraphListeria!$B$6)/GraphListeria!$B$5</f>
        <v>0.92419449187934366</v>
      </c>
      <c r="N931" s="1" t="s">
        <v>490</v>
      </c>
      <c r="O931">
        <v>2001</v>
      </c>
      <c r="S931" s="10">
        <f>GraphListeria!$B$43*Listeria!I931+GraphListeria!$B$44</f>
        <v>0.93639468610375154</v>
      </c>
      <c r="T931" s="10"/>
      <c r="U931" s="10">
        <f>GraphListeria!$H$43*Listeria!I931+GraphListeria!$H$44</f>
        <v>0.92419449187934344</v>
      </c>
    </row>
    <row r="932" spans="1:21" x14ac:dyDescent="0.2">
      <c r="A932" s="1" t="s">
        <v>1440</v>
      </c>
      <c r="B932" s="1" t="s">
        <v>1443</v>
      </c>
      <c r="D932" s="1" t="s">
        <v>43</v>
      </c>
      <c r="E932" s="1" t="s">
        <v>1271</v>
      </c>
      <c r="F932" s="1"/>
      <c r="G932" s="1"/>
      <c r="I932" s="4">
        <v>60</v>
      </c>
      <c r="J932" s="11">
        <v>1.04</v>
      </c>
      <c r="K932" s="4">
        <v>5.5</v>
      </c>
      <c r="L932" s="12">
        <f t="shared" si="17"/>
        <v>1.703333929878037E-2</v>
      </c>
      <c r="M932" s="11">
        <f>GraphListeria!$B$10-(Listeria!I932-GraphListeria!$B$6)/GraphListeria!$B$5</f>
        <v>0.35623347030397379</v>
      </c>
      <c r="N932" s="1" t="s">
        <v>490</v>
      </c>
      <c r="O932">
        <v>2001</v>
      </c>
      <c r="S932" s="10">
        <f>GraphListeria!$B$43*Listeria!I932+GraphListeria!$B$44</f>
        <v>0.38409169809355426</v>
      </c>
      <c r="T932" s="10"/>
      <c r="U932" s="10">
        <f>GraphListeria!$H$43*Listeria!I932+GraphListeria!$H$44</f>
        <v>0.35623347030397312</v>
      </c>
    </row>
    <row r="933" spans="1:21" x14ac:dyDescent="0.2">
      <c r="A933" s="1" t="s">
        <v>1440</v>
      </c>
      <c r="B933" s="1" t="s">
        <v>1443</v>
      </c>
      <c r="D933" s="1" t="s">
        <v>43</v>
      </c>
      <c r="E933" s="1" t="s">
        <v>1271</v>
      </c>
      <c r="F933" s="1"/>
      <c r="G933" s="1"/>
      <c r="I933" s="4">
        <v>62</v>
      </c>
      <c r="J933" s="11">
        <v>0.41</v>
      </c>
      <c r="K933" s="4">
        <v>5.5</v>
      </c>
      <c r="L933" s="12">
        <f t="shared" si="17"/>
        <v>-0.38721614328026455</v>
      </c>
      <c r="M933" s="11">
        <f>GraphListeria!$B$10-(Listeria!I933-GraphListeria!$B$6)/GraphListeria!$B$5</f>
        <v>7.2252959516288628E-2</v>
      </c>
      <c r="N933" s="1" t="s">
        <v>490</v>
      </c>
      <c r="O933">
        <v>2001</v>
      </c>
      <c r="S933" s="10">
        <f>GraphListeria!$B$43*Listeria!I933+GraphListeria!$B$44</f>
        <v>0.10794020408845384</v>
      </c>
      <c r="T933" s="10"/>
      <c r="U933" s="10">
        <f>GraphListeria!$H$43*Listeria!I933+GraphListeria!$H$44</f>
        <v>7.2252959516289295E-2</v>
      </c>
    </row>
    <row r="934" spans="1:21" x14ac:dyDescent="0.2">
      <c r="A934" s="1" t="s">
        <v>1440</v>
      </c>
      <c r="B934" s="1" t="s">
        <v>1443</v>
      </c>
      <c r="D934" s="1" t="s">
        <v>43</v>
      </c>
      <c r="E934" s="1" t="s">
        <v>703</v>
      </c>
      <c r="F934" s="1"/>
      <c r="G934" s="1"/>
      <c r="I934" s="4">
        <v>56</v>
      </c>
      <c r="J934" s="11">
        <v>3.9</v>
      </c>
      <c r="K934" s="4">
        <v>5.5</v>
      </c>
      <c r="L934" s="12">
        <f t="shared" si="17"/>
        <v>0.59106460702649921</v>
      </c>
      <c r="M934" s="11">
        <f>GraphListeria!$B$10-(Listeria!I934-GraphListeria!$B$6)/GraphListeria!$B$5</f>
        <v>0.92419449187934366</v>
      </c>
      <c r="N934" s="1" t="s">
        <v>490</v>
      </c>
      <c r="O934">
        <v>2001</v>
      </c>
      <c r="S934" s="10">
        <f>GraphListeria!$B$43*Listeria!I934+GraphListeria!$B$44</f>
        <v>0.93639468610375154</v>
      </c>
      <c r="T934" s="10"/>
      <c r="U934" s="10">
        <f>GraphListeria!$H$43*Listeria!I934+GraphListeria!$H$44</f>
        <v>0.92419449187934344</v>
      </c>
    </row>
    <row r="935" spans="1:21" x14ac:dyDescent="0.2">
      <c r="A935" s="1" t="s">
        <v>1440</v>
      </c>
      <c r="B935" s="1" t="s">
        <v>1443</v>
      </c>
      <c r="D935" s="1" t="s">
        <v>43</v>
      </c>
      <c r="E935" s="1" t="s">
        <v>703</v>
      </c>
      <c r="F935" s="1"/>
      <c r="G935" s="1"/>
      <c r="I935" s="4">
        <v>60</v>
      </c>
      <c r="J935" s="11">
        <v>0.92</v>
      </c>
      <c r="K935" s="4">
        <v>5.5</v>
      </c>
      <c r="L935" s="12">
        <f t="shared" si="17"/>
        <v>-3.6212172654444715E-2</v>
      </c>
      <c r="M935" s="11">
        <f>GraphListeria!$B$10-(Listeria!I935-GraphListeria!$B$6)/GraphListeria!$B$5</f>
        <v>0.35623347030397379</v>
      </c>
      <c r="N935" s="1" t="s">
        <v>490</v>
      </c>
      <c r="O935">
        <v>2001</v>
      </c>
      <c r="S935" s="10">
        <f>GraphListeria!$B$43*Listeria!I935+GraphListeria!$B$44</f>
        <v>0.38409169809355426</v>
      </c>
      <c r="T935" s="10"/>
      <c r="U935" s="10">
        <f>GraphListeria!$H$43*Listeria!I935+GraphListeria!$H$44</f>
        <v>0.35623347030397312</v>
      </c>
    </row>
    <row r="936" spans="1:21" x14ac:dyDescent="0.2">
      <c r="A936" s="1" t="s">
        <v>1440</v>
      </c>
      <c r="B936" s="1" t="s">
        <v>1443</v>
      </c>
      <c r="D936" s="1" t="s">
        <v>43</v>
      </c>
      <c r="E936" s="1" t="s">
        <v>703</v>
      </c>
      <c r="F936" s="1"/>
      <c r="G936" s="1"/>
      <c r="I936" s="4">
        <v>62</v>
      </c>
      <c r="J936" s="11">
        <v>0.31</v>
      </c>
      <c r="K936" s="4">
        <v>5.5</v>
      </c>
      <c r="L936" s="12">
        <f t="shared" si="17"/>
        <v>-0.50863830616572736</v>
      </c>
      <c r="M936" s="11">
        <f>GraphListeria!$B$10-(Listeria!I936-GraphListeria!$B$6)/GraphListeria!$B$5</f>
        <v>7.2252959516288628E-2</v>
      </c>
      <c r="N936" s="1" t="s">
        <v>490</v>
      </c>
      <c r="O936">
        <v>2001</v>
      </c>
      <c r="S936" s="10">
        <f>GraphListeria!$B$43*Listeria!I936+GraphListeria!$B$44</f>
        <v>0.10794020408845384</v>
      </c>
      <c r="T936" s="10"/>
      <c r="U936" s="10">
        <f>GraphListeria!$H$43*Listeria!I936+GraphListeria!$H$44</f>
        <v>7.2252959516289295E-2</v>
      </c>
    </row>
    <row r="937" spans="1:21" x14ac:dyDescent="0.2">
      <c r="A937" s="1" t="s">
        <v>1440</v>
      </c>
      <c r="B937" s="1" t="s">
        <v>1443</v>
      </c>
      <c r="C937" t="s">
        <v>463</v>
      </c>
      <c r="D937" s="1" t="s">
        <v>43</v>
      </c>
      <c r="E937" s="1" t="s">
        <v>700</v>
      </c>
      <c r="F937" s="1" t="s">
        <v>699</v>
      </c>
      <c r="G937" s="1"/>
      <c r="I937" s="4">
        <v>50</v>
      </c>
      <c r="J937" s="11">
        <v>30.6</v>
      </c>
      <c r="K937" s="4">
        <v>5.59</v>
      </c>
      <c r="L937" s="12">
        <f t="shared" si="17"/>
        <v>1.4857214264815801</v>
      </c>
      <c r="M937" s="11">
        <f>GraphListeria!$B$10-(Listeria!I937-GraphListeria!$B$6)/GraphListeria!$B$5</f>
        <v>1.7761360242423989</v>
      </c>
      <c r="N937" s="1" t="s">
        <v>490</v>
      </c>
      <c r="O937">
        <v>2001</v>
      </c>
      <c r="S937" s="10">
        <f>GraphListeria!$B$43*Listeria!I937+GraphListeria!$B$44</f>
        <v>1.7648491681190492</v>
      </c>
      <c r="T937" s="10"/>
      <c r="U937" s="10">
        <f>GraphListeria!$H$43*Listeria!I937+GraphListeria!$H$44</f>
        <v>1.7761360242423985</v>
      </c>
    </row>
    <row r="938" spans="1:21" x14ac:dyDescent="0.2">
      <c r="A938" s="1" t="s">
        <v>1440</v>
      </c>
      <c r="B938" s="1" t="s">
        <v>1443</v>
      </c>
      <c r="C938" t="s">
        <v>463</v>
      </c>
      <c r="D938" s="1" t="s">
        <v>43</v>
      </c>
      <c r="E938" s="1" t="s">
        <v>700</v>
      </c>
      <c r="F938" s="1" t="s">
        <v>699</v>
      </c>
      <c r="G938" s="1"/>
      <c r="I938" s="4">
        <v>55</v>
      </c>
      <c r="J938" s="11">
        <v>3.3</v>
      </c>
      <c r="K938" s="4">
        <v>5.59</v>
      </c>
      <c r="L938" s="12">
        <f t="shared" si="17"/>
        <v>0.51851393987788741</v>
      </c>
      <c r="M938" s="11">
        <f>GraphListeria!$B$10-(Listeria!I938-GraphListeria!$B$6)/GraphListeria!$B$5</f>
        <v>1.0661847472731862</v>
      </c>
      <c r="N938" s="1" t="s">
        <v>490</v>
      </c>
      <c r="O938">
        <v>2001</v>
      </c>
      <c r="S938" s="10">
        <f>GraphListeria!$B$43*Listeria!I938+GraphListeria!$B$44</f>
        <v>1.0744704331063017</v>
      </c>
      <c r="T938" s="10"/>
      <c r="U938" s="10">
        <f>GraphListeria!$H$43*Listeria!I938+GraphListeria!$H$44</f>
        <v>1.0661847472731862</v>
      </c>
    </row>
    <row r="939" spans="1:21" x14ac:dyDescent="0.2">
      <c r="A939" s="1" t="s">
        <v>1440</v>
      </c>
      <c r="B939" s="1" t="s">
        <v>1443</v>
      </c>
      <c r="C939" t="s">
        <v>463</v>
      </c>
      <c r="D939" s="1" t="s">
        <v>43</v>
      </c>
      <c r="E939" s="1" t="s">
        <v>700</v>
      </c>
      <c r="F939" s="1" t="s">
        <v>699</v>
      </c>
      <c r="G939" s="1"/>
      <c r="I939" s="4">
        <v>60</v>
      </c>
      <c r="J939" s="11">
        <v>0.5</v>
      </c>
      <c r="K939" s="4">
        <v>5.59</v>
      </c>
      <c r="L939" s="12">
        <f t="shared" si="17"/>
        <v>-0.3010299956639812</v>
      </c>
      <c r="M939" s="11">
        <f>GraphListeria!$B$10-(Listeria!I939-GraphListeria!$B$6)/GraphListeria!$B$5</f>
        <v>0.35623347030397379</v>
      </c>
      <c r="N939" s="1" t="s">
        <v>490</v>
      </c>
      <c r="O939">
        <v>2001</v>
      </c>
      <c r="S939" s="10">
        <f>GraphListeria!$B$43*Listeria!I939+GraphListeria!$B$44</f>
        <v>0.38409169809355426</v>
      </c>
      <c r="T939" s="10"/>
      <c r="U939" s="10">
        <f>GraphListeria!$H$43*Listeria!I939+GraphListeria!$H$44</f>
        <v>0.35623347030397312</v>
      </c>
    </row>
    <row r="940" spans="1:21" x14ac:dyDescent="0.2">
      <c r="A940" s="1" t="s">
        <v>1440</v>
      </c>
      <c r="B940" s="1" t="s">
        <v>1443</v>
      </c>
      <c r="D940" s="1"/>
      <c r="E940" s="1" t="s">
        <v>293</v>
      </c>
      <c r="F940" s="1"/>
      <c r="G940" s="1"/>
      <c r="I940" s="4">
        <v>60</v>
      </c>
      <c r="J940" s="11">
        <v>5</v>
      </c>
      <c r="L940" s="12">
        <f t="shared" si="17"/>
        <v>0.69897000433601886</v>
      </c>
      <c r="M940" s="11">
        <f>GraphListeria!$B$10-(Listeria!I940-GraphListeria!$B$6)/GraphListeria!$B$5</f>
        <v>0.35623347030397379</v>
      </c>
      <c r="N940" s="1" t="s">
        <v>308</v>
      </c>
      <c r="O940">
        <v>2000</v>
      </c>
      <c r="S940" s="10">
        <f>GraphListeria!$B$43*Listeria!I940+GraphListeria!$B$44</f>
        <v>0.38409169809355426</v>
      </c>
      <c r="T940" s="10"/>
      <c r="U940" s="10">
        <f>GraphListeria!$H$43*Listeria!I940+GraphListeria!$H$44</f>
        <v>0.35623347030397312</v>
      </c>
    </row>
    <row r="941" spans="1:21" x14ac:dyDescent="0.2">
      <c r="A941" s="1" t="s">
        <v>1440</v>
      </c>
      <c r="B941" s="1" t="s">
        <v>1443</v>
      </c>
      <c r="D941" s="1"/>
      <c r="E941" s="1" t="s">
        <v>293</v>
      </c>
      <c r="F941" s="1"/>
      <c r="G941" s="1"/>
      <c r="I941" s="4">
        <v>60</v>
      </c>
      <c r="J941" s="11">
        <v>8.3000000000000007</v>
      </c>
      <c r="L941" s="12">
        <f t="shared" si="17"/>
        <v>0.91907809237607396</v>
      </c>
      <c r="M941" s="11">
        <f>GraphListeria!$B$10-(Listeria!I941-GraphListeria!$B$6)/GraphListeria!$B$5</f>
        <v>0.35623347030397379</v>
      </c>
      <c r="N941" s="1" t="s">
        <v>308</v>
      </c>
      <c r="O941">
        <v>2000</v>
      </c>
      <c r="S941" s="10">
        <f>GraphListeria!$B$43*Listeria!I941+GraphListeria!$B$44</f>
        <v>0.38409169809355426</v>
      </c>
      <c r="T941" s="10"/>
      <c r="U941" s="10">
        <f>GraphListeria!$H$43*Listeria!I941+GraphListeria!$H$44</f>
        <v>0.35623347030397312</v>
      </c>
    </row>
    <row r="942" spans="1:21" x14ac:dyDescent="0.2">
      <c r="A942" s="1" t="s">
        <v>1440</v>
      </c>
      <c r="B942" s="1" t="s">
        <v>1443</v>
      </c>
      <c r="C942" t="s">
        <v>57</v>
      </c>
      <c r="D942" s="1" t="s">
        <v>11</v>
      </c>
      <c r="E942" s="1" t="s">
        <v>305</v>
      </c>
      <c r="F942" s="1" t="s">
        <v>773</v>
      </c>
      <c r="G942" s="1"/>
      <c r="I942" s="4">
        <v>63</v>
      </c>
      <c r="J942" s="11">
        <v>2.6</v>
      </c>
      <c r="L942" s="12">
        <f t="shared" ref="L942:L960" si="18">LOG(J942)+$L$976</f>
        <v>0.41497334797081797</v>
      </c>
      <c r="M942" s="11">
        <f>GraphListeria!$D$10-(Listeria!I942-GraphListeria!$D$6)/GraphListeria!$D$5</f>
        <v>0.93751761149143142</v>
      </c>
      <c r="N942" s="1" t="s">
        <v>490</v>
      </c>
      <c r="O942">
        <v>2001</v>
      </c>
      <c r="P942" t="s">
        <v>714</v>
      </c>
      <c r="S942" s="10">
        <f>GraphListeria!$B$43*Listeria!I942+GraphListeria!$B$44</f>
        <v>-3.0135542914095481E-2</v>
      </c>
      <c r="T942" s="10">
        <f>GraphListeria!$E$43*Listeria!I942+GraphListeria!$E$44</f>
        <v>0.93751761149143054</v>
      </c>
      <c r="U942" s="10"/>
    </row>
    <row r="943" spans="1:21" x14ac:dyDescent="0.2">
      <c r="A943" s="1" t="s">
        <v>1440</v>
      </c>
      <c r="B943" s="1" t="s">
        <v>1443</v>
      </c>
      <c r="C943" t="s">
        <v>57</v>
      </c>
      <c r="D943" s="1" t="s">
        <v>11</v>
      </c>
      <c r="E943" s="1" t="s">
        <v>305</v>
      </c>
      <c r="F943" s="1" t="s">
        <v>773</v>
      </c>
      <c r="G943" s="1"/>
      <c r="I943" s="4">
        <v>63</v>
      </c>
      <c r="J943" s="11">
        <v>7.4</v>
      </c>
      <c r="L943" s="12">
        <f t="shared" si="18"/>
        <v>0.86923171973097624</v>
      </c>
      <c r="M943" s="11">
        <f>GraphListeria!$D$10-(Listeria!I943-GraphListeria!$D$6)/GraphListeria!$D$5</f>
        <v>0.93751761149143142</v>
      </c>
      <c r="N943" s="1" t="s">
        <v>490</v>
      </c>
      <c r="O943">
        <v>2001</v>
      </c>
      <c r="S943" s="10">
        <f>GraphListeria!$B$43*Listeria!I943+GraphListeria!$B$44</f>
        <v>-3.0135542914095481E-2</v>
      </c>
      <c r="T943" s="10">
        <f>GraphListeria!$E$43*Listeria!I943+GraphListeria!$E$44</f>
        <v>0.93751761149143054</v>
      </c>
      <c r="U943" s="10"/>
    </row>
    <row r="944" spans="1:21" x14ac:dyDescent="0.2">
      <c r="A944" s="1" t="s">
        <v>1440</v>
      </c>
      <c r="B944" s="1" t="s">
        <v>1443</v>
      </c>
      <c r="C944" t="s">
        <v>57</v>
      </c>
      <c r="D944" s="1" t="s">
        <v>11</v>
      </c>
      <c r="E944" s="1" t="s">
        <v>305</v>
      </c>
      <c r="F944" s="1" t="s">
        <v>774</v>
      </c>
      <c r="G944" s="1"/>
      <c r="I944" s="4">
        <v>55.75</v>
      </c>
      <c r="J944" s="11">
        <v>99.2</v>
      </c>
      <c r="K944" s="4">
        <v>5.47</v>
      </c>
      <c r="L944" s="12">
        <f>LOG(J944)+$L$976</f>
        <v>1.9965116721541787</v>
      </c>
      <c r="M944" s="11">
        <f>GraphListeria!$D$10-(Listeria!I944-GraphListeria!$D$6)/GraphListeria!$D$5</f>
        <v>1.7214546484029829</v>
      </c>
      <c r="N944" s="1" t="s">
        <v>490</v>
      </c>
      <c r="O944">
        <v>2001</v>
      </c>
      <c r="S944" s="10">
        <f>GraphListeria!$B$43*Listeria!I944+GraphListeria!$B$44</f>
        <v>0.97091362285438887</v>
      </c>
      <c r="T944" s="10">
        <f>GraphListeria!$E$43*Listeria!I944+GraphListeria!$E$44</f>
        <v>1.7214546484029825</v>
      </c>
      <c r="U944" s="10"/>
    </row>
    <row r="945" spans="1:21" x14ac:dyDescent="0.2">
      <c r="A945" s="1" t="s">
        <v>1440</v>
      </c>
      <c r="B945" s="1" t="s">
        <v>1443</v>
      </c>
      <c r="C945" t="s">
        <v>57</v>
      </c>
      <c r="D945" s="1" t="s">
        <v>11</v>
      </c>
      <c r="E945" s="1" t="s">
        <v>305</v>
      </c>
      <c r="F945" s="1" t="s">
        <v>774</v>
      </c>
      <c r="G945" s="1"/>
      <c r="I945" s="4">
        <v>60</v>
      </c>
      <c r="J945" s="11">
        <v>27.8</v>
      </c>
      <c r="K945" s="4">
        <v>5.47</v>
      </c>
      <c r="L945" s="12">
        <f t="shared" si="18"/>
        <v>1.4440447959180762</v>
      </c>
      <c r="M945" s="11">
        <f>GraphListeria!$D$10-(Listeria!I945-GraphListeria!$D$6)/GraphListeria!$D$5</f>
        <v>1.261905350903108</v>
      </c>
      <c r="N945" s="1" t="s">
        <v>490</v>
      </c>
      <c r="O945">
        <v>2001</v>
      </c>
      <c r="S945" s="10">
        <f>GraphListeria!$B$43*Listeria!I945+GraphListeria!$B$44</f>
        <v>0.38409169809355426</v>
      </c>
      <c r="T945" s="10">
        <f>GraphListeria!$E$43*Listeria!I945+GraphListeria!$E$44</f>
        <v>1.2619053509031071</v>
      </c>
      <c r="U945" s="10"/>
    </row>
    <row r="946" spans="1:21" x14ac:dyDescent="0.2">
      <c r="A946" s="1" t="s">
        <v>1440</v>
      </c>
      <c r="B946" s="1" t="s">
        <v>1443</v>
      </c>
      <c r="C946" t="s">
        <v>683</v>
      </c>
      <c r="D946" s="1" t="s">
        <v>11</v>
      </c>
      <c r="E946" s="1" t="s">
        <v>305</v>
      </c>
      <c r="F946" s="1" t="s">
        <v>774</v>
      </c>
      <c r="G946" s="1"/>
      <c r="I946" s="4">
        <v>63</v>
      </c>
      <c r="J946" s="11">
        <v>5.5</v>
      </c>
      <c r="L946" s="12">
        <f t="shared" si="18"/>
        <v>0.74036268949424389</v>
      </c>
      <c r="M946" s="11">
        <f>GraphListeria!$D$10-(Listeria!I946-GraphListeria!$D$6)/GraphListeria!$D$5</f>
        <v>0.93751761149143142</v>
      </c>
      <c r="N946" s="1" t="s">
        <v>490</v>
      </c>
      <c r="O946">
        <v>2001</v>
      </c>
      <c r="S946" s="10">
        <f>GraphListeria!$B$43*Listeria!I946+GraphListeria!$B$44</f>
        <v>-3.0135542914095481E-2</v>
      </c>
      <c r="T946" s="10">
        <f>GraphListeria!$E$43*Listeria!I946+GraphListeria!$E$44</f>
        <v>0.93751761149143054</v>
      </c>
      <c r="U946" s="10"/>
    </row>
    <row r="947" spans="1:21" x14ac:dyDescent="0.2">
      <c r="A947" s="1" t="s">
        <v>1440</v>
      </c>
      <c r="B947" s="1" t="s">
        <v>1443</v>
      </c>
      <c r="C947" t="s">
        <v>57</v>
      </c>
      <c r="D947" s="1" t="s">
        <v>11</v>
      </c>
      <c r="E947" s="1" t="s">
        <v>305</v>
      </c>
      <c r="F947" s="1" t="s">
        <v>774</v>
      </c>
      <c r="G947" s="1"/>
      <c r="I947" s="4">
        <v>63</v>
      </c>
      <c r="J947" s="11">
        <v>13.7</v>
      </c>
      <c r="L947" s="12">
        <f t="shared" si="18"/>
        <v>1.1367205671564067</v>
      </c>
      <c r="M947" s="11">
        <f>GraphListeria!$D$10-(Listeria!I947-GraphListeria!$D$6)/GraphListeria!$D$5</f>
        <v>0.93751761149143142</v>
      </c>
      <c r="N947" s="1" t="s">
        <v>490</v>
      </c>
      <c r="O947">
        <v>2001</v>
      </c>
      <c r="S947" s="10">
        <f>GraphListeria!$B$43*Listeria!I947+GraphListeria!$B$44</f>
        <v>-3.0135542914095481E-2</v>
      </c>
      <c r="T947" s="10">
        <f>GraphListeria!$E$43*Listeria!I947+GraphListeria!$E$44</f>
        <v>0.93751761149143054</v>
      </c>
      <c r="U947" s="10"/>
    </row>
    <row r="948" spans="1:21" x14ac:dyDescent="0.2">
      <c r="A948" s="1" t="s">
        <v>1440</v>
      </c>
      <c r="B948" s="1" t="s">
        <v>1443</v>
      </c>
      <c r="C948" t="s">
        <v>57</v>
      </c>
      <c r="D948" s="1" t="s">
        <v>11</v>
      </c>
      <c r="E948" s="1" t="s">
        <v>305</v>
      </c>
      <c r="F948" s="1" t="s">
        <v>774</v>
      </c>
      <c r="G948" s="1"/>
      <c r="I948" s="4">
        <v>65.5</v>
      </c>
      <c r="J948" s="11">
        <v>2.33</v>
      </c>
      <c r="K948" s="4">
        <v>5.47</v>
      </c>
      <c r="L948" s="12">
        <f t="shared" si="18"/>
        <v>0.36735592102601899</v>
      </c>
      <c r="M948" s="11">
        <f>GraphListeria!$D$10-(Listeria!I948-GraphListeria!$D$6)/GraphListeria!$D$5</f>
        <v>0.66719449531503439</v>
      </c>
      <c r="N948" s="1" t="s">
        <v>490</v>
      </c>
      <c r="O948">
        <v>2001</v>
      </c>
      <c r="S948" s="10">
        <f>GraphListeria!$B$43*Listeria!I948+GraphListeria!$B$44</f>
        <v>-0.37532491042046878</v>
      </c>
      <c r="T948" s="10">
        <f>GraphListeria!$E$43*Listeria!I948+GraphListeria!$E$44</f>
        <v>0.66719449531503372</v>
      </c>
      <c r="U948" s="10"/>
    </row>
    <row r="949" spans="1:21" x14ac:dyDescent="0.2">
      <c r="A949" s="1" t="s">
        <v>1440</v>
      </c>
      <c r="B949" s="1" t="s">
        <v>1443</v>
      </c>
      <c r="D949" s="1" t="s">
        <v>11</v>
      </c>
      <c r="E949" s="1" t="s">
        <v>305</v>
      </c>
      <c r="F949" s="1" t="s">
        <v>775</v>
      </c>
      <c r="G949" s="1"/>
      <c r="I949" s="4">
        <v>63.15</v>
      </c>
      <c r="J949" s="11">
        <v>7.9</v>
      </c>
      <c r="K949" s="4">
        <v>10</v>
      </c>
      <c r="L949" s="12">
        <f t="shared" si="18"/>
        <v>0.89762709129044149</v>
      </c>
      <c r="M949" s="11">
        <f>GraphListeria!$D$10-(Listeria!I949-GraphListeria!$D$6)/GraphListeria!$D$5</f>
        <v>0.92129822452084775</v>
      </c>
      <c r="N949" s="1" t="s">
        <v>490</v>
      </c>
      <c r="O949">
        <v>2001</v>
      </c>
      <c r="S949" s="10">
        <f>GraphListeria!$B$43*Listeria!I949+GraphListeria!$B$44</f>
        <v>-5.0846904964476636E-2</v>
      </c>
      <c r="T949" s="10">
        <f>GraphListeria!$E$43*Listeria!I949+GraphListeria!$E$44</f>
        <v>0.92129822452084742</v>
      </c>
      <c r="U949" s="10"/>
    </row>
    <row r="950" spans="1:21" x14ac:dyDescent="0.2">
      <c r="A950" s="1" t="s">
        <v>1440</v>
      </c>
      <c r="B950" s="1" t="s">
        <v>1443</v>
      </c>
      <c r="C950" t="s">
        <v>683</v>
      </c>
      <c r="D950" s="1" t="s">
        <v>11</v>
      </c>
      <c r="E950" s="1" t="s">
        <v>305</v>
      </c>
      <c r="F950" s="1" t="s">
        <v>775</v>
      </c>
      <c r="G950" s="1"/>
      <c r="I950" s="4">
        <v>63.15</v>
      </c>
      <c r="J950" s="11">
        <v>8.1999999999999993</v>
      </c>
      <c r="L950" s="12">
        <f t="shared" si="18"/>
        <v>0.91381385238371671</v>
      </c>
      <c r="M950" s="11">
        <f>GraphListeria!$D$10-(Listeria!I950-GraphListeria!$D$6)/GraphListeria!$D$5</f>
        <v>0.92129822452084775</v>
      </c>
      <c r="N950" s="1" t="s">
        <v>490</v>
      </c>
      <c r="O950">
        <v>2001</v>
      </c>
      <c r="S950" s="10">
        <f>GraphListeria!$B$43*Listeria!I950+GraphListeria!$B$44</f>
        <v>-5.0846904964476636E-2</v>
      </c>
      <c r="T950" s="10">
        <f>GraphListeria!$E$43*Listeria!I950+GraphListeria!$E$44</f>
        <v>0.92129822452084742</v>
      </c>
      <c r="U950" s="10"/>
    </row>
    <row r="951" spans="1:21" x14ac:dyDescent="0.2">
      <c r="A951" s="1" t="s">
        <v>1440</v>
      </c>
      <c r="B951" s="1" t="s">
        <v>1443</v>
      </c>
      <c r="D951" s="1" t="s">
        <v>11</v>
      </c>
      <c r="E951" s="1" t="s">
        <v>305</v>
      </c>
      <c r="F951" s="1" t="s">
        <v>775</v>
      </c>
      <c r="G951" s="1"/>
      <c r="I951" s="4">
        <v>63.15</v>
      </c>
      <c r="J951" s="11">
        <v>10.5</v>
      </c>
      <c r="K951" s="4">
        <v>5.4</v>
      </c>
      <c r="L951" s="12">
        <f t="shared" si="18"/>
        <v>1.0211892990699381</v>
      </c>
      <c r="M951" s="11">
        <f>GraphListeria!$D$10-(Listeria!I951-GraphListeria!$D$6)/GraphListeria!$D$5</f>
        <v>0.92129822452084775</v>
      </c>
      <c r="N951" s="1" t="s">
        <v>490</v>
      </c>
      <c r="O951">
        <v>2001</v>
      </c>
      <c r="S951" s="10">
        <f>GraphListeria!$B$43*Listeria!I951+GraphListeria!$B$44</f>
        <v>-5.0846904964476636E-2</v>
      </c>
      <c r="T951" s="10">
        <f>GraphListeria!$E$43*Listeria!I951+GraphListeria!$E$44</f>
        <v>0.92129822452084742</v>
      </c>
      <c r="U951" s="10"/>
    </row>
    <row r="952" spans="1:21" x14ac:dyDescent="0.2">
      <c r="A952" s="1" t="s">
        <v>1440</v>
      </c>
      <c r="B952" s="1" t="s">
        <v>1443</v>
      </c>
      <c r="C952" t="s">
        <v>57</v>
      </c>
      <c r="D952" s="1" t="s">
        <v>11</v>
      </c>
      <c r="E952" s="1" t="s">
        <v>305</v>
      </c>
      <c r="F952" s="1" t="s">
        <v>775</v>
      </c>
      <c r="G952" s="1"/>
      <c r="I952" s="4">
        <v>63.15</v>
      </c>
      <c r="J952" s="11">
        <v>18.5</v>
      </c>
      <c r="L952" s="12">
        <f t="shared" si="18"/>
        <v>1.2671717284030137</v>
      </c>
      <c r="M952" s="11">
        <f>GraphListeria!$D$10-(Listeria!I952-GraphListeria!$D$6)/GraphListeria!$D$5</f>
        <v>0.92129822452084775</v>
      </c>
      <c r="N952" s="1" t="s">
        <v>490</v>
      </c>
      <c r="O952">
        <v>2001</v>
      </c>
      <c r="S952" s="10">
        <f>GraphListeria!$B$43*Listeria!I952+GraphListeria!$B$44</f>
        <v>-5.0846904964476636E-2</v>
      </c>
      <c r="T952" s="10">
        <f>GraphListeria!$E$43*Listeria!I952+GraphListeria!$E$44</f>
        <v>0.92129822452084742</v>
      </c>
      <c r="U952" s="10"/>
    </row>
    <row r="953" spans="1:21" x14ac:dyDescent="0.2">
      <c r="A953" s="1" t="s">
        <v>1440</v>
      </c>
      <c r="B953" s="1" t="s">
        <v>1443</v>
      </c>
      <c r="D953" s="1" t="s">
        <v>11</v>
      </c>
      <c r="E953" s="1" t="s">
        <v>305</v>
      </c>
      <c r="F953" s="1" t="s">
        <v>775</v>
      </c>
      <c r="G953" s="1"/>
      <c r="I953" s="4">
        <v>64.400000000000006</v>
      </c>
      <c r="J953" s="11">
        <v>6.11</v>
      </c>
      <c r="K953" s="4">
        <v>5.4</v>
      </c>
      <c r="L953" s="12">
        <f t="shared" si="18"/>
        <v>0.78604121024255424</v>
      </c>
      <c r="M953" s="11">
        <f>GraphListeria!$D$10-(Listeria!I953-GraphListeria!$D$6)/GraphListeria!$D$5</f>
        <v>0.78613666643264857</v>
      </c>
      <c r="N953" s="1" t="s">
        <v>490</v>
      </c>
      <c r="O953">
        <v>2001</v>
      </c>
      <c r="S953" s="10">
        <f>GraphListeria!$B$43*Listeria!I953+GraphListeria!$B$44</f>
        <v>-0.22344158871766595</v>
      </c>
      <c r="T953" s="10">
        <f>GraphListeria!$E$43*Listeria!I953+GraphListeria!$E$44</f>
        <v>0.78613666643264768</v>
      </c>
      <c r="U953" s="10"/>
    </row>
    <row r="954" spans="1:21" x14ac:dyDescent="0.2">
      <c r="A954" s="1" t="s">
        <v>1440</v>
      </c>
      <c r="B954" s="1" t="s">
        <v>1443</v>
      </c>
      <c r="D954" s="1" t="s">
        <v>11</v>
      </c>
      <c r="E954" s="1" t="s">
        <v>305</v>
      </c>
      <c r="F954" s="1" t="s">
        <v>775</v>
      </c>
      <c r="G954" s="1"/>
      <c r="I954" s="4">
        <v>66.849999999999994</v>
      </c>
      <c r="J954" s="11">
        <v>2.39</v>
      </c>
      <c r="K954" s="4">
        <v>5.4</v>
      </c>
      <c r="L954" s="12">
        <f t="shared" si="18"/>
        <v>0.37839790094813769</v>
      </c>
      <c r="M954" s="11">
        <f>GraphListeria!$D$10-(Listeria!I954-GraphListeria!$D$6)/GraphListeria!$D$5</f>
        <v>0.52122001257978068</v>
      </c>
      <c r="N954" s="1" t="s">
        <v>490</v>
      </c>
      <c r="O954">
        <v>2001</v>
      </c>
      <c r="S954" s="10">
        <f>GraphListeria!$B$43*Listeria!I954+GraphListeria!$B$44</f>
        <v>-0.56172716887390983</v>
      </c>
      <c r="T954" s="10">
        <f>GraphListeria!$E$43*Listeria!I954+GraphListeria!$E$44</f>
        <v>0.52122001257978035</v>
      </c>
      <c r="U954" s="10"/>
    </row>
    <row r="955" spans="1:21" x14ac:dyDescent="0.2">
      <c r="A955" s="1" t="s">
        <v>1440</v>
      </c>
      <c r="B955" s="1" t="s">
        <v>1443</v>
      </c>
      <c r="D955" s="1" t="s">
        <v>11</v>
      </c>
      <c r="E955" s="1" t="s">
        <v>305</v>
      </c>
      <c r="F955" s="1" t="s">
        <v>775</v>
      </c>
      <c r="G955" s="1"/>
      <c r="I955" s="4">
        <v>66.849999999999994</v>
      </c>
      <c r="J955" s="11">
        <v>2.4</v>
      </c>
      <c r="K955" s="4">
        <v>10</v>
      </c>
      <c r="L955" s="12">
        <f t="shared" si="18"/>
        <v>0.38021124171160603</v>
      </c>
      <c r="M955" s="11">
        <f>GraphListeria!$D$10-(Listeria!I955-GraphListeria!$D$6)/GraphListeria!$D$5</f>
        <v>0.52122001257978068</v>
      </c>
      <c r="N955" s="1" t="s">
        <v>490</v>
      </c>
      <c r="O955">
        <v>2001</v>
      </c>
      <c r="S955" s="10">
        <f>GraphListeria!$B$43*Listeria!I955+GraphListeria!$B$44</f>
        <v>-0.56172716887390983</v>
      </c>
      <c r="T955" s="10">
        <f>GraphListeria!$E$43*Listeria!I955+GraphListeria!$E$44</f>
        <v>0.52122001257978035</v>
      </c>
      <c r="U955" s="10"/>
    </row>
    <row r="956" spans="1:21" x14ac:dyDescent="0.2">
      <c r="A956" s="1" t="s">
        <v>1440</v>
      </c>
      <c r="B956" s="1" t="s">
        <v>1443</v>
      </c>
      <c r="D956" s="1" t="s">
        <v>11</v>
      </c>
      <c r="E956" s="1" t="s">
        <v>305</v>
      </c>
      <c r="F956" s="1" t="s">
        <v>776</v>
      </c>
      <c r="G956" s="1"/>
      <c r="I956" s="4">
        <v>63.15</v>
      </c>
      <c r="J956" s="11">
        <v>21.3</v>
      </c>
      <c r="K956" s="4">
        <v>5.4</v>
      </c>
      <c r="L956" s="12">
        <f t="shared" si="18"/>
        <v>1.3283796034387378</v>
      </c>
      <c r="M956" s="11">
        <f>GraphListeria!$D$10-(Listeria!I956-GraphListeria!$D$6)/GraphListeria!$D$5</f>
        <v>0.92129822452084775</v>
      </c>
      <c r="N956" s="1" t="s">
        <v>490</v>
      </c>
      <c r="O956">
        <v>2001</v>
      </c>
      <c r="S956" s="10">
        <f>GraphListeria!$B$43*Listeria!I956+GraphListeria!$B$44</f>
        <v>-5.0846904964476636E-2</v>
      </c>
      <c r="T956" s="10">
        <f>GraphListeria!$E$43*Listeria!I956+GraphListeria!$E$44</f>
        <v>0.92129822452084742</v>
      </c>
      <c r="U956" s="10"/>
    </row>
    <row r="957" spans="1:21" x14ac:dyDescent="0.2">
      <c r="A957" s="1" t="s">
        <v>1440</v>
      </c>
      <c r="B957" s="1" t="s">
        <v>1443</v>
      </c>
      <c r="D957" s="1" t="s">
        <v>11</v>
      </c>
      <c r="E957" s="1" t="s">
        <v>305</v>
      </c>
      <c r="F957" s="1" t="s">
        <v>776</v>
      </c>
      <c r="G957" s="1"/>
      <c r="I957" s="4">
        <v>64.400000000000006</v>
      </c>
      <c r="J957" s="11">
        <v>8.26</v>
      </c>
      <c r="K957" s="4">
        <v>5.4</v>
      </c>
      <c r="L957" s="12">
        <f t="shared" si="18"/>
        <v>0.91698004732038219</v>
      </c>
      <c r="M957" s="11">
        <f>GraphListeria!$D$10-(Listeria!I957-GraphListeria!$D$6)/GraphListeria!$D$5</f>
        <v>0.78613666643264857</v>
      </c>
      <c r="N957" s="1" t="s">
        <v>490</v>
      </c>
      <c r="O957">
        <v>2001</v>
      </c>
      <c r="S957" s="10">
        <f>GraphListeria!$B$43*Listeria!I957+GraphListeria!$B$44</f>
        <v>-0.22344158871766595</v>
      </c>
      <c r="T957" s="10">
        <f>GraphListeria!$E$43*Listeria!I957+GraphListeria!$E$44</f>
        <v>0.78613666643264768</v>
      </c>
      <c r="U957" s="10"/>
    </row>
    <row r="958" spans="1:21" x14ac:dyDescent="0.2">
      <c r="A958" s="1" t="s">
        <v>1440</v>
      </c>
      <c r="B958" s="1" t="s">
        <v>1443</v>
      </c>
      <c r="D958" s="1" t="s">
        <v>11</v>
      </c>
      <c r="E958" s="1" t="s">
        <v>305</v>
      </c>
      <c r="F958" s="1" t="s">
        <v>779</v>
      </c>
      <c r="G958" s="1"/>
      <c r="I958" s="4">
        <v>66.849999999999994</v>
      </c>
      <c r="J958" s="11">
        <v>4.58</v>
      </c>
      <c r="K958" s="4">
        <v>5.4</v>
      </c>
      <c r="L958" s="12">
        <f t="shared" si="18"/>
        <v>0.66086547800386919</v>
      </c>
      <c r="M958" s="11">
        <f>GraphListeria!$D$10-(Listeria!I958-GraphListeria!$D$6)/GraphListeria!$D$5</f>
        <v>0.52122001257978068</v>
      </c>
      <c r="N958" s="1" t="s">
        <v>490</v>
      </c>
      <c r="O958">
        <v>2001</v>
      </c>
      <c r="S958" s="10">
        <f>GraphListeria!$B$43*Listeria!I958+GraphListeria!$B$44</f>
        <v>-0.56172716887390983</v>
      </c>
      <c r="T958" s="10">
        <f>GraphListeria!$E$43*Listeria!I958+GraphListeria!$E$44</f>
        <v>0.52122001257978035</v>
      </c>
      <c r="U958" s="10"/>
    </row>
    <row r="959" spans="1:21" x14ac:dyDescent="0.2">
      <c r="A959" s="1" t="s">
        <v>1440</v>
      </c>
      <c r="B959" s="1" t="s">
        <v>1443</v>
      </c>
      <c r="D959" s="1" t="s">
        <v>11</v>
      </c>
      <c r="E959" s="1" t="s">
        <v>305</v>
      </c>
      <c r="F959" s="1" t="s">
        <v>778</v>
      </c>
      <c r="G959" s="1"/>
      <c r="I959" s="4">
        <v>64.400000000000006</v>
      </c>
      <c r="J959" s="11">
        <v>27.3</v>
      </c>
      <c r="K959" s="4">
        <v>7.4</v>
      </c>
      <c r="L959" s="12">
        <f t="shared" si="18"/>
        <v>1.436162647040756</v>
      </c>
      <c r="M959" s="11">
        <f>GraphListeria!$D$10-(Listeria!I959-GraphListeria!$D$6)/GraphListeria!$D$5</f>
        <v>0.78613666643264857</v>
      </c>
      <c r="N959" s="1" t="s">
        <v>490</v>
      </c>
      <c r="O959">
        <v>2001</v>
      </c>
      <c r="S959" s="10">
        <f>GraphListeria!$B$43*Listeria!I959+GraphListeria!$B$44</f>
        <v>-0.22344158871766595</v>
      </c>
      <c r="T959" s="10">
        <f>GraphListeria!$E$43*Listeria!I959+GraphListeria!$E$44</f>
        <v>0.78613666643264768</v>
      </c>
      <c r="U959" s="10"/>
    </row>
    <row r="960" spans="1:21" x14ac:dyDescent="0.2">
      <c r="A960" s="1" t="s">
        <v>1440</v>
      </c>
      <c r="B960" s="1" t="s">
        <v>1443</v>
      </c>
      <c r="D960" s="1" t="s">
        <v>11</v>
      </c>
      <c r="E960" s="1" t="s">
        <v>305</v>
      </c>
      <c r="F960" s="1" t="s">
        <v>778</v>
      </c>
      <c r="G960" s="1"/>
      <c r="I960" s="4">
        <v>66.849999999999994</v>
      </c>
      <c r="J960" s="11">
        <v>13.3</v>
      </c>
      <c r="K960" s="4">
        <v>7.4</v>
      </c>
      <c r="L960" s="12">
        <f t="shared" si="18"/>
        <v>1.1238516409670858</v>
      </c>
      <c r="M960" s="11">
        <f>GraphListeria!$D$10-(Listeria!I960-GraphListeria!$D$6)/GraphListeria!$D$5</f>
        <v>0.52122001257978068</v>
      </c>
      <c r="N960" s="1" t="s">
        <v>490</v>
      </c>
      <c r="O960">
        <v>2001</v>
      </c>
      <c r="S960" s="10">
        <f>GraphListeria!$B$43*Listeria!I960+GraphListeria!$B$44</f>
        <v>-0.56172716887390983</v>
      </c>
      <c r="T960" s="10">
        <f>GraphListeria!$E$43*Listeria!I960+GraphListeria!$E$44</f>
        <v>0.52122001257978035</v>
      </c>
      <c r="U960" s="10"/>
    </row>
    <row r="961" spans="1:21" x14ac:dyDescent="0.2">
      <c r="A961" s="1" t="s">
        <v>1440</v>
      </c>
      <c r="B961" s="1" t="s">
        <v>1443</v>
      </c>
      <c r="C961" t="s">
        <v>57</v>
      </c>
      <c r="D961" s="1" t="s">
        <v>44</v>
      </c>
      <c r="E961" s="1" t="s">
        <v>1252</v>
      </c>
      <c r="F961" s="19" t="s">
        <v>53</v>
      </c>
      <c r="G961" s="19" t="s">
        <v>522</v>
      </c>
      <c r="I961" s="4">
        <v>60</v>
      </c>
      <c r="J961" s="11">
        <v>8.4</v>
      </c>
      <c r="L961" s="12">
        <f t="shared" ref="L961:L968" si="19">LOG(J961)</f>
        <v>0.9242792860618817</v>
      </c>
      <c r="M961" s="11">
        <f>GraphListeria!$D$10-(Listeria!I961-GraphListeria!$D$6)/GraphListeria!$D$5</f>
        <v>1.261905350903108</v>
      </c>
      <c r="N961" s="1" t="s">
        <v>490</v>
      </c>
      <c r="O961">
        <v>2001</v>
      </c>
      <c r="S961" s="10">
        <f>GraphListeria!$B$43*Listeria!I961+GraphListeria!$B$44</f>
        <v>0.38409169809355426</v>
      </c>
      <c r="T961" s="10">
        <f>GraphListeria!$E$43*Listeria!I961+GraphListeria!$E$44</f>
        <v>1.2619053509031071</v>
      </c>
      <c r="U961" s="10"/>
    </row>
    <row r="962" spans="1:21" x14ac:dyDescent="0.2">
      <c r="A962" s="1" t="s">
        <v>1440</v>
      </c>
      <c r="B962" s="1" t="s">
        <v>1443</v>
      </c>
      <c r="C962" t="s">
        <v>57</v>
      </c>
      <c r="D962" s="1" t="s">
        <v>44</v>
      </c>
      <c r="E962" s="1" t="s">
        <v>1252</v>
      </c>
      <c r="F962" s="19" t="s">
        <v>53</v>
      </c>
      <c r="G962" s="19" t="s">
        <v>522</v>
      </c>
      <c r="I962" s="4">
        <v>62.8</v>
      </c>
      <c r="J962" s="11">
        <v>5.9</v>
      </c>
      <c r="L962" s="12">
        <f t="shared" si="19"/>
        <v>0.77085201164214423</v>
      </c>
      <c r="M962" s="11">
        <f>GraphListeria!$D$10-(Listeria!I962-GraphListeria!$D$6)/GraphListeria!$D$5</f>
        <v>0.95914346078554358</v>
      </c>
      <c r="N962" s="1" t="s">
        <v>490</v>
      </c>
      <c r="O962">
        <v>2001</v>
      </c>
      <c r="S962" s="10">
        <f>GraphListeria!$B$43*Listeria!I962+GraphListeria!$B$44</f>
        <v>-2.5203935135849065E-3</v>
      </c>
      <c r="T962" s="10">
        <f>GraphListeria!$E$43*Listeria!I962+GraphListeria!$E$44</f>
        <v>0.95914346078554313</v>
      </c>
      <c r="U962" s="10"/>
    </row>
    <row r="963" spans="1:21" x14ac:dyDescent="0.2">
      <c r="A963" s="1" t="s">
        <v>1440</v>
      </c>
      <c r="B963" s="1" t="s">
        <v>1443</v>
      </c>
      <c r="C963" t="s">
        <v>57</v>
      </c>
      <c r="D963" s="1" t="s">
        <v>44</v>
      </c>
      <c r="E963" s="1" t="s">
        <v>1252</v>
      </c>
      <c r="F963" s="19" t="s">
        <v>53</v>
      </c>
      <c r="G963" s="19" t="s">
        <v>522</v>
      </c>
      <c r="I963" s="4">
        <v>65.599999999999994</v>
      </c>
      <c r="J963" s="11">
        <v>3.8</v>
      </c>
      <c r="L963" s="12">
        <f t="shared" si="19"/>
        <v>0.57978359661681012</v>
      </c>
      <c r="M963" s="11">
        <f>GraphListeria!$D$10-(Listeria!I963-GraphListeria!$D$6)/GraphListeria!$D$5</f>
        <v>0.6563815706679792</v>
      </c>
      <c r="N963" s="1" t="s">
        <v>490</v>
      </c>
      <c r="O963">
        <v>2001</v>
      </c>
      <c r="S963" s="10">
        <f>GraphListeria!$B$43*Listeria!I963+GraphListeria!$B$44</f>
        <v>-0.38913248512072407</v>
      </c>
      <c r="T963" s="10">
        <f>GraphListeria!$E$43*Listeria!I963+GraphListeria!$E$44</f>
        <v>0.65638157066797831</v>
      </c>
      <c r="U963" s="10"/>
    </row>
    <row r="964" spans="1:21" x14ac:dyDescent="0.2">
      <c r="A964" s="1" t="s">
        <v>1440</v>
      </c>
      <c r="B964" s="1" t="s">
        <v>1443</v>
      </c>
      <c r="C964" t="s">
        <v>57</v>
      </c>
      <c r="D964" s="1" t="s">
        <v>44</v>
      </c>
      <c r="E964" s="1" t="s">
        <v>1252</v>
      </c>
      <c r="F964" s="19" t="s">
        <v>53</v>
      </c>
      <c r="G964" s="19" t="s">
        <v>522</v>
      </c>
      <c r="I964" s="4">
        <v>68.3</v>
      </c>
      <c r="J964" s="11">
        <v>1.9</v>
      </c>
      <c r="L964" s="12">
        <f t="shared" si="19"/>
        <v>0.27875360095282892</v>
      </c>
      <c r="M964" s="11">
        <f>GraphListeria!$D$10-(Listeria!I964-GraphListeria!$D$6)/GraphListeria!$D$5</f>
        <v>0.36443260519747012</v>
      </c>
      <c r="N964" s="1" t="s">
        <v>490</v>
      </c>
      <c r="O964">
        <v>2001</v>
      </c>
      <c r="S964" s="10">
        <f>GraphListeria!$B$43*Listeria!I964+GraphListeria!$B$44</f>
        <v>-0.76193700202760795</v>
      </c>
      <c r="T964" s="10">
        <f>GraphListeria!$E$43*Listeria!I964+GraphListeria!$E$44</f>
        <v>0.36443260519746978</v>
      </c>
      <c r="U964" s="10"/>
    </row>
    <row r="965" spans="1:21" x14ac:dyDescent="0.2">
      <c r="A965" s="1" t="s">
        <v>1440</v>
      </c>
      <c r="B965" s="1" t="s">
        <v>1443</v>
      </c>
      <c r="C965" t="s">
        <v>57</v>
      </c>
      <c r="D965" s="1" t="s">
        <v>44</v>
      </c>
      <c r="E965" s="1" t="s">
        <v>1252</v>
      </c>
      <c r="F965" s="19" t="s">
        <v>53</v>
      </c>
      <c r="G965" s="19" t="s">
        <v>521</v>
      </c>
      <c r="I965" s="4">
        <v>60</v>
      </c>
      <c r="J965" s="11">
        <v>7.6</v>
      </c>
      <c r="L965" s="12">
        <f t="shared" si="19"/>
        <v>0.88081359228079137</v>
      </c>
      <c r="M965" s="11">
        <f>GraphListeria!$D$10-(Listeria!I965-GraphListeria!$D$6)/GraphListeria!$D$5</f>
        <v>1.261905350903108</v>
      </c>
      <c r="N965" s="1" t="s">
        <v>490</v>
      </c>
      <c r="O965">
        <v>2001</v>
      </c>
      <c r="S965" s="10">
        <f>GraphListeria!$B$43*Listeria!I965+GraphListeria!$B$44</f>
        <v>0.38409169809355426</v>
      </c>
      <c r="T965" s="10">
        <f>GraphListeria!$E$43*Listeria!I965+GraphListeria!$E$44</f>
        <v>1.2619053509031071</v>
      </c>
      <c r="U965" s="10"/>
    </row>
    <row r="966" spans="1:21" x14ac:dyDescent="0.2">
      <c r="A966" s="1" t="s">
        <v>1440</v>
      </c>
      <c r="B966" s="1" t="s">
        <v>1443</v>
      </c>
      <c r="C966" t="s">
        <v>57</v>
      </c>
      <c r="D966" s="1" t="s">
        <v>44</v>
      </c>
      <c r="E966" s="1" t="s">
        <v>1252</v>
      </c>
      <c r="F966" s="19" t="s">
        <v>53</v>
      </c>
      <c r="G966" s="19" t="s">
        <v>521</v>
      </c>
      <c r="I966" s="4">
        <v>62.8</v>
      </c>
      <c r="J966" s="11">
        <v>5.3</v>
      </c>
      <c r="L966" s="12">
        <f t="shared" si="19"/>
        <v>0.72427586960078905</v>
      </c>
      <c r="M966" s="11">
        <f>GraphListeria!$D$10-(Listeria!I966-GraphListeria!$D$6)/GraphListeria!$D$5</f>
        <v>0.95914346078554358</v>
      </c>
      <c r="N966" s="1" t="s">
        <v>490</v>
      </c>
      <c r="O966">
        <v>2001</v>
      </c>
      <c r="S966" s="10">
        <f>GraphListeria!$B$43*Listeria!I966+GraphListeria!$B$44</f>
        <v>-2.5203935135849065E-3</v>
      </c>
      <c r="T966" s="10">
        <f>GraphListeria!$E$43*Listeria!I966+GraphListeria!$E$44</f>
        <v>0.95914346078554313</v>
      </c>
      <c r="U966" s="10"/>
    </row>
    <row r="967" spans="1:21" x14ac:dyDescent="0.2">
      <c r="A967" s="1" t="s">
        <v>1440</v>
      </c>
      <c r="B967" s="1" t="s">
        <v>1443</v>
      </c>
      <c r="C967" t="s">
        <v>57</v>
      </c>
      <c r="D967" s="1" t="s">
        <v>44</v>
      </c>
      <c r="E967" s="1" t="s">
        <v>1252</v>
      </c>
      <c r="F967" s="19" t="s">
        <v>53</v>
      </c>
      <c r="G967" s="19" t="s">
        <v>521</v>
      </c>
      <c r="I967" s="4">
        <v>65.599999999999994</v>
      </c>
      <c r="J967" s="11">
        <v>3.1</v>
      </c>
      <c r="L967" s="12">
        <f t="shared" si="19"/>
        <v>0.49136169383427269</v>
      </c>
      <c r="M967" s="11">
        <f>GraphListeria!$D$10-(Listeria!I967-GraphListeria!$D$6)/GraphListeria!$D$5</f>
        <v>0.6563815706679792</v>
      </c>
      <c r="N967" s="1" t="s">
        <v>490</v>
      </c>
      <c r="O967">
        <v>2001</v>
      </c>
      <c r="S967" s="10">
        <f>GraphListeria!$B$43*Listeria!I967+GraphListeria!$B$44</f>
        <v>-0.38913248512072407</v>
      </c>
      <c r="T967" s="10">
        <f>GraphListeria!$E$43*Listeria!I967+GraphListeria!$E$44</f>
        <v>0.65638157066797831</v>
      </c>
      <c r="U967" s="10"/>
    </row>
    <row r="968" spans="1:21" x14ac:dyDescent="0.2">
      <c r="A968" s="1" t="s">
        <v>1440</v>
      </c>
      <c r="B968" s="1" t="s">
        <v>1443</v>
      </c>
      <c r="C968" t="s">
        <v>57</v>
      </c>
      <c r="D968" s="1" t="s">
        <v>44</v>
      </c>
      <c r="E968" s="1" t="s">
        <v>1252</v>
      </c>
      <c r="F968" s="19" t="s">
        <v>53</v>
      </c>
      <c r="G968" s="19" t="s">
        <v>521</v>
      </c>
      <c r="I968" s="4">
        <v>68.3</v>
      </c>
      <c r="J968" s="11">
        <v>1.6</v>
      </c>
      <c r="L968" s="12">
        <f t="shared" si="19"/>
        <v>0.20411998265592479</v>
      </c>
      <c r="M968" s="11">
        <f>GraphListeria!$D$10-(Listeria!I968-GraphListeria!$D$6)/GraphListeria!$D$5</f>
        <v>0.36443260519747012</v>
      </c>
      <c r="N968" s="1" t="s">
        <v>490</v>
      </c>
      <c r="O968">
        <v>2001</v>
      </c>
      <c r="S968" s="10">
        <f>GraphListeria!$B$43*Listeria!I968+GraphListeria!$B$44</f>
        <v>-0.76193700202760795</v>
      </c>
      <c r="T968" s="10">
        <f>GraphListeria!$E$43*Listeria!I968+GraphListeria!$E$44</f>
        <v>0.36443260519746978</v>
      </c>
      <c r="U968" s="10"/>
    </row>
    <row r="971" spans="1:21" x14ac:dyDescent="0.2">
      <c r="A971" s="1" t="s">
        <v>1440</v>
      </c>
      <c r="B971" s="1" t="s">
        <v>1443</v>
      </c>
      <c r="D971" s="1" t="s">
        <v>11</v>
      </c>
      <c r="E971" s="1" t="s">
        <v>1447</v>
      </c>
      <c r="F971" s="1" t="s">
        <v>615</v>
      </c>
      <c r="G971" s="1"/>
      <c r="I971" s="4">
        <v>66</v>
      </c>
      <c r="J971" s="11">
        <v>2.08</v>
      </c>
      <c r="K971" s="4">
        <v>29.3</v>
      </c>
      <c r="L971" s="12">
        <f>LOG(J971)</f>
        <v>0.31806333496276157</v>
      </c>
      <c r="M971" s="11">
        <f>GraphListeria!$B$10-(Listeria!I971-GraphListeria!$B$6)/GraphListeria!$B$5</f>
        <v>-0.49570806205908136</v>
      </c>
      <c r="N971" s="1" t="s">
        <v>781</v>
      </c>
      <c r="O971">
        <v>1998</v>
      </c>
      <c r="P971" t="s">
        <v>909</v>
      </c>
      <c r="S971" s="10"/>
      <c r="U971" s="10"/>
    </row>
    <row r="972" spans="1:21" x14ac:dyDescent="0.2">
      <c r="A972" s="1" t="s">
        <v>1440</v>
      </c>
      <c r="B972" s="1" t="s">
        <v>1443</v>
      </c>
      <c r="D972" s="1" t="s">
        <v>11</v>
      </c>
      <c r="E972" s="1" t="s">
        <v>1447</v>
      </c>
      <c r="F972" s="1" t="s">
        <v>615</v>
      </c>
      <c r="G972" s="1"/>
      <c r="I972" s="4">
        <v>77</v>
      </c>
      <c r="J972" s="11">
        <v>0.84</v>
      </c>
      <c r="K972" s="4">
        <v>29.3</v>
      </c>
      <c r="L972" s="12">
        <f>LOG(J972)</f>
        <v>-7.5720713938118356E-2</v>
      </c>
      <c r="M972" s="11">
        <f>GraphListeria!$B$10-(Listeria!I972-GraphListeria!$B$6)/GraphListeria!$B$5</f>
        <v>-2.0576008713913487</v>
      </c>
      <c r="N972" s="1" t="s">
        <v>781</v>
      </c>
      <c r="O972">
        <v>1998</v>
      </c>
      <c r="P972" t="s">
        <v>909</v>
      </c>
      <c r="S972" s="10"/>
      <c r="U972" s="10"/>
    </row>
    <row r="973" spans="1:21" x14ac:dyDescent="0.2">
      <c r="A973" s="1" t="s">
        <v>1440</v>
      </c>
      <c r="B973" s="1" t="s">
        <v>1443</v>
      </c>
      <c r="D973" s="1" t="s">
        <v>11</v>
      </c>
      <c r="E973" s="1" t="s">
        <v>1447</v>
      </c>
      <c r="F973" s="1" t="s">
        <v>615</v>
      </c>
      <c r="G973" s="1"/>
      <c r="I973" s="4">
        <v>88</v>
      </c>
      <c r="J973" s="11">
        <v>0.37</v>
      </c>
      <c r="K973" s="4">
        <v>29.3</v>
      </c>
      <c r="L973" s="12">
        <f>LOG(J973)</f>
        <v>-0.43179827593300502</v>
      </c>
      <c r="M973" s="11">
        <f>GraphListeria!$B$10-(Listeria!I973-GraphListeria!$B$6)/GraphListeria!$B$5</f>
        <v>-3.6194936807236164</v>
      </c>
      <c r="N973" s="1" t="s">
        <v>781</v>
      </c>
      <c r="O973">
        <v>1998</v>
      </c>
      <c r="P973" t="s">
        <v>909</v>
      </c>
      <c r="S973" s="10"/>
      <c r="U973" s="10"/>
    </row>
    <row r="974" spans="1:21" x14ac:dyDescent="0.2">
      <c r="A974" s="1" t="s">
        <v>1440</v>
      </c>
      <c r="B974" s="1" t="s">
        <v>1443</v>
      </c>
      <c r="D974" s="1" t="s">
        <v>11</v>
      </c>
      <c r="E974" s="1" t="s">
        <v>1447</v>
      </c>
      <c r="F974" s="1" t="s">
        <v>615</v>
      </c>
      <c r="G974" s="1"/>
      <c r="I974" s="4">
        <v>99</v>
      </c>
      <c r="J974" s="11">
        <v>0.28000000000000003</v>
      </c>
      <c r="L974" s="12">
        <f>LOG(J974)</f>
        <v>-0.55284196865778079</v>
      </c>
      <c r="M974" s="11">
        <f>GraphListeria!$B$10-(Listeria!I974-GraphListeria!$B$6)/GraphListeria!$B$5</f>
        <v>-5.1813864900558837</v>
      </c>
      <c r="N974" s="1" t="s">
        <v>781</v>
      </c>
      <c r="O974">
        <v>1998</v>
      </c>
      <c r="P974" t="s">
        <v>909</v>
      </c>
      <c r="S974" s="10"/>
      <c r="U974" s="10"/>
    </row>
    <row r="976" spans="1:21" x14ac:dyDescent="0.2">
      <c r="J976" s="11" t="s">
        <v>1343</v>
      </c>
      <c r="L976" s="4">
        <f>GraphListeria!B57</f>
        <v>0</v>
      </c>
    </row>
  </sheetData>
  <phoneticPr fontId="0" type="noConversion"/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H64"/>
  <sheetViews>
    <sheetView topLeftCell="A25" workbookViewId="0">
      <selection activeCell="F71" sqref="F71"/>
    </sheetView>
  </sheetViews>
  <sheetFormatPr defaultRowHeight="12.75" x14ac:dyDescent="0.2"/>
  <sheetData>
    <row r="1" spans="1:5" ht="18" x14ac:dyDescent="0.25">
      <c r="A1" s="3" t="s">
        <v>56</v>
      </c>
    </row>
    <row r="4" spans="1:5" x14ac:dyDescent="0.2">
      <c r="A4" t="s">
        <v>1346</v>
      </c>
      <c r="B4" s="24" t="s">
        <v>883</v>
      </c>
      <c r="D4" s="33" t="s">
        <v>908</v>
      </c>
    </row>
    <row r="5" spans="1:5" x14ac:dyDescent="0.2">
      <c r="A5" t="s">
        <v>1347</v>
      </c>
      <c r="B5" s="10">
        <f>-1/SLOPE(Listeria!L2:L941,Listeria!I2:I941)</f>
        <v>7.0427368218070381</v>
      </c>
      <c r="C5" s="10">
        <f>SLOPE(Listeria!L2:L941,Listeria!I2:I941)</f>
        <v>-0.1419902553938425</v>
      </c>
      <c r="D5" s="10">
        <f>-1/SLOPE(Listeria!L942:L968,Listeria!I942:I968)</f>
        <v>9.2481917024389677</v>
      </c>
    </row>
    <row r="6" spans="1:5" x14ac:dyDescent="0.2">
      <c r="A6" t="s">
        <v>1350</v>
      </c>
      <c r="B6">
        <v>70</v>
      </c>
      <c r="D6">
        <v>70</v>
      </c>
    </row>
    <row r="7" spans="1:5" x14ac:dyDescent="0.2">
      <c r="A7" t="s">
        <v>1353</v>
      </c>
      <c r="B7" s="10">
        <f>TINV(0.05,COUNT(Listeria!L2:L941)-2)</f>
        <v>1.9624962693987884</v>
      </c>
      <c r="D7" s="10">
        <f>TINV(0.05,COUNT(Listeria!L942:L968)-2)</f>
        <v>2.0595385527532977</v>
      </c>
    </row>
    <row r="8" spans="1:5" x14ac:dyDescent="0.2">
      <c r="A8" t="s">
        <v>1355</v>
      </c>
      <c r="B8" s="10">
        <f>SUMXMY2(Listeria!L2:L941,Listeria!M2:M941)</f>
        <v>150.02629669096703</v>
      </c>
      <c r="D8" s="10">
        <f>SUMXMY2(Listeria!L942:L968,Listeria!M942:M968)</f>
        <v>2.1295196813721811</v>
      </c>
    </row>
    <row r="9" spans="1:5" x14ac:dyDescent="0.2">
      <c r="A9" t="s">
        <v>1354</v>
      </c>
      <c r="B9" s="10">
        <f>SQRT(B8/(COUNT(Listeria!L2:L941)-2))</f>
        <v>0.39992842735331446</v>
      </c>
      <c r="D9" s="10">
        <f>SQRT(D8/(COUNT(Listeria!L942:L968)-2))</f>
        <v>0.29185747764086367</v>
      </c>
    </row>
    <row r="10" spans="1:5" x14ac:dyDescent="0.2">
      <c r="A10" t="s">
        <v>1351</v>
      </c>
      <c r="B10" s="10">
        <f>INTERCEPT(Listeria!L2:L941,Listeria!I2:I941)-B6/B5</f>
        <v>-1.0636690836344513</v>
      </c>
      <c r="C10" s="10">
        <f>INTERCEPT(Listeria!L2:L941,Listeria!I2:I941)</f>
        <v>8.8756487939345234</v>
      </c>
      <c r="D10" s="10">
        <f>INTERCEPT(Listeria!L942:L968,Listeria!I942:I968)-D6/D5</f>
        <v>0.18061288619751981</v>
      </c>
    </row>
    <row r="11" spans="1:5" x14ac:dyDescent="0.2">
      <c r="A11" t="s">
        <v>135</v>
      </c>
      <c r="B11" s="10">
        <f>B10+B7*B9</f>
        <v>-0.27881103692704734</v>
      </c>
      <c r="D11" s="10">
        <f>D10+D7*D9</f>
        <v>0.78170461330821206</v>
      </c>
    </row>
    <row r="13" spans="1:5" x14ac:dyDescent="0.2">
      <c r="A13" t="s">
        <v>1348</v>
      </c>
      <c r="B13" t="s">
        <v>1344</v>
      </c>
      <c r="C13" t="s">
        <v>1352</v>
      </c>
      <c r="D13" t="s">
        <v>1344</v>
      </c>
      <c r="E13" t="s">
        <v>1352</v>
      </c>
    </row>
    <row r="14" spans="1:5" x14ac:dyDescent="0.2">
      <c r="A14">
        <v>45</v>
      </c>
      <c r="B14" s="10">
        <f t="shared" ref="B14:B34" si="0">$B$10-(A14-$B$6)/$B$5</f>
        <v>2.4860873012116111</v>
      </c>
      <c r="C14" s="10">
        <f t="shared" ref="C14:C34" si="1">B14+$B$7*$B$9</f>
        <v>3.2709453479190151</v>
      </c>
      <c r="D14" s="10">
        <f>$D$10-(A14-$D$6)/$D$5</f>
        <v>2.8838440479614902</v>
      </c>
      <c r="E14" s="10">
        <f>D14+$D$7*$D$9</f>
        <v>3.4849357750721826</v>
      </c>
    </row>
    <row r="15" spans="1:5" x14ac:dyDescent="0.2">
      <c r="A15">
        <f>A14+5</f>
        <v>50</v>
      </c>
      <c r="B15" s="10">
        <f t="shared" si="0"/>
        <v>1.7761360242423989</v>
      </c>
      <c r="C15" s="10">
        <f t="shared" si="1"/>
        <v>2.5609940709498029</v>
      </c>
      <c r="D15" s="10">
        <f t="shared" ref="D15:D34" si="2">$D$10-(A15-$D$6)/$D$5</f>
        <v>2.3431978156086961</v>
      </c>
      <c r="E15" s="10">
        <f t="shared" ref="E15:E34" si="3">D15+$D$7*$D$9</f>
        <v>2.9442895427193885</v>
      </c>
    </row>
    <row r="16" spans="1:5" x14ac:dyDescent="0.2">
      <c r="A16">
        <f>A15+5</f>
        <v>55</v>
      </c>
      <c r="B16" s="10">
        <f t="shared" si="0"/>
        <v>1.0661847472731862</v>
      </c>
      <c r="C16" s="10">
        <f t="shared" si="1"/>
        <v>1.8510427939805902</v>
      </c>
      <c r="D16" s="10">
        <f t="shared" si="2"/>
        <v>1.8025515832559018</v>
      </c>
      <c r="E16" s="10">
        <f t="shared" si="3"/>
        <v>2.403643310366594</v>
      </c>
    </row>
    <row r="17" spans="1:5" x14ac:dyDescent="0.2">
      <c r="A17">
        <f>A16+5</f>
        <v>60</v>
      </c>
      <c r="B17" s="10">
        <f t="shared" si="0"/>
        <v>0.35623347030397379</v>
      </c>
      <c r="C17" s="10">
        <f t="shared" si="1"/>
        <v>1.1410915170113778</v>
      </c>
      <c r="D17" s="10">
        <f t="shared" si="2"/>
        <v>1.261905350903108</v>
      </c>
      <c r="E17" s="10">
        <f t="shared" si="3"/>
        <v>1.8629970780138003</v>
      </c>
    </row>
    <row r="18" spans="1:5" x14ac:dyDescent="0.2">
      <c r="A18">
        <f>A17+5</f>
        <v>65</v>
      </c>
      <c r="B18" s="10">
        <f t="shared" si="0"/>
        <v>-0.35371780666523878</v>
      </c>
      <c r="C18" s="10">
        <f t="shared" si="1"/>
        <v>0.43114024004216522</v>
      </c>
      <c r="D18" s="10">
        <f t="shared" si="2"/>
        <v>0.72125911855031388</v>
      </c>
      <c r="E18" s="10">
        <f t="shared" si="3"/>
        <v>1.3223508456610062</v>
      </c>
    </row>
    <row r="19" spans="1:5" x14ac:dyDescent="0.2">
      <c r="A19">
        <v>70</v>
      </c>
      <c r="B19" s="10">
        <f t="shared" si="0"/>
        <v>-1.0636690836344513</v>
      </c>
      <c r="C19" s="10">
        <f t="shared" si="1"/>
        <v>-0.27881103692704734</v>
      </c>
      <c r="D19" s="10">
        <f t="shared" si="2"/>
        <v>0.18061288619751981</v>
      </c>
      <c r="E19" s="10">
        <f t="shared" si="3"/>
        <v>0.78170461330821206</v>
      </c>
    </row>
    <row r="20" spans="1:5" x14ac:dyDescent="0.2">
      <c r="A20">
        <f>A19+5</f>
        <v>75</v>
      </c>
      <c r="B20" s="10">
        <f t="shared" si="0"/>
        <v>-1.773620360603664</v>
      </c>
      <c r="C20" s="10">
        <f t="shared" si="1"/>
        <v>-0.98876231389626001</v>
      </c>
      <c r="D20" s="10">
        <f t="shared" si="2"/>
        <v>-0.36003334615527427</v>
      </c>
      <c r="E20" s="10">
        <f t="shared" si="3"/>
        <v>0.24105838095541798</v>
      </c>
    </row>
    <row r="21" spans="1:5" x14ac:dyDescent="0.2">
      <c r="A21">
        <f t="shared" ref="A21:A34" si="4">A20+5</f>
        <v>80</v>
      </c>
      <c r="B21" s="10">
        <f t="shared" si="0"/>
        <v>-2.4835716375728767</v>
      </c>
      <c r="C21" s="10">
        <f t="shared" si="1"/>
        <v>-1.6987135908654727</v>
      </c>
      <c r="D21" s="10">
        <f t="shared" si="2"/>
        <v>-0.90067957850806835</v>
      </c>
      <c r="E21" s="10">
        <f t="shared" si="3"/>
        <v>-0.29958785139737609</v>
      </c>
    </row>
    <row r="22" spans="1:5" x14ac:dyDescent="0.2">
      <c r="A22">
        <f t="shared" si="4"/>
        <v>85</v>
      </c>
      <c r="B22" s="10">
        <f t="shared" si="0"/>
        <v>-3.1935229145420889</v>
      </c>
      <c r="C22" s="10">
        <f t="shared" si="1"/>
        <v>-2.4086648678346849</v>
      </c>
      <c r="D22" s="10">
        <f t="shared" si="2"/>
        <v>-1.4413258108608622</v>
      </c>
      <c r="E22" s="10">
        <f t="shared" si="3"/>
        <v>-0.84023408375016995</v>
      </c>
    </row>
    <row r="23" spans="1:5" x14ac:dyDescent="0.2">
      <c r="A23">
        <f t="shared" si="4"/>
        <v>90</v>
      </c>
      <c r="B23" s="10">
        <f t="shared" si="0"/>
        <v>-3.9034741915113016</v>
      </c>
      <c r="C23" s="10">
        <f t="shared" si="1"/>
        <v>-3.1186161448038976</v>
      </c>
      <c r="D23" s="10">
        <f t="shared" si="2"/>
        <v>-1.9819720432136565</v>
      </c>
      <c r="E23" s="10">
        <f t="shared" si="3"/>
        <v>-1.3808803161029641</v>
      </c>
    </row>
    <row r="24" spans="1:5" x14ac:dyDescent="0.2">
      <c r="A24">
        <f t="shared" si="4"/>
        <v>95</v>
      </c>
      <c r="B24" s="10">
        <f t="shared" si="0"/>
        <v>-4.6134254684805143</v>
      </c>
      <c r="C24" s="10">
        <f t="shared" si="1"/>
        <v>-3.8285674217731103</v>
      </c>
      <c r="D24" s="10">
        <f t="shared" si="2"/>
        <v>-2.5226182755664506</v>
      </c>
      <c r="E24" s="10">
        <f t="shared" si="3"/>
        <v>-1.9215265484557582</v>
      </c>
    </row>
    <row r="25" spans="1:5" x14ac:dyDescent="0.2">
      <c r="A25">
        <f t="shared" si="4"/>
        <v>100</v>
      </c>
      <c r="B25" s="10">
        <f t="shared" si="0"/>
        <v>-5.3233767454497265</v>
      </c>
      <c r="C25" s="10">
        <f t="shared" si="1"/>
        <v>-4.5385186987423225</v>
      </c>
      <c r="D25" s="10">
        <f t="shared" si="2"/>
        <v>-3.0632645079192442</v>
      </c>
      <c r="E25" s="10">
        <f t="shared" si="3"/>
        <v>-2.4621727808085518</v>
      </c>
    </row>
    <row r="26" spans="1:5" x14ac:dyDescent="0.2">
      <c r="A26">
        <f t="shared" si="4"/>
        <v>105</v>
      </c>
      <c r="B26" s="10">
        <f t="shared" si="0"/>
        <v>-6.0333280224189387</v>
      </c>
      <c r="C26" s="10">
        <f t="shared" si="1"/>
        <v>-5.2484699757115347</v>
      </c>
      <c r="D26" s="10">
        <f t="shared" si="2"/>
        <v>-3.6039107402720383</v>
      </c>
      <c r="E26" s="10">
        <f t="shared" si="3"/>
        <v>-3.0028190131613459</v>
      </c>
    </row>
    <row r="27" spans="1:5" x14ac:dyDescent="0.2">
      <c r="A27">
        <f t="shared" si="4"/>
        <v>110</v>
      </c>
      <c r="B27" s="10">
        <f t="shared" si="0"/>
        <v>-6.7432792993881518</v>
      </c>
      <c r="C27" s="10">
        <f t="shared" si="1"/>
        <v>-5.9584212526807478</v>
      </c>
      <c r="D27" s="10">
        <f t="shared" si="2"/>
        <v>-4.1445569726248328</v>
      </c>
      <c r="E27" s="10">
        <f t="shared" si="3"/>
        <v>-3.5434652455141404</v>
      </c>
    </row>
    <row r="28" spans="1:5" x14ac:dyDescent="0.2">
      <c r="A28">
        <f t="shared" si="4"/>
        <v>115</v>
      </c>
      <c r="B28" s="10">
        <f t="shared" si="0"/>
        <v>-7.4532305763573641</v>
      </c>
      <c r="C28" s="10">
        <f t="shared" si="1"/>
        <v>-6.6683725296499601</v>
      </c>
      <c r="D28" s="10">
        <f t="shared" si="2"/>
        <v>-4.6852032049776264</v>
      </c>
      <c r="E28" s="10">
        <f t="shared" si="3"/>
        <v>-4.0841114778669345</v>
      </c>
    </row>
    <row r="29" spans="1:5" x14ac:dyDescent="0.2">
      <c r="A29">
        <f t="shared" si="4"/>
        <v>120</v>
      </c>
      <c r="B29" s="10">
        <f t="shared" si="0"/>
        <v>-8.1631818533265772</v>
      </c>
      <c r="C29" s="10">
        <f t="shared" si="1"/>
        <v>-7.3783238066191732</v>
      </c>
      <c r="D29" s="10">
        <f t="shared" si="2"/>
        <v>-5.225849437330421</v>
      </c>
      <c r="E29" s="10">
        <f t="shared" si="3"/>
        <v>-4.624757710219729</v>
      </c>
    </row>
    <row r="30" spans="1:5" x14ac:dyDescent="0.2">
      <c r="A30">
        <f t="shared" si="4"/>
        <v>125</v>
      </c>
      <c r="B30" s="10">
        <f t="shared" si="0"/>
        <v>-8.8731331302957894</v>
      </c>
      <c r="C30" s="10">
        <f t="shared" si="1"/>
        <v>-8.0882750835883854</v>
      </c>
      <c r="D30" s="10">
        <f t="shared" si="2"/>
        <v>-5.7664956696832146</v>
      </c>
      <c r="E30" s="10">
        <f t="shared" si="3"/>
        <v>-5.1654039425725227</v>
      </c>
    </row>
    <row r="31" spans="1:5" x14ac:dyDescent="0.2">
      <c r="A31">
        <f t="shared" si="4"/>
        <v>130</v>
      </c>
      <c r="B31" s="10">
        <f t="shared" si="0"/>
        <v>-9.5830844072650017</v>
      </c>
      <c r="C31" s="10">
        <f t="shared" si="1"/>
        <v>-8.7982263605575977</v>
      </c>
      <c r="D31" s="10">
        <f t="shared" si="2"/>
        <v>-6.3071419020360082</v>
      </c>
      <c r="E31" s="10">
        <f t="shared" si="3"/>
        <v>-5.7060501749253163</v>
      </c>
    </row>
    <row r="32" spans="1:5" x14ac:dyDescent="0.2">
      <c r="A32">
        <f t="shared" si="4"/>
        <v>135</v>
      </c>
      <c r="B32" s="10">
        <f t="shared" si="0"/>
        <v>-10.293035684234214</v>
      </c>
      <c r="C32" s="10">
        <f t="shared" si="1"/>
        <v>-9.5081776375268099</v>
      </c>
      <c r="D32" s="10">
        <f t="shared" si="2"/>
        <v>-6.8477881343888027</v>
      </c>
      <c r="E32" s="10">
        <f t="shared" si="3"/>
        <v>-6.2466964072781108</v>
      </c>
    </row>
    <row r="33" spans="1:8" x14ac:dyDescent="0.2">
      <c r="A33">
        <f t="shared" si="4"/>
        <v>140</v>
      </c>
      <c r="B33" s="10">
        <f t="shared" si="0"/>
        <v>-11.002986961203426</v>
      </c>
      <c r="C33" s="10">
        <f t="shared" si="1"/>
        <v>-10.218128914496022</v>
      </c>
      <c r="D33" s="10">
        <f t="shared" si="2"/>
        <v>-7.3884343667415964</v>
      </c>
      <c r="E33" s="10">
        <f t="shared" si="3"/>
        <v>-6.7873426396309045</v>
      </c>
    </row>
    <row r="34" spans="1:8" x14ac:dyDescent="0.2">
      <c r="A34">
        <f t="shared" si="4"/>
        <v>145</v>
      </c>
      <c r="B34" s="10">
        <f t="shared" si="0"/>
        <v>-11.712938238172638</v>
      </c>
      <c r="C34" s="10">
        <f t="shared" si="1"/>
        <v>-10.928080191465234</v>
      </c>
      <c r="D34" s="10">
        <f t="shared" si="2"/>
        <v>-7.92908059909439</v>
      </c>
      <c r="E34" s="10">
        <f t="shared" si="3"/>
        <v>-7.3279888719836981</v>
      </c>
    </row>
    <row r="38" spans="1:8" x14ac:dyDescent="0.2">
      <c r="A38" s="24"/>
    </row>
    <row r="40" spans="1:8" x14ac:dyDescent="0.2">
      <c r="A40" s="24" t="s">
        <v>910</v>
      </c>
    </row>
    <row r="42" spans="1:8" x14ac:dyDescent="0.2">
      <c r="A42" t="s">
        <v>250</v>
      </c>
      <c r="D42" t="s">
        <v>907</v>
      </c>
      <c r="G42" t="s">
        <v>275</v>
      </c>
    </row>
    <row r="43" spans="1:8" x14ac:dyDescent="0.2">
      <c r="A43" t="s">
        <v>251</v>
      </c>
      <c r="B43" s="10">
        <f>SLOPE(Listeria!L2:L968,Listeria!I2:I968)</f>
        <v>-0.13807574700254957</v>
      </c>
      <c r="D43" t="s">
        <v>251</v>
      </c>
      <c r="E43" s="10">
        <f>SLOPE(Listeria!L942:L968,Listeria!I942:I968)</f>
        <v>-0.10812924647055881</v>
      </c>
      <c r="G43" t="s">
        <v>251</v>
      </c>
      <c r="H43" s="10">
        <f>SLOPE(Listeria!L2:L941,Listeria!I2:I941)</f>
        <v>-0.1419902553938425</v>
      </c>
    </row>
    <row r="44" spans="1:8" x14ac:dyDescent="0.2">
      <c r="A44" t="s">
        <v>202</v>
      </c>
      <c r="B44" s="10">
        <f>INTERCEPT(Listeria!L2:L968,Listeria!I2:I968)</f>
        <v>8.6686365182465277</v>
      </c>
      <c r="D44" t="s">
        <v>252</v>
      </c>
      <c r="E44" s="10">
        <f>INTERCEPT(Listeria!L942:L968,Listeria!I942:I968)</f>
        <v>7.749660139136636</v>
      </c>
      <c r="G44" t="s">
        <v>252</v>
      </c>
      <c r="H44" s="10">
        <f>INTERCEPT(Listeria!L2:L941,Listeria!I2:I941)</f>
        <v>8.8756487939345234</v>
      </c>
    </row>
    <row r="45" spans="1:8" x14ac:dyDescent="0.2">
      <c r="A45" t="s">
        <v>259</v>
      </c>
      <c r="B45" s="10">
        <f>SUMXMY2(Listeria!L2:L968,Listeria!S2:S968)</f>
        <v>180.08041762220341</v>
      </c>
      <c r="D45" t="s">
        <v>259</v>
      </c>
      <c r="E45" s="10">
        <f>SUMXMY2(Listeria!L942:L968,Listeria!T942:T968)</f>
        <v>2.1295196813721806</v>
      </c>
      <c r="G45" t="s">
        <v>259</v>
      </c>
      <c r="H45" s="10">
        <f>SUMXMY2(Listeria!L2:L941,Listeria!U2:U941)</f>
        <v>150.02629669096692</v>
      </c>
    </row>
    <row r="46" spans="1:8" x14ac:dyDescent="0.2">
      <c r="D46" t="s">
        <v>260</v>
      </c>
      <c r="E46" s="10">
        <f>E45+H45</f>
        <v>152.1558163723391</v>
      </c>
    </row>
    <row r="48" spans="1:8" x14ac:dyDescent="0.2">
      <c r="A48" t="s">
        <v>262</v>
      </c>
      <c r="B48">
        <f>COUNT(Listeria!I2:I968)</f>
        <v>967</v>
      </c>
    </row>
    <row r="49" spans="1:2" x14ac:dyDescent="0.2">
      <c r="A49" t="s">
        <v>261</v>
      </c>
      <c r="B49" s="10">
        <f>((B45-E46)/2)/(E46/(B48-4))</f>
        <v>88.367936385072696</v>
      </c>
    </row>
    <row r="50" spans="1:2" x14ac:dyDescent="0.2">
      <c r="A50" t="s">
        <v>280</v>
      </c>
      <c r="B50" s="10">
        <f>FINV(0.05,2,B48-4)</f>
        <v>3.0050708537947131</v>
      </c>
    </row>
    <row r="51" spans="1:2" x14ac:dyDescent="0.2">
      <c r="A51" t="s">
        <v>255</v>
      </c>
      <c r="B51" s="10">
        <f>(B45/(B48-2))/(E46/(B48-4))</f>
        <v>1.1810734432851249</v>
      </c>
    </row>
    <row r="52" spans="1:2" x14ac:dyDescent="0.2">
      <c r="A52" t="s">
        <v>281</v>
      </c>
      <c r="B52" s="10">
        <f>FINV(0.05,B48-2,B48-4)</f>
        <v>1.1118330490769512</v>
      </c>
    </row>
    <row r="54" spans="1:2" x14ac:dyDescent="0.2">
      <c r="A54" s="24" t="s">
        <v>911</v>
      </c>
    </row>
    <row r="56" spans="1:2" x14ac:dyDescent="0.2">
      <c r="A56" t="s">
        <v>897</v>
      </c>
    </row>
    <row r="57" spans="1:2" x14ac:dyDescent="0.2">
      <c r="A57" t="s">
        <v>898</v>
      </c>
      <c r="B57">
        <v>0</v>
      </c>
    </row>
    <row r="59" spans="1:2" x14ac:dyDescent="0.2">
      <c r="A59" t="s">
        <v>912</v>
      </c>
    </row>
    <row r="64" spans="1:2" x14ac:dyDescent="0.2">
      <c r="A64" t="s">
        <v>816</v>
      </c>
    </row>
  </sheetData>
  <phoneticPr fontId="0" type="noConversion"/>
  <pageMargins left="0.75" right="0.75" top="1" bottom="1" header="0.5" footer="0.5"/>
  <pageSetup paperSize="9" scale="69" orientation="landscape"/>
  <headerFooter alignWithMargins="0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Z1162"/>
  <sheetViews>
    <sheetView topLeftCell="C1" workbookViewId="0">
      <pane ySplit="1" topLeftCell="A469" activePane="bottomLeft" state="frozen"/>
      <selection pane="bottomLeft" activeCell="M469" sqref="M469"/>
    </sheetView>
  </sheetViews>
  <sheetFormatPr defaultRowHeight="12.75" x14ac:dyDescent="0.2"/>
  <cols>
    <col min="1" max="1" width="16.42578125" customWidth="1"/>
    <col min="2" max="2" width="15.5703125" customWidth="1"/>
    <col min="3" max="3" width="12.140625" customWidth="1"/>
    <col min="4" max="4" width="16.28515625" customWidth="1"/>
    <col min="5" max="5" width="15.42578125" customWidth="1"/>
    <col min="6" max="6" width="16.140625" customWidth="1"/>
    <col min="7" max="7" width="7.85546875" style="11" customWidth="1"/>
    <col min="8" max="8" width="8.5703125" style="4" customWidth="1"/>
    <col min="9" max="9" width="10.28515625" style="4" customWidth="1"/>
    <col min="10" max="10" width="9.140625" style="11" customWidth="1"/>
    <col min="11" max="12" width="9.140625" style="4" customWidth="1"/>
    <col min="13" max="13" width="15" style="4" customWidth="1"/>
    <col min="16" max="16" width="16.85546875" customWidth="1"/>
    <col min="20" max="20" width="11.85546875" customWidth="1"/>
    <col min="24" max="26" width="9.140625" style="10" customWidth="1"/>
  </cols>
  <sheetData>
    <row r="1" spans="1:26" s="18" customFormat="1" ht="15" x14ac:dyDescent="0.25">
      <c r="A1" s="14" t="s">
        <v>1221</v>
      </c>
      <c r="B1" s="14" t="s">
        <v>64</v>
      </c>
      <c r="C1" s="14" t="s">
        <v>65</v>
      </c>
      <c r="D1" s="14" t="s">
        <v>39</v>
      </c>
      <c r="E1" s="14" t="s">
        <v>1222</v>
      </c>
      <c r="F1" s="14" t="s">
        <v>1255</v>
      </c>
      <c r="G1" s="29" t="s">
        <v>509</v>
      </c>
      <c r="H1" s="15" t="s">
        <v>1230</v>
      </c>
      <c r="I1" s="15" t="s">
        <v>1229</v>
      </c>
      <c r="J1" s="20" t="s">
        <v>1232</v>
      </c>
      <c r="K1" s="15" t="s">
        <v>1231</v>
      </c>
      <c r="L1" s="15" t="s">
        <v>1343</v>
      </c>
      <c r="M1" s="17" t="s">
        <v>1344</v>
      </c>
      <c r="N1" s="14" t="s">
        <v>1223</v>
      </c>
      <c r="O1" s="14" t="s">
        <v>1224</v>
      </c>
      <c r="P1" s="14" t="s">
        <v>1225</v>
      </c>
      <c r="R1" s="18" t="s">
        <v>255</v>
      </c>
      <c r="S1" s="18" t="s">
        <v>271</v>
      </c>
      <c r="T1" s="18" t="s">
        <v>276</v>
      </c>
      <c r="U1" s="18" t="s">
        <v>272</v>
      </c>
      <c r="X1" s="36"/>
      <c r="Y1" s="36"/>
      <c r="Z1" s="36"/>
    </row>
    <row r="2" spans="1:26" x14ac:dyDescent="0.2">
      <c r="A2" s="1" t="s">
        <v>66</v>
      </c>
      <c r="B2" s="1" t="s">
        <v>342</v>
      </c>
      <c r="D2" t="s">
        <v>42</v>
      </c>
      <c r="E2" s="1" t="s">
        <v>1240</v>
      </c>
      <c r="F2" s="1" t="s">
        <v>1274</v>
      </c>
      <c r="G2" s="9"/>
      <c r="I2" s="4">
        <v>60</v>
      </c>
      <c r="J2" s="11">
        <v>9.7000000000000003E-2</v>
      </c>
      <c r="L2" s="12">
        <f t="shared" ref="L2:L33" si="0">LOG(J2)</f>
        <v>-1.0132282657337552</v>
      </c>
      <c r="M2" s="11">
        <f>GraphSalmonella!$B$10-(Salmonella!I2-GraphSalmonella!$B$6)/GraphSalmonella!$B$5</f>
        <v>0.2712239435094701</v>
      </c>
      <c r="N2" s="1" t="s">
        <v>319</v>
      </c>
      <c r="O2">
        <v>2000</v>
      </c>
      <c r="S2" s="10">
        <f>GraphSalmonella!$B$57*Salmonella!I2+GraphSalmonella!$B$58</f>
        <v>0.35072323220664714</v>
      </c>
      <c r="T2" s="10">
        <f>GraphSalmonella!$E$57*Salmonella!I2+GraphSalmonella!$E$58</f>
        <v>3.1370239566030182</v>
      </c>
      <c r="U2" s="10">
        <f>GraphSalmonella!$H$57*Salmonella!I2+GraphSalmonella!$H$58</f>
        <v>0.27208851901262943</v>
      </c>
      <c r="X2" s="10">
        <f>GraphSalmonella!$B$80*Salmonella!I2+GraphSalmonella!$B$81</f>
        <v>0.2738497546709393</v>
      </c>
      <c r="Y2" s="10">
        <f>GraphSalmonella!$E$80*Salmonella!I2+GraphSalmonella!$E$81</f>
        <v>0.2823920067305572</v>
      </c>
      <c r="Z2" s="10">
        <f>GraphSalmonella!$H$80*Salmonella!I2+GraphSalmonella!$H$81</f>
        <v>-6.4512686973317024E-2</v>
      </c>
    </row>
    <row r="3" spans="1:26" x14ac:dyDescent="0.2">
      <c r="A3" s="1" t="s">
        <v>66</v>
      </c>
      <c r="B3" s="1" t="s">
        <v>342</v>
      </c>
      <c r="D3" t="s">
        <v>42</v>
      </c>
      <c r="E3" s="1" t="s">
        <v>1240</v>
      </c>
      <c r="F3" s="1" t="s">
        <v>1274</v>
      </c>
      <c r="G3" s="9"/>
      <c r="I3" s="4">
        <v>60</v>
      </c>
      <c r="J3" s="11">
        <v>5.8000000000000003E-2</v>
      </c>
      <c r="L3" s="12">
        <f t="shared" si="0"/>
        <v>-1.2365720064370627</v>
      </c>
      <c r="M3" s="11">
        <f>GraphSalmonella!$B$10-(Salmonella!I3-GraphSalmonella!$B$6)/GraphSalmonella!$B$5</f>
        <v>0.2712239435094701</v>
      </c>
      <c r="N3" s="1" t="s">
        <v>319</v>
      </c>
      <c r="O3">
        <v>2000</v>
      </c>
      <c r="S3" s="10">
        <f>GraphSalmonella!$B$57*Salmonella!I3+GraphSalmonella!$B$58</f>
        <v>0.35072323220664714</v>
      </c>
      <c r="T3" s="10">
        <f>GraphSalmonella!$E$57*Salmonella!I3+GraphSalmonella!$E$58</f>
        <v>3.1370239566030182</v>
      </c>
      <c r="U3" s="10">
        <f>GraphSalmonella!$H$57*Salmonella!I3+GraphSalmonella!$H$58</f>
        <v>0.27208851901262943</v>
      </c>
      <c r="X3" s="10">
        <f>GraphSalmonella!$B$80*Salmonella!I3+GraphSalmonella!$B$81</f>
        <v>0.2738497546709393</v>
      </c>
      <c r="Y3" s="10">
        <f>GraphSalmonella!$E$80*Salmonella!I3+GraphSalmonella!$E$81</f>
        <v>0.2823920067305572</v>
      </c>
      <c r="Z3" s="10">
        <f>GraphSalmonella!$H$80*Salmonella!I3+GraphSalmonella!$H$81</f>
        <v>-6.4512686973317024E-2</v>
      </c>
    </row>
    <row r="4" spans="1:26" x14ac:dyDescent="0.2">
      <c r="A4" s="1" t="s">
        <v>66</v>
      </c>
      <c r="B4" s="1" t="s">
        <v>342</v>
      </c>
      <c r="D4" t="s">
        <v>42</v>
      </c>
      <c r="E4" s="1" t="s">
        <v>1240</v>
      </c>
      <c r="F4" s="1" t="s">
        <v>1274</v>
      </c>
      <c r="G4" s="9"/>
      <c r="I4" s="4">
        <v>61.5</v>
      </c>
      <c r="J4" s="11">
        <v>5.0999999999999997E-2</v>
      </c>
      <c r="L4" s="12">
        <f t="shared" si="0"/>
        <v>-1.2924298239020637</v>
      </c>
      <c r="M4" s="11">
        <f>GraphSalmonella!$B$10-(Salmonella!I4-GraphSalmonella!$B$6)/GraphSalmonella!$B$5</f>
        <v>0.10617730565679051</v>
      </c>
      <c r="N4" s="1" t="s">
        <v>319</v>
      </c>
      <c r="O4">
        <v>2000</v>
      </c>
      <c r="S4" s="10">
        <f>GraphSalmonella!$B$57*Salmonella!I4+GraphSalmonella!$B$58</f>
        <v>0.26103782561461397</v>
      </c>
      <c r="T4" s="10">
        <f>GraphSalmonella!$E$57*Salmonella!I4+GraphSalmonella!$E$58</f>
        <v>3.0633821738294182</v>
      </c>
      <c r="U4" s="10">
        <f>GraphSalmonella!$H$57*Salmonella!I4+GraphSalmonella!$H$58</f>
        <v>0.10707903455297352</v>
      </c>
      <c r="X4" s="10">
        <f>GraphSalmonella!$B$80*Salmonella!I4+GraphSalmonella!$B$81</f>
        <v>0.10872318511347956</v>
      </c>
      <c r="Y4" s="10">
        <f>GraphSalmonella!$E$80*Salmonella!I4+GraphSalmonella!$E$81</f>
        <v>0.11494803142073629</v>
      </c>
      <c r="Z4" s="10">
        <f>GraphSalmonella!$H$80*Salmonella!I4+GraphSalmonella!$H$81</f>
        <v>-0.25828548182938516</v>
      </c>
    </row>
    <row r="5" spans="1:26" x14ac:dyDescent="0.2">
      <c r="A5" s="1" t="s">
        <v>66</v>
      </c>
      <c r="B5" s="1" t="s">
        <v>342</v>
      </c>
      <c r="D5" t="s">
        <v>42</v>
      </c>
      <c r="E5" s="1" t="s">
        <v>1240</v>
      </c>
      <c r="F5" s="1" t="s">
        <v>1274</v>
      </c>
      <c r="G5" s="9"/>
      <c r="I5" s="4">
        <v>63</v>
      </c>
      <c r="J5" s="11">
        <v>3.7999999999999999E-2</v>
      </c>
      <c r="L5" s="12">
        <f t="shared" si="0"/>
        <v>-1.4202164033831899</v>
      </c>
      <c r="M5" s="11">
        <f>GraphSalmonella!$B$10-(Salmonella!I5-GraphSalmonella!$B$6)/GraphSalmonella!$B$5</f>
        <v>-5.8869332195888968E-2</v>
      </c>
      <c r="N5" s="1" t="s">
        <v>319</v>
      </c>
      <c r="O5">
        <v>2000</v>
      </c>
      <c r="S5" s="10">
        <f>GraphSalmonella!$B$57*Salmonella!I5+GraphSalmonella!$B$58</f>
        <v>0.1713524190225808</v>
      </c>
      <c r="T5" s="10">
        <f>GraphSalmonella!$E$57*Salmonella!I5+GraphSalmonella!$E$58</f>
        <v>2.9897403910558187</v>
      </c>
      <c r="U5" s="10">
        <f>GraphSalmonella!$H$57*Salmonella!I5+GraphSalmonella!$H$58</f>
        <v>-5.7930449906682391E-2</v>
      </c>
      <c r="X5" s="10">
        <f>GraphSalmonella!$B$80*Salmonella!I5+GraphSalmonella!$B$81</f>
        <v>-5.6403384443980187E-2</v>
      </c>
      <c r="Y5" s="10">
        <f>GraphSalmonella!$E$80*Salmonella!I5+GraphSalmonella!$E$81</f>
        <v>-5.2495943889084629E-2</v>
      </c>
      <c r="Z5" s="10">
        <f>GraphSalmonella!$H$80*Salmonella!I5+GraphSalmonella!$H$81</f>
        <v>-0.45205827668545329</v>
      </c>
    </row>
    <row r="6" spans="1:26" x14ac:dyDescent="0.2">
      <c r="A6" s="1" t="s">
        <v>66</v>
      </c>
      <c r="B6" s="1" t="s">
        <v>341</v>
      </c>
      <c r="D6" t="s">
        <v>42</v>
      </c>
      <c r="E6" s="1" t="s">
        <v>1240</v>
      </c>
      <c r="F6" s="1" t="s">
        <v>1274</v>
      </c>
      <c r="G6" s="9"/>
      <c r="I6" s="4">
        <v>60</v>
      </c>
      <c r="J6" s="11">
        <v>6.8000000000000005E-2</v>
      </c>
      <c r="L6" s="12">
        <f t="shared" si="0"/>
        <v>-1.1674910872937636</v>
      </c>
      <c r="M6" s="11">
        <f>GraphSalmonella!$B$10-(Salmonella!I6-GraphSalmonella!$B$6)/GraphSalmonella!$B$5</f>
        <v>0.2712239435094701</v>
      </c>
      <c r="N6" s="1" t="s">
        <v>319</v>
      </c>
      <c r="O6">
        <v>2000</v>
      </c>
      <c r="S6" s="10">
        <f>GraphSalmonella!$B$57*Salmonella!I6+GraphSalmonella!$B$58</f>
        <v>0.35072323220664714</v>
      </c>
      <c r="T6" s="10">
        <f>GraphSalmonella!$E$57*Salmonella!I6+GraphSalmonella!$E$58</f>
        <v>3.1370239566030182</v>
      </c>
      <c r="U6" s="10">
        <f>GraphSalmonella!$H$57*Salmonella!I6+GraphSalmonella!$H$58</f>
        <v>0.27208851901262943</v>
      </c>
      <c r="X6" s="10">
        <f>GraphSalmonella!$B$80*Salmonella!I6+GraphSalmonella!$B$81</f>
        <v>0.2738497546709393</v>
      </c>
      <c r="Y6" s="10">
        <f>GraphSalmonella!$E$80*Salmonella!I6+GraphSalmonella!$E$81</f>
        <v>0.2823920067305572</v>
      </c>
      <c r="Z6" s="10">
        <f>GraphSalmonella!$H$80*Salmonella!I6+GraphSalmonella!$H$81</f>
        <v>-6.4512686973317024E-2</v>
      </c>
    </row>
    <row r="7" spans="1:26" x14ac:dyDescent="0.2">
      <c r="A7" s="1" t="s">
        <v>66</v>
      </c>
      <c r="B7" s="1" t="s">
        <v>341</v>
      </c>
      <c r="D7" t="s">
        <v>42</v>
      </c>
      <c r="E7" s="1" t="s">
        <v>1240</v>
      </c>
      <c r="F7" s="1" t="s">
        <v>1274</v>
      </c>
      <c r="G7" s="9"/>
      <c r="I7" s="4">
        <v>61.5</v>
      </c>
      <c r="J7" s="11">
        <v>5.3999999999999999E-2</v>
      </c>
      <c r="L7" s="12">
        <f t="shared" si="0"/>
        <v>-1.2676062401770316</v>
      </c>
      <c r="M7" s="11">
        <f>GraphSalmonella!$B$10-(Salmonella!I7-GraphSalmonella!$B$6)/GraphSalmonella!$B$5</f>
        <v>0.10617730565679051</v>
      </c>
      <c r="N7" s="1" t="s">
        <v>319</v>
      </c>
      <c r="O7">
        <v>2000</v>
      </c>
      <c r="S7" s="10">
        <f>GraphSalmonella!$B$57*Salmonella!I7+GraphSalmonella!$B$58</f>
        <v>0.26103782561461397</v>
      </c>
      <c r="T7" s="10">
        <f>GraphSalmonella!$E$57*Salmonella!I7+GraphSalmonella!$E$58</f>
        <v>3.0633821738294182</v>
      </c>
      <c r="U7" s="10">
        <f>GraphSalmonella!$H$57*Salmonella!I7+GraphSalmonella!$H$58</f>
        <v>0.10707903455297352</v>
      </c>
      <c r="X7" s="10">
        <f>GraphSalmonella!$B$80*Salmonella!I7+GraphSalmonella!$B$81</f>
        <v>0.10872318511347956</v>
      </c>
      <c r="Y7" s="10">
        <f>GraphSalmonella!$E$80*Salmonella!I7+GraphSalmonella!$E$81</f>
        <v>0.11494803142073629</v>
      </c>
      <c r="Z7" s="10">
        <f>GraphSalmonella!$H$80*Salmonella!I7+GraphSalmonella!$H$81</f>
        <v>-0.25828548182938516</v>
      </c>
    </row>
    <row r="8" spans="1:26" x14ac:dyDescent="0.2">
      <c r="A8" s="1" t="s">
        <v>66</v>
      </c>
      <c r="B8" s="1" t="s">
        <v>341</v>
      </c>
      <c r="D8" t="s">
        <v>42</v>
      </c>
      <c r="E8" s="1" t="s">
        <v>1240</v>
      </c>
      <c r="F8" s="1" t="s">
        <v>1274</v>
      </c>
      <c r="G8" s="9"/>
      <c r="I8" s="4">
        <v>63</v>
      </c>
      <c r="J8" s="11">
        <v>4.9000000000000002E-2</v>
      </c>
      <c r="L8" s="12">
        <f t="shared" si="0"/>
        <v>-1.3098039199714864</v>
      </c>
      <c r="M8" s="11">
        <f>GraphSalmonella!$B$10-(Salmonella!I8-GraphSalmonella!$B$6)/GraphSalmonella!$B$5</f>
        <v>-5.8869332195888968E-2</v>
      </c>
      <c r="N8" s="1" t="s">
        <v>319</v>
      </c>
      <c r="O8">
        <v>2000</v>
      </c>
      <c r="S8" s="10">
        <f>GraphSalmonella!$B$57*Salmonella!I8+GraphSalmonella!$B$58</f>
        <v>0.1713524190225808</v>
      </c>
      <c r="T8" s="10">
        <f>GraphSalmonella!$E$57*Salmonella!I8+GraphSalmonella!$E$58</f>
        <v>2.9897403910558187</v>
      </c>
      <c r="U8" s="10">
        <f>GraphSalmonella!$H$57*Salmonella!I8+GraphSalmonella!$H$58</f>
        <v>-5.7930449906682391E-2</v>
      </c>
      <c r="X8" s="10">
        <f>GraphSalmonella!$B$80*Salmonella!I8+GraphSalmonella!$B$81</f>
        <v>-5.6403384443980187E-2</v>
      </c>
      <c r="Y8" s="10">
        <f>GraphSalmonella!$E$80*Salmonella!I8+GraphSalmonella!$E$81</f>
        <v>-5.2495943889084629E-2</v>
      </c>
      <c r="Z8" s="10">
        <f>GraphSalmonella!$H$80*Salmonella!I8+GraphSalmonella!$H$81</f>
        <v>-0.45205827668545329</v>
      </c>
    </row>
    <row r="9" spans="1:26" x14ac:dyDescent="0.2">
      <c r="A9" s="1" t="s">
        <v>66</v>
      </c>
      <c r="B9" s="1" t="s">
        <v>341</v>
      </c>
      <c r="D9" t="s">
        <v>42</v>
      </c>
      <c r="E9" s="1" t="s">
        <v>1240</v>
      </c>
      <c r="F9" s="1" t="s">
        <v>1274</v>
      </c>
      <c r="G9" s="9"/>
      <c r="I9" s="4">
        <v>64.5</v>
      </c>
      <c r="J9" s="11">
        <v>3.4000000000000002E-2</v>
      </c>
      <c r="L9" s="12">
        <f t="shared" si="0"/>
        <v>-1.4685210829577449</v>
      </c>
      <c r="M9" s="11">
        <f>GraphSalmonella!$B$10-(Salmonella!I9-GraphSalmonella!$B$6)/GraphSalmonella!$B$5</f>
        <v>-0.22391597004856845</v>
      </c>
      <c r="N9" s="1" t="s">
        <v>319</v>
      </c>
      <c r="O9">
        <v>2000</v>
      </c>
      <c r="S9" s="10">
        <f>GraphSalmonella!$B$57*Salmonella!I9+GraphSalmonella!$B$58</f>
        <v>8.1667012430547636E-2</v>
      </c>
      <c r="T9" s="10">
        <f>GraphSalmonella!$E$57*Salmonella!I9+GraphSalmonella!$E$58</f>
        <v>2.9160986082822187</v>
      </c>
      <c r="U9" s="10">
        <f>GraphSalmonella!$H$57*Salmonella!I9+GraphSalmonella!$H$58</f>
        <v>-0.22293993436633919</v>
      </c>
      <c r="X9" s="10">
        <f>GraphSalmonella!$B$80*Salmonella!I9+GraphSalmonella!$B$81</f>
        <v>-0.22152995400143993</v>
      </c>
      <c r="Y9" s="10">
        <f>GraphSalmonella!$E$80*Salmonella!I9+GraphSalmonella!$E$81</f>
        <v>-0.21993991919890554</v>
      </c>
      <c r="Z9" s="10">
        <f>GraphSalmonella!$H$80*Salmonella!I9+GraphSalmonella!$H$81</f>
        <v>-0.64583107154151964</v>
      </c>
    </row>
    <row r="10" spans="1:26" x14ac:dyDescent="0.2">
      <c r="A10" s="1" t="s">
        <v>66</v>
      </c>
      <c r="B10" s="1" t="s">
        <v>67</v>
      </c>
      <c r="C10" t="s">
        <v>312</v>
      </c>
      <c r="D10" t="s">
        <v>42</v>
      </c>
      <c r="E10" s="1" t="s">
        <v>1240</v>
      </c>
      <c r="F10" s="1" t="s">
        <v>1274</v>
      </c>
      <c r="G10" s="9"/>
      <c r="I10" s="4">
        <v>60</v>
      </c>
      <c r="J10" s="11">
        <v>0.122</v>
      </c>
      <c r="L10" s="12">
        <f t="shared" si="0"/>
        <v>-0.91364016932525183</v>
      </c>
      <c r="M10" s="11">
        <f>GraphSalmonella!$B$10-(Salmonella!I10-GraphSalmonella!$B$6)/GraphSalmonella!$B$5</f>
        <v>0.2712239435094701</v>
      </c>
      <c r="N10" s="1" t="s">
        <v>319</v>
      </c>
      <c r="O10">
        <v>2000</v>
      </c>
      <c r="S10" s="10">
        <f>GraphSalmonella!$B$57*Salmonella!I10+GraphSalmonella!$B$58</f>
        <v>0.35072323220664714</v>
      </c>
      <c r="T10" s="10">
        <f>GraphSalmonella!$E$57*Salmonella!I10+GraphSalmonella!$E$58</f>
        <v>3.1370239566030182</v>
      </c>
      <c r="U10" s="10">
        <f>GraphSalmonella!$H$57*Salmonella!I10+GraphSalmonella!$H$58</f>
        <v>0.27208851901262943</v>
      </c>
      <c r="X10" s="10">
        <f>GraphSalmonella!$B$80*Salmonella!I10+GraphSalmonella!$B$81</f>
        <v>0.2738497546709393</v>
      </c>
      <c r="Y10" s="10">
        <f>GraphSalmonella!$E$80*Salmonella!I10+GraphSalmonella!$E$81</f>
        <v>0.2823920067305572</v>
      </c>
      <c r="Z10" s="10">
        <f>GraphSalmonella!$H$80*Salmonella!I10+GraphSalmonella!$H$81</f>
        <v>-6.4512686973317024E-2</v>
      </c>
    </row>
    <row r="11" spans="1:26" x14ac:dyDescent="0.2">
      <c r="A11" s="1" t="s">
        <v>66</v>
      </c>
      <c r="B11" s="1" t="s">
        <v>67</v>
      </c>
      <c r="C11" t="s">
        <v>312</v>
      </c>
      <c r="D11" t="s">
        <v>42</v>
      </c>
      <c r="E11" s="1" t="s">
        <v>1240</v>
      </c>
      <c r="F11" s="1" t="s">
        <v>1274</v>
      </c>
      <c r="G11" s="9"/>
      <c r="I11" s="4">
        <v>61.5</v>
      </c>
      <c r="J11" s="11">
        <v>0.107</v>
      </c>
      <c r="L11" s="12">
        <f t="shared" si="0"/>
        <v>-0.97061622231479039</v>
      </c>
      <c r="M11" s="11">
        <f>GraphSalmonella!$B$10-(Salmonella!I11-GraphSalmonella!$B$6)/GraphSalmonella!$B$5</f>
        <v>0.10617730565679051</v>
      </c>
      <c r="N11" s="1" t="s">
        <v>319</v>
      </c>
      <c r="O11">
        <v>2000</v>
      </c>
      <c r="S11" s="10">
        <f>GraphSalmonella!$B$57*Salmonella!I11+GraphSalmonella!$B$58</f>
        <v>0.26103782561461397</v>
      </c>
      <c r="T11" s="10">
        <f>GraphSalmonella!$E$57*Salmonella!I11+GraphSalmonella!$E$58</f>
        <v>3.0633821738294182</v>
      </c>
      <c r="U11" s="10">
        <f>GraphSalmonella!$H$57*Salmonella!I11+GraphSalmonella!$H$58</f>
        <v>0.10707903455297352</v>
      </c>
      <c r="X11" s="10">
        <f>GraphSalmonella!$B$80*Salmonella!I11+GraphSalmonella!$B$81</f>
        <v>0.10872318511347956</v>
      </c>
      <c r="Y11" s="10">
        <f>GraphSalmonella!$E$80*Salmonella!I11+GraphSalmonella!$E$81</f>
        <v>0.11494803142073629</v>
      </c>
      <c r="Z11" s="10">
        <f>GraphSalmonella!$H$80*Salmonella!I11+GraphSalmonella!$H$81</f>
        <v>-0.25828548182938516</v>
      </c>
    </row>
    <row r="12" spans="1:26" x14ac:dyDescent="0.2">
      <c r="A12" s="1" t="s">
        <v>66</v>
      </c>
      <c r="B12" s="1" t="s">
        <v>67</v>
      </c>
      <c r="C12" t="s">
        <v>312</v>
      </c>
      <c r="D12" t="s">
        <v>42</v>
      </c>
      <c r="E12" s="1" t="s">
        <v>1240</v>
      </c>
      <c r="F12" s="1" t="s">
        <v>1274</v>
      </c>
      <c r="G12" s="9"/>
      <c r="I12" s="4">
        <v>63</v>
      </c>
      <c r="J12" s="11">
        <v>6.7000000000000004E-2</v>
      </c>
      <c r="L12" s="12">
        <f t="shared" si="0"/>
        <v>-1.1739251972991736</v>
      </c>
      <c r="M12" s="11">
        <f>GraphSalmonella!$B$10-(Salmonella!I12-GraphSalmonella!$B$6)/GraphSalmonella!$B$5</f>
        <v>-5.8869332195888968E-2</v>
      </c>
      <c r="N12" s="1" t="s">
        <v>319</v>
      </c>
      <c r="O12">
        <v>2000</v>
      </c>
      <c r="S12" s="10">
        <f>GraphSalmonella!$B$57*Salmonella!I12+GraphSalmonella!$B$58</f>
        <v>0.1713524190225808</v>
      </c>
      <c r="T12" s="10">
        <f>GraphSalmonella!$E$57*Salmonella!I12+GraphSalmonella!$E$58</f>
        <v>2.9897403910558187</v>
      </c>
      <c r="U12" s="10">
        <f>GraphSalmonella!$H$57*Salmonella!I12+GraphSalmonella!$H$58</f>
        <v>-5.7930449906682391E-2</v>
      </c>
      <c r="X12" s="10">
        <f>GraphSalmonella!$B$80*Salmonella!I12+GraphSalmonella!$B$81</f>
        <v>-5.6403384443980187E-2</v>
      </c>
      <c r="Y12" s="10">
        <f>GraphSalmonella!$E$80*Salmonella!I12+GraphSalmonella!$E$81</f>
        <v>-5.2495943889084629E-2</v>
      </c>
      <c r="Z12" s="10">
        <f>GraphSalmonella!$H$80*Salmonella!I12+GraphSalmonella!$H$81</f>
        <v>-0.45205827668545329</v>
      </c>
    </row>
    <row r="13" spans="1:26" x14ac:dyDescent="0.2">
      <c r="A13" s="1" t="s">
        <v>66</v>
      </c>
      <c r="B13" s="1" t="s">
        <v>67</v>
      </c>
      <c r="C13" t="s">
        <v>312</v>
      </c>
      <c r="D13" t="s">
        <v>42</v>
      </c>
      <c r="E13" s="1" t="s">
        <v>1240</v>
      </c>
      <c r="F13" s="1" t="s">
        <v>1274</v>
      </c>
      <c r="G13" s="9"/>
      <c r="I13" s="4">
        <v>64.5</v>
      </c>
      <c r="J13" s="11">
        <v>6.7000000000000004E-2</v>
      </c>
      <c r="L13" s="12">
        <f t="shared" si="0"/>
        <v>-1.1739251972991736</v>
      </c>
      <c r="M13" s="11">
        <f>GraphSalmonella!$B$10-(Salmonella!I13-GraphSalmonella!$B$6)/GraphSalmonella!$B$5</f>
        <v>-0.22391597004856845</v>
      </c>
      <c r="N13" s="1" t="s">
        <v>319</v>
      </c>
      <c r="O13">
        <v>2000</v>
      </c>
      <c r="S13" s="10">
        <f>GraphSalmonella!$B$57*Salmonella!I13+GraphSalmonella!$B$58</f>
        <v>8.1667012430547636E-2</v>
      </c>
      <c r="T13" s="10">
        <f>GraphSalmonella!$E$57*Salmonella!I13+GraphSalmonella!$E$58</f>
        <v>2.9160986082822187</v>
      </c>
      <c r="U13" s="10">
        <f>GraphSalmonella!$H$57*Salmonella!I13+GraphSalmonella!$H$58</f>
        <v>-0.22293993436633919</v>
      </c>
      <c r="X13" s="10">
        <f>GraphSalmonella!$B$80*Salmonella!I13+GraphSalmonella!$B$81</f>
        <v>-0.22152995400143993</v>
      </c>
      <c r="Y13" s="10">
        <f>GraphSalmonella!$E$80*Salmonella!I13+GraphSalmonella!$E$81</f>
        <v>-0.21993991919890554</v>
      </c>
      <c r="Z13" s="10">
        <f>GraphSalmonella!$H$80*Salmonella!I13+GraphSalmonella!$H$81</f>
        <v>-0.64583107154151964</v>
      </c>
    </row>
    <row r="14" spans="1:26" x14ac:dyDescent="0.2">
      <c r="A14" s="1" t="s">
        <v>66</v>
      </c>
      <c r="B14" s="1" t="s">
        <v>67</v>
      </c>
      <c r="C14" t="s">
        <v>312</v>
      </c>
      <c r="D14" t="s">
        <v>42</v>
      </c>
      <c r="E14" s="1" t="s">
        <v>1240</v>
      </c>
      <c r="F14" s="1" t="s">
        <v>1274</v>
      </c>
      <c r="G14" s="9"/>
      <c r="I14" s="4">
        <v>67.5</v>
      </c>
      <c r="J14" s="11">
        <v>4.5999999999999999E-2</v>
      </c>
      <c r="L14" s="12">
        <f t="shared" si="0"/>
        <v>-1.3372421683184259</v>
      </c>
      <c r="M14" s="11">
        <f>GraphSalmonella!$B$10-(Salmonella!I14-GraphSalmonella!$B$6)/GraphSalmonella!$B$5</f>
        <v>-0.55400924575392752</v>
      </c>
      <c r="N14" s="1" t="s">
        <v>319</v>
      </c>
      <c r="O14">
        <v>2000</v>
      </c>
      <c r="S14" s="10">
        <f>GraphSalmonella!$B$57*Salmonella!I14+GraphSalmonella!$B$58</f>
        <v>-9.7703800753518699E-2</v>
      </c>
      <c r="T14" s="10">
        <f>GraphSalmonella!$E$57*Salmonella!I14+GraphSalmonella!$E$58</f>
        <v>2.7688150427350187</v>
      </c>
      <c r="U14" s="10">
        <f>GraphSalmonella!$H$57*Salmonella!I14+GraphSalmonella!$H$58</f>
        <v>-0.552958903285651</v>
      </c>
      <c r="X14" s="10">
        <f>GraphSalmonella!$B$80*Salmonella!I14+GraphSalmonella!$B$81</f>
        <v>-0.55178309311635854</v>
      </c>
      <c r="Y14" s="10">
        <f>GraphSalmonella!$E$80*Salmonella!I14+GraphSalmonella!$E$81</f>
        <v>-0.55482786981854737</v>
      </c>
      <c r="Z14" s="10">
        <f>GraphSalmonella!$H$80*Salmonella!I14+GraphSalmonella!$H$81</f>
        <v>-1.0333766612536559</v>
      </c>
    </row>
    <row r="15" spans="1:26" x14ac:dyDescent="0.2">
      <c r="A15" s="1" t="s">
        <v>66</v>
      </c>
      <c r="B15" s="1" t="s">
        <v>70</v>
      </c>
      <c r="D15" t="s">
        <v>42</v>
      </c>
      <c r="E15" s="1" t="s">
        <v>1240</v>
      </c>
      <c r="F15" s="1" t="s">
        <v>1274</v>
      </c>
      <c r="G15" s="9"/>
      <c r="I15" s="4">
        <v>51.8</v>
      </c>
      <c r="J15" s="11">
        <v>21.1</v>
      </c>
      <c r="K15" s="4">
        <v>5.3</v>
      </c>
      <c r="L15" s="12">
        <f t="shared" si="0"/>
        <v>1.3242824552976926</v>
      </c>
      <c r="M15" s="11">
        <f>GraphSalmonella!$B$10-(Salmonella!I15-GraphSalmonella!$B$6)/GraphSalmonella!$B$5</f>
        <v>1.1734788971041183</v>
      </c>
      <c r="N15" s="1" t="s">
        <v>319</v>
      </c>
      <c r="O15">
        <v>2000</v>
      </c>
      <c r="S15" s="10">
        <f>GraphSalmonella!$B$57*Salmonella!I15+GraphSalmonella!$B$58</f>
        <v>0.84100345490976203</v>
      </c>
      <c r="T15" s="10">
        <f>GraphSalmonella!$E$57*Salmonella!I15+GraphSalmonella!$E$58</f>
        <v>3.5395990357653648</v>
      </c>
      <c r="U15" s="10">
        <f>GraphSalmonella!$H$57*Salmonella!I15+GraphSalmonella!$H$58</f>
        <v>1.1741403673920834</v>
      </c>
      <c r="X15" s="10">
        <f>GraphSalmonella!$B$80*Salmonella!I15+GraphSalmonella!$B$81</f>
        <v>1.1765416682517182</v>
      </c>
      <c r="Y15" s="10">
        <f>GraphSalmonella!$E$80*Salmonella!I15+GraphSalmonella!$E$81</f>
        <v>1.1977524050909123</v>
      </c>
      <c r="Z15" s="10">
        <f>GraphSalmonella!$H$80*Salmonella!I15+GraphSalmonella!$H$81</f>
        <v>0.99477859157318616</v>
      </c>
    </row>
    <row r="16" spans="1:26" x14ac:dyDescent="0.2">
      <c r="A16" s="1" t="s">
        <v>66</v>
      </c>
      <c r="B16" s="1" t="s">
        <v>70</v>
      </c>
      <c r="D16" t="s">
        <v>42</v>
      </c>
      <c r="E16" s="1" t="s">
        <v>1240</v>
      </c>
      <c r="F16" s="1" t="s">
        <v>1274</v>
      </c>
      <c r="G16" s="9"/>
      <c r="I16" s="4">
        <v>57.2</v>
      </c>
      <c r="J16" s="11">
        <v>1.7</v>
      </c>
      <c r="K16" s="4">
        <v>5.3</v>
      </c>
      <c r="L16" s="12">
        <f t="shared" si="0"/>
        <v>0.23044892137827391</v>
      </c>
      <c r="M16" s="11">
        <f>GraphSalmonella!$B$10-(Salmonella!I16-GraphSalmonella!$B$6)/GraphSalmonella!$B$5</f>
        <v>0.57931100083447151</v>
      </c>
      <c r="N16" s="1" t="s">
        <v>319</v>
      </c>
      <c r="O16">
        <v>2000</v>
      </c>
      <c r="S16" s="10">
        <f>GraphSalmonella!$B$57*Salmonella!I16+GraphSalmonella!$B$58</f>
        <v>0.51813599117844245</v>
      </c>
      <c r="T16" s="10">
        <f>GraphSalmonella!$E$57*Salmonella!I16+GraphSalmonella!$E$58</f>
        <v>3.2744886177804045</v>
      </c>
      <c r="U16" s="10">
        <f>GraphSalmonella!$H$57*Salmonella!I16+GraphSalmonella!$H$58</f>
        <v>0.58010622333732087</v>
      </c>
      <c r="X16" s="10">
        <f>GraphSalmonella!$B$80*Salmonella!I16+GraphSalmonella!$B$81</f>
        <v>0.58208601784486369</v>
      </c>
      <c r="Y16" s="10">
        <f>GraphSalmonella!$E$80*Salmonella!I16+GraphSalmonella!$E$81</f>
        <v>0.59495409397555665</v>
      </c>
      <c r="Z16" s="10">
        <f>GraphSalmonella!$H$80*Salmonella!I16+GraphSalmonella!$H$81</f>
        <v>0.29719653009134195</v>
      </c>
    </row>
    <row r="17" spans="1:26" x14ac:dyDescent="0.2">
      <c r="A17" s="1" t="s">
        <v>66</v>
      </c>
      <c r="B17" s="1" t="s">
        <v>70</v>
      </c>
      <c r="D17" t="s">
        <v>42</v>
      </c>
      <c r="E17" s="1" t="s">
        <v>1240</v>
      </c>
      <c r="F17" s="1" t="s">
        <v>1274</v>
      </c>
      <c r="G17" s="9"/>
      <c r="I17" s="4">
        <v>62.8</v>
      </c>
      <c r="J17" s="11">
        <v>0.11</v>
      </c>
      <c r="K17" s="4">
        <v>5.3</v>
      </c>
      <c r="L17" s="12">
        <f t="shared" si="0"/>
        <v>-0.95860731484177497</v>
      </c>
      <c r="M17" s="11">
        <f>GraphSalmonella!$B$10-(Salmonella!I17-GraphSalmonella!$B$6)/GraphSalmonella!$B$5</f>
        <v>-3.6863113815531423E-2</v>
      </c>
      <c r="N17" s="1" t="s">
        <v>319</v>
      </c>
      <c r="O17">
        <v>2000</v>
      </c>
      <c r="S17" s="10">
        <f>GraphSalmonella!$B$57*Salmonella!I17+GraphSalmonella!$B$58</f>
        <v>0.18331047323485183</v>
      </c>
      <c r="T17" s="10">
        <f>GraphSalmonella!$E$57*Salmonella!I17+GraphSalmonella!$E$58</f>
        <v>2.999559295425632</v>
      </c>
      <c r="U17" s="10">
        <f>GraphSalmonella!$H$57*Salmonella!I17+GraphSalmonella!$H$58</f>
        <v>-3.5929185312062017E-2</v>
      </c>
      <c r="X17" s="10">
        <f>GraphSalmonella!$B$80*Salmonella!I17+GraphSalmonella!$B$81</f>
        <v>-3.438650850298508E-2</v>
      </c>
      <c r="Y17" s="10">
        <f>GraphSalmonella!$E$80*Salmonella!I17+GraphSalmonella!$E$81</f>
        <v>-3.0170080514441366E-2</v>
      </c>
      <c r="Z17" s="10">
        <f>GraphSalmonella!$H$80*Salmonella!I17+GraphSalmonella!$H$81</f>
        <v>-0.426221904037976</v>
      </c>
    </row>
    <row r="18" spans="1:26" x14ac:dyDescent="0.2">
      <c r="A18" s="1" t="s">
        <v>66</v>
      </c>
      <c r="B18" s="1" t="s">
        <v>70</v>
      </c>
      <c r="D18" t="s">
        <v>42</v>
      </c>
      <c r="E18" s="1" t="s">
        <v>1240</v>
      </c>
      <c r="F18" s="1" t="s">
        <v>1274</v>
      </c>
      <c r="G18" s="9"/>
      <c r="I18" s="4">
        <v>68.3</v>
      </c>
      <c r="J18" s="11">
        <v>1.4999999999999999E-2</v>
      </c>
      <c r="K18" s="4">
        <v>5.3</v>
      </c>
      <c r="L18" s="12">
        <f t="shared" si="0"/>
        <v>-1.8239087409443189</v>
      </c>
      <c r="M18" s="11">
        <f>GraphSalmonella!$B$10-(Salmonella!I18-GraphSalmonella!$B$6)/GraphSalmonella!$B$5</f>
        <v>-0.64203411927535625</v>
      </c>
      <c r="N18" s="1" t="s">
        <v>319</v>
      </c>
      <c r="O18">
        <v>2000</v>
      </c>
      <c r="S18" s="10">
        <f>GraphSalmonella!$B$57*Salmonella!I18+GraphSalmonella!$B$58</f>
        <v>-0.14553601760260282</v>
      </c>
      <c r="T18" s="10">
        <f>GraphSalmonella!$E$57*Salmonella!I18+GraphSalmonella!$E$58</f>
        <v>2.7295394252557657</v>
      </c>
      <c r="U18" s="10">
        <f>GraphSalmonella!$H$57*Salmonella!I18+GraphSalmonella!$H$58</f>
        <v>-0.64096396166413427</v>
      </c>
      <c r="X18" s="10">
        <f>GraphSalmonella!$B$80*Salmonella!I18+GraphSalmonella!$B$81</f>
        <v>-0.63985059688033719</v>
      </c>
      <c r="Y18" s="10">
        <f>GraphSalmonella!$E$80*Salmonella!I18+GraphSalmonella!$E$81</f>
        <v>-0.64413132331711775</v>
      </c>
      <c r="Z18" s="10">
        <f>GraphSalmonella!$H$80*Salmonella!I18+GraphSalmonella!$H$81</f>
        <v>-1.136722151843558</v>
      </c>
    </row>
    <row r="19" spans="1:26" x14ac:dyDescent="0.2">
      <c r="A19" s="1" t="s">
        <v>66</v>
      </c>
      <c r="B19" s="1" t="s">
        <v>340</v>
      </c>
      <c r="D19" t="s">
        <v>42</v>
      </c>
      <c r="E19" s="1" t="s">
        <v>1240</v>
      </c>
      <c r="F19" s="1" t="s">
        <v>1274</v>
      </c>
      <c r="G19" s="9"/>
      <c r="I19" s="4">
        <v>60</v>
      </c>
      <c r="J19" s="11">
        <v>5.8000000000000003E-2</v>
      </c>
      <c r="L19" s="12">
        <f t="shared" si="0"/>
        <v>-1.2365720064370627</v>
      </c>
      <c r="M19" s="11">
        <f>GraphSalmonella!$B$10-(Salmonella!I19-GraphSalmonella!$B$6)/GraphSalmonella!$B$5</f>
        <v>0.2712239435094701</v>
      </c>
      <c r="N19" s="1" t="s">
        <v>319</v>
      </c>
      <c r="O19">
        <v>2000</v>
      </c>
      <c r="S19" s="10">
        <f>GraphSalmonella!$B$57*Salmonella!I19+GraphSalmonella!$B$58</f>
        <v>0.35072323220664714</v>
      </c>
      <c r="T19" s="10">
        <f>GraphSalmonella!$E$57*Salmonella!I19+GraphSalmonella!$E$58</f>
        <v>3.1370239566030182</v>
      </c>
      <c r="U19" s="10">
        <f>GraphSalmonella!$H$57*Salmonella!I19+GraphSalmonella!$H$58</f>
        <v>0.27208851901262943</v>
      </c>
      <c r="X19" s="10">
        <f>GraphSalmonella!$B$80*Salmonella!I19+GraphSalmonella!$B$81</f>
        <v>0.2738497546709393</v>
      </c>
      <c r="Y19" s="10">
        <f>GraphSalmonella!$E$80*Salmonella!I19+GraphSalmonella!$E$81</f>
        <v>0.2823920067305572</v>
      </c>
      <c r="Z19" s="10">
        <f>GraphSalmonella!$H$80*Salmonella!I19+GraphSalmonella!$H$81</f>
        <v>-6.4512686973317024E-2</v>
      </c>
    </row>
    <row r="20" spans="1:26" x14ac:dyDescent="0.2">
      <c r="A20" s="1" t="s">
        <v>66</v>
      </c>
      <c r="B20" s="1" t="s">
        <v>340</v>
      </c>
      <c r="D20" t="s">
        <v>42</v>
      </c>
      <c r="E20" s="1" t="s">
        <v>1240</v>
      </c>
      <c r="F20" s="1" t="s">
        <v>1274</v>
      </c>
      <c r="G20" s="9"/>
      <c r="I20" s="4">
        <v>60</v>
      </c>
      <c r="J20" s="11">
        <v>9.8000000000000004E-2</v>
      </c>
      <c r="L20" s="12">
        <f t="shared" si="0"/>
        <v>-1.0087739243075051</v>
      </c>
      <c r="M20" s="11">
        <f>GraphSalmonella!$B$10-(Salmonella!I20-GraphSalmonella!$B$6)/GraphSalmonella!$B$5</f>
        <v>0.2712239435094701</v>
      </c>
      <c r="N20" s="1" t="s">
        <v>319</v>
      </c>
      <c r="O20">
        <v>2000</v>
      </c>
      <c r="S20" s="10">
        <f>GraphSalmonella!$B$57*Salmonella!I20+GraphSalmonella!$B$58</f>
        <v>0.35072323220664714</v>
      </c>
      <c r="T20" s="10">
        <f>GraphSalmonella!$E$57*Salmonella!I20+GraphSalmonella!$E$58</f>
        <v>3.1370239566030182</v>
      </c>
      <c r="U20" s="10">
        <f>GraphSalmonella!$H$57*Salmonella!I20+GraphSalmonella!$H$58</f>
        <v>0.27208851901262943</v>
      </c>
      <c r="X20" s="10">
        <f>GraphSalmonella!$B$80*Salmonella!I20+GraphSalmonella!$B$81</f>
        <v>0.2738497546709393</v>
      </c>
      <c r="Y20" s="10">
        <f>GraphSalmonella!$E$80*Salmonella!I20+GraphSalmonella!$E$81</f>
        <v>0.2823920067305572</v>
      </c>
      <c r="Z20" s="10">
        <f>GraphSalmonella!$H$80*Salmonella!I20+GraphSalmonella!$H$81</f>
        <v>-6.4512686973317024E-2</v>
      </c>
    </row>
    <row r="21" spans="1:26" x14ac:dyDescent="0.2">
      <c r="A21" s="1" t="s">
        <v>66</v>
      </c>
      <c r="B21" s="1" t="s">
        <v>340</v>
      </c>
      <c r="D21" t="s">
        <v>42</v>
      </c>
      <c r="E21" s="1" t="s">
        <v>1240</v>
      </c>
      <c r="F21" s="1" t="s">
        <v>1274</v>
      </c>
      <c r="G21" s="9"/>
      <c r="I21" s="4">
        <v>61.5</v>
      </c>
      <c r="J21" s="11">
        <v>4.5999999999999999E-2</v>
      </c>
      <c r="L21" s="12">
        <f t="shared" si="0"/>
        <v>-1.3372421683184259</v>
      </c>
      <c r="M21" s="11">
        <f>GraphSalmonella!$B$10-(Salmonella!I21-GraphSalmonella!$B$6)/GraphSalmonella!$B$5</f>
        <v>0.10617730565679051</v>
      </c>
      <c r="N21" s="1" t="s">
        <v>319</v>
      </c>
      <c r="O21">
        <v>2000</v>
      </c>
      <c r="S21" s="10">
        <f>GraphSalmonella!$B$57*Salmonella!I21+GraphSalmonella!$B$58</f>
        <v>0.26103782561461397</v>
      </c>
      <c r="T21" s="10">
        <f>GraphSalmonella!$E$57*Salmonella!I21+GraphSalmonella!$E$58</f>
        <v>3.0633821738294182</v>
      </c>
      <c r="U21" s="10">
        <f>GraphSalmonella!$H$57*Salmonella!I21+GraphSalmonella!$H$58</f>
        <v>0.10707903455297352</v>
      </c>
      <c r="X21" s="10">
        <f>GraphSalmonella!$B$80*Salmonella!I21+GraphSalmonella!$B$81</f>
        <v>0.10872318511347956</v>
      </c>
      <c r="Y21" s="10">
        <f>GraphSalmonella!$E$80*Salmonella!I21+GraphSalmonella!$E$81</f>
        <v>0.11494803142073629</v>
      </c>
      <c r="Z21" s="10">
        <f>GraphSalmonella!$H$80*Salmonella!I21+GraphSalmonella!$H$81</f>
        <v>-0.25828548182938516</v>
      </c>
    </row>
    <row r="22" spans="1:26" x14ac:dyDescent="0.2">
      <c r="A22" s="1" t="s">
        <v>66</v>
      </c>
      <c r="B22" s="1" t="s">
        <v>340</v>
      </c>
      <c r="D22" t="s">
        <v>42</v>
      </c>
      <c r="E22" s="1" t="s">
        <v>1240</v>
      </c>
      <c r="F22" s="1" t="s">
        <v>1274</v>
      </c>
      <c r="G22" s="9"/>
      <c r="I22" s="4">
        <v>61.5</v>
      </c>
      <c r="J22" s="11">
        <v>5.8999999999999997E-2</v>
      </c>
      <c r="L22" s="12">
        <f t="shared" si="0"/>
        <v>-1.2291479883578558</v>
      </c>
      <c r="M22" s="11">
        <f>GraphSalmonella!$B$10-(Salmonella!I22-GraphSalmonella!$B$6)/GraphSalmonella!$B$5</f>
        <v>0.10617730565679051</v>
      </c>
      <c r="N22" s="1" t="s">
        <v>319</v>
      </c>
      <c r="O22">
        <v>2000</v>
      </c>
      <c r="S22" s="10">
        <f>GraphSalmonella!$B$57*Salmonella!I22+GraphSalmonella!$B$58</f>
        <v>0.26103782561461397</v>
      </c>
      <c r="T22" s="10">
        <f>GraphSalmonella!$E$57*Salmonella!I22+GraphSalmonella!$E$58</f>
        <v>3.0633821738294182</v>
      </c>
      <c r="U22" s="10">
        <f>GraphSalmonella!$H$57*Salmonella!I22+GraphSalmonella!$H$58</f>
        <v>0.10707903455297352</v>
      </c>
      <c r="X22" s="10">
        <f>GraphSalmonella!$B$80*Salmonella!I22+GraphSalmonella!$B$81</f>
        <v>0.10872318511347956</v>
      </c>
      <c r="Y22" s="10">
        <f>GraphSalmonella!$E$80*Salmonella!I22+GraphSalmonella!$E$81</f>
        <v>0.11494803142073629</v>
      </c>
      <c r="Z22" s="10">
        <f>GraphSalmonella!$H$80*Salmonella!I22+GraphSalmonella!$H$81</f>
        <v>-0.25828548182938516</v>
      </c>
    </row>
    <row r="23" spans="1:26" x14ac:dyDescent="0.2">
      <c r="A23" s="1" t="s">
        <v>66</v>
      </c>
      <c r="B23" s="1" t="s">
        <v>70</v>
      </c>
      <c r="D23" t="s">
        <v>42</v>
      </c>
      <c r="E23" s="1" t="s">
        <v>1240</v>
      </c>
      <c r="F23" s="1" t="s">
        <v>339</v>
      </c>
      <c r="G23" s="9"/>
      <c r="I23" s="4">
        <v>51.8</v>
      </c>
      <c r="J23" s="11">
        <v>24</v>
      </c>
      <c r="K23" s="4">
        <v>5.3</v>
      </c>
      <c r="L23" s="12">
        <f t="shared" si="0"/>
        <v>1.3802112417116059</v>
      </c>
      <c r="M23" s="11">
        <f>GraphSalmonella!$B$10-(Salmonella!I23-GraphSalmonella!$B$6)/GraphSalmonella!$B$5</f>
        <v>1.1734788971041183</v>
      </c>
      <c r="N23" s="1" t="s">
        <v>319</v>
      </c>
      <c r="O23">
        <v>2000</v>
      </c>
      <c r="S23" s="10">
        <f>GraphSalmonella!$B$57*Salmonella!I23+GraphSalmonella!$B$58</f>
        <v>0.84100345490976203</v>
      </c>
      <c r="T23" s="10">
        <f>GraphSalmonella!$E$57*Salmonella!I23+GraphSalmonella!$E$58</f>
        <v>3.5395990357653648</v>
      </c>
      <c r="U23" s="10">
        <f>GraphSalmonella!$H$57*Salmonella!I23+GraphSalmonella!$H$58</f>
        <v>1.1741403673920834</v>
      </c>
      <c r="X23" s="10">
        <f>GraphSalmonella!$B$80*Salmonella!I23+GraphSalmonella!$B$81</f>
        <v>1.1765416682517182</v>
      </c>
      <c r="Y23" s="10">
        <f>GraphSalmonella!$E$80*Salmonella!I23+GraphSalmonella!$E$81</f>
        <v>1.1977524050909123</v>
      </c>
      <c r="Z23" s="10">
        <f>GraphSalmonella!$H$80*Salmonella!I23+GraphSalmonella!$H$81</f>
        <v>0.99477859157318616</v>
      </c>
    </row>
    <row r="24" spans="1:26" x14ac:dyDescent="0.2">
      <c r="A24" s="1" t="s">
        <v>66</v>
      </c>
      <c r="B24" s="1" t="s">
        <v>70</v>
      </c>
      <c r="D24" t="s">
        <v>42</v>
      </c>
      <c r="E24" s="1" t="s">
        <v>1240</v>
      </c>
      <c r="F24" s="1" t="s">
        <v>339</v>
      </c>
      <c r="G24" s="9"/>
      <c r="I24" s="4">
        <v>71.7</v>
      </c>
      <c r="J24" s="11">
        <v>4.0000000000000001E-3</v>
      </c>
      <c r="K24" s="4">
        <v>5.3</v>
      </c>
      <c r="L24" s="12">
        <f t="shared" si="0"/>
        <v>-2.3979400086720375</v>
      </c>
      <c r="M24" s="11">
        <f>GraphSalmonella!$B$10-(Salmonella!I24-GraphSalmonella!$B$6)/GraphSalmonella!$B$5</f>
        <v>-1.0161398317414305</v>
      </c>
      <c r="N24" s="1" t="s">
        <v>319</v>
      </c>
      <c r="O24">
        <v>2000</v>
      </c>
      <c r="S24" s="10">
        <f>GraphSalmonella!$B$57*Salmonella!I24+GraphSalmonella!$B$58</f>
        <v>-0.3488229392112121</v>
      </c>
      <c r="T24" s="10">
        <f>GraphSalmonella!$E$57*Salmonella!I24+GraphSalmonella!$E$58</f>
        <v>2.5626180509689389</v>
      </c>
      <c r="U24" s="10">
        <f>GraphSalmonella!$H$57*Salmonella!I24+GraphSalmonella!$H$58</f>
        <v>-1.0149854597726886</v>
      </c>
      <c r="X24" s="10">
        <f>GraphSalmonella!$B$80*Salmonella!I24+GraphSalmonella!$B$81</f>
        <v>-1.014137487877246</v>
      </c>
      <c r="Y24" s="10">
        <f>GraphSalmonella!$E$80*Salmonella!I24+GraphSalmonella!$E$81</f>
        <v>-1.023671000686047</v>
      </c>
      <c r="Z24" s="10">
        <f>GraphSalmonella!$H$80*Salmonella!I24+GraphSalmonella!$H$81</f>
        <v>-1.5759404868506453</v>
      </c>
    </row>
    <row r="25" spans="1:26" x14ac:dyDescent="0.2">
      <c r="A25" s="1" t="s">
        <v>66</v>
      </c>
      <c r="B25" s="1" t="s">
        <v>67</v>
      </c>
      <c r="C25" t="s">
        <v>312</v>
      </c>
      <c r="D25" t="s">
        <v>42</v>
      </c>
      <c r="E25" s="1" t="s">
        <v>1240</v>
      </c>
      <c r="F25" t="s">
        <v>532</v>
      </c>
      <c r="I25" s="4">
        <v>63</v>
      </c>
      <c r="J25" s="11">
        <v>0.41</v>
      </c>
      <c r="L25" s="12">
        <f t="shared" si="0"/>
        <v>-0.38721614328026455</v>
      </c>
      <c r="M25" s="11">
        <f>GraphSalmonella!$B$10-(Salmonella!I25-GraphSalmonella!$B$6)/GraphSalmonella!$B$5</f>
        <v>-5.8869332195888968E-2</v>
      </c>
      <c r="N25" s="1" t="s">
        <v>543</v>
      </c>
      <c r="O25">
        <v>2001</v>
      </c>
      <c r="S25" s="10">
        <f>GraphSalmonella!$B$57*Salmonella!I25+GraphSalmonella!$B$58</f>
        <v>0.1713524190225808</v>
      </c>
      <c r="T25" s="10">
        <f>GraphSalmonella!$E$57*Salmonella!I25+GraphSalmonella!$E$58</f>
        <v>2.9897403910558187</v>
      </c>
      <c r="U25" s="10">
        <f>GraphSalmonella!$H$57*Salmonella!I25+GraphSalmonella!$H$58</f>
        <v>-5.7930449906682391E-2</v>
      </c>
      <c r="X25" s="10">
        <f>GraphSalmonella!$B$80*Salmonella!I25+GraphSalmonella!$B$81</f>
        <v>-5.6403384443980187E-2</v>
      </c>
      <c r="Y25" s="10">
        <f>GraphSalmonella!$E$80*Salmonella!I25+GraphSalmonella!$E$81</f>
        <v>-5.2495943889084629E-2</v>
      </c>
      <c r="Z25" s="10">
        <f>GraphSalmonella!$H$80*Salmonella!I25+GraphSalmonella!$H$81</f>
        <v>-0.45205827668545329</v>
      </c>
    </row>
    <row r="26" spans="1:26" x14ac:dyDescent="0.2">
      <c r="A26" s="1" t="s">
        <v>66</v>
      </c>
      <c r="B26" s="1" t="s">
        <v>67</v>
      </c>
      <c r="C26" t="s">
        <v>312</v>
      </c>
      <c r="D26" t="s">
        <v>42</v>
      </c>
      <c r="E26" s="1" t="s">
        <v>1240</v>
      </c>
      <c r="F26" t="s">
        <v>532</v>
      </c>
      <c r="I26" s="4">
        <v>63</v>
      </c>
      <c r="J26" s="11">
        <v>1.1000000000000001</v>
      </c>
      <c r="L26" s="12">
        <f t="shared" si="0"/>
        <v>4.1392685158225077E-2</v>
      </c>
      <c r="M26" s="11">
        <f>GraphSalmonella!$B$10-(Salmonella!I26-GraphSalmonella!$B$6)/GraphSalmonella!$B$5</f>
        <v>-5.8869332195888968E-2</v>
      </c>
      <c r="N26" s="1" t="s">
        <v>543</v>
      </c>
      <c r="O26">
        <v>2001</v>
      </c>
      <c r="P26" t="s">
        <v>539</v>
      </c>
      <c r="S26" s="10">
        <f>GraphSalmonella!$B$57*Salmonella!I26+GraphSalmonella!$B$58</f>
        <v>0.1713524190225808</v>
      </c>
      <c r="T26" s="10">
        <f>GraphSalmonella!$E$57*Salmonella!I26+GraphSalmonella!$E$58</f>
        <v>2.9897403910558187</v>
      </c>
      <c r="U26" s="10">
        <f>GraphSalmonella!$H$57*Salmonella!I26+GraphSalmonella!$H$58</f>
        <v>-5.7930449906682391E-2</v>
      </c>
      <c r="X26" s="10">
        <f>GraphSalmonella!$B$80*Salmonella!I26+GraphSalmonella!$B$81</f>
        <v>-5.6403384443980187E-2</v>
      </c>
      <c r="Y26" s="10">
        <f>GraphSalmonella!$E$80*Salmonella!I26+GraphSalmonella!$E$81</f>
        <v>-5.2495943889084629E-2</v>
      </c>
      <c r="Z26" s="10">
        <f>GraphSalmonella!$H$80*Salmonella!I26+GraphSalmonella!$H$81</f>
        <v>-0.45205827668545329</v>
      </c>
    </row>
    <row r="27" spans="1:26" x14ac:dyDescent="0.2">
      <c r="A27" s="1" t="s">
        <v>66</v>
      </c>
      <c r="B27" s="1" t="s">
        <v>67</v>
      </c>
      <c r="C27" t="s">
        <v>312</v>
      </c>
      <c r="D27" t="s">
        <v>42</v>
      </c>
      <c r="E27" s="1" t="s">
        <v>1240</v>
      </c>
      <c r="F27" t="s">
        <v>532</v>
      </c>
      <c r="I27" s="4">
        <v>63</v>
      </c>
      <c r="J27" s="11">
        <v>0.56999999999999995</v>
      </c>
      <c r="L27" s="12">
        <f t="shared" si="0"/>
        <v>-0.24412514432750865</v>
      </c>
      <c r="M27" s="11">
        <f>GraphSalmonella!$B$10-(Salmonella!I27-GraphSalmonella!$B$6)/GraphSalmonella!$B$5</f>
        <v>-5.8869332195888968E-2</v>
      </c>
      <c r="N27" s="1" t="s">
        <v>543</v>
      </c>
      <c r="O27">
        <v>2001</v>
      </c>
      <c r="P27" t="s">
        <v>540</v>
      </c>
      <c r="S27" s="10">
        <f>GraphSalmonella!$B$57*Salmonella!I27+GraphSalmonella!$B$58</f>
        <v>0.1713524190225808</v>
      </c>
      <c r="T27" s="10">
        <f>GraphSalmonella!$E$57*Salmonella!I27+GraphSalmonella!$E$58</f>
        <v>2.9897403910558187</v>
      </c>
      <c r="U27" s="10">
        <f>GraphSalmonella!$H$57*Salmonella!I27+GraphSalmonella!$H$58</f>
        <v>-5.7930449906682391E-2</v>
      </c>
      <c r="X27" s="10">
        <f>GraphSalmonella!$B$80*Salmonella!I27+GraphSalmonella!$B$81</f>
        <v>-5.6403384443980187E-2</v>
      </c>
      <c r="Y27" s="10">
        <f>GraphSalmonella!$E$80*Salmonella!I27+GraphSalmonella!$E$81</f>
        <v>-5.2495943889084629E-2</v>
      </c>
      <c r="Z27" s="10">
        <f>GraphSalmonella!$H$80*Salmonella!I27+GraphSalmonella!$H$81</f>
        <v>-0.45205827668545329</v>
      </c>
    </row>
    <row r="28" spans="1:26" x14ac:dyDescent="0.2">
      <c r="A28" s="1" t="s">
        <v>66</v>
      </c>
      <c r="B28" s="1" t="s">
        <v>67</v>
      </c>
      <c r="C28" t="s">
        <v>312</v>
      </c>
      <c r="D28" t="s">
        <v>42</v>
      </c>
      <c r="E28" s="1" t="s">
        <v>1240</v>
      </c>
      <c r="F28" t="s">
        <v>534</v>
      </c>
      <c r="I28" s="4">
        <v>63</v>
      </c>
      <c r="J28" s="11">
        <v>0.39</v>
      </c>
      <c r="L28" s="12">
        <f t="shared" si="0"/>
        <v>-0.40893539297350079</v>
      </c>
      <c r="M28" s="11">
        <f>GraphSalmonella!$B$10-(Salmonella!I28-GraphSalmonella!$B$6)/GraphSalmonella!$B$5</f>
        <v>-5.8869332195888968E-2</v>
      </c>
      <c r="N28" s="1" t="s">
        <v>543</v>
      </c>
      <c r="O28">
        <v>2001</v>
      </c>
      <c r="S28" s="10">
        <f>GraphSalmonella!$B$57*Salmonella!I28+GraphSalmonella!$B$58</f>
        <v>0.1713524190225808</v>
      </c>
      <c r="T28" s="10">
        <f>GraphSalmonella!$E$57*Salmonella!I28+GraphSalmonella!$E$58</f>
        <v>2.9897403910558187</v>
      </c>
      <c r="U28" s="10">
        <f>GraphSalmonella!$H$57*Salmonella!I28+GraphSalmonella!$H$58</f>
        <v>-5.7930449906682391E-2</v>
      </c>
      <c r="X28" s="10">
        <f>GraphSalmonella!$B$80*Salmonella!I28+GraphSalmonella!$B$81</f>
        <v>-5.6403384443980187E-2</v>
      </c>
      <c r="Y28" s="10">
        <f>GraphSalmonella!$E$80*Salmonella!I28+GraphSalmonella!$E$81</f>
        <v>-5.2495943889084629E-2</v>
      </c>
      <c r="Z28" s="10">
        <f>GraphSalmonella!$H$80*Salmonella!I28+GraphSalmonella!$H$81</f>
        <v>-0.45205827668545329</v>
      </c>
    </row>
    <row r="29" spans="1:26" x14ac:dyDescent="0.2">
      <c r="A29" s="1" t="s">
        <v>66</v>
      </c>
      <c r="B29" s="1" t="s">
        <v>67</v>
      </c>
      <c r="C29" t="s">
        <v>312</v>
      </c>
      <c r="D29" t="s">
        <v>42</v>
      </c>
      <c r="E29" s="1" t="s">
        <v>1240</v>
      </c>
      <c r="F29" t="s">
        <v>538</v>
      </c>
      <c r="I29" s="4">
        <v>63</v>
      </c>
      <c r="J29" s="11">
        <v>0.45</v>
      </c>
      <c r="L29" s="12">
        <f t="shared" si="0"/>
        <v>-0.34678748622465633</v>
      </c>
      <c r="M29" s="11">
        <f>GraphSalmonella!$B$10-(Salmonella!I29-GraphSalmonella!$B$6)/GraphSalmonella!$B$5</f>
        <v>-5.8869332195888968E-2</v>
      </c>
      <c r="N29" s="1" t="s">
        <v>543</v>
      </c>
      <c r="O29">
        <v>2001</v>
      </c>
      <c r="S29" s="10">
        <f>GraphSalmonella!$B$57*Salmonella!I29+GraphSalmonella!$B$58</f>
        <v>0.1713524190225808</v>
      </c>
      <c r="T29" s="10">
        <f>GraphSalmonella!$E$57*Salmonella!I29+GraphSalmonella!$E$58</f>
        <v>2.9897403910558187</v>
      </c>
      <c r="U29" s="10">
        <f>GraphSalmonella!$H$57*Salmonella!I29+GraphSalmonella!$H$58</f>
        <v>-5.7930449906682391E-2</v>
      </c>
      <c r="X29" s="10">
        <f>GraphSalmonella!$B$80*Salmonella!I29+GraphSalmonella!$B$81</f>
        <v>-5.6403384443980187E-2</v>
      </c>
      <c r="Y29" s="10">
        <f>GraphSalmonella!$E$80*Salmonella!I29+GraphSalmonella!$E$81</f>
        <v>-5.2495943889084629E-2</v>
      </c>
      <c r="Z29" s="10">
        <f>GraphSalmonella!$H$80*Salmonella!I29+GraphSalmonella!$H$81</f>
        <v>-0.45205827668545329</v>
      </c>
    </row>
    <row r="30" spans="1:26" x14ac:dyDescent="0.2">
      <c r="A30" s="1" t="s">
        <v>66</v>
      </c>
      <c r="B30" s="1" t="s">
        <v>67</v>
      </c>
      <c r="C30" t="s">
        <v>312</v>
      </c>
      <c r="D30" t="s">
        <v>42</v>
      </c>
      <c r="E30" s="1" t="s">
        <v>1240</v>
      </c>
      <c r="F30" t="s">
        <v>533</v>
      </c>
      <c r="I30" s="4">
        <v>63</v>
      </c>
      <c r="J30" s="11">
        <v>0.47</v>
      </c>
      <c r="L30" s="12">
        <f t="shared" si="0"/>
        <v>-0.32790214206428259</v>
      </c>
      <c r="M30" s="11">
        <f>GraphSalmonella!$B$10-(Salmonella!I30-GraphSalmonella!$B$6)/GraphSalmonella!$B$5</f>
        <v>-5.8869332195888968E-2</v>
      </c>
      <c r="N30" s="1" t="s">
        <v>543</v>
      </c>
      <c r="O30">
        <v>2001</v>
      </c>
      <c r="P30" t="s">
        <v>539</v>
      </c>
      <c r="S30" s="10">
        <f>GraphSalmonella!$B$57*Salmonella!I30+GraphSalmonella!$B$58</f>
        <v>0.1713524190225808</v>
      </c>
      <c r="T30" s="10">
        <f>GraphSalmonella!$E$57*Salmonella!I30+GraphSalmonella!$E$58</f>
        <v>2.9897403910558187</v>
      </c>
      <c r="U30" s="10">
        <f>GraphSalmonella!$H$57*Salmonella!I30+GraphSalmonella!$H$58</f>
        <v>-5.7930449906682391E-2</v>
      </c>
      <c r="X30" s="10">
        <f>GraphSalmonella!$B$80*Salmonella!I30+GraphSalmonella!$B$81</f>
        <v>-5.6403384443980187E-2</v>
      </c>
      <c r="Y30" s="10">
        <f>GraphSalmonella!$E$80*Salmonella!I30+GraphSalmonella!$E$81</f>
        <v>-5.2495943889084629E-2</v>
      </c>
      <c r="Z30" s="10">
        <f>GraphSalmonella!$H$80*Salmonella!I30+GraphSalmonella!$H$81</f>
        <v>-0.45205827668545329</v>
      </c>
    </row>
    <row r="31" spans="1:26" x14ac:dyDescent="0.2">
      <c r="A31" s="1" t="s">
        <v>66</v>
      </c>
      <c r="B31" s="1" t="s">
        <v>67</v>
      </c>
      <c r="C31" t="s">
        <v>312</v>
      </c>
      <c r="D31" t="s">
        <v>42</v>
      </c>
      <c r="E31" s="1" t="s">
        <v>1240</v>
      </c>
      <c r="F31" t="s">
        <v>533</v>
      </c>
      <c r="I31" s="4">
        <v>63</v>
      </c>
      <c r="J31" s="11">
        <v>0.37</v>
      </c>
      <c r="L31" s="12">
        <f t="shared" si="0"/>
        <v>-0.43179827593300502</v>
      </c>
      <c r="M31" s="11">
        <f>GraphSalmonella!$B$10-(Salmonella!I31-GraphSalmonella!$B$6)/GraphSalmonella!$B$5</f>
        <v>-5.8869332195888968E-2</v>
      </c>
      <c r="N31" s="1" t="s">
        <v>543</v>
      </c>
      <c r="O31">
        <v>2001</v>
      </c>
      <c r="S31" s="10">
        <f>GraphSalmonella!$B$57*Salmonella!I31+GraphSalmonella!$B$58</f>
        <v>0.1713524190225808</v>
      </c>
      <c r="T31" s="10">
        <f>GraphSalmonella!$E$57*Salmonella!I31+GraphSalmonella!$E$58</f>
        <v>2.9897403910558187</v>
      </c>
      <c r="U31" s="10">
        <f>GraphSalmonella!$H$57*Salmonella!I31+GraphSalmonella!$H$58</f>
        <v>-5.7930449906682391E-2</v>
      </c>
      <c r="X31" s="10">
        <f>GraphSalmonella!$B$80*Salmonella!I31+GraphSalmonella!$B$81</f>
        <v>-5.6403384443980187E-2</v>
      </c>
      <c r="Y31" s="10">
        <f>GraphSalmonella!$E$80*Salmonella!I31+GraphSalmonella!$E$81</f>
        <v>-5.2495943889084629E-2</v>
      </c>
      <c r="Z31" s="10">
        <f>GraphSalmonella!$H$80*Salmonella!I31+GraphSalmonella!$H$81</f>
        <v>-0.45205827668545329</v>
      </c>
    </row>
    <row r="32" spans="1:26" x14ac:dyDescent="0.2">
      <c r="A32" s="1" t="s">
        <v>66</v>
      </c>
      <c r="B32" s="1" t="s">
        <v>67</v>
      </c>
      <c r="C32" t="s">
        <v>71</v>
      </c>
      <c r="D32" t="s">
        <v>42</v>
      </c>
      <c r="E32" s="1" t="s">
        <v>1240</v>
      </c>
      <c r="F32" s="1" t="s">
        <v>1261</v>
      </c>
      <c r="G32" s="9"/>
      <c r="I32" s="4">
        <v>65.5</v>
      </c>
      <c r="J32" s="11">
        <v>1.327</v>
      </c>
      <c r="L32" s="12">
        <f t="shared" si="0"/>
        <v>0.1228709228644355</v>
      </c>
      <c r="M32" s="11">
        <f>GraphSalmonella!$B$10-(Salmonella!I32-GraphSalmonella!$B$6)/GraphSalmonella!$B$5</f>
        <v>-0.33394706195035484</v>
      </c>
      <c r="N32" s="2" t="s">
        <v>121</v>
      </c>
      <c r="O32">
        <v>1966</v>
      </c>
      <c r="S32" s="10">
        <f>GraphSalmonella!$B$57*Salmonella!I32+GraphSalmonella!$B$58</f>
        <v>2.1876741369192043E-2</v>
      </c>
      <c r="T32" s="10">
        <f>GraphSalmonella!$E$57*Salmonella!I32+GraphSalmonella!$E$58</f>
        <v>2.8670040864331519</v>
      </c>
      <c r="U32" s="10">
        <f>GraphSalmonella!$H$57*Salmonella!I32+GraphSalmonella!$H$58</f>
        <v>-0.33294625733944283</v>
      </c>
      <c r="X32" s="10">
        <f>GraphSalmonella!$B$80*Salmonella!I32+GraphSalmonella!$B$81</f>
        <v>-0.3316143337064128</v>
      </c>
      <c r="Y32" s="10">
        <f>GraphSalmonella!$E$80*Salmonella!I32+GraphSalmonella!$E$81</f>
        <v>-0.33156923607211919</v>
      </c>
      <c r="Z32" s="10">
        <f>GraphSalmonella!$H$80*Salmonella!I32+GraphSalmonella!$H$81</f>
        <v>-0.77501293477889899</v>
      </c>
    </row>
    <row r="33" spans="1:26" x14ac:dyDescent="0.2">
      <c r="A33" s="1" t="s">
        <v>66</v>
      </c>
      <c r="B33" s="1" t="s">
        <v>67</v>
      </c>
      <c r="C33" t="s">
        <v>72</v>
      </c>
      <c r="D33" t="s">
        <v>42</v>
      </c>
      <c r="E33" s="1" t="s">
        <v>1240</v>
      </c>
      <c r="F33" s="1" t="s">
        <v>1261</v>
      </c>
      <c r="G33" s="9"/>
      <c r="I33" s="4">
        <v>65.5</v>
      </c>
      <c r="J33" s="11">
        <v>0.66200000000000003</v>
      </c>
      <c r="L33" s="12">
        <f t="shared" si="0"/>
        <v>-0.17914201056030005</v>
      </c>
      <c r="M33" s="11">
        <f>GraphSalmonella!$B$10-(Salmonella!I33-GraphSalmonella!$B$6)/GraphSalmonella!$B$5</f>
        <v>-0.33394706195035484</v>
      </c>
      <c r="N33" s="2" t="s">
        <v>121</v>
      </c>
      <c r="O33">
        <v>1966</v>
      </c>
      <c r="S33" s="10">
        <f>GraphSalmonella!$B$57*Salmonella!I33+GraphSalmonella!$B$58</f>
        <v>2.1876741369192043E-2</v>
      </c>
      <c r="T33" s="10">
        <f>GraphSalmonella!$E$57*Salmonella!I33+GraphSalmonella!$E$58</f>
        <v>2.8670040864331519</v>
      </c>
      <c r="U33" s="10">
        <f>GraphSalmonella!$H$57*Salmonella!I33+GraphSalmonella!$H$58</f>
        <v>-0.33294625733944283</v>
      </c>
      <c r="X33" s="10">
        <f>GraphSalmonella!$B$80*Salmonella!I33+GraphSalmonella!$B$81</f>
        <v>-0.3316143337064128</v>
      </c>
      <c r="Y33" s="10">
        <f>GraphSalmonella!$E$80*Salmonella!I33+GraphSalmonella!$E$81</f>
        <v>-0.33156923607211919</v>
      </c>
      <c r="Z33" s="10">
        <f>GraphSalmonella!$H$80*Salmonella!I33+GraphSalmonella!$H$81</f>
        <v>-0.77501293477889899</v>
      </c>
    </row>
    <row r="34" spans="1:26" x14ac:dyDescent="0.2">
      <c r="A34" s="1" t="s">
        <v>66</v>
      </c>
      <c r="B34" s="1" t="s">
        <v>67</v>
      </c>
      <c r="C34" t="s">
        <v>312</v>
      </c>
      <c r="D34" t="s">
        <v>42</v>
      </c>
      <c r="E34" s="1" t="s">
        <v>1240</v>
      </c>
      <c r="F34" t="s">
        <v>535</v>
      </c>
      <c r="I34" s="4">
        <v>63</v>
      </c>
      <c r="J34" s="11">
        <v>1.1000000000000001</v>
      </c>
      <c r="L34" s="12">
        <f t="shared" ref="L34:L65" si="1">LOG(J34)</f>
        <v>4.1392685158225077E-2</v>
      </c>
      <c r="M34" s="11">
        <f>GraphSalmonella!$B$10-(Salmonella!I34-GraphSalmonella!$B$6)/GraphSalmonella!$B$5</f>
        <v>-5.8869332195888968E-2</v>
      </c>
      <c r="N34" s="1" t="s">
        <v>543</v>
      </c>
      <c r="O34">
        <v>2001</v>
      </c>
      <c r="S34" s="10">
        <f>GraphSalmonella!$B$57*Salmonella!I34+GraphSalmonella!$B$58</f>
        <v>0.1713524190225808</v>
      </c>
      <c r="T34" s="10">
        <f>GraphSalmonella!$E$57*Salmonella!I34+GraphSalmonella!$E$58</f>
        <v>2.9897403910558187</v>
      </c>
      <c r="U34" s="10">
        <f>GraphSalmonella!$H$57*Salmonella!I34+GraphSalmonella!$H$58</f>
        <v>-5.7930449906682391E-2</v>
      </c>
      <c r="X34" s="10">
        <f>GraphSalmonella!$B$80*Salmonella!I34+GraphSalmonella!$B$81</f>
        <v>-5.6403384443980187E-2</v>
      </c>
      <c r="Y34" s="10">
        <f>GraphSalmonella!$E$80*Salmonella!I34+GraphSalmonella!$E$81</f>
        <v>-5.2495943889084629E-2</v>
      </c>
      <c r="Z34" s="10">
        <f>GraphSalmonella!$H$80*Salmonella!I34+GraphSalmonella!$H$81</f>
        <v>-0.45205827668545329</v>
      </c>
    </row>
    <row r="35" spans="1:26" x14ac:dyDescent="0.2">
      <c r="A35" s="1" t="s">
        <v>66</v>
      </c>
      <c r="B35" s="1" t="s">
        <v>80</v>
      </c>
      <c r="D35" t="s">
        <v>42</v>
      </c>
      <c r="E35" s="1" t="s">
        <v>1240</v>
      </c>
      <c r="F35" t="s">
        <v>79</v>
      </c>
      <c r="I35" s="4">
        <v>62.8</v>
      </c>
      <c r="J35" s="11">
        <f>5.1/60</f>
        <v>8.4999999999999992E-2</v>
      </c>
      <c r="L35" s="12">
        <f t="shared" si="1"/>
        <v>-1.0705810742857074</v>
      </c>
      <c r="M35" s="11">
        <f>GraphSalmonella!$B$10-(Salmonella!I35-GraphSalmonella!$B$6)/GraphSalmonella!$B$5</f>
        <v>-3.6863113815531423E-2</v>
      </c>
      <c r="N35" s="2" t="s">
        <v>1226</v>
      </c>
      <c r="O35">
        <v>1996</v>
      </c>
      <c r="P35" t="s">
        <v>208</v>
      </c>
      <c r="S35" s="10">
        <f>GraphSalmonella!$B$57*Salmonella!I35+GraphSalmonella!$B$58</f>
        <v>0.18331047323485183</v>
      </c>
      <c r="T35" s="10">
        <f>GraphSalmonella!$E$57*Salmonella!I35+GraphSalmonella!$E$58</f>
        <v>2.999559295425632</v>
      </c>
      <c r="U35" s="10">
        <f>GraphSalmonella!$H$57*Salmonella!I35+GraphSalmonella!$H$58</f>
        <v>-3.5929185312062017E-2</v>
      </c>
      <c r="X35" s="10">
        <f>GraphSalmonella!$B$80*Salmonella!I35+GraphSalmonella!$B$81</f>
        <v>-3.438650850298508E-2</v>
      </c>
      <c r="Y35" s="10">
        <f>GraphSalmonella!$E$80*Salmonella!I35+GraphSalmonella!$E$81</f>
        <v>-3.0170080514441366E-2</v>
      </c>
      <c r="Z35" s="10">
        <f>GraphSalmonella!$H$80*Salmonella!I35+GraphSalmonella!$H$81</f>
        <v>-0.426221904037976</v>
      </c>
    </row>
    <row r="36" spans="1:26" x14ac:dyDescent="0.2">
      <c r="A36" s="1" t="s">
        <v>66</v>
      </c>
      <c r="B36" s="1" t="s">
        <v>80</v>
      </c>
      <c r="D36" t="s">
        <v>42</v>
      </c>
      <c r="E36" s="1" t="s">
        <v>1240</v>
      </c>
      <c r="F36" t="s">
        <v>79</v>
      </c>
      <c r="I36" s="4">
        <v>65.599999999999994</v>
      </c>
      <c r="J36" s="11">
        <f>1.4/60</f>
        <v>2.3333333333333331E-2</v>
      </c>
      <c r="L36" s="12">
        <f t="shared" si="1"/>
        <v>-1.6320232147054057</v>
      </c>
      <c r="M36" s="11">
        <f>GraphSalmonella!$B$10-(Salmonella!I36-GraphSalmonella!$B$6)/GraphSalmonella!$B$5</f>
        <v>-0.34495017114053284</v>
      </c>
      <c r="N36" s="2" t="s">
        <v>1226</v>
      </c>
      <c r="O36">
        <v>1996</v>
      </c>
      <c r="P36" t="s">
        <v>208</v>
      </c>
      <c r="S36" s="10">
        <f>GraphSalmonella!$B$57*Salmonella!I36+GraphSalmonella!$B$58</f>
        <v>1.5897714263056972E-2</v>
      </c>
      <c r="T36" s="10">
        <f>GraphSalmonella!$E$57*Salmonella!I36+GraphSalmonella!$E$58</f>
        <v>2.8620946342482454</v>
      </c>
      <c r="U36" s="10">
        <f>GraphSalmonella!$H$57*Salmonella!I36+GraphSalmonella!$H$58</f>
        <v>-0.34394688963675257</v>
      </c>
      <c r="X36" s="10">
        <f>GraphSalmonella!$B$80*Salmonella!I36+GraphSalmonella!$B$81</f>
        <v>-0.34262277167690947</v>
      </c>
      <c r="Y36" s="10">
        <f>GraphSalmonella!$E$80*Salmonella!I36+GraphSalmonella!$E$81</f>
        <v>-0.34273216775943993</v>
      </c>
      <c r="Z36" s="10">
        <f>GraphSalmonella!$H$80*Salmonella!I36+GraphSalmonella!$H$81</f>
        <v>-0.78793112110263497</v>
      </c>
    </row>
    <row r="37" spans="1:26" x14ac:dyDescent="0.2">
      <c r="A37" s="1" t="s">
        <v>66</v>
      </c>
      <c r="B37" s="1" t="s">
        <v>80</v>
      </c>
      <c r="D37" t="s">
        <v>42</v>
      </c>
      <c r="E37" s="1" t="s">
        <v>1240</v>
      </c>
      <c r="F37" t="s">
        <v>79</v>
      </c>
      <c r="I37" s="4">
        <v>68.3</v>
      </c>
      <c r="J37" s="11">
        <f>0.46/60</f>
        <v>7.6666666666666671E-3</v>
      </c>
      <c r="L37" s="12">
        <f t="shared" si="1"/>
        <v>-2.1153934187020695</v>
      </c>
      <c r="M37" s="11">
        <f>GraphSalmonella!$B$10-(Salmonella!I37-GraphSalmonella!$B$6)/GraphSalmonella!$B$5</f>
        <v>-0.64203411927535625</v>
      </c>
      <c r="N37" s="2" t="s">
        <v>1226</v>
      </c>
      <c r="O37">
        <v>1996</v>
      </c>
      <c r="P37" t="s">
        <v>208</v>
      </c>
      <c r="S37" s="10">
        <f>GraphSalmonella!$B$57*Salmonella!I37+GraphSalmonella!$B$58</f>
        <v>-0.14553601760260282</v>
      </c>
      <c r="T37" s="10">
        <f>GraphSalmonella!$E$57*Salmonella!I37+GraphSalmonella!$E$58</f>
        <v>2.7295394252557657</v>
      </c>
      <c r="U37" s="10">
        <f>GraphSalmonella!$H$57*Salmonella!I37+GraphSalmonella!$H$58</f>
        <v>-0.64096396166413427</v>
      </c>
      <c r="X37" s="10">
        <f>GraphSalmonella!$B$80*Salmonella!I37+GraphSalmonella!$B$81</f>
        <v>-0.63985059688033719</v>
      </c>
      <c r="Y37" s="10">
        <f>GraphSalmonella!$E$80*Salmonella!I37+GraphSalmonella!$E$81</f>
        <v>-0.64413132331711775</v>
      </c>
      <c r="Z37" s="10">
        <f>GraphSalmonella!$H$80*Salmonella!I37+GraphSalmonella!$H$81</f>
        <v>-1.136722151843558</v>
      </c>
    </row>
    <row r="38" spans="1:26" x14ac:dyDescent="0.2">
      <c r="A38" s="1" t="s">
        <v>66</v>
      </c>
      <c r="B38" s="1" t="s">
        <v>81</v>
      </c>
      <c r="D38" t="s">
        <v>42</v>
      </c>
      <c r="E38" s="1" t="s">
        <v>1240</v>
      </c>
      <c r="F38" t="s">
        <v>79</v>
      </c>
      <c r="I38" s="4">
        <v>62.8</v>
      </c>
      <c r="J38" s="11">
        <f>5/60</f>
        <v>8.3333333333333329E-2</v>
      </c>
      <c r="L38" s="12">
        <f t="shared" si="1"/>
        <v>-1.0791812460476249</v>
      </c>
      <c r="M38" s="11">
        <f>GraphSalmonella!$B$10-(Salmonella!I38-GraphSalmonella!$B$6)/GraphSalmonella!$B$5</f>
        <v>-3.6863113815531423E-2</v>
      </c>
      <c r="N38" s="2" t="s">
        <v>1226</v>
      </c>
      <c r="O38">
        <v>1996</v>
      </c>
      <c r="P38" t="s">
        <v>208</v>
      </c>
      <c r="S38" s="10">
        <f>GraphSalmonella!$B$57*Salmonella!I38+GraphSalmonella!$B$58</f>
        <v>0.18331047323485183</v>
      </c>
      <c r="T38" s="10">
        <f>GraphSalmonella!$E$57*Salmonella!I38+GraphSalmonella!$E$58</f>
        <v>2.999559295425632</v>
      </c>
      <c r="U38" s="10">
        <f>GraphSalmonella!$H$57*Salmonella!I38+GraphSalmonella!$H$58</f>
        <v>-3.5929185312062017E-2</v>
      </c>
      <c r="X38" s="10">
        <f>GraphSalmonella!$B$80*Salmonella!I38+GraphSalmonella!$B$81</f>
        <v>-3.438650850298508E-2</v>
      </c>
      <c r="Y38" s="10">
        <f>GraphSalmonella!$E$80*Salmonella!I38+GraphSalmonella!$E$81</f>
        <v>-3.0170080514441366E-2</v>
      </c>
      <c r="Z38" s="10">
        <f>GraphSalmonella!$H$80*Salmonella!I38+GraphSalmonella!$H$81</f>
        <v>-0.426221904037976</v>
      </c>
    </row>
    <row r="39" spans="1:26" x14ac:dyDescent="0.2">
      <c r="A39" s="1" t="s">
        <v>66</v>
      </c>
      <c r="B39" s="1" t="s">
        <v>81</v>
      </c>
      <c r="D39" t="s">
        <v>42</v>
      </c>
      <c r="E39" s="1" t="s">
        <v>1240</v>
      </c>
      <c r="F39" t="s">
        <v>79</v>
      </c>
      <c r="I39" s="4">
        <v>65.599999999999994</v>
      </c>
      <c r="J39" s="11">
        <f>1.5/60</f>
        <v>2.5000000000000001E-2</v>
      </c>
      <c r="L39" s="12">
        <f t="shared" si="1"/>
        <v>-1.6020599913279623</v>
      </c>
      <c r="M39" s="11">
        <f>GraphSalmonella!$B$10-(Salmonella!I39-GraphSalmonella!$B$6)/GraphSalmonella!$B$5</f>
        <v>-0.34495017114053284</v>
      </c>
      <c r="N39" s="2" t="s">
        <v>1226</v>
      </c>
      <c r="O39">
        <v>1996</v>
      </c>
      <c r="P39" t="s">
        <v>208</v>
      </c>
      <c r="S39" s="10">
        <f>GraphSalmonella!$B$57*Salmonella!I39+GraphSalmonella!$B$58</f>
        <v>1.5897714263056972E-2</v>
      </c>
      <c r="T39" s="10">
        <f>GraphSalmonella!$E$57*Salmonella!I39+GraphSalmonella!$E$58</f>
        <v>2.8620946342482454</v>
      </c>
      <c r="U39" s="10">
        <f>GraphSalmonella!$H$57*Salmonella!I39+GraphSalmonella!$H$58</f>
        <v>-0.34394688963675257</v>
      </c>
      <c r="X39" s="10">
        <f>GraphSalmonella!$B$80*Salmonella!I39+GraphSalmonella!$B$81</f>
        <v>-0.34262277167690947</v>
      </c>
      <c r="Y39" s="10">
        <f>GraphSalmonella!$E$80*Salmonella!I39+GraphSalmonella!$E$81</f>
        <v>-0.34273216775943993</v>
      </c>
      <c r="Z39" s="10">
        <f>GraphSalmonella!$H$80*Salmonella!I39+GraphSalmonella!$H$81</f>
        <v>-0.78793112110263497</v>
      </c>
    </row>
    <row r="40" spans="1:26" x14ac:dyDescent="0.2">
      <c r="A40" s="1" t="s">
        <v>66</v>
      </c>
      <c r="B40" s="1" t="s">
        <v>81</v>
      </c>
      <c r="D40" t="s">
        <v>42</v>
      </c>
      <c r="E40" s="1" t="s">
        <v>1240</v>
      </c>
      <c r="F40" t="s">
        <v>79</v>
      </c>
      <c r="I40" s="4">
        <v>68.3</v>
      </c>
      <c r="J40" s="11">
        <f>0.52/60</f>
        <v>8.6666666666666663E-3</v>
      </c>
      <c r="L40" s="12">
        <f t="shared" si="1"/>
        <v>-2.0621479067488444</v>
      </c>
      <c r="M40" s="11">
        <f>GraphSalmonella!$B$10-(Salmonella!I40-GraphSalmonella!$B$6)/GraphSalmonella!$B$5</f>
        <v>-0.64203411927535625</v>
      </c>
      <c r="N40" s="2" t="s">
        <v>1226</v>
      </c>
      <c r="O40">
        <v>1996</v>
      </c>
      <c r="P40" t="s">
        <v>208</v>
      </c>
      <c r="S40" s="10">
        <f>GraphSalmonella!$B$57*Salmonella!I40+GraphSalmonella!$B$58</f>
        <v>-0.14553601760260282</v>
      </c>
      <c r="T40" s="10">
        <f>GraphSalmonella!$E$57*Salmonella!I40+GraphSalmonella!$E$58</f>
        <v>2.7295394252557657</v>
      </c>
      <c r="U40" s="10">
        <f>GraphSalmonella!$H$57*Salmonella!I40+GraphSalmonella!$H$58</f>
        <v>-0.64096396166413427</v>
      </c>
      <c r="X40" s="10">
        <f>GraphSalmonella!$B$80*Salmonella!I40+GraphSalmonella!$B$81</f>
        <v>-0.63985059688033719</v>
      </c>
      <c r="Y40" s="10">
        <f>GraphSalmonella!$E$80*Salmonella!I40+GraphSalmonella!$E$81</f>
        <v>-0.64413132331711775</v>
      </c>
      <c r="Z40" s="10">
        <f>GraphSalmonella!$H$80*Salmonella!I40+GraphSalmonella!$H$81</f>
        <v>-1.136722151843558</v>
      </c>
    </row>
    <row r="41" spans="1:26" x14ac:dyDescent="0.2">
      <c r="A41" s="1" t="s">
        <v>66</v>
      </c>
      <c r="B41" s="1" t="s">
        <v>82</v>
      </c>
      <c r="D41" t="s">
        <v>42</v>
      </c>
      <c r="E41" s="1" t="s">
        <v>1240</v>
      </c>
      <c r="F41" t="s">
        <v>79</v>
      </c>
      <c r="I41" s="4">
        <v>62.8</v>
      </c>
      <c r="J41" s="11">
        <f>5.7/60</f>
        <v>9.5000000000000001E-2</v>
      </c>
      <c r="L41" s="12">
        <f t="shared" si="1"/>
        <v>-1.0222763947111522</v>
      </c>
      <c r="M41" s="11">
        <f>GraphSalmonella!$B$10-(Salmonella!I41-GraphSalmonella!$B$6)/GraphSalmonella!$B$5</f>
        <v>-3.6863113815531423E-2</v>
      </c>
      <c r="N41" s="2" t="s">
        <v>1226</v>
      </c>
      <c r="O41">
        <v>1996</v>
      </c>
      <c r="P41" t="s">
        <v>208</v>
      </c>
      <c r="S41" s="10">
        <f>GraphSalmonella!$B$57*Salmonella!I41+GraphSalmonella!$B$58</f>
        <v>0.18331047323485183</v>
      </c>
      <c r="T41" s="10">
        <f>GraphSalmonella!$E$57*Salmonella!I41+GraphSalmonella!$E$58</f>
        <v>2.999559295425632</v>
      </c>
      <c r="U41" s="10">
        <f>GraphSalmonella!$H$57*Salmonella!I41+GraphSalmonella!$H$58</f>
        <v>-3.5929185312062017E-2</v>
      </c>
      <c r="X41" s="10">
        <f>GraphSalmonella!$B$80*Salmonella!I41+GraphSalmonella!$B$81</f>
        <v>-3.438650850298508E-2</v>
      </c>
      <c r="Y41" s="10">
        <f>GraphSalmonella!$E$80*Salmonella!I41+GraphSalmonella!$E$81</f>
        <v>-3.0170080514441366E-2</v>
      </c>
      <c r="Z41" s="10">
        <f>GraphSalmonella!$H$80*Salmonella!I41+GraphSalmonella!$H$81</f>
        <v>-0.426221904037976</v>
      </c>
    </row>
    <row r="42" spans="1:26" x14ac:dyDescent="0.2">
      <c r="A42" s="1" t="s">
        <v>66</v>
      </c>
      <c r="B42" s="1" t="s">
        <v>82</v>
      </c>
      <c r="D42" t="s">
        <v>42</v>
      </c>
      <c r="E42" s="1" t="s">
        <v>1240</v>
      </c>
      <c r="F42" t="s">
        <v>79</v>
      </c>
      <c r="I42" s="4">
        <v>65.599999999999994</v>
      </c>
      <c r="J42" s="11">
        <f>1.8/60</f>
        <v>3.0000000000000002E-2</v>
      </c>
      <c r="L42" s="12">
        <f t="shared" si="1"/>
        <v>-1.5228787452803376</v>
      </c>
      <c r="M42" s="11">
        <f>GraphSalmonella!$B$10-(Salmonella!I42-GraphSalmonella!$B$6)/GraphSalmonella!$B$5</f>
        <v>-0.34495017114053284</v>
      </c>
      <c r="N42" s="2" t="s">
        <v>1226</v>
      </c>
      <c r="O42">
        <v>1996</v>
      </c>
      <c r="P42" t="s">
        <v>208</v>
      </c>
      <c r="S42" s="10">
        <f>GraphSalmonella!$B$57*Salmonella!I42+GraphSalmonella!$B$58</f>
        <v>1.5897714263056972E-2</v>
      </c>
      <c r="T42" s="10">
        <f>GraphSalmonella!$E$57*Salmonella!I42+GraphSalmonella!$E$58</f>
        <v>2.8620946342482454</v>
      </c>
      <c r="U42" s="10">
        <f>GraphSalmonella!$H$57*Salmonella!I42+GraphSalmonella!$H$58</f>
        <v>-0.34394688963675257</v>
      </c>
      <c r="X42" s="10">
        <f>GraphSalmonella!$B$80*Salmonella!I42+GraphSalmonella!$B$81</f>
        <v>-0.34262277167690947</v>
      </c>
      <c r="Y42" s="10">
        <f>GraphSalmonella!$E$80*Salmonella!I42+GraphSalmonella!$E$81</f>
        <v>-0.34273216775943993</v>
      </c>
      <c r="Z42" s="10">
        <f>GraphSalmonella!$H$80*Salmonella!I42+GraphSalmonella!$H$81</f>
        <v>-0.78793112110263497</v>
      </c>
    </row>
    <row r="43" spans="1:26" x14ac:dyDescent="0.2">
      <c r="A43" s="1" t="s">
        <v>66</v>
      </c>
      <c r="B43" s="1" t="s">
        <v>82</v>
      </c>
      <c r="D43" t="s">
        <v>42</v>
      </c>
      <c r="E43" s="1" t="s">
        <v>1240</v>
      </c>
      <c r="F43" t="s">
        <v>79</v>
      </c>
      <c r="I43" s="4">
        <v>68.3</v>
      </c>
      <c r="J43" s="11">
        <f>0.28/60</f>
        <v>4.6666666666666671E-3</v>
      </c>
      <c r="L43" s="12">
        <f t="shared" si="1"/>
        <v>-2.3309932190414244</v>
      </c>
      <c r="M43" s="11">
        <f>GraphSalmonella!$B$10-(Salmonella!I43-GraphSalmonella!$B$6)/GraphSalmonella!$B$5</f>
        <v>-0.64203411927535625</v>
      </c>
      <c r="N43" s="2" t="s">
        <v>1226</v>
      </c>
      <c r="O43">
        <v>1996</v>
      </c>
      <c r="P43" t="s">
        <v>208</v>
      </c>
      <c r="S43" s="10">
        <f>GraphSalmonella!$B$57*Salmonella!I43+GraphSalmonella!$B$58</f>
        <v>-0.14553601760260282</v>
      </c>
      <c r="T43" s="10">
        <f>GraphSalmonella!$E$57*Salmonella!I43+GraphSalmonella!$E$58</f>
        <v>2.7295394252557657</v>
      </c>
      <c r="U43" s="10">
        <f>GraphSalmonella!$H$57*Salmonella!I43+GraphSalmonella!$H$58</f>
        <v>-0.64096396166413427</v>
      </c>
      <c r="X43" s="10">
        <f>GraphSalmonella!$B$80*Salmonella!I43+GraphSalmonella!$B$81</f>
        <v>-0.63985059688033719</v>
      </c>
      <c r="Y43" s="10">
        <f>GraphSalmonella!$E$80*Salmonella!I43+GraphSalmonella!$E$81</f>
        <v>-0.64413132331711775</v>
      </c>
      <c r="Z43" s="10">
        <f>GraphSalmonella!$H$80*Salmonella!I43+GraphSalmonella!$H$81</f>
        <v>-1.136722151843558</v>
      </c>
    </row>
    <row r="44" spans="1:26" x14ac:dyDescent="0.2">
      <c r="A44" s="1" t="s">
        <v>66</v>
      </c>
      <c r="B44" s="1" t="s">
        <v>83</v>
      </c>
      <c r="D44" t="s">
        <v>42</v>
      </c>
      <c r="E44" s="1" t="s">
        <v>1240</v>
      </c>
      <c r="F44" t="s">
        <v>79</v>
      </c>
      <c r="I44" s="4">
        <v>62.8</v>
      </c>
      <c r="J44" s="11">
        <f>3.6/60</f>
        <v>6.0000000000000005E-2</v>
      </c>
      <c r="L44" s="12">
        <f t="shared" si="1"/>
        <v>-1.2218487496163564</v>
      </c>
      <c r="M44" s="11">
        <f>GraphSalmonella!$B$10-(Salmonella!I44-GraphSalmonella!$B$6)/GraphSalmonella!$B$5</f>
        <v>-3.6863113815531423E-2</v>
      </c>
      <c r="N44" s="2" t="s">
        <v>1226</v>
      </c>
      <c r="O44">
        <v>1996</v>
      </c>
      <c r="P44" t="s">
        <v>208</v>
      </c>
      <c r="S44" s="10">
        <f>GraphSalmonella!$B$57*Salmonella!I44+GraphSalmonella!$B$58</f>
        <v>0.18331047323485183</v>
      </c>
      <c r="T44" s="10">
        <f>GraphSalmonella!$E$57*Salmonella!I44+GraphSalmonella!$E$58</f>
        <v>2.999559295425632</v>
      </c>
      <c r="U44" s="10">
        <f>GraphSalmonella!$H$57*Salmonella!I44+GraphSalmonella!$H$58</f>
        <v>-3.5929185312062017E-2</v>
      </c>
      <c r="X44" s="10">
        <f>GraphSalmonella!$B$80*Salmonella!I44+GraphSalmonella!$B$81</f>
        <v>-3.438650850298508E-2</v>
      </c>
      <c r="Y44" s="10">
        <f>GraphSalmonella!$E$80*Salmonella!I44+GraphSalmonella!$E$81</f>
        <v>-3.0170080514441366E-2</v>
      </c>
      <c r="Z44" s="10">
        <f>GraphSalmonella!$H$80*Salmonella!I44+GraphSalmonella!$H$81</f>
        <v>-0.426221904037976</v>
      </c>
    </row>
    <row r="45" spans="1:26" x14ac:dyDescent="0.2">
      <c r="A45" s="1" t="s">
        <v>66</v>
      </c>
      <c r="B45" s="1" t="s">
        <v>83</v>
      </c>
      <c r="D45" t="s">
        <v>42</v>
      </c>
      <c r="E45" s="1" t="s">
        <v>1240</v>
      </c>
      <c r="F45" t="s">
        <v>79</v>
      </c>
      <c r="I45" s="4">
        <v>65.599999999999994</v>
      </c>
      <c r="J45" s="11">
        <f>1.1/60</f>
        <v>1.8333333333333333E-2</v>
      </c>
      <c r="L45" s="12">
        <f t="shared" si="1"/>
        <v>-1.7367585652254185</v>
      </c>
      <c r="M45" s="11">
        <f>GraphSalmonella!$B$10-(Salmonella!I45-GraphSalmonella!$B$6)/GraphSalmonella!$B$5</f>
        <v>-0.34495017114053284</v>
      </c>
      <c r="N45" s="2" t="s">
        <v>1226</v>
      </c>
      <c r="O45">
        <v>1996</v>
      </c>
      <c r="P45" t="s">
        <v>208</v>
      </c>
      <c r="S45" s="10">
        <f>GraphSalmonella!$B$57*Salmonella!I45+GraphSalmonella!$B$58</f>
        <v>1.5897714263056972E-2</v>
      </c>
      <c r="T45" s="10">
        <f>GraphSalmonella!$E$57*Salmonella!I45+GraphSalmonella!$E$58</f>
        <v>2.8620946342482454</v>
      </c>
      <c r="U45" s="10">
        <f>GraphSalmonella!$H$57*Salmonella!I45+GraphSalmonella!$H$58</f>
        <v>-0.34394688963675257</v>
      </c>
      <c r="X45" s="10">
        <f>GraphSalmonella!$B$80*Salmonella!I45+GraphSalmonella!$B$81</f>
        <v>-0.34262277167690947</v>
      </c>
      <c r="Y45" s="10">
        <f>GraphSalmonella!$E$80*Salmonella!I45+GraphSalmonella!$E$81</f>
        <v>-0.34273216775943993</v>
      </c>
      <c r="Z45" s="10">
        <f>GraphSalmonella!$H$80*Salmonella!I45+GraphSalmonella!$H$81</f>
        <v>-0.78793112110263497</v>
      </c>
    </row>
    <row r="46" spans="1:26" x14ac:dyDescent="0.2">
      <c r="A46" s="1" t="s">
        <v>66</v>
      </c>
      <c r="B46" s="1" t="s">
        <v>83</v>
      </c>
      <c r="D46" t="s">
        <v>42</v>
      </c>
      <c r="E46" s="1" t="s">
        <v>1240</v>
      </c>
      <c r="F46" t="s">
        <v>79</v>
      </c>
      <c r="I46" s="4">
        <v>68.3</v>
      </c>
      <c r="J46" s="11">
        <f>0.4/60</f>
        <v>6.6666666666666671E-3</v>
      </c>
      <c r="L46" s="12">
        <f t="shared" si="1"/>
        <v>-2.1760912590556813</v>
      </c>
      <c r="M46" s="11">
        <f>GraphSalmonella!$B$10-(Salmonella!I46-GraphSalmonella!$B$6)/GraphSalmonella!$B$5</f>
        <v>-0.64203411927535625</v>
      </c>
      <c r="N46" s="2" t="s">
        <v>1226</v>
      </c>
      <c r="O46">
        <v>1996</v>
      </c>
      <c r="P46" t="s">
        <v>208</v>
      </c>
      <c r="S46" s="10">
        <f>GraphSalmonella!$B$57*Salmonella!I46+GraphSalmonella!$B$58</f>
        <v>-0.14553601760260282</v>
      </c>
      <c r="T46" s="10">
        <f>GraphSalmonella!$E$57*Salmonella!I46+GraphSalmonella!$E$58</f>
        <v>2.7295394252557657</v>
      </c>
      <c r="U46" s="10">
        <f>GraphSalmonella!$H$57*Salmonella!I46+GraphSalmonella!$H$58</f>
        <v>-0.64096396166413427</v>
      </c>
      <c r="X46" s="10">
        <f>GraphSalmonella!$B$80*Salmonella!I46+GraphSalmonella!$B$81</f>
        <v>-0.63985059688033719</v>
      </c>
      <c r="Y46" s="10">
        <f>GraphSalmonella!$E$80*Salmonella!I46+GraphSalmonella!$E$81</f>
        <v>-0.64413132331711775</v>
      </c>
      <c r="Z46" s="10">
        <f>GraphSalmonella!$H$80*Salmonella!I46+GraphSalmonella!$H$81</f>
        <v>-1.136722151843558</v>
      </c>
    </row>
    <row r="47" spans="1:26" x14ac:dyDescent="0.2">
      <c r="A47" s="1" t="s">
        <v>66</v>
      </c>
      <c r="B47" s="1" t="s">
        <v>84</v>
      </c>
      <c r="C47" s="1"/>
      <c r="D47" t="s">
        <v>42</v>
      </c>
      <c r="E47" s="1" t="s">
        <v>1240</v>
      </c>
      <c r="F47" t="s">
        <v>79</v>
      </c>
      <c r="H47" s="5"/>
      <c r="I47" s="5">
        <v>62.8</v>
      </c>
      <c r="J47" s="9">
        <f>5.4/60</f>
        <v>9.0000000000000011E-2</v>
      </c>
      <c r="K47" s="5"/>
      <c r="L47" s="12">
        <f t="shared" si="1"/>
        <v>-1.045757490560675</v>
      </c>
      <c r="M47" s="11">
        <f>GraphSalmonella!$B$10-(Salmonella!I47-GraphSalmonella!$B$6)/GraphSalmonella!$B$5</f>
        <v>-3.6863113815531423E-2</v>
      </c>
      <c r="N47" s="2" t="s">
        <v>1226</v>
      </c>
      <c r="O47">
        <v>1996</v>
      </c>
      <c r="P47" t="s">
        <v>208</v>
      </c>
      <c r="S47" s="10">
        <f>GraphSalmonella!$B$57*Salmonella!I47+GraphSalmonella!$B$58</f>
        <v>0.18331047323485183</v>
      </c>
      <c r="T47" s="10">
        <f>GraphSalmonella!$E$57*Salmonella!I47+GraphSalmonella!$E$58</f>
        <v>2.999559295425632</v>
      </c>
      <c r="U47" s="10">
        <f>GraphSalmonella!$H$57*Salmonella!I47+GraphSalmonella!$H$58</f>
        <v>-3.5929185312062017E-2</v>
      </c>
      <c r="X47" s="10">
        <f>GraphSalmonella!$B$80*Salmonella!I47+GraphSalmonella!$B$81</f>
        <v>-3.438650850298508E-2</v>
      </c>
      <c r="Y47" s="10">
        <f>GraphSalmonella!$E$80*Salmonella!I47+GraphSalmonella!$E$81</f>
        <v>-3.0170080514441366E-2</v>
      </c>
      <c r="Z47" s="10">
        <f>GraphSalmonella!$H$80*Salmonella!I47+GraphSalmonella!$H$81</f>
        <v>-0.426221904037976</v>
      </c>
    </row>
    <row r="48" spans="1:26" x14ac:dyDescent="0.2">
      <c r="A48" s="1" t="s">
        <v>66</v>
      </c>
      <c r="B48" s="1" t="s">
        <v>84</v>
      </c>
      <c r="D48" t="s">
        <v>42</v>
      </c>
      <c r="E48" s="1" t="s">
        <v>1240</v>
      </c>
      <c r="F48" t="s">
        <v>79</v>
      </c>
      <c r="I48" s="4">
        <v>65.599999999999994</v>
      </c>
      <c r="J48" s="11">
        <f>1.3/60</f>
        <v>2.1666666666666667E-2</v>
      </c>
      <c r="L48" s="12">
        <f t="shared" si="1"/>
        <v>-1.6642078980768069</v>
      </c>
      <c r="M48" s="11">
        <f>GraphSalmonella!$B$10-(Salmonella!I48-GraphSalmonella!$B$6)/GraphSalmonella!$B$5</f>
        <v>-0.34495017114053284</v>
      </c>
      <c r="N48" s="2" t="s">
        <v>1226</v>
      </c>
      <c r="O48">
        <v>1996</v>
      </c>
      <c r="P48" t="s">
        <v>208</v>
      </c>
      <c r="S48" s="10">
        <f>GraphSalmonella!$B$57*Salmonella!I48+GraphSalmonella!$B$58</f>
        <v>1.5897714263056972E-2</v>
      </c>
      <c r="T48" s="10">
        <f>GraphSalmonella!$E$57*Salmonella!I48+GraphSalmonella!$E$58</f>
        <v>2.8620946342482454</v>
      </c>
      <c r="U48" s="10">
        <f>GraphSalmonella!$H$57*Salmonella!I48+GraphSalmonella!$H$58</f>
        <v>-0.34394688963675257</v>
      </c>
      <c r="X48" s="10">
        <f>GraphSalmonella!$B$80*Salmonella!I48+GraphSalmonella!$B$81</f>
        <v>-0.34262277167690947</v>
      </c>
      <c r="Y48" s="10">
        <f>GraphSalmonella!$E$80*Salmonella!I48+GraphSalmonella!$E$81</f>
        <v>-0.34273216775943993</v>
      </c>
      <c r="Z48" s="10">
        <f>GraphSalmonella!$H$80*Salmonella!I48+GraphSalmonella!$H$81</f>
        <v>-0.78793112110263497</v>
      </c>
    </row>
    <row r="49" spans="1:26" x14ac:dyDescent="0.2">
      <c r="A49" s="1" t="s">
        <v>66</v>
      </c>
      <c r="B49" s="1" t="s">
        <v>84</v>
      </c>
      <c r="D49" t="s">
        <v>42</v>
      </c>
      <c r="E49" s="1" t="s">
        <v>1240</v>
      </c>
      <c r="F49" t="s">
        <v>79</v>
      </c>
      <c r="I49" s="4">
        <v>68.3</v>
      </c>
      <c r="J49" s="11">
        <f>0.44/60</f>
        <v>7.3333333333333332E-3</v>
      </c>
      <c r="L49" s="12">
        <f t="shared" si="1"/>
        <v>-2.1346985738974564</v>
      </c>
      <c r="M49" s="11">
        <f>GraphSalmonella!$B$10-(Salmonella!I49-GraphSalmonella!$B$6)/GraphSalmonella!$B$5</f>
        <v>-0.64203411927535625</v>
      </c>
      <c r="N49" s="2" t="s">
        <v>1226</v>
      </c>
      <c r="O49">
        <v>1996</v>
      </c>
      <c r="P49" t="s">
        <v>208</v>
      </c>
      <c r="S49" s="10">
        <f>GraphSalmonella!$B$57*Salmonella!I49+GraphSalmonella!$B$58</f>
        <v>-0.14553601760260282</v>
      </c>
      <c r="T49" s="10">
        <f>GraphSalmonella!$E$57*Salmonella!I49+GraphSalmonella!$E$58</f>
        <v>2.7295394252557657</v>
      </c>
      <c r="U49" s="10">
        <f>GraphSalmonella!$H$57*Salmonella!I49+GraphSalmonella!$H$58</f>
        <v>-0.64096396166413427</v>
      </c>
      <c r="X49" s="10">
        <f>GraphSalmonella!$B$80*Salmonella!I49+GraphSalmonella!$B$81</f>
        <v>-0.63985059688033719</v>
      </c>
      <c r="Y49" s="10">
        <f>GraphSalmonella!$E$80*Salmonella!I49+GraphSalmonella!$E$81</f>
        <v>-0.64413132331711775</v>
      </c>
      <c r="Z49" s="10">
        <f>GraphSalmonella!$H$80*Salmonella!I49+GraphSalmonella!$H$81</f>
        <v>-1.136722151843558</v>
      </c>
    </row>
    <row r="50" spans="1:26" x14ac:dyDescent="0.2">
      <c r="A50" s="1" t="s">
        <v>66</v>
      </c>
      <c r="B50" s="1" t="s">
        <v>67</v>
      </c>
      <c r="D50" t="s">
        <v>42</v>
      </c>
      <c r="E50" s="1" t="s">
        <v>1240</v>
      </c>
      <c r="F50" t="s">
        <v>79</v>
      </c>
      <c r="I50" s="4">
        <v>65.599999999999994</v>
      </c>
      <c r="J50" s="11">
        <f>34/60</f>
        <v>0.56666666666666665</v>
      </c>
      <c r="L50" s="12">
        <f t="shared" si="1"/>
        <v>-0.24667233334138852</v>
      </c>
      <c r="M50" s="11">
        <f>GraphSalmonella!$B$10-(Salmonella!I50-GraphSalmonella!$B$6)/GraphSalmonella!$B$5</f>
        <v>-0.34495017114053284</v>
      </c>
      <c r="N50" s="2" t="s">
        <v>1226</v>
      </c>
      <c r="O50">
        <v>1996</v>
      </c>
      <c r="S50" s="10">
        <f>GraphSalmonella!$B$57*Salmonella!I50+GraphSalmonella!$B$58</f>
        <v>1.5897714263056972E-2</v>
      </c>
      <c r="T50" s="10">
        <f>GraphSalmonella!$E$57*Salmonella!I50+GraphSalmonella!$E$58</f>
        <v>2.8620946342482454</v>
      </c>
      <c r="U50" s="10">
        <f>GraphSalmonella!$H$57*Salmonella!I50+GraphSalmonella!$H$58</f>
        <v>-0.34394688963675257</v>
      </c>
      <c r="X50" s="10">
        <f>GraphSalmonella!$B$80*Salmonella!I50+GraphSalmonella!$B$81</f>
        <v>-0.34262277167690947</v>
      </c>
      <c r="Y50" s="10">
        <f>GraphSalmonella!$E$80*Salmonella!I50+GraphSalmonella!$E$81</f>
        <v>-0.34273216775943993</v>
      </c>
      <c r="Z50" s="10">
        <f>GraphSalmonella!$H$80*Salmonella!I50+GraphSalmonella!$H$81</f>
        <v>-0.78793112110263497</v>
      </c>
    </row>
    <row r="51" spans="1:26" x14ac:dyDescent="0.2">
      <c r="A51" s="1" t="s">
        <v>66</v>
      </c>
      <c r="B51" s="1" t="s">
        <v>67</v>
      </c>
      <c r="D51" t="s">
        <v>42</v>
      </c>
      <c r="E51" s="1" t="s">
        <v>1240</v>
      </c>
      <c r="F51" t="s">
        <v>79</v>
      </c>
      <c r="I51" s="4">
        <v>68.3</v>
      </c>
      <c r="J51" s="11">
        <f>10/60</f>
        <v>0.16666666666666666</v>
      </c>
      <c r="L51" s="12">
        <f t="shared" si="1"/>
        <v>-0.77815125038364363</v>
      </c>
      <c r="M51" s="11">
        <f>GraphSalmonella!$B$10-(Salmonella!I51-GraphSalmonella!$B$6)/GraphSalmonella!$B$5</f>
        <v>-0.64203411927535625</v>
      </c>
      <c r="N51" s="2" t="s">
        <v>1226</v>
      </c>
      <c r="O51">
        <v>1996</v>
      </c>
      <c r="S51" s="10">
        <f>GraphSalmonella!$B$57*Salmonella!I51+GraphSalmonella!$B$58</f>
        <v>-0.14553601760260282</v>
      </c>
      <c r="T51" s="10">
        <f>GraphSalmonella!$E$57*Salmonella!I51+GraphSalmonella!$E$58</f>
        <v>2.7295394252557657</v>
      </c>
      <c r="U51" s="10">
        <f>GraphSalmonella!$H$57*Salmonella!I51+GraphSalmonella!$H$58</f>
        <v>-0.64096396166413427</v>
      </c>
      <c r="X51" s="10">
        <f>GraphSalmonella!$B$80*Salmonella!I51+GraphSalmonella!$B$81</f>
        <v>-0.63985059688033719</v>
      </c>
      <c r="Y51" s="10">
        <f>GraphSalmonella!$E$80*Salmonella!I51+GraphSalmonella!$E$81</f>
        <v>-0.64413132331711775</v>
      </c>
      <c r="Z51" s="10">
        <f>GraphSalmonella!$H$80*Salmonella!I51+GraphSalmonella!$H$81</f>
        <v>-1.136722151843558</v>
      </c>
    </row>
    <row r="52" spans="1:26" x14ac:dyDescent="0.2">
      <c r="A52" s="1" t="s">
        <v>66</v>
      </c>
      <c r="B52" s="1" t="s">
        <v>67</v>
      </c>
      <c r="D52" t="s">
        <v>42</v>
      </c>
      <c r="E52" s="1" t="s">
        <v>1240</v>
      </c>
      <c r="F52" t="s">
        <v>79</v>
      </c>
      <c r="I52" s="4">
        <v>71.7</v>
      </c>
      <c r="J52" s="11">
        <f>1.2/60</f>
        <v>0.02</v>
      </c>
      <c r="L52" s="12">
        <f t="shared" si="1"/>
        <v>-1.6989700043360187</v>
      </c>
      <c r="M52" s="11">
        <f>GraphSalmonella!$B$10-(Salmonella!I52-GraphSalmonella!$B$6)/GraphSalmonella!$B$5</f>
        <v>-1.0161398317414305</v>
      </c>
      <c r="N52" s="2" t="s">
        <v>1226</v>
      </c>
      <c r="O52">
        <v>1996</v>
      </c>
      <c r="S52" s="10">
        <f>GraphSalmonella!$B$57*Salmonella!I52+GraphSalmonella!$B$58</f>
        <v>-0.3488229392112121</v>
      </c>
      <c r="T52" s="10">
        <f>GraphSalmonella!$E$57*Salmonella!I52+GraphSalmonella!$E$58</f>
        <v>2.5626180509689389</v>
      </c>
      <c r="U52" s="10">
        <f>GraphSalmonella!$H$57*Salmonella!I52+GraphSalmonella!$H$58</f>
        <v>-1.0149854597726886</v>
      </c>
      <c r="X52" s="10">
        <f>GraphSalmonella!$B$80*Salmonella!I52+GraphSalmonella!$B$81</f>
        <v>-1.014137487877246</v>
      </c>
      <c r="Y52" s="10">
        <f>GraphSalmonella!$E$80*Salmonella!I52+GraphSalmonella!$E$81</f>
        <v>-1.023671000686047</v>
      </c>
      <c r="Z52" s="10">
        <f>GraphSalmonella!$H$80*Salmonella!I52+GraphSalmonella!$H$81</f>
        <v>-1.5759404868506453</v>
      </c>
    </row>
    <row r="53" spans="1:26" x14ac:dyDescent="0.2">
      <c r="A53" s="1" t="s">
        <v>66</v>
      </c>
      <c r="B53" s="1" t="s">
        <v>67</v>
      </c>
      <c r="D53" t="s">
        <v>42</v>
      </c>
      <c r="E53" s="1" t="s">
        <v>1240</v>
      </c>
      <c r="F53" t="s">
        <v>79</v>
      </c>
      <c r="I53" s="4">
        <v>73.900000000000006</v>
      </c>
      <c r="J53" s="11">
        <f>0.55/60</f>
        <v>9.1666666666666667E-3</v>
      </c>
      <c r="L53" s="12">
        <f t="shared" si="1"/>
        <v>-2.0377885608893997</v>
      </c>
      <c r="M53" s="11">
        <f>GraphSalmonella!$B$10-(Salmonella!I53-GraphSalmonella!$B$6)/GraphSalmonella!$B$5</f>
        <v>-1.2582082339253606</v>
      </c>
      <c r="N53" s="2" t="s">
        <v>1226</v>
      </c>
      <c r="O53">
        <v>1996</v>
      </c>
      <c r="S53" s="10">
        <f>GraphSalmonella!$B$57*Salmonella!I53+GraphSalmonella!$B$58</f>
        <v>-0.48036153554619432</v>
      </c>
      <c r="T53" s="10">
        <f>GraphSalmonella!$E$57*Salmonella!I53+GraphSalmonella!$E$58</f>
        <v>2.4546101029009924</v>
      </c>
      <c r="U53" s="10">
        <f>GraphSalmonella!$H$57*Salmonella!I53+GraphSalmonella!$H$58</f>
        <v>-1.2569993703135189</v>
      </c>
      <c r="X53" s="10">
        <f>GraphSalmonella!$B$80*Salmonella!I53+GraphSalmonella!$B$81</f>
        <v>-1.2563231232281877</v>
      </c>
      <c r="Y53" s="10">
        <f>GraphSalmonella!$E$80*Salmonella!I53+GraphSalmonella!$E$81</f>
        <v>-1.2692554978071175</v>
      </c>
      <c r="Z53" s="10">
        <f>GraphSalmonella!$H$80*Salmonella!I53+GraphSalmonella!$H$81</f>
        <v>-1.8601405859728777</v>
      </c>
    </row>
    <row r="54" spans="1:26" x14ac:dyDescent="0.2">
      <c r="A54" s="1" t="s">
        <v>66</v>
      </c>
      <c r="B54" s="1" t="s">
        <v>85</v>
      </c>
      <c r="D54" t="s">
        <v>42</v>
      </c>
      <c r="E54" s="1" t="s">
        <v>1240</v>
      </c>
      <c r="F54" t="s">
        <v>79</v>
      </c>
      <c r="I54" s="4">
        <v>62.8</v>
      </c>
      <c r="J54" s="11">
        <f>5.2/60</f>
        <v>8.666666666666667E-2</v>
      </c>
      <c r="L54" s="12">
        <f t="shared" si="1"/>
        <v>-1.0621479067488444</v>
      </c>
      <c r="M54" s="11">
        <f>GraphSalmonella!$B$10-(Salmonella!I54-GraphSalmonella!$B$6)/GraphSalmonella!$B$5</f>
        <v>-3.6863113815531423E-2</v>
      </c>
      <c r="N54" s="2" t="s">
        <v>1226</v>
      </c>
      <c r="O54">
        <v>1996</v>
      </c>
      <c r="P54" t="s">
        <v>208</v>
      </c>
      <c r="S54" s="10">
        <f>GraphSalmonella!$B$57*Salmonella!I54+GraphSalmonella!$B$58</f>
        <v>0.18331047323485183</v>
      </c>
      <c r="T54" s="10">
        <f>GraphSalmonella!$E$57*Salmonella!I54+GraphSalmonella!$E$58</f>
        <v>2.999559295425632</v>
      </c>
      <c r="U54" s="10">
        <f>GraphSalmonella!$H$57*Salmonella!I54+GraphSalmonella!$H$58</f>
        <v>-3.5929185312062017E-2</v>
      </c>
      <c r="X54" s="10">
        <f>GraphSalmonella!$B$80*Salmonella!I54+GraphSalmonella!$B$81</f>
        <v>-3.438650850298508E-2</v>
      </c>
      <c r="Y54" s="10">
        <f>GraphSalmonella!$E$80*Salmonella!I54+GraphSalmonella!$E$81</f>
        <v>-3.0170080514441366E-2</v>
      </c>
      <c r="Z54" s="10">
        <f>GraphSalmonella!$H$80*Salmonella!I54+GraphSalmonella!$H$81</f>
        <v>-0.426221904037976</v>
      </c>
    </row>
    <row r="55" spans="1:26" x14ac:dyDescent="0.2">
      <c r="A55" s="1" t="s">
        <v>66</v>
      </c>
      <c r="B55" s="1" t="s">
        <v>85</v>
      </c>
      <c r="D55" t="s">
        <v>42</v>
      </c>
      <c r="E55" s="1" t="s">
        <v>1240</v>
      </c>
      <c r="F55" t="s">
        <v>79</v>
      </c>
      <c r="I55" s="4">
        <v>65.599999999999994</v>
      </c>
      <c r="J55" s="11">
        <f>1.4/60</f>
        <v>2.3333333333333331E-2</v>
      </c>
      <c r="L55" s="12">
        <f t="shared" si="1"/>
        <v>-1.6320232147054057</v>
      </c>
      <c r="M55" s="11">
        <f>GraphSalmonella!$B$10-(Salmonella!I55-GraphSalmonella!$B$6)/GraphSalmonella!$B$5</f>
        <v>-0.34495017114053284</v>
      </c>
      <c r="N55" s="2" t="s">
        <v>1226</v>
      </c>
      <c r="O55">
        <v>1996</v>
      </c>
      <c r="P55" t="s">
        <v>208</v>
      </c>
      <c r="S55" s="10">
        <f>GraphSalmonella!$B$57*Salmonella!I55+GraphSalmonella!$B$58</f>
        <v>1.5897714263056972E-2</v>
      </c>
      <c r="T55" s="10">
        <f>GraphSalmonella!$E$57*Salmonella!I55+GraphSalmonella!$E$58</f>
        <v>2.8620946342482454</v>
      </c>
      <c r="U55" s="10">
        <f>GraphSalmonella!$H$57*Salmonella!I55+GraphSalmonella!$H$58</f>
        <v>-0.34394688963675257</v>
      </c>
      <c r="X55" s="10">
        <f>GraphSalmonella!$B$80*Salmonella!I55+GraphSalmonella!$B$81</f>
        <v>-0.34262277167690947</v>
      </c>
      <c r="Y55" s="10">
        <f>GraphSalmonella!$E$80*Salmonella!I55+GraphSalmonella!$E$81</f>
        <v>-0.34273216775943993</v>
      </c>
      <c r="Z55" s="10">
        <f>GraphSalmonella!$H$80*Salmonella!I55+GraphSalmonella!$H$81</f>
        <v>-0.78793112110263497</v>
      </c>
    </row>
    <row r="56" spans="1:26" x14ac:dyDescent="0.2">
      <c r="A56" s="1" t="s">
        <v>66</v>
      </c>
      <c r="B56" s="1" t="s">
        <v>85</v>
      </c>
      <c r="D56" t="s">
        <v>42</v>
      </c>
      <c r="E56" s="1" t="s">
        <v>1240</v>
      </c>
      <c r="F56" t="s">
        <v>79</v>
      </c>
      <c r="I56" s="4">
        <v>68.3</v>
      </c>
      <c r="J56" s="11">
        <f>0.38/60</f>
        <v>6.3333333333333332E-3</v>
      </c>
      <c r="L56" s="12">
        <f t="shared" si="1"/>
        <v>-2.1983676537668333</v>
      </c>
      <c r="M56" s="11">
        <f>GraphSalmonella!$B$10-(Salmonella!I56-GraphSalmonella!$B$6)/GraphSalmonella!$B$5</f>
        <v>-0.64203411927535625</v>
      </c>
      <c r="N56" s="2" t="s">
        <v>1226</v>
      </c>
      <c r="O56">
        <v>1996</v>
      </c>
      <c r="P56" t="s">
        <v>208</v>
      </c>
      <c r="S56" s="10">
        <f>GraphSalmonella!$B$57*Salmonella!I56+GraphSalmonella!$B$58</f>
        <v>-0.14553601760260282</v>
      </c>
      <c r="T56" s="10">
        <f>GraphSalmonella!$E$57*Salmonella!I56+GraphSalmonella!$E$58</f>
        <v>2.7295394252557657</v>
      </c>
      <c r="U56" s="10">
        <f>GraphSalmonella!$H$57*Salmonella!I56+GraphSalmonella!$H$58</f>
        <v>-0.64096396166413427</v>
      </c>
      <c r="X56" s="10">
        <f>GraphSalmonella!$B$80*Salmonella!I56+GraphSalmonella!$B$81</f>
        <v>-0.63985059688033719</v>
      </c>
      <c r="Y56" s="10">
        <f>GraphSalmonella!$E$80*Salmonella!I56+GraphSalmonella!$E$81</f>
        <v>-0.64413132331711775</v>
      </c>
      <c r="Z56" s="10">
        <f>GraphSalmonella!$H$80*Salmonella!I56+GraphSalmonella!$H$81</f>
        <v>-1.136722151843558</v>
      </c>
    </row>
    <row r="57" spans="1:26" x14ac:dyDescent="0.2">
      <c r="A57" s="1" t="s">
        <v>66</v>
      </c>
      <c r="B57" s="1" t="s">
        <v>67</v>
      </c>
      <c r="C57" t="s">
        <v>312</v>
      </c>
      <c r="D57" t="s">
        <v>42</v>
      </c>
      <c r="E57" s="1" t="s">
        <v>1240</v>
      </c>
      <c r="F57" t="s">
        <v>537</v>
      </c>
      <c r="H57" s="4">
        <v>6.7</v>
      </c>
      <c r="I57" s="4">
        <v>63</v>
      </c>
      <c r="J57" s="11">
        <v>0.28999999999999998</v>
      </c>
      <c r="L57" s="12">
        <f t="shared" si="1"/>
        <v>-0.53760200210104392</v>
      </c>
      <c r="M57" s="11">
        <f>GraphSalmonella!$B$10-(Salmonella!I57-GraphSalmonella!$B$6)/GraphSalmonella!$B$5</f>
        <v>-5.8869332195888968E-2</v>
      </c>
      <c r="N57" s="1" t="s">
        <v>543</v>
      </c>
      <c r="O57">
        <v>2001</v>
      </c>
      <c r="S57" s="10">
        <f>GraphSalmonella!$B$57*Salmonella!I57+GraphSalmonella!$B$58</f>
        <v>0.1713524190225808</v>
      </c>
      <c r="T57" s="10">
        <f>GraphSalmonella!$E$57*Salmonella!I57+GraphSalmonella!$E$58</f>
        <v>2.9897403910558187</v>
      </c>
      <c r="U57" s="10">
        <f>GraphSalmonella!$H$57*Salmonella!I57+GraphSalmonella!$H$58</f>
        <v>-5.7930449906682391E-2</v>
      </c>
      <c r="X57" s="10">
        <f>GraphSalmonella!$B$80*Salmonella!I57+GraphSalmonella!$B$81</f>
        <v>-5.6403384443980187E-2</v>
      </c>
      <c r="Y57" s="10">
        <f>GraphSalmonella!$E$80*Salmonella!I57+GraphSalmonella!$E$81</f>
        <v>-5.2495943889084629E-2</v>
      </c>
      <c r="Z57" s="10">
        <f>GraphSalmonella!$H$80*Salmonella!I57+GraphSalmonella!$H$81</f>
        <v>-0.45205827668545329</v>
      </c>
    </row>
    <row r="58" spans="1:26" x14ac:dyDescent="0.2">
      <c r="A58" s="1" t="s">
        <v>66</v>
      </c>
      <c r="B58" s="1" t="s">
        <v>67</v>
      </c>
      <c r="C58" t="s">
        <v>312</v>
      </c>
      <c r="D58" t="s">
        <v>42</v>
      </c>
      <c r="E58" s="1" t="s">
        <v>1240</v>
      </c>
      <c r="F58" t="s">
        <v>536</v>
      </c>
      <c r="H58" s="4">
        <v>6.7</v>
      </c>
      <c r="I58" s="4">
        <v>63</v>
      </c>
      <c r="J58" s="11">
        <v>1.2</v>
      </c>
      <c r="L58" s="12">
        <f t="shared" si="1"/>
        <v>7.9181246047624818E-2</v>
      </c>
      <c r="M58" s="11">
        <f>GraphSalmonella!$B$10-(Salmonella!I58-GraphSalmonella!$B$6)/GraphSalmonella!$B$5</f>
        <v>-5.8869332195888968E-2</v>
      </c>
      <c r="N58" s="1" t="s">
        <v>543</v>
      </c>
      <c r="O58">
        <v>2001</v>
      </c>
      <c r="S58" s="10">
        <f>GraphSalmonella!$B$57*Salmonella!I58+GraphSalmonella!$B$58</f>
        <v>0.1713524190225808</v>
      </c>
      <c r="T58" s="10">
        <f>GraphSalmonella!$E$57*Salmonella!I58+GraphSalmonella!$E$58</f>
        <v>2.9897403910558187</v>
      </c>
      <c r="U58" s="10">
        <f>GraphSalmonella!$H$57*Salmonella!I58+GraphSalmonella!$H$58</f>
        <v>-5.7930449906682391E-2</v>
      </c>
      <c r="X58" s="10">
        <f>GraphSalmonella!$B$80*Salmonella!I58+GraphSalmonella!$B$81</f>
        <v>-5.6403384443980187E-2</v>
      </c>
      <c r="Y58" s="10">
        <f>GraphSalmonella!$E$80*Salmonella!I58+GraphSalmonella!$E$81</f>
        <v>-5.2495943889084629E-2</v>
      </c>
      <c r="Z58" s="10">
        <f>GraphSalmonella!$H$80*Salmonella!I58+GraphSalmonella!$H$81</f>
        <v>-0.45205827668545329</v>
      </c>
    </row>
    <row r="59" spans="1:26" x14ac:dyDescent="0.2">
      <c r="A59" s="1" t="s">
        <v>66</v>
      </c>
      <c r="B59" s="1" t="s">
        <v>67</v>
      </c>
      <c r="C59" t="s">
        <v>312</v>
      </c>
      <c r="D59" t="s">
        <v>42</v>
      </c>
      <c r="E59" s="1" t="s">
        <v>1240</v>
      </c>
      <c r="F59" t="s">
        <v>734</v>
      </c>
      <c r="I59" s="4">
        <v>63</v>
      </c>
      <c r="J59" s="11">
        <v>1.3</v>
      </c>
      <c r="L59" s="12">
        <f t="shared" si="1"/>
        <v>0.11394335230683679</v>
      </c>
      <c r="M59" s="11">
        <f>GraphSalmonella!$B$10-(Salmonella!I59-GraphSalmonella!$B$6)/GraphSalmonella!$B$5</f>
        <v>-5.8869332195888968E-2</v>
      </c>
      <c r="N59" s="1" t="s">
        <v>543</v>
      </c>
      <c r="O59">
        <v>2001</v>
      </c>
      <c r="S59" s="10">
        <f>GraphSalmonella!$B$57*Salmonella!I59+GraphSalmonella!$B$58</f>
        <v>0.1713524190225808</v>
      </c>
      <c r="T59" s="10">
        <f>GraphSalmonella!$E$57*Salmonella!I59+GraphSalmonella!$E$58</f>
        <v>2.9897403910558187</v>
      </c>
      <c r="U59" s="10">
        <f>GraphSalmonella!$H$57*Salmonella!I59+GraphSalmonella!$H$58</f>
        <v>-5.7930449906682391E-2</v>
      </c>
      <c r="X59" s="10">
        <f>GraphSalmonella!$B$80*Salmonella!I59+GraphSalmonella!$B$81</f>
        <v>-5.6403384443980187E-2</v>
      </c>
      <c r="Y59" s="10">
        <f>GraphSalmonella!$E$80*Salmonella!I59+GraphSalmonella!$E$81</f>
        <v>-5.2495943889084629E-2</v>
      </c>
      <c r="Z59" s="10">
        <f>GraphSalmonella!$H$80*Salmonella!I59+GraphSalmonella!$H$81</f>
        <v>-0.45205827668545329</v>
      </c>
    </row>
    <row r="60" spans="1:26" x14ac:dyDescent="0.2">
      <c r="A60" s="1" t="s">
        <v>66</v>
      </c>
      <c r="B60" s="1" t="s">
        <v>67</v>
      </c>
      <c r="C60" t="s">
        <v>312</v>
      </c>
      <c r="D60" t="s">
        <v>42</v>
      </c>
      <c r="E60" s="1" t="s">
        <v>1240</v>
      </c>
      <c r="F60" t="s">
        <v>1291</v>
      </c>
      <c r="I60" s="4">
        <v>63</v>
      </c>
      <c r="J60" s="11">
        <v>1.2</v>
      </c>
      <c r="L60" s="12">
        <f t="shared" si="1"/>
        <v>7.9181246047624818E-2</v>
      </c>
      <c r="M60" s="11">
        <f>GraphSalmonella!$B$10-(Salmonella!I60-GraphSalmonella!$B$6)/GraphSalmonella!$B$5</f>
        <v>-5.8869332195888968E-2</v>
      </c>
      <c r="N60" s="1" t="s">
        <v>543</v>
      </c>
      <c r="O60">
        <v>2001</v>
      </c>
      <c r="S60" s="10">
        <f>GraphSalmonella!$B$57*Salmonella!I60+GraphSalmonella!$B$58</f>
        <v>0.1713524190225808</v>
      </c>
      <c r="T60" s="10">
        <f>GraphSalmonella!$E$57*Salmonella!I60+GraphSalmonella!$E$58</f>
        <v>2.9897403910558187</v>
      </c>
      <c r="U60" s="10">
        <f>GraphSalmonella!$H$57*Salmonella!I60+GraphSalmonella!$H$58</f>
        <v>-5.7930449906682391E-2</v>
      </c>
      <c r="X60" s="10">
        <f>GraphSalmonella!$B$80*Salmonella!I60+GraphSalmonella!$B$81</f>
        <v>-5.6403384443980187E-2</v>
      </c>
      <c r="Y60" s="10">
        <f>GraphSalmonella!$E$80*Salmonella!I60+GraphSalmonella!$E$81</f>
        <v>-5.2495943889084629E-2</v>
      </c>
      <c r="Z60" s="10">
        <f>GraphSalmonella!$H$80*Salmonella!I60+GraphSalmonella!$H$81</f>
        <v>-0.45205827668545329</v>
      </c>
    </row>
    <row r="61" spans="1:26" x14ac:dyDescent="0.2">
      <c r="A61" s="1" t="s">
        <v>66</v>
      </c>
      <c r="B61" s="1" t="s">
        <v>67</v>
      </c>
      <c r="C61" t="s">
        <v>312</v>
      </c>
      <c r="D61" t="s">
        <v>42</v>
      </c>
      <c r="E61" s="1" t="s">
        <v>1240</v>
      </c>
      <c r="I61" s="4">
        <v>72</v>
      </c>
      <c r="J61" s="11">
        <v>0.09</v>
      </c>
      <c r="L61" s="12">
        <f t="shared" si="1"/>
        <v>-1.0457574905606752</v>
      </c>
      <c r="M61" s="11">
        <f>GraphSalmonella!$B$10-(Salmonella!I61-GraphSalmonella!$B$6)/GraphSalmonella!$B$5</f>
        <v>-1.0491491593119662</v>
      </c>
      <c r="N61" s="1" t="s">
        <v>308</v>
      </c>
      <c r="O61">
        <v>2000</v>
      </c>
      <c r="S61" s="10">
        <f>GraphSalmonella!$B$57*Salmonella!I61+GraphSalmonella!$B$58</f>
        <v>-0.3667600205296182</v>
      </c>
      <c r="T61" s="10">
        <f>GraphSalmonella!$E$57*Salmonella!I61+GraphSalmonella!$E$58</f>
        <v>2.5478896944142191</v>
      </c>
      <c r="U61" s="10">
        <f>GraphSalmonella!$H$57*Salmonella!I61+GraphSalmonella!$H$58</f>
        <v>-1.0479873566646196</v>
      </c>
      <c r="X61" s="10">
        <f>GraphSalmonella!$B$80*Salmonella!I61+GraphSalmonella!$B$81</f>
        <v>-1.0471628017887378</v>
      </c>
      <c r="Y61" s="10">
        <f>GraphSalmonella!$E$80*Salmonella!I61+GraphSalmonella!$E$81</f>
        <v>-1.0571597957480101</v>
      </c>
      <c r="Z61" s="10">
        <f>GraphSalmonella!$H$80*Salmonella!I61+GraphSalmonella!$H$81</f>
        <v>-1.6146950458218585</v>
      </c>
    </row>
    <row r="62" spans="1:26" x14ac:dyDescent="0.2">
      <c r="A62" s="1" t="s">
        <v>66</v>
      </c>
      <c r="B62" s="1" t="s">
        <v>1233</v>
      </c>
      <c r="D62" t="s">
        <v>42</v>
      </c>
      <c r="E62" s="1" t="s">
        <v>1240</v>
      </c>
      <c r="I62" s="4">
        <v>62.8</v>
      </c>
      <c r="J62" s="11">
        <v>0.06</v>
      </c>
      <c r="L62" s="12">
        <f t="shared" si="1"/>
        <v>-1.2218487496163564</v>
      </c>
      <c r="M62" s="11">
        <f>GraphSalmonella!$B$10-(Salmonella!I62-GraphSalmonella!$B$6)/GraphSalmonella!$B$5</f>
        <v>-3.6863113815531423E-2</v>
      </c>
      <c r="N62" s="1" t="s">
        <v>1093</v>
      </c>
      <c r="O62">
        <v>1997</v>
      </c>
      <c r="S62" s="10">
        <f>GraphSalmonella!$B$57*Salmonella!I62+GraphSalmonella!$B$58</f>
        <v>0.18331047323485183</v>
      </c>
      <c r="T62" s="10">
        <f>GraphSalmonella!$E$57*Salmonella!I62+GraphSalmonella!$E$58</f>
        <v>2.999559295425632</v>
      </c>
      <c r="U62" s="10">
        <f>GraphSalmonella!$H$57*Salmonella!I62+GraphSalmonella!$H$58</f>
        <v>-3.5929185312062017E-2</v>
      </c>
      <c r="X62" s="10">
        <f>GraphSalmonella!$B$80*Salmonella!I62+GraphSalmonella!$B$81</f>
        <v>-3.438650850298508E-2</v>
      </c>
      <c r="Y62" s="10">
        <f>GraphSalmonella!$E$80*Salmonella!I62+GraphSalmonella!$E$81</f>
        <v>-3.0170080514441366E-2</v>
      </c>
      <c r="Z62" s="10">
        <f>GraphSalmonella!$H$80*Salmonella!I62+GraphSalmonella!$H$81</f>
        <v>-0.426221904037976</v>
      </c>
    </row>
    <row r="63" spans="1:26" x14ac:dyDescent="0.2">
      <c r="A63" s="1" t="s">
        <v>66</v>
      </c>
      <c r="B63" s="1" t="s">
        <v>1233</v>
      </c>
      <c r="D63" t="s">
        <v>42</v>
      </c>
      <c r="E63" s="1" t="s">
        <v>1240</v>
      </c>
      <c r="I63" s="4">
        <v>62.8</v>
      </c>
      <c r="J63" s="11">
        <v>0.1</v>
      </c>
      <c r="L63" s="12">
        <f t="shared" si="1"/>
        <v>-1</v>
      </c>
      <c r="M63" s="11">
        <f>GraphSalmonella!$B$10-(Salmonella!I63-GraphSalmonella!$B$6)/GraphSalmonella!$B$5</f>
        <v>-3.6863113815531423E-2</v>
      </c>
      <c r="N63" s="1" t="s">
        <v>1093</v>
      </c>
      <c r="O63">
        <v>1997</v>
      </c>
      <c r="S63" s="10">
        <f>GraphSalmonella!$B$57*Salmonella!I63+GraphSalmonella!$B$58</f>
        <v>0.18331047323485183</v>
      </c>
      <c r="T63" s="10">
        <f>GraphSalmonella!$E$57*Salmonella!I63+GraphSalmonella!$E$58</f>
        <v>2.999559295425632</v>
      </c>
      <c r="U63" s="10">
        <f>GraphSalmonella!$H$57*Salmonella!I63+GraphSalmonella!$H$58</f>
        <v>-3.5929185312062017E-2</v>
      </c>
      <c r="X63" s="10">
        <f>GraphSalmonella!$B$80*Salmonella!I63+GraphSalmonella!$B$81</f>
        <v>-3.438650850298508E-2</v>
      </c>
      <c r="Y63" s="10">
        <f>GraphSalmonella!$E$80*Salmonella!I63+GraphSalmonella!$E$81</f>
        <v>-3.0170080514441366E-2</v>
      </c>
      <c r="Z63" s="10">
        <f>GraphSalmonella!$H$80*Salmonella!I63+GraphSalmonella!$H$81</f>
        <v>-0.426221904037976</v>
      </c>
    </row>
    <row r="64" spans="1:26" x14ac:dyDescent="0.2">
      <c r="A64" s="1" t="s">
        <v>66</v>
      </c>
      <c r="B64" s="1" t="s">
        <v>1233</v>
      </c>
      <c r="D64" t="s">
        <v>42</v>
      </c>
      <c r="E64" s="1" t="s">
        <v>1240</v>
      </c>
      <c r="I64" s="4">
        <v>61.5</v>
      </c>
      <c r="J64" s="11">
        <v>3.9E-2</v>
      </c>
      <c r="L64" s="12">
        <f t="shared" si="1"/>
        <v>-1.4089353929735009</v>
      </c>
      <c r="M64" s="11">
        <f>GraphSalmonella!$B$10-(Salmonella!I64-GraphSalmonella!$B$6)/GraphSalmonella!$B$5</f>
        <v>0.10617730565679051</v>
      </c>
      <c r="N64" s="1" t="s">
        <v>1093</v>
      </c>
      <c r="O64">
        <v>1997</v>
      </c>
      <c r="S64" s="10">
        <f>GraphSalmonella!$B$57*Salmonella!I64+GraphSalmonella!$B$58</f>
        <v>0.26103782561461397</v>
      </c>
      <c r="T64" s="10">
        <f>GraphSalmonella!$E$57*Salmonella!I64+GraphSalmonella!$E$58</f>
        <v>3.0633821738294182</v>
      </c>
      <c r="U64" s="10">
        <f>GraphSalmonella!$H$57*Salmonella!I64+GraphSalmonella!$H$58</f>
        <v>0.10707903455297352</v>
      </c>
      <c r="X64" s="10">
        <f>GraphSalmonella!$B$80*Salmonella!I64+GraphSalmonella!$B$81</f>
        <v>0.10872318511347956</v>
      </c>
      <c r="Y64" s="10">
        <f>GraphSalmonella!$E$80*Salmonella!I64+GraphSalmonella!$E$81</f>
        <v>0.11494803142073629</v>
      </c>
      <c r="Z64" s="10">
        <f>GraphSalmonella!$H$80*Salmonella!I64+GraphSalmonella!$H$81</f>
        <v>-0.25828548182938516</v>
      </c>
    </row>
    <row r="65" spans="1:26" x14ac:dyDescent="0.2">
      <c r="A65" s="1" t="s">
        <v>66</v>
      </c>
      <c r="B65" s="1" t="s">
        <v>1233</v>
      </c>
      <c r="D65" t="s">
        <v>42</v>
      </c>
      <c r="E65" s="1" t="s">
        <v>1240</v>
      </c>
      <c r="I65" s="4">
        <v>61.5</v>
      </c>
      <c r="J65" s="11">
        <v>5.8999999999999997E-2</v>
      </c>
      <c r="L65" s="12">
        <f t="shared" si="1"/>
        <v>-1.2291479883578558</v>
      </c>
      <c r="M65" s="11">
        <f>GraphSalmonella!$B$10-(Salmonella!I65-GraphSalmonella!$B$6)/GraphSalmonella!$B$5</f>
        <v>0.10617730565679051</v>
      </c>
      <c r="N65" s="1" t="s">
        <v>1093</v>
      </c>
      <c r="O65">
        <v>1997</v>
      </c>
      <c r="S65" s="10">
        <f>GraphSalmonella!$B$57*Salmonella!I65+GraphSalmonella!$B$58</f>
        <v>0.26103782561461397</v>
      </c>
      <c r="T65" s="10">
        <f>GraphSalmonella!$E$57*Salmonella!I65+GraphSalmonella!$E$58</f>
        <v>3.0633821738294182</v>
      </c>
      <c r="U65" s="10">
        <f>GraphSalmonella!$H$57*Salmonella!I65+GraphSalmonella!$H$58</f>
        <v>0.10707903455297352</v>
      </c>
      <c r="X65" s="10">
        <f>GraphSalmonella!$B$80*Salmonella!I65+GraphSalmonella!$B$81</f>
        <v>0.10872318511347956</v>
      </c>
      <c r="Y65" s="10">
        <f>GraphSalmonella!$E$80*Salmonella!I65+GraphSalmonella!$E$81</f>
        <v>0.11494803142073629</v>
      </c>
      <c r="Z65" s="10">
        <f>GraphSalmonella!$H$80*Salmonella!I65+GraphSalmonella!$H$81</f>
        <v>-0.25828548182938516</v>
      </c>
    </row>
    <row r="66" spans="1:26" x14ac:dyDescent="0.2">
      <c r="A66" s="1" t="s">
        <v>66</v>
      </c>
      <c r="B66" s="1" t="s">
        <v>1233</v>
      </c>
      <c r="D66" t="s">
        <v>42</v>
      </c>
      <c r="E66" s="1" t="s">
        <v>1240</v>
      </c>
      <c r="I66" s="4">
        <v>62.5</v>
      </c>
      <c r="J66" s="11">
        <v>0.21</v>
      </c>
      <c r="L66" s="12">
        <f t="shared" ref="L66:L97" si="2">LOG(J66)</f>
        <v>-0.6777807052660807</v>
      </c>
      <c r="M66" s="11">
        <f>GraphSalmonella!$B$10-(Salmonella!I66-GraphSalmonella!$B$6)/GraphSalmonella!$B$5</f>
        <v>-3.8537862449957716E-3</v>
      </c>
      <c r="N66" s="1" t="s">
        <v>1093</v>
      </c>
      <c r="O66">
        <v>1997</v>
      </c>
      <c r="S66" s="10">
        <f>GraphSalmonella!$B$57*Salmonella!I66+GraphSalmonella!$B$58</f>
        <v>0.20124755455325838</v>
      </c>
      <c r="T66" s="10">
        <f>GraphSalmonella!$E$57*Salmonella!I66+GraphSalmonella!$E$58</f>
        <v>3.0142876519803519</v>
      </c>
      <c r="U66" s="10">
        <f>GraphSalmonella!$H$57*Salmonella!I66+GraphSalmonella!$H$58</f>
        <v>-2.9272884201310134E-3</v>
      </c>
      <c r="X66" s="10">
        <f>GraphSalmonella!$B$80*Salmonella!I66+GraphSalmonella!$B$81</f>
        <v>-1.3611945914933088E-3</v>
      </c>
      <c r="Y66" s="10">
        <f>GraphSalmonella!$E$80*Salmonella!I66+GraphSalmonella!$E$81</f>
        <v>3.3187145475226387E-3</v>
      </c>
      <c r="Z66" s="10">
        <f>GraphSalmonella!$H$80*Salmonella!I66+GraphSalmonella!$H$81</f>
        <v>-0.38746734506676273</v>
      </c>
    </row>
    <row r="67" spans="1:26" x14ac:dyDescent="0.2">
      <c r="A67" s="1" t="s">
        <v>66</v>
      </c>
      <c r="B67" s="1" t="s">
        <v>1233</v>
      </c>
      <c r="D67" t="s">
        <v>42</v>
      </c>
      <c r="E67" s="1" t="s">
        <v>1240</v>
      </c>
      <c r="I67" s="4">
        <v>62.5</v>
      </c>
      <c r="J67" s="11">
        <v>0.48</v>
      </c>
      <c r="L67" s="12">
        <f t="shared" si="2"/>
        <v>-0.31875876262441277</v>
      </c>
      <c r="M67" s="11">
        <f>GraphSalmonella!$B$10-(Salmonella!I67-GraphSalmonella!$B$6)/GraphSalmonella!$B$5</f>
        <v>-3.8537862449957716E-3</v>
      </c>
      <c r="N67" s="1" t="s">
        <v>1093</v>
      </c>
      <c r="O67">
        <v>1997</v>
      </c>
      <c r="S67" s="10">
        <f>GraphSalmonella!$B$57*Salmonella!I67+GraphSalmonella!$B$58</f>
        <v>0.20124755455325838</v>
      </c>
      <c r="T67" s="10">
        <f>GraphSalmonella!$E$57*Salmonella!I67+GraphSalmonella!$E$58</f>
        <v>3.0142876519803519</v>
      </c>
      <c r="U67" s="10">
        <f>GraphSalmonella!$H$57*Salmonella!I67+GraphSalmonella!$H$58</f>
        <v>-2.9272884201310134E-3</v>
      </c>
      <c r="X67" s="10">
        <f>GraphSalmonella!$B$80*Salmonella!I67+GraphSalmonella!$B$81</f>
        <v>-1.3611945914933088E-3</v>
      </c>
      <c r="Y67" s="10">
        <f>GraphSalmonella!$E$80*Salmonella!I67+GraphSalmonella!$E$81</f>
        <v>3.3187145475226387E-3</v>
      </c>
      <c r="Z67" s="10">
        <f>GraphSalmonella!$H$80*Salmonella!I67+GraphSalmonella!$H$81</f>
        <v>-0.38746734506676273</v>
      </c>
    </row>
    <row r="68" spans="1:26" x14ac:dyDescent="0.2">
      <c r="A68" s="1" t="s">
        <v>66</v>
      </c>
      <c r="B68" s="1" t="s">
        <v>70</v>
      </c>
      <c r="D68" t="s">
        <v>42</v>
      </c>
      <c r="E68" s="1" t="s">
        <v>1240</v>
      </c>
      <c r="I68" s="4">
        <v>72</v>
      </c>
      <c r="J68" s="11">
        <v>3.0000000000000001E-3</v>
      </c>
      <c r="L68" s="12">
        <f t="shared" si="2"/>
        <v>-2.5228787452803374</v>
      </c>
      <c r="M68" s="11">
        <f>GraphSalmonella!$B$10-(Salmonella!I68-GraphSalmonella!$B$6)/GraphSalmonella!$B$5</f>
        <v>-1.0491491593119662</v>
      </c>
      <c r="N68" s="1" t="s">
        <v>308</v>
      </c>
      <c r="O68">
        <v>2000</v>
      </c>
      <c r="S68" s="10">
        <f>GraphSalmonella!$B$57*Salmonella!I68+GraphSalmonella!$B$58</f>
        <v>-0.3667600205296182</v>
      </c>
      <c r="T68" s="10">
        <f>GraphSalmonella!$E$57*Salmonella!I68+GraphSalmonella!$E$58</f>
        <v>2.5478896944142191</v>
      </c>
      <c r="U68" s="10">
        <f>GraphSalmonella!$H$57*Salmonella!I68+GraphSalmonella!$H$58</f>
        <v>-1.0479873566646196</v>
      </c>
      <c r="X68" s="10">
        <f>GraphSalmonella!$B$80*Salmonella!I68+GraphSalmonella!$B$81</f>
        <v>-1.0471628017887378</v>
      </c>
      <c r="Y68" s="10">
        <f>GraphSalmonella!$E$80*Salmonella!I68+GraphSalmonella!$E$81</f>
        <v>-1.0571597957480101</v>
      </c>
      <c r="Z68" s="10">
        <f>GraphSalmonella!$H$80*Salmonella!I68+GraphSalmonella!$H$81</f>
        <v>-1.6146950458218585</v>
      </c>
    </row>
    <row r="69" spans="1:26" x14ac:dyDescent="0.2">
      <c r="A69" s="1" t="s">
        <v>66</v>
      </c>
      <c r="B69" s="1" t="s">
        <v>70</v>
      </c>
      <c r="D69" t="s">
        <v>42</v>
      </c>
      <c r="E69" s="1" t="s">
        <v>1240</v>
      </c>
      <c r="I69" s="4">
        <v>62.8</v>
      </c>
      <c r="J69" s="11">
        <v>0.112</v>
      </c>
      <c r="L69" s="12">
        <f t="shared" si="2"/>
        <v>-0.9507819773298184</v>
      </c>
      <c r="M69" s="11">
        <f>GraphSalmonella!$B$10-(Salmonella!I69-GraphSalmonella!$B$6)/GraphSalmonella!$B$5</f>
        <v>-3.6863113815531423E-2</v>
      </c>
      <c r="N69" s="1" t="s">
        <v>1093</v>
      </c>
      <c r="O69">
        <v>1997</v>
      </c>
      <c r="S69" s="10">
        <f>GraphSalmonella!$B$57*Salmonella!I69+GraphSalmonella!$B$58</f>
        <v>0.18331047323485183</v>
      </c>
      <c r="T69" s="10">
        <f>GraphSalmonella!$E$57*Salmonella!I69+GraphSalmonella!$E$58</f>
        <v>2.999559295425632</v>
      </c>
      <c r="U69" s="10">
        <f>GraphSalmonella!$H$57*Salmonella!I69+GraphSalmonella!$H$58</f>
        <v>-3.5929185312062017E-2</v>
      </c>
      <c r="X69" s="10">
        <f>GraphSalmonella!$B$80*Salmonella!I69+GraphSalmonella!$B$81</f>
        <v>-3.438650850298508E-2</v>
      </c>
      <c r="Y69" s="10">
        <f>GraphSalmonella!$E$80*Salmonella!I69+GraphSalmonella!$E$81</f>
        <v>-3.0170080514441366E-2</v>
      </c>
      <c r="Z69" s="10">
        <f>GraphSalmonella!$H$80*Salmonella!I69+GraphSalmonella!$H$81</f>
        <v>-0.426221904037976</v>
      </c>
    </row>
    <row r="70" spans="1:26" x14ac:dyDescent="0.2">
      <c r="A70" s="1" t="s">
        <v>66</v>
      </c>
      <c r="B70" s="1" t="s">
        <v>1233</v>
      </c>
      <c r="D70" s="1" t="s">
        <v>45</v>
      </c>
      <c r="E70" s="1" t="s">
        <v>304</v>
      </c>
      <c r="F70" s="1" t="s">
        <v>1277</v>
      </c>
      <c r="G70" s="1"/>
      <c r="H70" s="4">
        <v>3.9</v>
      </c>
      <c r="I70" s="4">
        <v>56</v>
      </c>
      <c r="J70" s="11">
        <v>0.96</v>
      </c>
      <c r="K70" s="4">
        <v>6</v>
      </c>
      <c r="L70" s="12">
        <f t="shared" si="2"/>
        <v>-1.7728766960431602E-2</v>
      </c>
      <c r="M70" s="11">
        <f>GraphSalmonella!$B$10-(Salmonella!I70-GraphSalmonella!$B$6)/GraphSalmonella!$B$5</f>
        <v>0.71134831111661545</v>
      </c>
      <c r="N70" s="1" t="s">
        <v>1149</v>
      </c>
      <c r="O70">
        <v>2001</v>
      </c>
      <c r="P70" t="s">
        <v>366</v>
      </c>
      <c r="S70" s="10">
        <f>GraphSalmonella!$B$57*Salmonella!I70+GraphSalmonella!$B$58</f>
        <v>0.58988431645206907</v>
      </c>
      <c r="T70" s="10">
        <f>GraphSalmonella!$E$57*Salmonella!I70+GraphSalmonella!$E$58</f>
        <v>3.3334020439992846</v>
      </c>
      <c r="U70" s="10">
        <f>GraphSalmonella!$H$57*Salmonella!I70+GraphSalmonella!$H$58</f>
        <v>0.71211381090504577</v>
      </c>
      <c r="X70" s="10">
        <f>GraphSalmonella!$B$80*Salmonella!I70+GraphSalmonella!$B$81</f>
        <v>0.71418727349083166</v>
      </c>
      <c r="Y70" s="10">
        <f>GraphSalmonella!$E$80*Salmonella!I70+GraphSalmonella!$E$81</f>
        <v>0.72890927422341356</v>
      </c>
      <c r="Z70" s="10">
        <f>GraphSalmonella!$H$80*Salmonella!I70+GraphSalmonella!$H$81</f>
        <v>0.45221476597619681</v>
      </c>
    </row>
    <row r="71" spans="1:26" x14ac:dyDescent="0.2">
      <c r="A71" s="1" t="s">
        <v>66</v>
      </c>
      <c r="B71" s="1" t="s">
        <v>1233</v>
      </c>
      <c r="D71" s="1" t="s">
        <v>45</v>
      </c>
      <c r="E71" s="1" t="s">
        <v>304</v>
      </c>
      <c r="F71" s="1" t="s">
        <v>1277</v>
      </c>
      <c r="G71" s="1"/>
      <c r="H71" s="4">
        <v>3.9</v>
      </c>
      <c r="I71" s="4">
        <v>60</v>
      </c>
      <c r="J71" s="11">
        <v>0.28000000000000003</v>
      </c>
      <c r="K71" s="4">
        <v>6</v>
      </c>
      <c r="L71" s="12">
        <f t="shared" si="2"/>
        <v>-0.55284196865778079</v>
      </c>
      <c r="M71" s="11">
        <f>GraphSalmonella!$B$10-(Salmonella!I71-GraphSalmonella!$B$6)/GraphSalmonella!$B$5</f>
        <v>0.2712239435094701</v>
      </c>
      <c r="N71" s="1" t="s">
        <v>1149</v>
      </c>
      <c r="O71">
        <v>2001</v>
      </c>
      <c r="P71" t="s">
        <v>366</v>
      </c>
      <c r="S71" s="10">
        <f>GraphSalmonella!$B$57*Salmonella!I71+GraphSalmonella!$B$58</f>
        <v>0.35072323220664714</v>
      </c>
      <c r="T71" s="10">
        <f>GraphSalmonella!$E$57*Salmonella!I71+GraphSalmonella!$E$58</f>
        <v>3.1370239566030182</v>
      </c>
      <c r="U71" s="10">
        <f>GraphSalmonella!$H$57*Salmonella!I71+GraphSalmonella!$H$58</f>
        <v>0.27208851901262943</v>
      </c>
      <c r="X71" s="10">
        <f>GraphSalmonella!$B$80*Salmonella!I71+GraphSalmonella!$B$81</f>
        <v>0.2738497546709393</v>
      </c>
      <c r="Y71" s="10">
        <f>GraphSalmonella!$E$80*Salmonella!I71+GraphSalmonella!$E$81</f>
        <v>0.2823920067305572</v>
      </c>
      <c r="Z71" s="10">
        <f>GraphSalmonella!$H$80*Salmonella!I71+GraphSalmonella!$H$81</f>
        <v>-6.4512686973317024E-2</v>
      </c>
    </row>
    <row r="72" spans="1:26" x14ac:dyDescent="0.2">
      <c r="A72" s="1" t="s">
        <v>66</v>
      </c>
      <c r="B72" s="1" t="s">
        <v>1233</v>
      </c>
      <c r="D72" s="1" t="s">
        <v>45</v>
      </c>
      <c r="E72" s="1" t="s">
        <v>304</v>
      </c>
      <c r="F72" s="1" t="s">
        <v>1277</v>
      </c>
      <c r="G72" s="1"/>
      <c r="H72" s="4">
        <v>3.9</v>
      </c>
      <c r="I72" s="4">
        <v>62</v>
      </c>
      <c r="J72" s="11">
        <v>0.09</v>
      </c>
      <c r="K72" s="4">
        <v>6</v>
      </c>
      <c r="L72" s="12">
        <f t="shared" si="2"/>
        <v>-1.0457574905606752</v>
      </c>
      <c r="M72" s="11">
        <f>GraphSalmonella!$B$10-(Salmonella!I72-GraphSalmonella!$B$6)/GraphSalmonella!$B$5</f>
        <v>5.1161759705897314E-2</v>
      </c>
      <c r="N72" s="1" t="s">
        <v>1149</v>
      </c>
      <c r="O72">
        <v>2001</v>
      </c>
      <c r="P72" t="s">
        <v>366</v>
      </c>
      <c r="S72" s="10">
        <f>GraphSalmonella!$B$57*Salmonella!I72+GraphSalmonella!$B$58</f>
        <v>0.23114269008393595</v>
      </c>
      <c r="T72" s="10">
        <f>GraphSalmonella!$E$57*Salmonella!I72+GraphSalmonella!$E$58</f>
        <v>3.0388349129048851</v>
      </c>
      <c r="U72" s="10">
        <f>GraphSalmonella!$H$57*Salmonella!I72+GraphSalmonella!$H$58</f>
        <v>5.2075873066421252E-2</v>
      </c>
      <c r="X72" s="10">
        <f>GraphSalmonella!$B$80*Salmonella!I72+GraphSalmonella!$B$81</f>
        <v>5.3680995260992681E-2</v>
      </c>
      <c r="Y72" s="10">
        <f>GraphSalmonella!$E$80*Salmonella!I72+GraphSalmonella!$E$81</f>
        <v>5.9133372984129906E-2</v>
      </c>
      <c r="Z72" s="10">
        <f>GraphSalmonella!$H$80*Salmonella!I72+GraphSalmonella!$H$81</f>
        <v>-0.32287641344807394</v>
      </c>
    </row>
    <row r="73" spans="1:26" x14ac:dyDescent="0.2">
      <c r="A73" s="1" t="s">
        <v>66</v>
      </c>
      <c r="B73" s="1" t="s">
        <v>1233</v>
      </c>
      <c r="D73" s="1" t="s">
        <v>45</v>
      </c>
      <c r="E73" s="1" t="s">
        <v>304</v>
      </c>
      <c r="F73" s="1" t="s">
        <v>1277</v>
      </c>
      <c r="G73" s="1"/>
      <c r="H73" s="4">
        <v>3.9</v>
      </c>
      <c r="I73" s="4">
        <v>56</v>
      </c>
      <c r="J73" s="11">
        <v>1.07</v>
      </c>
      <c r="K73" s="4">
        <v>5.8</v>
      </c>
      <c r="L73" s="12">
        <f t="shared" si="2"/>
        <v>2.9383777685209667E-2</v>
      </c>
      <c r="M73" s="11">
        <f>GraphSalmonella!$B$10-(Salmonella!I73-GraphSalmonella!$B$6)/GraphSalmonella!$B$5</f>
        <v>0.71134831111661545</v>
      </c>
      <c r="N73" s="1" t="s">
        <v>1149</v>
      </c>
      <c r="O73">
        <v>2001</v>
      </c>
      <c r="P73" t="s">
        <v>1042</v>
      </c>
      <c r="S73" s="10">
        <f>GraphSalmonella!$B$57*Salmonella!I73+GraphSalmonella!$B$58</f>
        <v>0.58988431645206907</v>
      </c>
      <c r="T73" s="10">
        <f>GraphSalmonella!$E$57*Salmonella!I73+GraphSalmonella!$E$58</f>
        <v>3.3334020439992846</v>
      </c>
      <c r="U73" s="10">
        <f>GraphSalmonella!$H$57*Salmonella!I73+GraphSalmonella!$H$58</f>
        <v>0.71211381090504577</v>
      </c>
      <c r="X73" s="10">
        <f>GraphSalmonella!$B$80*Salmonella!I73+GraphSalmonella!$B$81</f>
        <v>0.71418727349083166</v>
      </c>
      <c r="Y73" s="10">
        <f>GraphSalmonella!$E$80*Salmonella!I73+GraphSalmonella!$E$81</f>
        <v>0.72890927422341356</v>
      </c>
      <c r="Z73" s="10">
        <f>GraphSalmonella!$H$80*Salmonella!I73+GraphSalmonella!$H$81</f>
        <v>0.45221476597619681</v>
      </c>
    </row>
    <row r="74" spans="1:26" x14ac:dyDescent="0.2">
      <c r="A74" s="1" t="s">
        <v>66</v>
      </c>
      <c r="B74" s="1" t="s">
        <v>1233</v>
      </c>
      <c r="D74" s="1" t="s">
        <v>45</v>
      </c>
      <c r="E74" s="1" t="s">
        <v>304</v>
      </c>
      <c r="F74" s="1" t="s">
        <v>1277</v>
      </c>
      <c r="G74" s="1"/>
      <c r="H74" s="4">
        <v>3.9</v>
      </c>
      <c r="I74" s="4">
        <v>60</v>
      </c>
      <c r="J74" s="11">
        <v>0.32</v>
      </c>
      <c r="K74" s="4">
        <v>5.8</v>
      </c>
      <c r="L74" s="12">
        <f t="shared" si="2"/>
        <v>-0.49485002168009401</v>
      </c>
      <c r="M74" s="11">
        <f>GraphSalmonella!$B$10-(Salmonella!I74-GraphSalmonella!$B$6)/GraphSalmonella!$B$5</f>
        <v>0.2712239435094701</v>
      </c>
      <c r="N74" s="1" t="s">
        <v>1149</v>
      </c>
      <c r="O74">
        <v>2001</v>
      </c>
      <c r="P74" t="s">
        <v>1042</v>
      </c>
      <c r="S74" s="10">
        <f>GraphSalmonella!$B$57*Salmonella!I74+GraphSalmonella!$B$58</f>
        <v>0.35072323220664714</v>
      </c>
      <c r="T74" s="10">
        <f>GraphSalmonella!$E$57*Salmonella!I74+GraphSalmonella!$E$58</f>
        <v>3.1370239566030182</v>
      </c>
      <c r="U74" s="10">
        <f>GraphSalmonella!$H$57*Salmonella!I74+GraphSalmonella!$H$58</f>
        <v>0.27208851901262943</v>
      </c>
      <c r="X74" s="10">
        <f>GraphSalmonella!$B$80*Salmonella!I74+GraphSalmonella!$B$81</f>
        <v>0.2738497546709393</v>
      </c>
      <c r="Y74" s="10">
        <f>GraphSalmonella!$E$80*Salmonella!I74+GraphSalmonella!$E$81</f>
        <v>0.2823920067305572</v>
      </c>
      <c r="Z74" s="10">
        <f>GraphSalmonella!$H$80*Salmonella!I74+GraphSalmonella!$H$81</f>
        <v>-6.4512686973317024E-2</v>
      </c>
    </row>
    <row r="75" spans="1:26" x14ac:dyDescent="0.2">
      <c r="A75" s="1" t="s">
        <v>66</v>
      </c>
      <c r="B75" s="1" t="s">
        <v>1233</v>
      </c>
      <c r="D75" s="1" t="s">
        <v>45</v>
      </c>
      <c r="E75" s="1" t="s">
        <v>304</v>
      </c>
      <c r="F75" s="1" t="s">
        <v>1277</v>
      </c>
      <c r="G75" s="1"/>
      <c r="H75" s="4">
        <v>3.9</v>
      </c>
      <c r="I75" s="4">
        <v>62</v>
      </c>
      <c r="J75" s="11">
        <v>0.09</v>
      </c>
      <c r="K75" s="4">
        <v>5.8</v>
      </c>
      <c r="L75" s="12">
        <f t="shared" si="2"/>
        <v>-1.0457574905606752</v>
      </c>
      <c r="M75" s="11">
        <f>GraphSalmonella!$B$10-(Salmonella!I75-GraphSalmonella!$B$6)/GraphSalmonella!$B$5</f>
        <v>5.1161759705897314E-2</v>
      </c>
      <c r="N75" s="1" t="s">
        <v>1149</v>
      </c>
      <c r="O75">
        <v>2001</v>
      </c>
      <c r="P75" t="s">
        <v>1042</v>
      </c>
      <c r="S75" s="10">
        <f>GraphSalmonella!$B$57*Salmonella!I75+GraphSalmonella!$B$58</f>
        <v>0.23114269008393595</v>
      </c>
      <c r="T75" s="10">
        <f>GraphSalmonella!$E$57*Salmonella!I75+GraphSalmonella!$E$58</f>
        <v>3.0388349129048851</v>
      </c>
      <c r="U75" s="10">
        <f>GraphSalmonella!$H$57*Salmonella!I75+GraphSalmonella!$H$58</f>
        <v>5.2075873066421252E-2</v>
      </c>
      <c r="X75" s="10">
        <f>GraphSalmonella!$B$80*Salmonella!I75+GraphSalmonella!$B$81</f>
        <v>5.3680995260992681E-2</v>
      </c>
      <c r="Y75" s="10">
        <f>GraphSalmonella!$E$80*Salmonella!I75+GraphSalmonella!$E$81</f>
        <v>5.9133372984129906E-2</v>
      </c>
      <c r="Z75" s="10">
        <f>GraphSalmonella!$H$80*Salmonella!I75+GraphSalmonella!$H$81</f>
        <v>-0.32287641344807394</v>
      </c>
    </row>
    <row r="76" spans="1:26" x14ac:dyDescent="0.2">
      <c r="A76" s="1" t="s">
        <v>66</v>
      </c>
      <c r="B76" s="1" t="s">
        <v>1233</v>
      </c>
      <c r="D76" s="1" t="s">
        <v>45</v>
      </c>
      <c r="E76" s="1" t="s">
        <v>1148</v>
      </c>
      <c r="F76" s="1" t="s">
        <v>1277</v>
      </c>
      <c r="G76" s="1"/>
      <c r="H76" s="4">
        <v>3.9</v>
      </c>
      <c r="I76" s="4">
        <v>56</v>
      </c>
      <c r="J76" s="11">
        <v>2.4300000000000002</v>
      </c>
      <c r="K76" s="4">
        <v>6.2</v>
      </c>
      <c r="L76" s="12">
        <f t="shared" si="2"/>
        <v>0.38560627359831223</v>
      </c>
      <c r="M76" s="11">
        <f>GraphSalmonella!$B$10-(Salmonella!I76-GraphSalmonella!$B$6)/GraphSalmonella!$B$5</f>
        <v>0.71134831111661545</v>
      </c>
      <c r="N76" s="1" t="s">
        <v>1149</v>
      </c>
      <c r="O76">
        <v>2001</v>
      </c>
      <c r="P76" t="s">
        <v>366</v>
      </c>
      <c r="S76" s="10">
        <f>GraphSalmonella!$B$57*Salmonella!I76+GraphSalmonella!$B$58</f>
        <v>0.58988431645206907</v>
      </c>
      <c r="T76" s="10">
        <f>GraphSalmonella!$E$57*Salmonella!I76+GraphSalmonella!$E$58</f>
        <v>3.3334020439992846</v>
      </c>
      <c r="U76" s="10">
        <f>GraphSalmonella!$H$57*Salmonella!I76+GraphSalmonella!$H$58</f>
        <v>0.71211381090504577</v>
      </c>
      <c r="X76" s="10">
        <f>GraphSalmonella!$B$80*Salmonella!I76+GraphSalmonella!$B$81</f>
        <v>0.71418727349083166</v>
      </c>
      <c r="Y76" s="10">
        <f>GraphSalmonella!$E$80*Salmonella!I76+GraphSalmonella!$E$81</f>
        <v>0.72890927422341356</v>
      </c>
      <c r="Z76" s="10">
        <f>GraphSalmonella!$H$80*Salmonella!I76+GraphSalmonella!$H$81</f>
        <v>0.45221476597619681</v>
      </c>
    </row>
    <row r="77" spans="1:26" x14ac:dyDescent="0.2">
      <c r="A77" s="1" t="s">
        <v>66</v>
      </c>
      <c r="B77" s="1" t="s">
        <v>1233</v>
      </c>
      <c r="D77" s="1" t="s">
        <v>45</v>
      </c>
      <c r="E77" s="1" t="s">
        <v>1148</v>
      </c>
      <c r="F77" s="1" t="s">
        <v>1277</v>
      </c>
      <c r="G77" s="1"/>
      <c r="H77" s="4">
        <v>3.9</v>
      </c>
      <c r="I77" s="4">
        <v>60</v>
      </c>
      <c r="J77" s="11">
        <v>0.44</v>
      </c>
      <c r="K77" s="4">
        <v>6.2</v>
      </c>
      <c r="L77" s="12">
        <f t="shared" si="2"/>
        <v>-0.35654732351381258</v>
      </c>
      <c r="M77" s="11">
        <f>GraphSalmonella!$B$10-(Salmonella!I77-GraphSalmonella!$B$6)/GraphSalmonella!$B$5</f>
        <v>0.2712239435094701</v>
      </c>
      <c r="N77" s="1" t="s">
        <v>1149</v>
      </c>
      <c r="O77">
        <v>2001</v>
      </c>
      <c r="P77" t="s">
        <v>366</v>
      </c>
      <c r="S77" s="10">
        <f>GraphSalmonella!$B$57*Salmonella!I77+GraphSalmonella!$B$58</f>
        <v>0.35072323220664714</v>
      </c>
      <c r="T77" s="10">
        <f>GraphSalmonella!$E$57*Salmonella!I77+GraphSalmonella!$E$58</f>
        <v>3.1370239566030182</v>
      </c>
      <c r="U77" s="10">
        <f>GraphSalmonella!$H$57*Salmonella!I77+GraphSalmonella!$H$58</f>
        <v>0.27208851901262943</v>
      </c>
      <c r="X77" s="10">
        <f>GraphSalmonella!$B$80*Salmonella!I77+GraphSalmonella!$B$81</f>
        <v>0.2738497546709393</v>
      </c>
      <c r="Y77" s="10">
        <f>GraphSalmonella!$E$80*Salmonella!I77+GraphSalmonella!$E$81</f>
        <v>0.2823920067305572</v>
      </c>
      <c r="Z77" s="10">
        <f>GraphSalmonella!$H$80*Salmonella!I77+GraphSalmonella!$H$81</f>
        <v>-6.4512686973317024E-2</v>
      </c>
    </row>
    <row r="78" spans="1:26" x14ac:dyDescent="0.2">
      <c r="A78" s="1" t="s">
        <v>66</v>
      </c>
      <c r="B78" s="1" t="s">
        <v>1233</v>
      </c>
      <c r="D78" s="1" t="s">
        <v>45</v>
      </c>
      <c r="E78" s="1" t="s">
        <v>1148</v>
      </c>
      <c r="F78" s="1" t="s">
        <v>1277</v>
      </c>
      <c r="G78" s="1"/>
      <c r="H78" s="4">
        <v>3.9</v>
      </c>
      <c r="I78" s="4">
        <v>62</v>
      </c>
      <c r="J78" s="11">
        <v>0.28000000000000003</v>
      </c>
      <c r="K78" s="4">
        <v>6.2</v>
      </c>
      <c r="L78" s="12">
        <f t="shared" si="2"/>
        <v>-0.55284196865778079</v>
      </c>
      <c r="M78" s="11">
        <f>GraphSalmonella!$B$10-(Salmonella!I78-GraphSalmonella!$B$6)/GraphSalmonella!$B$5</f>
        <v>5.1161759705897314E-2</v>
      </c>
      <c r="N78" s="1" t="s">
        <v>1149</v>
      </c>
      <c r="O78">
        <v>2001</v>
      </c>
      <c r="P78" t="s">
        <v>366</v>
      </c>
      <c r="S78" s="10">
        <f>GraphSalmonella!$B$57*Salmonella!I78+GraphSalmonella!$B$58</f>
        <v>0.23114269008393595</v>
      </c>
      <c r="T78" s="10">
        <f>GraphSalmonella!$E$57*Salmonella!I78+GraphSalmonella!$E$58</f>
        <v>3.0388349129048851</v>
      </c>
      <c r="U78" s="10">
        <f>GraphSalmonella!$H$57*Salmonella!I78+GraphSalmonella!$H$58</f>
        <v>5.2075873066421252E-2</v>
      </c>
      <c r="X78" s="10">
        <f>GraphSalmonella!$B$80*Salmonella!I78+GraphSalmonella!$B$81</f>
        <v>5.3680995260992681E-2</v>
      </c>
      <c r="Y78" s="10">
        <f>GraphSalmonella!$E$80*Salmonella!I78+GraphSalmonella!$E$81</f>
        <v>5.9133372984129906E-2</v>
      </c>
      <c r="Z78" s="10">
        <f>GraphSalmonella!$H$80*Salmonella!I78+GraphSalmonella!$H$81</f>
        <v>-0.32287641344807394</v>
      </c>
    </row>
    <row r="79" spans="1:26" x14ac:dyDescent="0.2">
      <c r="A79" s="1" t="s">
        <v>66</v>
      </c>
      <c r="B79" s="1" t="s">
        <v>1233</v>
      </c>
      <c r="D79" s="1" t="s">
        <v>45</v>
      </c>
      <c r="E79" s="1" t="s">
        <v>1148</v>
      </c>
      <c r="F79" s="1" t="s">
        <v>1277</v>
      </c>
      <c r="G79" s="1"/>
      <c r="H79" s="4">
        <v>3.9</v>
      </c>
      <c r="I79" s="4">
        <v>56</v>
      </c>
      <c r="J79" s="11">
        <v>3.62</v>
      </c>
      <c r="K79" s="4">
        <v>6.1</v>
      </c>
      <c r="L79" s="12">
        <f t="shared" si="2"/>
        <v>0.55870857053316569</v>
      </c>
      <c r="M79" s="11">
        <f>GraphSalmonella!$B$10-(Salmonella!I79-GraphSalmonella!$B$6)/GraphSalmonella!$B$5</f>
        <v>0.71134831111661545</v>
      </c>
      <c r="N79" s="1" t="s">
        <v>1149</v>
      </c>
      <c r="O79">
        <v>2001</v>
      </c>
      <c r="P79" t="s">
        <v>1042</v>
      </c>
      <c r="S79" s="10">
        <f>GraphSalmonella!$B$57*Salmonella!I79+GraphSalmonella!$B$58</f>
        <v>0.58988431645206907</v>
      </c>
      <c r="T79" s="10">
        <f>GraphSalmonella!$E$57*Salmonella!I79+GraphSalmonella!$E$58</f>
        <v>3.3334020439992846</v>
      </c>
      <c r="U79" s="10">
        <f>GraphSalmonella!$H$57*Salmonella!I79+GraphSalmonella!$H$58</f>
        <v>0.71211381090504577</v>
      </c>
      <c r="X79" s="10">
        <f>GraphSalmonella!$B$80*Salmonella!I79+GraphSalmonella!$B$81</f>
        <v>0.71418727349083166</v>
      </c>
      <c r="Y79" s="10">
        <f>GraphSalmonella!$E$80*Salmonella!I79+GraphSalmonella!$E$81</f>
        <v>0.72890927422341356</v>
      </c>
      <c r="Z79" s="10">
        <f>GraphSalmonella!$H$80*Salmonella!I79+GraphSalmonella!$H$81</f>
        <v>0.45221476597619681</v>
      </c>
    </row>
    <row r="80" spans="1:26" x14ac:dyDescent="0.2">
      <c r="A80" s="1" t="s">
        <v>66</v>
      </c>
      <c r="B80" s="1" t="s">
        <v>1233</v>
      </c>
      <c r="D80" s="1" t="s">
        <v>45</v>
      </c>
      <c r="E80" s="1" t="s">
        <v>1148</v>
      </c>
      <c r="F80" s="1" t="s">
        <v>1277</v>
      </c>
      <c r="G80" s="1"/>
      <c r="H80" s="4">
        <v>3.9</v>
      </c>
      <c r="I80" s="4">
        <v>60</v>
      </c>
      <c r="J80" s="11">
        <v>0.95</v>
      </c>
      <c r="K80" s="4">
        <v>6.1</v>
      </c>
      <c r="L80" s="12">
        <f t="shared" si="2"/>
        <v>-2.2276394711152253E-2</v>
      </c>
      <c r="M80" s="11">
        <f>GraphSalmonella!$B$10-(Salmonella!I80-GraphSalmonella!$B$6)/GraphSalmonella!$B$5</f>
        <v>0.2712239435094701</v>
      </c>
      <c r="N80" s="1" t="s">
        <v>1149</v>
      </c>
      <c r="O80">
        <v>2001</v>
      </c>
      <c r="P80" t="s">
        <v>1042</v>
      </c>
      <c r="S80" s="10">
        <f>GraphSalmonella!$B$57*Salmonella!I80+GraphSalmonella!$B$58</f>
        <v>0.35072323220664714</v>
      </c>
      <c r="T80" s="10">
        <f>GraphSalmonella!$E$57*Salmonella!I80+GraphSalmonella!$E$58</f>
        <v>3.1370239566030182</v>
      </c>
      <c r="U80" s="10">
        <f>GraphSalmonella!$H$57*Salmonella!I80+GraphSalmonella!$H$58</f>
        <v>0.27208851901262943</v>
      </c>
      <c r="X80" s="10">
        <f>GraphSalmonella!$B$80*Salmonella!I80+GraphSalmonella!$B$81</f>
        <v>0.2738497546709393</v>
      </c>
      <c r="Y80" s="10">
        <f>GraphSalmonella!$E$80*Salmonella!I80+GraphSalmonella!$E$81</f>
        <v>0.2823920067305572</v>
      </c>
      <c r="Z80" s="10">
        <f>GraphSalmonella!$H$80*Salmonella!I80+GraphSalmonella!$H$81</f>
        <v>-6.4512686973317024E-2</v>
      </c>
    </row>
    <row r="81" spans="1:26" x14ac:dyDescent="0.2">
      <c r="A81" s="1" t="s">
        <v>66</v>
      </c>
      <c r="B81" s="1" t="s">
        <v>1233</v>
      </c>
      <c r="D81" s="1" t="s">
        <v>45</v>
      </c>
      <c r="E81" s="1" t="s">
        <v>1148</v>
      </c>
      <c r="F81" s="1" t="s">
        <v>1277</v>
      </c>
      <c r="G81" s="1"/>
      <c r="H81" s="4">
        <v>3.9</v>
      </c>
      <c r="I81" s="4">
        <v>62</v>
      </c>
      <c r="J81" s="11">
        <v>0.36</v>
      </c>
      <c r="K81" s="4">
        <v>6.1</v>
      </c>
      <c r="L81" s="12">
        <f t="shared" si="2"/>
        <v>-0.44369749923271273</v>
      </c>
      <c r="M81" s="11">
        <f>GraphSalmonella!$B$10-(Salmonella!I81-GraphSalmonella!$B$6)/GraphSalmonella!$B$5</f>
        <v>5.1161759705897314E-2</v>
      </c>
      <c r="N81" s="1" t="s">
        <v>1149</v>
      </c>
      <c r="O81">
        <v>2001</v>
      </c>
      <c r="P81" t="s">
        <v>1042</v>
      </c>
      <c r="S81" s="10">
        <f>GraphSalmonella!$B$57*Salmonella!I81+GraphSalmonella!$B$58</f>
        <v>0.23114269008393595</v>
      </c>
      <c r="T81" s="10">
        <f>GraphSalmonella!$E$57*Salmonella!I81+GraphSalmonella!$E$58</f>
        <v>3.0388349129048851</v>
      </c>
      <c r="U81" s="10">
        <f>GraphSalmonella!$H$57*Salmonella!I81+GraphSalmonella!$H$58</f>
        <v>5.2075873066421252E-2</v>
      </c>
      <c r="X81" s="10">
        <f>GraphSalmonella!$B$80*Salmonella!I81+GraphSalmonella!$B$81</f>
        <v>5.3680995260992681E-2</v>
      </c>
      <c r="Y81" s="10">
        <f>GraphSalmonella!$E$80*Salmonella!I81+GraphSalmonella!$E$81</f>
        <v>5.9133372984129906E-2</v>
      </c>
      <c r="Z81" s="10">
        <f>GraphSalmonella!$H$80*Salmonella!I81+GraphSalmonella!$H$81</f>
        <v>-0.32287641344807394</v>
      </c>
    </row>
    <row r="82" spans="1:26" x14ac:dyDescent="0.2">
      <c r="A82" s="1" t="s">
        <v>66</v>
      </c>
      <c r="B82" s="1" t="s">
        <v>1233</v>
      </c>
      <c r="D82" s="1" t="s">
        <v>45</v>
      </c>
      <c r="E82" s="1" t="s">
        <v>1147</v>
      </c>
      <c r="F82" s="1" t="s">
        <v>1277</v>
      </c>
      <c r="G82" s="1"/>
      <c r="H82" s="4">
        <v>3.9</v>
      </c>
      <c r="I82" s="4">
        <v>56</v>
      </c>
      <c r="J82" s="11">
        <v>1.61</v>
      </c>
      <c r="K82" s="4">
        <v>4.5999999999999996</v>
      </c>
      <c r="L82" s="12">
        <f t="shared" si="2"/>
        <v>0.20682587603184974</v>
      </c>
      <c r="M82" s="11">
        <f>GraphSalmonella!$B$10-(Salmonella!I82-GraphSalmonella!$B$6)/GraphSalmonella!$B$5</f>
        <v>0.71134831111661545</v>
      </c>
      <c r="N82" s="1" t="s">
        <v>1149</v>
      </c>
      <c r="O82">
        <v>2001</v>
      </c>
      <c r="P82" t="s">
        <v>366</v>
      </c>
      <c r="S82" s="10">
        <f>GraphSalmonella!$B$57*Salmonella!I82+GraphSalmonella!$B$58</f>
        <v>0.58988431645206907</v>
      </c>
      <c r="T82" s="10">
        <f>GraphSalmonella!$E$57*Salmonella!I82+GraphSalmonella!$E$58</f>
        <v>3.3334020439992846</v>
      </c>
      <c r="U82" s="10">
        <f>GraphSalmonella!$H$57*Salmonella!I82+GraphSalmonella!$H$58</f>
        <v>0.71211381090504577</v>
      </c>
      <c r="X82" s="10">
        <f>GraphSalmonella!$B$80*Salmonella!I82+GraphSalmonella!$B$81</f>
        <v>0.71418727349083166</v>
      </c>
      <c r="Y82" s="10">
        <f>GraphSalmonella!$E$80*Salmonella!I82+GraphSalmonella!$E$81</f>
        <v>0.72890927422341356</v>
      </c>
      <c r="Z82" s="10">
        <f>GraphSalmonella!$H$80*Salmonella!I82+GraphSalmonella!$H$81</f>
        <v>0.45221476597619681</v>
      </c>
    </row>
    <row r="83" spans="1:26" x14ac:dyDescent="0.2">
      <c r="A83" s="1" t="s">
        <v>66</v>
      </c>
      <c r="B83" s="1" t="s">
        <v>1233</v>
      </c>
      <c r="D83" s="1" t="s">
        <v>45</v>
      </c>
      <c r="E83" s="1" t="s">
        <v>1147</v>
      </c>
      <c r="F83" s="1" t="s">
        <v>1277</v>
      </c>
      <c r="G83" s="1"/>
      <c r="H83" s="4">
        <v>3.9</v>
      </c>
      <c r="I83" s="4">
        <v>60</v>
      </c>
      <c r="J83" s="11">
        <v>0.21</v>
      </c>
      <c r="K83" s="4">
        <v>4.5999999999999996</v>
      </c>
      <c r="L83" s="12">
        <f t="shared" si="2"/>
        <v>-0.6777807052660807</v>
      </c>
      <c r="M83" s="11">
        <f>GraphSalmonella!$B$10-(Salmonella!I83-GraphSalmonella!$B$6)/GraphSalmonella!$B$5</f>
        <v>0.2712239435094701</v>
      </c>
      <c r="N83" s="1" t="s">
        <v>1149</v>
      </c>
      <c r="O83">
        <v>2001</v>
      </c>
      <c r="P83" t="s">
        <v>366</v>
      </c>
      <c r="S83" s="10">
        <f>GraphSalmonella!$B$57*Salmonella!I83+GraphSalmonella!$B$58</f>
        <v>0.35072323220664714</v>
      </c>
      <c r="T83" s="10">
        <f>GraphSalmonella!$E$57*Salmonella!I83+GraphSalmonella!$E$58</f>
        <v>3.1370239566030182</v>
      </c>
      <c r="U83" s="10">
        <f>GraphSalmonella!$H$57*Salmonella!I83+GraphSalmonella!$H$58</f>
        <v>0.27208851901262943</v>
      </c>
      <c r="X83" s="10">
        <f>GraphSalmonella!$B$80*Salmonella!I83+GraphSalmonella!$B$81</f>
        <v>0.2738497546709393</v>
      </c>
      <c r="Y83" s="10">
        <f>GraphSalmonella!$E$80*Salmonella!I83+GraphSalmonella!$E$81</f>
        <v>0.2823920067305572</v>
      </c>
      <c r="Z83" s="10">
        <f>GraphSalmonella!$H$80*Salmonella!I83+GraphSalmonella!$H$81</f>
        <v>-6.4512686973317024E-2</v>
      </c>
    </row>
    <row r="84" spans="1:26" x14ac:dyDescent="0.2">
      <c r="A84" s="1" t="s">
        <v>66</v>
      </c>
      <c r="B84" s="1" t="s">
        <v>1233</v>
      </c>
      <c r="D84" s="1" t="s">
        <v>45</v>
      </c>
      <c r="E84" s="1" t="s">
        <v>1147</v>
      </c>
      <c r="F84" s="1" t="s">
        <v>1277</v>
      </c>
      <c r="G84" s="1"/>
      <c r="H84" s="4">
        <v>3.9</v>
      </c>
      <c r="I84" s="4">
        <v>62</v>
      </c>
      <c r="J84" s="11">
        <v>0.08</v>
      </c>
      <c r="K84" s="4">
        <v>4.5999999999999996</v>
      </c>
      <c r="L84" s="12">
        <f t="shared" si="2"/>
        <v>-1.0969100130080565</v>
      </c>
      <c r="M84" s="11">
        <f>GraphSalmonella!$B$10-(Salmonella!I84-GraphSalmonella!$B$6)/GraphSalmonella!$B$5</f>
        <v>5.1161759705897314E-2</v>
      </c>
      <c r="N84" s="1" t="s">
        <v>1149</v>
      </c>
      <c r="O84">
        <v>2001</v>
      </c>
      <c r="P84" t="s">
        <v>366</v>
      </c>
      <c r="S84" s="10">
        <f>GraphSalmonella!$B$57*Salmonella!I84+GraphSalmonella!$B$58</f>
        <v>0.23114269008393595</v>
      </c>
      <c r="T84" s="10">
        <f>GraphSalmonella!$E$57*Salmonella!I84+GraphSalmonella!$E$58</f>
        <v>3.0388349129048851</v>
      </c>
      <c r="U84" s="10">
        <f>GraphSalmonella!$H$57*Salmonella!I84+GraphSalmonella!$H$58</f>
        <v>5.2075873066421252E-2</v>
      </c>
      <c r="X84" s="10">
        <f>GraphSalmonella!$B$80*Salmonella!I84+GraphSalmonella!$B$81</f>
        <v>5.3680995260992681E-2</v>
      </c>
      <c r="Y84" s="10">
        <f>GraphSalmonella!$E$80*Salmonella!I84+GraphSalmonella!$E$81</f>
        <v>5.9133372984129906E-2</v>
      </c>
      <c r="Z84" s="10">
        <f>GraphSalmonella!$H$80*Salmonella!I84+GraphSalmonella!$H$81</f>
        <v>-0.32287641344807394</v>
      </c>
    </row>
    <row r="85" spans="1:26" x14ac:dyDescent="0.2">
      <c r="A85" s="1" t="s">
        <v>66</v>
      </c>
      <c r="B85" s="1" t="s">
        <v>1233</v>
      </c>
      <c r="D85" s="1" t="s">
        <v>45</v>
      </c>
      <c r="E85" s="1" t="s">
        <v>1147</v>
      </c>
      <c r="F85" s="1" t="s">
        <v>1277</v>
      </c>
      <c r="G85" s="1"/>
      <c r="H85" s="4">
        <v>3.9</v>
      </c>
      <c r="I85" s="4">
        <v>56</v>
      </c>
      <c r="J85" s="11">
        <v>1.4</v>
      </c>
      <c r="K85" s="4">
        <v>5.4</v>
      </c>
      <c r="L85" s="12">
        <f t="shared" si="2"/>
        <v>0.14612803567823801</v>
      </c>
      <c r="M85" s="11">
        <f>GraphSalmonella!$B$10-(Salmonella!I85-GraphSalmonella!$B$6)/GraphSalmonella!$B$5</f>
        <v>0.71134831111661545</v>
      </c>
      <c r="N85" s="1" t="s">
        <v>1149</v>
      </c>
      <c r="O85">
        <v>2001</v>
      </c>
      <c r="P85" t="s">
        <v>1042</v>
      </c>
      <c r="S85" s="10">
        <f>GraphSalmonella!$B$57*Salmonella!I85+GraphSalmonella!$B$58</f>
        <v>0.58988431645206907</v>
      </c>
      <c r="T85" s="10">
        <f>GraphSalmonella!$E$57*Salmonella!I85+GraphSalmonella!$E$58</f>
        <v>3.3334020439992846</v>
      </c>
      <c r="U85" s="10">
        <f>GraphSalmonella!$H$57*Salmonella!I85+GraphSalmonella!$H$58</f>
        <v>0.71211381090504577</v>
      </c>
      <c r="X85" s="10">
        <f>GraphSalmonella!$B$80*Salmonella!I85+GraphSalmonella!$B$81</f>
        <v>0.71418727349083166</v>
      </c>
      <c r="Y85" s="10">
        <f>GraphSalmonella!$E$80*Salmonella!I85+GraphSalmonella!$E$81</f>
        <v>0.72890927422341356</v>
      </c>
      <c r="Z85" s="10">
        <f>GraphSalmonella!$H$80*Salmonella!I85+GraphSalmonella!$H$81</f>
        <v>0.45221476597619681</v>
      </c>
    </row>
    <row r="86" spans="1:26" x14ac:dyDescent="0.2">
      <c r="A86" s="1" t="s">
        <v>66</v>
      </c>
      <c r="B86" s="1" t="s">
        <v>1233</v>
      </c>
      <c r="D86" s="1" t="s">
        <v>45</v>
      </c>
      <c r="E86" s="1" t="s">
        <v>1147</v>
      </c>
      <c r="F86" s="1" t="s">
        <v>1277</v>
      </c>
      <c r="G86" s="1"/>
      <c r="H86" s="4">
        <v>3.9</v>
      </c>
      <c r="I86" s="4">
        <v>60</v>
      </c>
      <c r="J86" s="11">
        <v>0.35</v>
      </c>
      <c r="K86" s="4">
        <v>5.4</v>
      </c>
      <c r="L86" s="12">
        <f t="shared" si="2"/>
        <v>-0.45593195564972439</v>
      </c>
      <c r="M86" s="11">
        <f>GraphSalmonella!$B$10-(Salmonella!I86-GraphSalmonella!$B$6)/GraphSalmonella!$B$5</f>
        <v>0.2712239435094701</v>
      </c>
      <c r="N86" s="1" t="s">
        <v>1149</v>
      </c>
      <c r="O86">
        <v>2001</v>
      </c>
      <c r="P86" t="s">
        <v>1042</v>
      </c>
      <c r="S86" s="10">
        <f>GraphSalmonella!$B$57*Salmonella!I86+GraphSalmonella!$B$58</f>
        <v>0.35072323220664714</v>
      </c>
      <c r="T86" s="10">
        <f>GraphSalmonella!$E$57*Salmonella!I86+GraphSalmonella!$E$58</f>
        <v>3.1370239566030182</v>
      </c>
      <c r="U86" s="10">
        <f>GraphSalmonella!$H$57*Salmonella!I86+GraphSalmonella!$H$58</f>
        <v>0.27208851901262943</v>
      </c>
      <c r="X86" s="10">
        <f>GraphSalmonella!$B$80*Salmonella!I86+GraphSalmonella!$B$81</f>
        <v>0.2738497546709393</v>
      </c>
      <c r="Y86" s="10">
        <f>GraphSalmonella!$E$80*Salmonella!I86+GraphSalmonella!$E$81</f>
        <v>0.2823920067305572</v>
      </c>
      <c r="Z86" s="10">
        <f>GraphSalmonella!$H$80*Salmonella!I86+GraphSalmonella!$H$81</f>
        <v>-6.4512686973317024E-2</v>
      </c>
    </row>
    <row r="87" spans="1:26" x14ac:dyDescent="0.2">
      <c r="A87" s="1" t="s">
        <v>66</v>
      </c>
      <c r="B87" s="1" t="s">
        <v>1233</v>
      </c>
      <c r="D87" s="1" t="s">
        <v>45</v>
      </c>
      <c r="E87" s="1" t="s">
        <v>1147</v>
      </c>
      <c r="F87" s="1" t="s">
        <v>1277</v>
      </c>
      <c r="G87" s="1"/>
      <c r="H87" s="4">
        <v>3.9</v>
      </c>
      <c r="I87" s="4">
        <v>62</v>
      </c>
      <c r="J87" s="11">
        <v>0.1</v>
      </c>
      <c r="K87" s="4">
        <v>5.4</v>
      </c>
      <c r="L87" s="12">
        <f t="shared" si="2"/>
        <v>-1</v>
      </c>
      <c r="M87" s="11">
        <f>GraphSalmonella!$B$10-(Salmonella!I87-GraphSalmonella!$B$6)/GraphSalmonella!$B$5</f>
        <v>5.1161759705897314E-2</v>
      </c>
      <c r="N87" s="1" t="s">
        <v>1149</v>
      </c>
      <c r="O87">
        <v>2001</v>
      </c>
      <c r="P87" t="s">
        <v>1042</v>
      </c>
      <c r="S87" s="10">
        <f>GraphSalmonella!$B$57*Salmonella!I87+GraphSalmonella!$B$58</f>
        <v>0.23114269008393595</v>
      </c>
      <c r="T87" s="10">
        <f>GraphSalmonella!$E$57*Salmonella!I87+GraphSalmonella!$E$58</f>
        <v>3.0388349129048851</v>
      </c>
      <c r="U87" s="10">
        <f>GraphSalmonella!$H$57*Salmonella!I87+GraphSalmonella!$H$58</f>
        <v>5.2075873066421252E-2</v>
      </c>
      <c r="X87" s="10">
        <f>GraphSalmonella!$B$80*Salmonella!I87+GraphSalmonella!$B$81</f>
        <v>5.3680995260992681E-2</v>
      </c>
      <c r="Y87" s="10">
        <f>GraphSalmonella!$E$80*Salmonella!I87+GraphSalmonella!$E$81</f>
        <v>5.9133372984129906E-2</v>
      </c>
      <c r="Z87" s="10">
        <f>GraphSalmonella!$H$80*Salmonella!I87+GraphSalmonella!$H$81</f>
        <v>-0.32287641344807394</v>
      </c>
    </row>
    <row r="88" spans="1:26" x14ac:dyDescent="0.2">
      <c r="A88" s="1" t="s">
        <v>66</v>
      </c>
      <c r="B88" s="1" t="s">
        <v>70</v>
      </c>
      <c r="C88" t="s">
        <v>887</v>
      </c>
      <c r="D88" t="s">
        <v>11</v>
      </c>
      <c r="E88" s="1" t="s">
        <v>1262</v>
      </c>
      <c r="F88" s="19" t="s">
        <v>888</v>
      </c>
      <c r="G88" s="9"/>
      <c r="H88" s="4">
        <v>6</v>
      </c>
      <c r="I88" s="4">
        <v>65</v>
      </c>
      <c r="J88" s="11">
        <f>(5*0.34+1.9)/5</f>
        <v>0.72</v>
      </c>
      <c r="L88" s="12">
        <f t="shared" si="2"/>
        <v>-0.14266750356873156</v>
      </c>
      <c r="M88" s="11">
        <f>GraphSalmonella!$B$10-(Salmonella!I88-GraphSalmonella!$B$6)/GraphSalmonella!$B$5</f>
        <v>-0.27893151599946164</v>
      </c>
      <c r="N88" s="1" t="s">
        <v>562</v>
      </c>
      <c r="O88">
        <v>2000</v>
      </c>
      <c r="P88" t="s">
        <v>894</v>
      </c>
      <c r="S88" s="10">
        <f>GraphSalmonella!$B$57*Salmonella!I88+GraphSalmonella!$B$58</f>
        <v>5.1771876899869618E-2</v>
      </c>
      <c r="T88" s="10">
        <f>GraphSalmonella!$E$57*Salmonella!I88+GraphSalmonella!$E$58</f>
        <v>2.891551347357685</v>
      </c>
      <c r="U88" s="10">
        <f>GraphSalmonella!$H$57*Salmonella!I88+GraphSalmonella!$H$58</f>
        <v>-0.27794309585289145</v>
      </c>
      <c r="X88" s="10">
        <f>GraphSalmonella!$B$80*Salmonella!I88+GraphSalmonella!$B$81</f>
        <v>-0.27657214385392592</v>
      </c>
      <c r="Y88" s="10">
        <f>GraphSalmonella!$E$80*Salmonella!I88+GraphSalmonella!$E$81</f>
        <v>-0.27575457763551192</v>
      </c>
      <c r="Z88" s="10">
        <f>GraphSalmonella!$H$80*Salmonella!I88+GraphSalmonella!$H$81</f>
        <v>-0.71042200316020843</v>
      </c>
    </row>
    <row r="89" spans="1:26" x14ac:dyDescent="0.2">
      <c r="A89" s="1" t="s">
        <v>66</v>
      </c>
      <c r="B89" s="1" t="s">
        <v>70</v>
      </c>
      <c r="C89" t="s">
        <v>887</v>
      </c>
      <c r="D89" t="s">
        <v>11</v>
      </c>
      <c r="E89" s="1" t="s">
        <v>1262</v>
      </c>
      <c r="F89" s="19" t="s">
        <v>888</v>
      </c>
      <c r="G89" s="9"/>
      <c r="H89" s="4">
        <v>6</v>
      </c>
      <c r="I89" s="4">
        <v>62.5</v>
      </c>
      <c r="J89" s="11">
        <f>(5*0.24+4.01)/5</f>
        <v>1.042</v>
      </c>
      <c r="L89" s="12">
        <f t="shared" si="2"/>
        <v>1.7867718963505686E-2</v>
      </c>
      <c r="M89" s="11">
        <f>GraphSalmonella!$B$10-(Salmonella!I89-GraphSalmonella!$B$6)/GraphSalmonella!$B$5</f>
        <v>-3.8537862449957716E-3</v>
      </c>
      <c r="N89" s="1" t="s">
        <v>562</v>
      </c>
      <c r="O89">
        <v>2000</v>
      </c>
      <c r="P89" t="s">
        <v>894</v>
      </c>
      <c r="S89" s="10">
        <f>GraphSalmonella!$B$57*Salmonella!I89+GraphSalmonella!$B$58</f>
        <v>0.20124755455325838</v>
      </c>
      <c r="T89" s="10">
        <f>GraphSalmonella!$E$57*Salmonella!I89+GraphSalmonella!$E$58</f>
        <v>3.0142876519803519</v>
      </c>
      <c r="U89" s="10">
        <f>GraphSalmonella!$H$57*Salmonella!I89+GraphSalmonella!$H$58</f>
        <v>-2.9272884201310134E-3</v>
      </c>
      <c r="X89" s="10">
        <f>GraphSalmonella!$B$80*Salmonella!I89+GraphSalmonella!$B$81</f>
        <v>-1.3611945914933088E-3</v>
      </c>
      <c r="Y89" s="10">
        <f>GraphSalmonella!$E$80*Salmonella!I89+GraphSalmonella!$E$81</f>
        <v>3.3187145475226387E-3</v>
      </c>
      <c r="Z89" s="10">
        <f>GraphSalmonella!$H$80*Salmonella!I89+GraphSalmonella!$H$81</f>
        <v>-0.38746734506676273</v>
      </c>
    </row>
    <row r="90" spans="1:26" x14ac:dyDescent="0.2">
      <c r="A90" s="1" t="s">
        <v>66</v>
      </c>
      <c r="B90" s="1" t="s">
        <v>70</v>
      </c>
      <c r="C90" t="s">
        <v>887</v>
      </c>
      <c r="D90" t="s">
        <v>11</v>
      </c>
      <c r="E90" s="1" t="s">
        <v>1262</v>
      </c>
      <c r="F90" s="19" t="s">
        <v>888</v>
      </c>
      <c r="G90" s="9"/>
      <c r="H90" s="4">
        <v>6</v>
      </c>
      <c r="I90" s="4">
        <v>60</v>
      </c>
      <c r="J90" s="11">
        <f>(5*1.43+5.3)/5</f>
        <v>2.4899999999999998</v>
      </c>
      <c r="L90" s="12">
        <f t="shared" si="2"/>
        <v>0.39619934709573629</v>
      </c>
      <c r="M90" s="11">
        <f>GraphSalmonella!$B$10-(Salmonella!I90-GraphSalmonella!$B$6)/GraphSalmonella!$B$5</f>
        <v>0.2712239435094701</v>
      </c>
      <c r="N90" s="1" t="s">
        <v>562</v>
      </c>
      <c r="O90">
        <v>2000</v>
      </c>
      <c r="P90" t="s">
        <v>894</v>
      </c>
      <c r="S90" s="10">
        <f>GraphSalmonella!$B$57*Salmonella!I90+GraphSalmonella!$B$58</f>
        <v>0.35072323220664714</v>
      </c>
      <c r="T90" s="10">
        <f>GraphSalmonella!$E$57*Salmonella!I90+GraphSalmonella!$E$58</f>
        <v>3.1370239566030182</v>
      </c>
      <c r="U90" s="10">
        <f>GraphSalmonella!$H$57*Salmonella!I90+GraphSalmonella!$H$58</f>
        <v>0.27208851901262943</v>
      </c>
      <c r="X90" s="10">
        <f>GraphSalmonella!$B$80*Salmonella!I90+GraphSalmonella!$B$81</f>
        <v>0.2738497546709393</v>
      </c>
      <c r="Y90" s="10">
        <f>GraphSalmonella!$E$80*Salmonella!I90+GraphSalmonella!$E$81</f>
        <v>0.2823920067305572</v>
      </c>
      <c r="Z90" s="10">
        <f>GraphSalmonella!$H$80*Salmonella!I90+GraphSalmonella!$H$81</f>
        <v>-6.4512686973317024E-2</v>
      </c>
    </row>
    <row r="91" spans="1:26" x14ac:dyDescent="0.2">
      <c r="A91" s="1" t="s">
        <v>66</v>
      </c>
      <c r="B91" s="1" t="s">
        <v>70</v>
      </c>
      <c r="C91" t="s">
        <v>887</v>
      </c>
      <c r="D91" t="s">
        <v>11</v>
      </c>
      <c r="E91" s="1" t="s">
        <v>1262</v>
      </c>
      <c r="F91" s="19" t="s">
        <v>888</v>
      </c>
      <c r="G91" s="9"/>
      <c r="H91" s="4">
        <v>6</v>
      </c>
      <c r="I91" s="4">
        <v>58</v>
      </c>
      <c r="J91" s="11">
        <f>(5*2.46+23.92)/5</f>
        <v>7.2439999999999998</v>
      </c>
      <c r="L91" s="12">
        <f t="shared" si="2"/>
        <v>0.85997844164202075</v>
      </c>
      <c r="M91" s="11">
        <f>GraphSalmonella!$B$10-(Salmonella!I91-GraphSalmonella!$B$6)/GraphSalmonella!$B$5</f>
        <v>0.49128612731304266</v>
      </c>
      <c r="N91" s="1" t="s">
        <v>562</v>
      </c>
      <c r="O91">
        <v>2000</v>
      </c>
      <c r="P91" t="s">
        <v>894</v>
      </c>
      <c r="S91" s="10">
        <f>GraphSalmonella!$B$57*Salmonella!I91+GraphSalmonella!$B$58</f>
        <v>0.47030377432935788</v>
      </c>
      <c r="T91" s="10">
        <f>GraphSalmonella!$E$57*Salmonella!I91+GraphSalmonella!$E$58</f>
        <v>3.2352130003011514</v>
      </c>
      <c r="U91" s="10">
        <f>GraphSalmonella!$H$57*Salmonella!I91+GraphSalmonella!$H$58</f>
        <v>0.4921011649588376</v>
      </c>
      <c r="X91" s="10">
        <f>GraphSalmonella!$B$80*Salmonella!I91+GraphSalmonella!$B$81</f>
        <v>0.49401851408088504</v>
      </c>
      <c r="Y91" s="10">
        <f>GraphSalmonella!$E$80*Salmonella!I91+GraphSalmonella!$E$81</f>
        <v>0.50565064047698538</v>
      </c>
      <c r="Z91" s="10">
        <f>GraphSalmonella!$H$80*Salmonella!I91+GraphSalmonella!$H$81</f>
        <v>0.19385103950143989</v>
      </c>
    </row>
    <row r="92" spans="1:26" x14ac:dyDescent="0.2">
      <c r="A92" s="1" t="s">
        <v>66</v>
      </c>
      <c r="B92" s="1" t="s">
        <v>70</v>
      </c>
      <c r="C92" t="s">
        <v>887</v>
      </c>
      <c r="D92" t="s">
        <v>11</v>
      </c>
      <c r="E92" s="1" t="s">
        <v>1262</v>
      </c>
      <c r="F92" s="19" t="s">
        <v>891</v>
      </c>
      <c r="G92" s="9"/>
      <c r="H92" s="4">
        <v>6</v>
      </c>
      <c r="I92" s="4">
        <v>65</v>
      </c>
      <c r="J92" s="11">
        <f>(5*0.41+1.89)/5</f>
        <v>0.78799999999999992</v>
      </c>
      <c r="L92" s="12">
        <f t="shared" si="2"/>
        <v>-0.10347378251044473</v>
      </c>
      <c r="M92" s="11">
        <f>GraphSalmonella!$B$10-(Salmonella!I92-GraphSalmonella!$B$6)/GraphSalmonella!$B$5</f>
        <v>-0.27893151599946164</v>
      </c>
      <c r="N92" s="1" t="s">
        <v>562</v>
      </c>
      <c r="O92">
        <v>2000</v>
      </c>
      <c r="P92" t="s">
        <v>894</v>
      </c>
      <c r="S92" s="10">
        <f>GraphSalmonella!$B$57*Salmonella!I92+GraphSalmonella!$B$58</f>
        <v>5.1771876899869618E-2</v>
      </c>
      <c r="T92" s="10">
        <f>GraphSalmonella!$E$57*Salmonella!I92+GraphSalmonella!$E$58</f>
        <v>2.891551347357685</v>
      </c>
      <c r="U92" s="10">
        <f>GraphSalmonella!$H$57*Salmonella!I92+GraphSalmonella!$H$58</f>
        <v>-0.27794309585289145</v>
      </c>
      <c r="X92" s="10">
        <f>GraphSalmonella!$B$80*Salmonella!I92+GraphSalmonella!$B$81</f>
        <v>-0.27657214385392592</v>
      </c>
      <c r="Y92" s="10">
        <f>GraphSalmonella!$E$80*Salmonella!I92+GraphSalmonella!$E$81</f>
        <v>-0.27575457763551192</v>
      </c>
      <c r="Z92" s="10">
        <f>GraphSalmonella!$H$80*Salmonella!I92+GraphSalmonella!$H$81</f>
        <v>-0.71042200316020843</v>
      </c>
    </row>
    <row r="93" spans="1:26" x14ac:dyDescent="0.2">
      <c r="A93" s="1" t="s">
        <v>66</v>
      </c>
      <c r="B93" s="1" t="s">
        <v>70</v>
      </c>
      <c r="C93" t="s">
        <v>887</v>
      </c>
      <c r="D93" t="s">
        <v>11</v>
      </c>
      <c r="E93" s="1" t="s">
        <v>1262</v>
      </c>
      <c r="F93" s="19" t="s">
        <v>891</v>
      </c>
      <c r="G93" s="9"/>
      <c r="H93" s="4">
        <v>6</v>
      </c>
      <c r="I93" s="4">
        <v>62.5</v>
      </c>
      <c r="J93" s="11">
        <f>(5*1.98+2.15)/5</f>
        <v>2.41</v>
      </c>
      <c r="L93" s="12">
        <f t="shared" si="2"/>
        <v>0.3820170425748684</v>
      </c>
      <c r="M93" s="11">
        <f>GraphSalmonella!$B$10-(Salmonella!I93-GraphSalmonella!$B$6)/GraphSalmonella!$B$5</f>
        <v>-3.8537862449957716E-3</v>
      </c>
      <c r="N93" s="1" t="s">
        <v>562</v>
      </c>
      <c r="O93">
        <v>2000</v>
      </c>
      <c r="P93" t="s">
        <v>894</v>
      </c>
      <c r="S93" s="10">
        <f>GraphSalmonella!$B$57*Salmonella!I93+GraphSalmonella!$B$58</f>
        <v>0.20124755455325838</v>
      </c>
      <c r="T93" s="10">
        <f>GraphSalmonella!$E$57*Salmonella!I93+GraphSalmonella!$E$58</f>
        <v>3.0142876519803519</v>
      </c>
      <c r="U93" s="10">
        <f>GraphSalmonella!$H$57*Salmonella!I93+GraphSalmonella!$H$58</f>
        <v>-2.9272884201310134E-3</v>
      </c>
      <c r="X93" s="10">
        <f>GraphSalmonella!$B$80*Salmonella!I93+GraphSalmonella!$B$81</f>
        <v>-1.3611945914933088E-3</v>
      </c>
      <c r="Y93" s="10">
        <f>GraphSalmonella!$E$80*Salmonella!I93+GraphSalmonella!$E$81</f>
        <v>3.3187145475226387E-3</v>
      </c>
      <c r="Z93" s="10">
        <f>GraphSalmonella!$H$80*Salmonella!I93+GraphSalmonella!$H$81</f>
        <v>-0.38746734506676273</v>
      </c>
    </row>
    <row r="94" spans="1:26" x14ac:dyDescent="0.2">
      <c r="A94" s="1" t="s">
        <v>66</v>
      </c>
      <c r="B94" s="1" t="s">
        <v>70</v>
      </c>
      <c r="C94" t="s">
        <v>887</v>
      </c>
      <c r="D94" t="s">
        <v>11</v>
      </c>
      <c r="E94" s="1" t="s">
        <v>1262</v>
      </c>
      <c r="F94" s="19" t="s">
        <v>891</v>
      </c>
      <c r="G94" s="9"/>
      <c r="H94" s="4">
        <v>6</v>
      </c>
      <c r="I94" s="4">
        <v>60</v>
      </c>
      <c r="J94" s="11">
        <f>(5*0.48+9.23)/5</f>
        <v>2.3260000000000001</v>
      </c>
      <c r="L94" s="12">
        <f t="shared" si="2"/>
        <v>0.36660971039242962</v>
      </c>
      <c r="M94" s="11">
        <f>GraphSalmonella!$B$10-(Salmonella!I94-GraphSalmonella!$B$6)/GraphSalmonella!$B$5</f>
        <v>0.2712239435094701</v>
      </c>
      <c r="N94" s="1" t="s">
        <v>562</v>
      </c>
      <c r="O94">
        <v>2000</v>
      </c>
      <c r="P94" t="s">
        <v>894</v>
      </c>
      <c r="S94" s="10">
        <f>GraphSalmonella!$B$57*Salmonella!I94+GraphSalmonella!$B$58</f>
        <v>0.35072323220664714</v>
      </c>
      <c r="T94" s="10">
        <f>GraphSalmonella!$E$57*Salmonella!I94+GraphSalmonella!$E$58</f>
        <v>3.1370239566030182</v>
      </c>
      <c r="U94" s="10">
        <f>GraphSalmonella!$H$57*Salmonella!I94+GraphSalmonella!$H$58</f>
        <v>0.27208851901262943</v>
      </c>
      <c r="X94" s="10">
        <f>GraphSalmonella!$B$80*Salmonella!I94+GraphSalmonella!$B$81</f>
        <v>0.2738497546709393</v>
      </c>
      <c r="Y94" s="10">
        <f>GraphSalmonella!$E$80*Salmonella!I94+GraphSalmonella!$E$81</f>
        <v>0.2823920067305572</v>
      </c>
      <c r="Z94" s="10">
        <f>GraphSalmonella!$H$80*Salmonella!I94+GraphSalmonella!$H$81</f>
        <v>-6.4512686973317024E-2</v>
      </c>
    </row>
    <row r="95" spans="1:26" x14ac:dyDescent="0.2">
      <c r="A95" s="1" t="s">
        <v>66</v>
      </c>
      <c r="B95" s="1" t="s">
        <v>70</v>
      </c>
      <c r="C95" t="s">
        <v>887</v>
      </c>
      <c r="D95" t="s">
        <v>11</v>
      </c>
      <c r="E95" s="1" t="s">
        <v>1262</v>
      </c>
      <c r="F95" s="19" t="s">
        <v>891</v>
      </c>
      <c r="G95" s="9"/>
      <c r="H95" s="4">
        <v>6</v>
      </c>
      <c r="I95" s="4">
        <v>58</v>
      </c>
      <c r="J95" s="11">
        <f>(5*2.49+24.07)/5</f>
        <v>7.3040000000000003</v>
      </c>
      <c r="L95" s="12">
        <f t="shared" si="2"/>
        <v>0.86356076452624253</v>
      </c>
      <c r="M95" s="11">
        <f>GraphSalmonella!$B$10-(Salmonella!I95-GraphSalmonella!$B$6)/GraphSalmonella!$B$5</f>
        <v>0.49128612731304266</v>
      </c>
      <c r="N95" s="1" t="s">
        <v>562</v>
      </c>
      <c r="O95">
        <v>2000</v>
      </c>
      <c r="P95" t="s">
        <v>894</v>
      </c>
      <c r="S95" s="10">
        <f>GraphSalmonella!$B$57*Salmonella!I95+GraphSalmonella!$B$58</f>
        <v>0.47030377432935788</v>
      </c>
      <c r="T95" s="10">
        <f>GraphSalmonella!$E$57*Salmonella!I95+GraphSalmonella!$E$58</f>
        <v>3.2352130003011514</v>
      </c>
      <c r="U95" s="10">
        <f>GraphSalmonella!$H$57*Salmonella!I95+GraphSalmonella!$H$58</f>
        <v>0.4921011649588376</v>
      </c>
      <c r="X95" s="10">
        <f>GraphSalmonella!$B$80*Salmonella!I95+GraphSalmonella!$B$81</f>
        <v>0.49401851408088504</v>
      </c>
      <c r="Y95" s="10">
        <f>GraphSalmonella!$E$80*Salmonella!I95+GraphSalmonella!$E$81</f>
        <v>0.50565064047698538</v>
      </c>
      <c r="Z95" s="10">
        <f>GraphSalmonella!$H$80*Salmonella!I95+GraphSalmonella!$H$81</f>
        <v>0.19385103950143989</v>
      </c>
    </row>
    <row r="96" spans="1:26" x14ac:dyDescent="0.2">
      <c r="A96" s="1" t="s">
        <v>66</v>
      </c>
      <c r="B96" s="1" t="s">
        <v>70</v>
      </c>
      <c r="C96" t="s">
        <v>887</v>
      </c>
      <c r="D96" t="s">
        <v>11</v>
      </c>
      <c r="E96" s="1" t="s">
        <v>1262</v>
      </c>
      <c r="F96" s="19" t="s">
        <v>892</v>
      </c>
      <c r="G96" s="9"/>
      <c r="H96" s="4">
        <v>6</v>
      </c>
      <c r="I96" s="4">
        <v>65</v>
      </c>
      <c r="J96" s="11">
        <f>(5*0.18+2.7)/5</f>
        <v>0.72</v>
      </c>
      <c r="L96" s="12">
        <f t="shared" si="2"/>
        <v>-0.14266750356873156</v>
      </c>
      <c r="M96" s="11">
        <f>GraphSalmonella!$B$10-(Salmonella!I96-GraphSalmonella!$B$6)/GraphSalmonella!$B$5</f>
        <v>-0.27893151599946164</v>
      </c>
      <c r="N96" s="1" t="s">
        <v>562</v>
      </c>
      <c r="O96">
        <v>2000</v>
      </c>
      <c r="P96" t="s">
        <v>894</v>
      </c>
      <c r="S96" s="10">
        <f>GraphSalmonella!$B$57*Salmonella!I96+GraphSalmonella!$B$58</f>
        <v>5.1771876899869618E-2</v>
      </c>
      <c r="T96" s="10">
        <f>GraphSalmonella!$E$57*Salmonella!I96+GraphSalmonella!$E$58</f>
        <v>2.891551347357685</v>
      </c>
      <c r="U96" s="10">
        <f>GraphSalmonella!$H$57*Salmonella!I96+GraphSalmonella!$H$58</f>
        <v>-0.27794309585289145</v>
      </c>
      <c r="X96" s="10">
        <f>GraphSalmonella!$B$80*Salmonella!I96+GraphSalmonella!$B$81</f>
        <v>-0.27657214385392592</v>
      </c>
      <c r="Y96" s="10">
        <f>GraphSalmonella!$E$80*Salmonella!I96+GraphSalmonella!$E$81</f>
        <v>-0.27575457763551192</v>
      </c>
      <c r="Z96" s="10">
        <f>GraphSalmonella!$H$80*Salmonella!I96+GraphSalmonella!$H$81</f>
        <v>-0.71042200316020843</v>
      </c>
    </row>
    <row r="97" spans="1:26" x14ac:dyDescent="0.2">
      <c r="A97" s="1" t="s">
        <v>66</v>
      </c>
      <c r="B97" s="1" t="s">
        <v>70</v>
      </c>
      <c r="C97" t="s">
        <v>887</v>
      </c>
      <c r="D97" t="s">
        <v>11</v>
      </c>
      <c r="E97" s="1" t="s">
        <v>1262</v>
      </c>
      <c r="F97" s="19" t="s">
        <v>892</v>
      </c>
      <c r="G97" s="9"/>
      <c r="H97" s="4">
        <v>6</v>
      </c>
      <c r="I97" s="4">
        <v>62.5</v>
      </c>
      <c r="J97" s="11">
        <f>(5*2.35+2.15)/5</f>
        <v>2.7800000000000002</v>
      </c>
      <c r="L97" s="12">
        <f t="shared" si="2"/>
        <v>0.44404479591807633</v>
      </c>
      <c r="M97" s="11">
        <f>GraphSalmonella!$B$10-(Salmonella!I97-GraphSalmonella!$B$6)/GraphSalmonella!$B$5</f>
        <v>-3.8537862449957716E-3</v>
      </c>
      <c r="N97" s="1" t="s">
        <v>562</v>
      </c>
      <c r="O97">
        <v>2000</v>
      </c>
      <c r="P97" t="s">
        <v>894</v>
      </c>
      <c r="S97" s="10">
        <f>GraphSalmonella!$B$57*Salmonella!I97+GraphSalmonella!$B$58</f>
        <v>0.20124755455325838</v>
      </c>
      <c r="T97" s="10">
        <f>GraphSalmonella!$E$57*Salmonella!I97+GraphSalmonella!$E$58</f>
        <v>3.0142876519803519</v>
      </c>
      <c r="U97" s="10">
        <f>GraphSalmonella!$H$57*Salmonella!I97+GraphSalmonella!$H$58</f>
        <v>-2.9272884201310134E-3</v>
      </c>
      <c r="X97" s="10">
        <f>GraphSalmonella!$B$80*Salmonella!I97+GraphSalmonella!$B$81</f>
        <v>-1.3611945914933088E-3</v>
      </c>
      <c r="Y97" s="10">
        <f>GraphSalmonella!$E$80*Salmonella!I97+GraphSalmonella!$E$81</f>
        <v>3.3187145475226387E-3</v>
      </c>
      <c r="Z97" s="10">
        <f>GraphSalmonella!$H$80*Salmonella!I97+GraphSalmonella!$H$81</f>
        <v>-0.38746734506676273</v>
      </c>
    </row>
    <row r="98" spans="1:26" x14ac:dyDescent="0.2">
      <c r="A98" s="1" t="s">
        <v>66</v>
      </c>
      <c r="B98" s="1" t="s">
        <v>70</v>
      </c>
      <c r="C98" t="s">
        <v>887</v>
      </c>
      <c r="D98" t="s">
        <v>11</v>
      </c>
      <c r="E98" s="1" t="s">
        <v>1262</v>
      </c>
      <c r="F98" s="19" t="s">
        <v>892</v>
      </c>
      <c r="G98" s="9"/>
      <c r="H98" s="4">
        <v>6</v>
      </c>
      <c r="I98" s="4">
        <v>60</v>
      </c>
      <c r="J98" s="11">
        <f>(5*0.48+9.75)/5</f>
        <v>2.4300000000000002</v>
      </c>
      <c r="L98" s="12">
        <f t="shared" ref="L98:L129" si="3">LOG(J98)</f>
        <v>0.38560627359831223</v>
      </c>
      <c r="M98" s="11">
        <f>GraphSalmonella!$B$10-(Salmonella!I98-GraphSalmonella!$B$6)/GraphSalmonella!$B$5</f>
        <v>0.2712239435094701</v>
      </c>
      <c r="N98" s="1" t="s">
        <v>562</v>
      </c>
      <c r="O98">
        <v>2000</v>
      </c>
      <c r="P98" t="s">
        <v>894</v>
      </c>
      <c r="S98" s="10">
        <f>GraphSalmonella!$B$57*Salmonella!I98+GraphSalmonella!$B$58</f>
        <v>0.35072323220664714</v>
      </c>
      <c r="T98" s="10">
        <f>GraphSalmonella!$E$57*Salmonella!I98+GraphSalmonella!$E$58</f>
        <v>3.1370239566030182</v>
      </c>
      <c r="U98" s="10">
        <f>GraphSalmonella!$H$57*Salmonella!I98+GraphSalmonella!$H$58</f>
        <v>0.27208851901262943</v>
      </c>
      <c r="X98" s="10">
        <f>GraphSalmonella!$B$80*Salmonella!I98+GraphSalmonella!$B$81</f>
        <v>0.2738497546709393</v>
      </c>
      <c r="Y98" s="10">
        <f>GraphSalmonella!$E$80*Salmonella!I98+GraphSalmonella!$E$81</f>
        <v>0.2823920067305572</v>
      </c>
      <c r="Z98" s="10">
        <f>GraphSalmonella!$H$80*Salmonella!I98+GraphSalmonella!$H$81</f>
        <v>-6.4512686973317024E-2</v>
      </c>
    </row>
    <row r="99" spans="1:26" x14ac:dyDescent="0.2">
      <c r="A99" s="1" t="s">
        <v>66</v>
      </c>
      <c r="B99" s="1" t="s">
        <v>70</v>
      </c>
      <c r="C99" t="s">
        <v>887</v>
      </c>
      <c r="D99" t="s">
        <v>11</v>
      </c>
      <c r="E99" s="1" t="s">
        <v>1262</v>
      </c>
      <c r="F99" s="19" t="s">
        <v>892</v>
      </c>
      <c r="G99" s="9"/>
      <c r="H99" s="4">
        <v>6</v>
      </c>
      <c r="I99" s="4">
        <v>58</v>
      </c>
      <c r="J99" s="11">
        <f>(5*1.61+28.12)/5</f>
        <v>7.234</v>
      </c>
      <c r="L99" s="12">
        <f t="shared" si="3"/>
        <v>0.85937850442560093</v>
      </c>
      <c r="M99" s="11">
        <f>GraphSalmonella!$B$10-(Salmonella!I99-GraphSalmonella!$B$6)/GraphSalmonella!$B$5</f>
        <v>0.49128612731304266</v>
      </c>
      <c r="N99" s="1" t="s">
        <v>562</v>
      </c>
      <c r="O99">
        <v>2000</v>
      </c>
      <c r="P99" t="s">
        <v>894</v>
      </c>
      <c r="S99" s="10">
        <f>GraphSalmonella!$B$57*Salmonella!I99+GraphSalmonella!$B$58</f>
        <v>0.47030377432935788</v>
      </c>
      <c r="T99" s="10">
        <f>GraphSalmonella!$E$57*Salmonella!I99+GraphSalmonella!$E$58</f>
        <v>3.2352130003011514</v>
      </c>
      <c r="U99" s="10">
        <f>GraphSalmonella!$H$57*Salmonella!I99+GraphSalmonella!$H$58</f>
        <v>0.4921011649588376</v>
      </c>
      <c r="X99" s="10">
        <f>GraphSalmonella!$B$80*Salmonella!I99+GraphSalmonella!$B$81</f>
        <v>0.49401851408088504</v>
      </c>
      <c r="Y99" s="10">
        <f>GraphSalmonella!$E$80*Salmonella!I99+GraphSalmonella!$E$81</f>
        <v>0.50565064047698538</v>
      </c>
      <c r="Z99" s="10">
        <f>GraphSalmonella!$H$80*Salmonella!I99+GraphSalmonella!$H$81</f>
        <v>0.19385103950143989</v>
      </c>
    </row>
    <row r="100" spans="1:26" x14ac:dyDescent="0.2">
      <c r="A100" s="1" t="s">
        <v>66</v>
      </c>
      <c r="B100" s="1" t="s">
        <v>70</v>
      </c>
      <c r="C100" t="s">
        <v>887</v>
      </c>
      <c r="D100" t="s">
        <v>11</v>
      </c>
      <c r="E100" s="1" t="s">
        <v>1262</v>
      </c>
      <c r="F100" s="19" t="s">
        <v>893</v>
      </c>
      <c r="G100" s="9"/>
      <c r="H100" s="4">
        <v>6</v>
      </c>
      <c r="I100" s="4">
        <v>65</v>
      </c>
      <c r="J100" s="11">
        <f>(5*0.7+0.31)/5</f>
        <v>0.76200000000000001</v>
      </c>
      <c r="L100" s="12">
        <f t="shared" si="3"/>
        <v>-0.1180450286603995</v>
      </c>
      <c r="M100" s="11">
        <f>GraphSalmonella!$B$10-(Salmonella!I100-GraphSalmonella!$B$6)/GraphSalmonella!$B$5</f>
        <v>-0.27893151599946164</v>
      </c>
      <c r="N100" s="1" t="s">
        <v>562</v>
      </c>
      <c r="O100">
        <v>2000</v>
      </c>
      <c r="P100" t="s">
        <v>894</v>
      </c>
      <c r="S100" s="10">
        <f>GraphSalmonella!$B$57*Salmonella!I100+GraphSalmonella!$B$58</f>
        <v>5.1771876899869618E-2</v>
      </c>
      <c r="T100" s="10">
        <f>GraphSalmonella!$E$57*Salmonella!I100+GraphSalmonella!$E$58</f>
        <v>2.891551347357685</v>
      </c>
      <c r="U100" s="10">
        <f>GraphSalmonella!$H$57*Salmonella!I100+GraphSalmonella!$H$58</f>
        <v>-0.27794309585289145</v>
      </c>
      <c r="X100" s="10">
        <f>GraphSalmonella!$B$80*Salmonella!I100+GraphSalmonella!$B$81</f>
        <v>-0.27657214385392592</v>
      </c>
      <c r="Y100" s="10">
        <f>GraphSalmonella!$E$80*Salmonella!I100+GraphSalmonella!$E$81</f>
        <v>-0.27575457763551192</v>
      </c>
      <c r="Z100" s="10">
        <f>GraphSalmonella!$H$80*Salmonella!I100+GraphSalmonella!$H$81</f>
        <v>-0.71042200316020843</v>
      </c>
    </row>
    <row r="101" spans="1:26" x14ac:dyDescent="0.2">
      <c r="A101" s="1" t="s">
        <v>66</v>
      </c>
      <c r="B101" s="1" t="s">
        <v>70</v>
      </c>
      <c r="C101" t="s">
        <v>887</v>
      </c>
      <c r="D101" t="s">
        <v>11</v>
      </c>
      <c r="E101" s="1" t="s">
        <v>1262</v>
      </c>
      <c r="F101" s="19" t="s">
        <v>893</v>
      </c>
      <c r="G101" s="9"/>
      <c r="H101" s="4">
        <v>6</v>
      </c>
      <c r="I101" s="4">
        <v>62.5</v>
      </c>
      <c r="J101" s="11">
        <f>(5*0.27+3.5)/5</f>
        <v>0.97</v>
      </c>
      <c r="L101" s="12">
        <f t="shared" si="3"/>
        <v>-1.322826573375516E-2</v>
      </c>
      <c r="M101" s="11">
        <f>GraphSalmonella!$B$10-(Salmonella!I101-GraphSalmonella!$B$6)/GraphSalmonella!$B$5</f>
        <v>-3.8537862449957716E-3</v>
      </c>
      <c r="N101" s="1" t="s">
        <v>562</v>
      </c>
      <c r="O101">
        <v>2000</v>
      </c>
      <c r="P101" t="s">
        <v>894</v>
      </c>
      <c r="S101" s="10">
        <f>GraphSalmonella!$B$57*Salmonella!I101+GraphSalmonella!$B$58</f>
        <v>0.20124755455325838</v>
      </c>
      <c r="T101" s="10">
        <f>GraphSalmonella!$E$57*Salmonella!I101+GraphSalmonella!$E$58</f>
        <v>3.0142876519803519</v>
      </c>
      <c r="U101" s="10">
        <f>GraphSalmonella!$H$57*Salmonella!I101+GraphSalmonella!$H$58</f>
        <v>-2.9272884201310134E-3</v>
      </c>
      <c r="X101" s="10">
        <f>GraphSalmonella!$B$80*Salmonella!I101+GraphSalmonella!$B$81</f>
        <v>-1.3611945914933088E-3</v>
      </c>
      <c r="Y101" s="10">
        <f>GraphSalmonella!$E$80*Salmonella!I101+GraphSalmonella!$E$81</f>
        <v>3.3187145475226387E-3</v>
      </c>
      <c r="Z101" s="10">
        <f>GraphSalmonella!$H$80*Salmonella!I101+GraphSalmonella!$H$81</f>
        <v>-0.38746734506676273</v>
      </c>
    </row>
    <row r="102" spans="1:26" x14ac:dyDescent="0.2">
      <c r="A102" s="1" t="s">
        <v>66</v>
      </c>
      <c r="B102" s="1" t="s">
        <v>70</v>
      </c>
      <c r="C102" t="s">
        <v>887</v>
      </c>
      <c r="D102" t="s">
        <v>11</v>
      </c>
      <c r="E102" s="1" t="s">
        <v>1262</v>
      </c>
      <c r="F102" s="19" t="s">
        <v>893</v>
      </c>
      <c r="G102" s="9"/>
      <c r="H102" s="4">
        <v>6</v>
      </c>
      <c r="I102" s="4">
        <v>60</v>
      </c>
      <c r="J102" s="11">
        <f>(5*1.75+4.66)/5</f>
        <v>2.6819999999999999</v>
      </c>
      <c r="L102" s="12">
        <f t="shared" si="3"/>
        <v>0.42845877351558009</v>
      </c>
      <c r="M102" s="11">
        <f>GraphSalmonella!$B$10-(Salmonella!I102-GraphSalmonella!$B$6)/GraphSalmonella!$B$5</f>
        <v>0.2712239435094701</v>
      </c>
      <c r="N102" s="1" t="s">
        <v>562</v>
      </c>
      <c r="O102">
        <v>2000</v>
      </c>
      <c r="P102" t="s">
        <v>894</v>
      </c>
      <c r="S102" s="10">
        <f>GraphSalmonella!$B$57*Salmonella!I102+GraphSalmonella!$B$58</f>
        <v>0.35072323220664714</v>
      </c>
      <c r="T102" s="10">
        <f>GraphSalmonella!$E$57*Salmonella!I102+GraphSalmonella!$E$58</f>
        <v>3.1370239566030182</v>
      </c>
      <c r="U102" s="10">
        <f>GraphSalmonella!$H$57*Salmonella!I102+GraphSalmonella!$H$58</f>
        <v>0.27208851901262943</v>
      </c>
      <c r="X102" s="10">
        <f>GraphSalmonella!$B$80*Salmonella!I102+GraphSalmonella!$B$81</f>
        <v>0.2738497546709393</v>
      </c>
      <c r="Y102" s="10">
        <f>GraphSalmonella!$E$80*Salmonella!I102+GraphSalmonella!$E$81</f>
        <v>0.2823920067305572</v>
      </c>
      <c r="Z102" s="10">
        <f>GraphSalmonella!$H$80*Salmonella!I102+GraphSalmonella!$H$81</f>
        <v>-6.4512686973317024E-2</v>
      </c>
    </row>
    <row r="103" spans="1:26" x14ac:dyDescent="0.2">
      <c r="A103" s="1" t="s">
        <v>66</v>
      </c>
      <c r="B103" s="1" t="s">
        <v>70</v>
      </c>
      <c r="C103" t="s">
        <v>887</v>
      </c>
      <c r="D103" t="s">
        <v>11</v>
      </c>
      <c r="E103" s="1" t="s">
        <v>1262</v>
      </c>
      <c r="F103" s="19" t="s">
        <v>893</v>
      </c>
      <c r="G103" s="9"/>
      <c r="H103" s="4">
        <v>6</v>
      </c>
      <c r="I103" s="4">
        <v>58</v>
      </c>
      <c r="J103" s="11">
        <f>(5*3.22+4.43)/5</f>
        <v>4.1059999999999999</v>
      </c>
      <c r="L103" s="12">
        <f t="shared" si="3"/>
        <v>0.61341894503457306</v>
      </c>
      <c r="M103" s="11">
        <f>GraphSalmonella!$B$10-(Salmonella!I103-GraphSalmonella!$B$6)/GraphSalmonella!$B$5</f>
        <v>0.49128612731304266</v>
      </c>
      <c r="N103" s="1" t="s">
        <v>562</v>
      </c>
      <c r="O103">
        <v>2000</v>
      </c>
      <c r="P103" t="s">
        <v>894</v>
      </c>
      <c r="S103" s="10">
        <f>GraphSalmonella!$B$57*Salmonella!I103+GraphSalmonella!$B$58</f>
        <v>0.47030377432935788</v>
      </c>
      <c r="T103" s="10">
        <f>GraphSalmonella!$E$57*Salmonella!I103+GraphSalmonella!$E$58</f>
        <v>3.2352130003011514</v>
      </c>
      <c r="U103" s="10">
        <f>GraphSalmonella!$H$57*Salmonella!I103+GraphSalmonella!$H$58</f>
        <v>0.4921011649588376</v>
      </c>
      <c r="X103" s="10">
        <f>GraphSalmonella!$B$80*Salmonella!I103+GraphSalmonella!$B$81</f>
        <v>0.49401851408088504</v>
      </c>
      <c r="Y103" s="10">
        <f>GraphSalmonella!$E$80*Salmonella!I103+GraphSalmonella!$E$81</f>
        <v>0.50565064047698538</v>
      </c>
      <c r="Z103" s="10">
        <f>GraphSalmonella!$H$80*Salmonella!I103+GraphSalmonella!$H$81</f>
        <v>0.19385103950143989</v>
      </c>
    </row>
    <row r="104" spans="1:26" x14ac:dyDescent="0.2">
      <c r="A104" s="1" t="s">
        <v>66</v>
      </c>
      <c r="B104" s="1" t="s">
        <v>67</v>
      </c>
      <c r="C104" t="s">
        <v>71</v>
      </c>
      <c r="D104" t="s">
        <v>11</v>
      </c>
      <c r="E104" s="1" t="s">
        <v>1262</v>
      </c>
      <c r="F104" s="1" t="s">
        <v>74</v>
      </c>
      <c r="G104" s="9"/>
      <c r="I104" s="4">
        <v>65.5</v>
      </c>
      <c r="J104" s="11">
        <v>0.66500000000000004</v>
      </c>
      <c r="L104" s="12">
        <f t="shared" si="3"/>
        <v>-0.17717835469689538</v>
      </c>
      <c r="M104" s="11">
        <f>GraphSalmonella!$B$10-(Salmonella!I104-GraphSalmonella!$B$6)/GraphSalmonella!$B$5</f>
        <v>-0.33394706195035484</v>
      </c>
      <c r="N104" s="2" t="s">
        <v>121</v>
      </c>
      <c r="O104">
        <v>1966</v>
      </c>
      <c r="S104" s="10">
        <f>GraphSalmonella!$B$57*Salmonella!I104+GraphSalmonella!$B$58</f>
        <v>2.1876741369192043E-2</v>
      </c>
      <c r="T104" s="10">
        <f>GraphSalmonella!$E$57*Salmonella!I104+GraphSalmonella!$E$58</f>
        <v>2.8670040864331519</v>
      </c>
      <c r="U104" s="10">
        <f>GraphSalmonella!$H$57*Salmonella!I104+GraphSalmonella!$H$58</f>
        <v>-0.33294625733944283</v>
      </c>
      <c r="X104" s="10">
        <f>GraphSalmonella!$B$80*Salmonella!I104+GraphSalmonella!$B$81</f>
        <v>-0.3316143337064128</v>
      </c>
      <c r="Y104" s="10">
        <f>GraphSalmonella!$E$80*Salmonella!I104+GraphSalmonella!$E$81</f>
        <v>-0.33156923607211919</v>
      </c>
      <c r="Z104" s="10">
        <f>GraphSalmonella!$H$80*Salmonella!I104+GraphSalmonella!$H$81</f>
        <v>-0.77501293477889899</v>
      </c>
    </row>
    <row r="105" spans="1:26" x14ac:dyDescent="0.2">
      <c r="A105" s="1" t="s">
        <v>66</v>
      </c>
      <c r="B105" s="1" t="s">
        <v>349</v>
      </c>
      <c r="D105" t="s">
        <v>11</v>
      </c>
      <c r="E105" s="1" t="s">
        <v>1262</v>
      </c>
      <c r="F105" s="1" t="s">
        <v>1263</v>
      </c>
      <c r="G105" s="9"/>
      <c r="I105" s="4">
        <v>51.6</v>
      </c>
      <c r="J105" s="11">
        <v>61</v>
      </c>
      <c r="K105" s="4">
        <v>10</v>
      </c>
      <c r="L105" s="12">
        <f t="shared" si="3"/>
        <v>1.7853298350107671</v>
      </c>
      <c r="M105" s="11">
        <f>GraphSalmonella!$B$10-(Salmonella!I105-GraphSalmonella!$B$6)/GraphSalmonella!$B$5</f>
        <v>1.195485115484475</v>
      </c>
      <c r="N105" s="1" t="s">
        <v>319</v>
      </c>
      <c r="O105">
        <v>2000</v>
      </c>
      <c r="S105" s="10">
        <f>GraphSalmonella!$B$57*Salmonella!I105+GraphSalmonella!$B$58</f>
        <v>0.85296150912203306</v>
      </c>
      <c r="T105" s="10">
        <f>GraphSalmonella!$E$57*Salmonella!I105+GraphSalmonella!$E$58</f>
        <v>3.5494179401351778</v>
      </c>
      <c r="U105" s="10">
        <f>GraphSalmonella!$H$57*Salmonella!I105+GraphSalmonella!$H$58</f>
        <v>1.1961416319867038</v>
      </c>
      <c r="X105" s="10">
        <f>GraphSalmonella!$B$80*Salmonella!I105+GraphSalmonella!$B$81</f>
        <v>1.1985585441927125</v>
      </c>
      <c r="Y105" s="10">
        <f>GraphSalmonella!$E$80*Salmonella!I105+GraphSalmonella!$E$81</f>
        <v>1.2200782684655547</v>
      </c>
      <c r="Z105" s="10">
        <f>GraphSalmonella!$H$80*Salmonella!I105+GraphSalmonella!$H$81</f>
        <v>1.0206149642206608</v>
      </c>
    </row>
    <row r="106" spans="1:26" x14ac:dyDescent="0.2">
      <c r="A106" s="1" t="s">
        <v>66</v>
      </c>
      <c r="B106" s="1" t="s">
        <v>349</v>
      </c>
      <c r="D106" t="s">
        <v>11</v>
      </c>
      <c r="E106" s="1" t="s">
        <v>1262</v>
      </c>
      <c r="F106" s="1" t="s">
        <v>1263</v>
      </c>
      <c r="G106" s="9"/>
      <c r="I106" s="4">
        <v>51.6</v>
      </c>
      <c r="J106" s="11">
        <v>62</v>
      </c>
      <c r="K106" s="4">
        <v>10</v>
      </c>
      <c r="L106" s="12">
        <f t="shared" si="3"/>
        <v>1.7923916894982539</v>
      </c>
      <c r="M106" s="11">
        <f>GraphSalmonella!$B$10-(Salmonella!I106-GraphSalmonella!$B$6)/GraphSalmonella!$B$5</f>
        <v>1.195485115484475</v>
      </c>
      <c r="N106" s="1" t="s">
        <v>319</v>
      </c>
      <c r="O106">
        <v>2000</v>
      </c>
      <c r="S106" s="10">
        <f>GraphSalmonella!$B$57*Salmonella!I106+GraphSalmonella!$B$58</f>
        <v>0.85296150912203306</v>
      </c>
      <c r="T106" s="10">
        <f>GraphSalmonella!$E$57*Salmonella!I106+GraphSalmonella!$E$58</f>
        <v>3.5494179401351778</v>
      </c>
      <c r="U106" s="10">
        <f>GraphSalmonella!$H$57*Salmonella!I106+GraphSalmonella!$H$58</f>
        <v>1.1961416319867038</v>
      </c>
      <c r="X106" s="10">
        <f>GraphSalmonella!$B$80*Salmonella!I106+GraphSalmonella!$B$81</f>
        <v>1.1985585441927125</v>
      </c>
      <c r="Y106" s="10">
        <f>GraphSalmonella!$E$80*Salmonella!I106+GraphSalmonella!$E$81</f>
        <v>1.2200782684655547</v>
      </c>
      <c r="Z106" s="10">
        <f>GraphSalmonella!$H$80*Salmonella!I106+GraphSalmonella!$H$81</f>
        <v>1.0206149642206608</v>
      </c>
    </row>
    <row r="107" spans="1:26" x14ac:dyDescent="0.2">
      <c r="A107" s="1" t="s">
        <v>66</v>
      </c>
      <c r="B107" s="1" t="s">
        <v>349</v>
      </c>
      <c r="D107" t="s">
        <v>11</v>
      </c>
      <c r="E107" s="1" t="s">
        <v>1262</v>
      </c>
      <c r="F107" s="1" t="s">
        <v>1263</v>
      </c>
      <c r="G107" s="9"/>
      <c r="I107" s="4">
        <v>57.2</v>
      </c>
      <c r="J107" s="11">
        <v>3.8</v>
      </c>
      <c r="K107" s="4">
        <v>10</v>
      </c>
      <c r="L107" s="12">
        <f t="shared" si="3"/>
        <v>0.57978359661681012</v>
      </c>
      <c r="M107" s="11">
        <f>GraphSalmonella!$B$10-(Salmonella!I107-GraphSalmonella!$B$6)/GraphSalmonella!$B$5</f>
        <v>0.57931100083447151</v>
      </c>
      <c r="N107" s="1" t="s">
        <v>319</v>
      </c>
      <c r="O107">
        <v>2000</v>
      </c>
      <c r="S107" s="10">
        <f>GraphSalmonella!$B$57*Salmonella!I107+GraphSalmonella!$B$58</f>
        <v>0.51813599117844245</v>
      </c>
      <c r="T107" s="10">
        <f>GraphSalmonella!$E$57*Salmonella!I107+GraphSalmonella!$E$58</f>
        <v>3.2744886177804045</v>
      </c>
      <c r="U107" s="10">
        <f>GraphSalmonella!$H$57*Salmonella!I107+GraphSalmonella!$H$58</f>
        <v>0.58010622333732087</v>
      </c>
      <c r="X107" s="10">
        <f>GraphSalmonella!$B$80*Salmonella!I107+GraphSalmonella!$B$81</f>
        <v>0.58208601784486369</v>
      </c>
      <c r="Y107" s="10">
        <f>GraphSalmonella!$E$80*Salmonella!I107+GraphSalmonella!$E$81</f>
        <v>0.59495409397555665</v>
      </c>
      <c r="Z107" s="10">
        <f>GraphSalmonella!$H$80*Salmonella!I107+GraphSalmonella!$H$81</f>
        <v>0.29719653009134195</v>
      </c>
    </row>
    <row r="108" spans="1:26" x14ac:dyDescent="0.2">
      <c r="A108" s="1" t="s">
        <v>66</v>
      </c>
      <c r="B108" s="1" t="s">
        <v>349</v>
      </c>
      <c r="D108" t="s">
        <v>11</v>
      </c>
      <c r="E108" s="1" t="s">
        <v>1262</v>
      </c>
      <c r="F108" s="1" t="s">
        <v>1263</v>
      </c>
      <c r="G108" s="9"/>
      <c r="I108" s="4">
        <v>57.2</v>
      </c>
      <c r="J108" s="11">
        <v>4.2</v>
      </c>
      <c r="K108" s="4">
        <v>10</v>
      </c>
      <c r="L108" s="12">
        <f t="shared" si="3"/>
        <v>0.62324929039790045</v>
      </c>
      <c r="M108" s="11">
        <f>GraphSalmonella!$B$10-(Salmonella!I108-GraphSalmonella!$B$6)/GraphSalmonella!$B$5</f>
        <v>0.57931100083447151</v>
      </c>
      <c r="N108" s="1" t="s">
        <v>319</v>
      </c>
      <c r="O108">
        <v>2000</v>
      </c>
      <c r="S108" s="10">
        <f>GraphSalmonella!$B$57*Salmonella!I108+GraphSalmonella!$B$58</f>
        <v>0.51813599117844245</v>
      </c>
      <c r="T108" s="10">
        <f>GraphSalmonella!$E$57*Salmonella!I108+GraphSalmonella!$E$58</f>
        <v>3.2744886177804045</v>
      </c>
      <c r="U108" s="10">
        <f>GraphSalmonella!$H$57*Salmonella!I108+GraphSalmonella!$H$58</f>
        <v>0.58010622333732087</v>
      </c>
      <c r="X108" s="10">
        <f>GraphSalmonella!$B$80*Salmonella!I108+GraphSalmonella!$B$81</f>
        <v>0.58208601784486369</v>
      </c>
      <c r="Y108" s="10">
        <f>GraphSalmonella!$E$80*Salmonella!I108+GraphSalmonella!$E$81</f>
        <v>0.59495409397555665</v>
      </c>
      <c r="Z108" s="10">
        <f>GraphSalmonella!$H$80*Salmonella!I108+GraphSalmonella!$H$81</f>
        <v>0.29719653009134195</v>
      </c>
    </row>
    <row r="109" spans="1:26" x14ac:dyDescent="0.2">
      <c r="A109" s="1" t="s">
        <v>66</v>
      </c>
      <c r="B109" s="1" t="s">
        <v>349</v>
      </c>
      <c r="D109" t="s">
        <v>11</v>
      </c>
      <c r="E109" s="1" t="s">
        <v>1262</v>
      </c>
      <c r="F109" s="1" t="s">
        <v>1263</v>
      </c>
      <c r="G109" s="9"/>
      <c r="I109" s="4">
        <v>62.7</v>
      </c>
      <c r="J109" s="11">
        <v>0.6</v>
      </c>
      <c r="K109" s="4">
        <v>10</v>
      </c>
      <c r="L109" s="12">
        <f t="shared" si="3"/>
        <v>-0.22184874961635639</v>
      </c>
      <c r="M109" s="11">
        <f>GraphSalmonella!$B$10-(Salmonella!I109-GraphSalmonella!$B$6)/GraphSalmonella!$B$5</f>
        <v>-2.5860004625353428E-2</v>
      </c>
      <c r="N109" s="1" t="s">
        <v>319</v>
      </c>
      <c r="O109">
        <v>2000</v>
      </c>
      <c r="S109" s="10">
        <f>GraphSalmonella!$B$57*Salmonella!I109+GraphSalmonella!$B$58</f>
        <v>0.18928950034098735</v>
      </c>
      <c r="T109" s="10">
        <f>GraphSalmonella!$E$57*Salmonella!I109+GraphSalmonella!$E$58</f>
        <v>3.0044687476105385</v>
      </c>
      <c r="U109" s="10">
        <f>GraphSalmonella!$H$57*Salmonella!I109+GraphSalmonella!$H$58</f>
        <v>-2.4928553014752275E-2</v>
      </c>
      <c r="X109" s="10">
        <f>GraphSalmonella!$B$80*Salmonella!I109+GraphSalmonella!$B$81</f>
        <v>-2.3378070532488415E-2</v>
      </c>
      <c r="Y109" s="10">
        <f>GraphSalmonella!$E$80*Salmonella!I109+GraphSalmonella!$E$81</f>
        <v>-1.9007148827120623E-2</v>
      </c>
      <c r="Z109" s="10">
        <f>GraphSalmonella!$H$80*Salmonella!I109+GraphSalmonella!$H$81</f>
        <v>-0.41330371771424002</v>
      </c>
    </row>
    <row r="110" spans="1:26" x14ac:dyDescent="0.2">
      <c r="A110" s="1" t="s">
        <v>66</v>
      </c>
      <c r="B110" s="1" t="s">
        <v>349</v>
      </c>
      <c r="D110" t="s">
        <v>11</v>
      </c>
      <c r="E110" s="1" t="s">
        <v>1262</v>
      </c>
      <c r="F110" s="1" t="s">
        <v>1263</v>
      </c>
      <c r="G110" s="9"/>
      <c r="I110" s="4">
        <v>62.7</v>
      </c>
      <c r="J110" s="11">
        <v>0.7</v>
      </c>
      <c r="K110" s="4">
        <v>10</v>
      </c>
      <c r="L110" s="12">
        <f t="shared" si="3"/>
        <v>-0.15490195998574319</v>
      </c>
      <c r="M110" s="11">
        <f>GraphSalmonella!$B$10-(Salmonella!I110-GraphSalmonella!$B$6)/GraphSalmonella!$B$5</f>
        <v>-2.5860004625353428E-2</v>
      </c>
      <c r="N110" s="1" t="s">
        <v>319</v>
      </c>
      <c r="O110">
        <v>2000</v>
      </c>
      <c r="S110" s="10">
        <f>GraphSalmonella!$B$57*Salmonella!I110+GraphSalmonella!$B$58</f>
        <v>0.18928950034098735</v>
      </c>
      <c r="T110" s="10">
        <f>GraphSalmonella!$E$57*Salmonella!I110+GraphSalmonella!$E$58</f>
        <v>3.0044687476105385</v>
      </c>
      <c r="U110" s="10">
        <f>GraphSalmonella!$H$57*Salmonella!I110+GraphSalmonella!$H$58</f>
        <v>-2.4928553014752275E-2</v>
      </c>
      <c r="X110" s="10">
        <f>GraphSalmonella!$B$80*Salmonella!I110+GraphSalmonella!$B$81</f>
        <v>-2.3378070532488415E-2</v>
      </c>
      <c r="Y110" s="10">
        <f>GraphSalmonella!$E$80*Salmonella!I110+GraphSalmonella!$E$81</f>
        <v>-1.9007148827120623E-2</v>
      </c>
      <c r="Z110" s="10">
        <f>GraphSalmonella!$H$80*Salmonella!I110+GraphSalmonella!$H$81</f>
        <v>-0.41330371771424002</v>
      </c>
    </row>
    <row r="111" spans="1:26" x14ac:dyDescent="0.2">
      <c r="A111" s="1" t="s">
        <v>66</v>
      </c>
      <c r="B111" s="1" t="s">
        <v>769</v>
      </c>
      <c r="D111" t="s">
        <v>11</v>
      </c>
      <c r="E111" s="1" t="s">
        <v>1262</v>
      </c>
      <c r="F111" s="1" t="s">
        <v>1263</v>
      </c>
      <c r="G111" s="9"/>
      <c r="I111" s="4">
        <v>54</v>
      </c>
      <c r="J111" s="11">
        <v>16</v>
      </c>
      <c r="L111" s="12">
        <f t="shared" si="3"/>
        <v>1.2041199826559248</v>
      </c>
      <c r="M111" s="11">
        <f>GraphSalmonella!$B$10-(Salmonella!I111-GraphSalmonella!$B$6)/GraphSalmonella!$B$5</f>
        <v>0.93141049492018801</v>
      </c>
      <c r="N111" s="1" t="s">
        <v>319</v>
      </c>
      <c r="O111">
        <v>2000</v>
      </c>
      <c r="S111" s="10">
        <f>GraphSalmonella!$B$57*Salmonella!I111+GraphSalmonella!$B$58</f>
        <v>0.70946485857477981</v>
      </c>
      <c r="T111" s="10">
        <f>GraphSalmonella!$E$57*Salmonella!I111+GraphSalmonella!$E$58</f>
        <v>3.4315910876974178</v>
      </c>
      <c r="U111" s="10">
        <f>GraphSalmonella!$H$57*Salmonella!I111+GraphSalmonella!$H$58</f>
        <v>0.93212645685125395</v>
      </c>
      <c r="X111" s="10">
        <f>GraphSalmonella!$B$80*Salmonella!I111+GraphSalmonella!$B$81</f>
        <v>0.9343560329007774</v>
      </c>
      <c r="Y111" s="10">
        <f>GraphSalmonella!$E$80*Salmonella!I111+GraphSalmonella!$E$81</f>
        <v>0.95216790796984174</v>
      </c>
      <c r="Z111" s="10">
        <f>GraphSalmonella!$H$80*Salmonella!I111+GraphSalmonella!$H$81</f>
        <v>0.71057849245095284</v>
      </c>
    </row>
    <row r="112" spans="1:26" x14ac:dyDescent="0.2">
      <c r="A112" s="1" t="s">
        <v>66</v>
      </c>
      <c r="B112" s="1" t="s">
        <v>769</v>
      </c>
      <c r="D112" t="s">
        <v>11</v>
      </c>
      <c r="E112" s="1" t="s">
        <v>1262</v>
      </c>
      <c r="F112" s="1" t="s">
        <v>1263</v>
      </c>
      <c r="G112" s="9"/>
      <c r="I112" s="4">
        <v>60</v>
      </c>
      <c r="J112" s="11">
        <v>0.9</v>
      </c>
      <c r="L112" s="12">
        <f t="shared" si="3"/>
        <v>-4.5757490560675115E-2</v>
      </c>
      <c r="M112" s="11">
        <f>GraphSalmonella!$B$10-(Salmonella!I112-GraphSalmonella!$B$6)/GraphSalmonella!$B$5</f>
        <v>0.2712239435094701</v>
      </c>
      <c r="N112" s="1" t="s">
        <v>319</v>
      </c>
      <c r="O112">
        <v>2000</v>
      </c>
      <c r="S112" s="10">
        <f>GraphSalmonella!$B$57*Salmonella!I112+GraphSalmonella!$B$58</f>
        <v>0.35072323220664714</v>
      </c>
      <c r="T112" s="10">
        <f>GraphSalmonella!$E$57*Salmonella!I112+GraphSalmonella!$E$58</f>
        <v>3.1370239566030182</v>
      </c>
      <c r="U112" s="10">
        <f>GraphSalmonella!$H$57*Salmonella!I112+GraphSalmonella!$H$58</f>
        <v>0.27208851901262943</v>
      </c>
      <c r="X112" s="10">
        <f>GraphSalmonella!$B$80*Salmonella!I112+GraphSalmonella!$B$81</f>
        <v>0.2738497546709393</v>
      </c>
      <c r="Y112" s="10">
        <f>GraphSalmonella!$E$80*Salmonella!I112+GraphSalmonella!$E$81</f>
        <v>0.2823920067305572</v>
      </c>
      <c r="Z112" s="10">
        <f>GraphSalmonella!$H$80*Salmonella!I112+GraphSalmonella!$H$81</f>
        <v>-6.4512686973317024E-2</v>
      </c>
    </row>
    <row r="113" spans="1:26" x14ac:dyDescent="0.2">
      <c r="A113" s="1" t="s">
        <v>66</v>
      </c>
      <c r="B113" s="1" t="s">
        <v>67</v>
      </c>
      <c r="D113" t="s">
        <v>11</v>
      </c>
      <c r="E113" s="1" t="s">
        <v>1262</v>
      </c>
      <c r="F113" s="1" t="s">
        <v>1263</v>
      </c>
      <c r="G113" s="9"/>
      <c r="I113" s="4">
        <v>53</v>
      </c>
      <c r="J113" s="11">
        <v>53</v>
      </c>
      <c r="K113" s="4">
        <v>6.24</v>
      </c>
      <c r="L113" s="12">
        <f t="shared" si="3"/>
        <v>1.7242758696007889</v>
      </c>
      <c r="M113" s="11">
        <f>GraphSalmonella!$B$10-(Salmonella!I113-GraphSalmonella!$B$6)/GraphSalmonella!$B$5</f>
        <v>1.0414415868219744</v>
      </c>
      <c r="N113" s="1" t="s">
        <v>319</v>
      </c>
      <c r="O113">
        <v>2000</v>
      </c>
      <c r="S113" s="10">
        <f>GraphSalmonella!$B$57*Salmonella!I113+GraphSalmonella!$B$58</f>
        <v>0.7692551296361354</v>
      </c>
      <c r="T113" s="10">
        <f>GraphSalmonella!$E$57*Salmonella!I113+GraphSalmonella!$E$58</f>
        <v>3.4806856095464846</v>
      </c>
      <c r="U113" s="10">
        <f>GraphSalmonella!$H$57*Salmonella!I113+GraphSalmonella!$H$58</f>
        <v>1.0421327798243585</v>
      </c>
      <c r="X113" s="10">
        <f>GraphSalmonella!$B$80*Salmonella!I113+GraphSalmonella!$B$81</f>
        <v>1.0444404126057503</v>
      </c>
      <c r="Y113" s="10">
        <f>GraphSalmonella!$E$80*Salmonella!I113+GraphSalmonella!$E$81</f>
        <v>1.0637972248430554</v>
      </c>
      <c r="Z113" s="10">
        <f>GraphSalmonella!$H$80*Salmonella!I113+GraphSalmonella!$H$81</f>
        <v>0.83976035568833129</v>
      </c>
    </row>
    <row r="114" spans="1:26" x14ac:dyDescent="0.2">
      <c r="A114" s="1" t="s">
        <v>66</v>
      </c>
      <c r="B114" s="1" t="s">
        <v>67</v>
      </c>
      <c r="D114" t="s">
        <v>11</v>
      </c>
      <c r="E114" s="1" t="s">
        <v>1262</v>
      </c>
      <c r="F114" s="1" t="s">
        <v>1263</v>
      </c>
      <c r="G114" s="9"/>
      <c r="I114" s="4">
        <v>58</v>
      </c>
      <c r="J114" s="11">
        <v>15.2</v>
      </c>
      <c r="K114" s="4">
        <v>6.24</v>
      </c>
      <c r="L114" s="12">
        <f t="shared" si="3"/>
        <v>1.1818435879447726</v>
      </c>
      <c r="M114" s="11">
        <f>GraphSalmonella!$B$10-(Salmonella!I114-GraphSalmonella!$B$6)/GraphSalmonella!$B$5</f>
        <v>0.49128612731304266</v>
      </c>
      <c r="N114" s="1" t="s">
        <v>319</v>
      </c>
      <c r="O114">
        <v>2000</v>
      </c>
      <c r="S114" s="10">
        <f>GraphSalmonella!$B$57*Salmonella!I114+GraphSalmonella!$B$58</f>
        <v>0.47030377432935788</v>
      </c>
      <c r="T114" s="10">
        <f>GraphSalmonella!$E$57*Salmonella!I114+GraphSalmonella!$E$58</f>
        <v>3.2352130003011514</v>
      </c>
      <c r="U114" s="10">
        <f>GraphSalmonella!$H$57*Salmonella!I114+GraphSalmonella!$H$58</f>
        <v>0.4921011649588376</v>
      </c>
      <c r="X114" s="10">
        <f>GraphSalmonella!$B$80*Salmonella!I114+GraphSalmonella!$B$81</f>
        <v>0.49401851408088504</v>
      </c>
      <c r="Y114" s="10">
        <f>GraphSalmonella!$E$80*Salmonella!I114+GraphSalmonella!$E$81</f>
        <v>0.50565064047698538</v>
      </c>
      <c r="Z114" s="10">
        <f>GraphSalmonella!$H$80*Salmonella!I114+GraphSalmonella!$H$81</f>
        <v>0.19385103950143989</v>
      </c>
    </row>
    <row r="115" spans="1:26" x14ac:dyDescent="0.2">
      <c r="A115" s="1" t="s">
        <v>66</v>
      </c>
      <c r="B115" s="1" t="s">
        <v>67</v>
      </c>
      <c r="D115" t="s">
        <v>11</v>
      </c>
      <c r="E115" s="1" t="s">
        <v>1262</v>
      </c>
      <c r="F115" s="1" t="s">
        <v>1263</v>
      </c>
      <c r="G115" s="9"/>
      <c r="I115" s="4">
        <v>63</v>
      </c>
      <c r="J115" s="11">
        <v>2.08</v>
      </c>
      <c r="K115" s="4">
        <v>6.24</v>
      </c>
      <c r="L115" s="12">
        <f t="shared" si="3"/>
        <v>0.31806333496276157</v>
      </c>
      <c r="M115" s="11">
        <f>GraphSalmonella!$B$10-(Salmonella!I115-GraphSalmonella!$B$6)/GraphSalmonella!$B$5</f>
        <v>-5.8869332195888968E-2</v>
      </c>
      <c r="N115" s="1" t="s">
        <v>319</v>
      </c>
      <c r="O115">
        <v>2000</v>
      </c>
      <c r="S115" s="10">
        <f>GraphSalmonella!$B$57*Salmonella!I115+GraphSalmonella!$B$58</f>
        <v>0.1713524190225808</v>
      </c>
      <c r="T115" s="10">
        <f>GraphSalmonella!$E$57*Salmonella!I115+GraphSalmonella!$E$58</f>
        <v>2.9897403910558187</v>
      </c>
      <c r="U115" s="10">
        <f>GraphSalmonella!$H$57*Salmonella!I115+GraphSalmonella!$H$58</f>
        <v>-5.7930449906682391E-2</v>
      </c>
      <c r="X115" s="10">
        <f>GraphSalmonella!$B$80*Salmonella!I115+GraphSalmonella!$B$81</f>
        <v>-5.6403384443980187E-2</v>
      </c>
      <c r="Y115" s="10">
        <f>GraphSalmonella!$E$80*Salmonella!I115+GraphSalmonella!$E$81</f>
        <v>-5.2495943889084629E-2</v>
      </c>
      <c r="Z115" s="10">
        <f>GraphSalmonella!$H$80*Salmonella!I115+GraphSalmonella!$H$81</f>
        <v>-0.45205827668545329</v>
      </c>
    </row>
    <row r="116" spans="1:26" x14ac:dyDescent="0.2">
      <c r="A116" s="1" t="s">
        <v>66</v>
      </c>
      <c r="B116" s="1" t="s">
        <v>67</v>
      </c>
      <c r="D116" t="s">
        <v>11</v>
      </c>
      <c r="E116" s="1" t="s">
        <v>1262</v>
      </c>
      <c r="F116" s="1" t="s">
        <v>1263</v>
      </c>
      <c r="G116" s="9"/>
      <c r="I116" s="4">
        <v>68</v>
      </c>
      <c r="J116" s="11">
        <v>0.22</v>
      </c>
      <c r="K116" s="4">
        <v>6.24</v>
      </c>
      <c r="L116" s="12">
        <f t="shared" si="3"/>
        <v>-0.65757731917779372</v>
      </c>
      <c r="M116" s="11">
        <f>GraphSalmonella!$B$10-(Salmonella!I116-GraphSalmonella!$B$6)/GraphSalmonella!$B$5</f>
        <v>-0.60902479170482071</v>
      </c>
      <c r="N116" s="1" t="s">
        <v>319</v>
      </c>
      <c r="O116">
        <v>2000</v>
      </c>
      <c r="S116" s="10">
        <f>GraphSalmonella!$B$57*Salmonella!I116+GraphSalmonella!$B$58</f>
        <v>-0.12759893628419672</v>
      </c>
      <c r="T116" s="10">
        <f>GraphSalmonella!$E$57*Salmonella!I116+GraphSalmonella!$E$58</f>
        <v>2.7442677818104855</v>
      </c>
      <c r="U116" s="10">
        <f>GraphSalmonella!$H$57*Salmonella!I116+GraphSalmonella!$H$58</f>
        <v>-0.60796206477220327</v>
      </c>
      <c r="X116" s="10">
        <f>GraphSalmonella!$B$80*Salmonella!I116+GraphSalmonella!$B$81</f>
        <v>-0.60682528296884541</v>
      </c>
      <c r="Y116" s="10">
        <f>GraphSalmonella!$E$80*Salmonella!I116+GraphSalmonella!$E$81</f>
        <v>-0.61064252825515375</v>
      </c>
      <c r="Z116" s="10">
        <f>GraphSalmonella!$H$80*Salmonella!I116+GraphSalmonella!$H$81</f>
        <v>-1.0979675928723447</v>
      </c>
    </row>
    <row r="117" spans="1:26" x14ac:dyDescent="0.2">
      <c r="A117" s="1" t="s">
        <v>66</v>
      </c>
      <c r="B117" s="1" t="s">
        <v>1233</v>
      </c>
      <c r="D117" t="s">
        <v>11</v>
      </c>
      <c r="E117" s="1" t="s">
        <v>1262</v>
      </c>
      <c r="F117" t="s">
        <v>1263</v>
      </c>
      <c r="I117" s="4">
        <v>51.6</v>
      </c>
      <c r="J117" s="11">
        <v>62</v>
      </c>
      <c r="L117" s="12">
        <f t="shared" si="3"/>
        <v>1.7923916894982539</v>
      </c>
      <c r="M117" s="11">
        <f>GraphSalmonella!$B$10-(Salmonella!I117-GraphSalmonella!$B$6)/GraphSalmonella!$B$5</f>
        <v>1.195485115484475</v>
      </c>
      <c r="N117" s="2" t="s">
        <v>1226</v>
      </c>
      <c r="O117">
        <v>1996</v>
      </c>
      <c r="S117" s="10">
        <f>GraphSalmonella!$B$57*Salmonella!I117+GraphSalmonella!$B$58</f>
        <v>0.85296150912203306</v>
      </c>
      <c r="T117" s="10">
        <f>GraphSalmonella!$E$57*Salmonella!I117+GraphSalmonella!$E$58</f>
        <v>3.5494179401351778</v>
      </c>
      <c r="U117" s="10">
        <f>GraphSalmonella!$H$57*Salmonella!I117+GraphSalmonella!$H$58</f>
        <v>1.1961416319867038</v>
      </c>
      <c r="X117" s="10">
        <f>GraphSalmonella!$B$80*Salmonella!I117+GraphSalmonella!$B$81</f>
        <v>1.1985585441927125</v>
      </c>
      <c r="Y117" s="10">
        <f>GraphSalmonella!$E$80*Salmonella!I117+GraphSalmonella!$E$81</f>
        <v>1.2200782684655547</v>
      </c>
      <c r="Z117" s="10">
        <f>GraphSalmonella!$H$80*Salmonella!I117+GraphSalmonella!$H$81</f>
        <v>1.0206149642206608</v>
      </c>
    </row>
    <row r="118" spans="1:26" x14ac:dyDescent="0.2">
      <c r="A118" s="1" t="s">
        <v>66</v>
      </c>
      <c r="B118" s="1" t="s">
        <v>1233</v>
      </c>
      <c r="D118" t="s">
        <v>11</v>
      </c>
      <c r="E118" s="1" t="s">
        <v>1262</v>
      </c>
      <c r="F118" t="s">
        <v>1263</v>
      </c>
      <c r="I118" s="4">
        <v>57.2</v>
      </c>
      <c r="J118" s="11">
        <v>4.2</v>
      </c>
      <c r="L118" s="12">
        <f t="shared" si="3"/>
        <v>0.62324929039790045</v>
      </c>
      <c r="M118" s="11">
        <f>GraphSalmonella!$B$10-(Salmonella!I118-GraphSalmonella!$B$6)/GraphSalmonella!$B$5</f>
        <v>0.57931100083447151</v>
      </c>
      <c r="N118" s="2" t="s">
        <v>1226</v>
      </c>
      <c r="O118">
        <v>1996</v>
      </c>
      <c r="S118" s="10">
        <f>GraphSalmonella!$B$57*Salmonella!I118+GraphSalmonella!$B$58</f>
        <v>0.51813599117844245</v>
      </c>
      <c r="T118" s="10">
        <f>GraphSalmonella!$E$57*Salmonella!I118+GraphSalmonella!$E$58</f>
        <v>3.2744886177804045</v>
      </c>
      <c r="U118" s="10">
        <f>GraphSalmonella!$H$57*Salmonella!I118+GraphSalmonella!$H$58</f>
        <v>0.58010622333732087</v>
      </c>
      <c r="X118" s="10">
        <f>GraphSalmonella!$B$80*Salmonella!I118+GraphSalmonella!$B$81</f>
        <v>0.58208601784486369</v>
      </c>
      <c r="Y118" s="10">
        <f>GraphSalmonella!$E$80*Salmonella!I118+GraphSalmonella!$E$81</f>
        <v>0.59495409397555665</v>
      </c>
      <c r="Z118" s="10">
        <f>GraphSalmonella!$H$80*Salmonella!I118+GraphSalmonella!$H$81</f>
        <v>0.29719653009134195</v>
      </c>
    </row>
    <row r="119" spans="1:26" x14ac:dyDescent="0.2">
      <c r="A119" s="1" t="s">
        <v>66</v>
      </c>
      <c r="B119" s="1" t="s">
        <v>1233</v>
      </c>
      <c r="D119" t="s">
        <v>11</v>
      </c>
      <c r="E119" s="1" t="s">
        <v>1262</v>
      </c>
      <c r="F119" t="s">
        <v>1263</v>
      </c>
      <c r="I119" s="4">
        <v>62.76</v>
      </c>
      <c r="J119" s="11">
        <v>0.7</v>
      </c>
      <c r="L119" s="12">
        <f t="shared" si="3"/>
        <v>-0.15490195998574319</v>
      </c>
      <c r="M119" s="11">
        <f>GraphSalmonella!$B$10-(Salmonella!I119-GraphSalmonella!$B$6)/GraphSalmonella!$B$5</f>
        <v>-3.2461870139460003E-2</v>
      </c>
      <c r="N119" s="2" t="s">
        <v>1226</v>
      </c>
      <c r="O119">
        <v>1996</v>
      </c>
      <c r="S119" s="10">
        <f>GraphSalmonella!$B$57*Salmonella!I119+GraphSalmonella!$B$58</f>
        <v>0.18570208407730604</v>
      </c>
      <c r="T119" s="10">
        <f>GraphSalmonella!$E$57*Salmonella!I119+GraphSalmonella!$E$58</f>
        <v>3.0015230762995944</v>
      </c>
      <c r="U119" s="10">
        <f>GraphSalmonella!$H$57*Salmonella!I119+GraphSalmonella!$H$58</f>
        <v>-3.1528932393137588E-2</v>
      </c>
      <c r="X119" s="10">
        <f>GraphSalmonella!$B$80*Salmonella!I119+GraphSalmonella!$B$81</f>
        <v>-2.9983133314786414E-2</v>
      </c>
      <c r="Y119" s="10">
        <f>GraphSalmonella!$E$80*Salmonella!I119+GraphSalmonella!$E$81</f>
        <v>-2.5704907839513069E-2</v>
      </c>
      <c r="Z119" s="10">
        <f>GraphSalmonella!$H$80*Salmonella!I119+GraphSalmonella!$H$81</f>
        <v>-0.4210546295084816</v>
      </c>
    </row>
    <row r="120" spans="1:26" x14ac:dyDescent="0.2">
      <c r="A120" s="1" t="s">
        <v>66</v>
      </c>
      <c r="B120" s="1" t="s">
        <v>343</v>
      </c>
      <c r="D120" t="s">
        <v>11</v>
      </c>
      <c r="E120" s="1" t="s">
        <v>1262</v>
      </c>
      <c r="F120" s="1" t="s">
        <v>1263</v>
      </c>
      <c r="G120" s="9"/>
      <c r="I120" s="4">
        <v>54</v>
      </c>
      <c r="J120" s="11">
        <v>10.5</v>
      </c>
      <c r="L120" s="12">
        <f t="shared" si="3"/>
        <v>1.0211892990699381</v>
      </c>
      <c r="M120" s="11">
        <f>GraphSalmonella!$B$10-(Salmonella!I120-GraphSalmonella!$B$6)/GraphSalmonella!$B$5</f>
        <v>0.93141049492018801</v>
      </c>
      <c r="N120" s="1" t="s">
        <v>319</v>
      </c>
      <c r="O120">
        <v>2000</v>
      </c>
      <c r="S120" s="10">
        <f>GraphSalmonella!$B$57*Salmonella!I120+GraphSalmonella!$B$58</f>
        <v>0.70946485857477981</v>
      </c>
      <c r="T120" s="10">
        <f>GraphSalmonella!$E$57*Salmonella!I120+GraphSalmonella!$E$58</f>
        <v>3.4315910876974178</v>
      </c>
      <c r="U120" s="10">
        <f>GraphSalmonella!$H$57*Salmonella!I120+GraphSalmonella!$H$58</f>
        <v>0.93212645685125395</v>
      </c>
      <c r="X120" s="10">
        <f>GraphSalmonella!$B$80*Salmonella!I120+GraphSalmonella!$B$81</f>
        <v>0.9343560329007774</v>
      </c>
      <c r="Y120" s="10">
        <f>GraphSalmonella!$E$80*Salmonella!I120+GraphSalmonella!$E$81</f>
        <v>0.95216790796984174</v>
      </c>
      <c r="Z120" s="10">
        <f>GraphSalmonella!$H$80*Salmonella!I120+GraphSalmonella!$H$81</f>
        <v>0.71057849245095284</v>
      </c>
    </row>
    <row r="121" spans="1:26" x14ac:dyDescent="0.2">
      <c r="A121" s="1" t="s">
        <v>66</v>
      </c>
      <c r="B121" s="1" t="s">
        <v>343</v>
      </c>
      <c r="D121" t="s">
        <v>11</v>
      </c>
      <c r="E121" s="1" t="s">
        <v>1262</v>
      </c>
      <c r="F121" s="1" t="s">
        <v>1263</v>
      </c>
      <c r="G121" s="9"/>
      <c r="I121" s="4">
        <v>54</v>
      </c>
      <c r="J121" s="11">
        <v>25</v>
      </c>
      <c r="L121" s="12">
        <f t="shared" si="3"/>
        <v>1.3979400086720377</v>
      </c>
      <c r="M121" s="11">
        <f>GraphSalmonella!$B$10-(Salmonella!I121-GraphSalmonella!$B$6)/GraphSalmonella!$B$5</f>
        <v>0.93141049492018801</v>
      </c>
      <c r="N121" s="1" t="s">
        <v>319</v>
      </c>
      <c r="O121">
        <v>2000</v>
      </c>
      <c r="P121" t="s">
        <v>344</v>
      </c>
      <c r="S121" s="10">
        <f>GraphSalmonella!$B$57*Salmonella!I121+GraphSalmonella!$B$58</f>
        <v>0.70946485857477981</v>
      </c>
      <c r="T121" s="10">
        <f>GraphSalmonella!$E$57*Salmonella!I121+GraphSalmonella!$E$58</f>
        <v>3.4315910876974178</v>
      </c>
      <c r="U121" s="10">
        <f>GraphSalmonella!$H$57*Salmonella!I121+GraphSalmonella!$H$58</f>
        <v>0.93212645685125395</v>
      </c>
      <c r="X121" s="10">
        <f>GraphSalmonella!$B$80*Salmonella!I121+GraphSalmonella!$B$81</f>
        <v>0.9343560329007774</v>
      </c>
      <c r="Y121" s="10">
        <f>GraphSalmonella!$E$80*Salmonella!I121+GraphSalmonella!$E$81</f>
        <v>0.95216790796984174</v>
      </c>
      <c r="Z121" s="10">
        <f>GraphSalmonella!$H$80*Salmonella!I121+GraphSalmonella!$H$81</f>
        <v>0.71057849245095284</v>
      </c>
    </row>
    <row r="122" spans="1:26" x14ac:dyDescent="0.2">
      <c r="A122" s="1" t="s">
        <v>66</v>
      </c>
      <c r="B122" s="1" t="s">
        <v>343</v>
      </c>
      <c r="D122" t="s">
        <v>11</v>
      </c>
      <c r="E122" s="1" t="s">
        <v>1262</v>
      </c>
      <c r="F122" s="1" t="s">
        <v>1263</v>
      </c>
      <c r="G122" s="9"/>
      <c r="I122" s="4">
        <v>60</v>
      </c>
      <c r="J122" s="11">
        <v>0.46</v>
      </c>
      <c r="L122" s="12">
        <f t="shared" si="3"/>
        <v>-0.33724216831842591</v>
      </c>
      <c r="M122" s="11">
        <f>GraphSalmonella!$B$10-(Salmonella!I122-GraphSalmonella!$B$6)/GraphSalmonella!$B$5</f>
        <v>0.2712239435094701</v>
      </c>
      <c r="N122" s="1" t="s">
        <v>319</v>
      </c>
      <c r="O122">
        <v>2000</v>
      </c>
      <c r="S122" s="10">
        <f>GraphSalmonella!$B$57*Salmonella!I122+GraphSalmonella!$B$58</f>
        <v>0.35072323220664714</v>
      </c>
      <c r="T122" s="10">
        <f>GraphSalmonella!$E$57*Salmonella!I122+GraphSalmonella!$E$58</f>
        <v>3.1370239566030182</v>
      </c>
      <c r="U122" s="10">
        <f>GraphSalmonella!$H$57*Salmonella!I122+GraphSalmonella!$H$58</f>
        <v>0.27208851901262943</v>
      </c>
      <c r="X122" s="10">
        <f>GraphSalmonella!$B$80*Salmonella!I122+GraphSalmonella!$B$81</f>
        <v>0.2738497546709393</v>
      </c>
      <c r="Y122" s="10">
        <f>GraphSalmonella!$E$80*Salmonella!I122+GraphSalmonella!$E$81</f>
        <v>0.2823920067305572</v>
      </c>
      <c r="Z122" s="10">
        <f>GraphSalmonella!$H$80*Salmonella!I122+GraphSalmonella!$H$81</f>
        <v>-6.4512686973317024E-2</v>
      </c>
    </row>
    <row r="123" spans="1:26" x14ac:dyDescent="0.2">
      <c r="A123" s="1" t="s">
        <v>66</v>
      </c>
      <c r="B123" s="1" t="s">
        <v>343</v>
      </c>
      <c r="D123" t="s">
        <v>11</v>
      </c>
      <c r="E123" s="1" t="s">
        <v>1262</v>
      </c>
      <c r="F123" s="1" t="s">
        <v>1263</v>
      </c>
      <c r="G123" s="9"/>
      <c r="I123" s="4">
        <v>60</v>
      </c>
      <c r="J123" s="11">
        <v>1.26</v>
      </c>
      <c r="L123" s="12">
        <f t="shared" si="3"/>
        <v>0.10037054511756291</v>
      </c>
      <c r="M123" s="11">
        <f>GraphSalmonella!$B$10-(Salmonella!I123-GraphSalmonella!$B$6)/GraphSalmonella!$B$5</f>
        <v>0.2712239435094701</v>
      </c>
      <c r="N123" s="1" t="s">
        <v>319</v>
      </c>
      <c r="O123">
        <v>2000</v>
      </c>
      <c r="P123" t="s">
        <v>770</v>
      </c>
      <c r="S123" s="10">
        <f>GraphSalmonella!$B$57*Salmonella!I123+GraphSalmonella!$B$58</f>
        <v>0.35072323220664714</v>
      </c>
      <c r="T123" s="10">
        <f>GraphSalmonella!$E$57*Salmonella!I123+GraphSalmonella!$E$58</f>
        <v>3.1370239566030182</v>
      </c>
      <c r="U123" s="10">
        <f>GraphSalmonella!$H$57*Salmonella!I123+GraphSalmonella!$H$58</f>
        <v>0.27208851901262943</v>
      </c>
      <c r="X123" s="10">
        <f>GraphSalmonella!$B$80*Salmonella!I123+GraphSalmonella!$B$81</f>
        <v>0.2738497546709393</v>
      </c>
      <c r="Y123" s="10">
        <f>GraphSalmonella!$E$80*Salmonella!I123+GraphSalmonella!$E$81</f>
        <v>0.2823920067305572</v>
      </c>
      <c r="Z123" s="10">
        <f>GraphSalmonella!$H$80*Salmonella!I123+GraphSalmonella!$H$81</f>
        <v>-6.4512686973317024E-2</v>
      </c>
    </row>
    <row r="124" spans="1:26" x14ac:dyDescent="0.2">
      <c r="A124" s="1" t="s">
        <v>66</v>
      </c>
      <c r="B124" s="1" t="s">
        <v>70</v>
      </c>
      <c r="D124" t="s">
        <v>11</v>
      </c>
      <c r="E124" s="1" t="s">
        <v>1262</v>
      </c>
      <c r="F124" s="1" t="s">
        <v>1263</v>
      </c>
      <c r="G124" s="9"/>
      <c r="I124" s="4">
        <v>50</v>
      </c>
      <c r="J124" s="11">
        <v>30.2</v>
      </c>
      <c r="K124" s="4">
        <v>6.5</v>
      </c>
      <c r="L124" s="12">
        <f t="shared" si="3"/>
        <v>1.4800069429571505</v>
      </c>
      <c r="M124" s="11">
        <f>GraphSalmonella!$B$10-(Salmonella!I124-GraphSalmonella!$B$6)/GraphSalmonella!$B$5</f>
        <v>1.3715348625273336</v>
      </c>
      <c r="N124" s="1" t="s">
        <v>319</v>
      </c>
      <c r="O124">
        <v>2000</v>
      </c>
      <c r="S124" s="10">
        <f>GraphSalmonella!$B$57*Salmonella!I124+GraphSalmonella!$B$58</f>
        <v>0.94862594282020174</v>
      </c>
      <c r="T124" s="10">
        <f>GraphSalmonella!$E$57*Salmonella!I124+GraphSalmonella!$E$58</f>
        <v>3.6279691750936842</v>
      </c>
      <c r="U124" s="10">
        <f>GraphSalmonella!$H$57*Salmonella!I124+GraphSalmonella!$H$58</f>
        <v>1.3721517487436703</v>
      </c>
      <c r="X124" s="10">
        <f>GraphSalmonella!$B$80*Salmonella!I124+GraphSalmonella!$B$81</f>
        <v>1.3746935517206698</v>
      </c>
      <c r="Y124" s="10">
        <f>GraphSalmonella!$E$80*Salmonella!I124+GraphSalmonella!$E$81</f>
        <v>1.3986851754626972</v>
      </c>
      <c r="Z124" s="10">
        <f>GraphSalmonella!$H$80*Salmonella!I124+GraphSalmonella!$H$81</f>
        <v>1.2273059454004667</v>
      </c>
    </row>
    <row r="125" spans="1:26" x14ac:dyDescent="0.2">
      <c r="A125" s="1" t="s">
        <v>66</v>
      </c>
      <c r="B125" s="1" t="s">
        <v>70</v>
      </c>
      <c r="D125" t="s">
        <v>11</v>
      </c>
      <c r="E125" s="1" t="s">
        <v>1262</v>
      </c>
      <c r="F125" s="1" t="s">
        <v>1263</v>
      </c>
      <c r="G125" s="9"/>
      <c r="I125" s="4">
        <v>50</v>
      </c>
      <c r="J125" s="11">
        <v>78.599999999999994</v>
      </c>
      <c r="K125" s="4">
        <v>9.9</v>
      </c>
      <c r="L125" s="12">
        <f t="shared" si="3"/>
        <v>1.8954225460394079</v>
      </c>
      <c r="M125" s="11">
        <f>GraphSalmonella!$B$10-(Salmonella!I125-GraphSalmonella!$B$6)/GraphSalmonella!$B$5</f>
        <v>1.3715348625273336</v>
      </c>
      <c r="N125" s="1" t="s">
        <v>319</v>
      </c>
      <c r="O125">
        <v>2000</v>
      </c>
      <c r="P125" t="s">
        <v>346</v>
      </c>
      <c r="S125" s="10">
        <f>GraphSalmonella!$B$57*Salmonella!I125+GraphSalmonella!$B$58</f>
        <v>0.94862594282020174</v>
      </c>
      <c r="T125" s="10">
        <f>GraphSalmonella!$E$57*Salmonella!I125+GraphSalmonella!$E$58</f>
        <v>3.6279691750936842</v>
      </c>
      <c r="U125" s="10">
        <f>GraphSalmonella!$H$57*Salmonella!I125+GraphSalmonella!$H$58</f>
        <v>1.3721517487436703</v>
      </c>
      <c r="X125" s="10">
        <f>GraphSalmonella!$B$80*Salmonella!I125+GraphSalmonella!$B$81</f>
        <v>1.3746935517206698</v>
      </c>
      <c r="Y125" s="10">
        <f>GraphSalmonella!$E$80*Salmonella!I125+GraphSalmonella!$E$81</f>
        <v>1.3986851754626972</v>
      </c>
      <c r="Z125" s="10">
        <f>GraphSalmonella!$H$80*Salmonella!I125+GraphSalmonella!$H$81</f>
        <v>1.2273059454004667</v>
      </c>
    </row>
    <row r="126" spans="1:26" x14ac:dyDescent="0.2">
      <c r="A126" s="1" t="s">
        <v>66</v>
      </c>
      <c r="B126" s="1" t="s">
        <v>70</v>
      </c>
      <c r="D126" t="s">
        <v>11</v>
      </c>
      <c r="E126" s="1" t="s">
        <v>1262</v>
      </c>
      <c r="F126" s="1" t="s">
        <v>1263</v>
      </c>
      <c r="G126" s="9"/>
      <c r="I126" s="4">
        <v>50</v>
      </c>
      <c r="J126" s="11">
        <v>82.4</v>
      </c>
      <c r="K126" s="4">
        <v>6.7</v>
      </c>
      <c r="L126" s="12">
        <f t="shared" si="3"/>
        <v>1.9159272116971158</v>
      </c>
      <c r="M126" s="11">
        <f>GraphSalmonella!$B$10-(Salmonella!I126-GraphSalmonella!$B$6)/GraphSalmonella!$B$5</f>
        <v>1.3715348625273336</v>
      </c>
      <c r="N126" s="1" t="s">
        <v>319</v>
      </c>
      <c r="O126">
        <v>2000</v>
      </c>
      <c r="P126" t="s">
        <v>347</v>
      </c>
      <c r="S126" s="10">
        <f>GraphSalmonella!$B$57*Salmonella!I126+GraphSalmonella!$B$58</f>
        <v>0.94862594282020174</v>
      </c>
      <c r="T126" s="10">
        <f>GraphSalmonella!$E$57*Salmonella!I126+GraphSalmonella!$E$58</f>
        <v>3.6279691750936842</v>
      </c>
      <c r="U126" s="10">
        <f>GraphSalmonella!$H$57*Salmonella!I126+GraphSalmonella!$H$58</f>
        <v>1.3721517487436703</v>
      </c>
      <c r="X126" s="10">
        <f>GraphSalmonella!$B$80*Salmonella!I126+GraphSalmonella!$B$81</f>
        <v>1.3746935517206698</v>
      </c>
      <c r="Y126" s="10">
        <f>GraphSalmonella!$E$80*Salmonella!I126+GraphSalmonella!$E$81</f>
        <v>1.3986851754626972</v>
      </c>
      <c r="Z126" s="10">
        <f>GraphSalmonella!$H$80*Salmonella!I126+GraphSalmonella!$H$81</f>
        <v>1.2273059454004667</v>
      </c>
    </row>
    <row r="127" spans="1:26" x14ac:dyDescent="0.2">
      <c r="A127" s="1" t="s">
        <v>66</v>
      </c>
      <c r="B127" s="1" t="s">
        <v>70</v>
      </c>
      <c r="D127" t="s">
        <v>11</v>
      </c>
      <c r="E127" s="1" t="s">
        <v>1262</v>
      </c>
      <c r="F127" s="1" t="s">
        <v>1263</v>
      </c>
      <c r="G127" s="9"/>
      <c r="I127" s="4">
        <v>50</v>
      </c>
      <c r="J127" s="11">
        <v>49.8</v>
      </c>
      <c r="K127" s="4">
        <v>9.9</v>
      </c>
      <c r="L127" s="12">
        <f t="shared" si="3"/>
        <v>1.6972293427597176</v>
      </c>
      <c r="M127" s="11">
        <f>GraphSalmonella!$B$10-(Salmonella!I127-GraphSalmonella!$B$6)/GraphSalmonella!$B$5</f>
        <v>1.3715348625273336</v>
      </c>
      <c r="N127" s="1" t="s">
        <v>319</v>
      </c>
      <c r="O127">
        <v>2000</v>
      </c>
      <c r="P127" t="s">
        <v>348</v>
      </c>
      <c r="S127" s="10">
        <f>GraphSalmonella!$B$57*Salmonella!I127+GraphSalmonella!$B$58</f>
        <v>0.94862594282020174</v>
      </c>
      <c r="T127" s="10">
        <f>GraphSalmonella!$E$57*Salmonella!I127+GraphSalmonella!$E$58</f>
        <v>3.6279691750936842</v>
      </c>
      <c r="U127" s="10">
        <f>GraphSalmonella!$H$57*Salmonella!I127+GraphSalmonella!$H$58</f>
        <v>1.3721517487436703</v>
      </c>
      <c r="X127" s="10">
        <f>GraphSalmonella!$B$80*Salmonella!I127+GraphSalmonella!$B$81</f>
        <v>1.3746935517206698</v>
      </c>
      <c r="Y127" s="10">
        <f>GraphSalmonella!$E$80*Salmonella!I127+GraphSalmonella!$E$81</f>
        <v>1.3986851754626972</v>
      </c>
      <c r="Z127" s="10">
        <f>GraphSalmonella!$H$80*Salmonella!I127+GraphSalmonella!$H$81</f>
        <v>1.2273059454004667</v>
      </c>
    </row>
    <row r="128" spans="1:26" x14ac:dyDescent="0.2">
      <c r="A128" s="1" t="s">
        <v>66</v>
      </c>
      <c r="B128" s="1" t="s">
        <v>70</v>
      </c>
      <c r="D128" t="s">
        <v>11</v>
      </c>
      <c r="E128" s="1" t="s">
        <v>1262</v>
      </c>
      <c r="F128" s="1" t="s">
        <v>1263</v>
      </c>
      <c r="G128" s="9"/>
      <c r="I128" s="4">
        <v>57</v>
      </c>
      <c r="J128" s="11">
        <v>2.1</v>
      </c>
      <c r="K128" s="4">
        <v>6.5</v>
      </c>
      <c r="L128" s="12">
        <f t="shared" si="3"/>
        <v>0.3222192947339193</v>
      </c>
      <c r="M128" s="11">
        <f>GraphSalmonella!$B$10-(Salmonella!I128-GraphSalmonella!$B$6)/GraphSalmonella!$B$5</f>
        <v>0.60131721921482906</v>
      </c>
      <c r="N128" s="1" t="s">
        <v>319</v>
      </c>
      <c r="O128">
        <v>2000</v>
      </c>
      <c r="S128" s="10">
        <f>GraphSalmonella!$B$57*Salmonella!I128+GraphSalmonella!$B$58</f>
        <v>0.53009404539071348</v>
      </c>
      <c r="T128" s="10">
        <f>GraphSalmonella!$E$57*Salmonella!I128+GraphSalmonella!$E$58</f>
        <v>3.2843075221502183</v>
      </c>
      <c r="U128" s="10">
        <f>GraphSalmonella!$H$57*Salmonella!I128+GraphSalmonella!$H$58</f>
        <v>0.60210748793194213</v>
      </c>
      <c r="X128" s="10">
        <f>GraphSalmonella!$B$80*Salmonella!I128+GraphSalmonella!$B$81</f>
        <v>0.6041028937858588</v>
      </c>
      <c r="Y128" s="10">
        <f>GraphSalmonella!$E$80*Salmonella!I128+GraphSalmonella!$E$81</f>
        <v>0.61727995735019991</v>
      </c>
      <c r="Z128" s="10">
        <f>GraphSalmonella!$H$80*Salmonella!I128+GraphSalmonella!$H$81</f>
        <v>0.32303290273881835</v>
      </c>
    </row>
    <row r="129" spans="1:26" x14ac:dyDescent="0.2">
      <c r="A129" s="1" t="s">
        <v>66</v>
      </c>
      <c r="B129" s="1" t="s">
        <v>70</v>
      </c>
      <c r="D129" t="s">
        <v>11</v>
      </c>
      <c r="E129" s="1" t="s">
        <v>1262</v>
      </c>
      <c r="F129" s="1" t="s">
        <v>1263</v>
      </c>
      <c r="G129" s="9"/>
      <c r="I129" s="4">
        <v>57</v>
      </c>
      <c r="J129" s="11">
        <v>2.7</v>
      </c>
      <c r="K129" s="4">
        <v>6.5</v>
      </c>
      <c r="L129" s="12">
        <f t="shared" si="3"/>
        <v>0.43136376415898736</v>
      </c>
      <c r="M129" s="11">
        <f>GraphSalmonella!$B$10-(Salmonella!I129-GraphSalmonella!$B$6)/GraphSalmonella!$B$5</f>
        <v>0.60131721921482906</v>
      </c>
      <c r="N129" s="1" t="s">
        <v>319</v>
      </c>
      <c r="O129">
        <v>2000</v>
      </c>
      <c r="S129" s="10">
        <f>GraphSalmonella!$B$57*Salmonella!I129+GraphSalmonella!$B$58</f>
        <v>0.53009404539071348</v>
      </c>
      <c r="T129" s="10">
        <f>GraphSalmonella!$E$57*Salmonella!I129+GraphSalmonella!$E$58</f>
        <v>3.2843075221502183</v>
      </c>
      <c r="U129" s="10">
        <f>GraphSalmonella!$H$57*Salmonella!I129+GraphSalmonella!$H$58</f>
        <v>0.60210748793194213</v>
      </c>
      <c r="X129" s="10">
        <f>GraphSalmonella!$B$80*Salmonella!I129+GraphSalmonella!$B$81</f>
        <v>0.6041028937858588</v>
      </c>
      <c r="Y129" s="10">
        <f>GraphSalmonella!$E$80*Salmonella!I129+GraphSalmonella!$E$81</f>
        <v>0.61727995735019991</v>
      </c>
      <c r="Z129" s="10">
        <f>GraphSalmonella!$H$80*Salmonella!I129+GraphSalmonella!$H$81</f>
        <v>0.32303290273881835</v>
      </c>
    </row>
    <row r="130" spans="1:26" x14ac:dyDescent="0.2">
      <c r="A130" s="1" t="s">
        <v>66</v>
      </c>
      <c r="B130" s="1" t="s">
        <v>70</v>
      </c>
      <c r="D130" t="s">
        <v>11</v>
      </c>
      <c r="E130" s="1" t="s">
        <v>1262</v>
      </c>
      <c r="F130" s="1" t="s">
        <v>1263</v>
      </c>
      <c r="G130" s="9"/>
      <c r="I130" s="4">
        <v>58</v>
      </c>
      <c r="J130" s="11">
        <v>2.61</v>
      </c>
      <c r="L130" s="12">
        <f t="shared" ref="L130:L144" si="4">LOG(J130)</f>
        <v>0.41664050733828095</v>
      </c>
      <c r="M130" s="11">
        <f>GraphSalmonella!$B$10-(Salmonella!I130-GraphSalmonella!$B$6)/GraphSalmonella!$B$5</f>
        <v>0.49128612731304266</v>
      </c>
      <c r="N130" s="1" t="s">
        <v>319</v>
      </c>
      <c r="O130">
        <v>2000</v>
      </c>
      <c r="S130" s="10">
        <f>GraphSalmonella!$B$57*Salmonella!I130+GraphSalmonella!$B$58</f>
        <v>0.47030377432935788</v>
      </c>
      <c r="T130" s="10">
        <f>GraphSalmonella!$E$57*Salmonella!I130+GraphSalmonella!$E$58</f>
        <v>3.2352130003011514</v>
      </c>
      <c r="U130" s="10">
        <f>GraphSalmonella!$H$57*Salmonella!I130+GraphSalmonella!$H$58</f>
        <v>0.4921011649588376</v>
      </c>
      <c r="X130" s="10">
        <f>GraphSalmonella!$B$80*Salmonella!I130+GraphSalmonella!$B$81</f>
        <v>0.49401851408088504</v>
      </c>
      <c r="Y130" s="10">
        <f>GraphSalmonella!$E$80*Salmonella!I130+GraphSalmonella!$E$81</f>
        <v>0.50565064047698538</v>
      </c>
      <c r="Z130" s="10">
        <f>GraphSalmonella!$H$80*Salmonella!I130+GraphSalmonella!$H$81</f>
        <v>0.19385103950143989</v>
      </c>
    </row>
    <row r="131" spans="1:26" x14ac:dyDescent="0.2">
      <c r="A131" s="1" t="s">
        <v>66</v>
      </c>
      <c r="B131" s="1" t="s">
        <v>70</v>
      </c>
      <c r="D131" t="s">
        <v>11</v>
      </c>
      <c r="E131" s="1" t="s">
        <v>1262</v>
      </c>
      <c r="F131" s="1" t="s">
        <v>1263</v>
      </c>
      <c r="G131" s="9"/>
      <c r="I131" s="4">
        <v>58</v>
      </c>
      <c r="J131" s="11">
        <v>8.6</v>
      </c>
      <c r="L131" s="12">
        <f t="shared" si="4"/>
        <v>0.93449845124356767</v>
      </c>
      <c r="M131" s="11">
        <f>GraphSalmonella!$B$10-(Salmonella!I131-GraphSalmonella!$B$6)/GraphSalmonella!$B$5</f>
        <v>0.49128612731304266</v>
      </c>
      <c r="N131" s="1" t="s">
        <v>319</v>
      </c>
      <c r="O131">
        <v>2000</v>
      </c>
      <c r="P131" t="s">
        <v>345</v>
      </c>
      <c r="S131" s="10">
        <f>GraphSalmonella!$B$57*Salmonella!I131+GraphSalmonella!$B$58</f>
        <v>0.47030377432935788</v>
      </c>
      <c r="T131" s="10">
        <f>GraphSalmonella!$E$57*Salmonella!I131+GraphSalmonella!$E$58</f>
        <v>3.2352130003011514</v>
      </c>
      <c r="U131" s="10">
        <f>GraphSalmonella!$H$57*Salmonella!I131+GraphSalmonella!$H$58</f>
        <v>0.4921011649588376</v>
      </c>
      <c r="X131" s="10">
        <f>GraphSalmonella!$B$80*Salmonella!I131+GraphSalmonella!$B$81</f>
        <v>0.49401851408088504</v>
      </c>
      <c r="Y131" s="10">
        <f>GraphSalmonella!$E$80*Salmonella!I131+GraphSalmonella!$E$81</f>
        <v>0.50565064047698538</v>
      </c>
      <c r="Z131" s="10">
        <f>GraphSalmonella!$H$80*Salmonella!I131+GraphSalmonella!$H$81</f>
        <v>0.19385103950143989</v>
      </c>
    </row>
    <row r="132" spans="1:26" x14ac:dyDescent="0.2">
      <c r="A132" s="1" t="s">
        <v>66</v>
      </c>
      <c r="B132" s="1" t="s">
        <v>70</v>
      </c>
      <c r="D132" t="s">
        <v>11</v>
      </c>
      <c r="E132" s="1" t="s">
        <v>1262</v>
      </c>
      <c r="F132" s="1" t="s">
        <v>1263</v>
      </c>
      <c r="G132" s="9"/>
      <c r="I132" s="4">
        <v>63</v>
      </c>
      <c r="J132" s="11">
        <v>0.36</v>
      </c>
      <c r="K132" s="4">
        <v>6.5</v>
      </c>
      <c r="L132" s="12">
        <f t="shared" si="4"/>
        <v>-0.44369749923271273</v>
      </c>
      <c r="M132" s="11">
        <f>GraphSalmonella!$B$10-(Salmonella!I132-GraphSalmonella!$B$6)/GraphSalmonella!$B$5</f>
        <v>-5.8869332195888968E-2</v>
      </c>
      <c r="N132" s="1" t="s">
        <v>319</v>
      </c>
      <c r="O132">
        <v>2000</v>
      </c>
      <c r="S132" s="10">
        <f>GraphSalmonella!$B$57*Salmonella!I132+GraphSalmonella!$B$58</f>
        <v>0.1713524190225808</v>
      </c>
      <c r="T132" s="10">
        <f>GraphSalmonella!$E$57*Salmonella!I132+GraphSalmonella!$E$58</f>
        <v>2.9897403910558187</v>
      </c>
      <c r="U132" s="10">
        <f>GraphSalmonella!$H$57*Salmonella!I132+GraphSalmonella!$H$58</f>
        <v>-5.7930449906682391E-2</v>
      </c>
      <c r="X132" s="10">
        <f>GraphSalmonella!$B$80*Salmonella!I132+GraphSalmonella!$B$81</f>
        <v>-5.6403384443980187E-2</v>
      </c>
      <c r="Y132" s="10">
        <f>GraphSalmonella!$E$80*Salmonella!I132+GraphSalmonella!$E$81</f>
        <v>-5.2495943889084629E-2</v>
      </c>
      <c r="Z132" s="10">
        <f>GraphSalmonella!$H$80*Salmonella!I132+GraphSalmonella!$H$81</f>
        <v>-0.45205827668545329</v>
      </c>
    </row>
    <row r="133" spans="1:26" x14ac:dyDescent="0.2">
      <c r="A133" s="1" t="s">
        <v>66</v>
      </c>
      <c r="B133" s="1" t="s">
        <v>70</v>
      </c>
      <c r="D133" t="s">
        <v>11</v>
      </c>
      <c r="E133" s="1" t="s">
        <v>1262</v>
      </c>
      <c r="F133" t="s">
        <v>1263</v>
      </c>
      <c r="I133" s="4">
        <v>57</v>
      </c>
      <c r="J133" s="11">
        <v>2.13</v>
      </c>
      <c r="L133" s="12">
        <f t="shared" si="4"/>
        <v>0.32837960343873768</v>
      </c>
      <c r="M133" s="11">
        <f>GraphSalmonella!$B$10-(Salmonella!I133-GraphSalmonella!$B$6)/GraphSalmonella!$B$5</f>
        <v>0.60131721921482906</v>
      </c>
      <c r="N133" s="2" t="s">
        <v>1226</v>
      </c>
      <c r="O133">
        <v>1996</v>
      </c>
      <c r="S133" s="10">
        <f>GraphSalmonella!$B$57*Salmonella!I133+GraphSalmonella!$B$58</f>
        <v>0.53009404539071348</v>
      </c>
      <c r="T133" s="10">
        <f>GraphSalmonella!$E$57*Salmonella!I133+GraphSalmonella!$E$58</f>
        <v>3.2843075221502183</v>
      </c>
      <c r="U133" s="10">
        <f>GraphSalmonella!$H$57*Salmonella!I133+GraphSalmonella!$H$58</f>
        <v>0.60210748793194213</v>
      </c>
      <c r="X133" s="10">
        <f>GraphSalmonella!$B$80*Salmonella!I133+GraphSalmonella!$B$81</f>
        <v>0.6041028937858588</v>
      </c>
      <c r="Y133" s="10">
        <f>GraphSalmonella!$E$80*Salmonella!I133+GraphSalmonella!$E$81</f>
        <v>0.61727995735019991</v>
      </c>
      <c r="Z133" s="10">
        <f>GraphSalmonella!$H$80*Salmonella!I133+GraphSalmonella!$H$81</f>
        <v>0.32303290273881835</v>
      </c>
    </row>
    <row r="134" spans="1:26" x14ac:dyDescent="0.2">
      <c r="A134" s="1" t="s">
        <v>66</v>
      </c>
      <c r="B134" s="1" t="s">
        <v>70</v>
      </c>
      <c r="D134" t="s">
        <v>11</v>
      </c>
      <c r="E134" s="1" t="s">
        <v>1262</v>
      </c>
      <c r="F134" t="s">
        <v>1263</v>
      </c>
      <c r="I134" s="4">
        <v>57</v>
      </c>
      <c r="J134" s="11">
        <v>2.67</v>
      </c>
      <c r="L134" s="12">
        <f t="shared" si="4"/>
        <v>0.42651126136457523</v>
      </c>
      <c r="M134" s="11">
        <f>GraphSalmonella!$B$10-(Salmonella!I134-GraphSalmonella!$B$6)/GraphSalmonella!$B$5</f>
        <v>0.60131721921482906</v>
      </c>
      <c r="N134" s="2" t="s">
        <v>1226</v>
      </c>
      <c r="O134">
        <v>1996</v>
      </c>
      <c r="S134" s="10">
        <f>GraphSalmonella!$B$57*Salmonella!I134+GraphSalmonella!$B$58</f>
        <v>0.53009404539071348</v>
      </c>
      <c r="T134" s="10">
        <f>GraphSalmonella!$E$57*Salmonella!I134+GraphSalmonella!$E$58</f>
        <v>3.2843075221502183</v>
      </c>
      <c r="U134" s="10">
        <f>GraphSalmonella!$H$57*Salmonella!I134+GraphSalmonella!$H$58</f>
        <v>0.60210748793194213</v>
      </c>
      <c r="X134" s="10">
        <f>GraphSalmonella!$B$80*Salmonella!I134+GraphSalmonella!$B$81</f>
        <v>0.6041028937858588</v>
      </c>
      <c r="Y134" s="10">
        <f>GraphSalmonella!$E$80*Salmonella!I134+GraphSalmonella!$E$81</f>
        <v>0.61727995735019991</v>
      </c>
      <c r="Z134" s="10">
        <f>GraphSalmonella!$H$80*Salmonella!I134+GraphSalmonella!$H$81</f>
        <v>0.32303290273881835</v>
      </c>
    </row>
    <row r="135" spans="1:26" x14ac:dyDescent="0.2">
      <c r="A135" s="1" t="s">
        <v>66</v>
      </c>
      <c r="B135" s="1" t="s">
        <v>70</v>
      </c>
      <c r="D135" t="s">
        <v>11</v>
      </c>
      <c r="E135" s="1" t="s">
        <v>1262</v>
      </c>
      <c r="F135" t="s">
        <v>1263</v>
      </c>
      <c r="I135" s="4">
        <v>63</v>
      </c>
      <c r="J135" s="11">
        <v>0.36</v>
      </c>
      <c r="L135" s="12">
        <f t="shared" si="4"/>
        <v>-0.44369749923271273</v>
      </c>
      <c r="M135" s="11">
        <f>GraphSalmonella!$B$10-(Salmonella!I135-GraphSalmonella!$B$6)/GraphSalmonella!$B$5</f>
        <v>-5.8869332195888968E-2</v>
      </c>
      <c r="N135" s="2" t="s">
        <v>1226</v>
      </c>
      <c r="O135">
        <v>1996</v>
      </c>
      <c r="S135" s="10">
        <f>GraphSalmonella!$B$57*Salmonella!I135+GraphSalmonella!$B$58</f>
        <v>0.1713524190225808</v>
      </c>
      <c r="T135" s="10">
        <f>GraphSalmonella!$E$57*Salmonella!I135+GraphSalmonella!$E$58</f>
        <v>2.9897403910558187</v>
      </c>
      <c r="U135" s="10">
        <f>GraphSalmonella!$H$57*Salmonella!I135+GraphSalmonella!$H$58</f>
        <v>-5.7930449906682391E-2</v>
      </c>
      <c r="X135" s="10">
        <f>GraphSalmonella!$B$80*Salmonella!I135+GraphSalmonella!$B$81</f>
        <v>-5.6403384443980187E-2</v>
      </c>
      <c r="Y135" s="10">
        <f>GraphSalmonella!$E$80*Salmonella!I135+GraphSalmonella!$E$81</f>
        <v>-5.2495943889084629E-2</v>
      </c>
      <c r="Z135" s="10">
        <f>GraphSalmonella!$H$80*Salmonella!I135+GraphSalmonella!$H$81</f>
        <v>-0.45205827668545329</v>
      </c>
    </row>
    <row r="136" spans="1:26" x14ac:dyDescent="0.2">
      <c r="A136" s="1" t="s">
        <v>66</v>
      </c>
      <c r="B136" s="1" t="s">
        <v>769</v>
      </c>
      <c r="D136" t="s">
        <v>11</v>
      </c>
      <c r="E136" s="1" t="s">
        <v>1262</v>
      </c>
      <c r="F136" s="1" t="s">
        <v>350</v>
      </c>
      <c r="G136" s="9"/>
      <c r="I136" s="4">
        <v>54</v>
      </c>
      <c r="J136" s="11">
        <v>23</v>
      </c>
      <c r="L136" s="12">
        <f t="shared" si="4"/>
        <v>1.3617278360175928</v>
      </c>
      <c r="M136" s="11">
        <f>GraphSalmonella!$B$10-(Salmonella!I136-GraphSalmonella!$B$6)/GraphSalmonella!$B$5</f>
        <v>0.93141049492018801</v>
      </c>
      <c r="N136" s="1" t="s">
        <v>319</v>
      </c>
      <c r="O136">
        <v>2000</v>
      </c>
      <c r="S136" s="10">
        <f>GraphSalmonella!$B$57*Salmonella!I136+GraphSalmonella!$B$58</f>
        <v>0.70946485857477981</v>
      </c>
      <c r="T136" s="10">
        <f>GraphSalmonella!$E$57*Salmonella!I136+GraphSalmonella!$E$58</f>
        <v>3.4315910876974178</v>
      </c>
      <c r="U136" s="10">
        <f>GraphSalmonella!$H$57*Salmonella!I136+GraphSalmonella!$H$58</f>
        <v>0.93212645685125395</v>
      </c>
      <c r="X136" s="10">
        <f>GraphSalmonella!$B$80*Salmonella!I136+GraphSalmonella!$B$81</f>
        <v>0.9343560329007774</v>
      </c>
      <c r="Y136" s="10">
        <f>GraphSalmonella!$E$80*Salmonella!I136+GraphSalmonella!$E$81</f>
        <v>0.95216790796984174</v>
      </c>
      <c r="Z136" s="10">
        <f>GraphSalmonella!$H$80*Salmonella!I136+GraphSalmonella!$H$81</f>
        <v>0.71057849245095284</v>
      </c>
    </row>
    <row r="137" spans="1:26" x14ac:dyDescent="0.2">
      <c r="A137" s="1" t="s">
        <v>66</v>
      </c>
      <c r="B137" s="1" t="s">
        <v>769</v>
      </c>
      <c r="D137" t="s">
        <v>11</v>
      </c>
      <c r="E137" s="1" t="s">
        <v>1262</v>
      </c>
      <c r="F137" s="1" t="s">
        <v>350</v>
      </c>
      <c r="G137" s="9"/>
      <c r="I137" s="4">
        <v>60</v>
      </c>
      <c r="J137" s="11">
        <v>1.3</v>
      </c>
      <c r="L137" s="12">
        <f t="shared" si="4"/>
        <v>0.11394335230683679</v>
      </c>
      <c r="M137" s="11">
        <f>GraphSalmonella!$B$10-(Salmonella!I137-GraphSalmonella!$B$6)/GraphSalmonella!$B$5</f>
        <v>0.2712239435094701</v>
      </c>
      <c r="N137" s="1" t="s">
        <v>319</v>
      </c>
      <c r="O137">
        <v>2000</v>
      </c>
      <c r="S137" s="10">
        <f>GraphSalmonella!$B$57*Salmonella!I137+GraphSalmonella!$B$58</f>
        <v>0.35072323220664714</v>
      </c>
      <c r="T137" s="10">
        <f>GraphSalmonella!$E$57*Salmonella!I137+GraphSalmonella!$E$58</f>
        <v>3.1370239566030182</v>
      </c>
      <c r="U137" s="10">
        <f>GraphSalmonella!$H$57*Salmonella!I137+GraphSalmonella!$H$58</f>
        <v>0.27208851901262943</v>
      </c>
      <c r="X137" s="10">
        <f>GraphSalmonella!$B$80*Salmonella!I137+GraphSalmonella!$B$81</f>
        <v>0.2738497546709393</v>
      </c>
      <c r="Y137" s="10">
        <f>GraphSalmonella!$E$80*Salmonella!I137+GraphSalmonella!$E$81</f>
        <v>0.2823920067305572</v>
      </c>
      <c r="Z137" s="10">
        <f>GraphSalmonella!$H$80*Salmonella!I137+GraphSalmonella!$H$81</f>
        <v>-6.4512686973317024E-2</v>
      </c>
    </row>
    <row r="138" spans="1:26" x14ac:dyDescent="0.2">
      <c r="A138" s="1" t="s">
        <v>66</v>
      </c>
      <c r="B138" s="1" t="s">
        <v>67</v>
      </c>
      <c r="D138" t="s">
        <v>11</v>
      </c>
      <c r="E138" s="1" t="s">
        <v>1262</v>
      </c>
      <c r="F138" s="1" t="s">
        <v>558</v>
      </c>
      <c r="G138" s="9"/>
      <c r="I138" s="4">
        <v>58</v>
      </c>
      <c r="J138" s="11">
        <v>21.79</v>
      </c>
      <c r="L138" s="12">
        <f t="shared" si="4"/>
        <v>1.3382572302462556</v>
      </c>
      <c r="M138" s="11">
        <f>GraphSalmonella!$B$10-(Salmonella!I138-GraphSalmonella!$B$6)/GraphSalmonella!$B$5</f>
        <v>0.49128612731304266</v>
      </c>
      <c r="N138" s="1" t="s">
        <v>567</v>
      </c>
      <c r="O138">
        <v>2001</v>
      </c>
      <c r="S138" s="10">
        <f>GraphSalmonella!$B$57*Salmonella!I138+GraphSalmonella!$B$58</f>
        <v>0.47030377432935788</v>
      </c>
      <c r="T138" s="10">
        <f>GraphSalmonella!$E$57*Salmonella!I138+GraphSalmonella!$E$58</f>
        <v>3.2352130003011514</v>
      </c>
      <c r="U138" s="10">
        <f>GraphSalmonella!$H$57*Salmonella!I138+GraphSalmonella!$H$58</f>
        <v>0.4921011649588376</v>
      </c>
      <c r="X138" s="10">
        <f>GraphSalmonella!$B$80*Salmonella!I138+GraphSalmonella!$B$81</f>
        <v>0.49401851408088504</v>
      </c>
      <c r="Y138" s="10">
        <f>GraphSalmonella!$E$80*Salmonella!I138+GraphSalmonella!$E$81</f>
        <v>0.50565064047698538</v>
      </c>
      <c r="Z138" s="10">
        <f>GraphSalmonella!$H$80*Salmonella!I138+GraphSalmonella!$H$81</f>
        <v>0.19385103950143989</v>
      </c>
    </row>
    <row r="139" spans="1:26" x14ac:dyDescent="0.2">
      <c r="A139" s="1" t="s">
        <v>66</v>
      </c>
      <c r="B139" s="1" t="s">
        <v>67</v>
      </c>
      <c r="D139" t="s">
        <v>11</v>
      </c>
      <c r="E139" s="1" t="s">
        <v>1262</v>
      </c>
      <c r="F139" s="1" t="s">
        <v>558</v>
      </c>
      <c r="G139" s="9"/>
      <c r="I139" s="4">
        <v>61</v>
      </c>
      <c r="J139" s="11">
        <v>3.38</v>
      </c>
      <c r="L139" s="12">
        <f t="shared" si="4"/>
        <v>0.52891670027765469</v>
      </c>
      <c r="M139" s="11">
        <f>GraphSalmonella!$B$10-(Salmonella!I139-GraphSalmonella!$B$6)/GraphSalmonella!$B$5</f>
        <v>0.16119285160768371</v>
      </c>
      <c r="N139" s="1" t="s">
        <v>567</v>
      </c>
      <c r="O139">
        <v>2001</v>
      </c>
      <c r="S139" s="10">
        <f>GraphSalmonella!$B$57*Salmonella!I139+GraphSalmonella!$B$58</f>
        <v>0.29093296114529155</v>
      </c>
      <c r="T139" s="10">
        <f>GraphSalmonella!$E$57*Salmonella!I139+GraphSalmonella!$E$58</f>
        <v>3.0879294347539519</v>
      </c>
      <c r="U139" s="10">
        <f>GraphSalmonella!$H$57*Salmonella!I139+GraphSalmonella!$H$58</f>
        <v>0.16208219603952578</v>
      </c>
      <c r="X139" s="10">
        <f>GraphSalmonella!$B$80*Salmonella!I139+GraphSalmonella!$B$81</f>
        <v>0.16376537496596644</v>
      </c>
      <c r="Y139" s="10">
        <f>GraphSalmonella!$E$80*Salmonella!I139+GraphSalmonella!$E$81</f>
        <v>0.17076268985734355</v>
      </c>
      <c r="Z139" s="10">
        <f>GraphSalmonella!$H$80*Salmonella!I139+GraphSalmonella!$H$81</f>
        <v>-0.19369455021069548</v>
      </c>
    </row>
    <row r="140" spans="1:26" x14ac:dyDescent="0.2">
      <c r="A140" s="1" t="s">
        <v>66</v>
      </c>
      <c r="B140" s="1" t="s">
        <v>67</v>
      </c>
      <c r="D140" t="s">
        <v>11</v>
      </c>
      <c r="E140" s="1" t="s">
        <v>1262</v>
      </c>
      <c r="F140" s="1" t="s">
        <v>558</v>
      </c>
      <c r="G140" s="9"/>
      <c r="I140" s="4">
        <v>64</v>
      </c>
      <c r="J140" s="11">
        <v>0.92</v>
      </c>
      <c r="L140" s="12">
        <f t="shared" si="4"/>
        <v>-3.6212172654444715E-2</v>
      </c>
      <c r="M140" s="11">
        <f>GraphSalmonella!$B$10-(Salmonella!I140-GraphSalmonella!$B$6)/GraphSalmonella!$B$5</f>
        <v>-0.16890042409767536</v>
      </c>
      <c r="N140" s="1" t="s">
        <v>567</v>
      </c>
      <c r="O140">
        <v>2001</v>
      </c>
      <c r="S140" s="10">
        <f>GraphSalmonella!$B$57*Salmonella!I140+GraphSalmonella!$B$58</f>
        <v>0.11156214796122521</v>
      </c>
      <c r="T140" s="10">
        <f>GraphSalmonella!$E$57*Salmonella!I140+GraphSalmonella!$E$58</f>
        <v>2.9406458692067519</v>
      </c>
      <c r="U140" s="10">
        <f>GraphSalmonella!$H$57*Salmonella!I140+GraphSalmonella!$H$58</f>
        <v>-0.16793677287978692</v>
      </c>
      <c r="X140" s="10">
        <f>GraphSalmonella!$B$80*Salmonella!I140+GraphSalmonella!$B$81</f>
        <v>-0.16648776414895305</v>
      </c>
      <c r="Y140" s="10">
        <f>GraphSalmonella!$E$80*Salmonella!I140+GraphSalmonella!$E$81</f>
        <v>-0.16412526076229828</v>
      </c>
      <c r="Z140" s="10">
        <f>GraphSalmonella!$H$80*Salmonella!I140+GraphSalmonella!$H$81</f>
        <v>-0.58124013992283086</v>
      </c>
    </row>
    <row r="141" spans="1:26" x14ac:dyDescent="0.2">
      <c r="A141" s="1" t="s">
        <v>66</v>
      </c>
      <c r="B141" s="1" t="s">
        <v>67</v>
      </c>
      <c r="D141" t="s">
        <v>11</v>
      </c>
      <c r="E141" s="1" t="s">
        <v>1262</v>
      </c>
      <c r="F141" s="1" t="s">
        <v>558</v>
      </c>
      <c r="G141" s="9"/>
      <c r="I141" s="4">
        <v>66</v>
      </c>
      <c r="J141" s="11">
        <v>0.34</v>
      </c>
      <c r="L141" s="12">
        <f t="shared" si="4"/>
        <v>-0.46852108295774486</v>
      </c>
      <c r="M141" s="11">
        <f>GraphSalmonella!$B$10-(Salmonella!I141-GraphSalmonella!$B$6)/GraphSalmonella!$B$5</f>
        <v>-0.38896260790124804</v>
      </c>
      <c r="N141" s="1" t="s">
        <v>567</v>
      </c>
      <c r="O141">
        <v>2001</v>
      </c>
      <c r="S141" s="10">
        <f>GraphSalmonella!$B$57*Salmonella!I141+GraphSalmonella!$B$58</f>
        <v>-8.0183941614855314E-3</v>
      </c>
      <c r="T141" s="10">
        <f>GraphSalmonella!$E$57*Salmonella!I141+GraphSalmonella!$E$58</f>
        <v>2.8424568255086187</v>
      </c>
      <c r="U141" s="10">
        <f>GraphSalmonella!$H$57*Salmonella!I141+GraphSalmonella!$H$58</f>
        <v>-0.3879494188259951</v>
      </c>
      <c r="X141" s="10">
        <f>GraphSalmonella!$B$80*Salmonella!I141+GraphSalmonella!$B$81</f>
        <v>-0.38665652355889879</v>
      </c>
      <c r="Y141" s="10">
        <f>GraphSalmonella!$E$80*Salmonella!I141+GraphSalmonella!$E$81</f>
        <v>-0.38738389450872646</v>
      </c>
      <c r="Z141" s="10">
        <f>GraphSalmonella!$H$80*Salmonella!I141+GraphSalmonella!$H$81</f>
        <v>-0.83960386639758777</v>
      </c>
    </row>
    <row r="142" spans="1:26" x14ac:dyDescent="0.2">
      <c r="A142" s="1" t="s">
        <v>66</v>
      </c>
      <c r="B142" s="1" t="s">
        <v>731</v>
      </c>
      <c r="D142" t="s">
        <v>11</v>
      </c>
      <c r="E142" s="1" t="s">
        <v>1262</v>
      </c>
      <c r="F142" s="1" t="s">
        <v>558</v>
      </c>
      <c r="G142" s="9"/>
      <c r="I142" s="4">
        <v>63</v>
      </c>
      <c r="J142" s="11">
        <v>0.15</v>
      </c>
      <c r="L142" s="12">
        <f t="shared" si="4"/>
        <v>-0.82390874094431876</v>
      </c>
      <c r="M142" s="11">
        <f>GraphSalmonella!$B$10-(Salmonella!I142-GraphSalmonella!$B$6)/GraphSalmonella!$B$5</f>
        <v>-5.8869332195888968E-2</v>
      </c>
      <c r="N142" s="1" t="s">
        <v>567</v>
      </c>
      <c r="O142">
        <v>2001</v>
      </c>
      <c r="P142" t="s">
        <v>359</v>
      </c>
      <c r="S142" s="10">
        <f>GraphSalmonella!$B$57*Salmonella!I142+GraphSalmonella!$B$58</f>
        <v>0.1713524190225808</v>
      </c>
      <c r="T142" s="10">
        <f>GraphSalmonella!$E$57*Salmonella!I142+GraphSalmonella!$E$58</f>
        <v>2.9897403910558187</v>
      </c>
      <c r="U142" s="10">
        <f>GraphSalmonella!$H$57*Salmonella!I142+GraphSalmonella!$H$58</f>
        <v>-5.7930449906682391E-2</v>
      </c>
      <c r="X142" s="10">
        <f>GraphSalmonella!$B$80*Salmonella!I142+GraphSalmonella!$B$81</f>
        <v>-5.6403384443980187E-2</v>
      </c>
      <c r="Y142" s="10">
        <f>GraphSalmonella!$E$80*Salmonella!I142+GraphSalmonella!$E$81</f>
        <v>-5.2495943889084629E-2</v>
      </c>
      <c r="Z142" s="10">
        <f>GraphSalmonella!$H$80*Salmonella!I142+GraphSalmonella!$H$81</f>
        <v>-0.45205827668545329</v>
      </c>
    </row>
    <row r="143" spans="1:26" x14ac:dyDescent="0.2">
      <c r="A143" s="1" t="s">
        <v>66</v>
      </c>
      <c r="B143" s="1" t="s">
        <v>731</v>
      </c>
      <c r="D143" t="s">
        <v>11</v>
      </c>
      <c r="E143" s="1" t="s">
        <v>1262</v>
      </c>
      <c r="F143" s="1" t="s">
        <v>558</v>
      </c>
      <c r="G143" s="9"/>
      <c r="I143" s="4">
        <v>61</v>
      </c>
      <c r="J143" s="11">
        <v>0.44</v>
      </c>
      <c r="L143" s="12">
        <f t="shared" si="4"/>
        <v>-0.35654732351381258</v>
      </c>
      <c r="M143" s="11">
        <f>GraphSalmonella!$B$10-(Salmonella!I143-GraphSalmonella!$B$6)/GraphSalmonella!$B$5</f>
        <v>0.16119285160768371</v>
      </c>
      <c r="N143" s="1" t="s">
        <v>567</v>
      </c>
      <c r="O143">
        <v>2001</v>
      </c>
      <c r="P143" t="s">
        <v>359</v>
      </c>
      <c r="S143" s="10">
        <f>GraphSalmonella!$B$57*Salmonella!I143+GraphSalmonella!$B$58</f>
        <v>0.29093296114529155</v>
      </c>
      <c r="T143" s="10">
        <f>GraphSalmonella!$E$57*Salmonella!I143+GraphSalmonella!$E$58</f>
        <v>3.0879294347539519</v>
      </c>
      <c r="U143" s="10">
        <f>GraphSalmonella!$H$57*Salmonella!I143+GraphSalmonella!$H$58</f>
        <v>0.16208219603952578</v>
      </c>
      <c r="X143" s="10">
        <f>GraphSalmonella!$B$80*Salmonella!I143+GraphSalmonella!$B$81</f>
        <v>0.16376537496596644</v>
      </c>
      <c r="Y143" s="10">
        <f>GraphSalmonella!$E$80*Salmonella!I143+GraphSalmonella!$E$81</f>
        <v>0.17076268985734355</v>
      </c>
      <c r="Z143" s="10">
        <f>GraphSalmonella!$H$80*Salmonella!I143+GraphSalmonella!$H$81</f>
        <v>-0.19369455021069548</v>
      </c>
    </row>
    <row r="144" spans="1:26" x14ac:dyDescent="0.2">
      <c r="A144" s="1" t="s">
        <v>66</v>
      </c>
      <c r="B144" s="1" t="s">
        <v>731</v>
      </c>
      <c r="D144" t="s">
        <v>11</v>
      </c>
      <c r="E144" s="1" t="s">
        <v>1262</v>
      </c>
      <c r="F144" s="1" t="s">
        <v>558</v>
      </c>
      <c r="G144" s="9"/>
      <c r="I144" s="4">
        <v>58</v>
      </c>
      <c r="J144" s="11">
        <v>2.72</v>
      </c>
      <c r="L144" s="12">
        <f t="shared" si="4"/>
        <v>0.43456890403419873</v>
      </c>
      <c r="M144" s="11">
        <f>GraphSalmonella!$B$10-(Salmonella!I144-GraphSalmonella!$B$6)/GraphSalmonella!$B$5</f>
        <v>0.49128612731304266</v>
      </c>
      <c r="N144" s="1" t="s">
        <v>567</v>
      </c>
      <c r="O144">
        <v>2001</v>
      </c>
      <c r="P144" t="s">
        <v>359</v>
      </c>
      <c r="S144" s="10">
        <f>GraphSalmonella!$B$57*Salmonella!I144+GraphSalmonella!$B$58</f>
        <v>0.47030377432935788</v>
      </c>
      <c r="T144" s="10">
        <f>GraphSalmonella!$E$57*Salmonella!I144+GraphSalmonella!$E$58</f>
        <v>3.2352130003011514</v>
      </c>
      <c r="U144" s="10">
        <f>GraphSalmonella!$H$57*Salmonella!I144+GraphSalmonella!$H$58</f>
        <v>0.4921011649588376</v>
      </c>
      <c r="X144" s="10">
        <f>GraphSalmonella!$B$80*Salmonella!I144+GraphSalmonella!$B$81</f>
        <v>0.49401851408088504</v>
      </c>
      <c r="Y144" s="10">
        <f>GraphSalmonella!$E$80*Salmonella!I144+GraphSalmonella!$E$81</f>
        <v>0.50565064047698538</v>
      </c>
      <c r="Z144" s="10">
        <f>GraphSalmonella!$H$80*Salmonella!I144+GraphSalmonella!$H$81</f>
        <v>0.19385103950143989</v>
      </c>
    </row>
    <row r="145" spans="1:26" x14ac:dyDescent="0.2">
      <c r="A145" s="1" t="s">
        <v>66</v>
      </c>
      <c r="B145" s="1" t="s">
        <v>731</v>
      </c>
      <c r="D145" t="s">
        <v>11</v>
      </c>
      <c r="E145" s="1" t="s">
        <v>1262</v>
      </c>
      <c r="F145" s="1" t="s">
        <v>558</v>
      </c>
      <c r="G145" s="9"/>
      <c r="I145" s="4">
        <v>55</v>
      </c>
      <c r="J145" s="11">
        <v>16.34</v>
      </c>
      <c r="L145" s="12">
        <f t="shared" ref="L145:L151" si="5">LOG(J145)</f>
        <v>1.2132520521963968</v>
      </c>
      <c r="M145" s="11">
        <f>GraphSalmonella!$B$10-(Salmonella!I145-GraphSalmonella!$B$6)/GraphSalmonella!$B$5</f>
        <v>0.82137940301840184</v>
      </c>
      <c r="N145" s="1" t="s">
        <v>567</v>
      </c>
      <c r="O145">
        <v>2001</v>
      </c>
      <c r="P145" t="s">
        <v>359</v>
      </c>
      <c r="S145" s="10">
        <f>GraphSalmonella!$B$57*Salmonella!I145+GraphSalmonella!$B$58</f>
        <v>0.64967458751342466</v>
      </c>
      <c r="T145" s="10">
        <f>GraphSalmonella!$E$57*Salmonella!I145+GraphSalmonella!$E$58</f>
        <v>3.3824965658483515</v>
      </c>
      <c r="U145" s="10">
        <f>GraphSalmonella!$H$57*Salmonella!I145+GraphSalmonella!$H$58</f>
        <v>0.82212013387815031</v>
      </c>
      <c r="X145" s="10">
        <f>GraphSalmonella!$B$80*Salmonella!I145+GraphSalmonella!$B$81</f>
        <v>0.82427165319580453</v>
      </c>
      <c r="Y145" s="10">
        <f>GraphSalmonella!$E$80*Salmonella!I145+GraphSalmonella!$E$81</f>
        <v>0.84053859109662721</v>
      </c>
      <c r="Z145" s="10">
        <f>GraphSalmonella!$H$80*Salmonella!I145+GraphSalmonella!$H$81</f>
        <v>0.58139662921357438</v>
      </c>
    </row>
    <row r="146" spans="1:26" x14ac:dyDescent="0.2">
      <c r="A146" s="1" t="s">
        <v>66</v>
      </c>
      <c r="B146" s="1" t="s">
        <v>731</v>
      </c>
      <c r="D146" t="s">
        <v>11</v>
      </c>
      <c r="E146" s="1" t="s">
        <v>1262</v>
      </c>
      <c r="F146" s="1" t="s">
        <v>558</v>
      </c>
      <c r="G146" s="9"/>
      <c r="I146" s="4">
        <v>63</v>
      </c>
      <c r="J146" s="11">
        <v>0.2</v>
      </c>
      <c r="L146" s="12">
        <f t="shared" si="5"/>
        <v>-0.69897000433601875</v>
      </c>
      <c r="M146" s="11">
        <f>GraphSalmonella!$B$10-(Salmonella!I146-GraphSalmonella!$B$6)/GraphSalmonella!$B$5</f>
        <v>-5.8869332195888968E-2</v>
      </c>
      <c r="N146" s="1" t="s">
        <v>567</v>
      </c>
      <c r="O146">
        <v>2001</v>
      </c>
      <c r="P146" t="s">
        <v>358</v>
      </c>
      <c r="S146" s="10">
        <f>GraphSalmonella!$B$57*Salmonella!I146+GraphSalmonella!$B$58</f>
        <v>0.1713524190225808</v>
      </c>
      <c r="T146" s="10">
        <f>GraphSalmonella!$E$57*Salmonella!I146+GraphSalmonella!$E$58</f>
        <v>2.9897403910558187</v>
      </c>
      <c r="U146" s="10">
        <f>GraphSalmonella!$H$57*Salmonella!I146+GraphSalmonella!$H$58</f>
        <v>-5.7930449906682391E-2</v>
      </c>
      <c r="X146" s="10">
        <f>GraphSalmonella!$B$80*Salmonella!I146+GraphSalmonella!$B$81</f>
        <v>-5.6403384443980187E-2</v>
      </c>
      <c r="Y146" s="10">
        <f>GraphSalmonella!$E$80*Salmonella!I146+GraphSalmonella!$E$81</f>
        <v>-5.2495943889084629E-2</v>
      </c>
      <c r="Z146" s="10">
        <f>GraphSalmonella!$H$80*Salmonella!I146+GraphSalmonella!$H$81</f>
        <v>-0.45205827668545329</v>
      </c>
    </row>
    <row r="147" spans="1:26" x14ac:dyDescent="0.2">
      <c r="A147" s="1" t="s">
        <v>66</v>
      </c>
      <c r="B147" s="1" t="s">
        <v>731</v>
      </c>
      <c r="D147" t="s">
        <v>11</v>
      </c>
      <c r="E147" s="1" t="s">
        <v>1262</v>
      </c>
      <c r="F147" s="1" t="s">
        <v>558</v>
      </c>
      <c r="G147" s="9"/>
      <c r="I147" s="4">
        <v>61</v>
      </c>
      <c r="J147" s="11">
        <v>0.56999999999999995</v>
      </c>
      <c r="L147" s="12">
        <f t="shared" si="5"/>
        <v>-0.24412514432750865</v>
      </c>
      <c r="M147" s="11">
        <f>GraphSalmonella!$B$10-(Salmonella!I147-GraphSalmonella!$B$6)/GraphSalmonella!$B$5</f>
        <v>0.16119285160768371</v>
      </c>
      <c r="N147" s="1" t="s">
        <v>567</v>
      </c>
      <c r="O147">
        <v>2001</v>
      </c>
      <c r="P147" t="s">
        <v>358</v>
      </c>
      <c r="S147" s="10">
        <f>GraphSalmonella!$B$57*Salmonella!I147+GraphSalmonella!$B$58</f>
        <v>0.29093296114529155</v>
      </c>
      <c r="T147" s="10">
        <f>GraphSalmonella!$E$57*Salmonella!I147+GraphSalmonella!$E$58</f>
        <v>3.0879294347539519</v>
      </c>
      <c r="U147" s="10">
        <f>GraphSalmonella!$H$57*Salmonella!I147+GraphSalmonella!$H$58</f>
        <v>0.16208219603952578</v>
      </c>
      <c r="X147" s="10">
        <f>GraphSalmonella!$B$80*Salmonella!I147+GraphSalmonella!$B$81</f>
        <v>0.16376537496596644</v>
      </c>
      <c r="Y147" s="10">
        <f>GraphSalmonella!$E$80*Salmonella!I147+GraphSalmonella!$E$81</f>
        <v>0.17076268985734355</v>
      </c>
      <c r="Z147" s="10">
        <f>GraphSalmonella!$H$80*Salmonella!I147+GraphSalmonella!$H$81</f>
        <v>-0.19369455021069548</v>
      </c>
    </row>
    <row r="148" spans="1:26" x14ac:dyDescent="0.2">
      <c r="A148" s="1" t="s">
        <v>66</v>
      </c>
      <c r="B148" s="1" t="s">
        <v>731</v>
      </c>
      <c r="D148" t="s">
        <v>11</v>
      </c>
      <c r="E148" s="1" t="s">
        <v>1262</v>
      </c>
      <c r="F148" s="1" t="s">
        <v>558</v>
      </c>
      <c r="G148" s="9"/>
      <c r="I148" s="4">
        <v>58</v>
      </c>
      <c r="J148" s="11">
        <v>3.39</v>
      </c>
      <c r="L148" s="12">
        <f t="shared" si="5"/>
        <v>0.53019969820308221</v>
      </c>
      <c r="M148" s="11">
        <f>GraphSalmonella!$B$10-(Salmonella!I148-GraphSalmonella!$B$6)/GraphSalmonella!$B$5</f>
        <v>0.49128612731304266</v>
      </c>
      <c r="N148" s="1" t="s">
        <v>567</v>
      </c>
      <c r="O148">
        <v>2001</v>
      </c>
      <c r="P148" t="s">
        <v>358</v>
      </c>
      <c r="S148" s="10">
        <f>GraphSalmonella!$B$57*Salmonella!I148+GraphSalmonella!$B$58</f>
        <v>0.47030377432935788</v>
      </c>
      <c r="T148" s="10">
        <f>GraphSalmonella!$E$57*Salmonella!I148+GraphSalmonella!$E$58</f>
        <v>3.2352130003011514</v>
      </c>
      <c r="U148" s="10">
        <f>GraphSalmonella!$H$57*Salmonella!I148+GraphSalmonella!$H$58</f>
        <v>0.4921011649588376</v>
      </c>
      <c r="X148" s="10">
        <f>GraphSalmonella!$B$80*Salmonella!I148+GraphSalmonella!$B$81</f>
        <v>0.49401851408088504</v>
      </c>
      <c r="Y148" s="10">
        <f>GraphSalmonella!$E$80*Salmonella!I148+GraphSalmonella!$E$81</f>
        <v>0.50565064047698538</v>
      </c>
      <c r="Z148" s="10">
        <f>GraphSalmonella!$H$80*Salmonella!I148+GraphSalmonella!$H$81</f>
        <v>0.19385103950143989</v>
      </c>
    </row>
    <row r="149" spans="1:26" x14ac:dyDescent="0.2">
      <c r="A149" s="1" t="s">
        <v>66</v>
      </c>
      <c r="B149" s="1" t="s">
        <v>731</v>
      </c>
      <c r="D149" t="s">
        <v>11</v>
      </c>
      <c r="E149" s="1" t="s">
        <v>1262</v>
      </c>
      <c r="F149" s="1" t="s">
        <v>558</v>
      </c>
      <c r="G149" s="9"/>
      <c r="I149" s="4">
        <v>55</v>
      </c>
      <c r="J149" s="11">
        <v>18.66</v>
      </c>
      <c r="L149" s="12">
        <f t="shared" si="5"/>
        <v>1.2709116394104811</v>
      </c>
      <c r="M149" s="11">
        <f>GraphSalmonella!$B$10-(Salmonella!I149-GraphSalmonella!$B$6)/GraphSalmonella!$B$5</f>
        <v>0.82137940301840184</v>
      </c>
      <c r="N149" s="1" t="s">
        <v>567</v>
      </c>
      <c r="O149">
        <v>2001</v>
      </c>
      <c r="P149" t="s">
        <v>358</v>
      </c>
      <c r="S149" s="10">
        <f>GraphSalmonella!$B$57*Salmonella!I149+GraphSalmonella!$B$58</f>
        <v>0.64967458751342466</v>
      </c>
      <c r="T149" s="10">
        <f>GraphSalmonella!$E$57*Salmonella!I149+GraphSalmonella!$E$58</f>
        <v>3.3824965658483515</v>
      </c>
      <c r="U149" s="10">
        <f>GraphSalmonella!$H$57*Salmonella!I149+GraphSalmonella!$H$58</f>
        <v>0.82212013387815031</v>
      </c>
      <c r="X149" s="10">
        <f>GraphSalmonella!$B$80*Salmonella!I149+GraphSalmonella!$B$81</f>
        <v>0.82427165319580453</v>
      </c>
      <c r="Y149" s="10">
        <f>GraphSalmonella!$E$80*Salmonella!I149+GraphSalmonella!$E$81</f>
        <v>0.84053859109662721</v>
      </c>
      <c r="Z149" s="10">
        <f>GraphSalmonella!$H$80*Salmonella!I149+GraphSalmonella!$H$81</f>
        <v>0.58139662921357438</v>
      </c>
    </row>
    <row r="150" spans="1:26" x14ac:dyDescent="0.2">
      <c r="A150" s="1" t="s">
        <v>66</v>
      </c>
      <c r="B150" s="1" t="s">
        <v>731</v>
      </c>
      <c r="D150" t="s">
        <v>11</v>
      </c>
      <c r="E150" s="1" t="s">
        <v>1262</v>
      </c>
      <c r="F150" s="1" t="s">
        <v>558</v>
      </c>
      <c r="G150" s="9"/>
      <c r="I150" s="4">
        <v>63</v>
      </c>
      <c r="J150" s="11">
        <v>0.14000000000000001</v>
      </c>
      <c r="L150" s="12">
        <f t="shared" si="5"/>
        <v>-0.85387196432176193</v>
      </c>
      <c r="M150" s="11">
        <f>GraphSalmonella!$B$10-(Salmonella!I150-GraphSalmonella!$B$6)/GraphSalmonella!$B$5</f>
        <v>-5.8869332195888968E-2</v>
      </c>
      <c r="N150" s="1" t="s">
        <v>567</v>
      </c>
      <c r="O150">
        <v>2001</v>
      </c>
      <c r="P150" t="s">
        <v>732</v>
      </c>
      <c r="S150" s="10">
        <f>GraphSalmonella!$B$57*Salmonella!I150+GraphSalmonella!$B$58</f>
        <v>0.1713524190225808</v>
      </c>
      <c r="T150" s="10">
        <f>GraphSalmonella!$E$57*Salmonella!I150+GraphSalmonella!$E$58</f>
        <v>2.9897403910558187</v>
      </c>
      <c r="U150" s="10">
        <f>GraphSalmonella!$H$57*Salmonella!I150+GraphSalmonella!$H$58</f>
        <v>-5.7930449906682391E-2</v>
      </c>
      <c r="X150" s="10">
        <f>GraphSalmonella!$B$80*Salmonella!I150+GraphSalmonella!$B$81</f>
        <v>-5.6403384443980187E-2</v>
      </c>
      <c r="Y150" s="10">
        <f>GraphSalmonella!$E$80*Salmonella!I150+GraphSalmonella!$E$81</f>
        <v>-5.2495943889084629E-2</v>
      </c>
      <c r="Z150" s="10">
        <f>GraphSalmonella!$H$80*Salmonella!I150+GraphSalmonella!$H$81</f>
        <v>-0.45205827668545329</v>
      </c>
    </row>
    <row r="151" spans="1:26" x14ac:dyDescent="0.2">
      <c r="A151" s="1" t="s">
        <v>66</v>
      </c>
      <c r="B151" s="1" t="s">
        <v>731</v>
      </c>
      <c r="D151" t="s">
        <v>11</v>
      </c>
      <c r="E151" s="1" t="s">
        <v>1262</v>
      </c>
      <c r="F151" s="1" t="s">
        <v>558</v>
      </c>
      <c r="G151" s="9"/>
      <c r="I151" s="4">
        <v>61</v>
      </c>
      <c r="J151" s="11">
        <v>0.28999999999999998</v>
      </c>
      <c r="L151" s="12">
        <f t="shared" si="5"/>
        <v>-0.53760200210104392</v>
      </c>
      <c r="M151" s="11">
        <f>GraphSalmonella!$B$10-(Salmonella!I151-GraphSalmonella!$B$6)/GraphSalmonella!$B$5</f>
        <v>0.16119285160768371</v>
      </c>
      <c r="N151" s="1" t="s">
        <v>567</v>
      </c>
      <c r="O151">
        <v>2001</v>
      </c>
      <c r="P151" t="s">
        <v>732</v>
      </c>
      <c r="S151" s="10">
        <f>GraphSalmonella!$B$57*Salmonella!I151+GraphSalmonella!$B$58</f>
        <v>0.29093296114529155</v>
      </c>
      <c r="T151" s="10">
        <f>GraphSalmonella!$E$57*Salmonella!I151+GraphSalmonella!$E$58</f>
        <v>3.0879294347539519</v>
      </c>
      <c r="U151" s="10">
        <f>GraphSalmonella!$H$57*Salmonella!I151+GraphSalmonella!$H$58</f>
        <v>0.16208219603952578</v>
      </c>
      <c r="X151" s="10">
        <f>GraphSalmonella!$B$80*Salmonella!I151+GraphSalmonella!$B$81</f>
        <v>0.16376537496596644</v>
      </c>
      <c r="Y151" s="10">
        <f>GraphSalmonella!$E$80*Salmonella!I151+GraphSalmonella!$E$81</f>
        <v>0.17076268985734355</v>
      </c>
      <c r="Z151" s="10">
        <f>GraphSalmonella!$H$80*Salmonella!I151+GraphSalmonella!$H$81</f>
        <v>-0.19369455021069548</v>
      </c>
    </row>
    <row r="152" spans="1:26" x14ac:dyDescent="0.2">
      <c r="A152" s="1" t="s">
        <v>66</v>
      </c>
      <c r="B152" s="1" t="s">
        <v>731</v>
      </c>
      <c r="D152" t="s">
        <v>11</v>
      </c>
      <c r="E152" s="1" t="s">
        <v>1262</v>
      </c>
      <c r="F152" s="1" t="s">
        <v>558</v>
      </c>
      <c r="G152" s="9"/>
      <c r="I152" s="4">
        <v>58</v>
      </c>
      <c r="J152" s="11">
        <v>1.43</v>
      </c>
      <c r="L152" s="12">
        <f t="shared" ref="L152:L215" si="6">LOG(J152)</f>
        <v>0.1553360374650618</v>
      </c>
      <c r="M152" s="11">
        <f>GraphSalmonella!$B$10-(Salmonella!I152-GraphSalmonella!$B$6)/GraphSalmonella!$B$5</f>
        <v>0.49128612731304266</v>
      </c>
      <c r="N152" s="1" t="s">
        <v>567</v>
      </c>
      <c r="O152">
        <v>2001</v>
      </c>
      <c r="P152" t="s">
        <v>732</v>
      </c>
      <c r="S152" s="10">
        <f>GraphSalmonella!$B$57*Salmonella!I152+GraphSalmonella!$B$58</f>
        <v>0.47030377432935788</v>
      </c>
      <c r="T152" s="10">
        <f>GraphSalmonella!$E$57*Salmonella!I152+GraphSalmonella!$E$58</f>
        <v>3.2352130003011514</v>
      </c>
      <c r="U152" s="10">
        <f>GraphSalmonella!$H$57*Salmonella!I152+GraphSalmonella!$H$58</f>
        <v>0.4921011649588376</v>
      </c>
      <c r="X152" s="10">
        <f>GraphSalmonella!$B$80*Salmonella!I152+GraphSalmonella!$B$81</f>
        <v>0.49401851408088504</v>
      </c>
      <c r="Y152" s="10">
        <f>GraphSalmonella!$E$80*Salmonella!I152+GraphSalmonella!$E$81</f>
        <v>0.50565064047698538</v>
      </c>
      <c r="Z152" s="10">
        <f>GraphSalmonella!$H$80*Salmonella!I152+GraphSalmonella!$H$81</f>
        <v>0.19385103950143989</v>
      </c>
    </row>
    <row r="153" spans="1:26" x14ac:dyDescent="0.2">
      <c r="A153" s="1" t="s">
        <v>66</v>
      </c>
      <c r="B153" s="1" t="s">
        <v>731</v>
      </c>
      <c r="D153" t="s">
        <v>11</v>
      </c>
      <c r="E153" s="1" t="s">
        <v>1262</v>
      </c>
      <c r="F153" s="1" t="s">
        <v>558</v>
      </c>
      <c r="G153" s="9"/>
      <c r="I153" s="4">
        <v>55</v>
      </c>
      <c r="J153" s="11">
        <v>9.85</v>
      </c>
      <c r="L153" s="12">
        <f t="shared" si="6"/>
        <v>0.99343623049761176</v>
      </c>
      <c r="M153" s="11">
        <f>GraphSalmonella!$B$10-(Salmonella!I153-GraphSalmonella!$B$6)/GraphSalmonella!$B$5</f>
        <v>0.82137940301840184</v>
      </c>
      <c r="N153" s="1" t="s">
        <v>567</v>
      </c>
      <c r="O153">
        <v>2001</v>
      </c>
      <c r="P153" t="s">
        <v>732</v>
      </c>
      <c r="S153" s="10">
        <f>GraphSalmonella!$B$57*Salmonella!I153+GraphSalmonella!$B$58</f>
        <v>0.64967458751342466</v>
      </c>
      <c r="T153" s="10">
        <f>GraphSalmonella!$E$57*Salmonella!I153+GraphSalmonella!$E$58</f>
        <v>3.3824965658483515</v>
      </c>
      <c r="U153" s="10">
        <f>GraphSalmonella!$H$57*Salmonella!I153+GraphSalmonella!$H$58</f>
        <v>0.82212013387815031</v>
      </c>
      <c r="X153" s="10">
        <f>GraphSalmonella!$B$80*Salmonella!I153+GraphSalmonella!$B$81</f>
        <v>0.82427165319580453</v>
      </c>
      <c r="Y153" s="10">
        <f>GraphSalmonella!$E$80*Salmonella!I153+GraphSalmonella!$E$81</f>
        <v>0.84053859109662721</v>
      </c>
      <c r="Z153" s="10">
        <f>GraphSalmonella!$H$80*Salmonella!I153+GraphSalmonella!$H$81</f>
        <v>0.58139662921357438</v>
      </c>
    </row>
    <row r="154" spans="1:26" x14ac:dyDescent="0.2">
      <c r="A154" s="1" t="s">
        <v>66</v>
      </c>
      <c r="B154" s="1" t="s">
        <v>731</v>
      </c>
      <c r="D154" t="s">
        <v>11</v>
      </c>
      <c r="E154" s="1" t="s">
        <v>1262</v>
      </c>
      <c r="F154" s="1" t="s">
        <v>558</v>
      </c>
      <c r="G154" s="9"/>
      <c r="I154" s="4">
        <v>63</v>
      </c>
      <c r="J154" s="11">
        <v>0.2</v>
      </c>
      <c r="L154" s="12">
        <f t="shared" si="6"/>
        <v>-0.69897000433601875</v>
      </c>
      <c r="M154" s="11">
        <f>GraphSalmonella!$B$10-(Salmonella!I154-GraphSalmonella!$B$6)/GraphSalmonella!$B$5</f>
        <v>-5.8869332195888968E-2</v>
      </c>
      <c r="N154" s="1" t="s">
        <v>567</v>
      </c>
      <c r="O154">
        <v>2001</v>
      </c>
      <c r="P154" t="s">
        <v>733</v>
      </c>
      <c r="S154" s="10">
        <f>GraphSalmonella!$B$57*Salmonella!I154+GraphSalmonella!$B$58</f>
        <v>0.1713524190225808</v>
      </c>
      <c r="T154" s="10">
        <f>GraphSalmonella!$E$57*Salmonella!I154+GraphSalmonella!$E$58</f>
        <v>2.9897403910558187</v>
      </c>
      <c r="U154" s="10">
        <f>GraphSalmonella!$H$57*Salmonella!I154+GraphSalmonella!$H$58</f>
        <v>-5.7930449906682391E-2</v>
      </c>
      <c r="X154" s="10">
        <f>GraphSalmonella!$B$80*Salmonella!I154+GraphSalmonella!$B$81</f>
        <v>-5.6403384443980187E-2</v>
      </c>
      <c r="Y154" s="10">
        <f>GraphSalmonella!$E$80*Salmonella!I154+GraphSalmonella!$E$81</f>
        <v>-5.2495943889084629E-2</v>
      </c>
      <c r="Z154" s="10">
        <f>GraphSalmonella!$H$80*Salmonella!I154+GraphSalmonella!$H$81</f>
        <v>-0.45205827668545329</v>
      </c>
    </row>
    <row r="155" spans="1:26" x14ac:dyDescent="0.2">
      <c r="A155" s="1" t="s">
        <v>66</v>
      </c>
      <c r="B155" s="1" t="s">
        <v>731</v>
      </c>
      <c r="D155" t="s">
        <v>11</v>
      </c>
      <c r="E155" s="1" t="s">
        <v>1262</v>
      </c>
      <c r="F155" s="1" t="s">
        <v>558</v>
      </c>
      <c r="G155" s="9"/>
      <c r="I155" s="4">
        <v>61</v>
      </c>
      <c r="J155" s="11">
        <v>0.28000000000000003</v>
      </c>
      <c r="L155" s="12">
        <f t="shared" si="6"/>
        <v>-0.55284196865778079</v>
      </c>
      <c r="M155" s="11">
        <f>GraphSalmonella!$B$10-(Salmonella!I155-GraphSalmonella!$B$6)/GraphSalmonella!$B$5</f>
        <v>0.16119285160768371</v>
      </c>
      <c r="N155" s="1" t="s">
        <v>567</v>
      </c>
      <c r="O155">
        <v>2001</v>
      </c>
      <c r="P155" t="s">
        <v>733</v>
      </c>
      <c r="S155" s="10">
        <f>GraphSalmonella!$B$57*Salmonella!I155+GraphSalmonella!$B$58</f>
        <v>0.29093296114529155</v>
      </c>
      <c r="T155" s="10">
        <f>GraphSalmonella!$E$57*Salmonella!I155+GraphSalmonella!$E$58</f>
        <v>3.0879294347539519</v>
      </c>
      <c r="U155" s="10">
        <f>GraphSalmonella!$H$57*Salmonella!I155+GraphSalmonella!$H$58</f>
        <v>0.16208219603952578</v>
      </c>
      <c r="X155" s="10">
        <f>GraphSalmonella!$B$80*Salmonella!I155+GraphSalmonella!$B$81</f>
        <v>0.16376537496596644</v>
      </c>
      <c r="Y155" s="10">
        <f>GraphSalmonella!$E$80*Salmonella!I155+GraphSalmonella!$E$81</f>
        <v>0.17076268985734355</v>
      </c>
      <c r="Z155" s="10">
        <f>GraphSalmonella!$H$80*Salmonella!I155+GraphSalmonella!$H$81</f>
        <v>-0.19369455021069548</v>
      </c>
    </row>
    <row r="156" spans="1:26" x14ac:dyDescent="0.2">
      <c r="A156" s="1" t="s">
        <v>66</v>
      </c>
      <c r="B156" s="1" t="s">
        <v>731</v>
      </c>
      <c r="D156" t="s">
        <v>11</v>
      </c>
      <c r="E156" s="1" t="s">
        <v>1262</v>
      </c>
      <c r="F156" s="1" t="s">
        <v>558</v>
      </c>
      <c r="G156" s="9"/>
      <c r="I156" s="4">
        <v>58</v>
      </c>
      <c r="J156" s="11">
        <v>2.36</v>
      </c>
      <c r="L156" s="12">
        <f t="shared" si="6"/>
        <v>0.37291200297010657</v>
      </c>
      <c r="M156" s="11">
        <f>GraphSalmonella!$B$10-(Salmonella!I156-GraphSalmonella!$B$6)/GraphSalmonella!$B$5</f>
        <v>0.49128612731304266</v>
      </c>
      <c r="N156" s="1" t="s">
        <v>567</v>
      </c>
      <c r="O156">
        <v>2001</v>
      </c>
      <c r="P156" t="s">
        <v>733</v>
      </c>
      <c r="S156" s="10">
        <f>GraphSalmonella!$B$57*Salmonella!I156+GraphSalmonella!$B$58</f>
        <v>0.47030377432935788</v>
      </c>
      <c r="T156" s="10">
        <f>GraphSalmonella!$E$57*Salmonella!I156+GraphSalmonella!$E$58</f>
        <v>3.2352130003011514</v>
      </c>
      <c r="U156" s="10">
        <f>GraphSalmonella!$H$57*Salmonella!I156+GraphSalmonella!$H$58</f>
        <v>0.4921011649588376</v>
      </c>
      <c r="X156" s="10">
        <f>GraphSalmonella!$B$80*Salmonella!I156+GraphSalmonella!$B$81</f>
        <v>0.49401851408088504</v>
      </c>
      <c r="Y156" s="10">
        <f>GraphSalmonella!$E$80*Salmonella!I156+GraphSalmonella!$E$81</f>
        <v>0.50565064047698538</v>
      </c>
      <c r="Z156" s="10">
        <f>GraphSalmonella!$H$80*Salmonella!I156+GraphSalmonella!$H$81</f>
        <v>0.19385103950143989</v>
      </c>
    </row>
    <row r="157" spans="1:26" x14ac:dyDescent="0.2">
      <c r="A157" s="1" t="s">
        <v>66</v>
      </c>
      <c r="B157" s="1" t="s">
        <v>731</v>
      </c>
      <c r="D157" t="s">
        <v>11</v>
      </c>
      <c r="E157" s="1" t="s">
        <v>1262</v>
      </c>
      <c r="F157" s="1" t="s">
        <v>558</v>
      </c>
      <c r="G157" s="9"/>
      <c r="I157" s="4">
        <v>55</v>
      </c>
      <c r="J157" s="11">
        <v>12.52</v>
      </c>
      <c r="L157" s="12">
        <f t="shared" si="6"/>
        <v>1.0976043288744108</v>
      </c>
      <c r="M157" s="11">
        <f>GraphSalmonella!$B$10-(Salmonella!I157-GraphSalmonella!$B$6)/GraphSalmonella!$B$5</f>
        <v>0.82137940301840184</v>
      </c>
      <c r="N157" s="1" t="s">
        <v>567</v>
      </c>
      <c r="O157">
        <v>2001</v>
      </c>
      <c r="P157" t="s">
        <v>733</v>
      </c>
      <c r="S157" s="10">
        <f>GraphSalmonella!$B$57*Salmonella!I157+GraphSalmonella!$B$58</f>
        <v>0.64967458751342466</v>
      </c>
      <c r="T157" s="10">
        <f>GraphSalmonella!$E$57*Salmonella!I157+GraphSalmonella!$E$58</f>
        <v>3.3824965658483515</v>
      </c>
      <c r="U157" s="10">
        <f>GraphSalmonella!$H$57*Salmonella!I157+GraphSalmonella!$H$58</f>
        <v>0.82212013387815031</v>
      </c>
      <c r="X157" s="10">
        <f>GraphSalmonella!$B$80*Salmonella!I157+GraphSalmonella!$B$81</f>
        <v>0.82427165319580453</v>
      </c>
      <c r="Y157" s="10">
        <f>GraphSalmonella!$E$80*Salmonella!I157+GraphSalmonella!$E$81</f>
        <v>0.84053859109662721</v>
      </c>
      <c r="Z157" s="10">
        <f>GraphSalmonella!$H$80*Salmonella!I157+GraphSalmonella!$H$81</f>
        <v>0.58139662921357438</v>
      </c>
    </row>
    <row r="158" spans="1:26" x14ac:dyDescent="0.2">
      <c r="A158" s="1" t="s">
        <v>66</v>
      </c>
      <c r="B158" s="1" t="s">
        <v>70</v>
      </c>
      <c r="C158" t="s">
        <v>563</v>
      </c>
      <c r="D158" t="s">
        <v>11</v>
      </c>
      <c r="E158" s="1" t="s">
        <v>1262</v>
      </c>
      <c r="F158" s="1" t="s">
        <v>558</v>
      </c>
      <c r="G158" s="9"/>
      <c r="I158" s="4">
        <v>55</v>
      </c>
      <c r="J158" s="11">
        <v>21.98</v>
      </c>
      <c r="L158" s="12">
        <f t="shared" si="6"/>
        <v>1.3420276880874717</v>
      </c>
      <c r="M158" s="11">
        <f>GraphSalmonella!$B$10-(Salmonella!I158-GraphSalmonella!$B$6)/GraphSalmonella!$B$5</f>
        <v>0.82137940301840184</v>
      </c>
      <c r="N158" s="1" t="s">
        <v>567</v>
      </c>
      <c r="O158">
        <v>2001</v>
      </c>
      <c r="S158" s="10">
        <f>GraphSalmonella!$B$57*Salmonella!I158+GraphSalmonella!$B$58</f>
        <v>0.64967458751342466</v>
      </c>
      <c r="T158" s="10">
        <f>GraphSalmonella!$E$57*Salmonella!I158+GraphSalmonella!$E$58</f>
        <v>3.3824965658483515</v>
      </c>
      <c r="U158" s="10">
        <f>GraphSalmonella!$H$57*Salmonella!I158+GraphSalmonella!$H$58</f>
        <v>0.82212013387815031</v>
      </c>
      <c r="X158" s="10">
        <f>GraphSalmonella!$B$80*Salmonella!I158+GraphSalmonella!$B$81</f>
        <v>0.82427165319580453</v>
      </c>
      <c r="Y158" s="10">
        <f>GraphSalmonella!$E$80*Salmonella!I158+GraphSalmonella!$E$81</f>
        <v>0.84053859109662721</v>
      </c>
      <c r="Z158" s="10">
        <f>GraphSalmonella!$H$80*Salmonella!I158+GraphSalmonella!$H$81</f>
        <v>0.58139662921357438</v>
      </c>
    </row>
    <row r="159" spans="1:26" x14ac:dyDescent="0.2">
      <c r="A159" s="1" t="s">
        <v>66</v>
      </c>
      <c r="B159" s="1" t="s">
        <v>70</v>
      </c>
      <c r="C159" t="s">
        <v>563</v>
      </c>
      <c r="D159" t="s">
        <v>11</v>
      </c>
      <c r="E159" s="1" t="s">
        <v>1262</v>
      </c>
      <c r="F159" s="1" t="s">
        <v>558</v>
      </c>
      <c r="G159" s="9"/>
      <c r="I159" s="4">
        <v>58</v>
      </c>
      <c r="J159" s="11">
        <v>2.63</v>
      </c>
      <c r="L159" s="12">
        <f t="shared" si="6"/>
        <v>0.41995574848975786</v>
      </c>
      <c r="M159" s="11">
        <f>GraphSalmonella!$B$10-(Salmonella!I159-GraphSalmonella!$B$6)/GraphSalmonella!$B$5</f>
        <v>0.49128612731304266</v>
      </c>
      <c r="N159" s="1" t="s">
        <v>567</v>
      </c>
      <c r="O159">
        <v>2001</v>
      </c>
      <c r="S159" s="10">
        <f>GraphSalmonella!$B$57*Salmonella!I159+GraphSalmonella!$B$58</f>
        <v>0.47030377432935788</v>
      </c>
      <c r="T159" s="10">
        <f>GraphSalmonella!$E$57*Salmonella!I159+GraphSalmonella!$E$58</f>
        <v>3.2352130003011514</v>
      </c>
      <c r="U159" s="10">
        <f>GraphSalmonella!$H$57*Salmonella!I159+GraphSalmonella!$H$58</f>
        <v>0.4921011649588376</v>
      </c>
      <c r="X159" s="10">
        <f>GraphSalmonella!$B$80*Salmonella!I159+GraphSalmonella!$B$81</f>
        <v>0.49401851408088504</v>
      </c>
      <c r="Y159" s="10">
        <f>GraphSalmonella!$E$80*Salmonella!I159+GraphSalmonella!$E$81</f>
        <v>0.50565064047698538</v>
      </c>
      <c r="Z159" s="10">
        <f>GraphSalmonella!$H$80*Salmonella!I159+GraphSalmonella!$H$81</f>
        <v>0.19385103950143989</v>
      </c>
    </row>
    <row r="160" spans="1:26" x14ac:dyDescent="0.2">
      <c r="A160" s="1" t="s">
        <v>66</v>
      </c>
      <c r="B160" s="1" t="s">
        <v>70</v>
      </c>
      <c r="C160" t="s">
        <v>563</v>
      </c>
      <c r="D160" t="s">
        <v>11</v>
      </c>
      <c r="E160" s="1" t="s">
        <v>1262</v>
      </c>
      <c r="F160" s="1" t="s">
        <v>558</v>
      </c>
      <c r="G160" s="9"/>
      <c r="I160" s="4">
        <v>61</v>
      </c>
      <c r="J160" s="11">
        <v>0.65</v>
      </c>
      <c r="L160" s="12">
        <f t="shared" si="6"/>
        <v>-0.18708664335714442</v>
      </c>
      <c r="M160" s="11">
        <f>GraphSalmonella!$B$10-(Salmonella!I160-GraphSalmonella!$B$6)/GraphSalmonella!$B$5</f>
        <v>0.16119285160768371</v>
      </c>
      <c r="N160" s="1" t="s">
        <v>567</v>
      </c>
      <c r="O160">
        <v>2001</v>
      </c>
      <c r="S160" s="10">
        <f>GraphSalmonella!$B$57*Salmonella!I160+GraphSalmonella!$B$58</f>
        <v>0.29093296114529155</v>
      </c>
      <c r="T160" s="10">
        <f>GraphSalmonella!$E$57*Salmonella!I160+GraphSalmonella!$E$58</f>
        <v>3.0879294347539519</v>
      </c>
      <c r="U160" s="10">
        <f>GraphSalmonella!$H$57*Salmonella!I160+GraphSalmonella!$H$58</f>
        <v>0.16208219603952578</v>
      </c>
      <c r="X160" s="10">
        <f>GraphSalmonella!$B$80*Salmonella!I160+GraphSalmonella!$B$81</f>
        <v>0.16376537496596644</v>
      </c>
      <c r="Y160" s="10">
        <f>GraphSalmonella!$E$80*Salmonella!I160+GraphSalmonella!$E$81</f>
        <v>0.17076268985734355</v>
      </c>
      <c r="Z160" s="10">
        <f>GraphSalmonella!$H$80*Salmonella!I160+GraphSalmonella!$H$81</f>
        <v>-0.19369455021069548</v>
      </c>
    </row>
    <row r="161" spans="1:26" x14ac:dyDescent="0.2">
      <c r="A161" s="1" t="s">
        <v>66</v>
      </c>
      <c r="B161" s="1" t="s">
        <v>70</v>
      </c>
      <c r="C161" t="s">
        <v>563</v>
      </c>
      <c r="D161" t="s">
        <v>11</v>
      </c>
      <c r="E161" s="1" t="s">
        <v>1262</v>
      </c>
      <c r="F161" s="1" t="s">
        <v>558</v>
      </c>
      <c r="G161" s="9"/>
      <c r="I161" s="4">
        <v>64</v>
      </c>
      <c r="J161" s="11">
        <v>0.16</v>
      </c>
      <c r="L161" s="12">
        <f t="shared" si="6"/>
        <v>-0.79588001734407521</v>
      </c>
      <c r="M161" s="11">
        <f>GraphSalmonella!$B$10-(Salmonella!I161-GraphSalmonella!$B$6)/GraphSalmonella!$B$5</f>
        <v>-0.16890042409767536</v>
      </c>
      <c r="N161" s="1" t="s">
        <v>567</v>
      </c>
      <c r="O161">
        <v>2001</v>
      </c>
      <c r="S161" s="10">
        <f>GraphSalmonella!$B$57*Salmonella!I161+GraphSalmonella!$B$58</f>
        <v>0.11156214796122521</v>
      </c>
      <c r="T161" s="10">
        <f>GraphSalmonella!$E$57*Salmonella!I161+GraphSalmonella!$E$58</f>
        <v>2.9406458692067519</v>
      </c>
      <c r="U161" s="10">
        <f>GraphSalmonella!$H$57*Salmonella!I161+GraphSalmonella!$H$58</f>
        <v>-0.16793677287978692</v>
      </c>
      <c r="X161" s="10">
        <f>GraphSalmonella!$B$80*Salmonella!I161+GraphSalmonella!$B$81</f>
        <v>-0.16648776414895305</v>
      </c>
      <c r="Y161" s="10">
        <f>GraphSalmonella!$E$80*Salmonella!I161+GraphSalmonella!$E$81</f>
        <v>-0.16412526076229828</v>
      </c>
      <c r="Z161" s="10">
        <f>GraphSalmonella!$H$80*Salmonella!I161+GraphSalmonella!$H$81</f>
        <v>-0.58124013992283086</v>
      </c>
    </row>
    <row r="162" spans="1:26" x14ac:dyDescent="0.2">
      <c r="A162" s="1" t="s">
        <v>66</v>
      </c>
      <c r="B162" s="1" t="s">
        <v>70</v>
      </c>
      <c r="C162" t="s">
        <v>566</v>
      </c>
      <c r="D162" t="s">
        <v>11</v>
      </c>
      <c r="E162" s="1" t="s">
        <v>1262</v>
      </c>
      <c r="F162" s="1" t="s">
        <v>564</v>
      </c>
      <c r="G162" s="9"/>
      <c r="I162" s="4">
        <v>55</v>
      </c>
      <c r="J162" s="11">
        <v>10.27</v>
      </c>
      <c r="L162" s="12">
        <f t="shared" si="6"/>
        <v>1.0115704435972781</v>
      </c>
      <c r="M162" s="11">
        <f>GraphSalmonella!$B$10-(Salmonella!I162-GraphSalmonella!$B$6)/GraphSalmonella!$B$5</f>
        <v>0.82137940301840184</v>
      </c>
      <c r="N162" s="1" t="s">
        <v>567</v>
      </c>
      <c r="O162">
        <v>2001</v>
      </c>
      <c r="S162" s="10">
        <f>GraphSalmonella!$B$57*Salmonella!I162+GraphSalmonella!$B$58</f>
        <v>0.64967458751342466</v>
      </c>
      <c r="T162" s="10">
        <f>GraphSalmonella!$E$57*Salmonella!I162+GraphSalmonella!$E$58</f>
        <v>3.3824965658483515</v>
      </c>
      <c r="U162" s="10">
        <f>GraphSalmonella!$H$57*Salmonella!I162+GraphSalmonella!$H$58</f>
        <v>0.82212013387815031</v>
      </c>
      <c r="X162" s="10">
        <f>GraphSalmonella!$B$80*Salmonella!I162+GraphSalmonella!$B$81</f>
        <v>0.82427165319580453</v>
      </c>
      <c r="Y162" s="10">
        <f>GraphSalmonella!$E$80*Salmonella!I162+GraphSalmonella!$E$81</f>
        <v>0.84053859109662721</v>
      </c>
      <c r="Z162" s="10">
        <f>GraphSalmonella!$H$80*Salmonella!I162+GraphSalmonella!$H$81</f>
        <v>0.58139662921357438</v>
      </c>
    </row>
    <row r="163" spans="1:26" x14ac:dyDescent="0.2">
      <c r="A163" s="1" t="s">
        <v>66</v>
      </c>
      <c r="B163" s="1" t="s">
        <v>70</v>
      </c>
      <c r="C163" t="s">
        <v>566</v>
      </c>
      <c r="D163" t="s">
        <v>11</v>
      </c>
      <c r="E163" s="1" t="s">
        <v>1262</v>
      </c>
      <c r="F163" s="1" t="s">
        <v>564</v>
      </c>
      <c r="G163" s="9"/>
      <c r="I163" s="4">
        <v>58</v>
      </c>
      <c r="J163" s="11">
        <v>2.06</v>
      </c>
      <c r="L163" s="12">
        <f t="shared" si="6"/>
        <v>0.31386722036915343</v>
      </c>
      <c r="M163" s="11">
        <f>GraphSalmonella!$B$10-(Salmonella!I163-GraphSalmonella!$B$6)/GraphSalmonella!$B$5</f>
        <v>0.49128612731304266</v>
      </c>
      <c r="N163" s="1" t="s">
        <v>567</v>
      </c>
      <c r="O163">
        <v>2001</v>
      </c>
      <c r="S163" s="10">
        <f>GraphSalmonella!$B$57*Salmonella!I163+GraphSalmonella!$B$58</f>
        <v>0.47030377432935788</v>
      </c>
      <c r="T163" s="10">
        <f>GraphSalmonella!$E$57*Salmonella!I163+GraphSalmonella!$E$58</f>
        <v>3.2352130003011514</v>
      </c>
      <c r="U163" s="10">
        <f>GraphSalmonella!$H$57*Salmonella!I163+GraphSalmonella!$H$58</f>
        <v>0.4921011649588376</v>
      </c>
      <c r="X163" s="10">
        <f>GraphSalmonella!$B$80*Salmonella!I163+GraphSalmonella!$B$81</f>
        <v>0.49401851408088504</v>
      </c>
      <c r="Y163" s="10">
        <f>GraphSalmonella!$E$80*Salmonella!I163+GraphSalmonella!$E$81</f>
        <v>0.50565064047698538</v>
      </c>
      <c r="Z163" s="10">
        <f>GraphSalmonella!$H$80*Salmonella!I163+GraphSalmonella!$H$81</f>
        <v>0.19385103950143989</v>
      </c>
    </row>
    <row r="164" spans="1:26" x14ac:dyDescent="0.2">
      <c r="A164" s="1" t="s">
        <v>66</v>
      </c>
      <c r="B164" s="1" t="s">
        <v>70</v>
      </c>
      <c r="C164" t="s">
        <v>566</v>
      </c>
      <c r="D164" t="s">
        <v>11</v>
      </c>
      <c r="E164" s="1" t="s">
        <v>1262</v>
      </c>
      <c r="F164" s="1" t="s">
        <v>564</v>
      </c>
      <c r="G164" s="9"/>
      <c r="I164" s="4">
        <v>61</v>
      </c>
      <c r="J164" s="11">
        <v>0.43</v>
      </c>
      <c r="L164" s="12">
        <f t="shared" si="6"/>
        <v>-0.36653154442041347</v>
      </c>
      <c r="M164" s="11">
        <f>GraphSalmonella!$B$10-(Salmonella!I164-GraphSalmonella!$B$6)/GraphSalmonella!$B$5</f>
        <v>0.16119285160768371</v>
      </c>
      <c r="N164" s="1" t="s">
        <v>567</v>
      </c>
      <c r="O164">
        <v>2001</v>
      </c>
      <c r="S164" s="10">
        <f>GraphSalmonella!$B$57*Salmonella!I164+GraphSalmonella!$B$58</f>
        <v>0.29093296114529155</v>
      </c>
      <c r="T164" s="10">
        <f>GraphSalmonella!$E$57*Salmonella!I164+GraphSalmonella!$E$58</f>
        <v>3.0879294347539519</v>
      </c>
      <c r="U164" s="10">
        <f>GraphSalmonella!$H$57*Salmonella!I164+GraphSalmonella!$H$58</f>
        <v>0.16208219603952578</v>
      </c>
      <c r="X164" s="10">
        <f>GraphSalmonella!$B$80*Salmonella!I164+GraphSalmonella!$B$81</f>
        <v>0.16376537496596644</v>
      </c>
      <c r="Y164" s="10">
        <f>GraphSalmonella!$E$80*Salmonella!I164+GraphSalmonella!$E$81</f>
        <v>0.17076268985734355</v>
      </c>
      <c r="Z164" s="10">
        <f>GraphSalmonella!$H$80*Salmonella!I164+GraphSalmonella!$H$81</f>
        <v>-0.19369455021069548</v>
      </c>
    </row>
    <row r="165" spans="1:26" x14ac:dyDescent="0.2">
      <c r="A165" s="1" t="s">
        <v>66</v>
      </c>
      <c r="B165" s="1" t="s">
        <v>70</v>
      </c>
      <c r="C165" t="s">
        <v>566</v>
      </c>
      <c r="D165" t="s">
        <v>11</v>
      </c>
      <c r="E165" s="1" t="s">
        <v>1262</v>
      </c>
      <c r="F165" s="1" t="s">
        <v>564</v>
      </c>
      <c r="G165" s="9"/>
      <c r="I165" s="4">
        <v>64</v>
      </c>
      <c r="J165" s="11">
        <v>0.14000000000000001</v>
      </c>
      <c r="L165" s="12">
        <f t="shared" si="6"/>
        <v>-0.85387196432176193</v>
      </c>
      <c r="M165" s="11">
        <f>GraphSalmonella!$B$10-(Salmonella!I165-GraphSalmonella!$B$6)/GraphSalmonella!$B$5</f>
        <v>-0.16890042409767536</v>
      </c>
      <c r="N165" s="1" t="s">
        <v>567</v>
      </c>
      <c r="O165">
        <v>2001</v>
      </c>
      <c r="S165" s="10">
        <f>GraphSalmonella!$B$57*Salmonella!I165+GraphSalmonella!$B$58</f>
        <v>0.11156214796122521</v>
      </c>
      <c r="T165" s="10">
        <f>GraphSalmonella!$E$57*Salmonella!I165+GraphSalmonella!$E$58</f>
        <v>2.9406458692067519</v>
      </c>
      <c r="U165" s="10">
        <f>GraphSalmonella!$H$57*Salmonella!I165+GraphSalmonella!$H$58</f>
        <v>-0.16793677287978692</v>
      </c>
      <c r="X165" s="10">
        <f>GraphSalmonella!$B$80*Salmonella!I165+GraphSalmonella!$B$81</f>
        <v>-0.16648776414895305</v>
      </c>
      <c r="Y165" s="10">
        <f>GraphSalmonella!$E$80*Salmonella!I165+GraphSalmonella!$E$81</f>
        <v>-0.16412526076229828</v>
      </c>
      <c r="Z165" s="10">
        <f>GraphSalmonella!$H$80*Salmonella!I165+GraphSalmonella!$H$81</f>
        <v>-0.58124013992283086</v>
      </c>
    </row>
    <row r="166" spans="1:26" x14ac:dyDescent="0.2">
      <c r="A166" s="1" t="s">
        <v>66</v>
      </c>
      <c r="B166" s="1" t="s">
        <v>70</v>
      </c>
      <c r="C166" t="s">
        <v>563</v>
      </c>
      <c r="D166" t="s">
        <v>11</v>
      </c>
      <c r="E166" s="1" t="s">
        <v>1262</v>
      </c>
      <c r="F166" s="1" t="s">
        <v>564</v>
      </c>
      <c r="G166" s="9"/>
      <c r="I166" s="4">
        <v>55</v>
      </c>
      <c r="J166" s="11">
        <v>9.0500000000000007</v>
      </c>
      <c r="L166" s="12">
        <f t="shared" si="6"/>
        <v>0.9566485792052033</v>
      </c>
      <c r="M166" s="11">
        <f>GraphSalmonella!$B$10-(Salmonella!I166-GraphSalmonella!$B$6)/GraphSalmonella!$B$5</f>
        <v>0.82137940301840184</v>
      </c>
      <c r="N166" s="1" t="s">
        <v>567</v>
      </c>
      <c r="O166">
        <v>2001</v>
      </c>
      <c r="S166" s="10">
        <f>GraphSalmonella!$B$57*Salmonella!I166+GraphSalmonella!$B$58</f>
        <v>0.64967458751342466</v>
      </c>
      <c r="T166" s="10">
        <f>GraphSalmonella!$E$57*Salmonella!I166+GraphSalmonella!$E$58</f>
        <v>3.3824965658483515</v>
      </c>
      <c r="U166" s="10">
        <f>GraphSalmonella!$H$57*Salmonella!I166+GraphSalmonella!$H$58</f>
        <v>0.82212013387815031</v>
      </c>
      <c r="X166" s="10">
        <f>GraphSalmonella!$B$80*Salmonella!I166+GraphSalmonella!$B$81</f>
        <v>0.82427165319580453</v>
      </c>
      <c r="Y166" s="10">
        <f>GraphSalmonella!$E$80*Salmonella!I166+GraphSalmonella!$E$81</f>
        <v>0.84053859109662721</v>
      </c>
      <c r="Z166" s="10">
        <f>GraphSalmonella!$H$80*Salmonella!I166+GraphSalmonella!$H$81</f>
        <v>0.58139662921357438</v>
      </c>
    </row>
    <row r="167" spans="1:26" x14ac:dyDescent="0.2">
      <c r="A167" s="1" t="s">
        <v>66</v>
      </c>
      <c r="B167" s="1" t="s">
        <v>70</v>
      </c>
      <c r="C167" t="s">
        <v>563</v>
      </c>
      <c r="D167" t="s">
        <v>11</v>
      </c>
      <c r="E167" s="1" t="s">
        <v>1262</v>
      </c>
      <c r="F167" s="1" t="s">
        <v>564</v>
      </c>
      <c r="G167" s="9"/>
      <c r="I167" s="4">
        <v>58</v>
      </c>
      <c r="J167" s="11">
        <v>2.2599999999999998</v>
      </c>
      <c r="L167" s="12">
        <f t="shared" si="6"/>
        <v>0.35410843914740087</v>
      </c>
      <c r="M167" s="11">
        <f>GraphSalmonella!$B$10-(Salmonella!I167-GraphSalmonella!$B$6)/GraphSalmonella!$B$5</f>
        <v>0.49128612731304266</v>
      </c>
      <c r="N167" s="1" t="s">
        <v>567</v>
      </c>
      <c r="O167">
        <v>2001</v>
      </c>
      <c r="S167" s="10">
        <f>GraphSalmonella!$B$57*Salmonella!I167+GraphSalmonella!$B$58</f>
        <v>0.47030377432935788</v>
      </c>
      <c r="T167" s="10">
        <f>GraphSalmonella!$E$57*Salmonella!I167+GraphSalmonella!$E$58</f>
        <v>3.2352130003011514</v>
      </c>
      <c r="U167" s="10">
        <f>GraphSalmonella!$H$57*Salmonella!I167+GraphSalmonella!$H$58</f>
        <v>0.4921011649588376</v>
      </c>
      <c r="X167" s="10">
        <f>GraphSalmonella!$B$80*Salmonella!I167+GraphSalmonella!$B$81</f>
        <v>0.49401851408088504</v>
      </c>
      <c r="Y167" s="10">
        <f>GraphSalmonella!$E$80*Salmonella!I167+GraphSalmonella!$E$81</f>
        <v>0.50565064047698538</v>
      </c>
      <c r="Z167" s="10">
        <f>GraphSalmonella!$H$80*Salmonella!I167+GraphSalmonella!$H$81</f>
        <v>0.19385103950143989</v>
      </c>
    </row>
    <row r="168" spans="1:26" x14ac:dyDescent="0.2">
      <c r="A168" s="1" t="s">
        <v>66</v>
      </c>
      <c r="B168" s="1" t="s">
        <v>70</v>
      </c>
      <c r="C168" t="s">
        <v>563</v>
      </c>
      <c r="D168" t="s">
        <v>11</v>
      </c>
      <c r="E168" s="1" t="s">
        <v>1262</v>
      </c>
      <c r="F168" s="1" t="s">
        <v>564</v>
      </c>
      <c r="G168" s="9"/>
      <c r="I168" s="4">
        <v>61</v>
      </c>
      <c r="J168" s="11">
        <v>0.56999999999999995</v>
      </c>
      <c r="L168" s="12">
        <f t="shared" si="6"/>
        <v>-0.24412514432750865</v>
      </c>
      <c r="M168" s="11">
        <f>GraphSalmonella!$B$10-(Salmonella!I168-GraphSalmonella!$B$6)/GraphSalmonella!$B$5</f>
        <v>0.16119285160768371</v>
      </c>
      <c r="N168" s="1" t="s">
        <v>567</v>
      </c>
      <c r="O168">
        <v>2001</v>
      </c>
      <c r="S168" s="10">
        <f>GraphSalmonella!$B$57*Salmonella!I168+GraphSalmonella!$B$58</f>
        <v>0.29093296114529155</v>
      </c>
      <c r="T168" s="10">
        <f>GraphSalmonella!$E$57*Salmonella!I168+GraphSalmonella!$E$58</f>
        <v>3.0879294347539519</v>
      </c>
      <c r="U168" s="10">
        <f>GraphSalmonella!$H$57*Salmonella!I168+GraphSalmonella!$H$58</f>
        <v>0.16208219603952578</v>
      </c>
      <c r="X168" s="10">
        <f>GraphSalmonella!$B$80*Salmonella!I168+GraphSalmonella!$B$81</f>
        <v>0.16376537496596644</v>
      </c>
      <c r="Y168" s="10">
        <f>GraphSalmonella!$E$80*Salmonella!I168+GraphSalmonella!$E$81</f>
        <v>0.17076268985734355</v>
      </c>
      <c r="Z168" s="10">
        <f>GraphSalmonella!$H$80*Salmonella!I168+GraphSalmonella!$H$81</f>
        <v>-0.19369455021069548</v>
      </c>
    </row>
    <row r="169" spans="1:26" x14ac:dyDescent="0.2">
      <c r="A169" s="1" t="s">
        <v>66</v>
      </c>
      <c r="B169" s="1" t="s">
        <v>70</v>
      </c>
      <c r="C169" t="s">
        <v>563</v>
      </c>
      <c r="D169" t="s">
        <v>11</v>
      </c>
      <c r="E169" s="1" t="s">
        <v>1262</v>
      </c>
      <c r="F169" s="1" t="s">
        <v>564</v>
      </c>
      <c r="G169" s="9"/>
      <c r="I169" s="4">
        <v>64</v>
      </c>
      <c r="J169" s="11">
        <v>0.15</v>
      </c>
      <c r="L169" s="12">
        <f t="shared" si="6"/>
        <v>-0.82390874094431876</v>
      </c>
      <c r="M169" s="11">
        <f>GraphSalmonella!$B$10-(Salmonella!I169-GraphSalmonella!$B$6)/GraphSalmonella!$B$5</f>
        <v>-0.16890042409767536</v>
      </c>
      <c r="N169" s="1" t="s">
        <v>567</v>
      </c>
      <c r="O169">
        <v>2001</v>
      </c>
      <c r="S169" s="10">
        <f>GraphSalmonella!$B$57*Salmonella!I169+GraphSalmonella!$B$58</f>
        <v>0.11156214796122521</v>
      </c>
      <c r="T169" s="10">
        <f>GraphSalmonella!$E$57*Salmonella!I169+GraphSalmonella!$E$58</f>
        <v>2.9406458692067519</v>
      </c>
      <c r="U169" s="10">
        <f>GraphSalmonella!$H$57*Salmonella!I169+GraphSalmonella!$H$58</f>
        <v>-0.16793677287978692</v>
      </c>
      <c r="X169" s="10">
        <f>GraphSalmonella!$B$80*Salmonella!I169+GraphSalmonella!$B$81</f>
        <v>-0.16648776414895305</v>
      </c>
      <c r="Y169" s="10">
        <f>GraphSalmonella!$E$80*Salmonella!I169+GraphSalmonella!$E$81</f>
        <v>-0.16412526076229828</v>
      </c>
      <c r="Z169" s="10">
        <f>GraphSalmonella!$H$80*Salmonella!I169+GraphSalmonella!$H$81</f>
        <v>-0.58124013992283086</v>
      </c>
    </row>
    <row r="170" spans="1:26" x14ac:dyDescent="0.2">
      <c r="A170" s="1" t="s">
        <v>66</v>
      </c>
      <c r="B170" s="1" t="s">
        <v>70</v>
      </c>
      <c r="C170" t="s">
        <v>565</v>
      </c>
      <c r="D170" t="s">
        <v>11</v>
      </c>
      <c r="E170" s="1" t="s">
        <v>1262</v>
      </c>
      <c r="F170" s="1" t="s">
        <v>564</v>
      </c>
      <c r="G170" s="9"/>
      <c r="I170" s="4">
        <v>55</v>
      </c>
      <c r="J170" s="11">
        <v>10.55</v>
      </c>
      <c r="L170" s="12">
        <f t="shared" si="6"/>
        <v>1.0232524596337116</v>
      </c>
      <c r="M170" s="11">
        <f>GraphSalmonella!$B$10-(Salmonella!I170-GraphSalmonella!$B$6)/GraphSalmonella!$B$5</f>
        <v>0.82137940301840184</v>
      </c>
      <c r="N170" s="1" t="s">
        <v>567</v>
      </c>
      <c r="O170">
        <v>2001</v>
      </c>
      <c r="S170" s="10">
        <f>GraphSalmonella!$B$57*Salmonella!I170+GraphSalmonella!$B$58</f>
        <v>0.64967458751342466</v>
      </c>
      <c r="T170" s="10">
        <f>GraphSalmonella!$E$57*Salmonella!I170+GraphSalmonella!$E$58</f>
        <v>3.3824965658483515</v>
      </c>
      <c r="U170" s="10">
        <f>GraphSalmonella!$H$57*Salmonella!I170+GraphSalmonella!$H$58</f>
        <v>0.82212013387815031</v>
      </c>
      <c r="X170" s="10">
        <f>GraphSalmonella!$B$80*Salmonella!I170+GraphSalmonella!$B$81</f>
        <v>0.82427165319580453</v>
      </c>
      <c r="Y170" s="10">
        <f>GraphSalmonella!$E$80*Salmonella!I170+GraphSalmonella!$E$81</f>
        <v>0.84053859109662721</v>
      </c>
      <c r="Z170" s="10">
        <f>GraphSalmonella!$H$80*Salmonella!I170+GraphSalmonella!$H$81</f>
        <v>0.58139662921357438</v>
      </c>
    </row>
    <row r="171" spans="1:26" x14ac:dyDescent="0.2">
      <c r="A171" s="1" t="s">
        <v>66</v>
      </c>
      <c r="B171" s="1" t="s">
        <v>70</v>
      </c>
      <c r="C171" t="s">
        <v>565</v>
      </c>
      <c r="D171" t="s">
        <v>11</v>
      </c>
      <c r="E171" s="1" t="s">
        <v>1262</v>
      </c>
      <c r="F171" s="1" t="s">
        <v>564</v>
      </c>
      <c r="G171" s="9"/>
      <c r="I171" s="4">
        <v>58</v>
      </c>
      <c r="J171" s="11">
        <v>2.15</v>
      </c>
      <c r="L171" s="12">
        <f t="shared" si="6"/>
        <v>0.33243845991560533</v>
      </c>
      <c r="M171" s="11">
        <f>GraphSalmonella!$B$10-(Salmonella!I171-GraphSalmonella!$B$6)/GraphSalmonella!$B$5</f>
        <v>0.49128612731304266</v>
      </c>
      <c r="N171" s="1" t="s">
        <v>567</v>
      </c>
      <c r="O171">
        <v>2001</v>
      </c>
      <c r="S171" s="10">
        <f>GraphSalmonella!$B$57*Salmonella!I171+GraphSalmonella!$B$58</f>
        <v>0.47030377432935788</v>
      </c>
      <c r="T171" s="10">
        <f>GraphSalmonella!$E$57*Salmonella!I171+GraphSalmonella!$E$58</f>
        <v>3.2352130003011514</v>
      </c>
      <c r="U171" s="10">
        <f>GraphSalmonella!$H$57*Salmonella!I171+GraphSalmonella!$H$58</f>
        <v>0.4921011649588376</v>
      </c>
      <c r="X171" s="10">
        <f>GraphSalmonella!$B$80*Salmonella!I171+GraphSalmonella!$B$81</f>
        <v>0.49401851408088504</v>
      </c>
      <c r="Y171" s="10">
        <f>GraphSalmonella!$E$80*Salmonella!I171+GraphSalmonella!$E$81</f>
        <v>0.50565064047698538</v>
      </c>
      <c r="Z171" s="10">
        <f>GraphSalmonella!$H$80*Salmonella!I171+GraphSalmonella!$H$81</f>
        <v>0.19385103950143989</v>
      </c>
    </row>
    <row r="172" spans="1:26" x14ac:dyDescent="0.2">
      <c r="A172" s="1" t="s">
        <v>66</v>
      </c>
      <c r="B172" s="1" t="s">
        <v>70</v>
      </c>
      <c r="C172" t="s">
        <v>565</v>
      </c>
      <c r="D172" t="s">
        <v>11</v>
      </c>
      <c r="E172" s="1" t="s">
        <v>1262</v>
      </c>
      <c r="F172" s="1" t="s">
        <v>564</v>
      </c>
      <c r="G172" s="9"/>
      <c r="I172" s="4">
        <v>61</v>
      </c>
      <c r="J172" s="11">
        <v>0.41</v>
      </c>
      <c r="L172" s="12">
        <f t="shared" si="6"/>
        <v>-0.38721614328026455</v>
      </c>
      <c r="M172" s="11">
        <f>GraphSalmonella!$B$10-(Salmonella!I172-GraphSalmonella!$B$6)/GraphSalmonella!$B$5</f>
        <v>0.16119285160768371</v>
      </c>
      <c r="N172" s="1" t="s">
        <v>567</v>
      </c>
      <c r="O172">
        <v>2001</v>
      </c>
      <c r="S172" s="10">
        <f>GraphSalmonella!$B$57*Salmonella!I172+GraphSalmonella!$B$58</f>
        <v>0.29093296114529155</v>
      </c>
      <c r="T172" s="10">
        <f>GraphSalmonella!$E$57*Salmonella!I172+GraphSalmonella!$E$58</f>
        <v>3.0879294347539519</v>
      </c>
      <c r="U172" s="10">
        <f>GraphSalmonella!$H$57*Salmonella!I172+GraphSalmonella!$H$58</f>
        <v>0.16208219603952578</v>
      </c>
      <c r="X172" s="10">
        <f>GraphSalmonella!$B$80*Salmonella!I172+GraphSalmonella!$B$81</f>
        <v>0.16376537496596644</v>
      </c>
      <c r="Y172" s="10">
        <f>GraphSalmonella!$E$80*Salmonella!I172+GraphSalmonella!$E$81</f>
        <v>0.17076268985734355</v>
      </c>
      <c r="Z172" s="10">
        <f>GraphSalmonella!$H$80*Salmonella!I172+GraphSalmonella!$H$81</f>
        <v>-0.19369455021069548</v>
      </c>
    </row>
    <row r="173" spans="1:26" x14ac:dyDescent="0.2">
      <c r="A173" s="1" t="s">
        <v>66</v>
      </c>
      <c r="B173" s="1" t="s">
        <v>70</v>
      </c>
      <c r="C173" t="s">
        <v>565</v>
      </c>
      <c r="D173" t="s">
        <v>11</v>
      </c>
      <c r="E173" s="1" t="s">
        <v>1262</v>
      </c>
      <c r="F173" s="1" t="s">
        <v>564</v>
      </c>
      <c r="G173" s="9"/>
      <c r="I173" s="4">
        <v>64</v>
      </c>
      <c r="J173" s="11">
        <v>7.0000000000000007E-2</v>
      </c>
      <c r="L173" s="12">
        <f t="shared" si="6"/>
        <v>-1.1549019599857431</v>
      </c>
      <c r="M173" s="11">
        <f>GraphSalmonella!$B$10-(Salmonella!I173-GraphSalmonella!$B$6)/GraphSalmonella!$B$5</f>
        <v>-0.16890042409767536</v>
      </c>
      <c r="N173" s="1" t="s">
        <v>567</v>
      </c>
      <c r="O173">
        <v>2001</v>
      </c>
      <c r="S173" s="10">
        <f>GraphSalmonella!$B$57*Salmonella!I173+GraphSalmonella!$B$58</f>
        <v>0.11156214796122521</v>
      </c>
      <c r="T173" s="10">
        <f>GraphSalmonella!$E$57*Salmonella!I173+GraphSalmonella!$E$58</f>
        <v>2.9406458692067519</v>
      </c>
      <c r="U173" s="10">
        <f>GraphSalmonella!$H$57*Salmonella!I173+GraphSalmonella!$H$58</f>
        <v>-0.16793677287978692</v>
      </c>
      <c r="X173" s="10">
        <f>GraphSalmonella!$B$80*Salmonella!I173+GraphSalmonella!$B$81</f>
        <v>-0.16648776414895305</v>
      </c>
      <c r="Y173" s="10">
        <f>GraphSalmonella!$E$80*Salmonella!I173+GraphSalmonella!$E$81</f>
        <v>-0.16412526076229828</v>
      </c>
      <c r="Z173" s="10">
        <f>GraphSalmonella!$H$80*Salmonella!I173+GraphSalmonella!$H$81</f>
        <v>-0.58124013992283086</v>
      </c>
    </row>
    <row r="174" spans="1:26" x14ac:dyDescent="0.2">
      <c r="A174" s="1" t="s">
        <v>66</v>
      </c>
      <c r="B174" s="1" t="s">
        <v>343</v>
      </c>
      <c r="D174" t="s">
        <v>11</v>
      </c>
      <c r="E174" s="1" t="s">
        <v>1262</v>
      </c>
      <c r="F174" s="1" t="s">
        <v>1219</v>
      </c>
      <c r="G174" s="9"/>
      <c r="I174" s="4">
        <v>60</v>
      </c>
      <c r="J174" s="11">
        <v>0.46</v>
      </c>
      <c r="L174" s="12">
        <f t="shared" si="6"/>
        <v>-0.33724216831842591</v>
      </c>
      <c r="M174" s="11">
        <f>GraphSalmonella!$B$10-(Salmonella!I174-GraphSalmonella!$B$6)/GraphSalmonella!$B$5</f>
        <v>0.2712239435094701</v>
      </c>
      <c r="N174" s="1" t="s">
        <v>1093</v>
      </c>
      <c r="O174">
        <v>1997</v>
      </c>
      <c r="S174" s="10">
        <f>GraphSalmonella!$B$57*Salmonella!I174+GraphSalmonella!$B$58</f>
        <v>0.35072323220664714</v>
      </c>
      <c r="T174" s="10">
        <f>GraphSalmonella!$E$57*Salmonella!I174+GraphSalmonella!$E$58</f>
        <v>3.1370239566030182</v>
      </c>
      <c r="U174" s="10">
        <f>GraphSalmonella!$H$57*Salmonella!I174+GraphSalmonella!$H$58</f>
        <v>0.27208851901262943</v>
      </c>
      <c r="X174" s="10">
        <f>GraphSalmonella!$B$80*Salmonella!I174+GraphSalmonella!$B$81</f>
        <v>0.2738497546709393</v>
      </c>
      <c r="Y174" s="10">
        <f>GraphSalmonella!$E$80*Salmonella!I174+GraphSalmonella!$E$81</f>
        <v>0.2823920067305572</v>
      </c>
      <c r="Z174" s="10">
        <f>GraphSalmonella!$H$80*Salmonella!I174+GraphSalmonella!$H$81</f>
        <v>-6.4512686973317024E-2</v>
      </c>
    </row>
    <row r="175" spans="1:26" x14ac:dyDescent="0.2">
      <c r="A175" s="1" t="s">
        <v>66</v>
      </c>
      <c r="B175" s="1" t="s">
        <v>70</v>
      </c>
      <c r="D175" t="s">
        <v>11</v>
      </c>
      <c r="E175" s="1" t="s">
        <v>1262</v>
      </c>
      <c r="F175" s="1" t="s">
        <v>351</v>
      </c>
      <c r="G175" s="9"/>
      <c r="I175" s="4">
        <v>60</v>
      </c>
      <c r="J175" s="11">
        <v>0.9</v>
      </c>
      <c r="K175" s="4">
        <v>10.3</v>
      </c>
      <c r="L175" s="12">
        <f t="shared" si="6"/>
        <v>-4.5757490560675115E-2</v>
      </c>
      <c r="M175" s="11">
        <f>GraphSalmonella!$B$10-(Salmonella!I175-GraphSalmonella!$B$6)/GraphSalmonella!$B$5</f>
        <v>0.2712239435094701</v>
      </c>
      <c r="N175" s="1" t="s">
        <v>319</v>
      </c>
      <c r="O175">
        <v>2000</v>
      </c>
      <c r="S175" s="10">
        <f>GraphSalmonella!$B$57*Salmonella!I175+GraphSalmonella!$B$58</f>
        <v>0.35072323220664714</v>
      </c>
      <c r="T175" s="10">
        <f>GraphSalmonella!$E$57*Salmonella!I175+GraphSalmonella!$E$58</f>
        <v>3.1370239566030182</v>
      </c>
      <c r="U175" s="10">
        <f>GraphSalmonella!$H$57*Salmonella!I175+GraphSalmonella!$H$58</f>
        <v>0.27208851901262943</v>
      </c>
      <c r="X175" s="10">
        <f>GraphSalmonella!$B$80*Salmonella!I175+GraphSalmonella!$B$81</f>
        <v>0.2738497546709393</v>
      </c>
      <c r="Y175" s="10">
        <f>GraphSalmonella!$E$80*Salmonella!I175+GraphSalmonella!$E$81</f>
        <v>0.2823920067305572</v>
      </c>
      <c r="Z175" s="10">
        <f>GraphSalmonella!$H$80*Salmonella!I175+GraphSalmonella!$H$81</f>
        <v>-6.4512686973317024E-2</v>
      </c>
    </row>
    <row r="176" spans="1:26" x14ac:dyDescent="0.2">
      <c r="A176" s="1" t="s">
        <v>66</v>
      </c>
      <c r="B176" s="1" t="s">
        <v>70</v>
      </c>
      <c r="D176" t="s">
        <v>11</v>
      </c>
      <c r="E176" s="1" t="s">
        <v>1262</v>
      </c>
      <c r="F176" s="1" t="s">
        <v>351</v>
      </c>
      <c r="G176" s="9"/>
      <c r="I176" s="4">
        <v>65</v>
      </c>
      <c r="J176" s="11">
        <v>0.25</v>
      </c>
      <c r="K176" s="4">
        <v>10.3</v>
      </c>
      <c r="L176" s="12">
        <f t="shared" si="6"/>
        <v>-0.6020599913279624</v>
      </c>
      <c r="M176" s="11">
        <f>GraphSalmonella!$B$10-(Salmonella!I176-GraphSalmonella!$B$6)/GraphSalmonella!$B$5</f>
        <v>-0.27893151599946164</v>
      </c>
      <c r="N176" s="1" t="s">
        <v>319</v>
      </c>
      <c r="O176">
        <v>2000</v>
      </c>
      <c r="S176" s="10">
        <f>GraphSalmonella!$B$57*Salmonella!I176+GraphSalmonella!$B$58</f>
        <v>5.1771876899869618E-2</v>
      </c>
      <c r="T176" s="10">
        <f>GraphSalmonella!$E$57*Salmonella!I176+GraphSalmonella!$E$58</f>
        <v>2.891551347357685</v>
      </c>
      <c r="U176" s="10">
        <f>GraphSalmonella!$H$57*Salmonella!I176+GraphSalmonella!$H$58</f>
        <v>-0.27794309585289145</v>
      </c>
      <c r="X176" s="10">
        <f>GraphSalmonella!$B$80*Salmonella!I176+GraphSalmonella!$B$81</f>
        <v>-0.27657214385392592</v>
      </c>
      <c r="Y176" s="10">
        <f>GraphSalmonella!$E$80*Salmonella!I176+GraphSalmonella!$E$81</f>
        <v>-0.27575457763551192</v>
      </c>
      <c r="Z176" s="10">
        <f>GraphSalmonella!$H$80*Salmonella!I176+GraphSalmonella!$H$81</f>
        <v>-0.71042200316020843</v>
      </c>
    </row>
    <row r="177" spans="1:26" x14ac:dyDescent="0.2">
      <c r="A177" s="1" t="s">
        <v>66</v>
      </c>
      <c r="B177" s="1" t="s">
        <v>70</v>
      </c>
      <c r="D177" t="s">
        <v>11</v>
      </c>
      <c r="E177" s="1" t="s">
        <v>1262</v>
      </c>
      <c r="F177" s="1" t="s">
        <v>351</v>
      </c>
      <c r="G177" s="9"/>
      <c r="I177" s="4">
        <v>70</v>
      </c>
      <c r="J177" s="11">
        <v>9.5000000000000001E-2</v>
      </c>
      <c r="K177" s="4">
        <v>10.3</v>
      </c>
      <c r="L177" s="12">
        <f t="shared" si="6"/>
        <v>-1.0222763947111522</v>
      </c>
      <c r="M177" s="11">
        <f>GraphSalmonella!$B$10-(Salmonella!I177-GraphSalmonella!$B$6)/GraphSalmonella!$B$5</f>
        <v>-0.82908697550839339</v>
      </c>
      <c r="N177" s="1" t="s">
        <v>319</v>
      </c>
      <c r="O177">
        <v>2000</v>
      </c>
      <c r="S177" s="10">
        <f>GraphSalmonella!$B$57*Salmonella!I177+GraphSalmonella!$B$58</f>
        <v>-0.2471794784069079</v>
      </c>
      <c r="T177" s="10">
        <f>GraphSalmonella!$E$57*Salmonella!I177+GraphSalmonella!$E$58</f>
        <v>2.6460787381123523</v>
      </c>
      <c r="U177" s="10">
        <f>GraphSalmonella!$H$57*Salmonella!I177+GraphSalmonella!$H$58</f>
        <v>-0.82797471071841144</v>
      </c>
      <c r="X177" s="10">
        <f>GraphSalmonella!$B$80*Salmonella!I177+GraphSalmonella!$B$81</f>
        <v>-0.82699404237879115</v>
      </c>
      <c r="Y177" s="10">
        <f>GraphSalmonella!$E$80*Salmonella!I177+GraphSalmonella!$E$81</f>
        <v>-0.83390116200158193</v>
      </c>
      <c r="Z177" s="10">
        <f>GraphSalmonella!$H$80*Salmonella!I177+GraphSalmonella!$H$81</f>
        <v>-1.3563313193471016</v>
      </c>
    </row>
    <row r="178" spans="1:26" x14ac:dyDescent="0.2">
      <c r="A178" s="1" t="s">
        <v>66</v>
      </c>
      <c r="B178" s="1" t="s">
        <v>67</v>
      </c>
      <c r="D178" t="s">
        <v>11</v>
      </c>
      <c r="E178" s="1" t="s">
        <v>1262</v>
      </c>
      <c r="F178" s="1"/>
      <c r="G178" s="9"/>
      <c r="I178" s="4">
        <v>62</v>
      </c>
      <c r="J178" s="11">
        <v>2.65</v>
      </c>
      <c r="K178" s="4">
        <v>5.91</v>
      </c>
      <c r="L178" s="12">
        <f t="shared" si="6"/>
        <v>0.42324587393680785</v>
      </c>
      <c r="M178" s="11">
        <f>GraphSalmonella!$B$10-(Salmonella!I178-GraphSalmonella!$B$6)/GraphSalmonella!$B$5</f>
        <v>5.1161759705897314E-2</v>
      </c>
      <c r="N178" s="1" t="s">
        <v>294</v>
      </c>
      <c r="O178">
        <v>2000</v>
      </c>
      <c r="S178" s="10">
        <f>GraphSalmonella!$B$57*Salmonella!I178+GraphSalmonella!$B$58</f>
        <v>0.23114269008393595</v>
      </c>
      <c r="T178" s="10">
        <f>GraphSalmonella!$E$57*Salmonella!I178+GraphSalmonella!$E$58</f>
        <v>3.0388349129048851</v>
      </c>
      <c r="U178" s="10">
        <f>GraphSalmonella!$H$57*Salmonella!I178+GraphSalmonella!$H$58</f>
        <v>5.2075873066421252E-2</v>
      </c>
      <c r="X178" s="10">
        <f>GraphSalmonella!$B$80*Salmonella!I178+GraphSalmonella!$B$81</f>
        <v>5.3680995260992681E-2</v>
      </c>
      <c r="Y178" s="10">
        <f>GraphSalmonella!$E$80*Salmonella!I178+GraphSalmonella!$E$81</f>
        <v>5.9133372984129906E-2</v>
      </c>
      <c r="Z178" s="10">
        <f>GraphSalmonella!$H$80*Salmonella!I178+GraphSalmonella!$H$81</f>
        <v>-0.32287641344807394</v>
      </c>
    </row>
    <row r="179" spans="1:26" x14ac:dyDescent="0.2">
      <c r="A179" s="1" t="s">
        <v>66</v>
      </c>
      <c r="B179" s="1" t="s">
        <v>1233</v>
      </c>
      <c r="D179" t="s">
        <v>11</v>
      </c>
      <c r="E179" s="1" t="s">
        <v>1262</v>
      </c>
      <c r="F179" s="1"/>
      <c r="G179" s="9"/>
      <c r="H179" s="4">
        <v>5.9</v>
      </c>
      <c r="I179" s="4">
        <v>60</v>
      </c>
      <c r="J179" s="11">
        <v>0.9</v>
      </c>
      <c r="L179" s="12">
        <f t="shared" si="6"/>
        <v>-4.5757490560675115E-2</v>
      </c>
      <c r="M179" s="11">
        <f>GraphSalmonella!$B$10-(Salmonella!I179-GraphSalmonella!$B$6)/GraphSalmonella!$B$5</f>
        <v>0.2712239435094701</v>
      </c>
      <c r="N179" s="1" t="s">
        <v>1093</v>
      </c>
      <c r="O179">
        <v>1997</v>
      </c>
      <c r="S179" s="10">
        <f>GraphSalmonella!$B$57*Salmonella!I179+GraphSalmonella!$B$58</f>
        <v>0.35072323220664714</v>
      </c>
      <c r="T179" s="10">
        <f>GraphSalmonella!$E$57*Salmonella!I179+GraphSalmonella!$E$58</f>
        <v>3.1370239566030182</v>
      </c>
      <c r="U179" s="10">
        <f>GraphSalmonella!$H$57*Salmonella!I179+GraphSalmonella!$H$58</f>
        <v>0.27208851901262943</v>
      </c>
      <c r="X179" s="10">
        <f>GraphSalmonella!$B$80*Salmonella!I179+GraphSalmonella!$B$81</f>
        <v>0.2738497546709393</v>
      </c>
      <c r="Y179" s="10">
        <f>GraphSalmonella!$E$80*Salmonella!I179+GraphSalmonella!$E$81</f>
        <v>0.2823920067305572</v>
      </c>
      <c r="Z179" s="10">
        <f>GraphSalmonella!$H$80*Salmonella!I179+GraphSalmonella!$H$81</f>
        <v>-6.4512686973317024E-2</v>
      </c>
    </row>
    <row r="180" spans="1:26" x14ac:dyDescent="0.2">
      <c r="A180" s="1" t="s">
        <v>66</v>
      </c>
      <c r="B180" s="1" t="s">
        <v>570</v>
      </c>
      <c r="D180" t="s">
        <v>11</v>
      </c>
      <c r="E180" s="1" t="s">
        <v>1267</v>
      </c>
      <c r="F180" s="1" t="s">
        <v>1446</v>
      </c>
      <c r="G180" s="9"/>
      <c r="I180" s="4">
        <v>55</v>
      </c>
      <c r="J180" s="4">
        <v>24.07</v>
      </c>
      <c r="K180" s="4">
        <v>6.26</v>
      </c>
      <c r="L180" s="12">
        <f t="shared" si="6"/>
        <v>1.38147609027503</v>
      </c>
      <c r="M180" s="11">
        <f>GraphSalmonella!$B$10-(Salmonella!I180-GraphSalmonella!$B$6)/GraphSalmonella!$B$5</f>
        <v>0.82137940301840184</v>
      </c>
      <c r="N180" s="1" t="s">
        <v>572</v>
      </c>
      <c r="O180">
        <v>2003</v>
      </c>
      <c r="S180" s="10">
        <f>GraphSalmonella!$B$57*Salmonella!I180+GraphSalmonella!$B$58</f>
        <v>0.64967458751342466</v>
      </c>
      <c r="T180" s="10">
        <f>GraphSalmonella!$E$57*Salmonella!I180+GraphSalmonella!$E$58</f>
        <v>3.3824965658483515</v>
      </c>
      <c r="U180" s="10">
        <f>GraphSalmonella!$H$57*Salmonella!I180+GraphSalmonella!$H$58</f>
        <v>0.82212013387815031</v>
      </c>
      <c r="X180" s="10">
        <f>GraphSalmonella!$B$80*Salmonella!I180+GraphSalmonella!$B$81</f>
        <v>0.82427165319580453</v>
      </c>
      <c r="Y180" s="10">
        <f>GraphSalmonella!$E$80*Salmonella!I180+GraphSalmonella!$E$81</f>
        <v>0.84053859109662721</v>
      </c>
      <c r="Z180" s="10">
        <f>GraphSalmonella!$H$80*Salmonella!I180+GraphSalmonella!$H$81</f>
        <v>0.58139662921357438</v>
      </c>
    </row>
    <row r="181" spans="1:26" x14ac:dyDescent="0.2">
      <c r="A181" s="1" t="s">
        <v>66</v>
      </c>
      <c r="B181" s="1" t="s">
        <v>570</v>
      </c>
      <c r="D181" t="s">
        <v>11</v>
      </c>
      <c r="E181" s="1" t="s">
        <v>1267</v>
      </c>
      <c r="F181" s="1" t="s">
        <v>1446</v>
      </c>
      <c r="G181" s="9"/>
      <c r="I181" s="4">
        <v>57.5</v>
      </c>
      <c r="J181" s="4">
        <v>9.6</v>
      </c>
      <c r="K181" s="4">
        <v>6.26</v>
      </c>
      <c r="L181" s="12">
        <f t="shared" si="6"/>
        <v>0.98227123303956843</v>
      </c>
      <c r="M181" s="11">
        <f>GraphSalmonella!$B$10-(Salmonella!I181-GraphSalmonella!$B$6)/GraphSalmonella!$B$5</f>
        <v>0.54630167326393586</v>
      </c>
      <c r="N181" s="1" t="s">
        <v>572</v>
      </c>
      <c r="O181">
        <v>2003</v>
      </c>
      <c r="S181" s="10">
        <f>GraphSalmonella!$B$57*Salmonella!I181+GraphSalmonella!$B$58</f>
        <v>0.5001989098600359</v>
      </c>
      <c r="T181" s="10">
        <f>GraphSalmonella!$E$57*Salmonella!I181+GraphSalmonella!$E$58</f>
        <v>3.2597602612256846</v>
      </c>
      <c r="U181" s="10">
        <f>GraphSalmonella!$H$57*Salmonella!I181+GraphSalmonella!$H$58</f>
        <v>0.54710432644538987</v>
      </c>
      <c r="X181" s="10">
        <f>GraphSalmonella!$B$80*Salmonella!I181+GraphSalmonella!$B$81</f>
        <v>0.54906070393337192</v>
      </c>
      <c r="Y181" s="10">
        <f>GraphSalmonella!$E$80*Salmonella!I181+GraphSalmonella!$E$81</f>
        <v>0.56146529891359265</v>
      </c>
      <c r="Z181" s="10">
        <f>GraphSalmonella!$H$80*Salmonella!I181+GraphSalmonella!$H$81</f>
        <v>0.25844197112012868</v>
      </c>
    </row>
    <row r="182" spans="1:26" x14ac:dyDescent="0.2">
      <c r="A182" s="1" t="s">
        <v>66</v>
      </c>
      <c r="B182" s="1" t="s">
        <v>570</v>
      </c>
      <c r="D182" t="s">
        <v>11</v>
      </c>
      <c r="E182" s="1" t="s">
        <v>1267</v>
      </c>
      <c r="F182" s="1" t="s">
        <v>1446</v>
      </c>
      <c r="G182" s="9"/>
      <c r="I182" s="4">
        <v>60</v>
      </c>
      <c r="J182" s="4">
        <v>3.83</v>
      </c>
      <c r="K182" s="4">
        <v>6.26</v>
      </c>
      <c r="L182" s="12">
        <f t="shared" si="6"/>
        <v>0.58319877396862274</v>
      </c>
      <c r="M182" s="11">
        <f>GraphSalmonella!$B$10-(Salmonella!I182-GraphSalmonella!$B$6)/GraphSalmonella!$B$5</f>
        <v>0.2712239435094701</v>
      </c>
      <c r="N182" s="1" t="s">
        <v>572</v>
      </c>
      <c r="O182">
        <v>2003</v>
      </c>
      <c r="S182" s="10">
        <f>GraphSalmonella!$B$57*Salmonella!I182+GraphSalmonella!$B$58</f>
        <v>0.35072323220664714</v>
      </c>
      <c r="T182" s="10">
        <f>GraphSalmonella!$E$57*Salmonella!I182+GraphSalmonella!$E$58</f>
        <v>3.1370239566030182</v>
      </c>
      <c r="U182" s="10">
        <f>GraphSalmonella!$H$57*Salmonella!I182+GraphSalmonella!$H$58</f>
        <v>0.27208851901262943</v>
      </c>
      <c r="X182" s="10">
        <f>GraphSalmonella!$B$80*Salmonella!I182+GraphSalmonella!$B$81</f>
        <v>0.2738497546709393</v>
      </c>
      <c r="Y182" s="10">
        <f>GraphSalmonella!$E$80*Salmonella!I182+GraphSalmonella!$E$81</f>
        <v>0.2823920067305572</v>
      </c>
      <c r="Z182" s="10">
        <f>GraphSalmonella!$H$80*Salmonella!I182+GraphSalmonella!$H$81</f>
        <v>-6.4512686973317024E-2</v>
      </c>
    </row>
    <row r="183" spans="1:26" x14ac:dyDescent="0.2">
      <c r="A183" s="1" t="s">
        <v>66</v>
      </c>
      <c r="B183" s="1" t="s">
        <v>570</v>
      </c>
      <c r="D183" t="s">
        <v>11</v>
      </c>
      <c r="E183" s="1" t="s">
        <v>1267</v>
      </c>
      <c r="F183" s="1" t="s">
        <v>1446</v>
      </c>
      <c r="G183" s="9"/>
      <c r="I183" s="4">
        <v>62.5</v>
      </c>
      <c r="J183" s="11">
        <v>1.53</v>
      </c>
      <c r="K183" s="4">
        <v>6.26</v>
      </c>
      <c r="L183" s="12">
        <f t="shared" si="6"/>
        <v>0.18469143081759881</v>
      </c>
      <c r="M183" s="11">
        <f>GraphSalmonella!$B$10-(Salmonella!I183-GraphSalmonella!$B$6)/GraphSalmonella!$B$5</f>
        <v>-3.8537862449957716E-3</v>
      </c>
      <c r="N183" s="1" t="s">
        <v>572</v>
      </c>
      <c r="O183">
        <v>2003</v>
      </c>
      <c r="S183" s="10">
        <f>GraphSalmonella!$B$57*Salmonella!I183+GraphSalmonella!$B$58</f>
        <v>0.20124755455325838</v>
      </c>
      <c r="T183" s="10">
        <f>GraphSalmonella!$E$57*Salmonella!I183+GraphSalmonella!$E$58</f>
        <v>3.0142876519803519</v>
      </c>
      <c r="U183" s="10">
        <f>GraphSalmonella!$H$57*Salmonella!I183+GraphSalmonella!$H$58</f>
        <v>-2.9272884201310134E-3</v>
      </c>
      <c r="X183" s="10">
        <f>GraphSalmonella!$B$80*Salmonella!I183+GraphSalmonella!$B$81</f>
        <v>-1.3611945914933088E-3</v>
      </c>
      <c r="Y183" s="10">
        <f>GraphSalmonella!$E$80*Salmonella!I183+GraphSalmonella!$E$81</f>
        <v>3.3187145475226387E-3</v>
      </c>
      <c r="Z183" s="10">
        <f>GraphSalmonella!$H$80*Salmonella!I183+GraphSalmonella!$H$81</f>
        <v>-0.38746734506676273</v>
      </c>
    </row>
    <row r="184" spans="1:26" x14ac:dyDescent="0.2">
      <c r="A184" s="1" t="s">
        <v>66</v>
      </c>
      <c r="B184" s="1" t="s">
        <v>570</v>
      </c>
      <c r="D184" t="s">
        <v>11</v>
      </c>
      <c r="E184" s="1" t="s">
        <v>1267</v>
      </c>
      <c r="F184" s="1" t="s">
        <v>1446</v>
      </c>
      <c r="G184" s="9"/>
      <c r="I184" s="4">
        <v>65</v>
      </c>
      <c r="J184" s="11">
        <v>0.61</v>
      </c>
      <c r="K184" s="4">
        <v>6.26</v>
      </c>
      <c r="L184" s="12">
        <f t="shared" si="6"/>
        <v>-0.21467016498923297</v>
      </c>
      <c r="M184" s="11">
        <f>GraphSalmonella!$B$10-(Salmonella!I184-GraphSalmonella!$B$6)/GraphSalmonella!$B$5</f>
        <v>-0.27893151599946164</v>
      </c>
      <c r="N184" s="1" t="s">
        <v>572</v>
      </c>
      <c r="O184">
        <v>2003</v>
      </c>
      <c r="S184" s="10">
        <f>GraphSalmonella!$B$57*Salmonella!I184+GraphSalmonella!$B$58</f>
        <v>5.1771876899869618E-2</v>
      </c>
      <c r="T184" s="10">
        <f>GraphSalmonella!$E$57*Salmonella!I184+GraphSalmonella!$E$58</f>
        <v>2.891551347357685</v>
      </c>
      <c r="U184" s="10">
        <f>GraphSalmonella!$H$57*Salmonella!I184+GraphSalmonella!$H$58</f>
        <v>-0.27794309585289145</v>
      </c>
      <c r="X184" s="10">
        <f>GraphSalmonella!$B$80*Salmonella!I184+GraphSalmonella!$B$81</f>
        <v>-0.27657214385392592</v>
      </c>
      <c r="Y184" s="10">
        <f>GraphSalmonella!$E$80*Salmonella!I184+GraphSalmonella!$E$81</f>
        <v>-0.27575457763551192</v>
      </c>
      <c r="Z184" s="10">
        <f>GraphSalmonella!$H$80*Salmonella!I184+GraphSalmonella!$H$81</f>
        <v>-0.71042200316020843</v>
      </c>
    </row>
    <row r="185" spans="1:26" x14ac:dyDescent="0.2">
      <c r="A185" s="1" t="s">
        <v>66</v>
      </c>
      <c r="B185" s="1" t="s">
        <v>570</v>
      </c>
      <c r="D185" t="s">
        <v>11</v>
      </c>
      <c r="E185" s="1" t="s">
        <v>1267</v>
      </c>
      <c r="F185" s="1" t="s">
        <v>1446</v>
      </c>
      <c r="G185" s="9"/>
      <c r="I185" s="4">
        <v>67.5</v>
      </c>
      <c r="J185" s="11">
        <v>0.24</v>
      </c>
      <c r="K185" s="4">
        <v>6.26</v>
      </c>
      <c r="L185" s="12">
        <f t="shared" si="6"/>
        <v>-0.61978875828839397</v>
      </c>
      <c r="M185" s="11">
        <f>GraphSalmonella!$B$10-(Salmonella!I185-GraphSalmonella!$B$6)/GraphSalmonella!$B$5</f>
        <v>-0.55400924575392752</v>
      </c>
      <c r="N185" s="1" t="s">
        <v>572</v>
      </c>
      <c r="O185">
        <v>2003</v>
      </c>
      <c r="S185" s="10">
        <f>GraphSalmonella!$B$57*Salmonella!I185+GraphSalmonella!$B$58</f>
        <v>-9.7703800753518699E-2</v>
      </c>
      <c r="T185" s="10">
        <f>GraphSalmonella!$E$57*Salmonella!I185+GraphSalmonella!$E$58</f>
        <v>2.7688150427350187</v>
      </c>
      <c r="U185" s="10">
        <f>GraphSalmonella!$H$57*Salmonella!I185+GraphSalmonella!$H$58</f>
        <v>-0.552958903285651</v>
      </c>
      <c r="X185" s="10">
        <f>GraphSalmonella!$B$80*Salmonella!I185+GraphSalmonella!$B$81</f>
        <v>-0.55178309311635854</v>
      </c>
      <c r="Y185" s="10">
        <f>GraphSalmonella!$E$80*Salmonella!I185+GraphSalmonella!$E$81</f>
        <v>-0.55482786981854737</v>
      </c>
      <c r="Z185" s="10">
        <f>GraphSalmonella!$H$80*Salmonella!I185+GraphSalmonella!$H$81</f>
        <v>-1.0333766612536559</v>
      </c>
    </row>
    <row r="186" spans="1:26" x14ac:dyDescent="0.2">
      <c r="A186" s="1" t="s">
        <v>66</v>
      </c>
      <c r="B186" s="1" t="s">
        <v>570</v>
      </c>
      <c r="D186" t="s">
        <v>11</v>
      </c>
      <c r="E186" s="1" t="s">
        <v>1267</v>
      </c>
      <c r="F186" s="1" t="s">
        <v>1446</v>
      </c>
      <c r="G186" s="9"/>
      <c r="I186" s="4">
        <v>70</v>
      </c>
      <c r="J186" s="11">
        <v>0.1</v>
      </c>
      <c r="K186" s="4">
        <v>6.26</v>
      </c>
      <c r="L186" s="12">
        <f t="shared" si="6"/>
        <v>-1</v>
      </c>
      <c r="M186" s="11">
        <f>GraphSalmonella!$B$10-(Salmonella!I186-GraphSalmonella!$B$6)/GraphSalmonella!$B$5</f>
        <v>-0.82908697550839339</v>
      </c>
      <c r="N186" s="1" t="s">
        <v>572</v>
      </c>
      <c r="O186">
        <v>2003</v>
      </c>
      <c r="S186" s="10">
        <f>GraphSalmonella!$B$57*Salmonella!I186+GraphSalmonella!$B$58</f>
        <v>-0.2471794784069079</v>
      </c>
      <c r="T186" s="10">
        <f>GraphSalmonella!$E$57*Salmonella!I186+GraphSalmonella!$E$58</f>
        <v>2.6460787381123523</v>
      </c>
      <c r="U186" s="10">
        <f>GraphSalmonella!$H$57*Salmonella!I186+GraphSalmonella!$H$58</f>
        <v>-0.82797471071841144</v>
      </c>
      <c r="X186" s="10">
        <f>GraphSalmonella!$B$80*Salmonella!I186+GraphSalmonella!$B$81</f>
        <v>-0.82699404237879115</v>
      </c>
      <c r="Y186" s="10">
        <f>GraphSalmonella!$E$80*Salmonella!I186+GraphSalmonella!$E$81</f>
        <v>-0.83390116200158193</v>
      </c>
      <c r="Z186" s="10">
        <f>GraphSalmonella!$H$80*Salmonella!I186+GraphSalmonella!$H$81</f>
        <v>-1.3563313193471016</v>
      </c>
    </row>
    <row r="187" spans="1:26" x14ac:dyDescent="0.2">
      <c r="A187" s="1" t="s">
        <v>66</v>
      </c>
      <c r="B187" s="1" t="s">
        <v>70</v>
      </c>
      <c r="C187" t="s">
        <v>557</v>
      </c>
      <c r="D187" t="s">
        <v>11</v>
      </c>
      <c r="E187" s="1" t="s">
        <v>1267</v>
      </c>
      <c r="F187" t="s">
        <v>549</v>
      </c>
      <c r="H187" s="4">
        <v>6.3</v>
      </c>
      <c r="I187" s="4">
        <v>58</v>
      </c>
      <c r="J187" s="11">
        <v>1.78</v>
      </c>
      <c r="L187" s="12">
        <f t="shared" si="6"/>
        <v>0.250420002308894</v>
      </c>
      <c r="M187" s="11">
        <f>GraphSalmonella!$B$10-(Salmonella!I187-GraphSalmonella!$B$6)/GraphSalmonella!$B$5</f>
        <v>0.49128612731304266</v>
      </c>
      <c r="N187" s="1" t="s">
        <v>562</v>
      </c>
      <c r="O187">
        <v>2000</v>
      </c>
      <c r="S187" s="10">
        <f>GraphSalmonella!$B$57*Salmonella!I187+GraphSalmonella!$B$58</f>
        <v>0.47030377432935788</v>
      </c>
      <c r="T187" s="10">
        <f>GraphSalmonella!$E$57*Salmonella!I187+GraphSalmonella!$E$58</f>
        <v>3.2352130003011514</v>
      </c>
      <c r="U187" s="10">
        <f>GraphSalmonella!$H$57*Salmonella!I187+GraphSalmonella!$H$58</f>
        <v>0.4921011649588376</v>
      </c>
      <c r="X187" s="10">
        <f>GraphSalmonella!$B$80*Salmonella!I187+GraphSalmonella!$B$81</f>
        <v>0.49401851408088504</v>
      </c>
      <c r="Y187" s="10">
        <f>GraphSalmonella!$E$80*Salmonella!I187+GraphSalmonella!$E$81</f>
        <v>0.50565064047698538</v>
      </c>
      <c r="Z187" s="10">
        <f>GraphSalmonella!$H$80*Salmonella!I187+GraphSalmonella!$H$81</f>
        <v>0.19385103950143989</v>
      </c>
    </row>
    <row r="188" spans="1:26" x14ac:dyDescent="0.2">
      <c r="A188" s="1" t="s">
        <v>66</v>
      </c>
      <c r="B188" s="1" t="s">
        <v>70</v>
      </c>
      <c r="C188" t="s">
        <v>556</v>
      </c>
      <c r="D188" t="s">
        <v>11</v>
      </c>
      <c r="E188" s="1" t="s">
        <v>1267</v>
      </c>
      <c r="F188" t="s">
        <v>549</v>
      </c>
      <c r="H188" s="4">
        <v>6.3</v>
      </c>
      <c r="I188" s="4">
        <v>58</v>
      </c>
      <c r="J188" s="11">
        <v>2.29</v>
      </c>
      <c r="L188" s="12">
        <f t="shared" si="6"/>
        <v>0.35983548233988799</v>
      </c>
      <c r="M188" s="11">
        <f>GraphSalmonella!$B$10-(Salmonella!I188-GraphSalmonella!$B$6)/GraphSalmonella!$B$5</f>
        <v>0.49128612731304266</v>
      </c>
      <c r="N188" s="1" t="s">
        <v>562</v>
      </c>
      <c r="O188">
        <v>2000</v>
      </c>
      <c r="S188" s="10">
        <f>GraphSalmonella!$B$57*Salmonella!I188+GraphSalmonella!$B$58</f>
        <v>0.47030377432935788</v>
      </c>
      <c r="T188" s="10">
        <f>GraphSalmonella!$E$57*Salmonella!I188+GraphSalmonella!$E$58</f>
        <v>3.2352130003011514</v>
      </c>
      <c r="U188" s="10">
        <f>GraphSalmonella!$H$57*Salmonella!I188+GraphSalmonella!$H$58</f>
        <v>0.4921011649588376</v>
      </c>
      <c r="X188" s="10">
        <f>GraphSalmonella!$B$80*Salmonella!I188+GraphSalmonella!$B$81</f>
        <v>0.49401851408088504</v>
      </c>
      <c r="Y188" s="10">
        <f>GraphSalmonella!$E$80*Salmonella!I188+GraphSalmonella!$E$81</f>
        <v>0.50565064047698538</v>
      </c>
      <c r="Z188" s="10">
        <f>GraphSalmonella!$H$80*Salmonella!I188+GraphSalmonella!$H$81</f>
        <v>0.19385103950143989</v>
      </c>
    </row>
    <row r="189" spans="1:26" x14ac:dyDescent="0.2">
      <c r="A189" s="1" t="s">
        <v>66</v>
      </c>
      <c r="B189" s="1" t="s">
        <v>70</v>
      </c>
      <c r="C189" t="s">
        <v>555</v>
      </c>
      <c r="D189" t="s">
        <v>11</v>
      </c>
      <c r="E189" s="1" t="s">
        <v>1267</v>
      </c>
      <c r="F189" t="s">
        <v>549</v>
      </c>
      <c r="H189" s="4">
        <v>6.3</v>
      </c>
      <c r="I189" s="4">
        <v>58</v>
      </c>
      <c r="J189" s="11">
        <v>1.94</v>
      </c>
      <c r="L189" s="12">
        <f t="shared" si="6"/>
        <v>0.28780172993022601</v>
      </c>
      <c r="M189" s="11">
        <f>GraphSalmonella!$B$10-(Salmonella!I189-GraphSalmonella!$B$6)/GraphSalmonella!$B$5</f>
        <v>0.49128612731304266</v>
      </c>
      <c r="N189" s="1" t="s">
        <v>562</v>
      </c>
      <c r="O189">
        <v>2000</v>
      </c>
      <c r="S189" s="10">
        <f>GraphSalmonella!$B$57*Salmonella!I189+GraphSalmonella!$B$58</f>
        <v>0.47030377432935788</v>
      </c>
      <c r="T189" s="10">
        <f>GraphSalmonella!$E$57*Salmonella!I189+GraphSalmonella!$E$58</f>
        <v>3.2352130003011514</v>
      </c>
      <c r="U189" s="10">
        <f>GraphSalmonella!$H$57*Salmonella!I189+GraphSalmonella!$H$58</f>
        <v>0.4921011649588376</v>
      </c>
      <c r="X189" s="10">
        <f>GraphSalmonella!$B$80*Salmonella!I189+GraphSalmonella!$B$81</f>
        <v>0.49401851408088504</v>
      </c>
      <c r="Y189" s="10">
        <f>GraphSalmonella!$E$80*Salmonella!I189+GraphSalmonella!$E$81</f>
        <v>0.50565064047698538</v>
      </c>
      <c r="Z189" s="10">
        <f>GraphSalmonella!$H$80*Salmonella!I189+GraphSalmonella!$H$81</f>
        <v>0.19385103950143989</v>
      </c>
    </row>
    <row r="190" spans="1:26" x14ac:dyDescent="0.2">
      <c r="A190" s="1" t="s">
        <v>66</v>
      </c>
      <c r="B190" s="1" t="s">
        <v>70</v>
      </c>
      <c r="C190" t="s">
        <v>554</v>
      </c>
      <c r="D190" t="s">
        <v>11</v>
      </c>
      <c r="E190" s="1" t="s">
        <v>1267</v>
      </c>
      <c r="F190" t="s">
        <v>549</v>
      </c>
      <c r="H190" s="4">
        <v>6.3</v>
      </c>
      <c r="I190" s="4">
        <v>58</v>
      </c>
      <c r="J190" s="11">
        <v>1.45</v>
      </c>
      <c r="L190" s="12">
        <f t="shared" si="6"/>
        <v>0.16136800223497488</v>
      </c>
      <c r="M190" s="11">
        <f>GraphSalmonella!$B$10-(Salmonella!I190-GraphSalmonella!$B$6)/GraphSalmonella!$B$5</f>
        <v>0.49128612731304266</v>
      </c>
      <c r="N190" s="1" t="s">
        <v>562</v>
      </c>
      <c r="O190">
        <v>2000</v>
      </c>
      <c r="S190" s="10">
        <f>GraphSalmonella!$B$57*Salmonella!I190+GraphSalmonella!$B$58</f>
        <v>0.47030377432935788</v>
      </c>
      <c r="T190" s="10">
        <f>GraphSalmonella!$E$57*Salmonella!I190+GraphSalmonella!$E$58</f>
        <v>3.2352130003011514</v>
      </c>
      <c r="U190" s="10">
        <f>GraphSalmonella!$H$57*Salmonella!I190+GraphSalmonella!$H$58</f>
        <v>0.4921011649588376</v>
      </c>
      <c r="X190" s="10">
        <f>GraphSalmonella!$B$80*Salmonella!I190+GraphSalmonella!$B$81</f>
        <v>0.49401851408088504</v>
      </c>
      <c r="Y190" s="10">
        <f>GraphSalmonella!$E$80*Salmonella!I190+GraphSalmonella!$E$81</f>
        <v>0.50565064047698538</v>
      </c>
      <c r="Z190" s="10">
        <f>GraphSalmonella!$H$80*Salmonella!I190+GraphSalmonella!$H$81</f>
        <v>0.19385103950143989</v>
      </c>
    </row>
    <row r="191" spans="1:26" x14ac:dyDescent="0.2">
      <c r="A191" s="1" t="s">
        <v>66</v>
      </c>
      <c r="B191" s="1" t="s">
        <v>70</v>
      </c>
      <c r="C191" t="s">
        <v>553</v>
      </c>
      <c r="D191" t="s">
        <v>11</v>
      </c>
      <c r="E191" s="1" t="s">
        <v>1267</v>
      </c>
      <c r="F191" t="s">
        <v>549</v>
      </c>
      <c r="H191" s="4">
        <v>6.3</v>
      </c>
      <c r="I191" s="4">
        <v>58</v>
      </c>
      <c r="J191" s="11">
        <v>2.35</v>
      </c>
      <c r="L191" s="12">
        <f t="shared" si="6"/>
        <v>0.37106786227173627</v>
      </c>
      <c r="M191" s="11">
        <f>GraphSalmonella!$B$10-(Salmonella!I191-GraphSalmonella!$B$6)/GraphSalmonella!$B$5</f>
        <v>0.49128612731304266</v>
      </c>
      <c r="N191" s="1" t="s">
        <v>562</v>
      </c>
      <c r="O191">
        <v>2000</v>
      </c>
      <c r="S191" s="10">
        <f>GraphSalmonella!$B$57*Salmonella!I191+GraphSalmonella!$B$58</f>
        <v>0.47030377432935788</v>
      </c>
      <c r="T191" s="10">
        <f>GraphSalmonella!$E$57*Salmonella!I191+GraphSalmonella!$E$58</f>
        <v>3.2352130003011514</v>
      </c>
      <c r="U191" s="10">
        <f>GraphSalmonella!$H$57*Salmonella!I191+GraphSalmonella!$H$58</f>
        <v>0.4921011649588376</v>
      </c>
      <c r="X191" s="10">
        <f>GraphSalmonella!$B$80*Salmonella!I191+GraphSalmonella!$B$81</f>
        <v>0.49401851408088504</v>
      </c>
      <c r="Y191" s="10">
        <f>GraphSalmonella!$E$80*Salmonella!I191+GraphSalmonella!$E$81</f>
        <v>0.50565064047698538</v>
      </c>
      <c r="Z191" s="10">
        <f>GraphSalmonella!$H$80*Salmonella!I191+GraphSalmonella!$H$81</f>
        <v>0.19385103950143989</v>
      </c>
    </row>
    <row r="192" spans="1:26" x14ac:dyDescent="0.2">
      <c r="A192" s="1" t="s">
        <v>66</v>
      </c>
      <c r="B192" s="1" t="s">
        <v>70</v>
      </c>
      <c r="C192" t="s">
        <v>552</v>
      </c>
      <c r="D192" t="s">
        <v>11</v>
      </c>
      <c r="E192" s="1" t="s">
        <v>1267</v>
      </c>
      <c r="F192" t="s">
        <v>549</v>
      </c>
      <c r="H192" s="4">
        <v>6.3</v>
      </c>
      <c r="I192" s="4">
        <v>58</v>
      </c>
      <c r="J192" s="11">
        <v>2.16</v>
      </c>
      <c r="L192" s="12">
        <f t="shared" si="6"/>
        <v>0.3344537511509309</v>
      </c>
      <c r="M192" s="11">
        <f>GraphSalmonella!$B$10-(Salmonella!I192-GraphSalmonella!$B$6)/GraphSalmonella!$B$5</f>
        <v>0.49128612731304266</v>
      </c>
      <c r="N192" s="1" t="s">
        <v>562</v>
      </c>
      <c r="O192">
        <v>2000</v>
      </c>
      <c r="S192" s="10">
        <f>GraphSalmonella!$B$57*Salmonella!I192+GraphSalmonella!$B$58</f>
        <v>0.47030377432935788</v>
      </c>
      <c r="T192" s="10">
        <f>GraphSalmonella!$E$57*Salmonella!I192+GraphSalmonella!$E$58</f>
        <v>3.2352130003011514</v>
      </c>
      <c r="U192" s="10">
        <f>GraphSalmonella!$H$57*Salmonella!I192+GraphSalmonella!$H$58</f>
        <v>0.4921011649588376</v>
      </c>
      <c r="X192" s="10">
        <f>GraphSalmonella!$B$80*Salmonella!I192+GraphSalmonella!$B$81</f>
        <v>0.49401851408088504</v>
      </c>
      <c r="Y192" s="10">
        <f>GraphSalmonella!$E$80*Salmonella!I192+GraphSalmonella!$E$81</f>
        <v>0.50565064047698538</v>
      </c>
      <c r="Z192" s="10">
        <f>GraphSalmonella!$H$80*Salmonella!I192+GraphSalmonella!$H$81</f>
        <v>0.19385103950143989</v>
      </c>
    </row>
    <row r="193" spans="1:26" x14ac:dyDescent="0.2">
      <c r="A193" s="1" t="s">
        <v>66</v>
      </c>
      <c r="B193" s="1" t="s">
        <v>70</v>
      </c>
      <c r="C193" t="s">
        <v>551</v>
      </c>
      <c r="D193" t="s">
        <v>11</v>
      </c>
      <c r="E193" s="1" t="s">
        <v>1267</v>
      </c>
      <c r="F193" t="s">
        <v>549</v>
      </c>
      <c r="H193" s="4">
        <v>6.3</v>
      </c>
      <c r="I193" s="4">
        <v>58</v>
      </c>
      <c r="J193" s="11">
        <v>2.17</v>
      </c>
      <c r="L193" s="12">
        <f t="shared" si="6"/>
        <v>0.33645973384852951</v>
      </c>
      <c r="M193" s="11">
        <f>GraphSalmonella!$B$10-(Salmonella!I193-GraphSalmonella!$B$6)/GraphSalmonella!$B$5</f>
        <v>0.49128612731304266</v>
      </c>
      <c r="N193" s="1" t="s">
        <v>562</v>
      </c>
      <c r="O193">
        <v>2000</v>
      </c>
      <c r="S193" s="10">
        <f>GraphSalmonella!$B$57*Salmonella!I193+GraphSalmonella!$B$58</f>
        <v>0.47030377432935788</v>
      </c>
      <c r="T193" s="10">
        <f>GraphSalmonella!$E$57*Salmonella!I193+GraphSalmonella!$E$58</f>
        <v>3.2352130003011514</v>
      </c>
      <c r="U193" s="10">
        <f>GraphSalmonella!$H$57*Salmonella!I193+GraphSalmonella!$H$58</f>
        <v>0.4921011649588376</v>
      </c>
      <c r="X193" s="10">
        <f>GraphSalmonella!$B$80*Salmonella!I193+GraphSalmonella!$B$81</f>
        <v>0.49401851408088504</v>
      </c>
      <c r="Y193" s="10">
        <f>GraphSalmonella!$E$80*Salmonella!I193+GraphSalmonella!$E$81</f>
        <v>0.50565064047698538</v>
      </c>
      <c r="Z193" s="10">
        <f>GraphSalmonella!$H$80*Salmonella!I193+GraphSalmonella!$H$81</f>
        <v>0.19385103950143989</v>
      </c>
    </row>
    <row r="194" spans="1:26" x14ac:dyDescent="0.2">
      <c r="A194" s="1" t="s">
        <v>66</v>
      </c>
      <c r="B194" s="1" t="s">
        <v>70</v>
      </c>
      <c r="C194" t="s">
        <v>550</v>
      </c>
      <c r="D194" t="s">
        <v>11</v>
      </c>
      <c r="E194" s="1" t="s">
        <v>1267</v>
      </c>
      <c r="F194" t="s">
        <v>549</v>
      </c>
      <c r="H194" s="4">
        <v>6.3</v>
      </c>
      <c r="I194" s="4">
        <v>58</v>
      </c>
      <c r="J194" s="11">
        <v>1.95</v>
      </c>
      <c r="L194" s="12">
        <f t="shared" si="6"/>
        <v>0.29003461136251801</v>
      </c>
      <c r="M194" s="11">
        <f>GraphSalmonella!$B$10-(Salmonella!I194-GraphSalmonella!$B$6)/GraphSalmonella!$B$5</f>
        <v>0.49128612731304266</v>
      </c>
      <c r="N194" s="1" t="s">
        <v>562</v>
      </c>
      <c r="O194">
        <v>2000</v>
      </c>
      <c r="S194" s="10">
        <f>GraphSalmonella!$B$57*Salmonella!I194+GraphSalmonella!$B$58</f>
        <v>0.47030377432935788</v>
      </c>
      <c r="T194" s="10">
        <f>GraphSalmonella!$E$57*Salmonella!I194+GraphSalmonella!$E$58</f>
        <v>3.2352130003011514</v>
      </c>
      <c r="U194" s="10">
        <f>GraphSalmonella!$H$57*Salmonella!I194+GraphSalmonella!$H$58</f>
        <v>0.4921011649588376</v>
      </c>
      <c r="X194" s="10">
        <f>GraphSalmonella!$B$80*Salmonella!I194+GraphSalmonella!$B$81</f>
        <v>0.49401851408088504</v>
      </c>
      <c r="Y194" s="10">
        <f>GraphSalmonella!$E$80*Salmonella!I194+GraphSalmonella!$E$81</f>
        <v>0.50565064047698538</v>
      </c>
      <c r="Z194" s="10">
        <f>GraphSalmonella!$H$80*Salmonella!I194+GraphSalmonella!$H$81</f>
        <v>0.19385103950143989</v>
      </c>
    </row>
    <row r="195" spans="1:26" x14ac:dyDescent="0.2">
      <c r="A195" s="1" t="s">
        <v>66</v>
      </c>
      <c r="B195" s="1" t="s">
        <v>70</v>
      </c>
      <c r="D195" t="s">
        <v>11</v>
      </c>
      <c r="E195" s="1" t="s">
        <v>1267</v>
      </c>
      <c r="F195" t="s">
        <v>120</v>
      </c>
      <c r="H195" s="4">
        <v>6</v>
      </c>
      <c r="I195" s="4">
        <v>52</v>
      </c>
      <c r="J195" s="11">
        <v>61.72</v>
      </c>
      <c r="L195" s="12">
        <f t="shared" si="6"/>
        <v>1.7904259173911106</v>
      </c>
      <c r="M195" s="11">
        <f>GraphSalmonella!$B$10-(Salmonella!I195-GraphSalmonella!$B$6)/GraphSalmonella!$B$5</f>
        <v>1.1514726787237608</v>
      </c>
      <c r="N195" s="2" t="s">
        <v>1226</v>
      </c>
      <c r="O195">
        <v>1996</v>
      </c>
      <c r="S195" s="10">
        <f>GraphSalmonella!$B$57*Salmonella!I195+GraphSalmonella!$B$58</f>
        <v>0.829045400697491</v>
      </c>
      <c r="T195" s="10">
        <f>GraphSalmonella!$E$57*Salmonella!I195+GraphSalmonella!$E$58</f>
        <v>3.529780131395551</v>
      </c>
      <c r="U195" s="10">
        <f>GraphSalmonella!$H$57*Salmonella!I195+GraphSalmonella!$H$58</f>
        <v>1.1521391027974621</v>
      </c>
      <c r="X195" s="10">
        <f>GraphSalmonella!$B$80*Salmonella!I195+GraphSalmonella!$B$81</f>
        <v>1.154524792310724</v>
      </c>
      <c r="Y195" s="10">
        <f>GraphSalmonella!$E$80*Salmonella!I195+GraphSalmonella!$E$81</f>
        <v>1.175426541716269</v>
      </c>
      <c r="Z195" s="10">
        <f>GraphSalmonella!$H$80*Salmonella!I195+GraphSalmonella!$H$81</f>
        <v>0.96894221892570975</v>
      </c>
    </row>
    <row r="196" spans="1:26" x14ac:dyDescent="0.2">
      <c r="A196" s="1" t="s">
        <v>66</v>
      </c>
      <c r="B196" s="1" t="s">
        <v>70</v>
      </c>
      <c r="D196" t="s">
        <v>11</v>
      </c>
      <c r="E196" s="1" t="s">
        <v>1267</v>
      </c>
      <c r="F196" t="s">
        <v>120</v>
      </c>
      <c r="H196" s="4">
        <v>9</v>
      </c>
      <c r="I196" s="4">
        <v>52</v>
      </c>
      <c r="J196" s="11">
        <v>26.55</v>
      </c>
      <c r="L196" s="12">
        <f t="shared" si="6"/>
        <v>1.424064525417488</v>
      </c>
      <c r="M196" s="11">
        <f>GraphSalmonella!$B$10-(Salmonella!I196-GraphSalmonella!$B$6)/GraphSalmonella!$B$5</f>
        <v>1.1514726787237608</v>
      </c>
      <c r="N196" s="2" t="s">
        <v>1226</v>
      </c>
      <c r="O196">
        <v>1996</v>
      </c>
      <c r="S196" s="10">
        <f>GraphSalmonella!$B$57*Salmonella!I196+GraphSalmonella!$B$58</f>
        <v>0.829045400697491</v>
      </c>
      <c r="T196" s="10">
        <f>GraphSalmonella!$E$57*Salmonella!I196+GraphSalmonella!$E$58</f>
        <v>3.529780131395551</v>
      </c>
      <c r="U196" s="10">
        <f>GraphSalmonella!$H$57*Salmonella!I196+GraphSalmonella!$H$58</f>
        <v>1.1521391027974621</v>
      </c>
      <c r="X196" s="10">
        <f>GraphSalmonella!$B$80*Salmonella!I196+GraphSalmonella!$B$81</f>
        <v>1.154524792310724</v>
      </c>
      <c r="Y196" s="10">
        <f>GraphSalmonella!$E$80*Salmonella!I196+GraphSalmonella!$E$81</f>
        <v>1.175426541716269</v>
      </c>
      <c r="Z196" s="10">
        <f>GraphSalmonella!$H$80*Salmonella!I196+GraphSalmonella!$H$81</f>
        <v>0.96894221892570975</v>
      </c>
    </row>
    <row r="197" spans="1:26" x14ac:dyDescent="0.2">
      <c r="A197" s="1" t="s">
        <v>66</v>
      </c>
      <c r="B197" s="1" t="s">
        <v>570</v>
      </c>
      <c r="D197" t="s">
        <v>11</v>
      </c>
      <c r="E197" s="1" t="s">
        <v>568</v>
      </c>
      <c r="F197" t="s">
        <v>569</v>
      </c>
      <c r="I197" s="4">
        <v>55</v>
      </c>
      <c r="J197" s="11">
        <v>28.57</v>
      </c>
      <c r="K197" s="4">
        <v>5.82</v>
      </c>
      <c r="L197" s="12">
        <f t="shared" si="6"/>
        <v>1.4559102403827431</v>
      </c>
      <c r="M197" s="11">
        <f>GraphSalmonella!$B$10-(Salmonella!I197-GraphSalmonella!$B$6)/GraphSalmonella!$B$5</f>
        <v>0.82137940301840184</v>
      </c>
      <c r="N197" s="1" t="s">
        <v>572</v>
      </c>
      <c r="O197">
        <v>2003</v>
      </c>
      <c r="S197" s="10">
        <f>GraphSalmonella!$B$57*Salmonella!I197+GraphSalmonella!$B$58</f>
        <v>0.64967458751342466</v>
      </c>
      <c r="T197" s="10">
        <f>GraphSalmonella!$E$57*Salmonella!I197+GraphSalmonella!$E$58</f>
        <v>3.3824965658483515</v>
      </c>
      <c r="U197" s="10">
        <f>GraphSalmonella!$H$57*Salmonella!I197+GraphSalmonella!$H$58</f>
        <v>0.82212013387815031</v>
      </c>
      <c r="X197" s="10">
        <f>GraphSalmonella!$B$80*Salmonella!I197+GraphSalmonella!$B$81</f>
        <v>0.82427165319580453</v>
      </c>
      <c r="Y197" s="10">
        <f>GraphSalmonella!$E$80*Salmonella!I197+GraphSalmonella!$E$81</f>
        <v>0.84053859109662721</v>
      </c>
      <c r="Z197" s="10">
        <f>GraphSalmonella!$H$80*Salmonella!I197+GraphSalmonella!$H$81</f>
        <v>0.58139662921357438</v>
      </c>
    </row>
    <row r="198" spans="1:26" x14ac:dyDescent="0.2">
      <c r="A198" s="1" t="s">
        <v>66</v>
      </c>
      <c r="B198" s="1" t="s">
        <v>570</v>
      </c>
      <c r="D198" t="s">
        <v>11</v>
      </c>
      <c r="E198" s="1" t="s">
        <v>568</v>
      </c>
      <c r="F198" t="s">
        <v>569</v>
      </c>
      <c r="I198" s="4">
        <v>57.5</v>
      </c>
      <c r="J198" s="11">
        <v>14.31</v>
      </c>
      <c r="K198" s="4">
        <v>5.82</v>
      </c>
      <c r="L198" s="12">
        <f t="shared" si="6"/>
        <v>1.1556396337597763</v>
      </c>
      <c r="M198" s="11">
        <f>GraphSalmonella!$B$10-(Salmonella!I198-GraphSalmonella!$B$6)/GraphSalmonella!$B$5</f>
        <v>0.54630167326393586</v>
      </c>
      <c r="N198" s="1" t="s">
        <v>572</v>
      </c>
      <c r="O198">
        <v>2003</v>
      </c>
      <c r="S198" s="10">
        <f>GraphSalmonella!$B$57*Salmonella!I198+GraphSalmonella!$B$58</f>
        <v>0.5001989098600359</v>
      </c>
      <c r="T198" s="10">
        <f>GraphSalmonella!$E$57*Salmonella!I198+GraphSalmonella!$E$58</f>
        <v>3.2597602612256846</v>
      </c>
      <c r="U198" s="10">
        <f>GraphSalmonella!$H$57*Salmonella!I198+GraphSalmonella!$H$58</f>
        <v>0.54710432644538987</v>
      </c>
      <c r="X198" s="10">
        <f>GraphSalmonella!$B$80*Salmonella!I198+GraphSalmonella!$B$81</f>
        <v>0.54906070393337192</v>
      </c>
      <c r="Y198" s="10">
        <f>GraphSalmonella!$E$80*Salmonella!I198+GraphSalmonella!$E$81</f>
        <v>0.56146529891359265</v>
      </c>
      <c r="Z198" s="10">
        <f>GraphSalmonella!$H$80*Salmonella!I198+GraphSalmonella!$H$81</f>
        <v>0.25844197112012868</v>
      </c>
    </row>
    <row r="199" spans="1:26" x14ac:dyDescent="0.2">
      <c r="A199" s="1" t="s">
        <v>66</v>
      </c>
      <c r="B199" s="1" t="s">
        <v>570</v>
      </c>
      <c r="D199" t="s">
        <v>11</v>
      </c>
      <c r="E199" s="1" t="s">
        <v>568</v>
      </c>
      <c r="F199" t="s">
        <v>569</v>
      </c>
      <c r="I199" s="4">
        <v>60</v>
      </c>
      <c r="J199" s="11">
        <v>6.79</v>
      </c>
      <c r="K199" s="4">
        <v>5.82</v>
      </c>
      <c r="L199" s="12">
        <f t="shared" si="6"/>
        <v>0.83186977428050168</v>
      </c>
      <c r="M199" s="11">
        <f>GraphSalmonella!$B$10-(Salmonella!I199-GraphSalmonella!$B$6)/GraphSalmonella!$B$5</f>
        <v>0.2712239435094701</v>
      </c>
      <c r="N199" s="1" t="s">
        <v>572</v>
      </c>
      <c r="O199">
        <v>2003</v>
      </c>
      <c r="S199" s="10">
        <f>GraphSalmonella!$B$57*Salmonella!I199+GraphSalmonella!$B$58</f>
        <v>0.35072323220664714</v>
      </c>
      <c r="T199" s="10">
        <f>GraphSalmonella!$E$57*Salmonella!I199+GraphSalmonella!$E$58</f>
        <v>3.1370239566030182</v>
      </c>
      <c r="U199" s="10">
        <f>GraphSalmonella!$H$57*Salmonella!I199+GraphSalmonella!$H$58</f>
        <v>0.27208851901262943</v>
      </c>
      <c r="X199" s="10">
        <f>GraphSalmonella!$B$80*Salmonella!I199+GraphSalmonella!$B$81</f>
        <v>0.2738497546709393</v>
      </c>
      <c r="Y199" s="10">
        <f>GraphSalmonella!$E$80*Salmonella!I199+GraphSalmonella!$E$81</f>
        <v>0.2823920067305572</v>
      </c>
      <c r="Z199" s="10">
        <f>GraphSalmonella!$H$80*Salmonella!I199+GraphSalmonella!$H$81</f>
        <v>-6.4512686973317024E-2</v>
      </c>
    </row>
    <row r="200" spans="1:26" x14ac:dyDescent="0.2">
      <c r="A200" s="1" t="s">
        <v>66</v>
      </c>
      <c r="B200" s="1" t="s">
        <v>570</v>
      </c>
      <c r="D200" t="s">
        <v>11</v>
      </c>
      <c r="E200" s="1" t="s">
        <v>568</v>
      </c>
      <c r="F200" t="s">
        <v>569</v>
      </c>
      <c r="I200" s="4">
        <v>62.5</v>
      </c>
      <c r="J200" s="11">
        <v>2.09</v>
      </c>
      <c r="K200" s="4">
        <v>5.82</v>
      </c>
      <c r="L200" s="12">
        <f t="shared" si="6"/>
        <v>0.32014628611105395</v>
      </c>
      <c r="M200" s="11">
        <f>GraphSalmonella!$B$10-(Salmonella!I200-GraphSalmonella!$B$6)/GraphSalmonella!$B$5</f>
        <v>-3.8537862449957716E-3</v>
      </c>
      <c r="N200" s="1" t="s">
        <v>572</v>
      </c>
      <c r="O200">
        <v>2003</v>
      </c>
      <c r="S200" s="10">
        <f>GraphSalmonella!$B$57*Salmonella!I200+GraphSalmonella!$B$58</f>
        <v>0.20124755455325838</v>
      </c>
      <c r="T200" s="10">
        <f>GraphSalmonella!$E$57*Salmonella!I200+GraphSalmonella!$E$58</f>
        <v>3.0142876519803519</v>
      </c>
      <c r="U200" s="10">
        <f>GraphSalmonella!$H$57*Salmonella!I200+GraphSalmonella!$H$58</f>
        <v>-2.9272884201310134E-3</v>
      </c>
      <c r="X200" s="10">
        <f>GraphSalmonella!$B$80*Salmonella!I200+GraphSalmonella!$B$81</f>
        <v>-1.3611945914933088E-3</v>
      </c>
      <c r="Y200" s="10">
        <f>GraphSalmonella!$E$80*Salmonella!I200+GraphSalmonella!$E$81</f>
        <v>3.3187145475226387E-3</v>
      </c>
      <c r="Z200" s="10">
        <f>GraphSalmonella!$H$80*Salmonella!I200+GraphSalmonella!$H$81</f>
        <v>-0.38746734506676273</v>
      </c>
    </row>
    <row r="201" spans="1:26" x14ac:dyDescent="0.2">
      <c r="A201" s="1" t="s">
        <v>66</v>
      </c>
      <c r="B201" s="1" t="s">
        <v>570</v>
      </c>
      <c r="D201" t="s">
        <v>11</v>
      </c>
      <c r="E201" s="1" t="s">
        <v>568</v>
      </c>
      <c r="F201" t="s">
        <v>569</v>
      </c>
      <c r="I201" s="4">
        <v>65</v>
      </c>
      <c r="J201" s="11">
        <v>0.57999999999999996</v>
      </c>
      <c r="K201" s="4">
        <v>5.82</v>
      </c>
      <c r="L201" s="12">
        <f t="shared" si="6"/>
        <v>-0.23657200643706275</v>
      </c>
      <c r="M201" s="11">
        <f>GraphSalmonella!$B$10-(Salmonella!I201-GraphSalmonella!$B$6)/GraphSalmonella!$B$5</f>
        <v>-0.27893151599946164</v>
      </c>
      <c r="N201" s="1" t="s">
        <v>572</v>
      </c>
      <c r="O201">
        <v>2003</v>
      </c>
      <c r="S201" s="10">
        <f>GraphSalmonella!$B$57*Salmonella!I201+GraphSalmonella!$B$58</f>
        <v>5.1771876899869618E-2</v>
      </c>
      <c r="T201" s="10">
        <f>GraphSalmonella!$E$57*Salmonella!I201+GraphSalmonella!$E$58</f>
        <v>2.891551347357685</v>
      </c>
      <c r="U201" s="10">
        <f>GraphSalmonella!$H$57*Salmonella!I201+GraphSalmonella!$H$58</f>
        <v>-0.27794309585289145</v>
      </c>
      <c r="X201" s="10">
        <f>GraphSalmonella!$B$80*Salmonella!I201+GraphSalmonella!$B$81</f>
        <v>-0.27657214385392592</v>
      </c>
      <c r="Y201" s="10">
        <f>GraphSalmonella!$E$80*Salmonella!I201+GraphSalmonella!$E$81</f>
        <v>-0.27575457763551192</v>
      </c>
      <c r="Z201" s="10">
        <f>GraphSalmonella!$H$80*Salmonella!I201+GraphSalmonella!$H$81</f>
        <v>-0.71042200316020843</v>
      </c>
    </row>
    <row r="202" spans="1:26" x14ac:dyDescent="0.2">
      <c r="A202" s="1" t="s">
        <v>66</v>
      </c>
      <c r="B202" s="1" t="s">
        <v>570</v>
      </c>
      <c r="D202" t="s">
        <v>11</v>
      </c>
      <c r="E202" s="1" t="s">
        <v>568</v>
      </c>
      <c r="F202" t="s">
        <v>569</v>
      </c>
      <c r="I202" s="4">
        <v>67.5</v>
      </c>
      <c r="J202" s="11">
        <v>0.2</v>
      </c>
      <c r="K202" s="4">
        <v>5.82</v>
      </c>
      <c r="L202" s="12">
        <f t="shared" si="6"/>
        <v>-0.69897000433601875</v>
      </c>
      <c r="M202" s="11">
        <f>GraphSalmonella!$B$10-(Salmonella!I202-GraphSalmonella!$B$6)/GraphSalmonella!$B$5</f>
        <v>-0.55400924575392752</v>
      </c>
      <c r="N202" s="1" t="s">
        <v>572</v>
      </c>
      <c r="O202">
        <v>2003</v>
      </c>
      <c r="S202" s="10">
        <f>GraphSalmonella!$B$57*Salmonella!I202+GraphSalmonella!$B$58</f>
        <v>-9.7703800753518699E-2</v>
      </c>
      <c r="T202" s="10">
        <f>GraphSalmonella!$E$57*Salmonella!I202+GraphSalmonella!$E$58</f>
        <v>2.7688150427350187</v>
      </c>
      <c r="U202" s="10">
        <f>GraphSalmonella!$H$57*Salmonella!I202+GraphSalmonella!$H$58</f>
        <v>-0.552958903285651</v>
      </c>
      <c r="X202" s="10">
        <f>GraphSalmonella!$B$80*Salmonella!I202+GraphSalmonella!$B$81</f>
        <v>-0.55178309311635854</v>
      </c>
      <c r="Y202" s="10">
        <f>GraphSalmonella!$E$80*Salmonella!I202+GraphSalmonella!$E$81</f>
        <v>-0.55482786981854737</v>
      </c>
      <c r="Z202" s="10">
        <f>GraphSalmonella!$H$80*Salmonella!I202+GraphSalmonella!$H$81</f>
        <v>-1.0333766612536559</v>
      </c>
    </row>
    <row r="203" spans="1:26" x14ac:dyDescent="0.2">
      <c r="A203" s="1" t="s">
        <v>66</v>
      </c>
      <c r="B203" s="1" t="s">
        <v>570</v>
      </c>
      <c r="D203" t="s">
        <v>11</v>
      </c>
      <c r="E203" s="1" t="s">
        <v>568</v>
      </c>
      <c r="F203" t="s">
        <v>569</v>
      </c>
      <c r="I203" s="4">
        <v>70</v>
      </c>
      <c r="J203" s="11">
        <v>0.11</v>
      </c>
      <c r="K203" s="4">
        <v>5.82</v>
      </c>
      <c r="L203" s="12">
        <f t="shared" si="6"/>
        <v>-0.95860731484177497</v>
      </c>
      <c r="M203" s="11">
        <f>GraphSalmonella!$B$10-(Salmonella!I203-GraphSalmonella!$B$6)/GraphSalmonella!$B$5</f>
        <v>-0.82908697550839339</v>
      </c>
      <c r="N203" s="1" t="s">
        <v>572</v>
      </c>
      <c r="O203">
        <v>2003</v>
      </c>
      <c r="S203" s="10">
        <f>GraphSalmonella!$B$57*Salmonella!I203+GraphSalmonella!$B$58</f>
        <v>-0.2471794784069079</v>
      </c>
      <c r="T203" s="10">
        <f>GraphSalmonella!$E$57*Salmonella!I203+GraphSalmonella!$E$58</f>
        <v>2.6460787381123523</v>
      </c>
      <c r="U203" s="10">
        <f>GraphSalmonella!$H$57*Salmonella!I203+GraphSalmonella!$H$58</f>
        <v>-0.82797471071841144</v>
      </c>
      <c r="X203" s="10">
        <f>GraphSalmonella!$B$80*Salmonella!I203+GraphSalmonella!$B$81</f>
        <v>-0.82699404237879115</v>
      </c>
      <c r="Y203" s="10">
        <f>GraphSalmonella!$E$80*Salmonella!I203+GraphSalmonella!$E$81</f>
        <v>-0.83390116200158193</v>
      </c>
      <c r="Z203" s="10">
        <f>GraphSalmonella!$H$80*Salmonella!I203+GraphSalmonella!$H$81</f>
        <v>-1.3563313193471016</v>
      </c>
    </row>
    <row r="204" spans="1:26" x14ac:dyDescent="0.2">
      <c r="A204" s="1" t="s">
        <v>66</v>
      </c>
      <c r="B204" s="1" t="s">
        <v>570</v>
      </c>
      <c r="D204" t="s">
        <v>11</v>
      </c>
      <c r="E204" s="1" t="s">
        <v>568</v>
      </c>
      <c r="F204" t="s">
        <v>571</v>
      </c>
      <c r="I204" s="4">
        <v>55</v>
      </c>
      <c r="J204" s="11">
        <v>25.32</v>
      </c>
      <c r="K204" s="4">
        <v>7.01</v>
      </c>
      <c r="L204" s="12">
        <f t="shared" si="6"/>
        <v>1.4034637013453175</v>
      </c>
      <c r="M204" s="11">
        <f>GraphSalmonella!$B$10-(Salmonella!I204-GraphSalmonella!$B$6)/GraphSalmonella!$B$5</f>
        <v>0.82137940301840184</v>
      </c>
      <c r="N204" s="1" t="s">
        <v>572</v>
      </c>
      <c r="O204">
        <v>2003</v>
      </c>
      <c r="S204" s="10">
        <f>GraphSalmonella!$B$57*Salmonella!I204+GraphSalmonella!$B$58</f>
        <v>0.64967458751342466</v>
      </c>
      <c r="T204" s="10">
        <f>GraphSalmonella!$E$57*Salmonella!I204+GraphSalmonella!$E$58</f>
        <v>3.3824965658483515</v>
      </c>
      <c r="U204" s="10">
        <f>GraphSalmonella!$H$57*Salmonella!I204+GraphSalmonella!$H$58</f>
        <v>0.82212013387815031</v>
      </c>
      <c r="X204" s="10">
        <f>GraphSalmonella!$B$80*Salmonella!I204+GraphSalmonella!$B$81</f>
        <v>0.82427165319580453</v>
      </c>
      <c r="Y204" s="10">
        <f>GraphSalmonella!$E$80*Salmonella!I204+GraphSalmonella!$E$81</f>
        <v>0.84053859109662721</v>
      </c>
      <c r="Z204" s="10">
        <f>GraphSalmonella!$H$80*Salmonella!I204+GraphSalmonella!$H$81</f>
        <v>0.58139662921357438</v>
      </c>
    </row>
    <row r="205" spans="1:26" x14ac:dyDescent="0.2">
      <c r="A205" s="1" t="s">
        <v>66</v>
      </c>
      <c r="B205" s="1" t="s">
        <v>570</v>
      </c>
      <c r="D205" t="s">
        <v>11</v>
      </c>
      <c r="E205" s="1" t="s">
        <v>568</v>
      </c>
      <c r="F205" t="s">
        <v>571</v>
      </c>
      <c r="I205" s="4">
        <v>57.5</v>
      </c>
      <c r="J205" s="11">
        <v>14.47</v>
      </c>
      <c r="K205" s="4">
        <v>7.01</v>
      </c>
      <c r="L205" s="12">
        <f t="shared" si="6"/>
        <v>1.1604685311190375</v>
      </c>
      <c r="M205" s="11">
        <f>GraphSalmonella!$B$10-(Salmonella!I205-GraphSalmonella!$B$6)/GraphSalmonella!$B$5</f>
        <v>0.54630167326393586</v>
      </c>
      <c r="N205" s="1" t="s">
        <v>572</v>
      </c>
      <c r="O205">
        <v>2003</v>
      </c>
      <c r="S205" s="10">
        <f>GraphSalmonella!$B$57*Salmonella!I205+GraphSalmonella!$B$58</f>
        <v>0.5001989098600359</v>
      </c>
      <c r="T205" s="10">
        <f>GraphSalmonella!$E$57*Salmonella!I205+GraphSalmonella!$E$58</f>
        <v>3.2597602612256846</v>
      </c>
      <c r="U205" s="10">
        <f>GraphSalmonella!$H$57*Salmonella!I205+GraphSalmonella!$H$58</f>
        <v>0.54710432644538987</v>
      </c>
      <c r="X205" s="10">
        <f>GraphSalmonella!$B$80*Salmonella!I205+GraphSalmonella!$B$81</f>
        <v>0.54906070393337192</v>
      </c>
      <c r="Y205" s="10">
        <f>GraphSalmonella!$E$80*Salmonella!I205+GraphSalmonella!$E$81</f>
        <v>0.56146529891359265</v>
      </c>
      <c r="Z205" s="10">
        <f>GraphSalmonella!$H$80*Salmonella!I205+GraphSalmonella!$H$81</f>
        <v>0.25844197112012868</v>
      </c>
    </row>
    <row r="206" spans="1:26" x14ac:dyDescent="0.2">
      <c r="A206" s="1" t="s">
        <v>66</v>
      </c>
      <c r="B206" s="1" t="s">
        <v>570</v>
      </c>
      <c r="D206" t="s">
        <v>11</v>
      </c>
      <c r="E206" s="1" t="s">
        <v>568</v>
      </c>
      <c r="F206" t="s">
        <v>571</v>
      </c>
      <c r="I206" s="4">
        <v>60</v>
      </c>
      <c r="J206" s="11">
        <v>4.3</v>
      </c>
      <c r="K206" s="4">
        <v>7.01</v>
      </c>
      <c r="L206" s="12">
        <f t="shared" si="6"/>
        <v>0.63346845557958653</v>
      </c>
      <c r="M206" s="11">
        <f>GraphSalmonella!$B$10-(Salmonella!I206-GraphSalmonella!$B$6)/GraphSalmonella!$B$5</f>
        <v>0.2712239435094701</v>
      </c>
      <c r="N206" s="1" t="s">
        <v>572</v>
      </c>
      <c r="O206">
        <v>2003</v>
      </c>
      <c r="S206" s="10">
        <f>GraphSalmonella!$B$57*Salmonella!I206+GraphSalmonella!$B$58</f>
        <v>0.35072323220664714</v>
      </c>
      <c r="T206" s="10">
        <f>GraphSalmonella!$E$57*Salmonella!I206+GraphSalmonella!$E$58</f>
        <v>3.1370239566030182</v>
      </c>
      <c r="U206" s="10">
        <f>GraphSalmonella!$H$57*Salmonella!I206+GraphSalmonella!$H$58</f>
        <v>0.27208851901262943</v>
      </c>
      <c r="X206" s="10">
        <f>GraphSalmonella!$B$80*Salmonella!I206+GraphSalmonella!$B$81</f>
        <v>0.2738497546709393</v>
      </c>
      <c r="Y206" s="10">
        <f>GraphSalmonella!$E$80*Salmonella!I206+GraphSalmonella!$E$81</f>
        <v>0.2823920067305572</v>
      </c>
      <c r="Z206" s="10">
        <f>GraphSalmonella!$H$80*Salmonella!I206+GraphSalmonella!$H$81</f>
        <v>-6.4512686973317024E-2</v>
      </c>
    </row>
    <row r="207" spans="1:26" x14ac:dyDescent="0.2">
      <c r="A207" s="1" t="s">
        <v>66</v>
      </c>
      <c r="B207" s="1" t="s">
        <v>570</v>
      </c>
      <c r="D207" t="s">
        <v>11</v>
      </c>
      <c r="E207" s="1" t="s">
        <v>568</v>
      </c>
      <c r="F207" t="s">
        <v>571</v>
      </c>
      <c r="I207" s="4">
        <v>62.5</v>
      </c>
      <c r="J207" s="11">
        <v>2.46</v>
      </c>
      <c r="K207" s="4">
        <v>7.01</v>
      </c>
      <c r="L207" s="12">
        <f t="shared" si="6"/>
        <v>0.39093510710337914</v>
      </c>
      <c r="M207" s="11">
        <f>GraphSalmonella!$B$10-(Salmonella!I207-GraphSalmonella!$B$6)/GraphSalmonella!$B$5</f>
        <v>-3.8537862449957716E-3</v>
      </c>
      <c r="N207" s="1" t="s">
        <v>572</v>
      </c>
      <c r="O207">
        <v>2003</v>
      </c>
      <c r="S207" s="10">
        <f>GraphSalmonella!$B$57*Salmonella!I207+GraphSalmonella!$B$58</f>
        <v>0.20124755455325838</v>
      </c>
      <c r="T207" s="10">
        <f>GraphSalmonella!$E$57*Salmonella!I207+GraphSalmonella!$E$58</f>
        <v>3.0142876519803519</v>
      </c>
      <c r="U207" s="10">
        <f>GraphSalmonella!$H$57*Salmonella!I207+GraphSalmonella!$H$58</f>
        <v>-2.9272884201310134E-3</v>
      </c>
      <c r="X207" s="10">
        <f>GraphSalmonella!$B$80*Salmonella!I207+GraphSalmonella!$B$81</f>
        <v>-1.3611945914933088E-3</v>
      </c>
      <c r="Y207" s="10">
        <f>GraphSalmonella!$E$80*Salmonella!I207+GraphSalmonella!$E$81</f>
        <v>3.3187145475226387E-3</v>
      </c>
      <c r="Z207" s="10">
        <f>GraphSalmonella!$H$80*Salmonella!I207+GraphSalmonella!$H$81</f>
        <v>-0.38746734506676273</v>
      </c>
    </row>
    <row r="208" spans="1:26" x14ac:dyDescent="0.2">
      <c r="A208" s="1" t="s">
        <v>66</v>
      </c>
      <c r="B208" s="1" t="s">
        <v>570</v>
      </c>
      <c r="D208" t="s">
        <v>11</v>
      </c>
      <c r="E208" s="1" t="s">
        <v>568</v>
      </c>
      <c r="F208" t="s">
        <v>571</v>
      </c>
      <c r="I208" s="4">
        <v>65</v>
      </c>
      <c r="J208" s="11">
        <v>1.21</v>
      </c>
      <c r="K208" s="4">
        <v>7.01</v>
      </c>
      <c r="L208" s="12">
        <f t="shared" si="6"/>
        <v>8.2785370316450071E-2</v>
      </c>
      <c r="M208" s="11">
        <f>GraphSalmonella!$B$10-(Salmonella!I208-GraphSalmonella!$B$6)/GraphSalmonella!$B$5</f>
        <v>-0.27893151599946164</v>
      </c>
      <c r="N208" s="1" t="s">
        <v>572</v>
      </c>
      <c r="O208">
        <v>2003</v>
      </c>
      <c r="S208" s="10">
        <f>GraphSalmonella!$B$57*Salmonella!I208+GraphSalmonella!$B$58</f>
        <v>5.1771876899869618E-2</v>
      </c>
      <c r="T208" s="10">
        <f>GraphSalmonella!$E$57*Salmonella!I208+GraphSalmonella!$E$58</f>
        <v>2.891551347357685</v>
      </c>
      <c r="U208" s="10">
        <f>GraphSalmonella!$H$57*Salmonella!I208+GraphSalmonella!$H$58</f>
        <v>-0.27794309585289145</v>
      </c>
      <c r="X208" s="10">
        <f>GraphSalmonella!$B$80*Salmonella!I208+GraphSalmonella!$B$81</f>
        <v>-0.27657214385392592</v>
      </c>
      <c r="Y208" s="10">
        <f>GraphSalmonella!$E$80*Salmonella!I208+GraphSalmonella!$E$81</f>
        <v>-0.27575457763551192</v>
      </c>
      <c r="Z208" s="10">
        <f>GraphSalmonella!$H$80*Salmonella!I208+GraphSalmonella!$H$81</f>
        <v>-0.71042200316020843</v>
      </c>
    </row>
    <row r="209" spans="1:26" x14ac:dyDescent="0.2">
      <c r="A209" s="1" t="s">
        <v>66</v>
      </c>
      <c r="B209" s="1" t="s">
        <v>570</v>
      </c>
      <c r="D209" t="s">
        <v>11</v>
      </c>
      <c r="E209" s="1" t="s">
        <v>568</v>
      </c>
      <c r="F209" t="s">
        <v>571</v>
      </c>
      <c r="I209" s="4">
        <v>67.5</v>
      </c>
      <c r="J209" s="11">
        <v>0.49</v>
      </c>
      <c r="K209" s="4">
        <v>7.01</v>
      </c>
      <c r="L209" s="12">
        <f t="shared" si="6"/>
        <v>-0.30980391997148632</v>
      </c>
      <c r="M209" s="11">
        <f>GraphSalmonella!$B$10-(Salmonella!I209-GraphSalmonella!$B$6)/GraphSalmonella!$B$5</f>
        <v>-0.55400924575392752</v>
      </c>
      <c r="N209" s="1" t="s">
        <v>572</v>
      </c>
      <c r="O209">
        <v>2003</v>
      </c>
      <c r="S209" s="10">
        <f>GraphSalmonella!$B$57*Salmonella!I209+GraphSalmonella!$B$58</f>
        <v>-9.7703800753518699E-2</v>
      </c>
      <c r="T209" s="10">
        <f>GraphSalmonella!$E$57*Salmonella!I209+GraphSalmonella!$E$58</f>
        <v>2.7688150427350187</v>
      </c>
      <c r="U209" s="10">
        <f>GraphSalmonella!$H$57*Salmonella!I209+GraphSalmonella!$H$58</f>
        <v>-0.552958903285651</v>
      </c>
      <c r="X209" s="10">
        <f>GraphSalmonella!$B$80*Salmonella!I209+GraphSalmonella!$B$81</f>
        <v>-0.55178309311635854</v>
      </c>
      <c r="Y209" s="10">
        <f>GraphSalmonella!$E$80*Salmonella!I209+GraphSalmonella!$E$81</f>
        <v>-0.55482786981854737</v>
      </c>
      <c r="Z209" s="10">
        <f>GraphSalmonella!$H$80*Salmonella!I209+GraphSalmonella!$H$81</f>
        <v>-1.0333766612536559</v>
      </c>
    </row>
    <row r="210" spans="1:26" x14ac:dyDescent="0.2">
      <c r="A210" s="1" t="s">
        <v>66</v>
      </c>
      <c r="B210" s="1" t="s">
        <v>570</v>
      </c>
      <c r="D210" t="s">
        <v>11</v>
      </c>
      <c r="E210" s="1" t="s">
        <v>568</v>
      </c>
      <c r="F210" t="s">
        <v>571</v>
      </c>
      <c r="I210" s="4">
        <v>70</v>
      </c>
      <c r="J210" s="11">
        <v>0.17</v>
      </c>
      <c r="K210" s="4">
        <v>7.01</v>
      </c>
      <c r="L210" s="12">
        <f t="shared" si="6"/>
        <v>-0.769551078621726</v>
      </c>
      <c r="M210" s="11">
        <f>GraphSalmonella!$B$10-(Salmonella!I210-GraphSalmonella!$B$6)/GraphSalmonella!$B$5</f>
        <v>-0.82908697550839339</v>
      </c>
      <c r="N210" s="1" t="s">
        <v>572</v>
      </c>
      <c r="O210">
        <v>2003</v>
      </c>
      <c r="S210" s="10">
        <f>GraphSalmonella!$B$57*Salmonella!I210+GraphSalmonella!$B$58</f>
        <v>-0.2471794784069079</v>
      </c>
      <c r="T210" s="10">
        <f>GraphSalmonella!$E$57*Salmonella!I210+GraphSalmonella!$E$58</f>
        <v>2.6460787381123523</v>
      </c>
      <c r="U210" s="10">
        <f>GraphSalmonella!$H$57*Salmonella!I210+GraphSalmonella!$H$58</f>
        <v>-0.82797471071841144</v>
      </c>
      <c r="X210" s="10">
        <f>GraphSalmonella!$B$80*Salmonella!I210+GraphSalmonella!$B$81</f>
        <v>-0.82699404237879115</v>
      </c>
      <c r="Y210" s="10">
        <f>GraphSalmonella!$E$80*Salmonella!I210+GraphSalmonella!$E$81</f>
        <v>-0.83390116200158193</v>
      </c>
      <c r="Z210" s="10">
        <f>GraphSalmonella!$H$80*Salmonella!I210+GraphSalmonella!$H$81</f>
        <v>-1.3563313193471016</v>
      </c>
    </row>
    <row r="211" spans="1:26" x14ac:dyDescent="0.2">
      <c r="A211" s="1" t="s">
        <v>66</v>
      </c>
      <c r="B211" s="1" t="s">
        <v>70</v>
      </c>
      <c r="D211" t="s">
        <v>11</v>
      </c>
      <c r="E211" s="1" t="s">
        <v>305</v>
      </c>
      <c r="F211" s="1" t="s">
        <v>1218</v>
      </c>
      <c r="G211" s="9"/>
      <c r="H211" s="4">
        <v>8</v>
      </c>
      <c r="I211" s="4">
        <v>56.7</v>
      </c>
      <c r="J211" s="11">
        <v>0.63</v>
      </c>
      <c r="L211" s="12">
        <f t="shared" si="6"/>
        <v>-0.20065945054641829</v>
      </c>
      <c r="M211" s="11">
        <f>GraphSalmonella!$B$10-(Salmonella!I211-GraphSalmonella!$B$6)/GraphSalmonella!$B$5</f>
        <v>0.63432654678536471</v>
      </c>
      <c r="N211" s="1" t="s">
        <v>1093</v>
      </c>
      <c r="O211">
        <v>1997</v>
      </c>
      <c r="S211" s="10">
        <f>GraphSalmonella!$B$57*Salmonella!I211+GraphSalmonella!$B$58</f>
        <v>0.54803112670912002</v>
      </c>
      <c r="T211" s="10">
        <f>GraphSalmonella!$E$57*Salmonella!I211+GraphSalmonella!$E$58</f>
        <v>3.2990358787049381</v>
      </c>
      <c r="U211" s="10">
        <f>GraphSalmonella!$H$57*Salmonella!I211+GraphSalmonella!$H$58</f>
        <v>0.63510938482387314</v>
      </c>
      <c r="X211" s="10">
        <f>GraphSalmonella!$B$80*Salmonella!I211+GraphSalmonella!$B$81</f>
        <v>0.63712820769734968</v>
      </c>
      <c r="Y211" s="10">
        <f>GraphSalmonella!$E$80*Salmonella!I211+GraphSalmonella!$E$81</f>
        <v>0.65076875241216303</v>
      </c>
      <c r="Z211" s="10">
        <f>GraphSalmonella!$H$80*Salmonella!I211+GraphSalmonella!$H$81</f>
        <v>0.36178746171003073</v>
      </c>
    </row>
    <row r="212" spans="1:26" x14ac:dyDescent="0.2">
      <c r="A212" s="1" t="s">
        <v>66</v>
      </c>
      <c r="B212" s="1" t="s">
        <v>70</v>
      </c>
      <c r="D212" t="s">
        <v>11</v>
      </c>
      <c r="E212" s="1" t="s">
        <v>305</v>
      </c>
      <c r="F212" s="1" t="s">
        <v>1218</v>
      </c>
      <c r="G212" s="9"/>
      <c r="H212" s="4">
        <v>8</v>
      </c>
      <c r="I212" s="4">
        <v>56.7</v>
      </c>
      <c r="J212" s="11">
        <v>0.66</v>
      </c>
      <c r="L212" s="12">
        <f t="shared" si="6"/>
        <v>-0.18045606445813131</v>
      </c>
      <c r="M212" s="11">
        <f>GraphSalmonella!$B$10-(Salmonella!I212-GraphSalmonella!$B$6)/GraphSalmonella!$B$5</f>
        <v>0.63432654678536471</v>
      </c>
      <c r="N212" s="1" t="s">
        <v>1093</v>
      </c>
      <c r="O212">
        <v>1997</v>
      </c>
      <c r="S212" s="10">
        <f>GraphSalmonella!$B$57*Salmonella!I212+GraphSalmonella!$B$58</f>
        <v>0.54803112670912002</v>
      </c>
      <c r="T212" s="10">
        <f>GraphSalmonella!$E$57*Salmonella!I212+GraphSalmonella!$E$58</f>
        <v>3.2990358787049381</v>
      </c>
      <c r="U212" s="10">
        <f>GraphSalmonella!$H$57*Salmonella!I212+GraphSalmonella!$H$58</f>
        <v>0.63510938482387314</v>
      </c>
      <c r="X212" s="10">
        <f>GraphSalmonella!$B$80*Salmonella!I212+GraphSalmonella!$B$81</f>
        <v>0.63712820769734968</v>
      </c>
      <c r="Y212" s="10">
        <f>GraphSalmonella!$E$80*Salmonella!I212+GraphSalmonella!$E$81</f>
        <v>0.65076875241216303</v>
      </c>
      <c r="Z212" s="10">
        <f>GraphSalmonella!$H$80*Salmonella!I212+GraphSalmonella!$H$81</f>
        <v>0.36178746171003073</v>
      </c>
    </row>
    <row r="213" spans="1:26" x14ac:dyDescent="0.2">
      <c r="A213" s="1" t="s">
        <v>66</v>
      </c>
      <c r="B213" s="1" t="s">
        <v>70</v>
      </c>
      <c r="D213" t="s">
        <v>11</v>
      </c>
      <c r="E213" s="1" t="s">
        <v>305</v>
      </c>
      <c r="F213" s="1" t="s">
        <v>1218</v>
      </c>
      <c r="G213" s="9"/>
      <c r="H213" s="4">
        <v>9.1999999999999993</v>
      </c>
      <c r="I213" s="4">
        <v>58.5</v>
      </c>
      <c r="J213" s="11">
        <v>0.23</v>
      </c>
      <c r="L213" s="12">
        <f t="shared" si="6"/>
        <v>-0.63827216398240705</v>
      </c>
      <c r="M213" s="11">
        <f>GraphSalmonella!$B$10-(Salmonella!I213-GraphSalmonella!$B$6)/GraphSalmonella!$B$5</f>
        <v>0.43627058136214947</v>
      </c>
      <c r="N213" s="1" t="s">
        <v>1093</v>
      </c>
      <c r="O213">
        <v>1997</v>
      </c>
      <c r="S213" s="10">
        <f>GraphSalmonella!$B$57*Salmonella!I213+GraphSalmonella!$B$58</f>
        <v>0.44040863879868031</v>
      </c>
      <c r="T213" s="10">
        <f>GraphSalmonella!$E$57*Salmonella!I213+GraphSalmonella!$E$58</f>
        <v>3.2106657393766183</v>
      </c>
      <c r="U213" s="10">
        <f>GraphSalmonella!$H$57*Salmonella!I213+GraphSalmonella!$H$58</f>
        <v>0.43709800347228533</v>
      </c>
      <c r="X213" s="10">
        <f>GraphSalmonella!$B$80*Salmonella!I213+GraphSalmonella!$B$81</f>
        <v>0.43897632422839905</v>
      </c>
      <c r="Y213" s="10">
        <f>GraphSalmonella!$E$80*Salmonella!I213+GraphSalmonella!$E$81</f>
        <v>0.44983598204037811</v>
      </c>
      <c r="Z213" s="10">
        <f>GraphSalmonella!$H$80*Salmonella!I213+GraphSalmonella!$H$81</f>
        <v>0.12926010788275022</v>
      </c>
    </row>
    <row r="214" spans="1:26" x14ac:dyDescent="0.2">
      <c r="A214" s="1" t="s">
        <v>66</v>
      </c>
      <c r="B214" s="1" t="s">
        <v>67</v>
      </c>
      <c r="C214" t="s">
        <v>312</v>
      </c>
      <c r="D214" t="s">
        <v>11</v>
      </c>
      <c r="E214" s="1" t="s">
        <v>305</v>
      </c>
      <c r="F214" s="1" t="s">
        <v>542</v>
      </c>
      <c r="G214" s="9"/>
      <c r="I214" s="4">
        <v>63</v>
      </c>
      <c r="J214" s="11">
        <v>0.26</v>
      </c>
      <c r="L214" s="12">
        <f t="shared" si="6"/>
        <v>-0.58502665202918203</v>
      </c>
      <c r="M214" s="11">
        <f>GraphSalmonella!$B$10-(Salmonella!I214-GraphSalmonella!$B$6)/GraphSalmonella!$B$5</f>
        <v>-5.8869332195888968E-2</v>
      </c>
      <c r="N214" s="1" t="s">
        <v>543</v>
      </c>
      <c r="O214">
        <v>2001</v>
      </c>
      <c r="S214" s="10">
        <f>GraphSalmonella!$B$57*Salmonella!I214+GraphSalmonella!$B$58</f>
        <v>0.1713524190225808</v>
      </c>
      <c r="T214" s="10">
        <f>GraphSalmonella!$E$57*Salmonella!I214+GraphSalmonella!$E$58</f>
        <v>2.9897403910558187</v>
      </c>
      <c r="U214" s="10">
        <f>GraphSalmonella!$H$57*Salmonella!I214+GraphSalmonella!$H$58</f>
        <v>-5.7930449906682391E-2</v>
      </c>
      <c r="X214" s="10">
        <f>GraphSalmonella!$B$80*Salmonella!I214+GraphSalmonella!$B$81</f>
        <v>-5.6403384443980187E-2</v>
      </c>
      <c r="Y214" s="10">
        <f>GraphSalmonella!$E$80*Salmonella!I214+GraphSalmonella!$E$81</f>
        <v>-5.2495943889084629E-2</v>
      </c>
      <c r="Z214" s="10">
        <f>GraphSalmonella!$H$80*Salmonella!I214+GraphSalmonella!$H$81</f>
        <v>-0.45205827668545329</v>
      </c>
    </row>
    <row r="215" spans="1:26" x14ac:dyDescent="0.2">
      <c r="A215" s="1" t="s">
        <v>66</v>
      </c>
      <c r="B215" s="1" t="s">
        <v>335</v>
      </c>
      <c r="D215" t="s">
        <v>11</v>
      </c>
      <c r="E215" s="1" t="s">
        <v>305</v>
      </c>
      <c r="F215" s="1" t="s">
        <v>330</v>
      </c>
      <c r="G215" s="9"/>
      <c r="H215" s="4">
        <v>9</v>
      </c>
      <c r="I215" s="4">
        <v>52.2</v>
      </c>
      <c r="J215" s="11">
        <v>4.38</v>
      </c>
      <c r="L215" s="12">
        <f t="shared" si="6"/>
        <v>0.64147411050409953</v>
      </c>
      <c r="M215" s="11">
        <f>GraphSalmonella!$B$10-(Salmonella!I215-GraphSalmonella!$B$6)/GraphSalmonella!$B$5</f>
        <v>1.1294664603434033</v>
      </c>
      <c r="N215" s="1" t="s">
        <v>319</v>
      </c>
      <c r="O215">
        <v>2000</v>
      </c>
      <c r="S215" s="10">
        <f>GraphSalmonella!$B$57*Salmonella!I215+GraphSalmonella!$B$58</f>
        <v>0.81708734648521952</v>
      </c>
      <c r="T215" s="10">
        <f>GraphSalmonella!$E$57*Salmonella!I215+GraphSalmonella!$E$58</f>
        <v>3.5199612270257377</v>
      </c>
      <c r="U215" s="10">
        <f>GraphSalmonella!$H$57*Salmonella!I215+GraphSalmonella!$H$58</f>
        <v>1.1301378382028409</v>
      </c>
      <c r="X215" s="10">
        <f>GraphSalmonella!$B$80*Salmonella!I215+GraphSalmonella!$B$81</f>
        <v>1.1325079163697289</v>
      </c>
      <c r="Y215" s="10">
        <f>GraphSalmonella!$E$80*Salmonella!I215+GraphSalmonella!$E$81</f>
        <v>1.1531006783416258</v>
      </c>
      <c r="Z215" s="10">
        <f>GraphSalmonella!$H$80*Salmonella!I215+GraphSalmonella!$H$81</f>
        <v>0.94310584627823424</v>
      </c>
    </row>
    <row r="216" spans="1:26" x14ac:dyDescent="0.2">
      <c r="A216" s="1" t="s">
        <v>66</v>
      </c>
      <c r="B216" s="1" t="s">
        <v>335</v>
      </c>
      <c r="D216" t="s">
        <v>11</v>
      </c>
      <c r="E216" s="1" t="s">
        <v>305</v>
      </c>
      <c r="F216" s="1" t="s">
        <v>330</v>
      </c>
      <c r="G216" s="9"/>
      <c r="H216" s="4">
        <v>9.5</v>
      </c>
      <c r="I216" s="4">
        <v>52.2</v>
      </c>
      <c r="J216" s="11">
        <v>3.16</v>
      </c>
      <c r="L216" s="12">
        <f t="shared" ref="L216:L279" si="7">LOG(J216)</f>
        <v>0.49968708261840383</v>
      </c>
      <c r="M216" s="11">
        <f>GraphSalmonella!$B$10-(Salmonella!I216-GraphSalmonella!$B$6)/GraphSalmonella!$B$5</f>
        <v>1.1294664603434033</v>
      </c>
      <c r="N216" s="1" t="s">
        <v>319</v>
      </c>
      <c r="O216">
        <v>2000</v>
      </c>
      <c r="S216" s="10">
        <f>GraphSalmonella!$B$57*Salmonella!I216+GraphSalmonella!$B$58</f>
        <v>0.81708734648521952</v>
      </c>
      <c r="T216" s="10">
        <f>GraphSalmonella!$E$57*Salmonella!I216+GraphSalmonella!$E$58</f>
        <v>3.5199612270257377</v>
      </c>
      <c r="U216" s="10">
        <f>GraphSalmonella!$H$57*Salmonella!I216+GraphSalmonella!$H$58</f>
        <v>1.1301378382028409</v>
      </c>
      <c r="X216" s="10">
        <f>GraphSalmonella!$B$80*Salmonella!I216+GraphSalmonella!$B$81</f>
        <v>1.1325079163697289</v>
      </c>
      <c r="Y216" s="10">
        <f>GraphSalmonella!$E$80*Salmonella!I216+GraphSalmonella!$E$81</f>
        <v>1.1531006783416258</v>
      </c>
      <c r="Z216" s="10">
        <f>GraphSalmonella!$H$80*Salmonella!I216+GraphSalmonella!$H$81</f>
        <v>0.94310584627823424</v>
      </c>
    </row>
    <row r="217" spans="1:26" x14ac:dyDescent="0.2">
      <c r="A217" s="1" t="s">
        <v>66</v>
      </c>
      <c r="B217" s="1" t="s">
        <v>335</v>
      </c>
      <c r="D217" t="s">
        <v>11</v>
      </c>
      <c r="E217" s="1" t="s">
        <v>305</v>
      </c>
      <c r="F217" s="1" t="s">
        <v>330</v>
      </c>
      <c r="G217" s="9"/>
      <c r="H217" s="4">
        <v>9</v>
      </c>
      <c r="I217" s="4">
        <v>55</v>
      </c>
      <c r="J217" s="11">
        <v>1.32</v>
      </c>
      <c r="L217" s="12">
        <f t="shared" si="7"/>
        <v>0.12057393120584989</v>
      </c>
      <c r="M217" s="11">
        <f>GraphSalmonella!$B$10-(Salmonella!I217-GraphSalmonella!$B$6)/GraphSalmonella!$B$5</f>
        <v>0.82137940301840184</v>
      </c>
      <c r="N217" s="1" t="s">
        <v>319</v>
      </c>
      <c r="O217">
        <v>2000</v>
      </c>
      <c r="S217" s="10">
        <f>GraphSalmonella!$B$57*Salmonella!I217+GraphSalmonella!$B$58</f>
        <v>0.64967458751342466</v>
      </c>
      <c r="T217" s="10">
        <f>GraphSalmonella!$E$57*Salmonella!I217+GraphSalmonella!$E$58</f>
        <v>3.3824965658483515</v>
      </c>
      <c r="U217" s="10">
        <f>GraphSalmonella!$H$57*Salmonella!I217+GraphSalmonella!$H$58</f>
        <v>0.82212013387815031</v>
      </c>
      <c r="X217" s="10">
        <f>GraphSalmonella!$B$80*Salmonella!I217+GraphSalmonella!$B$81</f>
        <v>0.82427165319580453</v>
      </c>
      <c r="Y217" s="10">
        <f>GraphSalmonella!$E$80*Salmonella!I217+GraphSalmonella!$E$81</f>
        <v>0.84053859109662721</v>
      </c>
      <c r="Z217" s="10">
        <f>GraphSalmonella!$H$80*Salmonella!I217+GraphSalmonella!$H$81</f>
        <v>0.58139662921357438</v>
      </c>
    </row>
    <row r="218" spans="1:26" x14ac:dyDescent="0.2">
      <c r="A218" s="1" t="s">
        <v>66</v>
      </c>
      <c r="B218" s="1" t="s">
        <v>335</v>
      </c>
      <c r="D218" t="s">
        <v>11</v>
      </c>
      <c r="E218" s="1" t="s">
        <v>305</v>
      </c>
      <c r="F218" s="1" t="s">
        <v>330</v>
      </c>
      <c r="G218" s="9"/>
      <c r="H218" s="4">
        <v>9.5</v>
      </c>
      <c r="I218" s="4">
        <v>55</v>
      </c>
      <c r="J218" s="11">
        <v>0.95</v>
      </c>
      <c r="L218" s="12">
        <f t="shared" si="7"/>
        <v>-2.2276394711152253E-2</v>
      </c>
      <c r="M218" s="11">
        <f>GraphSalmonella!$B$10-(Salmonella!I218-GraphSalmonella!$B$6)/GraphSalmonella!$B$5</f>
        <v>0.82137940301840184</v>
      </c>
      <c r="N218" s="1" t="s">
        <v>319</v>
      </c>
      <c r="O218">
        <v>2000</v>
      </c>
      <c r="S218" s="10">
        <f>GraphSalmonella!$B$57*Salmonella!I218+GraphSalmonella!$B$58</f>
        <v>0.64967458751342466</v>
      </c>
      <c r="T218" s="10">
        <f>GraphSalmonella!$E$57*Salmonella!I218+GraphSalmonella!$E$58</f>
        <v>3.3824965658483515</v>
      </c>
      <c r="U218" s="10">
        <f>GraphSalmonella!$H$57*Salmonella!I218+GraphSalmonella!$H$58</f>
        <v>0.82212013387815031</v>
      </c>
      <c r="X218" s="10">
        <f>GraphSalmonella!$B$80*Salmonella!I218+GraphSalmonella!$B$81</f>
        <v>0.82427165319580453</v>
      </c>
      <c r="Y218" s="10">
        <f>GraphSalmonella!$E$80*Salmonella!I218+GraphSalmonella!$E$81</f>
        <v>0.84053859109662721</v>
      </c>
      <c r="Z218" s="10">
        <f>GraphSalmonella!$H$80*Salmonella!I218+GraphSalmonella!$H$81</f>
        <v>0.58139662921357438</v>
      </c>
    </row>
    <row r="219" spans="1:26" x14ac:dyDescent="0.2">
      <c r="A219" s="1" t="s">
        <v>66</v>
      </c>
      <c r="B219" s="1" t="s">
        <v>109</v>
      </c>
      <c r="D219" t="s">
        <v>11</v>
      </c>
      <c r="E219" s="1" t="s">
        <v>305</v>
      </c>
      <c r="F219" s="1" t="s">
        <v>330</v>
      </c>
      <c r="G219" s="9"/>
      <c r="H219" s="4">
        <v>9.15</v>
      </c>
      <c r="I219" s="4">
        <v>55</v>
      </c>
      <c r="J219" s="11">
        <v>0.72</v>
      </c>
      <c r="L219" s="12">
        <f t="shared" si="7"/>
        <v>-0.14266750356873156</v>
      </c>
      <c r="M219" s="11">
        <f>GraphSalmonella!$B$10-(Salmonella!I219-GraphSalmonella!$B$6)/GraphSalmonella!$B$5</f>
        <v>0.82137940301840184</v>
      </c>
      <c r="N219" s="1" t="s">
        <v>319</v>
      </c>
      <c r="O219">
        <v>2000</v>
      </c>
      <c r="S219" s="10">
        <f>GraphSalmonella!$B$57*Salmonella!I219+GraphSalmonella!$B$58</f>
        <v>0.64967458751342466</v>
      </c>
      <c r="T219" s="10">
        <f>GraphSalmonella!$E$57*Salmonella!I219+GraphSalmonella!$E$58</f>
        <v>3.3824965658483515</v>
      </c>
      <c r="U219" s="10">
        <f>GraphSalmonella!$H$57*Salmonella!I219+GraphSalmonella!$H$58</f>
        <v>0.82212013387815031</v>
      </c>
      <c r="X219" s="10">
        <f>GraphSalmonella!$B$80*Salmonella!I219+GraphSalmonella!$B$81</f>
        <v>0.82427165319580453</v>
      </c>
      <c r="Y219" s="10">
        <f>GraphSalmonella!$E$80*Salmonella!I219+GraphSalmonella!$E$81</f>
        <v>0.84053859109662721</v>
      </c>
      <c r="Z219" s="10">
        <f>GraphSalmonella!$H$80*Salmonella!I219+GraphSalmonella!$H$81</f>
        <v>0.58139662921357438</v>
      </c>
    </row>
    <row r="220" spans="1:26" x14ac:dyDescent="0.2">
      <c r="A220" s="1" t="s">
        <v>66</v>
      </c>
      <c r="B220" s="1" t="s">
        <v>109</v>
      </c>
      <c r="D220" t="s">
        <v>11</v>
      </c>
      <c r="E220" s="1" t="s">
        <v>305</v>
      </c>
      <c r="F220" s="1" t="s">
        <v>330</v>
      </c>
      <c r="G220" s="9"/>
      <c r="I220" s="4">
        <v>55</v>
      </c>
      <c r="J220" s="11">
        <v>1.5</v>
      </c>
      <c r="L220" s="12">
        <f t="shared" si="7"/>
        <v>0.17609125905568124</v>
      </c>
      <c r="M220" s="11">
        <f>GraphSalmonella!$B$10-(Salmonella!I220-GraphSalmonella!$B$6)/GraphSalmonella!$B$5</f>
        <v>0.82137940301840184</v>
      </c>
      <c r="N220" s="1" t="s">
        <v>319</v>
      </c>
      <c r="O220">
        <v>2000</v>
      </c>
      <c r="S220" s="10">
        <f>GraphSalmonella!$B$57*Salmonella!I220+GraphSalmonella!$B$58</f>
        <v>0.64967458751342466</v>
      </c>
      <c r="T220" s="10">
        <f>GraphSalmonella!$E$57*Salmonella!I220+GraphSalmonella!$E$58</f>
        <v>3.3824965658483515</v>
      </c>
      <c r="U220" s="10">
        <f>GraphSalmonella!$H$57*Salmonella!I220+GraphSalmonella!$H$58</f>
        <v>0.82212013387815031</v>
      </c>
      <c r="X220" s="10">
        <f>GraphSalmonella!$B$80*Salmonella!I220+GraphSalmonella!$B$81</f>
        <v>0.82427165319580453</v>
      </c>
      <c r="Y220" s="10">
        <f>GraphSalmonella!$E$80*Salmonella!I220+GraphSalmonella!$E$81</f>
        <v>0.84053859109662721</v>
      </c>
      <c r="Z220" s="10">
        <f>GraphSalmonella!$H$80*Salmonella!I220+GraphSalmonella!$H$81</f>
        <v>0.58139662921357438</v>
      </c>
    </row>
    <row r="221" spans="1:26" x14ac:dyDescent="0.2">
      <c r="A221" s="1" t="s">
        <v>66</v>
      </c>
      <c r="B221" s="1" t="s">
        <v>109</v>
      </c>
      <c r="D221" t="s">
        <v>11</v>
      </c>
      <c r="E221" s="1" t="s">
        <v>305</v>
      </c>
      <c r="F221" s="1" t="s">
        <v>330</v>
      </c>
      <c r="G221" s="9"/>
      <c r="I221" s="4">
        <v>60</v>
      </c>
      <c r="J221" s="11">
        <v>0.2</v>
      </c>
      <c r="L221" s="12">
        <f t="shared" si="7"/>
        <v>-0.69897000433601875</v>
      </c>
      <c r="M221" s="11">
        <f>GraphSalmonella!$B$10-(Salmonella!I221-GraphSalmonella!$B$6)/GraphSalmonella!$B$5</f>
        <v>0.2712239435094701</v>
      </c>
      <c r="N221" s="1" t="s">
        <v>319</v>
      </c>
      <c r="O221">
        <v>2000</v>
      </c>
      <c r="S221" s="10">
        <f>GraphSalmonella!$B$57*Salmonella!I221+GraphSalmonella!$B$58</f>
        <v>0.35072323220664714</v>
      </c>
      <c r="T221" s="10">
        <f>GraphSalmonella!$E$57*Salmonella!I221+GraphSalmonella!$E$58</f>
        <v>3.1370239566030182</v>
      </c>
      <c r="U221" s="10">
        <f>GraphSalmonella!$H$57*Salmonella!I221+GraphSalmonella!$H$58</f>
        <v>0.27208851901262943</v>
      </c>
      <c r="X221" s="10">
        <f>GraphSalmonella!$B$80*Salmonella!I221+GraphSalmonella!$B$81</f>
        <v>0.2738497546709393</v>
      </c>
      <c r="Y221" s="10">
        <f>GraphSalmonella!$E$80*Salmonella!I221+GraphSalmonella!$E$81</f>
        <v>0.2823920067305572</v>
      </c>
      <c r="Z221" s="10">
        <f>GraphSalmonella!$H$80*Salmonella!I221+GraphSalmonella!$H$81</f>
        <v>-6.4512686973317024E-2</v>
      </c>
    </row>
    <row r="222" spans="1:26" x14ac:dyDescent="0.2">
      <c r="A222" s="1" t="s">
        <v>66</v>
      </c>
      <c r="B222" s="1" t="s">
        <v>336</v>
      </c>
      <c r="D222" t="s">
        <v>11</v>
      </c>
      <c r="E222" s="1" t="s">
        <v>305</v>
      </c>
      <c r="F222" s="1" t="s">
        <v>330</v>
      </c>
      <c r="G222" s="9"/>
      <c r="H222" s="4">
        <v>8.1999999999999993</v>
      </c>
      <c r="I222" s="4">
        <v>55</v>
      </c>
      <c r="J222" s="11">
        <v>7.99</v>
      </c>
      <c r="K222" s="4">
        <v>3.54</v>
      </c>
      <c r="L222" s="12">
        <f t="shared" si="7"/>
        <v>0.90254677931399141</v>
      </c>
      <c r="M222" s="11">
        <f>GraphSalmonella!$B$10-(Salmonella!I222-GraphSalmonella!$B$6)/GraphSalmonella!$B$5</f>
        <v>0.82137940301840184</v>
      </c>
      <c r="N222" s="1" t="s">
        <v>319</v>
      </c>
      <c r="O222">
        <v>2000</v>
      </c>
      <c r="S222" s="10">
        <f>GraphSalmonella!$B$57*Salmonella!I222+GraphSalmonella!$B$58</f>
        <v>0.64967458751342466</v>
      </c>
      <c r="T222" s="10">
        <f>GraphSalmonella!$E$57*Salmonella!I222+GraphSalmonella!$E$58</f>
        <v>3.3824965658483515</v>
      </c>
      <c r="U222" s="10">
        <f>GraphSalmonella!$H$57*Salmonella!I222+GraphSalmonella!$H$58</f>
        <v>0.82212013387815031</v>
      </c>
      <c r="X222" s="10">
        <f>GraphSalmonella!$B$80*Salmonella!I222+GraphSalmonella!$B$81</f>
        <v>0.82427165319580453</v>
      </c>
      <c r="Y222" s="10">
        <f>GraphSalmonella!$E$80*Salmonella!I222+GraphSalmonella!$E$81</f>
        <v>0.84053859109662721</v>
      </c>
      <c r="Z222" s="10">
        <f>GraphSalmonella!$H$80*Salmonella!I222+GraphSalmonella!$H$81</f>
        <v>0.58139662921357438</v>
      </c>
    </row>
    <row r="223" spans="1:26" x14ac:dyDescent="0.2">
      <c r="A223" s="1" t="s">
        <v>66</v>
      </c>
      <c r="B223" s="1" t="s">
        <v>336</v>
      </c>
      <c r="D223" t="s">
        <v>11</v>
      </c>
      <c r="E223" s="1" t="s">
        <v>305</v>
      </c>
      <c r="F223" s="1" t="s">
        <v>330</v>
      </c>
      <c r="G223" s="9"/>
      <c r="H223" s="4">
        <v>9.1</v>
      </c>
      <c r="I223" s="4">
        <v>55</v>
      </c>
      <c r="J223" s="11">
        <v>3.17</v>
      </c>
      <c r="K223" s="4">
        <v>4.08</v>
      </c>
      <c r="L223" s="12">
        <f t="shared" si="7"/>
        <v>0.50105926221775143</v>
      </c>
      <c r="M223" s="11">
        <f>GraphSalmonella!$B$10-(Salmonella!I223-GraphSalmonella!$B$6)/GraphSalmonella!$B$5</f>
        <v>0.82137940301840184</v>
      </c>
      <c r="N223" s="1" t="s">
        <v>319</v>
      </c>
      <c r="O223">
        <v>2000</v>
      </c>
      <c r="S223" s="10">
        <f>GraphSalmonella!$B$57*Salmonella!I223+GraphSalmonella!$B$58</f>
        <v>0.64967458751342466</v>
      </c>
      <c r="T223" s="10">
        <f>GraphSalmonella!$E$57*Salmonella!I223+GraphSalmonella!$E$58</f>
        <v>3.3824965658483515</v>
      </c>
      <c r="U223" s="10">
        <f>GraphSalmonella!$H$57*Salmonella!I223+GraphSalmonella!$H$58</f>
        <v>0.82212013387815031</v>
      </c>
      <c r="X223" s="10">
        <f>GraphSalmonella!$B$80*Salmonella!I223+GraphSalmonella!$B$81</f>
        <v>0.82427165319580453</v>
      </c>
      <c r="Y223" s="10">
        <f>GraphSalmonella!$E$80*Salmonella!I223+GraphSalmonella!$E$81</f>
        <v>0.84053859109662721</v>
      </c>
      <c r="Z223" s="10">
        <f>GraphSalmonella!$H$80*Salmonella!I223+GraphSalmonella!$H$81</f>
        <v>0.58139662921357438</v>
      </c>
    </row>
    <row r="224" spans="1:26" x14ac:dyDescent="0.2">
      <c r="A224" s="1" t="s">
        <v>66</v>
      </c>
      <c r="B224" s="1" t="s">
        <v>336</v>
      </c>
      <c r="D224" t="s">
        <v>11</v>
      </c>
      <c r="E224" s="1" t="s">
        <v>305</v>
      </c>
      <c r="F224" s="1" t="s">
        <v>330</v>
      </c>
      <c r="G224" s="9"/>
      <c r="H224" s="4">
        <v>8.1999999999999993</v>
      </c>
      <c r="I224" s="4">
        <v>56.7</v>
      </c>
      <c r="J224" s="11">
        <v>2.96</v>
      </c>
      <c r="K224" s="4">
        <v>3.54</v>
      </c>
      <c r="L224" s="12">
        <f t="shared" si="7"/>
        <v>0.47129171105893858</v>
      </c>
      <c r="M224" s="11">
        <f>GraphSalmonella!$B$10-(Salmonella!I224-GraphSalmonella!$B$6)/GraphSalmonella!$B$5</f>
        <v>0.63432654678536471</v>
      </c>
      <c r="N224" s="1" t="s">
        <v>319</v>
      </c>
      <c r="O224">
        <v>2000</v>
      </c>
      <c r="S224" s="10">
        <f>GraphSalmonella!$B$57*Salmonella!I224+GraphSalmonella!$B$58</f>
        <v>0.54803112670912002</v>
      </c>
      <c r="T224" s="10">
        <f>GraphSalmonella!$E$57*Salmonella!I224+GraphSalmonella!$E$58</f>
        <v>3.2990358787049381</v>
      </c>
      <c r="U224" s="10">
        <f>GraphSalmonella!$H$57*Salmonella!I224+GraphSalmonella!$H$58</f>
        <v>0.63510938482387314</v>
      </c>
      <c r="X224" s="10">
        <f>GraphSalmonella!$B$80*Salmonella!I224+GraphSalmonella!$B$81</f>
        <v>0.63712820769734968</v>
      </c>
      <c r="Y224" s="10">
        <f>GraphSalmonella!$E$80*Salmonella!I224+GraphSalmonella!$E$81</f>
        <v>0.65076875241216303</v>
      </c>
      <c r="Z224" s="10">
        <f>GraphSalmonella!$H$80*Salmonella!I224+GraphSalmonella!$H$81</f>
        <v>0.36178746171003073</v>
      </c>
    </row>
    <row r="225" spans="1:26" x14ac:dyDescent="0.2">
      <c r="A225" s="1" t="s">
        <v>66</v>
      </c>
      <c r="B225" s="1" t="s">
        <v>336</v>
      </c>
      <c r="D225" t="s">
        <v>11</v>
      </c>
      <c r="E225" s="1" t="s">
        <v>305</v>
      </c>
      <c r="F225" s="1" t="s">
        <v>330</v>
      </c>
      <c r="G225" s="9"/>
      <c r="H225" s="4">
        <v>9.1</v>
      </c>
      <c r="I225" s="4">
        <v>56.7</v>
      </c>
      <c r="J225" s="11">
        <v>1.58</v>
      </c>
      <c r="K225" s="4">
        <v>4.08</v>
      </c>
      <c r="L225" s="12">
        <f t="shared" si="7"/>
        <v>0.19865708695442263</v>
      </c>
      <c r="M225" s="11">
        <f>GraphSalmonella!$B$10-(Salmonella!I225-GraphSalmonella!$B$6)/GraphSalmonella!$B$5</f>
        <v>0.63432654678536471</v>
      </c>
      <c r="N225" s="1" t="s">
        <v>319</v>
      </c>
      <c r="O225">
        <v>2000</v>
      </c>
      <c r="S225" s="10">
        <f>GraphSalmonella!$B$57*Salmonella!I225+GraphSalmonella!$B$58</f>
        <v>0.54803112670912002</v>
      </c>
      <c r="T225" s="10">
        <f>GraphSalmonella!$E$57*Salmonella!I225+GraphSalmonella!$E$58</f>
        <v>3.2990358787049381</v>
      </c>
      <c r="U225" s="10">
        <f>GraphSalmonella!$H$57*Salmonella!I225+GraphSalmonella!$H$58</f>
        <v>0.63510938482387314</v>
      </c>
      <c r="X225" s="10">
        <f>GraphSalmonella!$B$80*Salmonella!I225+GraphSalmonella!$B$81</f>
        <v>0.63712820769734968</v>
      </c>
      <c r="Y225" s="10">
        <f>GraphSalmonella!$E$80*Salmonella!I225+GraphSalmonella!$E$81</f>
        <v>0.65076875241216303</v>
      </c>
      <c r="Z225" s="10">
        <f>GraphSalmonella!$H$80*Salmonella!I225+GraphSalmonella!$H$81</f>
        <v>0.36178746171003073</v>
      </c>
    </row>
    <row r="226" spans="1:26" x14ac:dyDescent="0.2">
      <c r="A226" s="1" t="s">
        <v>66</v>
      </c>
      <c r="B226" s="1" t="s">
        <v>336</v>
      </c>
      <c r="D226" t="s">
        <v>11</v>
      </c>
      <c r="E226" s="1" t="s">
        <v>305</v>
      </c>
      <c r="F226" s="1" t="s">
        <v>330</v>
      </c>
      <c r="G226" s="9"/>
      <c r="H226" s="4">
        <v>8.1999999999999993</v>
      </c>
      <c r="I226" s="4">
        <v>58.3</v>
      </c>
      <c r="J226" s="11">
        <v>1</v>
      </c>
      <c r="K226" s="4">
        <v>3.54</v>
      </c>
      <c r="L226" s="12">
        <f t="shared" si="7"/>
        <v>0</v>
      </c>
      <c r="M226" s="11">
        <f>GraphSalmonella!$B$10-(Salmonella!I226-GraphSalmonella!$B$6)/GraphSalmonella!$B$5</f>
        <v>0.45827679974250723</v>
      </c>
      <c r="N226" s="1" t="s">
        <v>319</v>
      </c>
      <c r="O226">
        <v>2000</v>
      </c>
      <c r="S226" s="10">
        <f>GraphSalmonella!$B$57*Salmonella!I226+GraphSalmonella!$B$58</f>
        <v>0.45236669301095178</v>
      </c>
      <c r="T226" s="10">
        <f>GraphSalmonella!$E$57*Salmonella!I226+GraphSalmonella!$E$58</f>
        <v>3.2204846437464316</v>
      </c>
      <c r="U226" s="10">
        <f>GraphSalmonella!$H$57*Salmonella!I226+GraphSalmonella!$H$58</f>
        <v>0.4590992680669066</v>
      </c>
      <c r="X226" s="10">
        <f>GraphSalmonella!$B$80*Salmonella!I226+GraphSalmonella!$B$81</f>
        <v>0.46099320016939327</v>
      </c>
      <c r="Y226" s="10">
        <f>GraphSalmonella!$E$80*Salmonella!I226+GraphSalmonella!$E$81</f>
        <v>0.47216184541502138</v>
      </c>
      <c r="Z226" s="10">
        <f>GraphSalmonella!$H$80*Salmonella!I226+GraphSalmonella!$H$81</f>
        <v>0.15509648053022662</v>
      </c>
    </row>
    <row r="227" spans="1:26" x14ac:dyDescent="0.2">
      <c r="A227" s="1" t="s">
        <v>66</v>
      </c>
      <c r="B227" s="1" t="s">
        <v>336</v>
      </c>
      <c r="D227" t="s">
        <v>11</v>
      </c>
      <c r="E227" s="1" t="s">
        <v>305</v>
      </c>
      <c r="F227" s="1" t="s">
        <v>330</v>
      </c>
      <c r="G227" s="9"/>
      <c r="H227" s="4">
        <v>9.1</v>
      </c>
      <c r="I227" s="4">
        <v>58.3</v>
      </c>
      <c r="J227" s="11">
        <v>0.52</v>
      </c>
      <c r="K227" s="4">
        <v>4.08</v>
      </c>
      <c r="L227" s="12">
        <f t="shared" si="7"/>
        <v>-0.28399665636520083</v>
      </c>
      <c r="M227" s="11">
        <f>GraphSalmonella!$B$10-(Salmonella!I227-GraphSalmonella!$B$6)/GraphSalmonella!$B$5</f>
        <v>0.45827679974250723</v>
      </c>
      <c r="N227" s="1" t="s">
        <v>319</v>
      </c>
      <c r="O227">
        <v>2000</v>
      </c>
      <c r="S227" s="10">
        <f>GraphSalmonella!$B$57*Salmonella!I227+GraphSalmonella!$B$58</f>
        <v>0.45236669301095178</v>
      </c>
      <c r="T227" s="10">
        <f>GraphSalmonella!$E$57*Salmonella!I227+GraphSalmonella!$E$58</f>
        <v>3.2204846437464316</v>
      </c>
      <c r="U227" s="10">
        <f>GraphSalmonella!$H$57*Salmonella!I227+GraphSalmonella!$H$58</f>
        <v>0.4590992680669066</v>
      </c>
      <c r="X227" s="10">
        <f>GraphSalmonella!$B$80*Salmonella!I227+GraphSalmonella!$B$81</f>
        <v>0.46099320016939327</v>
      </c>
      <c r="Y227" s="10">
        <f>GraphSalmonella!$E$80*Salmonella!I227+GraphSalmonella!$E$81</f>
        <v>0.47216184541502138</v>
      </c>
      <c r="Z227" s="10">
        <f>GraphSalmonella!$H$80*Salmonella!I227+GraphSalmonella!$H$81</f>
        <v>0.15509648053022662</v>
      </c>
    </row>
    <row r="228" spans="1:26" x14ac:dyDescent="0.2">
      <c r="A228" s="1" t="s">
        <v>66</v>
      </c>
      <c r="B228" s="1" t="s">
        <v>337</v>
      </c>
      <c r="D228" t="s">
        <v>11</v>
      </c>
      <c r="E228" s="1" t="s">
        <v>305</v>
      </c>
      <c r="F228" s="1" t="s">
        <v>330</v>
      </c>
      <c r="G228" s="9"/>
      <c r="H228" s="4">
        <v>8.8000000000000007</v>
      </c>
      <c r="I228" s="4">
        <v>55.5</v>
      </c>
      <c r="J228" s="11">
        <v>2.74</v>
      </c>
      <c r="K228" s="4">
        <v>4.03</v>
      </c>
      <c r="L228" s="12">
        <f t="shared" si="7"/>
        <v>0.43775056282038799</v>
      </c>
      <c r="M228" s="11">
        <f>GraphSalmonella!$B$10-(Salmonella!I228-GraphSalmonella!$B$6)/GraphSalmonella!$B$5</f>
        <v>0.76636385706750865</v>
      </c>
      <c r="N228" s="1" t="s">
        <v>319</v>
      </c>
      <c r="O228">
        <v>2000</v>
      </c>
      <c r="S228" s="10">
        <f>GraphSalmonella!$B$57*Salmonella!I228+GraphSalmonella!$B$58</f>
        <v>0.61977945198274664</v>
      </c>
      <c r="T228" s="10">
        <f>GraphSalmonella!$E$57*Salmonella!I228+GraphSalmonella!$E$58</f>
        <v>3.3579493049238183</v>
      </c>
      <c r="U228" s="10">
        <f>GraphSalmonella!$H$57*Salmonella!I228+GraphSalmonella!$H$58</f>
        <v>0.76711697239159804</v>
      </c>
      <c r="X228" s="10">
        <f>GraphSalmonella!$B$80*Salmonella!I228+GraphSalmonella!$B$81</f>
        <v>0.76922946334331765</v>
      </c>
      <c r="Y228" s="10">
        <f>GraphSalmonella!$E$80*Salmonella!I228+GraphSalmonella!$E$81</f>
        <v>0.78472393266002083</v>
      </c>
      <c r="Z228" s="10">
        <f>GraphSalmonella!$H$80*Salmonella!I228+GraphSalmonella!$H$81</f>
        <v>0.51680569759488559</v>
      </c>
    </row>
    <row r="229" spans="1:26" x14ac:dyDescent="0.2">
      <c r="A229" s="1" t="s">
        <v>66</v>
      </c>
      <c r="B229" s="1" t="s">
        <v>337</v>
      </c>
      <c r="D229" t="s">
        <v>11</v>
      </c>
      <c r="E229" s="1" t="s">
        <v>305</v>
      </c>
      <c r="F229" s="1" t="s">
        <v>330</v>
      </c>
      <c r="G229" s="9"/>
      <c r="H229" s="4">
        <v>9.3000000000000007</v>
      </c>
      <c r="I229" s="4">
        <v>56.7</v>
      </c>
      <c r="J229" s="11">
        <v>1.08</v>
      </c>
      <c r="L229" s="12">
        <f t="shared" si="7"/>
        <v>3.342375548694973E-2</v>
      </c>
      <c r="M229" s="11">
        <f>GraphSalmonella!$B$10-(Salmonella!I229-GraphSalmonella!$B$6)/GraphSalmonella!$B$5</f>
        <v>0.63432654678536471</v>
      </c>
      <c r="N229" s="1" t="s">
        <v>319</v>
      </c>
      <c r="O229">
        <v>2000</v>
      </c>
      <c r="S229" s="10">
        <f>GraphSalmonella!$B$57*Salmonella!I229+GraphSalmonella!$B$58</f>
        <v>0.54803112670912002</v>
      </c>
      <c r="T229" s="10">
        <f>GraphSalmonella!$E$57*Salmonella!I229+GraphSalmonella!$E$58</f>
        <v>3.2990358787049381</v>
      </c>
      <c r="U229" s="10">
        <f>GraphSalmonella!$H$57*Salmonella!I229+GraphSalmonella!$H$58</f>
        <v>0.63510938482387314</v>
      </c>
      <c r="X229" s="10">
        <f>GraphSalmonella!$B$80*Salmonella!I229+GraphSalmonella!$B$81</f>
        <v>0.63712820769734968</v>
      </c>
      <c r="Y229" s="10">
        <f>GraphSalmonella!$E$80*Salmonella!I229+GraphSalmonella!$E$81</f>
        <v>0.65076875241216303</v>
      </c>
      <c r="Z229" s="10">
        <f>GraphSalmonella!$H$80*Salmonella!I229+GraphSalmonella!$H$81</f>
        <v>0.36178746171003073</v>
      </c>
    </row>
    <row r="230" spans="1:26" x14ac:dyDescent="0.2">
      <c r="A230" s="1" t="s">
        <v>66</v>
      </c>
      <c r="B230" s="1" t="s">
        <v>337</v>
      </c>
      <c r="D230" t="s">
        <v>11</v>
      </c>
      <c r="E230" s="1" t="s">
        <v>305</v>
      </c>
      <c r="F230" s="1" t="s">
        <v>330</v>
      </c>
      <c r="G230" s="9"/>
      <c r="H230" s="4">
        <v>8.8000000000000007</v>
      </c>
      <c r="I230" s="4">
        <v>56.7</v>
      </c>
      <c r="J230" s="11">
        <v>1.59</v>
      </c>
      <c r="L230" s="12">
        <f t="shared" si="7"/>
        <v>0.20139712432045151</v>
      </c>
      <c r="M230" s="11">
        <f>GraphSalmonella!$B$10-(Salmonella!I230-GraphSalmonella!$B$6)/GraphSalmonella!$B$5</f>
        <v>0.63432654678536471</v>
      </c>
      <c r="N230" s="1" t="s">
        <v>319</v>
      </c>
      <c r="O230">
        <v>2000</v>
      </c>
      <c r="S230" s="10">
        <f>GraphSalmonella!$B$57*Salmonella!I230+GraphSalmonella!$B$58</f>
        <v>0.54803112670912002</v>
      </c>
      <c r="T230" s="10">
        <f>GraphSalmonella!$E$57*Salmonella!I230+GraphSalmonella!$E$58</f>
        <v>3.2990358787049381</v>
      </c>
      <c r="U230" s="10">
        <f>GraphSalmonella!$H$57*Salmonella!I230+GraphSalmonella!$H$58</f>
        <v>0.63510938482387314</v>
      </c>
      <c r="X230" s="10">
        <f>GraphSalmonella!$B$80*Salmonella!I230+GraphSalmonella!$B$81</f>
        <v>0.63712820769734968</v>
      </c>
      <c r="Y230" s="10">
        <f>GraphSalmonella!$E$80*Salmonella!I230+GraphSalmonella!$E$81</f>
        <v>0.65076875241216303</v>
      </c>
      <c r="Z230" s="10">
        <f>GraphSalmonella!$H$80*Salmonella!I230+GraphSalmonella!$H$81</f>
        <v>0.36178746171003073</v>
      </c>
    </row>
    <row r="231" spans="1:26" x14ac:dyDescent="0.2">
      <c r="A231" s="1" t="s">
        <v>66</v>
      </c>
      <c r="B231" s="1" t="s">
        <v>337</v>
      </c>
      <c r="D231" t="s">
        <v>11</v>
      </c>
      <c r="E231" s="1" t="s">
        <v>305</v>
      </c>
      <c r="F231" s="1" t="s">
        <v>330</v>
      </c>
      <c r="G231" s="9"/>
      <c r="H231" s="4">
        <v>8.1999999999999993</v>
      </c>
      <c r="I231" s="4">
        <v>56.7</v>
      </c>
      <c r="J231" s="11">
        <v>2.14</v>
      </c>
      <c r="L231" s="12">
        <f t="shared" si="7"/>
        <v>0.33041377334919086</v>
      </c>
      <c r="M231" s="11">
        <f>GraphSalmonella!$B$10-(Salmonella!I231-GraphSalmonella!$B$6)/GraphSalmonella!$B$5</f>
        <v>0.63432654678536471</v>
      </c>
      <c r="N231" s="1" t="s">
        <v>319</v>
      </c>
      <c r="O231">
        <v>2000</v>
      </c>
      <c r="S231" s="10">
        <f>GraphSalmonella!$B$57*Salmonella!I231+GraphSalmonella!$B$58</f>
        <v>0.54803112670912002</v>
      </c>
      <c r="T231" s="10">
        <f>GraphSalmonella!$E$57*Salmonella!I231+GraphSalmonella!$E$58</f>
        <v>3.2990358787049381</v>
      </c>
      <c r="U231" s="10">
        <f>GraphSalmonella!$H$57*Salmonella!I231+GraphSalmonella!$H$58</f>
        <v>0.63510938482387314</v>
      </c>
      <c r="X231" s="10">
        <f>GraphSalmonella!$B$80*Salmonella!I231+GraphSalmonella!$B$81</f>
        <v>0.63712820769734968</v>
      </c>
      <c r="Y231" s="10">
        <f>GraphSalmonella!$E$80*Salmonella!I231+GraphSalmonella!$E$81</f>
        <v>0.65076875241216303</v>
      </c>
      <c r="Z231" s="10">
        <f>GraphSalmonella!$H$80*Salmonella!I231+GraphSalmonella!$H$81</f>
        <v>0.36178746171003073</v>
      </c>
    </row>
    <row r="232" spans="1:26" x14ac:dyDescent="0.2">
      <c r="A232" s="1" t="s">
        <v>66</v>
      </c>
      <c r="B232" s="1" t="s">
        <v>337</v>
      </c>
      <c r="D232" t="s">
        <v>11</v>
      </c>
      <c r="E232" s="1" t="s">
        <v>305</v>
      </c>
      <c r="F232" s="1" t="s">
        <v>330</v>
      </c>
      <c r="G232" s="9"/>
      <c r="H232" s="4">
        <v>7.8</v>
      </c>
      <c r="I232" s="4">
        <v>56.7</v>
      </c>
      <c r="J232" s="11">
        <v>3.6</v>
      </c>
      <c r="L232" s="12">
        <f t="shared" si="7"/>
        <v>0.55630250076728727</v>
      </c>
      <c r="M232" s="11">
        <f>GraphSalmonella!$B$10-(Salmonella!I232-GraphSalmonella!$B$6)/GraphSalmonella!$B$5</f>
        <v>0.63432654678536471</v>
      </c>
      <c r="N232" s="1" t="s">
        <v>319</v>
      </c>
      <c r="O232">
        <v>2000</v>
      </c>
      <c r="S232" s="10">
        <f>GraphSalmonella!$B$57*Salmonella!I232+GraphSalmonella!$B$58</f>
        <v>0.54803112670912002</v>
      </c>
      <c r="T232" s="10">
        <f>GraphSalmonella!$E$57*Salmonella!I232+GraphSalmonella!$E$58</f>
        <v>3.2990358787049381</v>
      </c>
      <c r="U232" s="10">
        <f>GraphSalmonella!$H$57*Salmonella!I232+GraphSalmonella!$H$58</f>
        <v>0.63510938482387314</v>
      </c>
      <c r="X232" s="10">
        <f>GraphSalmonella!$B$80*Salmonella!I232+GraphSalmonella!$B$81</f>
        <v>0.63712820769734968</v>
      </c>
      <c r="Y232" s="10">
        <f>GraphSalmonella!$E$80*Salmonella!I232+GraphSalmonella!$E$81</f>
        <v>0.65076875241216303</v>
      </c>
      <c r="Z232" s="10">
        <f>GraphSalmonella!$H$80*Salmonella!I232+GraphSalmonella!$H$81</f>
        <v>0.36178746171003073</v>
      </c>
    </row>
    <row r="233" spans="1:26" x14ac:dyDescent="0.2">
      <c r="A233" s="1" t="s">
        <v>66</v>
      </c>
      <c r="B233" s="1" t="s">
        <v>337</v>
      </c>
      <c r="D233" t="s">
        <v>11</v>
      </c>
      <c r="E233" s="1" t="s">
        <v>305</v>
      </c>
      <c r="F233" s="1" t="s">
        <v>330</v>
      </c>
      <c r="G233" s="9"/>
      <c r="H233" s="4">
        <v>8.8000000000000007</v>
      </c>
      <c r="I233" s="4">
        <v>56.7</v>
      </c>
      <c r="J233" s="11">
        <v>1.44</v>
      </c>
      <c r="K233" s="4">
        <v>4.03</v>
      </c>
      <c r="L233" s="12">
        <f t="shared" si="7"/>
        <v>0.15836249209524964</v>
      </c>
      <c r="M233" s="11">
        <f>GraphSalmonella!$B$10-(Salmonella!I233-GraphSalmonella!$B$6)/GraphSalmonella!$B$5</f>
        <v>0.63432654678536471</v>
      </c>
      <c r="N233" s="1" t="s">
        <v>319</v>
      </c>
      <c r="O233">
        <v>2000</v>
      </c>
      <c r="S233" s="10">
        <f>GraphSalmonella!$B$57*Salmonella!I233+GraphSalmonella!$B$58</f>
        <v>0.54803112670912002</v>
      </c>
      <c r="T233" s="10">
        <f>GraphSalmonella!$E$57*Salmonella!I233+GraphSalmonella!$E$58</f>
        <v>3.2990358787049381</v>
      </c>
      <c r="U233" s="10">
        <f>GraphSalmonella!$H$57*Salmonella!I233+GraphSalmonella!$H$58</f>
        <v>0.63510938482387314</v>
      </c>
      <c r="X233" s="10">
        <f>GraphSalmonella!$B$80*Salmonella!I233+GraphSalmonella!$B$81</f>
        <v>0.63712820769734968</v>
      </c>
      <c r="Y233" s="10">
        <f>GraphSalmonella!$E$80*Salmonella!I233+GraphSalmonella!$E$81</f>
        <v>0.65076875241216303</v>
      </c>
      <c r="Z233" s="10">
        <f>GraphSalmonella!$H$80*Salmonella!I233+GraphSalmonella!$H$81</f>
        <v>0.36178746171003073</v>
      </c>
    </row>
    <row r="234" spans="1:26" x14ac:dyDescent="0.2">
      <c r="A234" s="1" t="s">
        <v>66</v>
      </c>
      <c r="B234" s="1" t="s">
        <v>337</v>
      </c>
      <c r="D234" t="s">
        <v>11</v>
      </c>
      <c r="E234" s="1" t="s">
        <v>305</v>
      </c>
      <c r="F234" s="1" t="s">
        <v>330</v>
      </c>
      <c r="G234" s="9"/>
      <c r="H234" s="4">
        <v>8.8000000000000007</v>
      </c>
      <c r="I234" s="4">
        <v>57.6</v>
      </c>
      <c r="J234" s="11">
        <v>0.78</v>
      </c>
      <c r="K234" s="4">
        <v>4.03</v>
      </c>
      <c r="L234" s="12">
        <f t="shared" si="7"/>
        <v>-0.10790539730951958</v>
      </c>
      <c r="M234" s="11">
        <f>GraphSalmonella!$B$10-(Salmonella!I234-GraphSalmonella!$B$6)/GraphSalmonella!$B$5</f>
        <v>0.53529856407375709</v>
      </c>
      <c r="N234" s="1" t="s">
        <v>319</v>
      </c>
      <c r="O234">
        <v>2000</v>
      </c>
      <c r="S234" s="10">
        <f>GraphSalmonella!$B$57*Salmonella!I234+GraphSalmonella!$B$58</f>
        <v>0.49421988275390039</v>
      </c>
      <c r="T234" s="10">
        <f>GraphSalmonella!$E$57*Salmonella!I234+GraphSalmonella!$E$58</f>
        <v>3.2548508090407782</v>
      </c>
      <c r="U234" s="10">
        <f>GraphSalmonella!$H$57*Salmonella!I234+GraphSalmonella!$H$58</f>
        <v>0.53610369414807924</v>
      </c>
      <c r="X234" s="10">
        <f>GraphSalmonella!$B$80*Salmonella!I234+GraphSalmonella!$B$81</f>
        <v>0.53805226596287437</v>
      </c>
      <c r="Y234" s="10">
        <f>GraphSalmonella!$E$80*Salmonella!I234+GraphSalmonella!$E$81</f>
        <v>0.55030236722627102</v>
      </c>
      <c r="Z234" s="10">
        <f>GraphSalmonella!$H$80*Salmonella!I234+GraphSalmonella!$H$81</f>
        <v>0.24552378479639092</v>
      </c>
    </row>
    <row r="235" spans="1:26" x14ac:dyDescent="0.2">
      <c r="A235" s="1" t="s">
        <v>66</v>
      </c>
      <c r="B235" s="1" t="s">
        <v>67</v>
      </c>
      <c r="C235" t="s">
        <v>312</v>
      </c>
      <c r="D235" t="s">
        <v>11</v>
      </c>
      <c r="E235" s="1" t="s">
        <v>305</v>
      </c>
      <c r="F235" s="1" t="s">
        <v>330</v>
      </c>
      <c r="G235" s="9"/>
      <c r="H235" s="4">
        <v>9</v>
      </c>
      <c r="I235" s="4">
        <v>52.2</v>
      </c>
      <c r="J235" s="11">
        <v>28.6</v>
      </c>
      <c r="L235" s="12">
        <f t="shared" si="7"/>
        <v>1.4563660331290431</v>
      </c>
      <c r="M235" s="11">
        <f>GraphSalmonella!$B$10-(Salmonella!I235-GraphSalmonella!$B$6)/GraphSalmonella!$B$5</f>
        <v>1.1294664603434033</v>
      </c>
      <c r="N235" s="1" t="s">
        <v>319</v>
      </c>
      <c r="O235">
        <v>2000</v>
      </c>
      <c r="S235" s="10">
        <f>GraphSalmonella!$B$57*Salmonella!I235+GraphSalmonella!$B$58</f>
        <v>0.81708734648521952</v>
      </c>
      <c r="T235" s="10">
        <f>GraphSalmonella!$E$57*Salmonella!I235+GraphSalmonella!$E$58</f>
        <v>3.5199612270257377</v>
      </c>
      <c r="U235" s="10">
        <f>GraphSalmonella!$H$57*Salmonella!I235+GraphSalmonella!$H$58</f>
        <v>1.1301378382028409</v>
      </c>
      <c r="X235" s="10">
        <f>GraphSalmonella!$B$80*Salmonella!I235+GraphSalmonella!$B$81</f>
        <v>1.1325079163697289</v>
      </c>
      <c r="Y235" s="10">
        <f>GraphSalmonella!$E$80*Salmonella!I235+GraphSalmonella!$E$81</f>
        <v>1.1531006783416258</v>
      </c>
      <c r="Z235" s="10">
        <f>GraphSalmonella!$H$80*Salmonella!I235+GraphSalmonella!$H$81</f>
        <v>0.94310584627823424</v>
      </c>
    </row>
    <row r="236" spans="1:26" x14ac:dyDescent="0.2">
      <c r="A236" s="1" t="s">
        <v>66</v>
      </c>
      <c r="B236" s="1" t="s">
        <v>67</v>
      </c>
      <c r="C236" t="s">
        <v>312</v>
      </c>
      <c r="D236" t="s">
        <v>11</v>
      </c>
      <c r="E236" s="1" t="s">
        <v>305</v>
      </c>
      <c r="F236" s="1" t="s">
        <v>330</v>
      </c>
      <c r="G236" s="9"/>
      <c r="H236" s="4">
        <v>9.5</v>
      </c>
      <c r="I236" s="4">
        <v>52.2</v>
      </c>
      <c r="J236" s="11">
        <v>19.3</v>
      </c>
      <c r="L236" s="12">
        <f t="shared" si="7"/>
        <v>1.2855573090077739</v>
      </c>
      <c r="M236" s="11">
        <f>GraphSalmonella!$B$10-(Salmonella!I236-GraphSalmonella!$B$6)/GraphSalmonella!$B$5</f>
        <v>1.1294664603434033</v>
      </c>
      <c r="N236" s="1" t="s">
        <v>319</v>
      </c>
      <c r="O236">
        <v>2000</v>
      </c>
      <c r="S236" s="10">
        <f>GraphSalmonella!$B$57*Salmonella!I236+GraphSalmonella!$B$58</f>
        <v>0.81708734648521952</v>
      </c>
      <c r="T236" s="10">
        <f>GraphSalmonella!$E$57*Salmonella!I236+GraphSalmonella!$E$58</f>
        <v>3.5199612270257377</v>
      </c>
      <c r="U236" s="10">
        <f>GraphSalmonella!$H$57*Salmonella!I236+GraphSalmonella!$H$58</f>
        <v>1.1301378382028409</v>
      </c>
      <c r="X236" s="10">
        <f>GraphSalmonella!$B$80*Salmonella!I236+GraphSalmonella!$B$81</f>
        <v>1.1325079163697289</v>
      </c>
      <c r="Y236" s="10">
        <f>GraphSalmonella!$E$80*Salmonella!I236+GraphSalmonella!$E$81</f>
        <v>1.1531006783416258</v>
      </c>
      <c r="Z236" s="10">
        <f>GraphSalmonella!$H$80*Salmonella!I236+GraphSalmonella!$H$81</f>
        <v>0.94310584627823424</v>
      </c>
    </row>
    <row r="237" spans="1:26" x14ac:dyDescent="0.2">
      <c r="A237" s="1" t="s">
        <v>66</v>
      </c>
      <c r="B237" s="1" t="s">
        <v>67</v>
      </c>
      <c r="C237" t="s">
        <v>312</v>
      </c>
      <c r="D237" t="s">
        <v>11</v>
      </c>
      <c r="E237" s="1" t="s">
        <v>305</v>
      </c>
      <c r="F237" s="1" t="s">
        <v>330</v>
      </c>
      <c r="G237" s="9"/>
      <c r="I237" s="4">
        <v>55</v>
      </c>
      <c r="J237" s="11">
        <v>3</v>
      </c>
      <c r="L237" s="12">
        <f t="shared" si="7"/>
        <v>0.47712125471966244</v>
      </c>
      <c r="M237" s="11">
        <f>GraphSalmonella!$B$10-(Salmonella!I237-GraphSalmonella!$B$6)/GraphSalmonella!$B$5</f>
        <v>0.82137940301840184</v>
      </c>
      <c r="N237" s="1" t="s">
        <v>319</v>
      </c>
      <c r="O237">
        <v>2000</v>
      </c>
      <c r="S237" s="10">
        <f>GraphSalmonella!$B$57*Salmonella!I237+GraphSalmonella!$B$58</f>
        <v>0.64967458751342466</v>
      </c>
      <c r="T237" s="10">
        <f>GraphSalmonella!$E$57*Salmonella!I237+GraphSalmonella!$E$58</f>
        <v>3.3824965658483515</v>
      </c>
      <c r="U237" s="10">
        <f>GraphSalmonella!$H$57*Salmonella!I237+GraphSalmonella!$H$58</f>
        <v>0.82212013387815031</v>
      </c>
      <c r="X237" s="10">
        <f>GraphSalmonella!$B$80*Salmonella!I237+GraphSalmonella!$B$81</f>
        <v>0.82427165319580453</v>
      </c>
      <c r="Y237" s="10">
        <f>GraphSalmonella!$E$80*Salmonella!I237+GraphSalmonella!$E$81</f>
        <v>0.84053859109662721</v>
      </c>
      <c r="Z237" s="10">
        <f>GraphSalmonella!$H$80*Salmonella!I237+GraphSalmonella!$H$81</f>
        <v>0.58139662921357438</v>
      </c>
    </row>
    <row r="238" spans="1:26" x14ac:dyDescent="0.2">
      <c r="A238" s="1" t="s">
        <v>66</v>
      </c>
      <c r="B238" s="1" t="s">
        <v>67</v>
      </c>
      <c r="C238" t="s">
        <v>312</v>
      </c>
      <c r="D238" t="s">
        <v>11</v>
      </c>
      <c r="E238" s="1" t="s">
        <v>305</v>
      </c>
      <c r="F238" s="1" t="s">
        <v>330</v>
      </c>
      <c r="G238" s="9"/>
      <c r="H238" s="4">
        <v>9</v>
      </c>
      <c r="I238" s="4">
        <v>55</v>
      </c>
      <c r="J238" s="11">
        <v>7.2</v>
      </c>
      <c r="L238" s="12">
        <f t="shared" si="7"/>
        <v>0.85733249643126852</v>
      </c>
      <c r="M238" s="11">
        <f>GraphSalmonella!$B$10-(Salmonella!I238-GraphSalmonella!$B$6)/GraphSalmonella!$B$5</f>
        <v>0.82137940301840184</v>
      </c>
      <c r="N238" s="1" t="s">
        <v>319</v>
      </c>
      <c r="O238">
        <v>2000</v>
      </c>
      <c r="S238" s="10">
        <f>GraphSalmonella!$B$57*Salmonella!I238+GraphSalmonella!$B$58</f>
        <v>0.64967458751342466</v>
      </c>
      <c r="T238" s="10">
        <f>GraphSalmonella!$E$57*Salmonella!I238+GraphSalmonella!$E$58</f>
        <v>3.3824965658483515</v>
      </c>
      <c r="U238" s="10">
        <f>GraphSalmonella!$H$57*Salmonella!I238+GraphSalmonella!$H$58</f>
        <v>0.82212013387815031</v>
      </c>
      <c r="X238" s="10">
        <f>GraphSalmonella!$B$80*Salmonella!I238+GraphSalmonella!$B$81</f>
        <v>0.82427165319580453</v>
      </c>
      <c r="Y238" s="10">
        <f>GraphSalmonella!$E$80*Salmonella!I238+GraphSalmonella!$E$81</f>
        <v>0.84053859109662721</v>
      </c>
      <c r="Z238" s="10">
        <f>GraphSalmonella!$H$80*Salmonella!I238+GraphSalmonella!$H$81</f>
        <v>0.58139662921357438</v>
      </c>
    </row>
    <row r="239" spans="1:26" x14ac:dyDescent="0.2">
      <c r="A239" s="1" t="s">
        <v>66</v>
      </c>
      <c r="B239" s="1" t="s">
        <v>67</v>
      </c>
      <c r="C239" t="s">
        <v>312</v>
      </c>
      <c r="D239" t="s">
        <v>11</v>
      </c>
      <c r="E239" s="1" t="s">
        <v>305</v>
      </c>
      <c r="F239" s="1" t="s">
        <v>330</v>
      </c>
      <c r="G239" s="9"/>
      <c r="H239" s="4">
        <v>9.5</v>
      </c>
      <c r="I239" s="4">
        <v>55</v>
      </c>
      <c r="J239" s="11">
        <v>4.9000000000000004</v>
      </c>
      <c r="L239" s="12">
        <f t="shared" si="7"/>
        <v>0.69019608002851374</v>
      </c>
      <c r="M239" s="11">
        <f>GraphSalmonella!$B$10-(Salmonella!I239-GraphSalmonella!$B$6)/GraphSalmonella!$B$5</f>
        <v>0.82137940301840184</v>
      </c>
      <c r="N239" s="1" t="s">
        <v>319</v>
      </c>
      <c r="O239">
        <v>2000</v>
      </c>
      <c r="S239" s="10">
        <f>GraphSalmonella!$B$57*Salmonella!I239+GraphSalmonella!$B$58</f>
        <v>0.64967458751342466</v>
      </c>
      <c r="T239" s="10">
        <f>GraphSalmonella!$E$57*Salmonella!I239+GraphSalmonella!$E$58</f>
        <v>3.3824965658483515</v>
      </c>
      <c r="U239" s="10">
        <f>GraphSalmonella!$H$57*Salmonella!I239+GraphSalmonella!$H$58</f>
        <v>0.82212013387815031</v>
      </c>
      <c r="X239" s="10">
        <f>GraphSalmonella!$B$80*Salmonella!I239+GraphSalmonella!$B$81</f>
        <v>0.82427165319580453</v>
      </c>
      <c r="Y239" s="10">
        <f>GraphSalmonella!$E$80*Salmonella!I239+GraphSalmonella!$E$81</f>
        <v>0.84053859109662721</v>
      </c>
      <c r="Z239" s="10">
        <f>GraphSalmonella!$H$80*Salmonella!I239+GraphSalmonella!$H$81</f>
        <v>0.58139662921357438</v>
      </c>
    </row>
    <row r="240" spans="1:26" x14ac:dyDescent="0.2">
      <c r="A240" s="1" t="s">
        <v>66</v>
      </c>
      <c r="B240" s="1" t="s">
        <v>67</v>
      </c>
      <c r="C240" t="s">
        <v>312</v>
      </c>
      <c r="D240" t="s">
        <v>11</v>
      </c>
      <c r="E240" s="1" t="s">
        <v>305</v>
      </c>
      <c r="F240" s="1" t="s">
        <v>330</v>
      </c>
      <c r="G240" s="9"/>
      <c r="H240" s="4">
        <v>9</v>
      </c>
      <c r="I240" s="4">
        <v>56.7</v>
      </c>
      <c r="J240" s="11">
        <v>3.1</v>
      </c>
      <c r="L240" s="12">
        <f t="shared" si="7"/>
        <v>0.49136169383427269</v>
      </c>
      <c r="M240" s="11">
        <f>GraphSalmonella!$B$10-(Salmonella!I240-GraphSalmonella!$B$6)/GraphSalmonella!$B$5</f>
        <v>0.63432654678536471</v>
      </c>
      <c r="N240" s="1" t="s">
        <v>319</v>
      </c>
      <c r="O240">
        <v>2000</v>
      </c>
      <c r="S240" s="10">
        <f>GraphSalmonella!$B$57*Salmonella!I240+GraphSalmonella!$B$58</f>
        <v>0.54803112670912002</v>
      </c>
      <c r="T240" s="10">
        <f>GraphSalmonella!$E$57*Salmonella!I240+GraphSalmonella!$E$58</f>
        <v>3.2990358787049381</v>
      </c>
      <c r="U240" s="10">
        <f>GraphSalmonella!$H$57*Salmonella!I240+GraphSalmonella!$H$58</f>
        <v>0.63510938482387314</v>
      </c>
      <c r="X240" s="10">
        <f>GraphSalmonella!$B$80*Salmonella!I240+GraphSalmonella!$B$81</f>
        <v>0.63712820769734968</v>
      </c>
      <c r="Y240" s="10">
        <f>GraphSalmonella!$E$80*Salmonella!I240+GraphSalmonella!$E$81</f>
        <v>0.65076875241216303</v>
      </c>
      <c r="Z240" s="10">
        <f>GraphSalmonella!$H$80*Salmonella!I240+GraphSalmonella!$H$81</f>
        <v>0.36178746171003073</v>
      </c>
    </row>
    <row r="241" spans="1:26" x14ac:dyDescent="0.2">
      <c r="A241" s="1" t="s">
        <v>66</v>
      </c>
      <c r="B241" s="1" t="s">
        <v>67</v>
      </c>
      <c r="C241" t="s">
        <v>312</v>
      </c>
      <c r="D241" t="s">
        <v>11</v>
      </c>
      <c r="E241" s="1" t="s">
        <v>305</v>
      </c>
      <c r="F241" s="1" t="s">
        <v>330</v>
      </c>
      <c r="G241" s="9"/>
      <c r="H241" s="4">
        <v>9.5</v>
      </c>
      <c r="I241" s="4">
        <v>56.7</v>
      </c>
      <c r="J241" s="11">
        <v>0.34</v>
      </c>
      <c r="L241" s="12">
        <f t="shared" si="7"/>
        <v>-0.46852108295774486</v>
      </c>
      <c r="M241" s="11">
        <f>GraphSalmonella!$B$10-(Salmonella!I241-GraphSalmonella!$B$6)/GraphSalmonella!$B$5</f>
        <v>0.63432654678536471</v>
      </c>
      <c r="N241" s="1" t="s">
        <v>319</v>
      </c>
      <c r="O241">
        <v>2000</v>
      </c>
      <c r="S241" s="10">
        <f>GraphSalmonella!$B$57*Salmonella!I241+GraphSalmonella!$B$58</f>
        <v>0.54803112670912002</v>
      </c>
      <c r="T241" s="10">
        <f>GraphSalmonella!$E$57*Salmonella!I241+GraphSalmonella!$E$58</f>
        <v>3.2990358787049381</v>
      </c>
      <c r="U241" s="10">
        <f>GraphSalmonella!$H$57*Salmonella!I241+GraphSalmonella!$H$58</f>
        <v>0.63510938482387314</v>
      </c>
      <c r="X241" s="10">
        <f>GraphSalmonella!$B$80*Salmonella!I241+GraphSalmonella!$B$81</f>
        <v>0.63712820769734968</v>
      </c>
      <c r="Y241" s="10">
        <f>GraphSalmonella!$E$80*Salmonella!I241+GraphSalmonella!$E$81</f>
        <v>0.65076875241216303</v>
      </c>
      <c r="Z241" s="10">
        <f>GraphSalmonella!$H$80*Salmonella!I241+GraphSalmonella!$H$81</f>
        <v>0.36178746171003073</v>
      </c>
    </row>
    <row r="242" spans="1:26" x14ac:dyDescent="0.2">
      <c r="A242" s="1" t="s">
        <v>66</v>
      </c>
      <c r="B242" s="1" t="s">
        <v>67</v>
      </c>
      <c r="C242" t="s">
        <v>312</v>
      </c>
      <c r="D242" t="s">
        <v>11</v>
      </c>
      <c r="E242" s="1" t="s">
        <v>305</v>
      </c>
      <c r="F242" s="1" t="s">
        <v>330</v>
      </c>
      <c r="G242" s="9"/>
      <c r="I242" s="4">
        <v>60</v>
      </c>
      <c r="J242" s="11">
        <v>0.8</v>
      </c>
      <c r="L242" s="12">
        <f t="shared" si="7"/>
        <v>-9.6910013008056392E-2</v>
      </c>
      <c r="M242" s="11">
        <f>GraphSalmonella!$B$10-(Salmonella!I242-GraphSalmonella!$B$6)/GraphSalmonella!$B$5</f>
        <v>0.2712239435094701</v>
      </c>
      <c r="N242" s="1" t="s">
        <v>319</v>
      </c>
      <c r="O242">
        <v>2000</v>
      </c>
      <c r="S242" s="10">
        <f>GraphSalmonella!$B$57*Salmonella!I242+GraphSalmonella!$B$58</f>
        <v>0.35072323220664714</v>
      </c>
      <c r="T242" s="10">
        <f>GraphSalmonella!$E$57*Salmonella!I242+GraphSalmonella!$E$58</f>
        <v>3.1370239566030182</v>
      </c>
      <c r="U242" s="10">
        <f>GraphSalmonella!$H$57*Salmonella!I242+GraphSalmonella!$H$58</f>
        <v>0.27208851901262943</v>
      </c>
      <c r="X242" s="10">
        <f>GraphSalmonella!$B$80*Salmonella!I242+GraphSalmonella!$B$81</f>
        <v>0.2738497546709393</v>
      </c>
      <c r="Y242" s="10">
        <f>GraphSalmonella!$E$80*Salmonella!I242+GraphSalmonella!$E$81</f>
        <v>0.2823920067305572</v>
      </c>
      <c r="Z242" s="10">
        <f>GraphSalmonella!$H$80*Salmonella!I242+GraphSalmonella!$H$81</f>
        <v>-6.4512686973317024E-2</v>
      </c>
    </row>
    <row r="243" spans="1:26" x14ac:dyDescent="0.2">
      <c r="A243" s="1" t="s">
        <v>66</v>
      </c>
      <c r="B243" s="1" t="s">
        <v>70</v>
      </c>
      <c r="D243" t="s">
        <v>11</v>
      </c>
      <c r="E243" s="1" t="s">
        <v>305</v>
      </c>
      <c r="F243" s="1" t="s">
        <v>330</v>
      </c>
      <c r="G243" s="9"/>
      <c r="H243" s="4">
        <v>9.1999999999999993</v>
      </c>
      <c r="I243" s="4">
        <v>54.8</v>
      </c>
      <c r="J243" s="11">
        <v>0.64</v>
      </c>
      <c r="K243" s="4">
        <v>4.2</v>
      </c>
      <c r="L243" s="12">
        <f t="shared" si="7"/>
        <v>-0.19382002601611281</v>
      </c>
      <c r="M243" s="11">
        <f>GraphSalmonella!$B$10-(Salmonella!I243-GraphSalmonella!$B$6)/GraphSalmonella!$B$5</f>
        <v>0.84338562139875939</v>
      </c>
      <c r="N243" s="1" t="s">
        <v>319</v>
      </c>
      <c r="O243">
        <v>2000</v>
      </c>
      <c r="S243" s="10">
        <f>GraphSalmonella!$B$57*Salmonella!I243+GraphSalmonella!$B$58</f>
        <v>0.66163264172569569</v>
      </c>
      <c r="T243" s="10">
        <f>GraphSalmonella!$E$57*Salmonella!I243+GraphSalmonella!$E$58</f>
        <v>3.3923154702181648</v>
      </c>
      <c r="U243" s="10">
        <f>GraphSalmonella!$H$57*Salmonella!I243+GraphSalmonella!$H$58</f>
        <v>0.84412139847277068</v>
      </c>
      <c r="X243" s="10">
        <f>GraphSalmonella!$B$80*Salmonella!I243+GraphSalmonella!$B$81</f>
        <v>0.84628852913679964</v>
      </c>
      <c r="Y243" s="10">
        <f>GraphSalmonella!$E$80*Salmonella!I243+GraphSalmonella!$E$81</f>
        <v>0.86286445447127047</v>
      </c>
      <c r="Z243" s="10">
        <f>GraphSalmonella!$H$80*Salmonella!I243+GraphSalmonella!$H$81</f>
        <v>0.60723300186105078</v>
      </c>
    </row>
    <row r="244" spans="1:26" x14ac:dyDescent="0.2">
      <c r="A244" s="1" t="s">
        <v>66</v>
      </c>
      <c r="B244" s="1" t="s">
        <v>70</v>
      </c>
      <c r="D244" t="s">
        <v>11</v>
      </c>
      <c r="E244" s="1" t="s">
        <v>305</v>
      </c>
      <c r="F244" s="1" t="s">
        <v>330</v>
      </c>
      <c r="G244" s="9"/>
      <c r="H244" s="4">
        <v>9.1999999999999993</v>
      </c>
      <c r="I244" s="4">
        <v>55</v>
      </c>
      <c r="J244" s="11">
        <v>0.55000000000000004</v>
      </c>
      <c r="K244" s="4">
        <v>4.2</v>
      </c>
      <c r="L244" s="12">
        <f t="shared" si="7"/>
        <v>-0.25963731050575611</v>
      </c>
      <c r="M244" s="11">
        <f>GraphSalmonella!$B$10-(Salmonella!I244-GraphSalmonella!$B$6)/GraphSalmonella!$B$5</f>
        <v>0.82137940301840184</v>
      </c>
      <c r="N244" s="1" t="s">
        <v>319</v>
      </c>
      <c r="O244">
        <v>2000</v>
      </c>
      <c r="S244" s="10">
        <f>GraphSalmonella!$B$57*Salmonella!I244+GraphSalmonella!$B$58</f>
        <v>0.64967458751342466</v>
      </c>
      <c r="T244" s="10">
        <f>GraphSalmonella!$E$57*Salmonella!I244+GraphSalmonella!$E$58</f>
        <v>3.3824965658483515</v>
      </c>
      <c r="U244" s="10">
        <f>GraphSalmonella!$H$57*Salmonella!I244+GraphSalmonella!$H$58</f>
        <v>0.82212013387815031</v>
      </c>
      <c r="X244" s="10">
        <f>GraphSalmonella!$B$80*Salmonella!I244+GraphSalmonella!$B$81</f>
        <v>0.82427165319580453</v>
      </c>
      <c r="Y244" s="10">
        <f>GraphSalmonella!$E$80*Salmonella!I244+GraphSalmonella!$E$81</f>
        <v>0.84053859109662721</v>
      </c>
      <c r="Z244" s="10">
        <f>GraphSalmonella!$H$80*Salmonella!I244+GraphSalmonella!$H$81</f>
        <v>0.58139662921357438</v>
      </c>
    </row>
    <row r="245" spans="1:26" x14ac:dyDescent="0.2">
      <c r="A245" s="1" t="s">
        <v>66</v>
      </c>
      <c r="B245" s="1" t="s">
        <v>70</v>
      </c>
      <c r="D245" t="s">
        <v>11</v>
      </c>
      <c r="E245" s="1" t="s">
        <v>305</v>
      </c>
      <c r="F245" s="1" t="s">
        <v>330</v>
      </c>
      <c r="G245" s="9"/>
      <c r="I245" s="4">
        <v>55</v>
      </c>
      <c r="J245" s="11">
        <v>1</v>
      </c>
      <c r="L245" s="12">
        <f t="shared" si="7"/>
        <v>0</v>
      </c>
      <c r="M245" s="11">
        <f>GraphSalmonella!$B$10-(Salmonella!I245-GraphSalmonella!$B$6)/GraphSalmonella!$B$5</f>
        <v>0.82137940301840184</v>
      </c>
      <c r="N245" s="1" t="s">
        <v>319</v>
      </c>
      <c r="O245">
        <v>2000</v>
      </c>
      <c r="S245" s="10">
        <f>GraphSalmonella!$B$57*Salmonella!I245+GraphSalmonella!$B$58</f>
        <v>0.64967458751342466</v>
      </c>
      <c r="T245" s="10">
        <f>GraphSalmonella!$E$57*Salmonella!I245+GraphSalmonella!$E$58</f>
        <v>3.3824965658483515</v>
      </c>
      <c r="U245" s="10">
        <f>GraphSalmonella!$H$57*Salmonella!I245+GraphSalmonella!$H$58</f>
        <v>0.82212013387815031</v>
      </c>
      <c r="X245" s="10">
        <f>GraphSalmonella!$B$80*Salmonella!I245+GraphSalmonella!$B$81</f>
        <v>0.82427165319580453</v>
      </c>
      <c r="Y245" s="10">
        <f>GraphSalmonella!$E$80*Salmonella!I245+GraphSalmonella!$E$81</f>
        <v>0.84053859109662721</v>
      </c>
      <c r="Z245" s="10">
        <f>GraphSalmonella!$H$80*Salmonella!I245+GraphSalmonella!$H$81</f>
        <v>0.58139662921357438</v>
      </c>
    </row>
    <row r="246" spans="1:26" x14ac:dyDescent="0.2">
      <c r="A246" s="1" t="s">
        <v>66</v>
      </c>
      <c r="B246" s="1" t="s">
        <v>70</v>
      </c>
      <c r="D246" t="s">
        <v>11</v>
      </c>
      <c r="E246" s="1" t="s">
        <v>305</v>
      </c>
      <c r="F246" s="1" t="s">
        <v>330</v>
      </c>
      <c r="G246" s="9"/>
      <c r="H246" s="4">
        <v>9.1999999999999993</v>
      </c>
      <c r="I246" s="11">
        <v>56.7</v>
      </c>
      <c r="J246" s="4">
        <v>0.25</v>
      </c>
      <c r="K246" s="4">
        <v>4.2</v>
      </c>
      <c r="L246" s="12">
        <f t="shared" si="7"/>
        <v>-0.6020599913279624</v>
      </c>
      <c r="M246" s="11">
        <f>GraphSalmonella!$B$10-(Salmonella!I246-GraphSalmonella!$B$6)/GraphSalmonella!$B$5</f>
        <v>0.63432654678536471</v>
      </c>
      <c r="N246" s="1" t="s">
        <v>319</v>
      </c>
      <c r="O246">
        <v>2000</v>
      </c>
      <c r="S246" s="10">
        <f>GraphSalmonella!$B$57*Salmonella!I246+GraphSalmonella!$B$58</f>
        <v>0.54803112670912002</v>
      </c>
      <c r="T246" s="10">
        <f>GraphSalmonella!$E$57*Salmonella!I246+GraphSalmonella!$E$58</f>
        <v>3.2990358787049381</v>
      </c>
      <c r="U246" s="10">
        <f>GraphSalmonella!$H$57*Salmonella!I246+GraphSalmonella!$H$58</f>
        <v>0.63510938482387314</v>
      </c>
      <c r="X246" s="10">
        <f>GraphSalmonella!$B$80*Salmonella!I246+GraphSalmonella!$B$81</f>
        <v>0.63712820769734968</v>
      </c>
      <c r="Y246" s="10">
        <f>GraphSalmonella!$E$80*Salmonella!I246+GraphSalmonella!$E$81</f>
        <v>0.65076875241216303</v>
      </c>
      <c r="Z246" s="10">
        <f>GraphSalmonella!$H$80*Salmonella!I246+GraphSalmonella!$H$81</f>
        <v>0.36178746171003073</v>
      </c>
    </row>
    <row r="247" spans="1:26" x14ac:dyDescent="0.2">
      <c r="A247" s="1" t="s">
        <v>66</v>
      </c>
      <c r="B247" s="1" t="s">
        <v>70</v>
      </c>
      <c r="D247" t="s">
        <v>11</v>
      </c>
      <c r="E247" s="1" t="s">
        <v>305</v>
      </c>
      <c r="F247" s="1" t="s">
        <v>330</v>
      </c>
      <c r="G247" s="9"/>
      <c r="H247" s="4">
        <v>7.3</v>
      </c>
      <c r="I247" s="4">
        <v>58.3</v>
      </c>
      <c r="J247" s="11">
        <v>0.54</v>
      </c>
      <c r="K247" s="4">
        <v>4.2</v>
      </c>
      <c r="L247" s="12">
        <f t="shared" si="7"/>
        <v>-0.26760624017703144</v>
      </c>
      <c r="M247" s="11">
        <f>GraphSalmonella!$B$10-(Salmonella!I247-GraphSalmonella!$B$6)/GraphSalmonella!$B$5</f>
        <v>0.45827679974250723</v>
      </c>
      <c r="N247" s="1" t="s">
        <v>319</v>
      </c>
      <c r="O247">
        <v>2000</v>
      </c>
      <c r="S247" s="10">
        <f>GraphSalmonella!$B$57*Salmonella!I247+GraphSalmonella!$B$58</f>
        <v>0.45236669301095178</v>
      </c>
      <c r="T247" s="10">
        <f>GraphSalmonella!$E$57*Salmonella!I247+GraphSalmonella!$E$58</f>
        <v>3.2204846437464316</v>
      </c>
      <c r="U247" s="10">
        <f>GraphSalmonella!$H$57*Salmonella!I247+GraphSalmonella!$H$58</f>
        <v>0.4590992680669066</v>
      </c>
      <c r="X247" s="10">
        <f>GraphSalmonella!$B$80*Salmonella!I247+GraphSalmonella!$B$81</f>
        <v>0.46099320016939327</v>
      </c>
      <c r="Y247" s="10">
        <f>GraphSalmonella!$E$80*Salmonella!I247+GraphSalmonella!$E$81</f>
        <v>0.47216184541502138</v>
      </c>
      <c r="Z247" s="10">
        <f>GraphSalmonella!$H$80*Salmonella!I247+GraphSalmonella!$H$81</f>
        <v>0.15509648053022662</v>
      </c>
    </row>
    <row r="248" spans="1:26" x14ac:dyDescent="0.2">
      <c r="A248" s="1" t="s">
        <v>66</v>
      </c>
      <c r="B248" s="1" t="s">
        <v>70</v>
      </c>
      <c r="D248" t="s">
        <v>11</v>
      </c>
      <c r="E248" s="1" t="s">
        <v>305</v>
      </c>
      <c r="F248" s="1" t="s">
        <v>330</v>
      </c>
      <c r="G248" s="9"/>
      <c r="H248" s="4">
        <v>7.3</v>
      </c>
      <c r="I248" s="4">
        <v>60</v>
      </c>
      <c r="J248" s="11">
        <v>0.2</v>
      </c>
      <c r="K248" s="4">
        <v>4.2</v>
      </c>
      <c r="L248" s="12">
        <f t="shared" si="7"/>
        <v>-0.69897000433601875</v>
      </c>
      <c r="M248" s="11">
        <f>GraphSalmonella!$B$10-(Salmonella!I248-GraphSalmonella!$B$6)/GraphSalmonella!$B$5</f>
        <v>0.2712239435094701</v>
      </c>
      <c r="N248" s="1" t="s">
        <v>319</v>
      </c>
      <c r="O248">
        <v>2000</v>
      </c>
      <c r="S248" s="10">
        <f>GraphSalmonella!$B$57*Salmonella!I248+GraphSalmonella!$B$58</f>
        <v>0.35072323220664714</v>
      </c>
      <c r="T248" s="10">
        <f>GraphSalmonella!$E$57*Salmonella!I248+GraphSalmonella!$E$58</f>
        <v>3.1370239566030182</v>
      </c>
      <c r="U248" s="10">
        <f>GraphSalmonella!$H$57*Salmonella!I248+GraphSalmonella!$H$58</f>
        <v>0.27208851901262943</v>
      </c>
      <c r="X248" s="10">
        <f>GraphSalmonella!$B$80*Salmonella!I248+GraphSalmonella!$B$81</f>
        <v>0.2738497546709393</v>
      </c>
      <c r="Y248" s="10">
        <f>GraphSalmonella!$E$80*Salmonella!I248+GraphSalmonella!$E$81</f>
        <v>0.2823920067305572</v>
      </c>
      <c r="Z248" s="10">
        <f>GraphSalmonella!$H$80*Salmonella!I248+GraphSalmonella!$H$81</f>
        <v>-6.4512686973317024E-2</v>
      </c>
    </row>
    <row r="249" spans="1:26" x14ac:dyDescent="0.2">
      <c r="A249" s="1" t="s">
        <v>66</v>
      </c>
      <c r="B249" s="1" t="s">
        <v>70</v>
      </c>
      <c r="D249" t="s">
        <v>11</v>
      </c>
      <c r="E249" s="1" t="s">
        <v>305</v>
      </c>
      <c r="F249" s="1" t="s">
        <v>330</v>
      </c>
      <c r="G249" s="9"/>
      <c r="I249" s="4">
        <v>60</v>
      </c>
      <c r="J249" s="11">
        <v>0.3</v>
      </c>
      <c r="L249" s="12">
        <f t="shared" si="7"/>
        <v>-0.52287874528033762</v>
      </c>
      <c r="M249" s="11">
        <f>GraphSalmonella!$B$10-(Salmonella!I249-GraphSalmonella!$B$6)/GraphSalmonella!$B$5</f>
        <v>0.2712239435094701</v>
      </c>
      <c r="N249" s="1" t="s">
        <v>319</v>
      </c>
      <c r="O249">
        <v>2000</v>
      </c>
      <c r="S249" s="10">
        <f>GraphSalmonella!$B$57*Salmonella!I249+GraphSalmonella!$B$58</f>
        <v>0.35072323220664714</v>
      </c>
      <c r="T249" s="10">
        <f>GraphSalmonella!$E$57*Salmonella!I249+GraphSalmonella!$E$58</f>
        <v>3.1370239566030182</v>
      </c>
      <c r="U249" s="10">
        <f>GraphSalmonella!$H$57*Salmonella!I249+GraphSalmonella!$H$58</f>
        <v>0.27208851901262943</v>
      </c>
      <c r="X249" s="10">
        <f>GraphSalmonella!$B$80*Salmonella!I249+GraphSalmonella!$B$81</f>
        <v>0.2738497546709393</v>
      </c>
      <c r="Y249" s="10">
        <f>GraphSalmonella!$E$80*Salmonella!I249+GraphSalmonella!$E$81</f>
        <v>0.2823920067305572</v>
      </c>
      <c r="Z249" s="10">
        <f>GraphSalmonella!$H$80*Salmonella!I249+GraphSalmonella!$H$81</f>
        <v>-6.4512686973317024E-2</v>
      </c>
    </row>
    <row r="250" spans="1:26" x14ac:dyDescent="0.2">
      <c r="A250" s="1" t="s">
        <v>66</v>
      </c>
      <c r="B250" s="1" t="s">
        <v>70</v>
      </c>
      <c r="D250" t="s">
        <v>11</v>
      </c>
      <c r="E250" s="1" t="s">
        <v>305</v>
      </c>
      <c r="F250" s="1" t="s">
        <v>333</v>
      </c>
      <c r="G250" s="9"/>
      <c r="H250" s="4">
        <v>9.1999999999999993</v>
      </c>
      <c r="I250" s="4">
        <v>55</v>
      </c>
      <c r="J250" s="11">
        <v>1.2</v>
      </c>
      <c r="K250" s="4">
        <v>4.3</v>
      </c>
      <c r="L250" s="12">
        <f t="shared" si="7"/>
        <v>7.9181246047624818E-2</v>
      </c>
      <c r="M250" s="11">
        <f>GraphSalmonella!$B$10-(Salmonella!I250-GraphSalmonella!$B$6)/GraphSalmonella!$B$5</f>
        <v>0.82137940301840184</v>
      </c>
      <c r="N250" s="1" t="s">
        <v>319</v>
      </c>
      <c r="O250">
        <v>2000</v>
      </c>
      <c r="S250" s="10">
        <f>GraphSalmonella!$B$57*Salmonella!I250+GraphSalmonella!$B$58</f>
        <v>0.64967458751342466</v>
      </c>
      <c r="T250" s="10">
        <f>GraphSalmonella!$E$57*Salmonella!I250+GraphSalmonella!$E$58</f>
        <v>3.3824965658483515</v>
      </c>
      <c r="U250" s="10">
        <f>GraphSalmonella!$H$57*Salmonella!I250+GraphSalmonella!$H$58</f>
        <v>0.82212013387815031</v>
      </c>
      <c r="X250" s="10">
        <f>GraphSalmonella!$B$80*Salmonella!I250+GraphSalmonella!$B$81</f>
        <v>0.82427165319580453</v>
      </c>
      <c r="Y250" s="10">
        <f>GraphSalmonella!$E$80*Salmonella!I250+GraphSalmonella!$E$81</f>
        <v>0.84053859109662721</v>
      </c>
      <c r="Z250" s="10">
        <f>GraphSalmonella!$H$80*Salmonella!I250+GraphSalmonella!$H$81</f>
        <v>0.58139662921357438</v>
      </c>
    </row>
    <row r="251" spans="1:26" x14ac:dyDescent="0.2">
      <c r="A251" s="1" t="s">
        <v>66</v>
      </c>
      <c r="B251" s="1" t="s">
        <v>337</v>
      </c>
      <c r="D251" t="s">
        <v>11</v>
      </c>
      <c r="E251" s="1" t="s">
        <v>305</v>
      </c>
      <c r="F251" s="1" t="s">
        <v>338</v>
      </c>
      <c r="G251" s="9"/>
      <c r="H251" s="4">
        <v>8.8000000000000007</v>
      </c>
      <c r="I251" s="4">
        <v>51.5</v>
      </c>
      <c r="J251" s="11">
        <v>3.87</v>
      </c>
      <c r="L251" s="12">
        <f t="shared" si="7"/>
        <v>0.5877109650189114</v>
      </c>
      <c r="M251" s="11">
        <f>GraphSalmonella!$B$10-(Salmonella!I251-GraphSalmonella!$B$6)/GraphSalmonella!$B$5</f>
        <v>1.2064882246746538</v>
      </c>
      <c r="N251" s="1" t="s">
        <v>319</v>
      </c>
      <c r="O251">
        <v>2000</v>
      </c>
      <c r="S251" s="10">
        <f>GraphSalmonella!$B$57*Salmonella!I251+GraphSalmonella!$B$58</f>
        <v>0.85894053622816857</v>
      </c>
      <c r="T251" s="10">
        <f>GraphSalmonella!$E$57*Salmonella!I251+GraphSalmonella!$E$58</f>
        <v>3.5543273923200847</v>
      </c>
      <c r="U251" s="10">
        <f>GraphSalmonella!$H$57*Salmonella!I251+GraphSalmonella!$H$58</f>
        <v>1.2071422642840144</v>
      </c>
      <c r="X251" s="10">
        <f>GraphSalmonella!$B$80*Salmonella!I251+GraphSalmonella!$B$81</f>
        <v>1.20956698216321</v>
      </c>
      <c r="Y251" s="10">
        <f>GraphSalmonella!$E$80*Salmonella!I251+GraphSalmonella!$E$81</f>
        <v>1.2312412001528763</v>
      </c>
      <c r="Z251" s="10">
        <f>GraphSalmonella!$H$80*Salmonella!I251+GraphSalmonella!$H$81</f>
        <v>1.0335331505443994</v>
      </c>
    </row>
    <row r="252" spans="1:26" x14ac:dyDescent="0.2">
      <c r="A252" s="1" t="s">
        <v>66</v>
      </c>
      <c r="B252" s="1" t="s">
        <v>337</v>
      </c>
      <c r="D252" t="s">
        <v>11</v>
      </c>
      <c r="E252" s="1" t="s">
        <v>305</v>
      </c>
      <c r="F252" s="1" t="s">
        <v>338</v>
      </c>
      <c r="G252" s="9"/>
      <c r="H252" s="4">
        <v>8.8000000000000007</v>
      </c>
      <c r="I252" s="4">
        <v>53.2</v>
      </c>
      <c r="J252" s="11">
        <v>1.6</v>
      </c>
      <c r="L252" s="12">
        <f t="shared" si="7"/>
        <v>0.20411998265592479</v>
      </c>
      <c r="M252" s="11">
        <f>GraphSalmonella!$B$10-(Salmonella!I252-GraphSalmonella!$B$6)/GraphSalmonella!$B$5</f>
        <v>1.0194353684416169</v>
      </c>
      <c r="N252" s="1" t="s">
        <v>319</v>
      </c>
      <c r="O252">
        <v>2000</v>
      </c>
      <c r="S252" s="10">
        <f>GraphSalmonella!$B$57*Salmonella!I252+GraphSalmonella!$B$58</f>
        <v>0.75729707542386437</v>
      </c>
      <c r="T252" s="10">
        <f>GraphSalmonella!$E$57*Salmonella!I252+GraphSalmonella!$E$58</f>
        <v>3.4708667051766713</v>
      </c>
      <c r="U252" s="10">
        <f>GraphSalmonella!$H$57*Salmonella!I252+GraphSalmonella!$H$58</f>
        <v>1.0201315152297372</v>
      </c>
      <c r="X252" s="10">
        <f>GraphSalmonella!$B$80*Salmonella!I252+GraphSalmonella!$B$81</f>
        <v>1.022423536664756</v>
      </c>
      <c r="Y252" s="10">
        <f>GraphSalmonella!$E$80*Salmonella!I252+GraphSalmonella!$E$81</f>
        <v>1.0414713614684121</v>
      </c>
      <c r="Z252" s="10">
        <f>GraphSalmonella!$H$80*Salmonella!I252+GraphSalmonella!$H$81</f>
        <v>0.81392398304085578</v>
      </c>
    </row>
    <row r="253" spans="1:26" x14ac:dyDescent="0.2">
      <c r="A253" s="1" t="s">
        <v>66</v>
      </c>
      <c r="B253" s="1" t="s">
        <v>335</v>
      </c>
      <c r="D253" t="s">
        <v>11</v>
      </c>
      <c r="E253" s="1" t="s">
        <v>305</v>
      </c>
      <c r="F253" s="1" t="s">
        <v>334</v>
      </c>
      <c r="G253" s="9"/>
      <c r="H253" s="4">
        <v>9</v>
      </c>
      <c r="I253" s="4">
        <v>52.2</v>
      </c>
      <c r="J253" s="11">
        <v>0.81</v>
      </c>
      <c r="L253" s="12">
        <f t="shared" si="7"/>
        <v>-9.1514981121350217E-2</v>
      </c>
      <c r="M253" s="11">
        <f>GraphSalmonella!$B$10-(Salmonella!I253-GraphSalmonella!$B$6)/GraphSalmonella!$B$5</f>
        <v>1.1294664603434033</v>
      </c>
      <c r="N253" s="1" t="s">
        <v>319</v>
      </c>
      <c r="O253">
        <v>2000</v>
      </c>
      <c r="S253" s="10">
        <f>GraphSalmonella!$B$57*Salmonella!I253+GraphSalmonella!$B$58</f>
        <v>0.81708734648521952</v>
      </c>
      <c r="T253" s="10">
        <f>GraphSalmonella!$E$57*Salmonella!I253+GraphSalmonella!$E$58</f>
        <v>3.5199612270257377</v>
      </c>
      <c r="U253" s="10">
        <f>GraphSalmonella!$H$57*Salmonella!I253+GraphSalmonella!$H$58</f>
        <v>1.1301378382028409</v>
      </c>
      <c r="X253" s="10">
        <f>GraphSalmonella!$B$80*Salmonella!I253+GraphSalmonella!$B$81</f>
        <v>1.1325079163697289</v>
      </c>
      <c r="Y253" s="10">
        <f>GraphSalmonella!$E$80*Salmonella!I253+GraphSalmonella!$E$81</f>
        <v>1.1531006783416258</v>
      </c>
      <c r="Z253" s="10">
        <f>GraphSalmonella!$H$80*Salmonella!I253+GraphSalmonella!$H$81</f>
        <v>0.94310584627823424</v>
      </c>
    </row>
    <row r="254" spans="1:26" x14ac:dyDescent="0.2">
      <c r="A254" s="1" t="s">
        <v>66</v>
      </c>
      <c r="B254" s="1" t="s">
        <v>335</v>
      </c>
      <c r="D254" t="s">
        <v>11</v>
      </c>
      <c r="E254" s="1" t="s">
        <v>305</v>
      </c>
      <c r="F254" s="1" t="s">
        <v>334</v>
      </c>
      <c r="G254" s="9"/>
      <c r="H254" s="4">
        <v>9.5</v>
      </c>
      <c r="I254" s="4">
        <v>52.2</v>
      </c>
      <c r="J254" s="11">
        <v>0.55000000000000004</v>
      </c>
      <c r="L254" s="12">
        <f t="shared" si="7"/>
        <v>-0.25963731050575611</v>
      </c>
      <c r="M254" s="11">
        <f>GraphSalmonella!$B$10-(Salmonella!I254-GraphSalmonella!$B$6)/GraphSalmonella!$B$5</f>
        <v>1.1294664603434033</v>
      </c>
      <c r="N254" s="1" t="s">
        <v>319</v>
      </c>
      <c r="O254">
        <v>2000</v>
      </c>
      <c r="S254" s="10">
        <f>GraphSalmonella!$B$57*Salmonella!I254+GraphSalmonella!$B$58</f>
        <v>0.81708734648521952</v>
      </c>
      <c r="T254" s="10">
        <f>GraphSalmonella!$E$57*Salmonella!I254+GraphSalmonella!$E$58</f>
        <v>3.5199612270257377</v>
      </c>
      <c r="U254" s="10">
        <f>GraphSalmonella!$H$57*Salmonella!I254+GraphSalmonella!$H$58</f>
        <v>1.1301378382028409</v>
      </c>
      <c r="X254" s="10">
        <f>GraphSalmonella!$B$80*Salmonella!I254+GraphSalmonella!$B$81</f>
        <v>1.1325079163697289</v>
      </c>
      <c r="Y254" s="10">
        <f>GraphSalmonella!$E$80*Salmonella!I254+GraphSalmonella!$E$81</f>
        <v>1.1531006783416258</v>
      </c>
      <c r="Z254" s="10">
        <f>GraphSalmonella!$H$80*Salmonella!I254+GraphSalmonella!$H$81</f>
        <v>0.94310584627823424</v>
      </c>
    </row>
    <row r="255" spans="1:26" x14ac:dyDescent="0.2">
      <c r="A255" s="1" t="s">
        <v>66</v>
      </c>
      <c r="B255" s="1" t="s">
        <v>335</v>
      </c>
      <c r="D255" t="s">
        <v>11</v>
      </c>
      <c r="E255" s="1" t="s">
        <v>305</v>
      </c>
      <c r="F255" s="1" t="s">
        <v>334</v>
      </c>
      <c r="G255" s="9"/>
      <c r="H255" s="4">
        <v>9</v>
      </c>
      <c r="I255" s="4">
        <v>55</v>
      </c>
      <c r="J255" s="11">
        <v>0.22</v>
      </c>
      <c r="L255" s="12">
        <f t="shared" si="7"/>
        <v>-0.65757731917779372</v>
      </c>
      <c r="M255" s="11">
        <f>GraphSalmonella!$B$10-(Salmonella!I255-GraphSalmonella!$B$6)/GraphSalmonella!$B$5</f>
        <v>0.82137940301840184</v>
      </c>
      <c r="N255" s="1" t="s">
        <v>319</v>
      </c>
      <c r="O255">
        <v>2000</v>
      </c>
      <c r="S255" s="10">
        <f>GraphSalmonella!$B$57*Salmonella!I255+GraphSalmonella!$B$58</f>
        <v>0.64967458751342466</v>
      </c>
      <c r="T255" s="10">
        <f>GraphSalmonella!$E$57*Salmonella!I255+GraphSalmonella!$E$58</f>
        <v>3.3824965658483515</v>
      </c>
      <c r="U255" s="10">
        <f>GraphSalmonella!$H$57*Salmonella!I255+GraphSalmonella!$H$58</f>
        <v>0.82212013387815031</v>
      </c>
      <c r="X255" s="10">
        <f>GraphSalmonella!$B$80*Salmonella!I255+GraphSalmonella!$B$81</f>
        <v>0.82427165319580453</v>
      </c>
      <c r="Y255" s="10">
        <f>GraphSalmonella!$E$80*Salmonella!I255+GraphSalmonella!$E$81</f>
        <v>0.84053859109662721</v>
      </c>
      <c r="Z255" s="10">
        <f>GraphSalmonella!$H$80*Salmonella!I255+GraphSalmonella!$H$81</f>
        <v>0.58139662921357438</v>
      </c>
    </row>
    <row r="256" spans="1:26" x14ac:dyDescent="0.2">
      <c r="A256" s="1" t="s">
        <v>66</v>
      </c>
      <c r="B256" s="1" t="s">
        <v>335</v>
      </c>
      <c r="D256" t="s">
        <v>11</v>
      </c>
      <c r="E256" s="1" t="s">
        <v>305</v>
      </c>
      <c r="F256" s="1" t="s">
        <v>334</v>
      </c>
      <c r="G256" s="9"/>
      <c r="H256" s="4">
        <v>9.5</v>
      </c>
      <c r="I256" s="4">
        <v>55</v>
      </c>
      <c r="J256" s="11">
        <v>0.15</v>
      </c>
      <c r="L256" s="12">
        <f t="shared" si="7"/>
        <v>-0.82390874094431876</v>
      </c>
      <c r="M256" s="11">
        <f>GraphSalmonella!$B$10-(Salmonella!I256-GraphSalmonella!$B$6)/GraphSalmonella!$B$5</f>
        <v>0.82137940301840184</v>
      </c>
      <c r="N256" s="1" t="s">
        <v>319</v>
      </c>
      <c r="O256">
        <v>2000</v>
      </c>
      <c r="S256" s="10">
        <f>GraphSalmonella!$B$57*Salmonella!I256+GraphSalmonella!$B$58</f>
        <v>0.64967458751342466</v>
      </c>
      <c r="T256" s="10">
        <f>GraphSalmonella!$E$57*Salmonella!I256+GraphSalmonella!$E$58</f>
        <v>3.3824965658483515</v>
      </c>
      <c r="U256" s="10">
        <f>GraphSalmonella!$H$57*Salmonella!I256+GraphSalmonella!$H$58</f>
        <v>0.82212013387815031</v>
      </c>
      <c r="X256" s="10">
        <f>GraphSalmonella!$B$80*Salmonella!I256+GraphSalmonella!$B$81</f>
        <v>0.82427165319580453</v>
      </c>
      <c r="Y256" s="10">
        <f>GraphSalmonella!$E$80*Salmonella!I256+GraphSalmonella!$E$81</f>
        <v>0.84053859109662721</v>
      </c>
      <c r="Z256" s="10">
        <f>GraphSalmonella!$H$80*Salmonella!I256+GraphSalmonella!$H$81</f>
        <v>0.58139662921357438</v>
      </c>
    </row>
    <row r="257" spans="1:26" x14ac:dyDescent="0.2">
      <c r="A257" s="1" t="s">
        <v>66</v>
      </c>
      <c r="B257" s="1" t="s">
        <v>67</v>
      </c>
      <c r="C257" t="s">
        <v>312</v>
      </c>
      <c r="D257" t="s">
        <v>11</v>
      </c>
      <c r="E257" s="1" t="s">
        <v>305</v>
      </c>
      <c r="F257" s="1" t="s">
        <v>334</v>
      </c>
      <c r="G257" s="9"/>
      <c r="H257" s="4">
        <v>9</v>
      </c>
      <c r="I257" s="4">
        <v>52.2</v>
      </c>
      <c r="J257" s="11">
        <v>3.1</v>
      </c>
      <c r="L257" s="12">
        <f t="shared" si="7"/>
        <v>0.49136169383427269</v>
      </c>
      <c r="M257" s="11">
        <f>GraphSalmonella!$B$10-(Salmonella!I257-GraphSalmonella!$B$6)/GraphSalmonella!$B$5</f>
        <v>1.1294664603434033</v>
      </c>
      <c r="N257" s="1" t="s">
        <v>319</v>
      </c>
      <c r="O257">
        <v>2000</v>
      </c>
      <c r="S257" s="10">
        <f>GraphSalmonella!$B$57*Salmonella!I257+GraphSalmonella!$B$58</f>
        <v>0.81708734648521952</v>
      </c>
      <c r="T257" s="10">
        <f>GraphSalmonella!$E$57*Salmonella!I257+GraphSalmonella!$E$58</f>
        <v>3.5199612270257377</v>
      </c>
      <c r="U257" s="10">
        <f>GraphSalmonella!$H$57*Salmonella!I257+GraphSalmonella!$H$58</f>
        <v>1.1301378382028409</v>
      </c>
      <c r="X257" s="10">
        <f>GraphSalmonella!$B$80*Salmonella!I257+GraphSalmonella!$B$81</f>
        <v>1.1325079163697289</v>
      </c>
      <c r="Y257" s="10">
        <f>GraphSalmonella!$E$80*Salmonella!I257+GraphSalmonella!$E$81</f>
        <v>1.1531006783416258</v>
      </c>
      <c r="Z257" s="10">
        <f>GraphSalmonella!$H$80*Salmonella!I257+GraphSalmonella!$H$81</f>
        <v>0.94310584627823424</v>
      </c>
    </row>
    <row r="258" spans="1:26" x14ac:dyDescent="0.2">
      <c r="A258" s="1" t="s">
        <v>66</v>
      </c>
      <c r="B258" s="1" t="s">
        <v>67</v>
      </c>
      <c r="C258" t="s">
        <v>312</v>
      </c>
      <c r="D258" t="s">
        <v>11</v>
      </c>
      <c r="E258" s="1" t="s">
        <v>305</v>
      </c>
      <c r="F258" s="1" t="s">
        <v>334</v>
      </c>
      <c r="G258" s="9"/>
      <c r="H258" s="4">
        <v>9.5</v>
      </c>
      <c r="I258" s="4">
        <v>52.2</v>
      </c>
      <c r="J258" s="11">
        <v>1.47</v>
      </c>
      <c r="L258" s="12">
        <f t="shared" si="7"/>
        <v>0.16731733474817609</v>
      </c>
      <c r="M258" s="11">
        <f>GraphSalmonella!$B$10-(Salmonella!I258-GraphSalmonella!$B$6)/GraphSalmonella!$B$5</f>
        <v>1.1294664603434033</v>
      </c>
      <c r="N258" s="1" t="s">
        <v>319</v>
      </c>
      <c r="O258">
        <v>2000</v>
      </c>
      <c r="S258" s="10">
        <f>GraphSalmonella!$B$57*Salmonella!I258+GraphSalmonella!$B$58</f>
        <v>0.81708734648521952</v>
      </c>
      <c r="T258" s="10">
        <f>GraphSalmonella!$E$57*Salmonella!I258+GraphSalmonella!$E$58</f>
        <v>3.5199612270257377</v>
      </c>
      <c r="U258" s="10">
        <f>GraphSalmonella!$H$57*Salmonella!I258+GraphSalmonella!$H$58</f>
        <v>1.1301378382028409</v>
      </c>
      <c r="X258" s="10">
        <f>GraphSalmonella!$B$80*Salmonella!I258+GraphSalmonella!$B$81</f>
        <v>1.1325079163697289</v>
      </c>
      <c r="Y258" s="10">
        <f>GraphSalmonella!$E$80*Salmonella!I258+GraphSalmonella!$E$81</f>
        <v>1.1531006783416258</v>
      </c>
      <c r="Z258" s="10">
        <f>GraphSalmonella!$H$80*Salmonella!I258+GraphSalmonella!$H$81</f>
        <v>0.94310584627823424</v>
      </c>
    </row>
    <row r="259" spans="1:26" x14ac:dyDescent="0.2">
      <c r="A259" s="1" t="s">
        <v>66</v>
      </c>
      <c r="B259" s="1" t="s">
        <v>67</v>
      </c>
      <c r="C259" t="s">
        <v>312</v>
      </c>
      <c r="D259" t="s">
        <v>11</v>
      </c>
      <c r="E259" s="1" t="s">
        <v>305</v>
      </c>
      <c r="F259" s="1" t="s">
        <v>334</v>
      </c>
      <c r="G259" s="9"/>
      <c r="H259" s="4">
        <v>9</v>
      </c>
      <c r="I259" s="4">
        <v>55</v>
      </c>
      <c r="J259" s="11">
        <v>0.78</v>
      </c>
      <c r="L259" s="12">
        <f t="shared" si="7"/>
        <v>-0.10790539730951958</v>
      </c>
      <c r="M259" s="11">
        <f>GraphSalmonella!$B$10-(Salmonella!I259-GraphSalmonella!$B$6)/GraphSalmonella!$B$5</f>
        <v>0.82137940301840184</v>
      </c>
      <c r="N259" s="1" t="s">
        <v>319</v>
      </c>
      <c r="O259">
        <v>2000</v>
      </c>
      <c r="S259" s="10">
        <f>GraphSalmonella!$B$57*Salmonella!I259+GraphSalmonella!$B$58</f>
        <v>0.64967458751342466</v>
      </c>
      <c r="T259" s="10">
        <f>GraphSalmonella!$E$57*Salmonella!I259+GraphSalmonella!$E$58</f>
        <v>3.3824965658483515</v>
      </c>
      <c r="U259" s="10">
        <f>GraphSalmonella!$H$57*Salmonella!I259+GraphSalmonella!$H$58</f>
        <v>0.82212013387815031</v>
      </c>
      <c r="X259" s="10">
        <f>GraphSalmonella!$B$80*Salmonella!I259+GraphSalmonella!$B$81</f>
        <v>0.82427165319580453</v>
      </c>
      <c r="Y259" s="10">
        <f>GraphSalmonella!$E$80*Salmonella!I259+GraphSalmonella!$E$81</f>
        <v>0.84053859109662721</v>
      </c>
      <c r="Z259" s="10">
        <f>GraphSalmonella!$H$80*Salmonella!I259+GraphSalmonella!$H$81</f>
        <v>0.58139662921357438</v>
      </c>
    </row>
    <row r="260" spans="1:26" x14ac:dyDescent="0.2">
      <c r="A260" s="1" t="s">
        <v>66</v>
      </c>
      <c r="B260" s="1" t="s">
        <v>67</v>
      </c>
      <c r="C260" t="s">
        <v>312</v>
      </c>
      <c r="D260" t="s">
        <v>11</v>
      </c>
      <c r="E260" s="1" t="s">
        <v>305</v>
      </c>
      <c r="F260" s="1" t="s">
        <v>334</v>
      </c>
      <c r="G260" s="9"/>
      <c r="H260" s="4">
        <v>9.5</v>
      </c>
      <c r="I260" s="4">
        <v>55</v>
      </c>
      <c r="J260" s="11">
        <v>0.36</v>
      </c>
      <c r="L260" s="12">
        <f t="shared" si="7"/>
        <v>-0.44369749923271273</v>
      </c>
      <c r="M260" s="11">
        <f>GraphSalmonella!$B$10-(Salmonella!I260-GraphSalmonella!$B$6)/GraphSalmonella!$B$5</f>
        <v>0.82137940301840184</v>
      </c>
      <c r="N260" s="1" t="s">
        <v>319</v>
      </c>
      <c r="O260">
        <v>2000</v>
      </c>
      <c r="S260" s="10">
        <f>GraphSalmonella!$B$57*Salmonella!I260+GraphSalmonella!$B$58</f>
        <v>0.64967458751342466</v>
      </c>
      <c r="T260" s="10">
        <f>GraphSalmonella!$E$57*Salmonella!I260+GraphSalmonella!$E$58</f>
        <v>3.3824965658483515</v>
      </c>
      <c r="U260" s="10">
        <f>GraphSalmonella!$H$57*Salmonella!I260+GraphSalmonella!$H$58</f>
        <v>0.82212013387815031</v>
      </c>
      <c r="X260" s="10">
        <f>GraphSalmonella!$B$80*Salmonella!I260+GraphSalmonella!$B$81</f>
        <v>0.82427165319580453</v>
      </c>
      <c r="Y260" s="10">
        <f>GraphSalmonella!$E$80*Salmonella!I260+GraphSalmonella!$E$81</f>
        <v>0.84053859109662721</v>
      </c>
      <c r="Z260" s="10">
        <f>GraphSalmonella!$H$80*Salmonella!I260+GraphSalmonella!$H$81</f>
        <v>0.58139662921357438</v>
      </c>
    </row>
    <row r="261" spans="1:26" x14ac:dyDescent="0.2">
      <c r="A261" s="1" t="s">
        <v>66</v>
      </c>
      <c r="B261" s="1" t="s">
        <v>109</v>
      </c>
      <c r="D261" t="s">
        <v>11</v>
      </c>
      <c r="E261" s="1" t="s">
        <v>305</v>
      </c>
      <c r="F261" s="1" t="s">
        <v>331</v>
      </c>
      <c r="G261" s="9"/>
      <c r="I261" s="4">
        <v>55</v>
      </c>
      <c r="J261" s="11">
        <v>0.6</v>
      </c>
      <c r="L261" s="12">
        <f t="shared" si="7"/>
        <v>-0.22184874961635639</v>
      </c>
      <c r="M261" s="11">
        <f>GraphSalmonella!$B$10-(Salmonella!I261-GraphSalmonella!$B$6)/GraphSalmonella!$B$5</f>
        <v>0.82137940301840184</v>
      </c>
      <c r="N261" s="1" t="s">
        <v>319</v>
      </c>
      <c r="O261">
        <v>2000</v>
      </c>
      <c r="S261" s="10">
        <f>GraphSalmonella!$B$57*Salmonella!I261+GraphSalmonella!$B$58</f>
        <v>0.64967458751342466</v>
      </c>
      <c r="T261" s="10">
        <f>GraphSalmonella!$E$57*Salmonella!I261+GraphSalmonella!$E$58</f>
        <v>3.3824965658483515</v>
      </c>
      <c r="U261" s="10">
        <f>GraphSalmonella!$H$57*Salmonella!I261+GraphSalmonella!$H$58</f>
        <v>0.82212013387815031</v>
      </c>
      <c r="X261" s="10">
        <f>GraphSalmonella!$B$80*Salmonella!I261+GraphSalmonella!$B$81</f>
        <v>0.82427165319580453</v>
      </c>
      <c r="Y261" s="10">
        <f>GraphSalmonella!$E$80*Salmonella!I261+GraphSalmonella!$E$81</f>
        <v>0.84053859109662721</v>
      </c>
      <c r="Z261" s="10">
        <f>GraphSalmonella!$H$80*Salmonella!I261+GraphSalmonella!$H$81</f>
        <v>0.58139662921357438</v>
      </c>
    </row>
    <row r="262" spans="1:26" x14ac:dyDescent="0.2">
      <c r="A262" s="1" t="s">
        <v>66</v>
      </c>
      <c r="B262" s="1" t="s">
        <v>109</v>
      </c>
      <c r="D262" t="s">
        <v>11</v>
      </c>
      <c r="E262" s="1" t="s">
        <v>305</v>
      </c>
      <c r="F262" s="1" t="s">
        <v>332</v>
      </c>
      <c r="G262" s="9"/>
      <c r="I262" s="4">
        <v>55</v>
      </c>
      <c r="J262" s="11">
        <v>0.55000000000000004</v>
      </c>
      <c r="L262" s="12">
        <f t="shared" si="7"/>
        <v>-0.25963731050575611</v>
      </c>
      <c r="M262" s="11">
        <f>GraphSalmonella!$B$10-(Salmonella!I262-GraphSalmonella!$B$6)/GraphSalmonella!$B$5</f>
        <v>0.82137940301840184</v>
      </c>
      <c r="N262" s="1" t="s">
        <v>319</v>
      </c>
      <c r="O262">
        <v>2000</v>
      </c>
      <c r="S262" s="10">
        <f>GraphSalmonella!$B$57*Salmonella!I262+GraphSalmonella!$B$58</f>
        <v>0.64967458751342466</v>
      </c>
      <c r="T262" s="10">
        <f>GraphSalmonella!$E$57*Salmonella!I262+GraphSalmonella!$E$58</f>
        <v>3.3824965658483515</v>
      </c>
      <c r="U262" s="10">
        <f>GraphSalmonella!$H$57*Salmonella!I262+GraphSalmonella!$H$58</f>
        <v>0.82212013387815031</v>
      </c>
      <c r="X262" s="10">
        <f>GraphSalmonella!$B$80*Salmonella!I262+GraphSalmonella!$B$81</f>
        <v>0.82427165319580453</v>
      </c>
      <c r="Y262" s="10">
        <f>GraphSalmonella!$E$80*Salmonella!I262+GraphSalmonella!$E$81</f>
        <v>0.84053859109662721</v>
      </c>
      <c r="Z262" s="10">
        <f>GraphSalmonella!$H$80*Salmonella!I262+GraphSalmonella!$H$81</f>
        <v>0.58139662921357438</v>
      </c>
    </row>
    <row r="263" spans="1:26" x14ac:dyDescent="0.2">
      <c r="A263" s="1" t="s">
        <v>66</v>
      </c>
      <c r="B263" s="1" t="s">
        <v>109</v>
      </c>
      <c r="D263" t="s">
        <v>11</v>
      </c>
      <c r="E263" s="1" t="s">
        <v>305</v>
      </c>
      <c r="F263" s="1" t="s">
        <v>306</v>
      </c>
      <c r="G263" s="9"/>
      <c r="I263" s="4">
        <v>50</v>
      </c>
      <c r="J263" s="11">
        <v>33.979999999999997</v>
      </c>
      <c r="L263" s="12">
        <f t="shared" si="7"/>
        <v>1.5312233745330268</v>
      </c>
      <c r="M263" s="11">
        <f>GraphSalmonella!$B$10-(Salmonella!I263-GraphSalmonella!$B$6)/GraphSalmonella!$B$5</f>
        <v>1.3715348625273336</v>
      </c>
      <c r="N263" s="1" t="s">
        <v>319</v>
      </c>
      <c r="O263">
        <v>2000</v>
      </c>
      <c r="S263" s="10">
        <f>GraphSalmonella!$B$57*Salmonella!I263+GraphSalmonella!$B$58</f>
        <v>0.94862594282020174</v>
      </c>
      <c r="T263" s="10">
        <f>GraphSalmonella!$E$57*Salmonella!I263+GraphSalmonella!$E$58</f>
        <v>3.6279691750936842</v>
      </c>
      <c r="U263" s="10">
        <f>GraphSalmonella!$H$57*Salmonella!I263+GraphSalmonella!$H$58</f>
        <v>1.3721517487436703</v>
      </c>
      <c r="X263" s="10">
        <f>GraphSalmonella!$B$80*Salmonella!I263+GraphSalmonella!$B$81</f>
        <v>1.3746935517206698</v>
      </c>
      <c r="Y263" s="10">
        <f>GraphSalmonella!$E$80*Salmonella!I263+GraphSalmonella!$E$81</f>
        <v>1.3986851754626972</v>
      </c>
      <c r="Z263" s="10">
        <f>GraphSalmonella!$H$80*Salmonella!I263+GraphSalmonella!$H$81</f>
        <v>1.2273059454004667</v>
      </c>
    </row>
    <row r="264" spans="1:26" x14ac:dyDescent="0.2">
      <c r="A264" s="1" t="s">
        <v>66</v>
      </c>
      <c r="B264" s="1" t="s">
        <v>109</v>
      </c>
      <c r="D264" t="s">
        <v>11</v>
      </c>
      <c r="E264" s="1" t="s">
        <v>305</v>
      </c>
      <c r="F264" s="1" t="s">
        <v>306</v>
      </c>
      <c r="G264" s="9"/>
      <c r="I264" s="4">
        <v>50</v>
      </c>
      <c r="J264" s="11">
        <v>9.3000000000000007</v>
      </c>
      <c r="L264" s="12">
        <f t="shared" si="7"/>
        <v>0.96848294855393513</v>
      </c>
      <c r="M264" s="11">
        <f>GraphSalmonella!$B$10-(Salmonella!I264-GraphSalmonella!$B$6)/GraphSalmonella!$B$5</f>
        <v>1.3715348625273336</v>
      </c>
      <c r="N264" s="1" t="s">
        <v>319</v>
      </c>
      <c r="O264">
        <v>2000</v>
      </c>
      <c r="P264" t="s">
        <v>320</v>
      </c>
      <c r="S264" s="10">
        <f>GraphSalmonella!$B$57*Salmonella!I264+GraphSalmonella!$B$58</f>
        <v>0.94862594282020174</v>
      </c>
      <c r="T264" s="10">
        <f>GraphSalmonella!$E$57*Salmonella!I264+GraphSalmonella!$E$58</f>
        <v>3.6279691750936842</v>
      </c>
      <c r="U264" s="10">
        <f>GraphSalmonella!$H$57*Salmonella!I264+GraphSalmonella!$H$58</f>
        <v>1.3721517487436703</v>
      </c>
      <c r="X264" s="10">
        <f>GraphSalmonella!$B$80*Salmonella!I264+GraphSalmonella!$B$81</f>
        <v>1.3746935517206698</v>
      </c>
      <c r="Y264" s="10">
        <f>GraphSalmonella!$E$80*Salmonella!I264+GraphSalmonella!$E$81</f>
        <v>1.3986851754626972</v>
      </c>
      <c r="Z264" s="10">
        <f>GraphSalmonella!$H$80*Salmonella!I264+GraphSalmonella!$H$81</f>
        <v>1.2273059454004667</v>
      </c>
    </row>
    <row r="265" spans="1:26" x14ac:dyDescent="0.2">
      <c r="A265" s="1" t="s">
        <v>66</v>
      </c>
      <c r="B265" s="1" t="s">
        <v>109</v>
      </c>
      <c r="D265" t="s">
        <v>11</v>
      </c>
      <c r="E265" s="1" t="s">
        <v>305</v>
      </c>
      <c r="F265" s="1" t="s">
        <v>306</v>
      </c>
      <c r="G265" s="9"/>
      <c r="I265" s="4">
        <v>50</v>
      </c>
      <c r="J265" s="11">
        <v>16.5</v>
      </c>
      <c r="L265" s="12">
        <f t="shared" si="7"/>
        <v>1.2174839442139063</v>
      </c>
      <c r="M265" s="11">
        <f>GraphSalmonella!$B$10-(Salmonella!I265-GraphSalmonella!$B$6)/GraphSalmonella!$B$5</f>
        <v>1.3715348625273336</v>
      </c>
      <c r="N265" s="1" t="s">
        <v>319</v>
      </c>
      <c r="O265">
        <v>2000</v>
      </c>
      <c r="P265" t="s">
        <v>321</v>
      </c>
      <c r="S265" s="10">
        <f>GraphSalmonella!$B$57*Salmonella!I265+GraphSalmonella!$B$58</f>
        <v>0.94862594282020174</v>
      </c>
      <c r="T265" s="10">
        <f>GraphSalmonella!$E$57*Salmonella!I265+GraphSalmonella!$E$58</f>
        <v>3.6279691750936842</v>
      </c>
      <c r="U265" s="10">
        <f>GraphSalmonella!$H$57*Salmonella!I265+GraphSalmonella!$H$58</f>
        <v>1.3721517487436703</v>
      </c>
      <c r="X265" s="10">
        <f>GraphSalmonella!$B$80*Salmonella!I265+GraphSalmonella!$B$81</f>
        <v>1.3746935517206698</v>
      </c>
      <c r="Y265" s="10">
        <f>GraphSalmonella!$E$80*Salmonella!I265+GraphSalmonella!$E$81</f>
        <v>1.3986851754626972</v>
      </c>
      <c r="Z265" s="10">
        <f>GraphSalmonella!$H$80*Salmonella!I265+GraphSalmonella!$H$81</f>
        <v>1.2273059454004667</v>
      </c>
    </row>
    <row r="266" spans="1:26" x14ac:dyDescent="0.2">
      <c r="A266" s="1" t="s">
        <v>66</v>
      </c>
      <c r="B266" s="1" t="s">
        <v>109</v>
      </c>
      <c r="D266" t="s">
        <v>11</v>
      </c>
      <c r="E266" s="1" t="s">
        <v>305</v>
      </c>
      <c r="F266" s="1" t="s">
        <v>306</v>
      </c>
      <c r="G266" s="9"/>
      <c r="I266" s="4">
        <v>55</v>
      </c>
      <c r="J266" s="11">
        <v>1.4</v>
      </c>
      <c r="L266" s="12">
        <f t="shared" si="7"/>
        <v>0.14612803567823801</v>
      </c>
      <c r="M266" s="11">
        <f>GraphSalmonella!$B$10-(Salmonella!I266-GraphSalmonella!$B$6)/GraphSalmonella!$B$5</f>
        <v>0.82137940301840184</v>
      </c>
      <c r="N266" s="1" t="s">
        <v>319</v>
      </c>
      <c r="O266">
        <v>2000</v>
      </c>
      <c r="P266" t="s">
        <v>320</v>
      </c>
      <c r="S266" s="10">
        <f>GraphSalmonella!$B$57*Salmonella!I266+GraphSalmonella!$B$58</f>
        <v>0.64967458751342466</v>
      </c>
      <c r="T266" s="10">
        <f>GraphSalmonella!$E$57*Salmonella!I266+GraphSalmonella!$E$58</f>
        <v>3.3824965658483515</v>
      </c>
      <c r="U266" s="10">
        <f>GraphSalmonella!$H$57*Salmonella!I266+GraphSalmonella!$H$58</f>
        <v>0.82212013387815031</v>
      </c>
      <c r="X266" s="10">
        <f>GraphSalmonella!$B$80*Salmonella!I266+GraphSalmonella!$B$81</f>
        <v>0.82427165319580453</v>
      </c>
      <c r="Y266" s="10">
        <f>GraphSalmonella!$E$80*Salmonella!I266+GraphSalmonella!$E$81</f>
        <v>0.84053859109662721</v>
      </c>
      <c r="Z266" s="10">
        <f>GraphSalmonella!$H$80*Salmonella!I266+GraphSalmonella!$H$81</f>
        <v>0.58139662921357438</v>
      </c>
    </row>
    <row r="267" spans="1:26" x14ac:dyDescent="0.2">
      <c r="A267" s="1" t="s">
        <v>66</v>
      </c>
      <c r="B267" s="1" t="s">
        <v>109</v>
      </c>
      <c r="D267" t="s">
        <v>11</v>
      </c>
      <c r="E267" s="1" t="s">
        <v>305</v>
      </c>
      <c r="F267" s="1" t="s">
        <v>306</v>
      </c>
      <c r="G267" s="9"/>
      <c r="I267" s="4">
        <v>55</v>
      </c>
      <c r="J267" s="11">
        <v>6.4</v>
      </c>
      <c r="L267" s="12">
        <f t="shared" si="7"/>
        <v>0.80617997398388719</v>
      </c>
      <c r="M267" s="11">
        <f>GraphSalmonella!$B$10-(Salmonella!I267-GraphSalmonella!$B$6)/GraphSalmonella!$B$5</f>
        <v>0.82137940301840184</v>
      </c>
      <c r="N267" s="1" t="s">
        <v>319</v>
      </c>
      <c r="O267">
        <v>2000</v>
      </c>
      <c r="P267" t="s">
        <v>320</v>
      </c>
      <c r="S267" s="10">
        <f>GraphSalmonella!$B$57*Salmonella!I267+GraphSalmonella!$B$58</f>
        <v>0.64967458751342466</v>
      </c>
      <c r="T267" s="10">
        <f>GraphSalmonella!$E$57*Salmonella!I267+GraphSalmonella!$E$58</f>
        <v>3.3824965658483515</v>
      </c>
      <c r="U267" s="10">
        <f>GraphSalmonella!$H$57*Salmonella!I267+GraphSalmonella!$H$58</f>
        <v>0.82212013387815031</v>
      </c>
      <c r="X267" s="10">
        <f>GraphSalmonella!$B$80*Salmonella!I267+GraphSalmonella!$B$81</f>
        <v>0.82427165319580453</v>
      </c>
      <c r="Y267" s="10">
        <f>GraphSalmonella!$E$80*Salmonella!I267+GraphSalmonella!$E$81</f>
        <v>0.84053859109662721</v>
      </c>
      <c r="Z267" s="10">
        <f>GraphSalmonella!$H$80*Salmonella!I267+GraphSalmonella!$H$81</f>
        <v>0.58139662921357438</v>
      </c>
    </row>
    <row r="268" spans="1:26" x14ac:dyDescent="0.2">
      <c r="A268" s="1" t="s">
        <v>66</v>
      </c>
      <c r="B268" s="1" t="s">
        <v>109</v>
      </c>
      <c r="D268" t="s">
        <v>11</v>
      </c>
      <c r="E268" s="1" t="s">
        <v>305</v>
      </c>
      <c r="F268" s="1" t="s">
        <v>306</v>
      </c>
      <c r="G268" s="9"/>
      <c r="I268" s="4">
        <v>55</v>
      </c>
      <c r="J268" s="11">
        <v>1.6</v>
      </c>
      <c r="L268" s="12">
        <f t="shared" si="7"/>
        <v>0.20411998265592479</v>
      </c>
      <c r="M268" s="11">
        <f>GraphSalmonella!$B$10-(Salmonella!I268-GraphSalmonella!$B$6)/GraphSalmonella!$B$5</f>
        <v>0.82137940301840184</v>
      </c>
      <c r="N268" s="1" t="s">
        <v>319</v>
      </c>
      <c r="O268">
        <v>2000</v>
      </c>
      <c r="P268" t="s">
        <v>321</v>
      </c>
      <c r="S268" s="10">
        <f>GraphSalmonella!$B$57*Salmonella!I268+GraphSalmonella!$B$58</f>
        <v>0.64967458751342466</v>
      </c>
      <c r="T268" s="10">
        <f>GraphSalmonella!$E$57*Salmonella!I268+GraphSalmonella!$E$58</f>
        <v>3.3824965658483515</v>
      </c>
      <c r="U268" s="10">
        <f>GraphSalmonella!$H$57*Salmonella!I268+GraphSalmonella!$H$58</f>
        <v>0.82212013387815031</v>
      </c>
      <c r="X268" s="10">
        <f>GraphSalmonella!$B$80*Salmonella!I268+GraphSalmonella!$B$81</f>
        <v>0.82427165319580453</v>
      </c>
      <c r="Y268" s="10">
        <f>GraphSalmonella!$E$80*Salmonella!I268+GraphSalmonella!$E$81</f>
        <v>0.84053859109662721</v>
      </c>
      <c r="Z268" s="10">
        <f>GraphSalmonella!$H$80*Salmonella!I268+GraphSalmonella!$H$81</f>
        <v>0.58139662921357438</v>
      </c>
    </row>
    <row r="269" spans="1:26" x14ac:dyDescent="0.2">
      <c r="A269" s="1" t="s">
        <v>66</v>
      </c>
      <c r="B269" s="1" t="s">
        <v>109</v>
      </c>
      <c r="D269" t="s">
        <v>11</v>
      </c>
      <c r="E269" s="1" t="s">
        <v>305</v>
      </c>
      <c r="F269" s="1" t="s">
        <v>306</v>
      </c>
      <c r="G269" s="9"/>
      <c r="I269" s="4">
        <v>57.5</v>
      </c>
      <c r="J269" s="11">
        <v>0.5</v>
      </c>
      <c r="L269" s="12">
        <f t="shared" si="7"/>
        <v>-0.3010299956639812</v>
      </c>
      <c r="M269" s="11">
        <f>GraphSalmonella!$B$10-(Salmonella!I269-GraphSalmonella!$B$6)/GraphSalmonella!$B$5</f>
        <v>0.54630167326393586</v>
      </c>
      <c r="N269" s="1" t="s">
        <v>319</v>
      </c>
      <c r="O269">
        <v>2000</v>
      </c>
      <c r="P269" t="s">
        <v>320</v>
      </c>
      <c r="S269" s="10">
        <f>GraphSalmonella!$B$57*Salmonella!I269+GraphSalmonella!$B$58</f>
        <v>0.5001989098600359</v>
      </c>
      <c r="T269" s="10">
        <f>GraphSalmonella!$E$57*Salmonella!I269+GraphSalmonella!$E$58</f>
        <v>3.2597602612256846</v>
      </c>
      <c r="U269" s="10">
        <f>GraphSalmonella!$H$57*Salmonella!I269+GraphSalmonella!$H$58</f>
        <v>0.54710432644538987</v>
      </c>
      <c r="X269" s="10">
        <f>GraphSalmonella!$B$80*Salmonella!I269+GraphSalmonella!$B$81</f>
        <v>0.54906070393337192</v>
      </c>
      <c r="Y269" s="10">
        <f>GraphSalmonella!$E$80*Salmonella!I269+GraphSalmonella!$E$81</f>
        <v>0.56146529891359265</v>
      </c>
      <c r="Z269" s="10">
        <f>GraphSalmonella!$H$80*Salmonella!I269+GraphSalmonella!$H$81</f>
        <v>0.25844197112012868</v>
      </c>
    </row>
    <row r="270" spans="1:26" x14ac:dyDescent="0.2">
      <c r="A270" s="1" t="s">
        <v>66</v>
      </c>
      <c r="B270" s="1" t="s">
        <v>109</v>
      </c>
      <c r="D270" t="s">
        <v>11</v>
      </c>
      <c r="E270" s="1" t="s">
        <v>305</v>
      </c>
      <c r="F270" s="1" t="s">
        <v>306</v>
      </c>
      <c r="G270" s="9"/>
      <c r="I270" s="4">
        <v>57.5</v>
      </c>
      <c r="J270" s="11">
        <v>0.7</v>
      </c>
      <c r="L270" s="12">
        <f t="shared" si="7"/>
        <v>-0.15490195998574319</v>
      </c>
      <c r="M270" s="11">
        <f>GraphSalmonella!$B$10-(Salmonella!I270-GraphSalmonella!$B$6)/GraphSalmonella!$B$5</f>
        <v>0.54630167326393586</v>
      </c>
      <c r="N270" s="1" t="s">
        <v>319</v>
      </c>
      <c r="O270">
        <v>2000</v>
      </c>
      <c r="P270" t="s">
        <v>321</v>
      </c>
      <c r="S270" s="10">
        <f>GraphSalmonella!$B$57*Salmonella!I270+GraphSalmonella!$B$58</f>
        <v>0.5001989098600359</v>
      </c>
      <c r="T270" s="10">
        <f>GraphSalmonella!$E$57*Salmonella!I270+GraphSalmonella!$E$58</f>
        <v>3.2597602612256846</v>
      </c>
      <c r="U270" s="10">
        <f>GraphSalmonella!$H$57*Salmonella!I270+GraphSalmonella!$H$58</f>
        <v>0.54710432644538987</v>
      </c>
      <c r="X270" s="10">
        <f>GraphSalmonella!$B$80*Salmonella!I270+GraphSalmonella!$B$81</f>
        <v>0.54906070393337192</v>
      </c>
      <c r="Y270" s="10">
        <f>GraphSalmonella!$E$80*Salmonella!I270+GraphSalmonella!$E$81</f>
        <v>0.56146529891359265</v>
      </c>
      <c r="Z270" s="10">
        <f>GraphSalmonella!$H$80*Salmonella!I270+GraphSalmonella!$H$81</f>
        <v>0.25844197112012868</v>
      </c>
    </row>
    <row r="271" spans="1:26" x14ac:dyDescent="0.2">
      <c r="A271" s="1" t="s">
        <v>66</v>
      </c>
      <c r="B271" s="1" t="s">
        <v>109</v>
      </c>
      <c r="D271" t="s">
        <v>11</v>
      </c>
      <c r="E271" s="1" t="s">
        <v>305</v>
      </c>
      <c r="F271" s="1" t="s">
        <v>306</v>
      </c>
      <c r="G271" s="9"/>
      <c r="I271" s="4">
        <v>60</v>
      </c>
      <c r="J271" s="11">
        <v>3.06</v>
      </c>
      <c r="L271" s="12">
        <f t="shared" si="7"/>
        <v>0.48572142648158001</v>
      </c>
      <c r="M271" s="11">
        <f>GraphSalmonella!$B$10-(Salmonella!I271-GraphSalmonella!$B$6)/GraphSalmonella!$B$5</f>
        <v>0.2712239435094701</v>
      </c>
      <c r="N271" s="1" t="s">
        <v>319</v>
      </c>
      <c r="O271">
        <v>2000</v>
      </c>
      <c r="S271" s="10">
        <f>GraphSalmonella!$B$57*Salmonella!I271+GraphSalmonella!$B$58</f>
        <v>0.35072323220664714</v>
      </c>
      <c r="T271" s="10">
        <f>GraphSalmonella!$E$57*Salmonella!I271+GraphSalmonella!$E$58</f>
        <v>3.1370239566030182</v>
      </c>
      <c r="U271" s="10">
        <f>GraphSalmonella!$H$57*Salmonella!I271+GraphSalmonella!$H$58</f>
        <v>0.27208851901262943</v>
      </c>
      <c r="X271" s="10">
        <f>GraphSalmonella!$B$80*Salmonella!I271+GraphSalmonella!$B$81</f>
        <v>0.2738497546709393</v>
      </c>
      <c r="Y271" s="10">
        <f>GraphSalmonella!$E$80*Salmonella!I271+GraphSalmonella!$E$81</f>
        <v>0.2823920067305572</v>
      </c>
      <c r="Z271" s="10">
        <f>GraphSalmonella!$H$80*Salmonella!I271+GraphSalmonella!$H$81</f>
        <v>-6.4512686973317024E-2</v>
      </c>
    </row>
    <row r="272" spans="1:26" x14ac:dyDescent="0.2">
      <c r="A272" s="1" t="s">
        <v>66</v>
      </c>
      <c r="B272" s="1" t="s">
        <v>109</v>
      </c>
      <c r="D272" t="s">
        <v>11</v>
      </c>
      <c r="E272" s="1" t="s">
        <v>305</v>
      </c>
      <c r="F272" s="1" t="s">
        <v>306</v>
      </c>
      <c r="G272" s="9"/>
      <c r="I272" s="4">
        <v>60</v>
      </c>
      <c r="J272" s="11">
        <v>0.4</v>
      </c>
      <c r="L272" s="12">
        <f t="shared" si="7"/>
        <v>-0.3979400086720376</v>
      </c>
      <c r="M272" s="11">
        <f>GraphSalmonella!$B$10-(Salmonella!I272-GraphSalmonella!$B$6)/GraphSalmonella!$B$5</f>
        <v>0.2712239435094701</v>
      </c>
      <c r="N272" s="1" t="s">
        <v>319</v>
      </c>
      <c r="O272">
        <v>2000</v>
      </c>
      <c r="P272" t="s">
        <v>320</v>
      </c>
      <c r="S272" s="10">
        <f>GraphSalmonella!$B$57*Salmonella!I272+GraphSalmonella!$B$58</f>
        <v>0.35072323220664714</v>
      </c>
      <c r="T272" s="10">
        <f>GraphSalmonella!$E$57*Salmonella!I272+GraphSalmonella!$E$58</f>
        <v>3.1370239566030182</v>
      </c>
      <c r="U272" s="10">
        <f>GraphSalmonella!$H$57*Salmonella!I272+GraphSalmonella!$H$58</f>
        <v>0.27208851901262943</v>
      </c>
      <c r="X272" s="10">
        <f>GraphSalmonella!$B$80*Salmonella!I272+GraphSalmonella!$B$81</f>
        <v>0.2738497546709393</v>
      </c>
      <c r="Y272" s="10">
        <f>GraphSalmonella!$E$80*Salmonella!I272+GraphSalmonella!$E$81</f>
        <v>0.2823920067305572</v>
      </c>
      <c r="Z272" s="10">
        <f>GraphSalmonella!$H$80*Salmonella!I272+GraphSalmonella!$H$81</f>
        <v>-6.4512686973317024E-2</v>
      </c>
    </row>
    <row r="273" spans="1:26" x14ac:dyDescent="0.2">
      <c r="A273" s="1" t="s">
        <v>66</v>
      </c>
      <c r="B273" s="1" t="s">
        <v>109</v>
      </c>
      <c r="D273" t="s">
        <v>11</v>
      </c>
      <c r="E273" s="1" t="s">
        <v>305</v>
      </c>
      <c r="F273" s="1" t="s">
        <v>306</v>
      </c>
      <c r="G273" s="9"/>
      <c r="I273" s="4">
        <v>64</v>
      </c>
      <c r="J273" s="11">
        <v>0.22</v>
      </c>
      <c r="L273" s="12">
        <f t="shared" si="7"/>
        <v>-0.65757731917779372</v>
      </c>
      <c r="M273" s="11">
        <f>GraphSalmonella!$B$10-(Salmonella!I273-GraphSalmonella!$B$6)/GraphSalmonella!$B$5</f>
        <v>-0.16890042409767536</v>
      </c>
      <c r="N273" s="1" t="s">
        <v>319</v>
      </c>
      <c r="O273">
        <v>2000</v>
      </c>
      <c r="P273" t="s">
        <v>320</v>
      </c>
      <c r="S273" s="10">
        <f>GraphSalmonella!$B$57*Salmonella!I273+GraphSalmonella!$B$58</f>
        <v>0.11156214796122521</v>
      </c>
      <c r="T273" s="10">
        <f>GraphSalmonella!$E$57*Salmonella!I273+GraphSalmonella!$E$58</f>
        <v>2.9406458692067519</v>
      </c>
      <c r="U273" s="10">
        <f>GraphSalmonella!$H$57*Salmonella!I273+GraphSalmonella!$H$58</f>
        <v>-0.16793677287978692</v>
      </c>
      <c r="X273" s="10">
        <f>GraphSalmonella!$B$80*Salmonella!I273+GraphSalmonella!$B$81</f>
        <v>-0.16648776414895305</v>
      </c>
      <c r="Y273" s="10">
        <f>GraphSalmonella!$E$80*Salmonella!I273+GraphSalmonella!$E$81</f>
        <v>-0.16412526076229828</v>
      </c>
      <c r="Z273" s="10">
        <f>GraphSalmonella!$H$80*Salmonella!I273+GraphSalmonella!$H$81</f>
        <v>-0.58124013992283086</v>
      </c>
    </row>
    <row r="274" spans="1:26" x14ac:dyDescent="0.2">
      <c r="A274" s="1" t="s">
        <v>66</v>
      </c>
      <c r="B274" s="1" t="s">
        <v>109</v>
      </c>
      <c r="D274" t="s">
        <v>11</v>
      </c>
      <c r="E274" s="1" t="s">
        <v>305</v>
      </c>
      <c r="F274" s="1" t="s">
        <v>306</v>
      </c>
      <c r="G274" s="9"/>
      <c r="I274" s="4">
        <v>62.8</v>
      </c>
      <c r="J274" s="11">
        <v>0.06</v>
      </c>
      <c r="K274" s="4">
        <v>3.3</v>
      </c>
      <c r="L274" s="12">
        <f t="shared" si="7"/>
        <v>-1.2218487496163564</v>
      </c>
      <c r="M274" s="11">
        <f>GraphSalmonella!$B$10-(Salmonella!I274-GraphSalmonella!$B$6)/GraphSalmonella!$B$5</f>
        <v>-3.6863113815531423E-2</v>
      </c>
      <c r="N274" s="1" t="s">
        <v>294</v>
      </c>
      <c r="O274">
        <v>2000</v>
      </c>
      <c r="S274" s="10">
        <f>GraphSalmonella!$B$57*Salmonella!I274+GraphSalmonella!$B$58</f>
        <v>0.18331047323485183</v>
      </c>
      <c r="T274" s="10">
        <f>GraphSalmonella!$E$57*Salmonella!I274+GraphSalmonella!$E$58</f>
        <v>2.999559295425632</v>
      </c>
      <c r="U274" s="10">
        <f>GraphSalmonella!$H$57*Salmonella!I274+GraphSalmonella!$H$58</f>
        <v>-3.5929185312062017E-2</v>
      </c>
      <c r="X274" s="10">
        <f>GraphSalmonella!$B$80*Salmonella!I274+GraphSalmonella!$B$81</f>
        <v>-3.438650850298508E-2</v>
      </c>
      <c r="Y274" s="10">
        <f>GraphSalmonella!$E$80*Salmonella!I274+GraphSalmonella!$E$81</f>
        <v>-3.0170080514441366E-2</v>
      </c>
      <c r="Z274" s="10">
        <f>GraphSalmonella!$H$80*Salmonella!I274+GraphSalmonella!$H$81</f>
        <v>-0.426221904037976</v>
      </c>
    </row>
    <row r="275" spans="1:26" x14ac:dyDescent="0.2">
      <c r="A275" s="1" t="s">
        <v>66</v>
      </c>
      <c r="B275" s="1" t="s">
        <v>109</v>
      </c>
      <c r="D275" t="s">
        <v>11</v>
      </c>
      <c r="E275" s="1" t="s">
        <v>305</v>
      </c>
      <c r="F275" s="1" t="s">
        <v>306</v>
      </c>
      <c r="G275" s="9"/>
      <c r="I275" s="4">
        <v>54.4</v>
      </c>
      <c r="J275" s="11">
        <v>18.86</v>
      </c>
      <c r="L275" s="12">
        <f t="shared" si="7"/>
        <v>1.2755416884013095</v>
      </c>
      <c r="M275" s="11">
        <f>GraphSalmonella!$B$10-(Salmonella!I275-GraphSalmonella!$B$6)/GraphSalmonella!$B$5</f>
        <v>0.88739805815947381</v>
      </c>
      <c r="N275" s="1" t="s">
        <v>398</v>
      </c>
      <c r="O275">
        <v>1991</v>
      </c>
      <c r="P275" t="s">
        <v>322</v>
      </c>
      <c r="S275" s="10">
        <f>GraphSalmonella!$B$57*Salmonella!I275+GraphSalmonella!$B$58</f>
        <v>0.68554875015023775</v>
      </c>
      <c r="T275" s="10">
        <f>GraphSalmonella!$E$57*Salmonella!I275+GraphSalmonella!$E$58</f>
        <v>3.4119532789577915</v>
      </c>
      <c r="U275" s="10">
        <f>GraphSalmonella!$H$57*Salmonella!I275+GraphSalmonella!$H$58</f>
        <v>0.88812392766201231</v>
      </c>
      <c r="X275" s="10">
        <f>GraphSalmonella!$B$80*Salmonella!I275+GraphSalmonella!$B$81</f>
        <v>0.89032228101878808</v>
      </c>
      <c r="Y275" s="10">
        <f>GraphSalmonella!$E$80*Salmonella!I275+GraphSalmonella!$E$81</f>
        <v>0.90751618122055611</v>
      </c>
      <c r="Z275" s="10">
        <f>GraphSalmonella!$H$80*Salmonella!I275+GraphSalmonella!$H$81</f>
        <v>0.65890574715600181</v>
      </c>
    </row>
    <row r="276" spans="1:26" x14ac:dyDescent="0.2">
      <c r="A276" s="1" t="s">
        <v>66</v>
      </c>
      <c r="B276" s="1" t="s">
        <v>109</v>
      </c>
      <c r="D276" t="s">
        <v>11</v>
      </c>
      <c r="E276" s="1" t="s">
        <v>305</v>
      </c>
      <c r="F276" s="1" t="s">
        <v>306</v>
      </c>
      <c r="G276" s="9"/>
      <c r="I276" s="4">
        <v>57.2</v>
      </c>
      <c r="J276" s="11">
        <v>2.58</v>
      </c>
      <c r="K276" s="4">
        <v>3.3</v>
      </c>
      <c r="L276" s="12">
        <f t="shared" si="7"/>
        <v>0.41161970596323016</v>
      </c>
      <c r="M276" s="11">
        <f>GraphSalmonella!$B$10-(Salmonella!I276-GraphSalmonella!$B$6)/GraphSalmonella!$B$5</f>
        <v>0.57931100083447151</v>
      </c>
      <c r="N276" s="1" t="s">
        <v>398</v>
      </c>
      <c r="O276">
        <v>1991</v>
      </c>
      <c r="P276" t="s">
        <v>322</v>
      </c>
      <c r="S276" s="10">
        <f>GraphSalmonella!$B$57*Salmonella!I276+GraphSalmonella!$B$58</f>
        <v>0.51813599117844245</v>
      </c>
      <c r="T276" s="10">
        <f>GraphSalmonella!$E$57*Salmonella!I276+GraphSalmonella!$E$58</f>
        <v>3.2744886177804045</v>
      </c>
      <c r="U276" s="10">
        <f>GraphSalmonella!$H$57*Salmonella!I276+GraphSalmonella!$H$58</f>
        <v>0.58010622333732087</v>
      </c>
      <c r="X276" s="10">
        <f>GraphSalmonella!$B$80*Salmonella!I276+GraphSalmonella!$B$81</f>
        <v>0.58208601784486369</v>
      </c>
      <c r="Y276" s="10">
        <f>GraphSalmonella!$E$80*Salmonella!I276+GraphSalmonella!$E$81</f>
        <v>0.59495409397555665</v>
      </c>
      <c r="Z276" s="10">
        <f>GraphSalmonella!$H$80*Salmonella!I276+GraphSalmonella!$H$81</f>
        <v>0.29719653009134195</v>
      </c>
    </row>
    <row r="277" spans="1:26" x14ac:dyDescent="0.2">
      <c r="A277" s="1" t="s">
        <v>66</v>
      </c>
      <c r="B277" s="1" t="s">
        <v>109</v>
      </c>
      <c r="D277" t="s">
        <v>11</v>
      </c>
      <c r="E277" s="1" t="s">
        <v>305</v>
      </c>
      <c r="F277" s="1" t="s">
        <v>306</v>
      </c>
      <c r="G277" s="9"/>
      <c r="I277" s="4">
        <v>57.2</v>
      </c>
      <c r="J277" s="11">
        <v>4.88</v>
      </c>
      <c r="L277" s="12">
        <f t="shared" si="7"/>
        <v>0.68841982200271057</v>
      </c>
      <c r="M277" s="11">
        <f>GraphSalmonella!$B$10-(Salmonella!I277-GraphSalmonella!$B$6)/GraphSalmonella!$B$5</f>
        <v>0.57931100083447151</v>
      </c>
      <c r="N277" s="1" t="s">
        <v>398</v>
      </c>
      <c r="O277">
        <v>1991</v>
      </c>
      <c r="P277" t="s">
        <v>378</v>
      </c>
      <c r="S277" s="10">
        <f>GraphSalmonella!$B$57*Salmonella!I277+GraphSalmonella!$B$58</f>
        <v>0.51813599117844245</v>
      </c>
      <c r="T277" s="10">
        <f>GraphSalmonella!$E$57*Salmonella!I277+GraphSalmonella!$E$58</f>
        <v>3.2744886177804045</v>
      </c>
      <c r="U277" s="10">
        <f>GraphSalmonella!$H$57*Salmonella!I277+GraphSalmonella!$H$58</f>
        <v>0.58010622333732087</v>
      </c>
      <c r="X277" s="10">
        <f>GraphSalmonella!$B$80*Salmonella!I277+GraphSalmonella!$B$81</f>
        <v>0.58208601784486369</v>
      </c>
      <c r="Y277" s="10">
        <f>GraphSalmonella!$E$80*Salmonella!I277+GraphSalmonella!$E$81</f>
        <v>0.59495409397555665</v>
      </c>
      <c r="Z277" s="10">
        <f>GraphSalmonella!$H$80*Salmonella!I277+GraphSalmonella!$H$81</f>
        <v>0.29719653009134195</v>
      </c>
    </row>
    <row r="278" spans="1:26" x14ac:dyDescent="0.2">
      <c r="A278" s="1" t="s">
        <v>66</v>
      </c>
      <c r="B278" s="1" t="s">
        <v>109</v>
      </c>
      <c r="D278" t="s">
        <v>11</v>
      </c>
      <c r="E278" s="1" t="s">
        <v>305</v>
      </c>
      <c r="F278" s="1" t="s">
        <v>306</v>
      </c>
      <c r="G278" s="9"/>
      <c r="I278" s="4">
        <v>57.2</v>
      </c>
      <c r="J278" s="11">
        <v>2.64</v>
      </c>
      <c r="L278" s="12">
        <f t="shared" si="7"/>
        <v>0.42160392686983106</v>
      </c>
      <c r="M278" s="11">
        <f>GraphSalmonella!$B$10-(Salmonella!I278-GraphSalmonella!$B$6)/GraphSalmonella!$B$5</f>
        <v>0.57931100083447151</v>
      </c>
      <c r="N278" s="1" t="s">
        <v>398</v>
      </c>
      <c r="O278">
        <v>1991</v>
      </c>
      <c r="P278" t="s">
        <v>399</v>
      </c>
      <c r="S278" s="10">
        <f>GraphSalmonella!$B$57*Salmonella!I278+GraphSalmonella!$B$58</f>
        <v>0.51813599117844245</v>
      </c>
      <c r="T278" s="10">
        <f>GraphSalmonella!$E$57*Salmonella!I278+GraphSalmonella!$E$58</f>
        <v>3.2744886177804045</v>
      </c>
      <c r="U278" s="10">
        <f>GraphSalmonella!$H$57*Salmonella!I278+GraphSalmonella!$H$58</f>
        <v>0.58010622333732087</v>
      </c>
      <c r="X278" s="10">
        <f>GraphSalmonella!$B$80*Salmonella!I278+GraphSalmonella!$B$81</f>
        <v>0.58208601784486369</v>
      </c>
      <c r="Y278" s="10">
        <f>GraphSalmonella!$E$80*Salmonella!I278+GraphSalmonella!$E$81</f>
        <v>0.59495409397555665</v>
      </c>
      <c r="Z278" s="10">
        <f>GraphSalmonella!$H$80*Salmonella!I278+GraphSalmonella!$H$81</f>
        <v>0.29719653009134195</v>
      </c>
    </row>
    <row r="279" spans="1:26" x14ac:dyDescent="0.2">
      <c r="A279" s="1" t="s">
        <v>66</v>
      </c>
      <c r="B279" s="1" t="s">
        <v>109</v>
      </c>
      <c r="D279" t="s">
        <v>11</v>
      </c>
      <c r="E279" s="1" t="s">
        <v>305</v>
      </c>
      <c r="F279" s="1" t="s">
        <v>306</v>
      </c>
      <c r="G279" s="9"/>
      <c r="I279" s="4">
        <v>60</v>
      </c>
      <c r="J279" s="11">
        <v>0.36</v>
      </c>
      <c r="K279" s="4">
        <v>3.3</v>
      </c>
      <c r="L279" s="12">
        <f t="shared" si="7"/>
        <v>-0.44369749923271273</v>
      </c>
      <c r="M279" s="11">
        <f>GraphSalmonella!$B$10-(Salmonella!I279-GraphSalmonella!$B$6)/GraphSalmonella!$B$5</f>
        <v>0.2712239435094701</v>
      </c>
      <c r="N279" s="1" t="s">
        <v>398</v>
      </c>
      <c r="O279">
        <v>1991</v>
      </c>
      <c r="P279" t="s">
        <v>322</v>
      </c>
      <c r="S279" s="10">
        <f>GraphSalmonella!$B$57*Salmonella!I279+GraphSalmonella!$B$58</f>
        <v>0.35072323220664714</v>
      </c>
      <c r="T279" s="10">
        <f>GraphSalmonella!$E$57*Salmonella!I279+GraphSalmonella!$E$58</f>
        <v>3.1370239566030182</v>
      </c>
      <c r="U279" s="10">
        <f>GraphSalmonella!$H$57*Salmonella!I279+GraphSalmonella!$H$58</f>
        <v>0.27208851901262943</v>
      </c>
      <c r="X279" s="10">
        <f>GraphSalmonella!$B$80*Salmonella!I279+GraphSalmonella!$B$81</f>
        <v>0.2738497546709393</v>
      </c>
      <c r="Y279" s="10">
        <f>GraphSalmonella!$E$80*Salmonella!I279+GraphSalmonella!$E$81</f>
        <v>0.2823920067305572</v>
      </c>
      <c r="Z279" s="10">
        <f>GraphSalmonella!$H$80*Salmonella!I279+GraphSalmonella!$H$81</f>
        <v>-6.4512686973317024E-2</v>
      </c>
    </row>
    <row r="280" spans="1:26" x14ac:dyDescent="0.2">
      <c r="A280" s="1" t="s">
        <v>66</v>
      </c>
      <c r="B280" s="1" t="s">
        <v>109</v>
      </c>
      <c r="D280" t="s">
        <v>11</v>
      </c>
      <c r="E280" s="1" t="s">
        <v>305</v>
      </c>
      <c r="F280" s="1" t="s">
        <v>306</v>
      </c>
      <c r="G280" s="9"/>
      <c r="I280" s="4">
        <v>62.8</v>
      </c>
      <c r="J280" s="11">
        <v>0.06</v>
      </c>
      <c r="K280" s="4">
        <v>3.3</v>
      </c>
      <c r="L280" s="12">
        <f t="shared" ref="L280:L343" si="8">LOG(J280)</f>
        <v>-1.2218487496163564</v>
      </c>
      <c r="M280" s="11">
        <f>GraphSalmonella!$B$10-(Salmonella!I280-GraphSalmonella!$B$6)/GraphSalmonella!$B$5</f>
        <v>-3.6863113815531423E-2</v>
      </c>
      <c r="N280" s="1" t="s">
        <v>398</v>
      </c>
      <c r="O280">
        <v>1991</v>
      </c>
      <c r="P280" t="s">
        <v>322</v>
      </c>
      <c r="S280" s="10">
        <f>GraphSalmonella!$B$57*Salmonella!I280+GraphSalmonella!$B$58</f>
        <v>0.18331047323485183</v>
      </c>
      <c r="T280" s="10">
        <f>GraphSalmonella!$E$57*Salmonella!I280+GraphSalmonella!$E$58</f>
        <v>2.999559295425632</v>
      </c>
      <c r="U280" s="10">
        <f>GraphSalmonella!$H$57*Salmonella!I280+GraphSalmonella!$H$58</f>
        <v>-3.5929185312062017E-2</v>
      </c>
      <c r="X280" s="10">
        <f>GraphSalmonella!$B$80*Salmonella!I280+GraphSalmonella!$B$81</f>
        <v>-3.438650850298508E-2</v>
      </c>
      <c r="Y280" s="10">
        <f>GraphSalmonella!$E$80*Salmonella!I280+GraphSalmonella!$E$81</f>
        <v>-3.0170080514441366E-2</v>
      </c>
      <c r="Z280" s="10">
        <f>GraphSalmonella!$H$80*Salmonella!I280+GraphSalmonella!$H$81</f>
        <v>-0.426221904037976</v>
      </c>
    </row>
    <row r="281" spans="1:26" x14ac:dyDescent="0.2">
      <c r="A281" s="1" t="s">
        <v>66</v>
      </c>
      <c r="B281" s="1" t="s">
        <v>67</v>
      </c>
      <c r="C281" t="s">
        <v>312</v>
      </c>
      <c r="D281" t="s">
        <v>11</v>
      </c>
      <c r="E281" s="1" t="s">
        <v>305</v>
      </c>
      <c r="F281" s="1" t="s">
        <v>306</v>
      </c>
      <c r="G281" s="9"/>
      <c r="I281" s="4">
        <v>63</v>
      </c>
      <c r="J281" s="11">
        <v>1.1000000000000001</v>
      </c>
      <c r="L281" s="12">
        <f t="shared" si="8"/>
        <v>4.1392685158225077E-2</v>
      </c>
      <c r="M281" s="11">
        <f>GraphSalmonella!$B$10-(Salmonella!I281-GraphSalmonella!$B$6)/GraphSalmonella!$B$5</f>
        <v>-5.8869332195888968E-2</v>
      </c>
      <c r="N281" s="1" t="s">
        <v>543</v>
      </c>
      <c r="O281">
        <v>2001</v>
      </c>
      <c r="S281" s="10">
        <f>GraphSalmonella!$B$57*Salmonella!I281+GraphSalmonella!$B$58</f>
        <v>0.1713524190225808</v>
      </c>
      <c r="T281" s="10">
        <f>GraphSalmonella!$E$57*Salmonella!I281+GraphSalmonella!$E$58</f>
        <v>2.9897403910558187</v>
      </c>
      <c r="U281" s="10">
        <f>GraphSalmonella!$H$57*Salmonella!I281+GraphSalmonella!$H$58</f>
        <v>-5.7930449906682391E-2</v>
      </c>
      <c r="X281" s="10">
        <f>GraphSalmonella!$B$80*Salmonella!I281+GraphSalmonella!$B$81</f>
        <v>-5.6403384443980187E-2</v>
      </c>
      <c r="Y281" s="10">
        <f>GraphSalmonella!$E$80*Salmonella!I281+GraphSalmonella!$E$81</f>
        <v>-5.2495943889084629E-2</v>
      </c>
      <c r="Z281" s="10">
        <f>GraphSalmonella!$H$80*Salmonella!I281+GraphSalmonella!$H$81</f>
        <v>-0.45205827668545329</v>
      </c>
    </row>
    <row r="282" spans="1:26" x14ac:dyDescent="0.2">
      <c r="A282" s="1" t="s">
        <v>66</v>
      </c>
      <c r="B282" s="1" t="s">
        <v>67</v>
      </c>
      <c r="C282" t="s">
        <v>329</v>
      </c>
      <c r="D282" t="s">
        <v>11</v>
      </c>
      <c r="E282" s="1" t="s">
        <v>305</v>
      </c>
      <c r="F282" s="1" t="s">
        <v>306</v>
      </c>
      <c r="G282" s="9"/>
      <c r="I282" s="4">
        <v>55</v>
      </c>
      <c r="J282" s="11">
        <v>34.299999999999997</v>
      </c>
      <c r="L282" s="12">
        <f t="shared" si="8"/>
        <v>1.5352941200427705</v>
      </c>
      <c r="M282" s="11">
        <f>GraphSalmonella!$B$10-(Salmonella!I282-GraphSalmonella!$B$6)/GraphSalmonella!$B$5</f>
        <v>0.82137940301840184</v>
      </c>
      <c r="N282" s="1" t="s">
        <v>319</v>
      </c>
      <c r="O282">
        <v>2000</v>
      </c>
      <c r="S282" s="10">
        <f>GraphSalmonella!$B$57*Salmonella!I282+GraphSalmonella!$B$58</f>
        <v>0.64967458751342466</v>
      </c>
      <c r="T282" s="10">
        <f>GraphSalmonella!$E$57*Salmonella!I282+GraphSalmonella!$E$58</f>
        <v>3.3824965658483515</v>
      </c>
      <c r="U282" s="10">
        <f>GraphSalmonella!$H$57*Salmonella!I282+GraphSalmonella!$H$58</f>
        <v>0.82212013387815031</v>
      </c>
      <c r="X282" s="10">
        <f>GraphSalmonella!$B$80*Salmonella!I282+GraphSalmonella!$B$81</f>
        <v>0.82427165319580453</v>
      </c>
      <c r="Y282" s="10">
        <f>GraphSalmonella!$E$80*Salmonella!I282+GraphSalmonella!$E$81</f>
        <v>0.84053859109662721</v>
      </c>
      <c r="Z282" s="10">
        <f>GraphSalmonella!$H$80*Salmonella!I282+GraphSalmonella!$H$81</f>
        <v>0.58139662921357438</v>
      </c>
    </row>
    <row r="283" spans="1:26" x14ac:dyDescent="0.2">
      <c r="A283" s="1" t="s">
        <v>66</v>
      </c>
      <c r="B283" s="1" t="s">
        <v>67</v>
      </c>
      <c r="C283" t="s">
        <v>329</v>
      </c>
      <c r="D283" t="s">
        <v>11</v>
      </c>
      <c r="E283" s="1" t="s">
        <v>305</v>
      </c>
      <c r="F283" s="1" t="s">
        <v>306</v>
      </c>
      <c r="G283" s="9"/>
      <c r="I283" s="4">
        <v>60</v>
      </c>
      <c r="J283" s="11">
        <v>5.6</v>
      </c>
      <c r="L283" s="12">
        <f t="shared" si="8"/>
        <v>0.74818802700620035</v>
      </c>
      <c r="M283" s="11">
        <f>GraphSalmonella!$B$10-(Salmonella!I283-GraphSalmonella!$B$6)/GraphSalmonella!$B$5</f>
        <v>0.2712239435094701</v>
      </c>
      <c r="N283" s="1" t="s">
        <v>319</v>
      </c>
      <c r="O283">
        <v>2000</v>
      </c>
      <c r="S283" s="10">
        <f>GraphSalmonella!$B$57*Salmonella!I283+GraphSalmonella!$B$58</f>
        <v>0.35072323220664714</v>
      </c>
      <c r="T283" s="10">
        <f>GraphSalmonella!$E$57*Salmonella!I283+GraphSalmonella!$E$58</f>
        <v>3.1370239566030182</v>
      </c>
      <c r="U283" s="10">
        <f>GraphSalmonella!$H$57*Salmonella!I283+GraphSalmonella!$H$58</f>
        <v>0.27208851901262943</v>
      </c>
      <c r="X283" s="10">
        <f>GraphSalmonella!$B$80*Salmonella!I283+GraphSalmonella!$B$81</f>
        <v>0.2738497546709393</v>
      </c>
      <c r="Y283" s="10">
        <f>GraphSalmonella!$E$80*Salmonella!I283+GraphSalmonella!$E$81</f>
        <v>0.2823920067305572</v>
      </c>
      <c r="Z283" s="10">
        <f>GraphSalmonella!$H$80*Salmonella!I283+GraphSalmonella!$H$81</f>
        <v>-6.4512686973317024E-2</v>
      </c>
    </row>
    <row r="284" spans="1:26" x14ac:dyDescent="0.2">
      <c r="A284" s="1" t="s">
        <v>66</v>
      </c>
      <c r="B284" s="1" t="s">
        <v>67</v>
      </c>
      <c r="C284" t="s">
        <v>329</v>
      </c>
      <c r="D284" t="s">
        <v>11</v>
      </c>
      <c r="E284" s="1" t="s">
        <v>305</v>
      </c>
      <c r="F284" s="1" t="s">
        <v>306</v>
      </c>
      <c r="G284" s="9"/>
      <c r="I284" s="4">
        <v>64</v>
      </c>
      <c r="J284" s="11">
        <v>2.8</v>
      </c>
      <c r="L284" s="12">
        <f t="shared" si="8"/>
        <v>0.44715803134221921</v>
      </c>
      <c r="M284" s="11">
        <f>GraphSalmonella!$B$10-(Salmonella!I284-GraphSalmonella!$B$6)/GraphSalmonella!$B$5</f>
        <v>-0.16890042409767536</v>
      </c>
      <c r="N284" s="1" t="s">
        <v>319</v>
      </c>
      <c r="O284">
        <v>2000</v>
      </c>
      <c r="S284" s="10">
        <f>GraphSalmonella!$B$57*Salmonella!I284+GraphSalmonella!$B$58</f>
        <v>0.11156214796122521</v>
      </c>
      <c r="T284" s="10">
        <f>GraphSalmonella!$E$57*Salmonella!I284+GraphSalmonella!$E$58</f>
        <v>2.9406458692067519</v>
      </c>
      <c r="U284" s="10">
        <f>GraphSalmonella!$H$57*Salmonella!I284+GraphSalmonella!$H$58</f>
        <v>-0.16793677287978692</v>
      </c>
      <c r="X284" s="10">
        <f>GraphSalmonella!$B$80*Salmonella!I284+GraphSalmonella!$B$81</f>
        <v>-0.16648776414895305</v>
      </c>
      <c r="Y284" s="10">
        <f>GraphSalmonella!$E$80*Salmonella!I284+GraphSalmonella!$E$81</f>
        <v>-0.16412526076229828</v>
      </c>
      <c r="Z284" s="10">
        <f>GraphSalmonella!$H$80*Salmonella!I284+GraphSalmonella!$H$81</f>
        <v>-0.58124013992283086</v>
      </c>
    </row>
    <row r="285" spans="1:26" x14ac:dyDescent="0.2">
      <c r="A285" s="1" t="s">
        <v>66</v>
      </c>
      <c r="B285" s="1" t="s">
        <v>70</v>
      </c>
      <c r="D285" t="s">
        <v>11</v>
      </c>
      <c r="E285" s="1" t="s">
        <v>305</v>
      </c>
      <c r="F285" s="1" t="s">
        <v>306</v>
      </c>
      <c r="G285" s="9"/>
      <c r="I285" s="4">
        <v>55</v>
      </c>
      <c r="J285" s="11">
        <v>2.2999999999999998</v>
      </c>
      <c r="L285" s="12">
        <f t="shared" si="8"/>
        <v>0.36172783601759284</v>
      </c>
      <c r="M285" s="11">
        <f>GraphSalmonella!$B$10-(Salmonella!I285-GraphSalmonella!$B$6)/GraphSalmonella!$B$5</f>
        <v>0.82137940301840184</v>
      </c>
      <c r="N285" s="1" t="s">
        <v>319</v>
      </c>
      <c r="O285">
        <v>2000</v>
      </c>
      <c r="S285" s="10">
        <f>GraphSalmonella!$B$57*Salmonella!I285+GraphSalmonella!$B$58</f>
        <v>0.64967458751342466</v>
      </c>
      <c r="T285" s="10">
        <f>GraphSalmonella!$E$57*Salmonella!I285+GraphSalmonella!$E$58</f>
        <v>3.3824965658483515</v>
      </c>
      <c r="U285" s="10">
        <f>GraphSalmonella!$H$57*Salmonella!I285+GraphSalmonella!$H$58</f>
        <v>0.82212013387815031</v>
      </c>
      <c r="X285" s="10">
        <f>GraphSalmonella!$B$80*Salmonella!I285+GraphSalmonella!$B$81</f>
        <v>0.82427165319580453</v>
      </c>
      <c r="Y285" s="10">
        <f>GraphSalmonella!$E$80*Salmonella!I285+GraphSalmonella!$E$81</f>
        <v>0.84053859109662721</v>
      </c>
      <c r="Z285" s="10">
        <f>GraphSalmonella!$H$80*Salmonella!I285+GraphSalmonella!$H$81</f>
        <v>0.58139662921357438</v>
      </c>
    </row>
    <row r="286" spans="1:26" x14ac:dyDescent="0.2">
      <c r="A286" s="1" t="s">
        <v>66</v>
      </c>
      <c r="B286" s="1" t="s">
        <v>70</v>
      </c>
      <c r="D286" t="s">
        <v>11</v>
      </c>
      <c r="E286" s="1" t="s">
        <v>305</v>
      </c>
      <c r="F286" s="1" t="s">
        <v>306</v>
      </c>
      <c r="G286" s="9"/>
      <c r="I286" s="4">
        <v>55</v>
      </c>
      <c r="J286" s="11">
        <v>4</v>
      </c>
      <c r="K286" s="4">
        <v>4.3</v>
      </c>
      <c r="L286" s="12">
        <f t="shared" si="8"/>
        <v>0.6020599913279624</v>
      </c>
      <c r="M286" s="11">
        <f>GraphSalmonella!$B$10-(Salmonella!I286-GraphSalmonella!$B$6)/GraphSalmonella!$B$5</f>
        <v>0.82137940301840184</v>
      </c>
      <c r="N286" s="1" t="s">
        <v>319</v>
      </c>
      <c r="O286">
        <v>2000</v>
      </c>
      <c r="S286" s="10">
        <f>GraphSalmonella!$B$57*Salmonella!I286+GraphSalmonella!$B$58</f>
        <v>0.64967458751342466</v>
      </c>
      <c r="T286" s="10">
        <f>GraphSalmonella!$E$57*Salmonella!I286+GraphSalmonella!$E$58</f>
        <v>3.3824965658483515</v>
      </c>
      <c r="U286" s="10">
        <f>GraphSalmonella!$H$57*Salmonella!I286+GraphSalmonella!$H$58</f>
        <v>0.82212013387815031</v>
      </c>
      <c r="X286" s="10">
        <f>GraphSalmonella!$B$80*Salmonella!I286+GraphSalmonella!$B$81</f>
        <v>0.82427165319580453</v>
      </c>
      <c r="Y286" s="10">
        <f>GraphSalmonella!$E$80*Salmonella!I286+GraphSalmonella!$E$81</f>
        <v>0.84053859109662721</v>
      </c>
      <c r="Z286" s="10">
        <f>GraphSalmonella!$H$80*Salmonella!I286+GraphSalmonella!$H$81</f>
        <v>0.58139662921357438</v>
      </c>
    </row>
    <row r="287" spans="1:26" x14ac:dyDescent="0.2">
      <c r="A287" s="1" t="s">
        <v>66</v>
      </c>
      <c r="B287" s="1" t="s">
        <v>70</v>
      </c>
      <c r="D287" t="s">
        <v>11</v>
      </c>
      <c r="E287" s="1" t="s">
        <v>305</v>
      </c>
      <c r="F287" s="1" t="s">
        <v>306</v>
      </c>
      <c r="G287" s="9"/>
      <c r="I287" s="4">
        <v>60</v>
      </c>
      <c r="J287" s="11">
        <v>0.2</v>
      </c>
      <c r="L287" s="12">
        <f t="shared" si="8"/>
        <v>-0.69897000433601875</v>
      </c>
      <c r="M287" s="11">
        <f>GraphSalmonella!$B$10-(Salmonella!I287-GraphSalmonella!$B$6)/GraphSalmonella!$B$5</f>
        <v>0.2712239435094701</v>
      </c>
      <c r="N287" s="1" t="s">
        <v>319</v>
      </c>
      <c r="O287">
        <v>2000</v>
      </c>
      <c r="S287" s="10">
        <f>GraphSalmonella!$B$57*Salmonella!I287+GraphSalmonella!$B$58</f>
        <v>0.35072323220664714</v>
      </c>
      <c r="T287" s="10">
        <f>GraphSalmonella!$E$57*Salmonella!I287+GraphSalmonella!$E$58</f>
        <v>3.1370239566030182</v>
      </c>
      <c r="U287" s="10">
        <f>GraphSalmonella!$H$57*Salmonella!I287+GraphSalmonella!$H$58</f>
        <v>0.27208851901262943</v>
      </c>
      <c r="X287" s="10">
        <f>GraphSalmonella!$B$80*Salmonella!I287+GraphSalmonella!$B$81</f>
        <v>0.2738497546709393</v>
      </c>
      <c r="Y287" s="10">
        <f>GraphSalmonella!$E$80*Salmonella!I287+GraphSalmonella!$E$81</f>
        <v>0.2823920067305572</v>
      </c>
      <c r="Z287" s="10">
        <f>GraphSalmonella!$H$80*Salmonella!I287+GraphSalmonella!$H$81</f>
        <v>-6.4512686973317024E-2</v>
      </c>
    </row>
    <row r="288" spans="1:26" x14ac:dyDescent="0.2">
      <c r="A288" s="1" t="s">
        <v>66</v>
      </c>
      <c r="B288" s="1" t="s">
        <v>70</v>
      </c>
      <c r="D288" t="s">
        <v>11</v>
      </c>
      <c r="E288" s="1" t="s">
        <v>305</v>
      </c>
      <c r="F288" s="1" t="s">
        <v>306</v>
      </c>
      <c r="G288" s="9"/>
      <c r="I288" s="4">
        <v>60</v>
      </c>
      <c r="J288" s="11">
        <v>0.28000000000000003</v>
      </c>
      <c r="K288" s="4">
        <v>4.3</v>
      </c>
      <c r="L288" s="12">
        <f t="shared" si="8"/>
        <v>-0.55284196865778079</v>
      </c>
      <c r="M288" s="11">
        <f>GraphSalmonella!$B$10-(Salmonella!I288-GraphSalmonella!$B$6)/GraphSalmonella!$B$5</f>
        <v>0.2712239435094701</v>
      </c>
      <c r="N288" s="1" t="s">
        <v>319</v>
      </c>
      <c r="O288">
        <v>2000</v>
      </c>
      <c r="S288" s="10">
        <f>GraphSalmonella!$B$57*Salmonella!I288+GraphSalmonella!$B$58</f>
        <v>0.35072323220664714</v>
      </c>
      <c r="T288" s="10">
        <f>GraphSalmonella!$E$57*Salmonella!I288+GraphSalmonella!$E$58</f>
        <v>3.1370239566030182</v>
      </c>
      <c r="U288" s="10">
        <f>GraphSalmonella!$H$57*Salmonella!I288+GraphSalmonella!$H$58</f>
        <v>0.27208851901262943</v>
      </c>
      <c r="X288" s="10">
        <f>GraphSalmonella!$B$80*Salmonella!I288+GraphSalmonella!$B$81</f>
        <v>0.2738497546709393</v>
      </c>
      <c r="Y288" s="10">
        <f>GraphSalmonella!$E$80*Salmonella!I288+GraphSalmonella!$E$81</f>
        <v>0.2823920067305572</v>
      </c>
      <c r="Z288" s="10">
        <f>GraphSalmonella!$H$80*Salmonella!I288+GraphSalmonella!$H$81</f>
        <v>-6.4512686973317024E-2</v>
      </c>
    </row>
    <row r="289" spans="1:26" x14ac:dyDescent="0.2">
      <c r="A289" s="1" t="s">
        <v>66</v>
      </c>
      <c r="B289" s="1" t="s">
        <v>70</v>
      </c>
      <c r="D289" t="s">
        <v>11</v>
      </c>
      <c r="E289" s="1" t="s">
        <v>305</v>
      </c>
      <c r="F289" s="1" t="s">
        <v>306</v>
      </c>
      <c r="G289" s="9"/>
      <c r="I289" s="4">
        <v>64</v>
      </c>
      <c r="J289" s="11">
        <v>0.15</v>
      </c>
      <c r="L289" s="12">
        <f t="shared" si="8"/>
        <v>-0.82390874094431876</v>
      </c>
      <c r="M289" s="11">
        <f>GraphSalmonella!$B$10-(Salmonella!I289-GraphSalmonella!$B$6)/GraphSalmonella!$B$5</f>
        <v>-0.16890042409767536</v>
      </c>
      <c r="N289" s="1" t="s">
        <v>319</v>
      </c>
      <c r="O289">
        <v>2000</v>
      </c>
      <c r="S289" s="10">
        <f>GraphSalmonella!$B$57*Salmonella!I289+GraphSalmonella!$B$58</f>
        <v>0.11156214796122521</v>
      </c>
      <c r="T289" s="10">
        <f>GraphSalmonella!$E$57*Salmonella!I289+GraphSalmonella!$E$58</f>
        <v>2.9406458692067519</v>
      </c>
      <c r="U289" s="10">
        <f>GraphSalmonella!$H$57*Salmonella!I289+GraphSalmonella!$H$58</f>
        <v>-0.16793677287978692</v>
      </c>
      <c r="X289" s="10">
        <f>GraphSalmonella!$B$80*Salmonella!I289+GraphSalmonella!$B$81</f>
        <v>-0.16648776414895305</v>
      </c>
      <c r="Y289" s="10">
        <f>GraphSalmonella!$E$80*Salmonella!I289+GraphSalmonella!$E$81</f>
        <v>-0.16412526076229828</v>
      </c>
      <c r="Z289" s="10">
        <f>GraphSalmonella!$H$80*Salmonella!I289+GraphSalmonella!$H$81</f>
        <v>-0.58124013992283086</v>
      </c>
    </row>
    <row r="290" spans="1:26" x14ac:dyDescent="0.2">
      <c r="A290" s="1" t="s">
        <v>66</v>
      </c>
      <c r="B290" s="1" t="s">
        <v>70</v>
      </c>
      <c r="D290" t="s">
        <v>11</v>
      </c>
      <c r="E290" s="1" t="s">
        <v>305</v>
      </c>
      <c r="F290" s="1" t="s">
        <v>323</v>
      </c>
      <c r="G290" s="9"/>
      <c r="I290" s="4">
        <v>60</v>
      </c>
      <c r="J290" s="11">
        <v>0.6</v>
      </c>
      <c r="K290" s="4">
        <v>4.5999999999999996</v>
      </c>
      <c r="L290" s="12">
        <f t="shared" si="8"/>
        <v>-0.22184874961635639</v>
      </c>
      <c r="M290" s="11">
        <f>GraphSalmonella!$B$10-(Salmonella!I290-GraphSalmonella!$B$6)/GraphSalmonella!$B$5</f>
        <v>0.2712239435094701</v>
      </c>
      <c r="N290" s="1" t="s">
        <v>319</v>
      </c>
      <c r="O290">
        <v>2000</v>
      </c>
      <c r="S290" s="10">
        <f>GraphSalmonella!$B$57*Salmonella!I290+GraphSalmonella!$B$58</f>
        <v>0.35072323220664714</v>
      </c>
      <c r="T290" s="10">
        <f>GraphSalmonella!$E$57*Salmonella!I290+GraphSalmonella!$E$58</f>
        <v>3.1370239566030182</v>
      </c>
      <c r="U290" s="10">
        <f>GraphSalmonella!$H$57*Salmonella!I290+GraphSalmonella!$H$58</f>
        <v>0.27208851901262943</v>
      </c>
      <c r="X290" s="10">
        <f>GraphSalmonella!$B$80*Salmonella!I290+GraphSalmonella!$B$81</f>
        <v>0.2738497546709393</v>
      </c>
      <c r="Y290" s="10">
        <f>GraphSalmonella!$E$80*Salmonella!I290+GraphSalmonella!$E$81</f>
        <v>0.2823920067305572</v>
      </c>
      <c r="Z290" s="10">
        <f>GraphSalmonella!$H$80*Salmonella!I290+GraphSalmonella!$H$81</f>
        <v>-6.4512686973317024E-2</v>
      </c>
    </row>
    <row r="291" spans="1:26" x14ac:dyDescent="0.2">
      <c r="A291" s="1" t="s">
        <v>66</v>
      </c>
      <c r="B291" s="1" t="s">
        <v>70</v>
      </c>
      <c r="D291" t="s">
        <v>11</v>
      </c>
      <c r="E291" s="1" t="s">
        <v>305</v>
      </c>
      <c r="F291" s="1" t="s">
        <v>324</v>
      </c>
      <c r="G291" s="9"/>
      <c r="I291" s="4">
        <v>60</v>
      </c>
      <c r="J291" s="11">
        <v>1</v>
      </c>
      <c r="K291" s="4">
        <v>5.3</v>
      </c>
      <c r="L291" s="12">
        <f t="shared" si="8"/>
        <v>0</v>
      </c>
      <c r="M291" s="11">
        <f>GraphSalmonella!$B$10-(Salmonella!I291-GraphSalmonella!$B$6)/GraphSalmonella!$B$5</f>
        <v>0.2712239435094701</v>
      </c>
      <c r="N291" s="1" t="s">
        <v>319</v>
      </c>
      <c r="O291">
        <v>2000</v>
      </c>
      <c r="S291" s="10">
        <f>GraphSalmonella!$B$57*Salmonella!I291+GraphSalmonella!$B$58</f>
        <v>0.35072323220664714</v>
      </c>
      <c r="T291" s="10">
        <f>GraphSalmonella!$E$57*Salmonella!I291+GraphSalmonella!$E$58</f>
        <v>3.1370239566030182</v>
      </c>
      <c r="U291" s="10">
        <f>GraphSalmonella!$H$57*Salmonella!I291+GraphSalmonella!$H$58</f>
        <v>0.27208851901262943</v>
      </c>
      <c r="X291" s="10">
        <f>GraphSalmonella!$B$80*Salmonella!I291+GraphSalmonella!$B$81</f>
        <v>0.2738497546709393</v>
      </c>
      <c r="Y291" s="10">
        <f>GraphSalmonella!$E$80*Salmonella!I291+GraphSalmonella!$E$81</f>
        <v>0.2823920067305572</v>
      </c>
      <c r="Z291" s="10">
        <f>GraphSalmonella!$H$80*Salmonella!I291+GraphSalmonella!$H$81</f>
        <v>-6.4512686973317024E-2</v>
      </c>
    </row>
    <row r="292" spans="1:26" x14ac:dyDescent="0.2">
      <c r="A292" s="1" t="s">
        <v>66</v>
      </c>
      <c r="B292" s="1" t="s">
        <v>109</v>
      </c>
      <c r="D292" t="s">
        <v>11</v>
      </c>
      <c r="E292" s="1" t="s">
        <v>305</v>
      </c>
      <c r="F292" s="1" t="s">
        <v>325</v>
      </c>
      <c r="G292" s="9"/>
      <c r="I292" s="4">
        <v>55</v>
      </c>
      <c r="J292" s="11">
        <v>21</v>
      </c>
      <c r="L292" s="12">
        <f t="shared" si="8"/>
        <v>1.3222192947339193</v>
      </c>
      <c r="M292" s="11">
        <f>GraphSalmonella!$B$10-(Salmonella!I292-GraphSalmonella!$B$6)/GraphSalmonella!$B$5</f>
        <v>0.82137940301840184</v>
      </c>
      <c r="N292" s="1" t="s">
        <v>319</v>
      </c>
      <c r="O292">
        <v>2000</v>
      </c>
      <c r="S292" s="10">
        <f>GraphSalmonella!$B$57*Salmonella!I292+GraphSalmonella!$B$58</f>
        <v>0.64967458751342466</v>
      </c>
      <c r="T292" s="10">
        <f>GraphSalmonella!$E$57*Salmonella!I292+GraphSalmonella!$E$58</f>
        <v>3.3824965658483515</v>
      </c>
      <c r="U292" s="10">
        <f>GraphSalmonella!$H$57*Salmonella!I292+GraphSalmonella!$H$58</f>
        <v>0.82212013387815031</v>
      </c>
      <c r="X292" s="10">
        <f>GraphSalmonella!$B$80*Salmonella!I292+GraphSalmonella!$B$81</f>
        <v>0.82427165319580453</v>
      </c>
      <c r="Y292" s="10">
        <f>GraphSalmonella!$E$80*Salmonella!I292+GraphSalmonella!$E$81</f>
        <v>0.84053859109662721</v>
      </c>
      <c r="Z292" s="10">
        <f>GraphSalmonella!$H$80*Salmonella!I292+GraphSalmonella!$H$81</f>
        <v>0.58139662921357438</v>
      </c>
    </row>
    <row r="293" spans="1:26" x14ac:dyDescent="0.2">
      <c r="A293" s="1" t="s">
        <v>66</v>
      </c>
      <c r="B293" s="1" t="s">
        <v>109</v>
      </c>
      <c r="D293" t="s">
        <v>11</v>
      </c>
      <c r="E293" s="1" t="s">
        <v>305</v>
      </c>
      <c r="F293" s="1" t="s">
        <v>325</v>
      </c>
      <c r="G293" s="9"/>
      <c r="I293" s="4">
        <v>60</v>
      </c>
      <c r="J293" s="11">
        <v>0.55000000000000004</v>
      </c>
      <c r="L293" s="12">
        <f t="shared" si="8"/>
        <v>-0.25963731050575611</v>
      </c>
      <c r="M293" s="11">
        <f>GraphSalmonella!$B$10-(Salmonella!I293-GraphSalmonella!$B$6)/GraphSalmonella!$B$5</f>
        <v>0.2712239435094701</v>
      </c>
      <c r="N293" s="1" t="s">
        <v>319</v>
      </c>
      <c r="O293">
        <v>2000</v>
      </c>
      <c r="S293" s="10">
        <f>GraphSalmonella!$B$57*Salmonella!I293+GraphSalmonella!$B$58</f>
        <v>0.35072323220664714</v>
      </c>
      <c r="T293" s="10">
        <f>GraphSalmonella!$E$57*Salmonella!I293+GraphSalmonella!$E$58</f>
        <v>3.1370239566030182</v>
      </c>
      <c r="U293" s="10">
        <f>GraphSalmonella!$H$57*Salmonella!I293+GraphSalmonella!$H$58</f>
        <v>0.27208851901262943</v>
      </c>
      <c r="X293" s="10">
        <f>GraphSalmonella!$B$80*Salmonella!I293+GraphSalmonella!$B$81</f>
        <v>0.2738497546709393</v>
      </c>
      <c r="Y293" s="10">
        <f>GraphSalmonella!$E$80*Salmonella!I293+GraphSalmonella!$E$81</f>
        <v>0.2823920067305572</v>
      </c>
      <c r="Z293" s="10">
        <f>GraphSalmonella!$H$80*Salmonella!I293+GraphSalmonella!$H$81</f>
        <v>-6.4512686973317024E-2</v>
      </c>
    </row>
    <row r="294" spans="1:26" x14ac:dyDescent="0.2">
      <c r="A294" s="1" t="s">
        <v>66</v>
      </c>
      <c r="B294" s="1" t="s">
        <v>109</v>
      </c>
      <c r="D294" t="s">
        <v>11</v>
      </c>
      <c r="E294" s="1" t="s">
        <v>305</v>
      </c>
      <c r="F294" s="1" t="s">
        <v>325</v>
      </c>
      <c r="G294" s="9"/>
      <c r="I294" s="4">
        <v>60</v>
      </c>
      <c r="J294" s="11">
        <v>0.75</v>
      </c>
      <c r="L294" s="12">
        <f t="shared" si="8"/>
        <v>-0.12493873660829995</v>
      </c>
      <c r="M294" s="11">
        <f>GraphSalmonella!$B$10-(Salmonella!I294-GraphSalmonella!$B$6)/GraphSalmonella!$B$5</f>
        <v>0.2712239435094701</v>
      </c>
      <c r="N294" s="1" t="s">
        <v>319</v>
      </c>
      <c r="O294">
        <v>2000</v>
      </c>
      <c r="S294" s="10">
        <f>GraphSalmonella!$B$57*Salmonella!I294+GraphSalmonella!$B$58</f>
        <v>0.35072323220664714</v>
      </c>
      <c r="T294" s="10">
        <f>GraphSalmonella!$E$57*Salmonella!I294+GraphSalmonella!$E$58</f>
        <v>3.1370239566030182</v>
      </c>
      <c r="U294" s="10">
        <f>GraphSalmonella!$H$57*Salmonella!I294+GraphSalmonella!$H$58</f>
        <v>0.27208851901262943</v>
      </c>
      <c r="X294" s="10">
        <f>GraphSalmonella!$B$80*Salmonella!I294+GraphSalmonella!$B$81</f>
        <v>0.2738497546709393</v>
      </c>
      <c r="Y294" s="10">
        <f>GraphSalmonella!$E$80*Salmonella!I294+GraphSalmonella!$E$81</f>
        <v>0.2823920067305572</v>
      </c>
      <c r="Z294" s="10">
        <f>GraphSalmonella!$H$80*Salmonella!I294+GraphSalmonella!$H$81</f>
        <v>-6.4512686973317024E-2</v>
      </c>
    </row>
    <row r="295" spans="1:26" x14ac:dyDescent="0.2">
      <c r="A295" s="1" t="s">
        <v>66</v>
      </c>
      <c r="B295" s="1" t="s">
        <v>109</v>
      </c>
      <c r="D295" t="s">
        <v>11</v>
      </c>
      <c r="E295" s="1" t="s">
        <v>305</v>
      </c>
      <c r="F295" s="1" t="s">
        <v>325</v>
      </c>
      <c r="G295" s="9"/>
      <c r="I295" s="4">
        <v>60</v>
      </c>
      <c r="J295" s="11">
        <v>1.1000000000000001</v>
      </c>
      <c r="L295" s="12">
        <f t="shared" si="8"/>
        <v>4.1392685158225077E-2</v>
      </c>
      <c r="M295" s="11">
        <f>GraphSalmonella!$B$10-(Salmonella!I295-GraphSalmonella!$B$6)/GraphSalmonella!$B$5</f>
        <v>0.2712239435094701</v>
      </c>
      <c r="N295" s="1" t="s">
        <v>319</v>
      </c>
      <c r="O295">
        <v>2000</v>
      </c>
      <c r="S295" s="10">
        <f>GraphSalmonella!$B$57*Salmonella!I295+GraphSalmonella!$B$58</f>
        <v>0.35072323220664714</v>
      </c>
      <c r="T295" s="10">
        <f>GraphSalmonella!$E$57*Salmonella!I295+GraphSalmonella!$E$58</f>
        <v>3.1370239566030182</v>
      </c>
      <c r="U295" s="10">
        <f>GraphSalmonella!$H$57*Salmonella!I295+GraphSalmonella!$H$58</f>
        <v>0.27208851901262943</v>
      </c>
      <c r="X295" s="10">
        <f>GraphSalmonella!$B$80*Salmonella!I295+GraphSalmonella!$B$81</f>
        <v>0.2738497546709393</v>
      </c>
      <c r="Y295" s="10">
        <f>GraphSalmonella!$E$80*Salmonella!I295+GraphSalmonella!$E$81</f>
        <v>0.2823920067305572</v>
      </c>
      <c r="Z295" s="10">
        <f>GraphSalmonella!$H$80*Salmonella!I295+GraphSalmonella!$H$81</f>
        <v>-6.4512686973317024E-2</v>
      </c>
    </row>
    <row r="296" spans="1:26" x14ac:dyDescent="0.2">
      <c r="A296" s="1" t="s">
        <v>66</v>
      </c>
      <c r="B296" s="1" t="s">
        <v>109</v>
      </c>
      <c r="D296" t="s">
        <v>11</v>
      </c>
      <c r="E296" s="1" t="s">
        <v>305</v>
      </c>
      <c r="F296" s="1" t="s">
        <v>325</v>
      </c>
      <c r="G296" s="9"/>
      <c r="I296" s="4">
        <v>61.1</v>
      </c>
      <c r="J296" s="11">
        <v>0.27</v>
      </c>
      <c r="L296" s="12">
        <f t="shared" si="8"/>
        <v>-0.56863623584101264</v>
      </c>
      <c r="M296" s="11">
        <f>GraphSalmonella!$B$10-(Salmonella!I296-GraphSalmonella!$B$6)/GraphSalmonella!$B$5</f>
        <v>0.15018974241750493</v>
      </c>
      <c r="N296" s="1" t="s">
        <v>319</v>
      </c>
      <c r="O296">
        <v>2000</v>
      </c>
      <c r="S296" s="10">
        <f>GraphSalmonella!$B$57*Salmonella!I296+GraphSalmonella!$B$58</f>
        <v>0.28495393403915603</v>
      </c>
      <c r="T296" s="10">
        <f>GraphSalmonella!$E$57*Salmonella!I296+GraphSalmonella!$E$58</f>
        <v>3.083019982569045</v>
      </c>
      <c r="U296" s="10">
        <f>GraphSalmonella!$H$57*Salmonella!I296+GraphSalmonella!$H$58</f>
        <v>0.15108156374221515</v>
      </c>
      <c r="X296" s="10">
        <f>GraphSalmonella!$B$80*Salmonella!I296+GraphSalmonella!$B$81</f>
        <v>0.15275693699546888</v>
      </c>
      <c r="Y296" s="10">
        <f>GraphSalmonella!$E$80*Salmonella!I296+GraphSalmonella!$E$81</f>
        <v>0.15959975817002192</v>
      </c>
      <c r="Z296" s="10">
        <f>GraphSalmonella!$H$80*Salmonella!I296+GraphSalmonella!$H$81</f>
        <v>-0.20661273653443324</v>
      </c>
    </row>
    <row r="297" spans="1:26" x14ac:dyDescent="0.2">
      <c r="A297" s="1" t="s">
        <v>66</v>
      </c>
      <c r="B297" s="1" t="s">
        <v>109</v>
      </c>
      <c r="D297" t="s">
        <v>11</v>
      </c>
      <c r="E297" s="1" t="s">
        <v>305</v>
      </c>
      <c r="F297" s="1" t="s">
        <v>325</v>
      </c>
      <c r="G297" s="9"/>
      <c r="I297" s="4">
        <v>61.1</v>
      </c>
      <c r="J297" s="11">
        <v>0.35</v>
      </c>
      <c r="L297" s="12">
        <f t="shared" si="8"/>
        <v>-0.45593195564972439</v>
      </c>
      <c r="M297" s="11">
        <f>GraphSalmonella!$B$10-(Salmonella!I297-GraphSalmonella!$B$6)/GraphSalmonella!$B$5</f>
        <v>0.15018974241750493</v>
      </c>
      <c r="N297" s="1" t="s">
        <v>319</v>
      </c>
      <c r="O297">
        <v>2000</v>
      </c>
      <c r="S297" s="10">
        <f>GraphSalmonella!$B$57*Salmonella!I297+GraphSalmonella!$B$58</f>
        <v>0.28495393403915603</v>
      </c>
      <c r="T297" s="10">
        <f>GraphSalmonella!$E$57*Salmonella!I297+GraphSalmonella!$E$58</f>
        <v>3.083019982569045</v>
      </c>
      <c r="U297" s="10">
        <f>GraphSalmonella!$H$57*Salmonella!I297+GraphSalmonella!$H$58</f>
        <v>0.15108156374221515</v>
      </c>
      <c r="X297" s="10">
        <f>GraphSalmonella!$B$80*Salmonella!I297+GraphSalmonella!$B$81</f>
        <v>0.15275693699546888</v>
      </c>
      <c r="Y297" s="10">
        <f>GraphSalmonella!$E$80*Salmonella!I297+GraphSalmonella!$E$81</f>
        <v>0.15959975817002192</v>
      </c>
      <c r="Z297" s="10">
        <f>GraphSalmonella!$H$80*Salmonella!I297+GraphSalmonella!$H$81</f>
        <v>-0.20661273653443324</v>
      </c>
    </row>
    <row r="298" spans="1:26" x14ac:dyDescent="0.2">
      <c r="A298" s="1" t="s">
        <v>66</v>
      </c>
      <c r="B298" s="1" t="s">
        <v>109</v>
      </c>
      <c r="D298" t="s">
        <v>11</v>
      </c>
      <c r="E298" s="1" t="s">
        <v>305</v>
      </c>
      <c r="F298" s="1" t="s">
        <v>325</v>
      </c>
      <c r="G298" s="9"/>
      <c r="I298" s="4">
        <v>62.2</v>
      </c>
      <c r="J298" s="11">
        <v>0.21</v>
      </c>
      <c r="L298" s="12">
        <f t="shared" si="8"/>
        <v>-0.6777807052660807</v>
      </c>
      <c r="M298" s="11">
        <f>GraphSalmonella!$B$10-(Salmonella!I298-GraphSalmonella!$B$6)/GraphSalmonella!$B$5</f>
        <v>2.9155541325539769E-2</v>
      </c>
      <c r="N298" s="1" t="s">
        <v>319</v>
      </c>
      <c r="O298">
        <v>2000</v>
      </c>
      <c r="S298" s="10">
        <f>GraphSalmonella!$B$57*Salmonella!I298+GraphSalmonella!$B$58</f>
        <v>0.21918463587166492</v>
      </c>
      <c r="T298" s="10">
        <f>GraphSalmonella!$E$57*Salmonella!I298+GraphSalmonella!$E$58</f>
        <v>3.0290160085350717</v>
      </c>
      <c r="U298" s="10">
        <f>GraphSalmonella!$H$57*Salmonella!I298+GraphSalmonella!$H$58</f>
        <v>3.0074608471799991E-2</v>
      </c>
      <c r="X298" s="10">
        <f>GraphSalmonella!$B$80*Salmonella!I298+GraphSalmonella!$B$81</f>
        <v>3.1664119319998463E-2</v>
      </c>
      <c r="Y298" s="10">
        <f>GraphSalmonella!$E$80*Salmonella!I298+GraphSalmonella!$E$81</f>
        <v>3.6807509609486644E-2</v>
      </c>
      <c r="Z298" s="10">
        <f>GraphSalmonella!$H$80*Salmonella!I298+GraphSalmonella!$H$81</f>
        <v>-0.34871278609554945</v>
      </c>
    </row>
    <row r="299" spans="1:26" x14ac:dyDescent="0.2">
      <c r="A299" s="1" t="s">
        <v>66</v>
      </c>
      <c r="B299" s="1" t="s">
        <v>109</v>
      </c>
      <c r="D299" t="s">
        <v>11</v>
      </c>
      <c r="E299" s="1" t="s">
        <v>305</v>
      </c>
      <c r="F299" s="1" t="s">
        <v>325</v>
      </c>
      <c r="G299" s="9"/>
      <c r="I299" s="4">
        <v>62.2</v>
      </c>
      <c r="J299" s="11">
        <v>0.3</v>
      </c>
      <c r="L299" s="12">
        <f t="shared" si="8"/>
        <v>-0.52287874528033762</v>
      </c>
      <c r="M299" s="11">
        <f>GraphSalmonella!$B$10-(Salmonella!I299-GraphSalmonella!$B$6)/GraphSalmonella!$B$5</f>
        <v>2.9155541325539769E-2</v>
      </c>
      <c r="N299" s="1" t="s">
        <v>319</v>
      </c>
      <c r="O299">
        <v>2000</v>
      </c>
      <c r="S299" s="10">
        <f>GraphSalmonella!$B$57*Salmonella!I299+GraphSalmonella!$B$58</f>
        <v>0.21918463587166492</v>
      </c>
      <c r="T299" s="10">
        <f>GraphSalmonella!$E$57*Salmonella!I299+GraphSalmonella!$E$58</f>
        <v>3.0290160085350717</v>
      </c>
      <c r="U299" s="10">
        <f>GraphSalmonella!$H$57*Salmonella!I299+GraphSalmonella!$H$58</f>
        <v>3.0074608471799991E-2</v>
      </c>
      <c r="X299" s="10">
        <f>GraphSalmonella!$B$80*Salmonella!I299+GraphSalmonella!$B$81</f>
        <v>3.1664119319998463E-2</v>
      </c>
      <c r="Y299" s="10">
        <f>GraphSalmonella!$E$80*Salmonella!I299+GraphSalmonella!$E$81</f>
        <v>3.6807509609486644E-2</v>
      </c>
      <c r="Z299" s="10">
        <f>GraphSalmonella!$H$80*Salmonella!I299+GraphSalmonella!$H$81</f>
        <v>-0.34871278609554945</v>
      </c>
    </row>
    <row r="300" spans="1:26" x14ac:dyDescent="0.2">
      <c r="A300" s="1" t="s">
        <v>66</v>
      </c>
      <c r="B300" s="1" t="s">
        <v>67</v>
      </c>
      <c r="C300" t="s">
        <v>312</v>
      </c>
      <c r="D300" t="s">
        <v>11</v>
      </c>
      <c r="E300" s="1" t="s">
        <v>305</v>
      </c>
      <c r="F300" s="1" t="s">
        <v>325</v>
      </c>
      <c r="G300" s="9"/>
      <c r="I300" s="4">
        <v>55</v>
      </c>
      <c r="J300" s="11">
        <v>42</v>
      </c>
      <c r="L300" s="12">
        <f t="shared" si="8"/>
        <v>1.6232492903979006</v>
      </c>
      <c r="M300" s="11">
        <f>GraphSalmonella!$B$10-(Salmonella!I300-GraphSalmonella!$B$6)/GraphSalmonella!$B$5</f>
        <v>0.82137940301840184</v>
      </c>
      <c r="N300" s="1" t="s">
        <v>319</v>
      </c>
      <c r="O300">
        <v>2000</v>
      </c>
      <c r="S300" s="10">
        <f>GraphSalmonella!$B$57*Salmonella!I300+GraphSalmonella!$B$58</f>
        <v>0.64967458751342466</v>
      </c>
      <c r="T300" s="10">
        <f>GraphSalmonella!$E$57*Salmonella!I300+GraphSalmonella!$E$58</f>
        <v>3.3824965658483515</v>
      </c>
      <c r="U300" s="10">
        <f>GraphSalmonella!$H$57*Salmonella!I300+GraphSalmonella!$H$58</f>
        <v>0.82212013387815031</v>
      </c>
      <c r="X300" s="10">
        <f>GraphSalmonella!$B$80*Salmonella!I300+GraphSalmonella!$B$81</f>
        <v>0.82427165319580453</v>
      </c>
      <c r="Y300" s="10">
        <f>GraphSalmonella!$E$80*Salmonella!I300+GraphSalmonella!$E$81</f>
        <v>0.84053859109662721</v>
      </c>
      <c r="Z300" s="10">
        <f>GraphSalmonella!$H$80*Salmonella!I300+GraphSalmonella!$H$81</f>
        <v>0.58139662921357438</v>
      </c>
    </row>
    <row r="301" spans="1:26" x14ac:dyDescent="0.2">
      <c r="A301" s="1" t="s">
        <v>66</v>
      </c>
      <c r="B301" s="1" t="s">
        <v>67</v>
      </c>
      <c r="C301" t="s">
        <v>312</v>
      </c>
      <c r="D301" t="s">
        <v>11</v>
      </c>
      <c r="E301" s="1" t="s">
        <v>305</v>
      </c>
      <c r="F301" s="1" t="s">
        <v>325</v>
      </c>
      <c r="G301" s="9"/>
      <c r="I301" s="4">
        <v>60</v>
      </c>
      <c r="J301" s="11">
        <v>11.8</v>
      </c>
      <c r="L301" s="12">
        <f t="shared" si="8"/>
        <v>1.0718820073061255</v>
      </c>
      <c r="M301" s="11">
        <f>GraphSalmonella!$B$10-(Salmonella!I301-GraphSalmonella!$B$6)/GraphSalmonella!$B$5</f>
        <v>0.2712239435094701</v>
      </c>
      <c r="N301" s="1" t="s">
        <v>319</v>
      </c>
      <c r="O301">
        <v>2000</v>
      </c>
      <c r="S301" s="10">
        <f>GraphSalmonella!$B$57*Salmonella!I301+GraphSalmonella!$B$58</f>
        <v>0.35072323220664714</v>
      </c>
      <c r="T301" s="10">
        <f>GraphSalmonella!$E$57*Salmonella!I301+GraphSalmonella!$E$58</f>
        <v>3.1370239566030182</v>
      </c>
      <c r="U301" s="10">
        <f>GraphSalmonella!$H$57*Salmonella!I301+GraphSalmonella!$H$58</f>
        <v>0.27208851901262943</v>
      </c>
      <c r="X301" s="10">
        <f>GraphSalmonella!$B$80*Salmonella!I301+GraphSalmonella!$B$81</f>
        <v>0.2738497546709393</v>
      </c>
      <c r="Y301" s="10">
        <f>GraphSalmonella!$E$80*Salmonella!I301+GraphSalmonella!$E$81</f>
        <v>0.2823920067305572</v>
      </c>
      <c r="Z301" s="10">
        <f>GraphSalmonella!$H$80*Salmonella!I301+GraphSalmonella!$H$81</f>
        <v>-6.4512686973317024E-2</v>
      </c>
    </row>
    <row r="302" spans="1:26" x14ac:dyDescent="0.2">
      <c r="A302" s="1" t="s">
        <v>66</v>
      </c>
      <c r="B302" s="1" t="s">
        <v>67</v>
      </c>
      <c r="D302" t="s">
        <v>11</v>
      </c>
      <c r="E302" s="1" t="s">
        <v>305</v>
      </c>
      <c r="F302" s="1" t="s">
        <v>325</v>
      </c>
      <c r="G302" s="9"/>
      <c r="I302" s="4">
        <v>60</v>
      </c>
      <c r="J302" s="11">
        <v>0.73</v>
      </c>
      <c r="K302" s="4">
        <v>4.07</v>
      </c>
      <c r="L302" s="12">
        <f t="shared" si="8"/>
        <v>-0.13667713987954411</v>
      </c>
      <c r="M302" s="11">
        <f>GraphSalmonella!$B$10-(Salmonella!I302-GraphSalmonella!$B$6)/GraphSalmonella!$B$5</f>
        <v>0.2712239435094701</v>
      </c>
      <c r="N302" s="1" t="s">
        <v>319</v>
      </c>
      <c r="O302">
        <v>2000</v>
      </c>
      <c r="S302" s="10">
        <f>GraphSalmonella!$B$57*Salmonella!I302+GraphSalmonella!$B$58</f>
        <v>0.35072323220664714</v>
      </c>
      <c r="T302" s="10">
        <f>GraphSalmonella!$E$57*Salmonella!I302+GraphSalmonella!$E$58</f>
        <v>3.1370239566030182</v>
      </c>
      <c r="U302" s="10">
        <f>GraphSalmonella!$H$57*Salmonella!I302+GraphSalmonella!$H$58</f>
        <v>0.27208851901262943</v>
      </c>
      <c r="X302" s="10">
        <f>GraphSalmonella!$B$80*Salmonella!I302+GraphSalmonella!$B$81</f>
        <v>0.2738497546709393</v>
      </c>
      <c r="Y302" s="10">
        <f>GraphSalmonella!$E$80*Salmonella!I302+GraphSalmonella!$E$81</f>
        <v>0.2823920067305572</v>
      </c>
      <c r="Z302" s="10">
        <f>GraphSalmonella!$H$80*Salmonella!I302+GraphSalmonella!$H$81</f>
        <v>-6.4512686973317024E-2</v>
      </c>
    </row>
    <row r="303" spans="1:26" x14ac:dyDescent="0.2">
      <c r="A303" s="1" t="s">
        <v>66</v>
      </c>
      <c r="B303" s="1" t="s">
        <v>67</v>
      </c>
      <c r="D303" t="s">
        <v>11</v>
      </c>
      <c r="E303" s="1" t="s">
        <v>305</v>
      </c>
      <c r="F303" s="1" t="s">
        <v>325</v>
      </c>
      <c r="G303" s="9"/>
      <c r="I303" s="4">
        <v>61.1</v>
      </c>
      <c r="J303" s="11">
        <v>0.28000000000000003</v>
      </c>
      <c r="K303" s="4">
        <v>4.07</v>
      </c>
      <c r="L303" s="12">
        <f t="shared" si="8"/>
        <v>-0.55284196865778079</v>
      </c>
      <c r="M303" s="11">
        <f>GraphSalmonella!$B$10-(Salmonella!I303-GraphSalmonella!$B$6)/GraphSalmonella!$B$5</f>
        <v>0.15018974241750493</v>
      </c>
      <c r="N303" s="1" t="s">
        <v>319</v>
      </c>
      <c r="O303">
        <v>2000</v>
      </c>
      <c r="S303" s="10">
        <f>GraphSalmonella!$B$57*Salmonella!I303+GraphSalmonella!$B$58</f>
        <v>0.28495393403915603</v>
      </c>
      <c r="T303" s="10">
        <f>GraphSalmonella!$E$57*Salmonella!I303+GraphSalmonella!$E$58</f>
        <v>3.083019982569045</v>
      </c>
      <c r="U303" s="10">
        <f>GraphSalmonella!$H$57*Salmonella!I303+GraphSalmonella!$H$58</f>
        <v>0.15108156374221515</v>
      </c>
      <c r="X303" s="10">
        <f>GraphSalmonella!$B$80*Salmonella!I303+GraphSalmonella!$B$81</f>
        <v>0.15275693699546888</v>
      </c>
      <c r="Y303" s="10">
        <f>GraphSalmonella!$E$80*Salmonella!I303+GraphSalmonella!$E$81</f>
        <v>0.15959975817002192</v>
      </c>
      <c r="Z303" s="10">
        <f>GraphSalmonella!$H$80*Salmonella!I303+GraphSalmonella!$H$81</f>
        <v>-0.20661273653443324</v>
      </c>
    </row>
    <row r="304" spans="1:26" x14ac:dyDescent="0.2">
      <c r="A304" s="1" t="s">
        <v>66</v>
      </c>
      <c r="B304" s="1" t="s">
        <v>67</v>
      </c>
      <c r="D304" t="s">
        <v>11</v>
      </c>
      <c r="E304" s="1" t="s">
        <v>305</v>
      </c>
      <c r="F304" s="1" t="s">
        <v>325</v>
      </c>
      <c r="G304" s="9"/>
      <c r="I304" s="4">
        <v>62.2</v>
      </c>
      <c r="J304" s="11">
        <v>0.21</v>
      </c>
      <c r="K304" s="4">
        <v>4.07</v>
      </c>
      <c r="L304" s="12">
        <f t="shared" si="8"/>
        <v>-0.6777807052660807</v>
      </c>
      <c r="M304" s="11">
        <f>GraphSalmonella!$B$10-(Salmonella!I304-GraphSalmonella!$B$6)/GraphSalmonella!$B$5</f>
        <v>2.9155541325539769E-2</v>
      </c>
      <c r="N304" s="1" t="s">
        <v>319</v>
      </c>
      <c r="O304">
        <v>2000</v>
      </c>
      <c r="S304" s="10">
        <f>GraphSalmonella!$B$57*Salmonella!I304+GraphSalmonella!$B$58</f>
        <v>0.21918463587166492</v>
      </c>
      <c r="T304" s="10">
        <f>GraphSalmonella!$E$57*Salmonella!I304+GraphSalmonella!$E$58</f>
        <v>3.0290160085350717</v>
      </c>
      <c r="U304" s="10">
        <f>GraphSalmonella!$H$57*Salmonella!I304+GraphSalmonella!$H$58</f>
        <v>3.0074608471799991E-2</v>
      </c>
      <c r="X304" s="10">
        <f>GraphSalmonella!$B$80*Salmonella!I304+GraphSalmonella!$B$81</f>
        <v>3.1664119319998463E-2</v>
      </c>
      <c r="Y304" s="10">
        <f>GraphSalmonella!$E$80*Salmonella!I304+GraphSalmonella!$E$81</f>
        <v>3.6807509609486644E-2</v>
      </c>
      <c r="Z304" s="10">
        <f>GraphSalmonella!$H$80*Salmonella!I304+GraphSalmonella!$H$81</f>
        <v>-0.34871278609554945</v>
      </c>
    </row>
    <row r="305" spans="1:26" x14ac:dyDescent="0.2">
      <c r="A305" s="1" t="s">
        <v>66</v>
      </c>
      <c r="B305" s="1" t="s">
        <v>70</v>
      </c>
      <c r="D305" t="s">
        <v>11</v>
      </c>
      <c r="E305" s="1" t="s">
        <v>305</v>
      </c>
      <c r="F305" s="1" t="s">
        <v>325</v>
      </c>
      <c r="G305" s="9"/>
      <c r="I305" s="4">
        <v>55</v>
      </c>
      <c r="J305" s="11">
        <v>8</v>
      </c>
      <c r="K305" s="4">
        <v>4.5999999999999996</v>
      </c>
      <c r="L305" s="12">
        <f t="shared" si="8"/>
        <v>0.90308998699194354</v>
      </c>
      <c r="M305" s="11">
        <f>GraphSalmonella!$B$10-(Salmonella!I305-GraphSalmonella!$B$6)/GraphSalmonella!$B$5</f>
        <v>0.82137940301840184</v>
      </c>
      <c r="N305" s="1" t="s">
        <v>319</v>
      </c>
      <c r="O305">
        <v>2000</v>
      </c>
      <c r="S305" s="10">
        <f>GraphSalmonella!$B$57*Salmonella!I305+GraphSalmonella!$B$58</f>
        <v>0.64967458751342466</v>
      </c>
      <c r="T305" s="10">
        <f>GraphSalmonella!$E$57*Salmonella!I305+GraphSalmonella!$E$58</f>
        <v>3.3824965658483515</v>
      </c>
      <c r="U305" s="10">
        <f>GraphSalmonella!$H$57*Salmonella!I305+GraphSalmonella!$H$58</f>
        <v>0.82212013387815031</v>
      </c>
      <c r="X305" s="10">
        <f>GraphSalmonella!$B$80*Salmonella!I305+GraphSalmonella!$B$81</f>
        <v>0.82427165319580453</v>
      </c>
      <c r="Y305" s="10">
        <f>GraphSalmonella!$E$80*Salmonella!I305+GraphSalmonella!$E$81</f>
        <v>0.84053859109662721</v>
      </c>
      <c r="Z305" s="10">
        <f>GraphSalmonella!$H$80*Salmonella!I305+GraphSalmonella!$H$81</f>
        <v>0.58139662921357438</v>
      </c>
    </row>
    <row r="306" spans="1:26" x14ac:dyDescent="0.2">
      <c r="A306" s="1" t="s">
        <v>66</v>
      </c>
      <c r="B306" s="1" t="s">
        <v>70</v>
      </c>
      <c r="D306" t="s">
        <v>11</v>
      </c>
      <c r="E306" s="1" t="s">
        <v>305</v>
      </c>
      <c r="F306" s="1" t="s">
        <v>325</v>
      </c>
      <c r="G306" s="9"/>
      <c r="I306" s="4">
        <v>58.8</v>
      </c>
      <c r="J306" s="11">
        <v>0.7</v>
      </c>
      <c r="K306" s="4">
        <v>4.4000000000000004</v>
      </c>
      <c r="L306" s="12">
        <f t="shared" si="8"/>
        <v>-0.15490195998574319</v>
      </c>
      <c r="M306" s="11">
        <f>GraphSalmonella!$B$10-(Salmonella!I306-GraphSalmonella!$B$6)/GraphSalmonella!$B$5</f>
        <v>0.40326125379161404</v>
      </c>
      <c r="N306" s="1" t="s">
        <v>319</v>
      </c>
      <c r="O306">
        <v>2000</v>
      </c>
      <c r="S306" s="10">
        <f>GraphSalmonella!$B$57*Salmonella!I306+GraphSalmonella!$B$58</f>
        <v>0.42247155748027376</v>
      </c>
      <c r="T306" s="10">
        <f>GraphSalmonella!$E$57*Salmonella!I306+GraphSalmonella!$E$58</f>
        <v>3.1959373828218984</v>
      </c>
      <c r="U306" s="10">
        <f>GraphSalmonella!$H$57*Salmonella!I306+GraphSalmonella!$H$58</f>
        <v>0.40409610658035433</v>
      </c>
      <c r="X306" s="10">
        <f>GraphSalmonella!$B$80*Salmonella!I306+GraphSalmonella!$B$81</f>
        <v>0.40595101031690728</v>
      </c>
      <c r="Y306" s="10">
        <f>GraphSalmonella!$E$80*Salmonella!I306+GraphSalmonella!$E$81</f>
        <v>0.416347186978415</v>
      </c>
      <c r="Z306" s="10">
        <f>GraphSalmonella!$H$80*Salmonella!I306+GraphSalmonella!$H$81</f>
        <v>9.0505548911536948E-2</v>
      </c>
    </row>
    <row r="307" spans="1:26" x14ac:dyDescent="0.2">
      <c r="A307" s="1" t="s">
        <v>66</v>
      </c>
      <c r="B307" s="1" t="s">
        <v>70</v>
      </c>
      <c r="D307" t="s">
        <v>11</v>
      </c>
      <c r="E307" s="1" t="s">
        <v>305</v>
      </c>
      <c r="F307" s="1" t="s">
        <v>325</v>
      </c>
      <c r="G307" s="9"/>
      <c r="I307" s="4">
        <v>60</v>
      </c>
      <c r="J307" s="11">
        <v>0.67</v>
      </c>
      <c r="K307" s="4">
        <v>3.24</v>
      </c>
      <c r="L307" s="12">
        <f t="shared" si="8"/>
        <v>-0.17392519729917355</v>
      </c>
      <c r="M307" s="11">
        <f>GraphSalmonella!$B$10-(Salmonella!I307-GraphSalmonella!$B$6)/GraphSalmonella!$B$5</f>
        <v>0.2712239435094701</v>
      </c>
      <c r="N307" s="1" t="s">
        <v>319</v>
      </c>
      <c r="O307">
        <v>2000</v>
      </c>
      <c r="S307" s="10">
        <f>GraphSalmonella!$B$57*Salmonella!I307+GraphSalmonella!$B$58</f>
        <v>0.35072323220664714</v>
      </c>
      <c r="T307" s="10">
        <f>GraphSalmonella!$E$57*Salmonella!I307+GraphSalmonella!$E$58</f>
        <v>3.1370239566030182</v>
      </c>
      <c r="U307" s="10">
        <f>GraphSalmonella!$H$57*Salmonella!I307+GraphSalmonella!$H$58</f>
        <v>0.27208851901262943</v>
      </c>
      <c r="X307" s="10">
        <f>GraphSalmonella!$B$80*Salmonella!I307+GraphSalmonella!$B$81</f>
        <v>0.2738497546709393</v>
      </c>
      <c r="Y307" s="10">
        <f>GraphSalmonella!$E$80*Salmonella!I307+GraphSalmonella!$E$81</f>
        <v>0.2823920067305572</v>
      </c>
      <c r="Z307" s="10">
        <f>GraphSalmonella!$H$80*Salmonella!I307+GraphSalmonella!$H$81</f>
        <v>-6.4512686973317024E-2</v>
      </c>
    </row>
    <row r="308" spans="1:26" x14ac:dyDescent="0.2">
      <c r="A308" s="1" t="s">
        <v>66</v>
      </c>
      <c r="B308" s="1" t="s">
        <v>70</v>
      </c>
      <c r="D308" t="s">
        <v>11</v>
      </c>
      <c r="E308" s="1" t="s">
        <v>305</v>
      </c>
      <c r="F308" s="1" t="s">
        <v>325</v>
      </c>
      <c r="G308" s="9"/>
      <c r="I308" s="4">
        <v>60</v>
      </c>
      <c r="J308" s="11">
        <v>0.4</v>
      </c>
      <c r="K308" s="4">
        <v>4.4000000000000004</v>
      </c>
      <c r="L308" s="12">
        <f t="shared" si="8"/>
        <v>-0.3979400086720376</v>
      </c>
      <c r="M308" s="11">
        <f>GraphSalmonella!$B$10-(Salmonella!I308-GraphSalmonella!$B$6)/GraphSalmonella!$B$5</f>
        <v>0.2712239435094701</v>
      </c>
      <c r="N308" s="1" t="s">
        <v>319</v>
      </c>
      <c r="O308">
        <v>2000</v>
      </c>
      <c r="S308" s="10">
        <f>GraphSalmonella!$B$57*Salmonella!I308+GraphSalmonella!$B$58</f>
        <v>0.35072323220664714</v>
      </c>
      <c r="T308" s="10">
        <f>GraphSalmonella!$E$57*Salmonella!I308+GraphSalmonella!$E$58</f>
        <v>3.1370239566030182</v>
      </c>
      <c r="U308" s="10">
        <f>GraphSalmonella!$H$57*Salmonella!I308+GraphSalmonella!$H$58</f>
        <v>0.27208851901262943</v>
      </c>
      <c r="X308" s="10">
        <f>GraphSalmonella!$B$80*Salmonella!I308+GraphSalmonella!$B$81</f>
        <v>0.2738497546709393</v>
      </c>
      <c r="Y308" s="10">
        <f>GraphSalmonella!$E$80*Salmonella!I308+GraphSalmonella!$E$81</f>
        <v>0.2823920067305572</v>
      </c>
      <c r="Z308" s="10">
        <f>GraphSalmonella!$H$80*Salmonella!I308+GraphSalmonella!$H$81</f>
        <v>-6.4512686973317024E-2</v>
      </c>
    </row>
    <row r="309" spans="1:26" x14ac:dyDescent="0.2">
      <c r="A309" s="1" t="s">
        <v>66</v>
      </c>
      <c r="B309" s="1" t="s">
        <v>70</v>
      </c>
      <c r="D309" t="s">
        <v>11</v>
      </c>
      <c r="E309" s="1" t="s">
        <v>305</v>
      </c>
      <c r="F309" s="1" t="s">
        <v>325</v>
      </c>
      <c r="G309" s="9"/>
      <c r="I309" s="4">
        <v>60</v>
      </c>
      <c r="J309" s="11">
        <v>0.8</v>
      </c>
      <c r="K309" s="4">
        <v>4.5999999999999996</v>
      </c>
      <c r="L309" s="12">
        <f t="shared" si="8"/>
        <v>-9.6910013008056392E-2</v>
      </c>
      <c r="M309" s="11">
        <f>GraphSalmonella!$B$10-(Salmonella!I309-GraphSalmonella!$B$6)/GraphSalmonella!$B$5</f>
        <v>0.2712239435094701</v>
      </c>
      <c r="N309" s="1" t="s">
        <v>319</v>
      </c>
      <c r="O309">
        <v>2000</v>
      </c>
      <c r="S309" s="10">
        <f>GraphSalmonella!$B$57*Salmonella!I309+GraphSalmonella!$B$58</f>
        <v>0.35072323220664714</v>
      </c>
      <c r="T309" s="10">
        <f>GraphSalmonella!$E$57*Salmonella!I309+GraphSalmonella!$E$58</f>
        <v>3.1370239566030182</v>
      </c>
      <c r="U309" s="10">
        <f>GraphSalmonella!$H$57*Salmonella!I309+GraphSalmonella!$H$58</f>
        <v>0.27208851901262943</v>
      </c>
      <c r="X309" s="10">
        <f>GraphSalmonella!$B$80*Salmonella!I309+GraphSalmonella!$B$81</f>
        <v>0.2738497546709393</v>
      </c>
      <c r="Y309" s="10">
        <f>GraphSalmonella!$E$80*Salmonella!I309+GraphSalmonella!$E$81</f>
        <v>0.2823920067305572</v>
      </c>
      <c r="Z309" s="10">
        <f>GraphSalmonella!$H$80*Salmonella!I309+GraphSalmonella!$H$81</f>
        <v>-6.4512686973317024E-2</v>
      </c>
    </row>
    <row r="310" spans="1:26" x14ac:dyDescent="0.2">
      <c r="A310" s="1" t="s">
        <v>66</v>
      </c>
      <c r="B310" s="1" t="s">
        <v>70</v>
      </c>
      <c r="D310" t="s">
        <v>11</v>
      </c>
      <c r="E310" s="1" t="s">
        <v>305</v>
      </c>
      <c r="F310" s="1" t="s">
        <v>325</v>
      </c>
      <c r="G310" s="9"/>
      <c r="I310" s="4">
        <v>61.1</v>
      </c>
      <c r="J310" s="11">
        <v>0.2</v>
      </c>
      <c r="K310" s="4">
        <v>3.24</v>
      </c>
      <c r="L310" s="12">
        <f t="shared" si="8"/>
        <v>-0.69897000433601875</v>
      </c>
      <c r="M310" s="11">
        <f>GraphSalmonella!$B$10-(Salmonella!I310-GraphSalmonella!$B$6)/GraphSalmonella!$B$5</f>
        <v>0.15018974241750493</v>
      </c>
      <c r="N310" s="1" t="s">
        <v>319</v>
      </c>
      <c r="O310">
        <v>2000</v>
      </c>
      <c r="S310" s="10">
        <f>GraphSalmonella!$B$57*Salmonella!I310+GraphSalmonella!$B$58</f>
        <v>0.28495393403915603</v>
      </c>
      <c r="T310" s="10">
        <f>GraphSalmonella!$E$57*Salmonella!I310+GraphSalmonella!$E$58</f>
        <v>3.083019982569045</v>
      </c>
      <c r="U310" s="10">
        <f>GraphSalmonella!$H$57*Salmonella!I310+GraphSalmonella!$H$58</f>
        <v>0.15108156374221515</v>
      </c>
      <c r="X310" s="10">
        <f>GraphSalmonella!$B$80*Salmonella!I310+GraphSalmonella!$B$81</f>
        <v>0.15275693699546888</v>
      </c>
      <c r="Y310" s="10">
        <f>GraphSalmonella!$E$80*Salmonella!I310+GraphSalmonella!$E$81</f>
        <v>0.15959975817002192</v>
      </c>
      <c r="Z310" s="10">
        <f>GraphSalmonella!$H$80*Salmonella!I310+GraphSalmonella!$H$81</f>
        <v>-0.20661273653443324</v>
      </c>
    </row>
    <row r="311" spans="1:26" x14ac:dyDescent="0.2">
      <c r="A311" s="1" t="s">
        <v>66</v>
      </c>
      <c r="B311" s="1" t="s">
        <v>70</v>
      </c>
      <c r="D311" t="s">
        <v>11</v>
      </c>
      <c r="E311" s="1" t="s">
        <v>305</v>
      </c>
      <c r="F311" s="1" t="s">
        <v>325</v>
      </c>
      <c r="G311" s="9"/>
      <c r="I311" s="4">
        <v>62.2</v>
      </c>
      <c r="J311" s="11">
        <v>0.14000000000000001</v>
      </c>
      <c r="K311" s="4">
        <v>3.24</v>
      </c>
      <c r="L311" s="12">
        <f t="shared" si="8"/>
        <v>-0.85387196432176193</v>
      </c>
      <c r="M311" s="11">
        <f>GraphSalmonella!$B$10-(Salmonella!I311-GraphSalmonella!$B$6)/GraphSalmonella!$B$5</f>
        <v>2.9155541325539769E-2</v>
      </c>
      <c r="N311" s="1" t="s">
        <v>319</v>
      </c>
      <c r="O311">
        <v>2000</v>
      </c>
      <c r="S311" s="10">
        <f>GraphSalmonella!$B$57*Salmonella!I311+GraphSalmonella!$B$58</f>
        <v>0.21918463587166492</v>
      </c>
      <c r="T311" s="10">
        <f>GraphSalmonella!$E$57*Salmonella!I311+GraphSalmonella!$E$58</f>
        <v>3.0290160085350717</v>
      </c>
      <c r="U311" s="10">
        <f>GraphSalmonella!$H$57*Salmonella!I311+GraphSalmonella!$H$58</f>
        <v>3.0074608471799991E-2</v>
      </c>
      <c r="X311" s="10">
        <f>GraphSalmonella!$B$80*Salmonella!I311+GraphSalmonella!$B$81</f>
        <v>3.1664119319998463E-2</v>
      </c>
      <c r="Y311" s="10">
        <f>GraphSalmonella!$E$80*Salmonella!I311+GraphSalmonella!$E$81</f>
        <v>3.6807509609486644E-2</v>
      </c>
      <c r="Z311" s="10">
        <f>GraphSalmonella!$H$80*Salmonella!I311+GraphSalmonella!$H$81</f>
        <v>-0.34871278609554945</v>
      </c>
    </row>
    <row r="312" spans="1:26" x14ac:dyDescent="0.2">
      <c r="A312" s="1" t="s">
        <v>66</v>
      </c>
      <c r="B312" s="1" t="s">
        <v>328</v>
      </c>
      <c r="D312" t="s">
        <v>11</v>
      </c>
      <c r="E312" s="1" t="s">
        <v>305</v>
      </c>
      <c r="F312" s="1" t="s">
        <v>325</v>
      </c>
      <c r="G312" s="9"/>
      <c r="I312" s="4">
        <v>60</v>
      </c>
      <c r="J312" s="11">
        <v>0.28000000000000003</v>
      </c>
      <c r="K312" s="4">
        <v>4.33</v>
      </c>
      <c r="L312" s="12">
        <f t="shared" si="8"/>
        <v>-0.55284196865778079</v>
      </c>
      <c r="M312" s="11">
        <f>GraphSalmonella!$B$10-(Salmonella!I312-GraphSalmonella!$B$6)/GraphSalmonella!$B$5</f>
        <v>0.2712239435094701</v>
      </c>
      <c r="N312" s="1" t="s">
        <v>319</v>
      </c>
      <c r="O312">
        <v>2000</v>
      </c>
      <c r="S312" s="10">
        <f>GraphSalmonella!$B$57*Salmonella!I312+GraphSalmonella!$B$58</f>
        <v>0.35072323220664714</v>
      </c>
      <c r="T312" s="10">
        <f>GraphSalmonella!$E$57*Salmonella!I312+GraphSalmonella!$E$58</f>
        <v>3.1370239566030182</v>
      </c>
      <c r="U312" s="10">
        <f>GraphSalmonella!$H$57*Salmonella!I312+GraphSalmonella!$H$58</f>
        <v>0.27208851901262943</v>
      </c>
      <c r="X312" s="10">
        <f>GraphSalmonella!$B$80*Salmonella!I312+GraphSalmonella!$B$81</f>
        <v>0.2738497546709393</v>
      </c>
      <c r="Y312" s="10">
        <f>GraphSalmonella!$E$80*Salmonella!I312+GraphSalmonella!$E$81</f>
        <v>0.2823920067305572</v>
      </c>
      <c r="Z312" s="10">
        <f>GraphSalmonella!$H$80*Salmonella!I312+GraphSalmonella!$H$81</f>
        <v>-6.4512686973317024E-2</v>
      </c>
    </row>
    <row r="313" spans="1:26" x14ac:dyDescent="0.2">
      <c r="A313" s="1" t="s">
        <v>66</v>
      </c>
      <c r="B313" s="1" t="s">
        <v>328</v>
      </c>
      <c r="D313" t="s">
        <v>11</v>
      </c>
      <c r="E313" s="1" t="s">
        <v>305</v>
      </c>
      <c r="F313" s="1" t="s">
        <v>325</v>
      </c>
      <c r="G313" s="9"/>
      <c r="I313" s="4">
        <v>61.1</v>
      </c>
      <c r="J313" s="11">
        <v>0.16</v>
      </c>
      <c r="K313" s="4">
        <v>4.33</v>
      </c>
      <c r="L313" s="12">
        <f t="shared" si="8"/>
        <v>-0.79588001734407521</v>
      </c>
      <c r="M313" s="11">
        <f>GraphSalmonella!$B$10-(Salmonella!I313-GraphSalmonella!$B$6)/GraphSalmonella!$B$5</f>
        <v>0.15018974241750493</v>
      </c>
      <c r="N313" s="1" t="s">
        <v>319</v>
      </c>
      <c r="O313">
        <v>2000</v>
      </c>
      <c r="S313" s="10">
        <f>GraphSalmonella!$B$57*Salmonella!I313+GraphSalmonella!$B$58</f>
        <v>0.28495393403915603</v>
      </c>
      <c r="T313" s="10">
        <f>GraphSalmonella!$E$57*Salmonella!I313+GraphSalmonella!$E$58</f>
        <v>3.083019982569045</v>
      </c>
      <c r="U313" s="10">
        <f>GraphSalmonella!$H$57*Salmonella!I313+GraphSalmonella!$H$58</f>
        <v>0.15108156374221515</v>
      </c>
      <c r="X313" s="10">
        <f>GraphSalmonella!$B$80*Salmonella!I313+GraphSalmonella!$B$81</f>
        <v>0.15275693699546888</v>
      </c>
      <c r="Y313" s="10">
        <f>GraphSalmonella!$E$80*Salmonella!I313+GraphSalmonella!$E$81</f>
        <v>0.15959975817002192</v>
      </c>
      <c r="Z313" s="10">
        <f>GraphSalmonella!$H$80*Salmonella!I313+GraphSalmonella!$H$81</f>
        <v>-0.20661273653443324</v>
      </c>
    </row>
    <row r="314" spans="1:26" x14ac:dyDescent="0.2">
      <c r="A314" s="1" t="s">
        <v>66</v>
      </c>
      <c r="B314" s="1" t="s">
        <v>328</v>
      </c>
      <c r="D314" t="s">
        <v>11</v>
      </c>
      <c r="E314" s="1" t="s">
        <v>305</v>
      </c>
      <c r="F314" s="1" t="s">
        <v>325</v>
      </c>
      <c r="G314" s="9"/>
      <c r="I314" s="4">
        <v>62.2</v>
      </c>
      <c r="J314" s="11">
        <v>8.6999999999999994E-2</v>
      </c>
      <c r="K314" s="4">
        <v>4.33</v>
      </c>
      <c r="L314" s="12">
        <f t="shared" si="8"/>
        <v>-1.0604807473813815</v>
      </c>
      <c r="M314" s="11">
        <f>GraphSalmonella!$B$10-(Salmonella!I314-GraphSalmonella!$B$6)/GraphSalmonella!$B$5</f>
        <v>2.9155541325539769E-2</v>
      </c>
      <c r="N314" s="1" t="s">
        <v>319</v>
      </c>
      <c r="O314">
        <v>2000</v>
      </c>
      <c r="S314" s="10">
        <f>GraphSalmonella!$B$57*Salmonella!I314+GraphSalmonella!$B$58</f>
        <v>0.21918463587166492</v>
      </c>
      <c r="T314" s="10">
        <f>GraphSalmonella!$E$57*Salmonella!I314+GraphSalmonella!$E$58</f>
        <v>3.0290160085350717</v>
      </c>
      <c r="U314" s="10">
        <f>GraphSalmonella!$H$57*Salmonella!I314+GraphSalmonella!$H$58</f>
        <v>3.0074608471799991E-2</v>
      </c>
      <c r="X314" s="10">
        <f>GraphSalmonella!$B$80*Salmonella!I314+GraphSalmonella!$B$81</f>
        <v>3.1664119319998463E-2</v>
      </c>
      <c r="Y314" s="10">
        <f>GraphSalmonella!$E$80*Salmonella!I314+GraphSalmonella!$E$81</f>
        <v>3.6807509609486644E-2</v>
      </c>
      <c r="Z314" s="10">
        <f>GraphSalmonella!$H$80*Salmonella!I314+GraphSalmonella!$H$81</f>
        <v>-0.34871278609554945</v>
      </c>
    </row>
    <row r="315" spans="1:26" x14ac:dyDescent="0.2">
      <c r="A315" s="1" t="s">
        <v>66</v>
      </c>
      <c r="B315" s="1" t="s">
        <v>70</v>
      </c>
      <c r="D315" t="s">
        <v>11</v>
      </c>
      <c r="E315" s="1" t="s">
        <v>305</v>
      </c>
      <c r="F315" s="1" t="s">
        <v>326</v>
      </c>
      <c r="G315" s="9"/>
      <c r="I315" s="4">
        <v>60</v>
      </c>
      <c r="J315" s="11">
        <v>5.0999999999999996</v>
      </c>
      <c r="K315" s="4">
        <v>4.5999999999999996</v>
      </c>
      <c r="L315" s="12">
        <f t="shared" si="8"/>
        <v>0.70757017609793638</v>
      </c>
      <c r="M315" s="11">
        <f>GraphSalmonella!$B$10-(Salmonella!I315-GraphSalmonella!$B$6)/GraphSalmonella!$B$5</f>
        <v>0.2712239435094701</v>
      </c>
      <c r="N315" s="1" t="s">
        <v>319</v>
      </c>
      <c r="O315">
        <v>2000</v>
      </c>
      <c r="S315" s="10">
        <f>GraphSalmonella!$B$57*Salmonella!I315+GraphSalmonella!$B$58</f>
        <v>0.35072323220664714</v>
      </c>
      <c r="T315" s="10">
        <f>GraphSalmonella!$E$57*Salmonella!I315+GraphSalmonella!$E$58</f>
        <v>3.1370239566030182</v>
      </c>
      <c r="U315" s="10">
        <f>GraphSalmonella!$H$57*Salmonella!I315+GraphSalmonella!$H$58</f>
        <v>0.27208851901262943</v>
      </c>
      <c r="X315" s="10">
        <f>GraphSalmonella!$B$80*Salmonella!I315+GraphSalmonella!$B$81</f>
        <v>0.2738497546709393</v>
      </c>
      <c r="Y315" s="10">
        <f>GraphSalmonella!$E$80*Salmonella!I315+GraphSalmonella!$E$81</f>
        <v>0.2823920067305572</v>
      </c>
      <c r="Z315" s="10">
        <f>GraphSalmonella!$H$80*Salmonella!I315+GraphSalmonella!$H$81</f>
        <v>-6.4512686973317024E-2</v>
      </c>
    </row>
    <row r="316" spans="1:26" x14ac:dyDescent="0.2">
      <c r="A316" s="1" t="s">
        <v>66</v>
      </c>
      <c r="B316" s="1" t="s">
        <v>70</v>
      </c>
      <c r="D316" t="s">
        <v>11</v>
      </c>
      <c r="E316" s="1" t="s">
        <v>305</v>
      </c>
      <c r="F316" s="1" t="s">
        <v>327</v>
      </c>
      <c r="G316" s="9"/>
      <c r="I316" s="4">
        <v>60</v>
      </c>
      <c r="J316" s="11">
        <v>4</v>
      </c>
      <c r="K316" s="4">
        <v>4.8</v>
      </c>
      <c r="L316" s="12">
        <f t="shared" si="8"/>
        <v>0.6020599913279624</v>
      </c>
      <c r="M316" s="11">
        <f>GraphSalmonella!$B$10-(Salmonella!I316-GraphSalmonella!$B$6)/GraphSalmonella!$B$5</f>
        <v>0.2712239435094701</v>
      </c>
      <c r="N316" s="1" t="s">
        <v>319</v>
      </c>
      <c r="O316">
        <v>2000</v>
      </c>
      <c r="S316" s="10">
        <f>GraphSalmonella!$B$57*Salmonella!I316+GraphSalmonella!$B$58</f>
        <v>0.35072323220664714</v>
      </c>
      <c r="T316" s="10">
        <f>GraphSalmonella!$E$57*Salmonella!I316+GraphSalmonella!$E$58</f>
        <v>3.1370239566030182</v>
      </c>
      <c r="U316" s="10">
        <f>GraphSalmonella!$H$57*Salmonella!I316+GraphSalmonella!$H$58</f>
        <v>0.27208851901262943</v>
      </c>
      <c r="X316" s="10">
        <f>GraphSalmonella!$B$80*Salmonella!I316+GraphSalmonella!$B$81</f>
        <v>0.2738497546709393</v>
      </c>
      <c r="Y316" s="10">
        <f>GraphSalmonella!$E$80*Salmonella!I316+GraphSalmonella!$E$81</f>
        <v>0.2823920067305572</v>
      </c>
      <c r="Z316" s="10">
        <f>GraphSalmonella!$H$80*Salmonella!I316+GraphSalmonella!$H$81</f>
        <v>-6.4512686973317024E-2</v>
      </c>
    </row>
    <row r="317" spans="1:26" x14ac:dyDescent="0.2">
      <c r="A317" s="1" t="s">
        <v>66</v>
      </c>
      <c r="B317" s="1" t="s">
        <v>109</v>
      </c>
      <c r="D317" t="s">
        <v>11</v>
      </c>
      <c r="E317" s="1" t="s">
        <v>305</v>
      </c>
      <c r="F317" s="1" t="s">
        <v>1291</v>
      </c>
      <c r="G317" s="9"/>
      <c r="I317" s="4">
        <v>55</v>
      </c>
      <c r="J317" s="11">
        <v>7.8</v>
      </c>
      <c r="L317" s="12">
        <f t="shared" si="8"/>
        <v>0.89209460269048035</v>
      </c>
      <c r="M317" s="11">
        <f>GraphSalmonella!$B$10-(Salmonella!I317-GraphSalmonella!$B$6)/GraphSalmonella!$B$5</f>
        <v>0.82137940301840184</v>
      </c>
      <c r="N317" s="1" t="s">
        <v>1093</v>
      </c>
      <c r="O317">
        <v>1997</v>
      </c>
      <c r="S317" s="10">
        <f>GraphSalmonella!$B$57*Salmonella!I317+GraphSalmonella!$B$58</f>
        <v>0.64967458751342466</v>
      </c>
      <c r="T317" s="10">
        <f>GraphSalmonella!$E$57*Salmonella!I317+GraphSalmonella!$E$58</f>
        <v>3.3824965658483515</v>
      </c>
      <c r="U317" s="10">
        <f>GraphSalmonella!$H$57*Salmonella!I317+GraphSalmonella!$H$58</f>
        <v>0.82212013387815031</v>
      </c>
      <c r="X317" s="10">
        <f>GraphSalmonella!$B$80*Salmonella!I317+GraphSalmonella!$B$81</f>
        <v>0.82427165319580453</v>
      </c>
      <c r="Y317" s="10">
        <f>GraphSalmonella!$E$80*Salmonella!I317+GraphSalmonella!$E$81</f>
        <v>0.84053859109662721</v>
      </c>
      <c r="Z317" s="10">
        <f>GraphSalmonella!$H$80*Salmonella!I317+GraphSalmonella!$H$81</f>
        <v>0.58139662921357438</v>
      </c>
    </row>
    <row r="318" spans="1:26" x14ac:dyDescent="0.2">
      <c r="A318" s="1" t="s">
        <v>66</v>
      </c>
      <c r="B318" s="1" t="s">
        <v>109</v>
      </c>
      <c r="D318" t="s">
        <v>11</v>
      </c>
      <c r="E318" s="1" t="s">
        <v>305</v>
      </c>
      <c r="F318" s="1" t="s">
        <v>1291</v>
      </c>
      <c r="G318" s="9"/>
      <c r="I318" s="4">
        <v>55</v>
      </c>
      <c r="J318" s="11">
        <v>8.5</v>
      </c>
      <c r="L318" s="12">
        <f t="shared" si="8"/>
        <v>0.92941892571429274</v>
      </c>
      <c r="M318" s="11">
        <f>GraphSalmonella!$B$10-(Salmonella!I318-GraphSalmonella!$B$6)/GraphSalmonella!$B$5</f>
        <v>0.82137940301840184</v>
      </c>
      <c r="N318" s="1" t="s">
        <v>1093</v>
      </c>
      <c r="O318">
        <v>1997</v>
      </c>
      <c r="S318" s="10">
        <f>GraphSalmonella!$B$57*Salmonella!I318+GraphSalmonella!$B$58</f>
        <v>0.64967458751342466</v>
      </c>
      <c r="T318" s="10">
        <f>GraphSalmonella!$E$57*Salmonella!I318+GraphSalmonella!$E$58</f>
        <v>3.3824965658483515</v>
      </c>
      <c r="U318" s="10">
        <f>GraphSalmonella!$H$57*Salmonella!I318+GraphSalmonella!$H$58</f>
        <v>0.82212013387815031</v>
      </c>
      <c r="X318" s="10">
        <f>GraphSalmonella!$B$80*Salmonella!I318+GraphSalmonella!$B$81</f>
        <v>0.82427165319580453</v>
      </c>
      <c r="Y318" s="10">
        <f>GraphSalmonella!$E$80*Salmonella!I318+GraphSalmonella!$E$81</f>
        <v>0.84053859109662721</v>
      </c>
      <c r="Z318" s="10">
        <f>GraphSalmonella!$H$80*Salmonella!I318+GraphSalmonella!$H$81</f>
        <v>0.58139662921357438</v>
      </c>
    </row>
    <row r="319" spans="1:26" x14ac:dyDescent="0.2">
      <c r="A319" s="1" t="s">
        <v>66</v>
      </c>
      <c r="B319" s="1" t="s">
        <v>109</v>
      </c>
      <c r="D319" t="s">
        <v>11</v>
      </c>
      <c r="E319" s="1" t="s">
        <v>305</v>
      </c>
      <c r="F319" s="1" t="s">
        <v>1291</v>
      </c>
      <c r="G319" s="9"/>
      <c r="I319" s="4">
        <v>57.2</v>
      </c>
      <c r="J319" s="11">
        <v>1.21</v>
      </c>
      <c r="L319" s="12">
        <f t="shared" si="8"/>
        <v>8.2785370316450071E-2</v>
      </c>
      <c r="M319" s="11">
        <f>GraphSalmonella!$B$10-(Salmonella!I319-GraphSalmonella!$B$6)/GraphSalmonella!$B$5</f>
        <v>0.57931100083447151</v>
      </c>
      <c r="N319" s="1" t="s">
        <v>1093</v>
      </c>
      <c r="O319">
        <v>1997</v>
      </c>
      <c r="S319" s="10">
        <f>GraphSalmonella!$B$57*Salmonella!I319+GraphSalmonella!$B$58</f>
        <v>0.51813599117844245</v>
      </c>
      <c r="T319" s="10">
        <f>GraphSalmonella!$E$57*Salmonella!I319+GraphSalmonella!$E$58</f>
        <v>3.2744886177804045</v>
      </c>
      <c r="U319" s="10">
        <f>GraphSalmonella!$H$57*Salmonella!I319+GraphSalmonella!$H$58</f>
        <v>0.58010622333732087</v>
      </c>
      <c r="X319" s="10">
        <f>GraphSalmonella!$B$80*Salmonella!I319+GraphSalmonella!$B$81</f>
        <v>0.58208601784486369</v>
      </c>
      <c r="Y319" s="10">
        <f>GraphSalmonella!$E$80*Salmonella!I319+GraphSalmonella!$E$81</f>
        <v>0.59495409397555665</v>
      </c>
      <c r="Z319" s="10">
        <f>GraphSalmonella!$H$80*Salmonella!I319+GraphSalmonella!$H$81</f>
        <v>0.29719653009134195</v>
      </c>
    </row>
    <row r="320" spans="1:26" x14ac:dyDescent="0.2">
      <c r="A320" s="1" t="s">
        <v>66</v>
      </c>
      <c r="B320" s="1" t="s">
        <v>109</v>
      </c>
      <c r="D320" t="s">
        <v>11</v>
      </c>
      <c r="E320" s="1" t="s">
        <v>305</v>
      </c>
      <c r="F320" s="1" t="s">
        <v>1291</v>
      </c>
      <c r="G320" s="9"/>
      <c r="I320" s="4">
        <v>57.2</v>
      </c>
      <c r="J320" s="11">
        <v>2.81</v>
      </c>
      <c r="L320" s="12">
        <f t="shared" si="8"/>
        <v>0.44870631990507992</v>
      </c>
      <c r="M320" s="11">
        <f>GraphSalmonella!$B$10-(Salmonella!I320-GraphSalmonella!$B$6)/GraphSalmonella!$B$5</f>
        <v>0.57931100083447151</v>
      </c>
      <c r="N320" s="1" t="s">
        <v>1093</v>
      </c>
      <c r="O320">
        <v>1997</v>
      </c>
      <c r="S320" s="10">
        <f>GraphSalmonella!$B$57*Salmonella!I320+GraphSalmonella!$B$58</f>
        <v>0.51813599117844245</v>
      </c>
      <c r="T320" s="10">
        <f>GraphSalmonella!$E$57*Salmonella!I320+GraphSalmonella!$E$58</f>
        <v>3.2744886177804045</v>
      </c>
      <c r="U320" s="10">
        <f>GraphSalmonella!$H$57*Salmonella!I320+GraphSalmonella!$H$58</f>
        <v>0.58010622333732087</v>
      </c>
      <c r="X320" s="10">
        <f>GraphSalmonella!$B$80*Salmonella!I320+GraphSalmonella!$B$81</f>
        <v>0.58208601784486369</v>
      </c>
      <c r="Y320" s="10">
        <f>GraphSalmonella!$E$80*Salmonella!I320+GraphSalmonella!$E$81</f>
        <v>0.59495409397555665</v>
      </c>
      <c r="Z320" s="10">
        <f>GraphSalmonella!$H$80*Salmonella!I320+GraphSalmonella!$H$81</f>
        <v>0.29719653009134195</v>
      </c>
    </row>
    <row r="321" spans="1:26" x14ac:dyDescent="0.2">
      <c r="A321" s="1" t="s">
        <v>66</v>
      </c>
      <c r="B321" s="1" t="s">
        <v>109</v>
      </c>
      <c r="D321" t="s">
        <v>11</v>
      </c>
      <c r="E321" s="1" t="s">
        <v>305</v>
      </c>
      <c r="F321" s="1" t="s">
        <v>1291</v>
      </c>
      <c r="G321" s="9"/>
      <c r="I321" s="4">
        <v>60</v>
      </c>
      <c r="J321" s="11">
        <v>0.21</v>
      </c>
      <c r="L321" s="12">
        <f t="shared" si="8"/>
        <v>-0.6777807052660807</v>
      </c>
      <c r="M321" s="11">
        <f>GraphSalmonella!$B$10-(Salmonella!I321-GraphSalmonella!$B$6)/GraphSalmonella!$B$5</f>
        <v>0.2712239435094701</v>
      </c>
      <c r="N321" s="1" t="s">
        <v>1093</v>
      </c>
      <c r="O321">
        <v>1997</v>
      </c>
      <c r="S321" s="10">
        <f>GraphSalmonella!$B$57*Salmonella!I321+GraphSalmonella!$B$58</f>
        <v>0.35072323220664714</v>
      </c>
      <c r="T321" s="10">
        <f>GraphSalmonella!$E$57*Salmonella!I321+GraphSalmonella!$E$58</f>
        <v>3.1370239566030182</v>
      </c>
      <c r="U321" s="10">
        <f>GraphSalmonella!$H$57*Salmonella!I321+GraphSalmonella!$H$58</f>
        <v>0.27208851901262943</v>
      </c>
      <c r="X321" s="10">
        <f>GraphSalmonella!$B$80*Salmonella!I321+GraphSalmonella!$B$81</f>
        <v>0.2738497546709393</v>
      </c>
      <c r="Y321" s="10">
        <f>GraphSalmonella!$E$80*Salmonella!I321+GraphSalmonella!$E$81</f>
        <v>0.2823920067305572</v>
      </c>
      <c r="Z321" s="10">
        <f>GraphSalmonella!$H$80*Salmonella!I321+GraphSalmonella!$H$81</f>
        <v>-6.4512686973317024E-2</v>
      </c>
    </row>
    <row r="322" spans="1:26" x14ac:dyDescent="0.2">
      <c r="A322" s="1" t="s">
        <v>66</v>
      </c>
      <c r="B322" s="1" t="s">
        <v>109</v>
      </c>
      <c r="D322" t="s">
        <v>11</v>
      </c>
      <c r="E322" s="1" t="s">
        <v>305</v>
      </c>
      <c r="F322" s="1" t="s">
        <v>1291</v>
      </c>
      <c r="G322" s="9"/>
      <c r="I322" s="4">
        <v>60</v>
      </c>
      <c r="J322" s="11">
        <v>0.62</v>
      </c>
      <c r="L322" s="12">
        <f t="shared" si="8"/>
        <v>-0.20760831050174613</v>
      </c>
      <c r="M322" s="11">
        <f>GraphSalmonella!$B$10-(Salmonella!I322-GraphSalmonella!$B$6)/GraphSalmonella!$B$5</f>
        <v>0.2712239435094701</v>
      </c>
      <c r="N322" s="1" t="s">
        <v>1093</v>
      </c>
      <c r="O322">
        <v>1997</v>
      </c>
      <c r="S322" s="10">
        <f>GraphSalmonella!$B$57*Salmonella!I322+GraphSalmonella!$B$58</f>
        <v>0.35072323220664714</v>
      </c>
      <c r="T322" s="10">
        <f>GraphSalmonella!$E$57*Salmonella!I322+GraphSalmonella!$E$58</f>
        <v>3.1370239566030182</v>
      </c>
      <c r="U322" s="10">
        <f>GraphSalmonella!$H$57*Salmonella!I322+GraphSalmonella!$H$58</f>
        <v>0.27208851901262943</v>
      </c>
      <c r="X322" s="10">
        <f>GraphSalmonella!$B$80*Salmonella!I322+GraphSalmonella!$B$81</f>
        <v>0.2738497546709393</v>
      </c>
      <c r="Y322" s="10">
        <f>GraphSalmonella!$E$80*Salmonella!I322+GraphSalmonella!$E$81</f>
        <v>0.2823920067305572</v>
      </c>
      <c r="Z322" s="10">
        <f>GraphSalmonella!$H$80*Salmonella!I322+GraphSalmonella!$H$81</f>
        <v>-6.4512686973317024E-2</v>
      </c>
    </row>
    <row r="323" spans="1:26" x14ac:dyDescent="0.2">
      <c r="A323" s="1" t="s">
        <v>66</v>
      </c>
      <c r="B323" s="1" t="s">
        <v>109</v>
      </c>
      <c r="D323" t="s">
        <v>11</v>
      </c>
      <c r="E323" s="1" t="s">
        <v>305</v>
      </c>
      <c r="F323" s="1" t="s">
        <v>1291</v>
      </c>
      <c r="G323" s="9"/>
      <c r="I323" s="4">
        <v>60</v>
      </c>
      <c r="J323" s="11">
        <v>0.31</v>
      </c>
      <c r="L323" s="12">
        <f t="shared" si="8"/>
        <v>-0.50863830616572736</v>
      </c>
      <c r="M323" s="11">
        <f>GraphSalmonella!$B$10-(Salmonella!I323-GraphSalmonella!$B$6)/GraphSalmonella!$B$5</f>
        <v>0.2712239435094701</v>
      </c>
      <c r="N323" s="1" t="s">
        <v>1093</v>
      </c>
      <c r="O323">
        <v>1997</v>
      </c>
      <c r="S323" s="10">
        <f>GraphSalmonella!$B$57*Salmonella!I323+GraphSalmonella!$B$58</f>
        <v>0.35072323220664714</v>
      </c>
      <c r="T323" s="10">
        <f>GraphSalmonella!$E$57*Salmonella!I323+GraphSalmonella!$E$58</f>
        <v>3.1370239566030182</v>
      </c>
      <c r="U323" s="10">
        <f>GraphSalmonella!$H$57*Salmonella!I323+GraphSalmonella!$H$58</f>
        <v>0.27208851901262943</v>
      </c>
      <c r="X323" s="10">
        <f>GraphSalmonella!$B$80*Salmonella!I323+GraphSalmonella!$B$81</f>
        <v>0.2738497546709393</v>
      </c>
      <c r="Y323" s="10">
        <f>GraphSalmonella!$E$80*Salmonella!I323+GraphSalmonella!$E$81</f>
        <v>0.2823920067305572</v>
      </c>
      <c r="Z323" s="10">
        <f>GraphSalmonella!$H$80*Salmonella!I323+GraphSalmonella!$H$81</f>
        <v>-6.4512686973317024E-2</v>
      </c>
    </row>
    <row r="324" spans="1:26" x14ac:dyDescent="0.2">
      <c r="A324" s="1" t="s">
        <v>66</v>
      </c>
      <c r="B324" s="1" t="s">
        <v>109</v>
      </c>
      <c r="D324" t="s">
        <v>11</v>
      </c>
      <c r="E324" s="1" t="s">
        <v>305</v>
      </c>
      <c r="F324" s="1" t="s">
        <v>1291</v>
      </c>
      <c r="G324" s="9"/>
      <c r="I324" s="4">
        <v>60</v>
      </c>
      <c r="J324" s="11">
        <v>0.69</v>
      </c>
      <c r="L324" s="12">
        <f t="shared" si="8"/>
        <v>-0.16115090926274472</v>
      </c>
      <c r="M324" s="11">
        <f>GraphSalmonella!$B$10-(Salmonella!I324-GraphSalmonella!$B$6)/GraphSalmonella!$B$5</f>
        <v>0.2712239435094701</v>
      </c>
      <c r="N324" s="1" t="s">
        <v>1093</v>
      </c>
      <c r="O324">
        <v>1997</v>
      </c>
      <c r="S324" s="10">
        <f>GraphSalmonella!$B$57*Salmonella!I324+GraphSalmonella!$B$58</f>
        <v>0.35072323220664714</v>
      </c>
      <c r="T324" s="10">
        <f>GraphSalmonella!$E$57*Salmonella!I324+GraphSalmonella!$E$58</f>
        <v>3.1370239566030182</v>
      </c>
      <c r="U324" s="10">
        <f>GraphSalmonella!$H$57*Salmonella!I324+GraphSalmonella!$H$58</f>
        <v>0.27208851901262943</v>
      </c>
      <c r="X324" s="10">
        <f>GraphSalmonella!$B$80*Salmonella!I324+GraphSalmonella!$B$81</f>
        <v>0.2738497546709393</v>
      </c>
      <c r="Y324" s="10">
        <f>GraphSalmonella!$E$80*Salmonella!I324+GraphSalmonella!$E$81</f>
        <v>0.2823920067305572</v>
      </c>
      <c r="Z324" s="10">
        <f>GraphSalmonella!$H$80*Salmonella!I324+GraphSalmonella!$H$81</f>
        <v>-6.4512686973317024E-2</v>
      </c>
    </row>
    <row r="325" spans="1:26" x14ac:dyDescent="0.2">
      <c r="A325" s="1" t="s">
        <v>66</v>
      </c>
      <c r="B325" s="1" t="s">
        <v>1233</v>
      </c>
      <c r="D325" t="s">
        <v>11</v>
      </c>
      <c r="E325" s="1" t="s">
        <v>305</v>
      </c>
      <c r="F325" s="1" t="s">
        <v>1291</v>
      </c>
      <c r="G325" s="9"/>
      <c r="I325" s="4">
        <v>58</v>
      </c>
      <c r="J325" s="11">
        <v>0.49</v>
      </c>
      <c r="L325" s="12">
        <f t="shared" si="8"/>
        <v>-0.30980391997148632</v>
      </c>
      <c r="M325" s="11">
        <f>GraphSalmonella!$B$10-(Salmonella!I325-GraphSalmonella!$B$6)/GraphSalmonella!$B$5</f>
        <v>0.49128612731304266</v>
      </c>
      <c r="N325" s="1" t="s">
        <v>1093</v>
      </c>
      <c r="O325">
        <v>1997</v>
      </c>
      <c r="S325" s="10">
        <f>GraphSalmonella!$B$57*Salmonella!I325+GraphSalmonella!$B$58</f>
        <v>0.47030377432935788</v>
      </c>
      <c r="T325" s="10">
        <f>GraphSalmonella!$E$57*Salmonella!I325+GraphSalmonella!$E$58</f>
        <v>3.2352130003011514</v>
      </c>
      <c r="U325" s="10">
        <f>GraphSalmonella!$H$57*Salmonella!I325+GraphSalmonella!$H$58</f>
        <v>0.4921011649588376</v>
      </c>
      <c r="X325" s="10">
        <f>GraphSalmonella!$B$80*Salmonella!I325+GraphSalmonella!$B$81</f>
        <v>0.49401851408088504</v>
      </c>
      <c r="Y325" s="10">
        <f>GraphSalmonella!$E$80*Salmonella!I325+GraphSalmonella!$E$81</f>
        <v>0.50565064047698538</v>
      </c>
      <c r="Z325" s="10">
        <f>GraphSalmonella!$H$80*Salmonella!I325+GraphSalmonella!$H$81</f>
        <v>0.19385103950143989</v>
      </c>
    </row>
    <row r="326" spans="1:26" x14ac:dyDescent="0.2">
      <c r="A326" s="1" t="s">
        <v>66</v>
      </c>
      <c r="B326" s="1" t="s">
        <v>1233</v>
      </c>
      <c r="D326" t="s">
        <v>11</v>
      </c>
      <c r="E326" s="1" t="s">
        <v>305</v>
      </c>
      <c r="F326" s="1" t="s">
        <v>1291</v>
      </c>
      <c r="G326" s="9"/>
      <c r="I326" s="4">
        <v>58</v>
      </c>
      <c r="J326" s="11">
        <v>0.86</v>
      </c>
      <c r="L326" s="12">
        <f t="shared" si="8"/>
        <v>-6.5501548756432285E-2</v>
      </c>
      <c r="M326" s="11">
        <f>GraphSalmonella!$B$10-(Salmonella!I326-GraphSalmonella!$B$6)/GraphSalmonella!$B$5</f>
        <v>0.49128612731304266</v>
      </c>
      <c r="N326" s="1" t="s">
        <v>1093</v>
      </c>
      <c r="O326">
        <v>1997</v>
      </c>
      <c r="S326" s="10">
        <f>GraphSalmonella!$B$57*Salmonella!I326+GraphSalmonella!$B$58</f>
        <v>0.47030377432935788</v>
      </c>
      <c r="T326" s="10">
        <f>GraphSalmonella!$E$57*Salmonella!I326+GraphSalmonella!$E$58</f>
        <v>3.2352130003011514</v>
      </c>
      <c r="U326" s="10">
        <f>GraphSalmonella!$H$57*Salmonella!I326+GraphSalmonella!$H$58</f>
        <v>0.4921011649588376</v>
      </c>
      <c r="X326" s="10">
        <f>GraphSalmonella!$B$80*Salmonella!I326+GraphSalmonella!$B$81</f>
        <v>0.49401851408088504</v>
      </c>
      <c r="Y326" s="10">
        <f>GraphSalmonella!$E$80*Salmonella!I326+GraphSalmonella!$E$81</f>
        <v>0.50565064047698538</v>
      </c>
      <c r="Z326" s="10">
        <f>GraphSalmonella!$H$80*Salmonella!I326+GraphSalmonella!$H$81</f>
        <v>0.19385103950143989</v>
      </c>
    </row>
    <row r="327" spans="1:26" x14ac:dyDescent="0.2">
      <c r="A327" s="1" t="s">
        <v>66</v>
      </c>
      <c r="B327" s="1" t="s">
        <v>1233</v>
      </c>
      <c r="D327" t="s">
        <v>11</v>
      </c>
      <c r="E327" s="1" t="s">
        <v>305</v>
      </c>
      <c r="F327" s="1" t="s">
        <v>1291</v>
      </c>
      <c r="G327" s="9"/>
      <c r="I327" s="4">
        <v>60</v>
      </c>
      <c r="J327" s="11">
        <v>0.14000000000000001</v>
      </c>
      <c r="L327" s="12">
        <f t="shared" si="8"/>
        <v>-0.85387196432176193</v>
      </c>
      <c r="M327" s="11">
        <f>GraphSalmonella!$B$10-(Salmonella!I327-GraphSalmonella!$B$6)/GraphSalmonella!$B$5</f>
        <v>0.2712239435094701</v>
      </c>
      <c r="N327" s="1" t="s">
        <v>1093</v>
      </c>
      <c r="O327">
        <v>1997</v>
      </c>
      <c r="S327" s="10">
        <f>GraphSalmonella!$B$57*Salmonella!I327+GraphSalmonella!$B$58</f>
        <v>0.35072323220664714</v>
      </c>
      <c r="T327" s="10">
        <f>GraphSalmonella!$E$57*Salmonella!I327+GraphSalmonella!$E$58</f>
        <v>3.1370239566030182</v>
      </c>
      <c r="U327" s="10">
        <f>GraphSalmonella!$H$57*Salmonella!I327+GraphSalmonella!$H$58</f>
        <v>0.27208851901262943</v>
      </c>
      <c r="X327" s="10">
        <f>GraphSalmonella!$B$80*Salmonella!I327+GraphSalmonella!$B$81</f>
        <v>0.2738497546709393</v>
      </c>
      <c r="Y327" s="10">
        <f>GraphSalmonella!$E$80*Salmonella!I327+GraphSalmonella!$E$81</f>
        <v>0.2823920067305572</v>
      </c>
      <c r="Z327" s="10">
        <f>GraphSalmonella!$H$80*Salmonella!I327+GraphSalmonella!$H$81</f>
        <v>-6.4512686973317024E-2</v>
      </c>
    </row>
    <row r="328" spans="1:26" x14ac:dyDescent="0.2">
      <c r="A328" s="1" t="s">
        <v>66</v>
      </c>
      <c r="B328" s="1" t="s">
        <v>1233</v>
      </c>
      <c r="D328" t="s">
        <v>11</v>
      </c>
      <c r="E328" s="1" t="s">
        <v>305</v>
      </c>
      <c r="F328" s="1" t="s">
        <v>1291</v>
      </c>
      <c r="G328" s="9"/>
      <c r="I328" s="4">
        <v>60</v>
      </c>
      <c r="J328" s="11">
        <v>2.2000000000000002</v>
      </c>
      <c r="L328" s="12">
        <f t="shared" si="8"/>
        <v>0.34242268082220628</v>
      </c>
      <c r="M328" s="11">
        <f>GraphSalmonella!$B$10-(Salmonella!I328-GraphSalmonella!$B$6)/GraphSalmonella!$B$5</f>
        <v>0.2712239435094701</v>
      </c>
      <c r="N328" s="1" t="s">
        <v>1093</v>
      </c>
      <c r="O328">
        <v>1997</v>
      </c>
      <c r="S328" s="10">
        <f>GraphSalmonella!$B$57*Salmonella!I328+GraphSalmonella!$B$58</f>
        <v>0.35072323220664714</v>
      </c>
      <c r="T328" s="10">
        <f>GraphSalmonella!$E$57*Salmonella!I328+GraphSalmonella!$E$58</f>
        <v>3.1370239566030182</v>
      </c>
      <c r="U328" s="10">
        <f>GraphSalmonella!$H$57*Salmonella!I328+GraphSalmonella!$H$58</f>
        <v>0.27208851901262943</v>
      </c>
      <c r="X328" s="10">
        <f>GraphSalmonella!$B$80*Salmonella!I328+GraphSalmonella!$B$81</f>
        <v>0.2738497546709393</v>
      </c>
      <c r="Y328" s="10">
        <f>GraphSalmonella!$E$80*Salmonella!I328+GraphSalmonella!$E$81</f>
        <v>0.2823920067305572</v>
      </c>
      <c r="Z328" s="10">
        <f>GraphSalmonella!$H$80*Salmonella!I328+GraphSalmonella!$H$81</f>
        <v>-6.4512686973317024E-2</v>
      </c>
    </row>
    <row r="329" spans="1:26" x14ac:dyDescent="0.2">
      <c r="A329" s="1" t="s">
        <v>66</v>
      </c>
      <c r="B329" s="1" t="s">
        <v>1233</v>
      </c>
      <c r="D329" t="s">
        <v>11</v>
      </c>
      <c r="E329" s="1" t="s">
        <v>305</v>
      </c>
      <c r="F329" s="1" t="s">
        <v>1291</v>
      </c>
      <c r="G329" s="9"/>
      <c r="I329" s="4">
        <v>60</v>
      </c>
      <c r="J329" s="11">
        <v>0.16</v>
      </c>
      <c r="L329" s="12">
        <f t="shared" si="8"/>
        <v>-0.79588001734407521</v>
      </c>
      <c r="M329" s="11">
        <f>GraphSalmonella!$B$10-(Salmonella!I329-GraphSalmonella!$B$6)/GraphSalmonella!$B$5</f>
        <v>0.2712239435094701</v>
      </c>
      <c r="N329" s="1" t="s">
        <v>1093</v>
      </c>
      <c r="O329">
        <v>1997</v>
      </c>
      <c r="S329" s="10">
        <f>GraphSalmonella!$B$57*Salmonella!I329+GraphSalmonella!$B$58</f>
        <v>0.35072323220664714</v>
      </c>
      <c r="T329" s="10">
        <f>GraphSalmonella!$E$57*Salmonella!I329+GraphSalmonella!$E$58</f>
        <v>3.1370239566030182</v>
      </c>
      <c r="U329" s="10">
        <f>GraphSalmonella!$H$57*Salmonella!I329+GraphSalmonella!$H$58</f>
        <v>0.27208851901262943</v>
      </c>
      <c r="X329" s="10">
        <f>GraphSalmonella!$B$80*Salmonella!I329+GraphSalmonella!$B$81</f>
        <v>0.2738497546709393</v>
      </c>
      <c r="Y329" s="10">
        <f>GraphSalmonella!$E$80*Salmonella!I329+GraphSalmonella!$E$81</f>
        <v>0.2823920067305572</v>
      </c>
      <c r="Z329" s="10">
        <f>GraphSalmonella!$H$80*Salmonella!I329+GraphSalmonella!$H$81</f>
        <v>-6.4512686973317024E-2</v>
      </c>
    </row>
    <row r="330" spans="1:26" x14ac:dyDescent="0.2">
      <c r="A330" s="1" t="s">
        <v>66</v>
      </c>
      <c r="B330" s="1" t="s">
        <v>1233</v>
      </c>
      <c r="D330" t="s">
        <v>11</v>
      </c>
      <c r="E330" s="1" t="s">
        <v>305</v>
      </c>
      <c r="F330" s="1" t="s">
        <v>1291</v>
      </c>
      <c r="G330" s="9"/>
      <c r="I330" s="4">
        <v>60</v>
      </c>
      <c r="J330" s="11">
        <v>0.46</v>
      </c>
      <c r="L330" s="12">
        <f t="shared" si="8"/>
        <v>-0.33724216831842591</v>
      </c>
      <c r="M330" s="11">
        <f>GraphSalmonella!$B$10-(Salmonella!I330-GraphSalmonella!$B$6)/GraphSalmonella!$B$5</f>
        <v>0.2712239435094701</v>
      </c>
      <c r="N330" s="1" t="s">
        <v>1093</v>
      </c>
      <c r="O330">
        <v>1997</v>
      </c>
      <c r="S330" s="10">
        <f>GraphSalmonella!$B$57*Salmonella!I330+GraphSalmonella!$B$58</f>
        <v>0.35072323220664714</v>
      </c>
      <c r="T330" s="10">
        <f>GraphSalmonella!$E$57*Salmonella!I330+GraphSalmonella!$E$58</f>
        <v>3.1370239566030182</v>
      </c>
      <c r="U330" s="10">
        <f>GraphSalmonella!$H$57*Salmonella!I330+GraphSalmonella!$H$58</f>
        <v>0.27208851901262943</v>
      </c>
      <c r="X330" s="10">
        <f>GraphSalmonella!$B$80*Salmonella!I330+GraphSalmonella!$B$81</f>
        <v>0.2738497546709393</v>
      </c>
      <c r="Y330" s="10">
        <f>GraphSalmonella!$E$80*Salmonella!I330+GraphSalmonella!$E$81</f>
        <v>0.2823920067305572</v>
      </c>
      <c r="Z330" s="10">
        <f>GraphSalmonella!$H$80*Salmonella!I330+GraphSalmonella!$H$81</f>
        <v>-6.4512686973317024E-2</v>
      </c>
    </row>
    <row r="331" spans="1:26" x14ac:dyDescent="0.2">
      <c r="A331" s="1" t="s">
        <v>66</v>
      </c>
      <c r="B331" s="1" t="s">
        <v>70</v>
      </c>
      <c r="D331" t="s">
        <v>11</v>
      </c>
      <c r="E331" s="1" t="s">
        <v>305</v>
      </c>
      <c r="F331" s="1" t="s">
        <v>1291</v>
      </c>
      <c r="G331" s="9"/>
      <c r="I331" s="4">
        <v>60</v>
      </c>
      <c r="J331" s="11">
        <v>0.25</v>
      </c>
      <c r="L331" s="12">
        <f t="shared" si="8"/>
        <v>-0.6020599913279624</v>
      </c>
      <c r="M331" s="11">
        <f>GraphSalmonella!$B$10-(Salmonella!I331-GraphSalmonella!$B$6)/GraphSalmonella!$B$5</f>
        <v>0.2712239435094701</v>
      </c>
      <c r="N331" s="1" t="s">
        <v>1093</v>
      </c>
      <c r="O331">
        <v>1997</v>
      </c>
      <c r="S331" s="10">
        <f>GraphSalmonella!$B$57*Salmonella!I331+GraphSalmonella!$B$58</f>
        <v>0.35072323220664714</v>
      </c>
      <c r="T331" s="10">
        <f>GraphSalmonella!$E$57*Salmonella!I331+GraphSalmonella!$E$58</f>
        <v>3.1370239566030182</v>
      </c>
      <c r="U331" s="10">
        <f>GraphSalmonella!$H$57*Salmonella!I331+GraphSalmonella!$H$58</f>
        <v>0.27208851901262943</v>
      </c>
      <c r="X331" s="10">
        <f>GraphSalmonella!$B$80*Salmonella!I331+GraphSalmonella!$B$81</f>
        <v>0.2738497546709393</v>
      </c>
      <c r="Y331" s="10">
        <f>GraphSalmonella!$E$80*Salmonella!I331+GraphSalmonella!$E$81</f>
        <v>0.2823920067305572</v>
      </c>
      <c r="Z331" s="10">
        <f>GraphSalmonella!$H$80*Salmonella!I331+GraphSalmonella!$H$81</f>
        <v>-6.4512686973317024E-2</v>
      </c>
    </row>
    <row r="332" spans="1:26" x14ac:dyDescent="0.2">
      <c r="A332" s="1" t="s">
        <v>66</v>
      </c>
      <c r="B332" s="1" t="s">
        <v>70</v>
      </c>
      <c r="D332" t="s">
        <v>11</v>
      </c>
      <c r="E332" s="1" t="s">
        <v>305</v>
      </c>
      <c r="F332" s="1" t="s">
        <v>1291</v>
      </c>
      <c r="G332" s="9"/>
      <c r="I332" s="4">
        <v>60</v>
      </c>
      <c r="J332" s="11">
        <v>0.45</v>
      </c>
      <c r="L332" s="12">
        <f t="shared" si="8"/>
        <v>-0.34678748622465633</v>
      </c>
      <c r="M332" s="11">
        <f>GraphSalmonella!$B$10-(Salmonella!I332-GraphSalmonella!$B$6)/GraphSalmonella!$B$5</f>
        <v>0.2712239435094701</v>
      </c>
      <c r="N332" s="1" t="s">
        <v>1093</v>
      </c>
      <c r="O332">
        <v>1997</v>
      </c>
      <c r="S332" s="10">
        <f>GraphSalmonella!$B$57*Salmonella!I332+GraphSalmonella!$B$58</f>
        <v>0.35072323220664714</v>
      </c>
      <c r="T332" s="10">
        <f>GraphSalmonella!$E$57*Salmonella!I332+GraphSalmonella!$E$58</f>
        <v>3.1370239566030182</v>
      </c>
      <c r="U332" s="10">
        <f>GraphSalmonella!$H$57*Salmonella!I332+GraphSalmonella!$H$58</f>
        <v>0.27208851901262943</v>
      </c>
      <c r="X332" s="10">
        <f>GraphSalmonella!$B$80*Salmonella!I332+GraphSalmonella!$B$81</f>
        <v>0.2738497546709393</v>
      </c>
      <c r="Y332" s="10">
        <f>GraphSalmonella!$E$80*Salmonella!I332+GraphSalmonella!$E$81</f>
        <v>0.2823920067305572</v>
      </c>
      <c r="Z332" s="10">
        <f>GraphSalmonella!$H$80*Salmonella!I332+GraphSalmonella!$H$81</f>
        <v>-6.4512686973317024E-2</v>
      </c>
    </row>
    <row r="333" spans="1:26" x14ac:dyDescent="0.2">
      <c r="A333" s="1" t="s">
        <v>66</v>
      </c>
      <c r="B333" s="1" t="s">
        <v>70</v>
      </c>
      <c r="D333" t="s">
        <v>11</v>
      </c>
      <c r="E333" s="1" t="s">
        <v>305</v>
      </c>
      <c r="F333" s="1" t="s">
        <v>1291</v>
      </c>
      <c r="G333" s="9"/>
      <c r="H333" s="4">
        <v>5.5</v>
      </c>
      <c r="I333" s="4">
        <v>57.8</v>
      </c>
      <c r="J333" s="11">
        <v>2.2999999999999998</v>
      </c>
      <c r="L333" s="12">
        <f t="shared" si="8"/>
        <v>0.36172783601759284</v>
      </c>
      <c r="M333" s="11">
        <f>GraphSalmonella!$B$10-(Salmonella!I333-GraphSalmonella!$B$6)/GraphSalmonella!$B$5</f>
        <v>0.51329234569340043</v>
      </c>
      <c r="N333" s="1" t="s">
        <v>1093</v>
      </c>
      <c r="O333">
        <v>1997</v>
      </c>
      <c r="S333" s="10">
        <f>GraphSalmonella!$B$57*Salmonella!I333+GraphSalmonella!$B$58</f>
        <v>0.48226182854162936</v>
      </c>
      <c r="T333" s="10">
        <f>GraphSalmonella!$E$57*Salmonella!I333+GraphSalmonella!$E$58</f>
        <v>3.2450319046709648</v>
      </c>
      <c r="U333" s="10">
        <f>GraphSalmonella!$H$57*Salmonella!I333+GraphSalmonella!$H$58</f>
        <v>0.51410242955345886</v>
      </c>
      <c r="X333" s="10">
        <f>GraphSalmonella!$B$80*Salmonella!I333+GraphSalmonella!$B$81</f>
        <v>0.51603539002188015</v>
      </c>
      <c r="Y333" s="10">
        <f>GraphSalmonella!$E$80*Salmonella!I333+GraphSalmonella!$E$81</f>
        <v>0.52797650385162864</v>
      </c>
      <c r="Z333" s="10">
        <f>GraphSalmonella!$H$80*Salmonella!I333+GraphSalmonella!$H$81</f>
        <v>0.21968741214891541</v>
      </c>
    </row>
    <row r="334" spans="1:26" x14ac:dyDescent="0.2">
      <c r="A334" s="1" t="s">
        <v>66</v>
      </c>
      <c r="B334" s="1" t="s">
        <v>1233</v>
      </c>
      <c r="D334" t="s">
        <v>11</v>
      </c>
      <c r="E334" s="1" t="s">
        <v>305</v>
      </c>
      <c r="F334" s="1" t="s">
        <v>1217</v>
      </c>
      <c r="G334" s="9"/>
      <c r="I334" s="4">
        <v>62.2</v>
      </c>
      <c r="J334" s="11">
        <v>0.14000000000000001</v>
      </c>
      <c r="L334" s="12">
        <f t="shared" si="8"/>
        <v>-0.85387196432176193</v>
      </c>
      <c r="M334" s="11">
        <f>GraphSalmonella!$B$10-(Salmonella!I334-GraphSalmonella!$B$6)/GraphSalmonella!$B$5</f>
        <v>2.9155541325539769E-2</v>
      </c>
      <c r="N334" s="1" t="s">
        <v>1093</v>
      </c>
      <c r="O334">
        <v>1997</v>
      </c>
      <c r="S334" s="10">
        <f>GraphSalmonella!$B$57*Salmonella!I334+GraphSalmonella!$B$58</f>
        <v>0.21918463587166492</v>
      </c>
      <c r="T334" s="10">
        <f>GraphSalmonella!$E$57*Salmonella!I334+GraphSalmonella!$E$58</f>
        <v>3.0290160085350717</v>
      </c>
      <c r="U334" s="10">
        <f>GraphSalmonella!$H$57*Salmonella!I334+GraphSalmonella!$H$58</f>
        <v>3.0074608471799991E-2</v>
      </c>
      <c r="X334" s="10">
        <f>GraphSalmonella!$B$80*Salmonella!I334+GraphSalmonella!$B$81</f>
        <v>3.1664119319998463E-2</v>
      </c>
      <c r="Y334" s="10">
        <f>GraphSalmonella!$E$80*Salmonella!I334+GraphSalmonella!$E$81</f>
        <v>3.6807509609486644E-2</v>
      </c>
      <c r="Z334" s="10">
        <f>GraphSalmonella!$H$80*Salmonella!I334+GraphSalmonella!$H$81</f>
        <v>-0.34871278609554945</v>
      </c>
    </row>
    <row r="335" spans="1:26" x14ac:dyDescent="0.2">
      <c r="A335" s="1" t="s">
        <v>66</v>
      </c>
      <c r="B335" s="1" t="s">
        <v>1233</v>
      </c>
      <c r="D335" t="s">
        <v>11</v>
      </c>
      <c r="E335" s="1" t="s">
        <v>305</v>
      </c>
      <c r="F335" s="1" t="s">
        <v>1217</v>
      </c>
      <c r="G335" s="9"/>
      <c r="I335" s="4">
        <v>62.2</v>
      </c>
      <c r="J335" s="11">
        <v>0.3</v>
      </c>
      <c r="L335" s="12">
        <f t="shared" si="8"/>
        <v>-0.52287874528033762</v>
      </c>
      <c r="M335" s="11">
        <f>GraphSalmonella!$B$10-(Salmonella!I335-GraphSalmonella!$B$6)/GraphSalmonella!$B$5</f>
        <v>2.9155541325539769E-2</v>
      </c>
      <c r="N335" s="1" t="s">
        <v>1093</v>
      </c>
      <c r="O335">
        <v>1997</v>
      </c>
      <c r="S335" s="10">
        <f>GraphSalmonella!$B$57*Salmonella!I335+GraphSalmonella!$B$58</f>
        <v>0.21918463587166492</v>
      </c>
      <c r="T335" s="10">
        <f>GraphSalmonella!$E$57*Salmonella!I335+GraphSalmonella!$E$58</f>
        <v>3.0290160085350717</v>
      </c>
      <c r="U335" s="10">
        <f>GraphSalmonella!$H$57*Salmonella!I335+GraphSalmonella!$H$58</f>
        <v>3.0074608471799991E-2</v>
      </c>
      <c r="X335" s="10">
        <f>GraphSalmonella!$B$80*Salmonella!I335+GraphSalmonella!$B$81</f>
        <v>3.1664119319998463E-2</v>
      </c>
      <c r="Y335" s="10">
        <f>GraphSalmonella!$E$80*Salmonella!I335+GraphSalmonella!$E$81</f>
        <v>3.6807509609486644E-2</v>
      </c>
      <c r="Z335" s="10">
        <f>GraphSalmonella!$H$80*Salmonella!I335+GraphSalmonella!$H$81</f>
        <v>-0.34871278609554945</v>
      </c>
    </row>
    <row r="336" spans="1:26" x14ac:dyDescent="0.2">
      <c r="A336" s="1" t="s">
        <v>66</v>
      </c>
      <c r="B336" s="1" t="s">
        <v>70</v>
      </c>
      <c r="D336" t="s">
        <v>11</v>
      </c>
      <c r="E336" s="1" t="s">
        <v>305</v>
      </c>
      <c r="F336" s="1" t="s">
        <v>1217</v>
      </c>
      <c r="G336" s="9"/>
      <c r="I336" s="4">
        <v>59.5</v>
      </c>
      <c r="J336" s="11">
        <v>0.85</v>
      </c>
      <c r="L336" s="12">
        <f t="shared" si="8"/>
        <v>-7.0581074285707285E-2</v>
      </c>
      <c r="M336" s="11">
        <f>GraphSalmonella!$B$10-(Salmonella!I336-GraphSalmonella!$B$6)/GraphSalmonella!$B$5</f>
        <v>0.3262394894603633</v>
      </c>
      <c r="N336" s="1" t="s">
        <v>1093</v>
      </c>
      <c r="O336">
        <v>1997</v>
      </c>
      <c r="S336" s="10">
        <f>GraphSalmonella!$B$57*Salmonella!I336+GraphSalmonella!$B$58</f>
        <v>0.38061836773732471</v>
      </c>
      <c r="T336" s="10">
        <f>GraphSalmonella!$E$57*Salmonella!I336+GraphSalmonella!$E$58</f>
        <v>3.1615712175275514</v>
      </c>
      <c r="U336" s="10">
        <f>GraphSalmonella!$H$57*Salmonella!I336+GraphSalmonella!$H$58</f>
        <v>0.32709168049918169</v>
      </c>
      <c r="X336" s="10">
        <f>GraphSalmonella!$B$80*Salmonella!I336+GraphSalmonella!$B$81</f>
        <v>0.32889194452342529</v>
      </c>
      <c r="Y336" s="10">
        <f>GraphSalmonella!$E$80*Salmonella!I336+GraphSalmonella!$E$81</f>
        <v>0.33820666516716447</v>
      </c>
      <c r="Z336" s="10">
        <f>GraphSalmonella!$H$80*Salmonella!I336+GraphSalmonella!$H$81</f>
        <v>7.8244645371761123E-5</v>
      </c>
    </row>
    <row r="337" spans="1:26" x14ac:dyDescent="0.2">
      <c r="A337" s="1" t="s">
        <v>66</v>
      </c>
      <c r="B337" s="1" t="s">
        <v>570</v>
      </c>
      <c r="D337" t="s">
        <v>11</v>
      </c>
      <c r="E337" s="1" t="s">
        <v>576</v>
      </c>
      <c r="F337" s="1" t="s">
        <v>1446</v>
      </c>
      <c r="G337" s="9"/>
      <c r="I337" s="4">
        <v>55</v>
      </c>
      <c r="J337" s="4">
        <v>24.69</v>
      </c>
      <c r="K337" s="4">
        <v>6.23</v>
      </c>
      <c r="L337" s="12">
        <f t="shared" si="8"/>
        <v>1.3925210899319322</v>
      </c>
      <c r="M337" s="11">
        <f>GraphSalmonella!$B$10-(Salmonella!I337-GraphSalmonella!$B$6)/GraphSalmonella!$B$5</f>
        <v>0.82137940301840184</v>
      </c>
      <c r="N337" s="1" t="s">
        <v>572</v>
      </c>
      <c r="O337">
        <v>2003</v>
      </c>
      <c r="S337" s="10">
        <f>GraphSalmonella!$B$57*Salmonella!I337+GraphSalmonella!$B$58</f>
        <v>0.64967458751342466</v>
      </c>
      <c r="T337" s="10">
        <f>GraphSalmonella!$E$57*Salmonella!I337+GraphSalmonella!$E$58</f>
        <v>3.3824965658483515</v>
      </c>
      <c r="U337" s="10">
        <f>GraphSalmonella!$H$57*Salmonella!I337+GraphSalmonella!$H$58</f>
        <v>0.82212013387815031</v>
      </c>
      <c r="X337" s="10">
        <f>GraphSalmonella!$B$80*Salmonella!I337+GraphSalmonella!$B$81</f>
        <v>0.82427165319580453</v>
      </c>
      <c r="Y337" s="10">
        <f>GraphSalmonella!$E$80*Salmonella!I337+GraphSalmonella!$E$81</f>
        <v>0.84053859109662721</v>
      </c>
      <c r="Z337" s="10">
        <f>GraphSalmonella!$H$80*Salmonella!I337+GraphSalmonella!$H$81</f>
        <v>0.58139662921357438</v>
      </c>
    </row>
    <row r="338" spans="1:26" x14ac:dyDescent="0.2">
      <c r="A338" s="1" t="s">
        <v>66</v>
      </c>
      <c r="B338" s="1" t="s">
        <v>570</v>
      </c>
      <c r="D338" t="s">
        <v>11</v>
      </c>
      <c r="E338" s="1" t="s">
        <v>576</v>
      </c>
      <c r="F338" s="1" t="s">
        <v>1446</v>
      </c>
      <c r="G338" s="9"/>
      <c r="I338" s="4">
        <v>57.5</v>
      </c>
      <c r="J338" s="4">
        <v>8.67</v>
      </c>
      <c r="K338" s="4">
        <v>6.23</v>
      </c>
      <c r="L338" s="12">
        <f t="shared" si="8"/>
        <v>0.93801909747621026</v>
      </c>
      <c r="M338" s="11">
        <f>GraphSalmonella!$B$10-(Salmonella!I338-GraphSalmonella!$B$6)/GraphSalmonella!$B$5</f>
        <v>0.54630167326393586</v>
      </c>
      <c r="N338" s="1" t="s">
        <v>572</v>
      </c>
      <c r="O338">
        <v>2003</v>
      </c>
      <c r="S338" s="10">
        <f>GraphSalmonella!$B$57*Salmonella!I338+GraphSalmonella!$B$58</f>
        <v>0.5001989098600359</v>
      </c>
      <c r="T338" s="10">
        <f>GraphSalmonella!$E$57*Salmonella!I338+GraphSalmonella!$E$58</f>
        <v>3.2597602612256846</v>
      </c>
      <c r="U338" s="10">
        <f>GraphSalmonella!$H$57*Salmonella!I338+GraphSalmonella!$H$58</f>
        <v>0.54710432644538987</v>
      </c>
      <c r="X338" s="10">
        <f>GraphSalmonella!$B$80*Salmonella!I338+GraphSalmonella!$B$81</f>
        <v>0.54906070393337192</v>
      </c>
      <c r="Y338" s="10">
        <f>GraphSalmonella!$E$80*Salmonella!I338+GraphSalmonella!$E$81</f>
        <v>0.56146529891359265</v>
      </c>
      <c r="Z338" s="10">
        <f>GraphSalmonella!$H$80*Salmonella!I338+GraphSalmonella!$H$81</f>
        <v>0.25844197112012868</v>
      </c>
    </row>
    <row r="339" spans="1:26" x14ac:dyDescent="0.2">
      <c r="A339" s="1" t="s">
        <v>66</v>
      </c>
      <c r="B339" s="1" t="s">
        <v>570</v>
      </c>
      <c r="D339" t="s">
        <v>11</v>
      </c>
      <c r="E339" s="1" t="s">
        <v>576</v>
      </c>
      <c r="F339" s="1" t="s">
        <v>1446</v>
      </c>
      <c r="G339" s="9"/>
      <c r="I339" s="4">
        <v>60</v>
      </c>
      <c r="J339" s="4">
        <v>5.2</v>
      </c>
      <c r="K339" s="4">
        <v>6.23</v>
      </c>
      <c r="L339" s="12">
        <f t="shared" si="8"/>
        <v>0.71600334363479923</v>
      </c>
      <c r="M339" s="11">
        <f>GraphSalmonella!$B$10-(Salmonella!I339-GraphSalmonella!$B$6)/GraphSalmonella!$B$5</f>
        <v>0.2712239435094701</v>
      </c>
      <c r="N339" s="1" t="s">
        <v>572</v>
      </c>
      <c r="O339">
        <v>2003</v>
      </c>
      <c r="S339" s="10">
        <f>GraphSalmonella!$B$57*Salmonella!I339+GraphSalmonella!$B$58</f>
        <v>0.35072323220664714</v>
      </c>
      <c r="T339" s="10">
        <f>GraphSalmonella!$E$57*Salmonella!I339+GraphSalmonella!$E$58</f>
        <v>3.1370239566030182</v>
      </c>
      <c r="U339" s="10">
        <f>GraphSalmonella!$H$57*Salmonella!I339+GraphSalmonella!$H$58</f>
        <v>0.27208851901262943</v>
      </c>
      <c r="X339" s="10">
        <f>GraphSalmonella!$B$80*Salmonella!I339+GraphSalmonella!$B$81</f>
        <v>0.2738497546709393</v>
      </c>
      <c r="Y339" s="10">
        <f>GraphSalmonella!$E$80*Salmonella!I339+GraphSalmonella!$E$81</f>
        <v>0.2823920067305572</v>
      </c>
      <c r="Z339" s="10">
        <f>GraphSalmonella!$H$80*Salmonella!I339+GraphSalmonella!$H$81</f>
        <v>-6.4512686973317024E-2</v>
      </c>
    </row>
    <row r="340" spans="1:26" x14ac:dyDescent="0.2">
      <c r="A340" s="1" t="s">
        <v>66</v>
      </c>
      <c r="B340" s="1" t="s">
        <v>570</v>
      </c>
      <c r="D340" t="s">
        <v>11</v>
      </c>
      <c r="E340" s="1" t="s">
        <v>576</v>
      </c>
      <c r="F340" s="1" t="s">
        <v>1446</v>
      </c>
      <c r="G340" s="9"/>
      <c r="I340" s="4">
        <v>62.5</v>
      </c>
      <c r="J340" s="4">
        <v>1.85</v>
      </c>
      <c r="K340" s="4">
        <v>6.23</v>
      </c>
      <c r="L340" s="12">
        <f t="shared" si="8"/>
        <v>0.26717172840301384</v>
      </c>
      <c r="M340" s="11">
        <f>GraphSalmonella!$B$10-(Salmonella!I340-GraphSalmonella!$B$6)/GraphSalmonella!$B$5</f>
        <v>-3.8537862449957716E-3</v>
      </c>
      <c r="N340" s="1" t="s">
        <v>572</v>
      </c>
      <c r="O340">
        <v>2003</v>
      </c>
      <c r="S340" s="10">
        <f>GraphSalmonella!$B$57*Salmonella!I340+GraphSalmonella!$B$58</f>
        <v>0.20124755455325838</v>
      </c>
      <c r="T340" s="10">
        <f>GraphSalmonella!$E$57*Salmonella!I340+GraphSalmonella!$E$58</f>
        <v>3.0142876519803519</v>
      </c>
      <c r="U340" s="10">
        <f>GraphSalmonella!$H$57*Salmonella!I340+GraphSalmonella!$H$58</f>
        <v>-2.9272884201310134E-3</v>
      </c>
      <c r="X340" s="10">
        <f>GraphSalmonella!$B$80*Salmonella!I340+GraphSalmonella!$B$81</f>
        <v>-1.3611945914933088E-3</v>
      </c>
      <c r="Y340" s="10">
        <f>GraphSalmonella!$E$80*Salmonella!I340+GraphSalmonella!$E$81</f>
        <v>3.3187145475226387E-3</v>
      </c>
      <c r="Z340" s="10">
        <f>GraphSalmonella!$H$80*Salmonella!I340+GraphSalmonella!$H$81</f>
        <v>-0.38746734506676273</v>
      </c>
    </row>
    <row r="341" spans="1:26" x14ac:dyDescent="0.2">
      <c r="A341" s="1" t="s">
        <v>66</v>
      </c>
      <c r="B341" s="1" t="s">
        <v>570</v>
      </c>
      <c r="D341" t="s">
        <v>11</v>
      </c>
      <c r="E341" s="1" t="s">
        <v>576</v>
      </c>
      <c r="F341" s="1" t="s">
        <v>1446</v>
      </c>
      <c r="G341" s="9"/>
      <c r="I341" s="4">
        <v>65</v>
      </c>
      <c r="J341" s="4">
        <v>0.62</v>
      </c>
      <c r="K341" s="4">
        <v>6.23</v>
      </c>
      <c r="L341" s="12">
        <f t="shared" si="8"/>
        <v>-0.20760831050174613</v>
      </c>
      <c r="M341" s="11">
        <f>GraphSalmonella!$B$10-(Salmonella!I341-GraphSalmonella!$B$6)/GraphSalmonella!$B$5</f>
        <v>-0.27893151599946164</v>
      </c>
      <c r="N341" s="1" t="s">
        <v>572</v>
      </c>
      <c r="O341">
        <v>2003</v>
      </c>
      <c r="S341" s="10">
        <f>GraphSalmonella!$B$57*Salmonella!I341+GraphSalmonella!$B$58</f>
        <v>5.1771876899869618E-2</v>
      </c>
      <c r="T341" s="10">
        <f>GraphSalmonella!$E$57*Salmonella!I341+GraphSalmonella!$E$58</f>
        <v>2.891551347357685</v>
      </c>
      <c r="U341" s="10">
        <f>GraphSalmonella!$H$57*Salmonella!I341+GraphSalmonella!$H$58</f>
        <v>-0.27794309585289145</v>
      </c>
      <c r="X341" s="10">
        <f>GraphSalmonella!$B$80*Salmonella!I341+GraphSalmonella!$B$81</f>
        <v>-0.27657214385392592</v>
      </c>
      <c r="Y341" s="10">
        <f>GraphSalmonella!$E$80*Salmonella!I341+GraphSalmonella!$E$81</f>
        <v>-0.27575457763551192</v>
      </c>
      <c r="Z341" s="10">
        <f>GraphSalmonella!$H$80*Salmonella!I341+GraphSalmonella!$H$81</f>
        <v>-0.71042200316020843</v>
      </c>
    </row>
    <row r="342" spans="1:26" x14ac:dyDescent="0.2">
      <c r="A342" s="1" t="s">
        <v>66</v>
      </c>
      <c r="B342" s="1" t="s">
        <v>570</v>
      </c>
      <c r="D342" t="s">
        <v>11</v>
      </c>
      <c r="E342" s="1" t="s">
        <v>576</v>
      </c>
      <c r="F342" s="1" t="s">
        <v>1446</v>
      </c>
      <c r="G342" s="9"/>
      <c r="I342" s="4">
        <v>67.5</v>
      </c>
      <c r="J342" s="4">
        <v>0.19</v>
      </c>
      <c r="K342" s="4">
        <v>6.23</v>
      </c>
      <c r="L342" s="12">
        <f t="shared" si="8"/>
        <v>-0.72124639904717103</v>
      </c>
      <c r="M342" s="11">
        <f>GraphSalmonella!$B$10-(Salmonella!I342-GraphSalmonella!$B$6)/GraphSalmonella!$B$5</f>
        <v>-0.55400924575392752</v>
      </c>
      <c r="N342" s="1" t="s">
        <v>572</v>
      </c>
      <c r="O342">
        <v>2003</v>
      </c>
      <c r="S342" s="10">
        <f>GraphSalmonella!$B$57*Salmonella!I342+GraphSalmonella!$B$58</f>
        <v>-9.7703800753518699E-2</v>
      </c>
      <c r="T342" s="10">
        <f>GraphSalmonella!$E$57*Salmonella!I342+GraphSalmonella!$E$58</f>
        <v>2.7688150427350187</v>
      </c>
      <c r="U342" s="10">
        <f>GraphSalmonella!$H$57*Salmonella!I342+GraphSalmonella!$H$58</f>
        <v>-0.552958903285651</v>
      </c>
      <c r="X342" s="10">
        <f>GraphSalmonella!$B$80*Salmonella!I342+GraphSalmonella!$B$81</f>
        <v>-0.55178309311635854</v>
      </c>
      <c r="Y342" s="10">
        <f>GraphSalmonella!$E$80*Salmonella!I342+GraphSalmonella!$E$81</f>
        <v>-0.55482786981854737</v>
      </c>
      <c r="Z342" s="10">
        <f>GraphSalmonella!$H$80*Salmonella!I342+GraphSalmonella!$H$81</f>
        <v>-1.0333766612536559</v>
      </c>
    </row>
    <row r="343" spans="1:26" x14ac:dyDescent="0.2">
      <c r="A343" s="1" t="s">
        <v>66</v>
      </c>
      <c r="B343" s="1" t="s">
        <v>570</v>
      </c>
      <c r="D343" t="s">
        <v>11</v>
      </c>
      <c r="E343" s="1" t="s">
        <v>576</v>
      </c>
      <c r="F343" s="1" t="s">
        <v>1446</v>
      </c>
      <c r="G343" s="9"/>
      <c r="I343" s="4">
        <v>70</v>
      </c>
      <c r="J343" s="4">
        <v>0.12</v>
      </c>
      <c r="K343" s="4">
        <v>6.23</v>
      </c>
      <c r="L343" s="12">
        <f t="shared" si="8"/>
        <v>-0.92081875395237522</v>
      </c>
      <c r="M343" s="11">
        <f>GraphSalmonella!$B$10-(Salmonella!I343-GraphSalmonella!$B$6)/GraphSalmonella!$B$5</f>
        <v>-0.82908697550839339</v>
      </c>
      <c r="N343" s="1" t="s">
        <v>572</v>
      </c>
      <c r="O343">
        <v>2003</v>
      </c>
      <c r="S343" s="10">
        <f>GraphSalmonella!$B$57*Salmonella!I343+GraphSalmonella!$B$58</f>
        <v>-0.2471794784069079</v>
      </c>
      <c r="T343" s="10">
        <f>GraphSalmonella!$E$57*Salmonella!I343+GraphSalmonella!$E$58</f>
        <v>2.6460787381123523</v>
      </c>
      <c r="U343" s="10">
        <f>GraphSalmonella!$H$57*Salmonella!I343+GraphSalmonella!$H$58</f>
        <v>-0.82797471071841144</v>
      </c>
      <c r="X343" s="10">
        <f>GraphSalmonella!$B$80*Salmonella!I343+GraphSalmonella!$B$81</f>
        <v>-0.82699404237879115</v>
      </c>
      <c r="Y343" s="10">
        <f>GraphSalmonella!$E$80*Salmonella!I343+GraphSalmonella!$E$81</f>
        <v>-0.83390116200158193</v>
      </c>
      <c r="Z343" s="10">
        <f>GraphSalmonella!$H$80*Salmonella!I343+GraphSalmonella!$H$81</f>
        <v>-1.3563313193471016</v>
      </c>
    </row>
    <row r="344" spans="1:26" x14ac:dyDescent="0.2">
      <c r="A344" s="1" t="s">
        <v>66</v>
      </c>
      <c r="B344" s="1" t="s">
        <v>67</v>
      </c>
      <c r="D344" t="s">
        <v>44</v>
      </c>
      <c r="E344" s="1" t="s">
        <v>118</v>
      </c>
      <c r="F344" s="1"/>
      <c r="G344" s="11" t="s">
        <v>514</v>
      </c>
      <c r="H344" s="4">
        <v>5.85</v>
      </c>
      <c r="I344" s="4">
        <v>65.5</v>
      </c>
      <c r="J344" s="11">
        <v>4.0999999999999996</v>
      </c>
      <c r="L344" s="12">
        <f t="shared" ref="L344:L395" si="9">LOG(J344)</f>
        <v>0.61278385671973545</v>
      </c>
      <c r="M344" s="11">
        <f>GraphSalmonella!$B$10-(Salmonella!I344-GraphSalmonella!$B$6)/GraphSalmonella!$B$5</f>
        <v>-0.33394706195035484</v>
      </c>
      <c r="N344" s="2" t="s">
        <v>1226</v>
      </c>
      <c r="O344">
        <v>1996</v>
      </c>
      <c r="S344" s="10">
        <f>GraphSalmonella!$B$57*Salmonella!I344+GraphSalmonella!$B$58</f>
        <v>2.1876741369192043E-2</v>
      </c>
      <c r="T344" s="10">
        <f>GraphSalmonella!$E$57*Salmonella!I344+GraphSalmonella!$E$58</f>
        <v>2.8670040864331519</v>
      </c>
      <c r="U344" s="10">
        <f>GraphSalmonella!$H$57*Salmonella!I344+GraphSalmonella!$H$58</f>
        <v>-0.33294625733944283</v>
      </c>
      <c r="X344" s="10">
        <f>GraphSalmonella!$B$80*Salmonella!I344+GraphSalmonella!$B$81</f>
        <v>-0.3316143337064128</v>
      </c>
      <c r="Y344" s="10">
        <f>GraphSalmonella!$E$80*Salmonella!I344+GraphSalmonella!$E$81</f>
        <v>-0.33156923607211919</v>
      </c>
      <c r="Z344" s="10">
        <f>GraphSalmonella!$H$80*Salmonella!I344+GraphSalmonella!$H$81</f>
        <v>-0.77501293477889899</v>
      </c>
    </row>
    <row r="345" spans="1:26" x14ac:dyDescent="0.2">
      <c r="A345" s="1" t="s">
        <v>66</v>
      </c>
      <c r="B345" s="1" t="s">
        <v>67</v>
      </c>
      <c r="D345" t="s">
        <v>44</v>
      </c>
      <c r="E345" s="1" t="s">
        <v>118</v>
      </c>
      <c r="F345" s="1"/>
      <c r="G345" s="11" t="s">
        <v>514</v>
      </c>
      <c r="H345" s="4">
        <v>5.85</v>
      </c>
      <c r="I345" s="4">
        <v>70</v>
      </c>
      <c r="J345" s="11">
        <v>1.075</v>
      </c>
      <c r="L345" s="12">
        <f t="shared" si="9"/>
        <v>3.1408464251624121E-2</v>
      </c>
      <c r="M345" s="11">
        <f>GraphSalmonella!$B$10-(Salmonella!I345-GraphSalmonella!$B$6)/GraphSalmonella!$B$5</f>
        <v>-0.82908697550839339</v>
      </c>
      <c r="N345" s="2" t="s">
        <v>1226</v>
      </c>
      <c r="O345">
        <v>1996</v>
      </c>
      <c r="S345" s="10">
        <f>GraphSalmonella!$B$57*Salmonella!I345+GraphSalmonella!$B$58</f>
        <v>-0.2471794784069079</v>
      </c>
      <c r="T345" s="10">
        <f>GraphSalmonella!$E$57*Salmonella!I345+GraphSalmonella!$E$58</f>
        <v>2.6460787381123523</v>
      </c>
      <c r="U345" s="10">
        <f>GraphSalmonella!$H$57*Salmonella!I345+GraphSalmonella!$H$58</f>
        <v>-0.82797471071841144</v>
      </c>
      <c r="X345" s="10">
        <f>GraphSalmonella!$B$80*Salmonella!I345+GraphSalmonella!$B$81</f>
        <v>-0.82699404237879115</v>
      </c>
      <c r="Y345" s="10">
        <f>GraphSalmonella!$E$80*Salmonella!I345+GraphSalmonella!$E$81</f>
        <v>-0.83390116200158193</v>
      </c>
      <c r="Z345" s="10">
        <f>GraphSalmonella!$H$80*Salmonella!I345+GraphSalmonella!$H$81</f>
        <v>-1.3563313193471016</v>
      </c>
    </row>
    <row r="346" spans="1:26" x14ac:dyDescent="0.2">
      <c r="A346" s="1" t="s">
        <v>66</v>
      </c>
      <c r="B346" s="1" t="s">
        <v>70</v>
      </c>
      <c r="D346" t="s">
        <v>44</v>
      </c>
      <c r="E346" s="1" t="s">
        <v>118</v>
      </c>
      <c r="F346" s="1"/>
      <c r="G346" s="11" t="s">
        <v>514</v>
      </c>
      <c r="H346" s="4">
        <v>5.85</v>
      </c>
      <c r="I346" s="4">
        <v>60</v>
      </c>
      <c r="J346" s="11">
        <v>10</v>
      </c>
      <c r="L346" s="12">
        <f t="shared" si="9"/>
        <v>1</v>
      </c>
      <c r="M346" s="11">
        <f>GraphSalmonella!$B$10-(Salmonella!I346-GraphSalmonella!$B$6)/GraphSalmonella!$B$5</f>
        <v>0.2712239435094701</v>
      </c>
      <c r="N346" s="2" t="s">
        <v>1226</v>
      </c>
      <c r="O346">
        <v>1996</v>
      </c>
      <c r="S346" s="10">
        <f>GraphSalmonella!$B$57*Salmonella!I346+GraphSalmonella!$B$58</f>
        <v>0.35072323220664714</v>
      </c>
      <c r="T346" s="10">
        <f>GraphSalmonella!$E$57*Salmonella!I346+GraphSalmonella!$E$58</f>
        <v>3.1370239566030182</v>
      </c>
      <c r="U346" s="10">
        <f>GraphSalmonella!$H$57*Salmonella!I346+GraphSalmonella!$H$58</f>
        <v>0.27208851901262943</v>
      </c>
      <c r="X346" s="10">
        <f>GraphSalmonella!$B$80*Salmonella!I346+GraphSalmonella!$B$81</f>
        <v>0.2738497546709393</v>
      </c>
      <c r="Y346" s="10">
        <f>GraphSalmonella!$E$80*Salmonella!I346+GraphSalmonella!$E$81</f>
        <v>0.2823920067305572</v>
      </c>
      <c r="Z346" s="10">
        <f>GraphSalmonella!$H$80*Salmonella!I346+GraphSalmonella!$H$81</f>
        <v>-6.4512686973317024E-2</v>
      </c>
    </row>
    <row r="347" spans="1:26" x14ac:dyDescent="0.2">
      <c r="A347" s="1" t="s">
        <v>66</v>
      </c>
      <c r="B347" s="1" t="s">
        <v>70</v>
      </c>
      <c r="D347" t="s">
        <v>44</v>
      </c>
      <c r="E347" s="1" t="s">
        <v>118</v>
      </c>
      <c r="F347" s="1"/>
      <c r="G347" s="11" t="s">
        <v>514</v>
      </c>
      <c r="H347" s="4">
        <v>5.85</v>
      </c>
      <c r="I347" s="4">
        <v>65.5</v>
      </c>
      <c r="J347" s="11">
        <v>3.5329999999999999</v>
      </c>
      <c r="L347" s="12">
        <f t="shared" si="9"/>
        <v>0.54814363743484551</v>
      </c>
      <c r="M347" s="11">
        <f>GraphSalmonella!$B$10-(Salmonella!I347-GraphSalmonella!$B$6)/GraphSalmonella!$B$5</f>
        <v>-0.33394706195035484</v>
      </c>
      <c r="N347" s="2" t="s">
        <v>1226</v>
      </c>
      <c r="O347">
        <v>1996</v>
      </c>
      <c r="S347" s="10">
        <f>GraphSalmonella!$B$57*Salmonella!I347+GraphSalmonella!$B$58</f>
        <v>2.1876741369192043E-2</v>
      </c>
      <c r="T347" s="10">
        <f>GraphSalmonella!$E$57*Salmonella!I347+GraphSalmonella!$E$58</f>
        <v>2.8670040864331519</v>
      </c>
      <c r="U347" s="10">
        <f>GraphSalmonella!$H$57*Salmonella!I347+GraphSalmonella!$H$58</f>
        <v>-0.33294625733944283</v>
      </c>
      <c r="X347" s="10">
        <f>GraphSalmonella!$B$80*Salmonella!I347+GraphSalmonella!$B$81</f>
        <v>-0.3316143337064128</v>
      </c>
      <c r="Y347" s="10">
        <f>GraphSalmonella!$E$80*Salmonella!I347+GraphSalmonella!$E$81</f>
        <v>-0.33156923607211919</v>
      </c>
      <c r="Z347" s="10">
        <f>GraphSalmonella!$H$80*Salmonella!I347+GraphSalmonella!$H$81</f>
        <v>-0.77501293477889899</v>
      </c>
    </row>
    <row r="348" spans="1:26" x14ac:dyDescent="0.2">
      <c r="A348" s="1" t="s">
        <v>66</v>
      </c>
      <c r="B348" s="1" t="s">
        <v>70</v>
      </c>
      <c r="D348" t="s">
        <v>44</v>
      </c>
      <c r="E348" s="1" t="s">
        <v>118</v>
      </c>
      <c r="F348" s="1"/>
      <c r="G348" s="11" t="s">
        <v>514</v>
      </c>
      <c r="H348" s="4">
        <v>5.85</v>
      </c>
      <c r="I348" s="4">
        <v>70</v>
      </c>
      <c r="J348" s="11">
        <v>1.4</v>
      </c>
      <c r="L348" s="12">
        <f t="shared" si="9"/>
        <v>0.14612803567823801</v>
      </c>
      <c r="M348" s="11">
        <f>GraphSalmonella!$B$10-(Salmonella!I348-GraphSalmonella!$B$6)/GraphSalmonella!$B$5</f>
        <v>-0.82908697550839339</v>
      </c>
      <c r="N348" s="2" t="s">
        <v>1226</v>
      </c>
      <c r="O348">
        <v>1996</v>
      </c>
      <c r="S348" s="10">
        <f>GraphSalmonella!$B$57*Salmonella!I348+GraphSalmonella!$B$58</f>
        <v>-0.2471794784069079</v>
      </c>
      <c r="T348" s="10">
        <f>GraphSalmonella!$E$57*Salmonella!I348+GraphSalmonella!$E$58</f>
        <v>2.6460787381123523</v>
      </c>
      <c r="U348" s="10">
        <f>GraphSalmonella!$H$57*Salmonella!I348+GraphSalmonella!$H$58</f>
        <v>-0.82797471071841144</v>
      </c>
      <c r="X348" s="10">
        <f>GraphSalmonella!$B$80*Salmonella!I348+GraphSalmonella!$B$81</f>
        <v>-0.82699404237879115</v>
      </c>
      <c r="Y348" s="10">
        <f>GraphSalmonella!$E$80*Salmonella!I348+GraphSalmonella!$E$81</f>
        <v>-0.83390116200158193</v>
      </c>
      <c r="Z348" s="10">
        <f>GraphSalmonella!$H$80*Salmonella!I348+GraphSalmonella!$H$81</f>
        <v>-1.3563313193471016</v>
      </c>
    </row>
    <row r="349" spans="1:26" x14ac:dyDescent="0.2">
      <c r="A349" s="1" t="s">
        <v>66</v>
      </c>
      <c r="B349" s="1" t="s">
        <v>67</v>
      </c>
      <c r="D349" t="s">
        <v>44</v>
      </c>
      <c r="E349" s="1" t="s">
        <v>118</v>
      </c>
      <c r="G349" s="11" t="s">
        <v>513</v>
      </c>
      <c r="H349" s="4">
        <v>5.85</v>
      </c>
      <c r="I349" s="4">
        <v>60</v>
      </c>
      <c r="J349" s="11">
        <v>10</v>
      </c>
      <c r="L349" s="12">
        <f t="shared" si="9"/>
        <v>1</v>
      </c>
      <c r="M349" s="11">
        <f>GraphSalmonella!$B$10-(Salmonella!I349-GraphSalmonella!$B$6)/GraphSalmonella!$B$5</f>
        <v>0.2712239435094701</v>
      </c>
      <c r="N349" s="2" t="s">
        <v>1226</v>
      </c>
      <c r="O349">
        <v>1996</v>
      </c>
      <c r="S349" s="10">
        <f>GraphSalmonella!$B$57*Salmonella!I349+GraphSalmonella!$B$58</f>
        <v>0.35072323220664714</v>
      </c>
      <c r="T349" s="10">
        <f>GraphSalmonella!$E$57*Salmonella!I349+GraphSalmonella!$E$58</f>
        <v>3.1370239566030182</v>
      </c>
      <c r="U349" s="10">
        <f>GraphSalmonella!$H$57*Salmonella!I349+GraphSalmonella!$H$58</f>
        <v>0.27208851901262943</v>
      </c>
      <c r="X349" s="10">
        <f>GraphSalmonella!$B$80*Salmonella!I349+GraphSalmonella!$B$81</f>
        <v>0.2738497546709393</v>
      </c>
      <c r="Y349" s="10">
        <f>GraphSalmonella!$E$80*Salmonella!I349+GraphSalmonella!$E$81</f>
        <v>0.2823920067305572</v>
      </c>
      <c r="Z349" s="10">
        <f>GraphSalmonella!$H$80*Salmonella!I349+GraphSalmonella!$H$81</f>
        <v>-6.4512686973317024E-2</v>
      </c>
    </row>
    <row r="350" spans="1:26" x14ac:dyDescent="0.2">
      <c r="A350" s="1" t="s">
        <v>66</v>
      </c>
      <c r="B350" s="1" t="s">
        <v>67</v>
      </c>
      <c r="D350" t="s">
        <v>44</v>
      </c>
      <c r="E350" s="1" t="s">
        <v>118</v>
      </c>
      <c r="G350" s="11" t="s">
        <v>513</v>
      </c>
      <c r="H350" s="4">
        <v>5.85</v>
      </c>
      <c r="I350" s="4">
        <v>60</v>
      </c>
      <c r="J350" s="11">
        <v>11.4</v>
      </c>
      <c r="L350" s="12">
        <f t="shared" si="9"/>
        <v>1.0569048513364727</v>
      </c>
      <c r="M350" s="11">
        <f>GraphSalmonella!$B$10-(Salmonella!I350-GraphSalmonella!$B$6)/GraphSalmonella!$B$5</f>
        <v>0.2712239435094701</v>
      </c>
      <c r="N350" s="2" t="s">
        <v>1226</v>
      </c>
      <c r="O350">
        <v>1996</v>
      </c>
      <c r="S350" s="10">
        <f>GraphSalmonella!$B$57*Salmonella!I350+GraphSalmonella!$B$58</f>
        <v>0.35072323220664714</v>
      </c>
      <c r="T350" s="10">
        <f>GraphSalmonella!$E$57*Salmonella!I350+GraphSalmonella!$E$58</f>
        <v>3.1370239566030182</v>
      </c>
      <c r="U350" s="10">
        <f>GraphSalmonella!$H$57*Salmonella!I350+GraphSalmonella!$H$58</f>
        <v>0.27208851901262943</v>
      </c>
      <c r="X350" s="10">
        <f>GraphSalmonella!$B$80*Salmonella!I350+GraphSalmonella!$B$81</f>
        <v>0.2738497546709393</v>
      </c>
      <c r="Y350" s="10">
        <f>GraphSalmonella!$E$80*Salmonella!I350+GraphSalmonella!$E$81</f>
        <v>0.2823920067305572</v>
      </c>
      <c r="Z350" s="10">
        <f>GraphSalmonella!$H$80*Salmonella!I350+GraphSalmonella!$H$81</f>
        <v>-6.4512686973317024E-2</v>
      </c>
    </row>
    <row r="351" spans="1:26" x14ac:dyDescent="0.2">
      <c r="A351" s="1" t="s">
        <v>66</v>
      </c>
      <c r="B351" s="1" t="s">
        <v>67</v>
      </c>
      <c r="D351" t="s">
        <v>44</v>
      </c>
      <c r="E351" s="1" t="s">
        <v>118</v>
      </c>
      <c r="F351" s="1"/>
      <c r="G351" s="11" t="s">
        <v>513</v>
      </c>
      <c r="H351" s="4">
        <v>5.85</v>
      </c>
      <c r="I351" s="4">
        <v>65.5</v>
      </c>
      <c r="J351" s="11">
        <v>3.8</v>
      </c>
      <c r="L351" s="12">
        <f t="shared" si="9"/>
        <v>0.57978359661681012</v>
      </c>
      <c r="M351" s="11">
        <f>GraphSalmonella!$B$10-(Salmonella!I351-GraphSalmonella!$B$6)/GraphSalmonella!$B$5</f>
        <v>-0.33394706195035484</v>
      </c>
      <c r="N351" s="2" t="s">
        <v>1226</v>
      </c>
      <c r="O351">
        <v>1996</v>
      </c>
      <c r="S351" s="10">
        <f>GraphSalmonella!$B$57*Salmonella!I351+GraphSalmonella!$B$58</f>
        <v>2.1876741369192043E-2</v>
      </c>
      <c r="T351" s="10">
        <f>GraphSalmonella!$E$57*Salmonella!I351+GraphSalmonella!$E$58</f>
        <v>2.8670040864331519</v>
      </c>
      <c r="U351" s="10">
        <f>GraphSalmonella!$H$57*Salmonella!I351+GraphSalmonella!$H$58</f>
        <v>-0.33294625733944283</v>
      </c>
      <c r="X351" s="10">
        <f>GraphSalmonella!$B$80*Salmonella!I351+GraphSalmonella!$B$81</f>
        <v>-0.3316143337064128</v>
      </c>
      <c r="Y351" s="10">
        <f>GraphSalmonella!$E$80*Salmonella!I351+GraphSalmonella!$E$81</f>
        <v>-0.33156923607211919</v>
      </c>
      <c r="Z351" s="10">
        <f>GraphSalmonella!$H$80*Salmonella!I351+GraphSalmonella!$H$81</f>
        <v>-0.77501293477889899</v>
      </c>
    </row>
    <row r="352" spans="1:26" x14ac:dyDescent="0.2">
      <c r="A352" s="1" t="s">
        <v>66</v>
      </c>
      <c r="B352" s="1" t="s">
        <v>67</v>
      </c>
      <c r="D352" t="s">
        <v>44</v>
      </c>
      <c r="E352" s="1" t="s">
        <v>118</v>
      </c>
      <c r="F352" s="1"/>
      <c r="G352" s="11" t="s">
        <v>513</v>
      </c>
      <c r="H352" s="4">
        <v>5.85</v>
      </c>
      <c r="I352" s="4">
        <v>70</v>
      </c>
      <c r="J352" s="11">
        <v>0.97499999999999998</v>
      </c>
      <c r="L352" s="12">
        <f t="shared" si="9"/>
        <v>-1.0995384301463193E-2</v>
      </c>
      <c r="M352" s="11">
        <f>GraphSalmonella!$B$10-(Salmonella!I352-GraphSalmonella!$B$6)/GraphSalmonella!$B$5</f>
        <v>-0.82908697550839339</v>
      </c>
      <c r="N352" s="2" t="s">
        <v>1226</v>
      </c>
      <c r="O352">
        <v>1996</v>
      </c>
      <c r="S352" s="10">
        <f>GraphSalmonella!$B$57*Salmonella!I352+GraphSalmonella!$B$58</f>
        <v>-0.2471794784069079</v>
      </c>
      <c r="T352" s="10">
        <f>GraphSalmonella!$E$57*Salmonella!I352+GraphSalmonella!$E$58</f>
        <v>2.6460787381123523</v>
      </c>
      <c r="U352" s="10">
        <f>GraphSalmonella!$H$57*Salmonella!I352+GraphSalmonella!$H$58</f>
        <v>-0.82797471071841144</v>
      </c>
      <c r="X352" s="10">
        <f>GraphSalmonella!$B$80*Salmonella!I352+GraphSalmonella!$B$81</f>
        <v>-0.82699404237879115</v>
      </c>
      <c r="Y352" s="10">
        <f>GraphSalmonella!$E$80*Salmonella!I352+GraphSalmonella!$E$81</f>
        <v>-0.83390116200158193</v>
      </c>
      <c r="Z352" s="10">
        <f>GraphSalmonella!$H$80*Salmonella!I352+GraphSalmonella!$H$81</f>
        <v>-1.3563313193471016</v>
      </c>
    </row>
    <row r="353" spans="1:26" x14ac:dyDescent="0.2">
      <c r="A353" s="1" t="s">
        <v>66</v>
      </c>
      <c r="B353" s="1" t="s">
        <v>70</v>
      </c>
      <c r="D353" t="s">
        <v>44</v>
      </c>
      <c r="E353" s="1" t="s">
        <v>118</v>
      </c>
      <c r="F353" s="1"/>
      <c r="G353" s="11" t="s">
        <v>513</v>
      </c>
      <c r="H353" s="4">
        <v>5.85</v>
      </c>
      <c r="I353" s="4">
        <v>60</v>
      </c>
      <c r="J353" s="11">
        <v>4.83</v>
      </c>
      <c r="L353" s="12">
        <f t="shared" si="9"/>
        <v>0.68394713075151214</v>
      </c>
      <c r="M353" s="11">
        <f>GraphSalmonella!$B$10-(Salmonella!I353-GraphSalmonella!$B$6)/GraphSalmonella!$B$5</f>
        <v>0.2712239435094701</v>
      </c>
      <c r="N353" s="2" t="s">
        <v>1226</v>
      </c>
      <c r="O353">
        <v>1996</v>
      </c>
      <c r="S353" s="10">
        <f>GraphSalmonella!$B$57*Salmonella!I353+GraphSalmonella!$B$58</f>
        <v>0.35072323220664714</v>
      </c>
      <c r="T353" s="10">
        <f>GraphSalmonella!$E$57*Salmonella!I353+GraphSalmonella!$E$58</f>
        <v>3.1370239566030182</v>
      </c>
      <c r="U353" s="10">
        <f>GraphSalmonella!$H$57*Salmonella!I353+GraphSalmonella!$H$58</f>
        <v>0.27208851901262943</v>
      </c>
      <c r="X353" s="10">
        <f>GraphSalmonella!$B$80*Salmonella!I353+GraphSalmonella!$B$81</f>
        <v>0.2738497546709393</v>
      </c>
      <c r="Y353" s="10">
        <f>GraphSalmonella!$E$80*Salmonella!I353+GraphSalmonella!$E$81</f>
        <v>0.2823920067305572</v>
      </c>
      <c r="Z353" s="10">
        <f>GraphSalmonella!$H$80*Salmonella!I353+GraphSalmonella!$H$81</f>
        <v>-6.4512686973317024E-2</v>
      </c>
    </row>
    <row r="354" spans="1:26" x14ac:dyDescent="0.2">
      <c r="A354" s="1" t="s">
        <v>66</v>
      </c>
      <c r="B354" s="1" t="s">
        <v>70</v>
      </c>
      <c r="D354" t="s">
        <v>44</v>
      </c>
      <c r="E354" s="1" t="s">
        <v>118</v>
      </c>
      <c r="F354" s="1"/>
      <c r="G354" s="11" t="s">
        <v>513</v>
      </c>
      <c r="H354" s="4">
        <v>5.85</v>
      </c>
      <c r="I354" s="4">
        <v>65.5</v>
      </c>
      <c r="J354" s="11">
        <v>2.66</v>
      </c>
      <c r="L354" s="12">
        <f t="shared" si="9"/>
        <v>0.42488163663106698</v>
      </c>
      <c r="M354" s="11">
        <f>GraphSalmonella!$B$10-(Salmonella!I354-GraphSalmonella!$B$6)/GraphSalmonella!$B$5</f>
        <v>-0.33394706195035484</v>
      </c>
      <c r="N354" s="2" t="s">
        <v>1226</v>
      </c>
      <c r="O354">
        <v>1996</v>
      </c>
      <c r="S354" s="10">
        <f>GraphSalmonella!$B$57*Salmonella!I354+GraphSalmonella!$B$58</f>
        <v>2.1876741369192043E-2</v>
      </c>
      <c r="T354" s="10">
        <f>GraphSalmonella!$E$57*Salmonella!I354+GraphSalmonella!$E$58</f>
        <v>2.8670040864331519</v>
      </c>
      <c r="U354" s="10">
        <f>GraphSalmonella!$H$57*Salmonella!I354+GraphSalmonella!$H$58</f>
        <v>-0.33294625733944283</v>
      </c>
      <c r="X354" s="10">
        <f>GraphSalmonella!$B$80*Salmonella!I354+GraphSalmonella!$B$81</f>
        <v>-0.3316143337064128</v>
      </c>
      <c r="Y354" s="10">
        <f>GraphSalmonella!$E$80*Salmonella!I354+GraphSalmonella!$E$81</f>
        <v>-0.33156923607211919</v>
      </c>
      <c r="Z354" s="10">
        <f>GraphSalmonella!$H$80*Salmonella!I354+GraphSalmonella!$H$81</f>
        <v>-0.77501293477889899</v>
      </c>
    </row>
    <row r="355" spans="1:26" x14ac:dyDescent="0.2">
      <c r="A355" s="1" t="s">
        <v>66</v>
      </c>
      <c r="B355" s="1" t="s">
        <v>70</v>
      </c>
      <c r="D355" t="s">
        <v>44</v>
      </c>
      <c r="E355" s="1" t="s">
        <v>118</v>
      </c>
      <c r="F355" s="1"/>
      <c r="G355" s="11" t="s">
        <v>513</v>
      </c>
      <c r="H355" s="4">
        <v>5.85</v>
      </c>
      <c r="I355" s="4">
        <v>70</v>
      </c>
      <c r="J355" s="11">
        <v>0.6</v>
      </c>
      <c r="L355" s="12">
        <f t="shared" si="9"/>
        <v>-0.22184874961635639</v>
      </c>
      <c r="M355" s="11">
        <f>GraphSalmonella!$B$10-(Salmonella!I355-GraphSalmonella!$B$6)/GraphSalmonella!$B$5</f>
        <v>-0.82908697550839339</v>
      </c>
      <c r="N355" s="2" t="s">
        <v>1226</v>
      </c>
      <c r="O355">
        <v>1996</v>
      </c>
      <c r="S355" s="10">
        <f>GraphSalmonella!$B$57*Salmonella!I355+GraphSalmonella!$B$58</f>
        <v>-0.2471794784069079</v>
      </c>
      <c r="T355" s="10">
        <f>GraphSalmonella!$E$57*Salmonella!I355+GraphSalmonella!$E$58</f>
        <v>2.6460787381123523</v>
      </c>
      <c r="U355" s="10">
        <f>GraphSalmonella!$H$57*Salmonella!I355+GraphSalmonella!$H$58</f>
        <v>-0.82797471071841144</v>
      </c>
      <c r="X355" s="10">
        <f>GraphSalmonella!$B$80*Salmonella!I355+GraphSalmonella!$B$81</f>
        <v>-0.82699404237879115</v>
      </c>
      <c r="Y355" s="10">
        <f>GraphSalmonella!$E$80*Salmonella!I355+GraphSalmonella!$E$81</f>
        <v>-0.83390116200158193</v>
      </c>
      <c r="Z355" s="10">
        <f>GraphSalmonella!$H$80*Salmonella!I355+GraphSalmonella!$H$81</f>
        <v>-1.3563313193471016</v>
      </c>
    </row>
    <row r="356" spans="1:26" x14ac:dyDescent="0.2">
      <c r="A356" s="1" t="s">
        <v>66</v>
      </c>
      <c r="B356" s="1" t="s">
        <v>67</v>
      </c>
      <c r="D356" t="s">
        <v>44</v>
      </c>
      <c r="E356" s="1" t="s">
        <v>118</v>
      </c>
      <c r="G356" s="11" t="s">
        <v>512</v>
      </c>
      <c r="H356" s="4">
        <v>5.85</v>
      </c>
      <c r="I356" s="4">
        <v>60</v>
      </c>
      <c r="J356" s="11">
        <v>14.5</v>
      </c>
      <c r="L356" s="12">
        <f t="shared" si="9"/>
        <v>1.1613680022349748</v>
      </c>
      <c r="M356" s="11">
        <f>GraphSalmonella!$B$10-(Salmonella!I356-GraphSalmonella!$B$6)/GraphSalmonella!$B$5</f>
        <v>0.2712239435094701</v>
      </c>
      <c r="N356" s="2" t="s">
        <v>1226</v>
      </c>
      <c r="O356">
        <v>1996</v>
      </c>
      <c r="S356" s="10">
        <f>GraphSalmonella!$B$57*Salmonella!I356+GraphSalmonella!$B$58</f>
        <v>0.35072323220664714</v>
      </c>
      <c r="T356" s="10">
        <f>GraphSalmonella!$E$57*Salmonella!I356+GraphSalmonella!$E$58</f>
        <v>3.1370239566030182</v>
      </c>
      <c r="U356" s="10">
        <f>GraphSalmonella!$H$57*Salmonella!I356+GraphSalmonella!$H$58</f>
        <v>0.27208851901262943</v>
      </c>
      <c r="X356" s="10">
        <f>GraphSalmonella!$B$80*Salmonella!I356+GraphSalmonella!$B$81</f>
        <v>0.2738497546709393</v>
      </c>
      <c r="Y356" s="10">
        <f>GraphSalmonella!$E$80*Salmonella!I356+GraphSalmonella!$E$81</f>
        <v>0.2823920067305572</v>
      </c>
      <c r="Z356" s="10">
        <f>GraphSalmonella!$H$80*Salmonella!I356+GraphSalmonella!$H$81</f>
        <v>-6.4512686973317024E-2</v>
      </c>
    </row>
    <row r="357" spans="1:26" x14ac:dyDescent="0.2">
      <c r="A357" s="1" t="s">
        <v>66</v>
      </c>
      <c r="B357" s="1" t="s">
        <v>67</v>
      </c>
      <c r="D357" t="s">
        <v>44</v>
      </c>
      <c r="E357" s="1" t="s">
        <v>118</v>
      </c>
      <c r="F357" s="1"/>
      <c r="G357" s="11" t="s">
        <v>512</v>
      </c>
      <c r="H357" s="4">
        <v>5.85</v>
      </c>
      <c r="I357" s="4">
        <v>65.5</v>
      </c>
      <c r="J357" s="11">
        <v>3.6</v>
      </c>
      <c r="L357" s="12">
        <f t="shared" si="9"/>
        <v>0.55630250076728727</v>
      </c>
      <c r="M357" s="11">
        <f>GraphSalmonella!$B$10-(Salmonella!I357-GraphSalmonella!$B$6)/GraphSalmonella!$B$5</f>
        <v>-0.33394706195035484</v>
      </c>
      <c r="N357" s="2" t="s">
        <v>1226</v>
      </c>
      <c r="O357">
        <v>1996</v>
      </c>
      <c r="S357" s="10">
        <f>GraphSalmonella!$B$57*Salmonella!I357+GraphSalmonella!$B$58</f>
        <v>2.1876741369192043E-2</v>
      </c>
      <c r="T357" s="10">
        <f>GraphSalmonella!$E$57*Salmonella!I357+GraphSalmonella!$E$58</f>
        <v>2.8670040864331519</v>
      </c>
      <c r="U357" s="10">
        <f>GraphSalmonella!$H$57*Salmonella!I357+GraphSalmonella!$H$58</f>
        <v>-0.33294625733944283</v>
      </c>
      <c r="X357" s="10">
        <f>GraphSalmonella!$B$80*Salmonella!I357+GraphSalmonella!$B$81</f>
        <v>-0.3316143337064128</v>
      </c>
      <c r="Y357" s="10">
        <f>GraphSalmonella!$E$80*Salmonella!I357+GraphSalmonella!$E$81</f>
        <v>-0.33156923607211919</v>
      </c>
      <c r="Z357" s="10">
        <f>GraphSalmonella!$H$80*Salmonella!I357+GraphSalmonella!$H$81</f>
        <v>-0.77501293477889899</v>
      </c>
    </row>
    <row r="358" spans="1:26" x14ac:dyDescent="0.2">
      <c r="A358" s="1" t="s">
        <v>66</v>
      </c>
      <c r="B358" s="1" t="s">
        <v>67</v>
      </c>
      <c r="D358" t="s">
        <v>44</v>
      </c>
      <c r="E358" s="1" t="s">
        <v>118</v>
      </c>
      <c r="F358" s="1"/>
      <c r="G358" s="11" t="s">
        <v>512</v>
      </c>
      <c r="H358" s="4">
        <v>5.85</v>
      </c>
      <c r="I358" s="4">
        <v>70</v>
      </c>
      <c r="J358" s="11">
        <v>0.5</v>
      </c>
      <c r="L358" s="12">
        <f t="shared" si="9"/>
        <v>-0.3010299956639812</v>
      </c>
      <c r="M358" s="11">
        <f>GraphSalmonella!$B$10-(Salmonella!I358-GraphSalmonella!$B$6)/GraphSalmonella!$B$5</f>
        <v>-0.82908697550839339</v>
      </c>
      <c r="N358" s="2" t="s">
        <v>1226</v>
      </c>
      <c r="O358">
        <v>1996</v>
      </c>
      <c r="S358" s="10">
        <f>GraphSalmonella!$B$57*Salmonella!I358+GraphSalmonella!$B$58</f>
        <v>-0.2471794784069079</v>
      </c>
      <c r="T358" s="10">
        <f>GraphSalmonella!$E$57*Salmonella!I358+GraphSalmonella!$E$58</f>
        <v>2.6460787381123523</v>
      </c>
      <c r="U358" s="10">
        <f>GraphSalmonella!$H$57*Salmonella!I358+GraphSalmonella!$H$58</f>
        <v>-0.82797471071841144</v>
      </c>
      <c r="X358" s="10">
        <f>GraphSalmonella!$B$80*Salmonella!I358+GraphSalmonella!$B$81</f>
        <v>-0.82699404237879115</v>
      </c>
      <c r="Y358" s="10">
        <f>GraphSalmonella!$E$80*Salmonella!I358+GraphSalmonella!$E$81</f>
        <v>-0.83390116200158193</v>
      </c>
      <c r="Z358" s="10">
        <f>GraphSalmonella!$H$80*Salmonella!I358+GraphSalmonella!$H$81</f>
        <v>-1.3563313193471016</v>
      </c>
    </row>
    <row r="359" spans="1:26" x14ac:dyDescent="0.2">
      <c r="A359" s="1" t="s">
        <v>66</v>
      </c>
      <c r="B359" s="1" t="s">
        <v>70</v>
      </c>
      <c r="D359" t="s">
        <v>44</v>
      </c>
      <c r="E359" s="1" t="s">
        <v>118</v>
      </c>
      <c r="F359" s="1"/>
      <c r="G359" s="11" t="s">
        <v>512</v>
      </c>
      <c r="H359" s="4">
        <v>5.85</v>
      </c>
      <c r="I359" s="4">
        <v>60</v>
      </c>
      <c r="J359" s="4">
        <v>4.3</v>
      </c>
      <c r="L359" s="12">
        <f t="shared" si="9"/>
        <v>0.63346845557958653</v>
      </c>
      <c r="M359" s="11">
        <f>GraphSalmonella!$B$10-(Salmonella!I359-GraphSalmonella!$B$6)/GraphSalmonella!$B$5</f>
        <v>0.2712239435094701</v>
      </c>
      <c r="N359" s="2" t="s">
        <v>1226</v>
      </c>
      <c r="O359">
        <v>1996</v>
      </c>
      <c r="S359" s="10">
        <f>GraphSalmonella!$B$57*Salmonella!I359+GraphSalmonella!$B$58</f>
        <v>0.35072323220664714</v>
      </c>
      <c r="T359" s="10">
        <f>GraphSalmonella!$E$57*Salmonella!I359+GraphSalmonella!$E$58</f>
        <v>3.1370239566030182</v>
      </c>
      <c r="U359" s="10">
        <f>GraphSalmonella!$H$57*Salmonella!I359+GraphSalmonella!$H$58</f>
        <v>0.27208851901262943</v>
      </c>
      <c r="X359" s="10">
        <f>GraphSalmonella!$B$80*Salmonella!I359+GraphSalmonella!$B$81</f>
        <v>0.2738497546709393</v>
      </c>
      <c r="Y359" s="10">
        <f>GraphSalmonella!$E$80*Salmonella!I359+GraphSalmonella!$E$81</f>
        <v>0.2823920067305572</v>
      </c>
      <c r="Z359" s="10">
        <f>GraphSalmonella!$H$80*Salmonella!I359+GraphSalmonella!$H$81</f>
        <v>-6.4512686973317024E-2</v>
      </c>
    </row>
    <row r="360" spans="1:26" x14ac:dyDescent="0.2">
      <c r="A360" s="1" t="s">
        <v>66</v>
      </c>
      <c r="B360" s="1" t="s">
        <v>70</v>
      </c>
      <c r="D360" t="s">
        <v>44</v>
      </c>
      <c r="E360" s="1" t="s">
        <v>118</v>
      </c>
      <c r="F360" s="1"/>
      <c r="G360" s="11" t="s">
        <v>512</v>
      </c>
      <c r="H360" s="4">
        <v>5.85</v>
      </c>
      <c r="I360" s="4">
        <v>65.5</v>
      </c>
      <c r="J360" s="11">
        <v>0.83299999999999996</v>
      </c>
      <c r="L360" s="12">
        <f t="shared" si="9"/>
        <v>-7.9354998593212434E-2</v>
      </c>
      <c r="M360" s="11">
        <f>GraphSalmonella!$B$10-(Salmonella!I360-GraphSalmonella!$B$6)/GraphSalmonella!$B$5</f>
        <v>-0.33394706195035484</v>
      </c>
      <c r="N360" s="2" t="s">
        <v>1226</v>
      </c>
      <c r="O360">
        <v>1996</v>
      </c>
      <c r="S360" s="10">
        <f>GraphSalmonella!$B$57*Salmonella!I360+GraphSalmonella!$B$58</f>
        <v>2.1876741369192043E-2</v>
      </c>
      <c r="T360" s="10">
        <f>GraphSalmonella!$E$57*Salmonella!I360+GraphSalmonella!$E$58</f>
        <v>2.8670040864331519</v>
      </c>
      <c r="U360" s="10">
        <f>GraphSalmonella!$H$57*Salmonella!I360+GraphSalmonella!$H$58</f>
        <v>-0.33294625733944283</v>
      </c>
      <c r="X360" s="10">
        <f>GraphSalmonella!$B$80*Salmonella!I360+GraphSalmonella!$B$81</f>
        <v>-0.3316143337064128</v>
      </c>
      <c r="Y360" s="10">
        <f>GraphSalmonella!$E$80*Salmonella!I360+GraphSalmonella!$E$81</f>
        <v>-0.33156923607211919</v>
      </c>
      <c r="Z360" s="10">
        <f>GraphSalmonella!$H$80*Salmonella!I360+GraphSalmonella!$H$81</f>
        <v>-0.77501293477889899</v>
      </c>
    </row>
    <row r="361" spans="1:26" x14ac:dyDescent="0.2">
      <c r="A361" s="1" t="s">
        <v>66</v>
      </c>
      <c r="B361" s="1" t="s">
        <v>70</v>
      </c>
      <c r="D361" t="s">
        <v>44</v>
      </c>
      <c r="E361" s="1" t="s">
        <v>118</v>
      </c>
      <c r="F361" s="1"/>
      <c r="G361" s="11" t="s">
        <v>512</v>
      </c>
      <c r="H361" s="4">
        <v>5.85</v>
      </c>
      <c r="I361" s="4">
        <v>70</v>
      </c>
      <c r="J361" s="11">
        <v>0.3</v>
      </c>
      <c r="L361" s="12">
        <f t="shared" si="9"/>
        <v>-0.52287874528033762</v>
      </c>
      <c r="M361" s="11">
        <f>GraphSalmonella!$B$10-(Salmonella!I361-GraphSalmonella!$B$6)/GraphSalmonella!$B$5</f>
        <v>-0.82908697550839339</v>
      </c>
      <c r="N361" s="2" t="s">
        <v>1226</v>
      </c>
      <c r="O361">
        <v>1996</v>
      </c>
      <c r="S361" s="10">
        <f>GraphSalmonella!$B$57*Salmonella!I361+GraphSalmonella!$B$58</f>
        <v>-0.2471794784069079</v>
      </c>
      <c r="T361" s="10">
        <f>GraphSalmonella!$E$57*Salmonella!I361+GraphSalmonella!$E$58</f>
        <v>2.6460787381123523</v>
      </c>
      <c r="U361" s="10">
        <f>GraphSalmonella!$H$57*Salmonella!I361+GraphSalmonella!$H$58</f>
        <v>-0.82797471071841144</v>
      </c>
      <c r="X361" s="10">
        <f>GraphSalmonella!$B$80*Salmonella!I361+GraphSalmonella!$B$81</f>
        <v>-0.82699404237879115</v>
      </c>
      <c r="Y361" s="10">
        <f>GraphSalmonella!$E$80*Salmonella!I361+GraphSalmonella!$E$81</f>
        <v>-0.83390116200158193</v>
      </c>
      <c r="Z361" s="10">
        <f>GraphSalmonella!$H$80*Salmonella!I361+GraphSalmonella!$H$81</f>
        <v>-1.3563313193471016</v>
      </c>
    </row>
    <row r="362" spans="1:26" x14ac:dyDescent="0.2">
      <c r="A362" s="1" t="s">
        <v>66</v>
      </c>
      <c r="B362" s="1" t="s">
        <v>67</v>
      </c>
      <c r="D362" t="s">
        <v>44</v>
      </c>
      <c r="E362" s="1" t="s">
        <v>118</v>
      </c>
      <c r="G362" s="11" t="s">
        <v>511</v>
      </c>
      <c r="H362" s="4">
        <v>5.85</v>
      </c>
      <c r="I362" s="4">
        <v>60</v>
      </c>
      <c r="J362" s="11">
        <v>7.2</v>
      </c>
      <c r="L362" s="12">
        <f t="shared" si="9"/>
        <v>0.85733249643126852</v>
      </c>
      <c r="M362" s="11">
        <f>GraphSalmonella!$B$10-(Salmonella!I362-GraphSalmonella!$B$6)/GraphSalmonella!$B$5</f>
        <v>0.2712239435094701</v>
      </c>
      <c r="N362" s="2" t="s">
        <v>1226</v>
      </c>
      <c r="O362">
        <v>1996</v>
      </c>
      <c r="S362" s="10">
        <f>GraphSalmonella!$B$57*Salmonella!I362+GraphSalmonella!$B$58</f>
        <v>0.35072323220664714</v>
      </c>
      <c r="T362" s="10">
        <f>GraphSalmonella!$E$57*Salmonella!I362+GraphSalmonella!$E$58</f>
        <v>3.1370239566030182</v>
      </c>
      <c r="U362" s="10">
        <f>GraphSalmonella!$H$57*Salmonella!I362+GraphSalmonella!$H$58</f>
        <v>0.27208851901262943</v>
      </c>
      <c r="X362" s="10">
        <f>GraphSalmonella!$B$80*Salmonella!I362+GraphSalmonella!$B$81</f>
        <v>0.2738497546709393</v>
      </c>
      <c r="Y362" s="10">
        <f>GraphSalmonella!$E$80*Salmonella!I362+GraphSalmonella!$E$81</f>
        <v>0.2823920067305572</v>
      </c>
      <c r="Z362" s="10">
        <f>GraphSalmonella!$H$80*Salmonella!I362+GraphSalmonella!$H$81</f>
        <v>-6.4512686973317024E-2</v>
      </c>
    </row>
    <row r="363" spans="1:26" x14ac:dyDescent="0.2">
      <c r="A363" s="1" t="s">
        <v>66</v>
      </c>
      <c r="B363" s="1" t="s">
        <v>67</v>
      </c>
      <c r="D363" t="s">
        <v>44</v>
      </c>
      <c r="E363" s="1" t="s">
        <v>118</v>
      </c>
      <c r="F363" s="1"/>
      <c r="G363" s="11" t="s">
        <v>511</v>
      </c>
      <c r="H363" s="4">
        <v>5.85</v>
      </c>
      <c r="I363" s="4">
        <v>65.5</v>
      </c>
      <c r="J363" s="11">
        <v>1.1000000000000001</v>
      </c>
      <c r="L363" s="12">
        <f t="shared" si="9"/>
        <v>4.1392685158225077E-2</v>
      </c>
      <c r="M363" s="11">
        <f>GraphSalmonella!$B$10-(Salmonella!I363-GraphSalmonella!$B$6)/GraphSalmonella!$B$5</f>
        <v>-0.33394706195035484</v>
      </c>
      <c r="N363" s="2" t="s">
        <v>1226</v>
      </c>
      <c r="O363">
        <v>1996</v>
      </c>
      <c r="S363" s="10">
        <f>GraphSalmonella!$B$57*Salmonella!I363+GraphSalmonella!$B$58</f>
        <v>2.1876741369192043E-2</v>
      </c>
      <c r="T363" s="10">
        <f>GraphSalmonella!$E$57*Salmonella!I363+GraphSalmonella!$E$58</f>
        <v>2.8670040864331519</v>
      </c>
      <c r="U363" s="10">
        <f>GraphSalmonella!$H$57*Salmonella!I363+GraphSalmonella!$H$58</f>
        <v>-0.33294625733944283</v>
      </c>
      <c r="X363" s="10">
        <f>GraphSalmonella!$B$80*Salmonella!I363+GraphSalmonella!$B$81</f>
        <v>-0.3316143337064128</v>
      </c>
      <c r="Y363" s="10">
        <f>GraphSalmonella!$E$80*Salmonella!I363+GraphSalmonella!$E$81</f>
        <v>-0.33156923607211919</v>
      </c>
      <c r="Z363" s="10">
        <f>GraphSalmonella!$H$80*Salmonella!I363+GraphSalmonella!$H$81</f>
        <v>-0.77501293477889899</v>
      </c>
    </row>
    <row r="364" spans="1:26" x14ac:dyDescent="0.2">
      <c r="A364" s="1" t="s">
        <v>66</v>
      </c>
      <c r="B364" s="1" t="s">
        <v>67</v>
      </c>
      <c r="D364" t="s">
        <v>44</v>
      </c>
      <c r="E364" s="1" t="s">
        <v>118</v>
      </c>
      <c r="F364" s="1"/>
      <c r="G364" s="11" t="s">
        <v>511</v>
      </c>
      <c r="H364" s="4">
        <v>5.85</v>
      </c>
      <c r="I364" s="4">
        <v>70</v>
      </c>
      <c r="J364" s="11">
        <v>0.15</v>
      </c>
      <c r="L364" s="12">
        <f t="shared" si="9"/>
        <v>-0.82390874094431876</v>
      </c>
      <c r="M364" s="11">
        <f>GraphSalmonella!$B$10-(Salmonella!I364-GraphSalmonella!$B$6)/GraphSalmonella!$B$5</f>
        <v>-0.82908697550839339</v>
      </c>
      <c r="N364" s="2" t="s">
        <v>1226</v>
      </c>
      <c r="O364">
        <v>1996</v>
      </c>
      <c r="S364" s="10">
        <f>GraphSalmonella!$B$57*Salmonella!I364+GraphSalmonella!$B$58</f>
        <v>-0.2471794784069079</v>
      </c>
      <c r="T364" s="10">
        <f>GraphSalmonella!$E$57*Salmonella!I364+GraphSalmonella!$E$58</f>
        <v>2.6460787381123523</v>
      </c>
      <c r="U364" s="10">
        <f>GraphSalmonella!$H$57*Salmonella!I364+GraphSalmonella!$H$58</f>
        <v>-0.82797471071841144</v>
      </c>
      <c r="X364" s="10">
        <f>GraphSalmonella!$B$80*Salmonella!I364+GraphSalmonella!$B$81</f>
        <v>-0.82699404237879115</v>
      </c>
      <c r="Y364" s="10">
        <f>GraphSalmonella!$E$80*Salmonella!I364+GraphSalmonella!$E$81</f>
        <v>-0.83390116200158193</v>
      </c>
      <c r="Z364" s="10">
        <f>GraphSalmonella!$H$80*Salmonella!I364+GraphSalmonella!$H$81</f>
        <v>-1.3563313193471016</v>
      </c>
    </row>
    <row r="365" spans="1:26" x14ac:dyDescent="0.2">
      <c r="A365" s="1" t="s">
        <v>66</v>
      </c>
      <c r="B365" s="1" t="s">
        <v>70</v>
      </c>
      <c r="D365" t="s">
        <v>44</v>
      </c>
      <c r="E365" s="1" t="s">
        <v>118</v>
      </c>
      <c r="F365" s="1"/>
      <c r="G365" s="11" t="s">
        <v>511</v>
      </c>
      <c r="H365" s="4">
        <v>5.85</v>
      </c>
      <c r="I365" s="4">
        <v>60</v>
      </c>
      <c r="J365" s="4">
        <v>0.6</v>
      </c>
      <c r="L365" s="12">
        <f t="shared" si="9"/>
        <v>-0.22184874961635639</v>
      </c>
      <c r="M365" s="11">
        <f>GraphSalmonella!$B$10-(Salmonella!I365-GraphSalmonella!$B$6)/GraphSalmonella!$B$5</f>
        <v>0.2712239435094701</v>
      </c>
      <c r="N365" s="2" t="s">
        <v>1226</v>
      </c>
      <c r="O365">
        <v>1996</v>
      </c>
      <c r="S365" s="10">
        <f>GraphSalmonella!$B$57*Salmonella!I365+GraphSalmonella!$B$58</f>
        <v>0.35072323220664714</v>
      </c>
      <c r="T365" s="10">
        <f>GraphSalmonella!$E$57*Salmonella!I365+GraphSalmonella!$E$58</f>
        <v>3.1370239566030182</v>
      </c>
      <c r="U365" s="10">
        <f>GraphSalmonella!$H$57*Salmonella!I365+GraphSalmonella!$H$58</f>
        <v>0.27208851901262943</v>
      </c>
      <c r="X365" s="10">
        <f>GraphSalmonella!$B$80*Salmonella!I365+GraphSalmonella!$B$81</f>
        <v>0.2738497546709393</v>
      </c>
      <c r="Y365" s="10">
        <f>GraphSalmonella!$E$80*Salmonella!I365+GraphSalmonella!$E$81</f>
        <v>0.2823920067305572</v>
      </c>
      <c r="Z365" s="10">
        <f>GraphSalmonella!$H$80*Salmonella!I365+GraphSalmonella!$H$81</f>
        <v>-6.4512686973317024E-2</v>
      </c>
    </row>
    <row r="366" spans="1:26" x14ac:dyDescent="0.2">
      <c r="A366" s="1" t="s">
        <v>66</v>
      </c>
      <c r="B366" s="1" t="s">
        <v>70</v>
      </c>
      <c r="D366" t="s">
        <v>44</v>
      </c>
      <c r="E366" s="1" t="s">
        <v>118</v>
      </c>
      <c r="F366" s="1"/>
      <c r="G366" s="11" t="s">
        <v>511</v>
      </c>
      <c r="H366" s="4">
        <v>5.85</v>
      </c>
      <c r="I366" s="4">
        <v>65.5</v>
      </c>
      <c r="J366" s="11">
        <v>6.6000000000000003E-2</v>
      </c>
      <c r="L366" s="12">
        <f t="shared" si="9"/>
        <v>-1.1804560644581312</v>
      </c>
      <c r="M366" s="11">
        <f>GraphSalmonella!$B$10-(Salmonella!I366-GraphSalmonella!$B$6)/GraphSalmonella!$B$5</f>
        <v>-0.33394706195035484</v>
      </c>
      <c r="N366" s="2" t="s">
        <v>1226</v>
      </c>
      <c r="O366">
        <v>1996</v>
      </c>
      <c r="S366" s="10">
        <f>GraphSalmonella!$B$57*Salmonella!I366+GraphSalmonella!$B$58</f>
        <v>2.1876741369192043E-2</v>
      </c>
      <c r="T366" s="10">
        <f>GraphSalmonella!$E$57*Salmonella!I366+GraphSalmonella!$E$58</f>
        <v>2.8670040864331519</v>
      </c>
      <c r="U366" s="10">
        <f>GraphSalmonella!$H$57*Salmonella!I366+GraphSalmonella!$H$58</f>
        <v>-0.33294625733944283</v>
      </c>
      <c r="X366" s="10">
        <f>GraphSalmonella!$B$80*Salmonella!I366+GraphSalmonella!$B$81</f>
        <v>-0.3316143337064128</v>
      </c>
      <c r="Y366" s="10">
        <f>GraphSalmonella!$E$80*Salmonella!I366+GraphSalmonella!$E$81</f>
        <v>-0.33156923607211919</v>
      </c>
      <c r="Z366" s="10">
        <f>GraphSalmonella!$H$80*Salmonella!I366+GraphSalmonella!$H$81</f>
        <v>-0.77501293477889899</v>
      </c>
    </row>
    <row r="367" spans="1:26" x14ac:dyDescent="0.2">
      <c r="A367" s="1" t="s">
        <v>66</v>
      </c>
      <c r="B367" s="1" t="s">
        <v>67</v>
      </c>
      <c r="D367" t="s">
        <v>44</v>
      </c>
      <c r="E367" s="1" t="s">
        <v>118</v>
      </c>
      <c r="G367" s="11" t="s">
        <v>510</v>
      </c>
      <c r="H367" s="4">
        <v>5.85</v>
      </c>
      <c r="I367" s="4">
        <v>60</v>
      </c>
      <c r="J367" s="11">
        <v>7.2</v>
      </c>
      <c r="L367" s="12">
        <f t="shared" si="9"/>
        <v>0.85733249643126852</v>
      </c>
      <c r="M367" s="11">
        <f>GraphSalmonella!$B$10-(Salmonella!I367-GraphSalmonella!$B$6)/GraphSalmonella!$B$5</f>
        <v>0.2712239435094701</v>
      </c>
      <c r="N367" s="2" t="s">
        <v>1226</v>
      </c>
      <c r="O367">
        <v>1996</v>
      </c>
      <c r="S367" s="10">
        <f>GraphSalmonella!$B$57*Salmonella!I367+GraphSalmonella!$B$58</f>
        <v>0.35072323220664714</v>
      </c>
      <c r="T367" s="10">
        <f>GraphSalmonella!$E$57*Salmonella!I367+GraphSalmonella!$E$58</f>
        <v>3.1370239566030182</v>
      </c>
      <c r="U367" s="10">
        <f>GraphSalmonella!$H$57*Salmonella!I367+GraphSalmonella!$H$58</f>
        <v>0.27208851901262943</v>
      </c>
      <c r="X367" s="10">
        <f>GraphSalmonella!$B$80*Salmonella!I367+GraphSalmonella!$B$81</f>
        <v>0.2738497546709393</v>
      </c>
      <c r="Y367" s="10">
        <f>GraphSalmonella!$E$80*Salmonella!I367+GraphSalmonella!$E$81</f>
        <v>0.2823920067305572</v>
      </c>
      <c r="Z367" s="10">
        <f>GraphSalmonella!$H$80*Salmonella!I367+GraphSalmonella!$H$81</f>
        <v>-6.4512686973317024E-2</v>
      </c>
    </row>
    <row r="368" spans="1:26" x14ac:dyDescent="0.2">
      <c r="A368" s="1" t="s">
        <v>66</v>
      </c>
      <c r="B368" s="1" t="s">
        <v>67</v>
      </c>
      <c r="D368" t="s">
        <v>44</v>
      </c>
      <c r="E368" s="1" t="s">
        <v>118</v>
      </c>
      <c r="F368" s="1"/>
      <c r="G368" s="11" t="s">
        <v>510</v>
      </c>
      <c r="H368" s="4">
        <v>5.85</v>
      </c>
      <c r="I368" s="4">
        <v>65.5</v>
      </c>
      <c r="J368" s="11">
        <v>1.1000000000000001</v>
      </c>
      <c r="L368" s="12">
        <f t="shared" si="9"/>
        <v>4.1392685158225077E-2</v>
      </c>
      <c r="M368" s="11">
        <f>GraphSalmonella!$B$10-(Salmonella!I368-GraphSalmonella!$B$6)/GraphSalmonella!$B$5</f>
        <v>-0.33394706195035484</v>
      </c>
      <c r="N368" s="2" t="s">
        <v>1226</v>
      </c>
      <c r="O368">
        <v>1996</v>
      </c>
      <c r="S368" s="10">
        <f>GraphSalmonella!$B$57*Salmonella!I368+GraphSalmonella!$B$58</f>
        <v>2.1876741369192043E-2</v>
      </c>
      <c r="T368" s="10">
        <f>GraphSalmonella!$E$57*Salmonella!I368+GraphSalmonella!$E$58</f>
        <v>2.8670040864331519</v>
      </c>
      <c r="U368" s="10">
        <f>GraphSalmonella!$H$57*Salmonella!I368+GraphSalmonella!$H$58</f>
        <v>-0.33294625733944283</v>
      </c>
      <c r="X368" s="10">
        <f>GraphSalmonella!$B$80*Salmonella!I368+GraphSalmonella!$B$81</f>
        <v>-0.3316143337064128</v>
      </c>
      <c r="Y368" s="10">
        <f>GraphSalmonella!$E$80*Salmonella!I368+GraphSalmonella!$E$81</f>
        <v>-0.33156923607211919</v>
      </c>
      <c r="Z368" s="10">
        <f>GraphSalmonella!$H$80*Salmonella!I368+GraphSalmonella!$H$81</f>
        <v>-0.77501293477889899</v>
      </c>
    </row>
    <row r="369" spans="1:26" x14ac:dyDescent="0.2">
      <c r="A369" s="1" t="s">
        <v>66</v>
      </c>
      <c r="B369" s="1" t="s">
        <v>67</v>
      </c>
      <c r="D369" t="s">
        <v>44</v>
      </c>
      <c r="E369" s="1" t="s">
        <v>118</v>
      </c>
      <c r="F369" s="1"/>
      <c r="G369" s="11" t="s">
        <v>510</v>
      </c>
      <c r="H369" s="4">
        <v>5.85</v>
      </c>
      <c r="I369" s="4">
        <v>70</v>
      </c>
      <c r="J369" s="11">
        <v>0.215</v>
      </c>
      <c r="L369" s="12">
        <f t="shared" si="9"/>
        <v>-0.66756154008439472</v>
      </c>
      <c r="M369" s="11">
        <f>GraphSalmonella!$B$10-(Salmonella!I369-GraphSalmonella!$B$6)/GraphSalmonella!$B$5</f>
        <v>-0.82908697550839339</v>
      </c>
      <c r="N369" s="2" t="s">
        <v>1226</v>
      </c>
      <c r="O369">
        <v>1996</v>
      </c>
      <c r="S369" s="10">
        <f>GraphSalmonella!$B$57*Salmonella!I369+GraphSalmonella!$B$58</f>
        <v>-0.2471794784069079</v>
      </c>
      <c r="T369" s="10">
        <f>GraphSalmonella!$E$57*Salmonella!I369+GraphSalmonella!$E$58</f>
        <v>2.6460787381123523</v>
      </c>
      <c r="U369" s="10">
        <f>GraphSalmonella!$H$57*Salmonella!I369+GraphSalmonella!$H$58</f>
        <v>-0.82797471071841144</v>
      </c>
      <c r="X369" s="10">
        <f>GraphSalmonella!$B$80*Salmonella!I369+GraphSalmonella!$B$81</f>
        <v>-0.82699404237879115</v>
      </c>
      <c r="Y369" s="10">
        <f>GraphSalmonella!$E$80*Salmonella!I369+GraphSalmonella!$E$81</f>
        <v>-0.83390116200158193</v>
      </c>
      <c r="Z369" s="10">
        <f>GraphSalmonella!$H$80*Salmonella!I369+GraphSalmonella!$H$81</f>
        <v>-1.3563313193471016</v>
      </c>
    </row>
    <row r="370" spans="1:26" x14ac:dyDescent="0.2">
      <c r="A370" s="1" t="s">
        <v>66</v>
      </c>
      <c r="B370" s="1" t="s">
        <v>70</v>
      </c>
      <c r="D370" t="s">
        <v>44</v>
      </c>
      <c r="E370" s="1" t="s">
        <v>118</v>
      </c>
      <c r="F370" s="1"/>
      <c r="G370" s="11" t="s">
        <v>510</v>
      </c>
      <c r="H370" s="4">
        <v>5.85</v>
      </c>
      <c r="I370" s="4">
        <v>60</v>
      </c>
      <c r="J370" s="11">
        <v>0.18</v>
      </c>
      <c r="L370" s="12">
        <f t="shared" si="9"/>
        <v>-0.74472749489669399</v>
      </c>
      <c r="M370" s="11">
        <f>GraphSalmonella!$B$10-(Salmonella!I370-GraphSalmonella!$B$6)/GraphSalmonella!$B$5</f>
        <v>0.2712239435094701</v>
      </c>
      <c r="N370" s="2" t="s">
        <v>1226</v>
      </c>
      <c r="O370">
        <v>1996</v>
      </c>
      <c r="S370" s="10">
        <f>GraphSalmonella!$B$57*Salmonella!I370+GraphSalmonella!$B$58</f>
        <v>0.35072323220664714</v>
      </c>
      <c r="T370" s="10">
        <f>GraphSalmonella!$E$57*Salmonella!I370+GraphSalmonella!$E$58</f>
        <v>3.1370239566030182</v>
      </c>
      <c r="U370" s="10">
        <f>GraphSalmonella!$H$57*Salmonella!I370+GraphSalmonella!$H$58</f>
        <v>0.27208851901262943</v>
      </c>
      <c r="X370" s="10">
        <f>GraphSalmonella!$B$80*Salmonella!I370+GraphSalmonella!$B$81</f>
        <v>0.2738497546709393</v>
      </c>
      <c r="Y370" s="10">
        <f>GraphSalmonella!$E$80*Salmonella!I370+GraphSalmonella!$E$81</f>
        <v>0.2823920067305572</v>
      </c>
      <c r="Z370" s="10">
        <f>GraphSalmonella!$H$80*Salmonella!I370+GraphSalmonella!$H$81</f>
        <v>-6.4512686973317024E-2</v>
      </c>
    </row>
    <row r="371" spans="1:26" x14ac:dyDescent="0.2">
      <c r="A371" s="1" t="s">
        <v>66</v>
      </c>
      <c r="B371" s="1" t="s">
        <v>70</v>
      </c>
      <c r="D371" t="s">
        <v>44</v>
      </c>
      <c r="E371" s="1" t="s">
        <v>118</v>
      </c>
      <c r="F371" s="1"/>
      <c r="G371" s="11" t="s">
        <v>510</v>
      </c>
      <c r="H371" s="4">
        <v>5.85</v>
      </c>
      <c r="I371" s="4">
        <v>65.5</v>
      </c>
      <c r="J371" s="11">
        <v>0.05</v>
      </c>
      <c r="L371" s="12">
        <f t="shared" si="9"/>
        <v>-1.3010299956639813</v>
      </c>
      <c r="M371" s="11">
        <f>GraphSalmonella!$B$10-(Salmonella!I371-GraphSalmonella!$B$6)/GraphSalmonella!$B$5</f>
        <v>-0.33394706195035484</v>
      </c>
      <c r="N371" s="2" t="s">
        <v>1226</v>
      </c>
      <c r="O371">
        <v>1996</v>
      </c>
      <c r="S371" s="10">
        <f>GraphSalmonella!$B$57*Salmonella!I371+GraphSalmonella!$B$58</f>
        <v>2.1876741369192043E-2</v>
      </c>
      <c r="T371" s="10">
        <f>GraphSalmonella!$E$57*Salmonella!I371+GraphSalmonella!$E$58</f>
        <v>2.8670040864331519</v>
      </c>
      <c r="U371" s="10">
        <f>GraphSalmonella!$H$57*Salmonella!I371+GraphSalmonella!$H$58</f>
        <v>-0.33294625733944283</v>
      </c>
      <c r="X371" s="10">
        <f>GraphSalmonella!$B$80*Salmonella!I371+GraphSalmonella!$B$81</f>
        <v>-0.3316143337064128</v>
      </c>
      <c r="Y371" s="10">
        <f>GraphSalmonella!$E$80*Salmonella!I371+GraphSalmonella!$E$81</f>
        <v>-0.33156923607211919</v>
      </c>
      <c r="Z371" s="10">
        <f>GraphSalmonella!$H$80*Salmonella!I371+GraphSalmonella!$H$81</f>
        <v>-0.77501293477889899</v>
      </c>
    </row>
    <row r="372" spans="1:26" x14ac:dyDescent="0.2">
      <c r="A372" s="1" t="s">
        <v>66</v>
      </c>
      <c r="B372" s="1" t="s">
        <v>87</v>
      </c>
      <c r="D372" t="s">
        <v>44</v>
      </c>
      <c r="E372" s="1" t="s">
        <v>86</v>
      </c>
      <c r="F372" s="1"/>
      <c r="G372" s="11" t="s">
        <v>516</v>
      </c>
      <c r="H372" s="4">
        <v>6.9</v>
      </c>
      <c r="I372" s="4">
        <v>57.2</v>
      </c>
      <c r="J372" s="11">
        <v>12</v>
      </c>
      <c r="L372" s="12">
        <f t="shared" si="9"/>
        <v>1.0791812460476249</v>
      </c>
      <c r="M372" s="11">
        <f>GraphSalmonella!$B$10-(Salmonella!I372-GraphSalmonella!$B$6)/GraphSalmonella!$B$5</f>
        <v>0.57931100083447151</v>
      </c>
      <c r="N372" s="2" t="s">
        <v>1226</v>
      </c>
      <c r="O372">
        <v>1996</v>
      </c>
      <c r="S372" s="10">
        <f>GraphSalmonella!$B$57*Salmonella!I372+GraphSalmonella!$B$58</f>
        <v>0.51813599117844245</v>
      </c>
      <c r="T372" s="10">
        <f>GraphSalmonella!$E$57*Salmonella!I372+GraphSalmonella!$E$58</f>
        <v>3.2744886177804045</v>
      </c>
      <c r="U372" s="10">
        <f>GraphSalmonella!$H$57*Salmonella!I372+GraphSalmonella!$H$58</f>
        <v>0.58010622333732087</v>
      </c>
      <c r="X372" s="10">
        <f>GraphSalmonella!$B$80*Salmonella!I372+GraphSalmonella!$B$81</f>
        <v>0.58208601784486369</v>
      </c>
      <c r="Y372" s="10">
        <f>GraphSalmonella!$E$80*Salmonella!I372+GraphSalmonella!$E$81</f>
        <v>0.59495409397555665</v>
      </c>
      <c r="Z372" s="10">
        <f>GraphSalmonella!$H$80*Salmonella!I372+GraphSalmonella!$H$81</f>
        <v>0.29719653009134195</v>
      </c>
    </row>
    <row r="373" spans="1:26" x14ac:dyDescent="0.2">
      <c r="A373" s="1" t="s">
        <v>66</v>
      </c>
      <c r="B373" s="1" t="s">
        <v>80</v>
      </c>
      <c r="C373" s="1"/>
      <c r="D373" t="s">
        <v>44</v>
      </c>
      <c r="E373" s="1" t="s">
        <v>86</v>
      </c>
      <c r="F373" s="1"/>
      <c r="G373" s="11" t="s">
        <v>516</v>
      </c>
      <c r="H373" s="4">
        <v>6.9</v>
      </c>
      <c r="I373" s="4">
        <v>57.2</v>
      </c>
      <c r="J373" s="9">
        <v>5.5</v>
      </c>
      <c r="K373" s="7"/>
      <c r="L373" s="12">
        <f t="shared" si="9"/>
        <v>0.74036268949424389</v>
      </c>
      <c r="M373" s="11">
        <f>GraphSalmonella!$B$10-(Salmonella!I373-GraphSalmonella!$B$6)/GraphSalmonella!$B$5</f>
        <v>0.57931100083447151</v>
      </c>
      <c r="N373" s="2" t="s">
        <v>1226</v>
      </c>
      <c r="O373">
        <v>1996</v>
      </c>
      <c r="S373" s="10">
        <f>GraphSalmonella!$B$57*Salmonella!I373+GraphSalmonella!$B$58</f>
        <v>0.51813599117844245</v>
      </c>
      <c r="T373" s="10">
        <f>GraphSalmonella!$E$57*Salmonella!I373+GraphSalmonella!$E$58</f>
        <v>3.2744886177804045</v>
      </c>
      <c r="U373" s="10">
        <f>GraphSalmonella!$H$57*Salmonella!I373+GraphSalmonella!$H$58</f>
        <v>0.58010622333732087</v>
      </c>
      <c r="X373" s="10">
        <f>GraphSalmonella!$B$80*Salmonella!I373+GraphSalmonella!$B$81</f>
        <v>0.58208601784486369</v>
      </c>
      <c r="Y373" s="10">
        <f>GraphSalmonella!$E$80*Salmonella!I373+GraphSalmonella!$E$81</f>
        <v>0.59495409397555665</v>
      </c>
      <c r="Z373" s="10">
        <f>GraphSalmonella!$H$80*Salmonella!I373+GraphSalmonella!$H$81</f>
        <v>0.29719653009134195</v>
      </c>
    </row>
    <row r="374" spans="1:26" x14ac:dyDescent="0.2">
      <c r="A374" s="1" t="s">
        <v>66</v>
      </c>
      <c r="B374" s="1" t="s">
        <v>80</v>
      </c>
      <c r="D374" t="s">
        <v>44</v>
      </c>
      <c r="E374" s="1" t="s">
        <v>86</v>
      </c>
      <c r="F374" s="1"/>
      <c r="G374" s="11" t="s">
        <v>516</v>
      </c>
      <c r="H374" s="4">
        <v>6.9</v>
      </c>
      <c r="I374" s="4">
        <v>57.2</v>
      </c>
      <c r="J374" s="11">
        <v>7</v>
      </c>
      <c r="L374" s="12">
        <f t="shared" si="9"/>
        <v>0.84509804001425681</v>
      </c>
      <c r="M374" s="11">
        <f>GraphSalmonella!$B$10-(Salmonella!I374-GraphSalmonella!$B$6)/GraphSalmonella!$B$5</f>
        <v>0.57931100083447151</v>
      </c>
      <c r="N374" s="2" t="s">
        <v>1226</v>
      </c>
      <c r="O374">
        <v>1996</v>
      </c>
      <c r="S374" s="10">
        <f>GraphSalmonella!$B$57*Salmonella!I374+GraphSalmonella!$B$58</f>
        <v>0.51813599117844245</v>
      </c>
      <c r="T374" s="10">
        <f>GraphSalmonella!$E$57*Salmonella!I374+GraphSalmonella!$E$58</f>
        <v>3.2744886177804045</v>
      </c>
      <c r="U374" s="10">
        <f>GraphSalmonella!$H$57*Salmonella!I374+GraphSalmonella!$H$58</f>
        <v>0.58010622333732087</v>
      </c>
      <c r="X374" s="10">
        <f>GraphSalmonella!$B$80*Salmonella!I374+GraphSalmonella!$B$81</f>
        <v>0.58208601784486369</v>
      </c>
      <c r="Y374" s="10">
        <f>GraphSalmonella!$E$80*Salmonella!I374+GraphSalmonella!$E$81</f>
        <v>0.59495409397555665</v>
      </c>
      <c r="Z374" s="10">
        <f>GraphSalmonella!$H$80*Salmonella!I374+GraphSalmonella!$H$81</f>
        <v>0.29719653009134195</v>
      </c>
    </row>
    <row r="375" spans="1:26" x14ac:dyDescent="0.2">
      <c r="A375" s="1" t="s">
        <v>66</v>
      </c>
      <c r="B375" s="1" t="s">
        <v>88</v>
      </c>
      <c r="D375" t="s">
        <v>44</v>
      </c>
      <c r="E375" s="1" t="s">
        <v>86</v>
      </c>
      <c r="F375" s="1"/>
      <c r="G375" s="11" t="s">
        <v>516</v>
      </c>
      <c r="H375" s="4">
        <v>6.9</v>
      </c>
      <c r="I375" s="4">
        <v>57.2</v>
      </c>
      <c r="J375" s="11">
        <v>8</v>
      </c>
      <c r="L375" s="12">
        <f t="shared" si="9"/>
        <v>0.90308998699194354</v>
      </c>
      <c r="M375" s="11">
        <f>GraphSalmonella!$B$10-(Salmonella!I375-GraphSalmonella!$B$6)/GraphSalmonella!$B$5</f>
        <v>0.57931100083447151</v>
      </c>
      <c r="N375" s="2" t="s">
        <v>1226</v>
      </c>
      <c r="O375">
        <v>1996</v>
      </c>
      <c r="S375" s="10">
        <f>GraphSalmonella!$B$57*Salmonella!I375+GraphSalmonella!$B$58</f>
        <v>0.51813599117844245</v>
      </c>
      <c r="T375" s="10">
        <f>GraphSalmonella!$E$57*Salmonella!I375+GraphSalmonella!$E$58</f>
        <v>3.2744886177804045</v>
      </c>
      <c r="U375" s="10">
        <f>GraphSalmonella!$H$57*Salmonella!I375+GraphSalmonella!$H$58</f>
        <v>0.58010622333732087</v>
      </c>
      <c r="X375" s="10">
        <f>GraphSalmonella!$B$80*Salmonella!I375+GraphSalmonella!$B$81</f>
        <v>0.58208601784486369</v>
      </c>
      <c r="Y375" s="10">
        <f>GraphSalmonella!$E$80*Salmonella!I375+GraphSalmonella!$E$81</f>
        <v>0.59495409397555665</v>
      </c>
      <c r="Z375" s="10">
        <f>GraphSalmonella!$H$80*Salmonella!I375+GraphSalmonella!$H$81</f>
        <v>0.29719653009134195</v>
      </c>
    </row>
    <row r="376" spans="1:26" x14ac:dyDescent="0.2">
      <c r="A376" s="1" t="s">
        <v>66</v>
      </c>
      <c r="B376" s="1" t="s">
        <v>67</v>
      </c>
      <c r="C376" s="2"/>
      <c r="D376" t="s">
        <v>44</v>
      </c>
      <c r="E376" s="1" t="s">
        <v>86</v>
      </c>
      <c r="F376" s="1"/>
      <c r="G376" s="11" t="s">
        <v>516</v>
      </c>
      <c r="H376" s="4">
        <v>6.9</v>
      </c>
      <c r="I376" s="4">
        <v>57.2</v>
      </c>
      <c r="J376" s="9">
        <v>41.5</v>
      </c>
      <c r="K376" s="7"/>
      <c r="L376" s="12">
        <f t="shared" si="9"/>
        <v>1.6180480967120927</v>
      </c>
      <c r="M376" s="11">
        <f>GraphSalmonella!$B$10-(Salmonella!I376-GraphSalmonella!$B$6)/GraphSalmonella!$B$5</f>
        <v>0.57931100083447151</v>
      </c>
      <c r="N376" s="2" t="s">
        <v>1226</v>
      </c>
      <c r="O376">
        <v>1996</v>
      </c>
      <c r="S376" s="10">
        <f>GraphSalmonella!$B$57*Salmonella!I376+GraphSalmonella!$B$58</f>
        <v>0.51813599117844245</v>
      </c>
      <c r="T376" s="10">
        <f>GraphSalmonella!$E$57*Salmonella!I376+GraphSalmonella!$E$58</f>
        <v>3.2744886177804045</v>
      </c>
      <c r="U376" s="10">
        <f>GraphSalmonella!$H$57*Salmonella!I376+GraphSalmonella!$H$58</f>
        <v>0.58010622333732087</v>
      </c>
      <c r="X376" s="10">
        <f>GraphSalmonella!$B$80*Salmonella!I376+GraphSalmonella!$B$81</f>
        <v>0.58208601784486369</v>
      </c>
      <c r="Y376" s="10">
        <f>GraphSalmonella!$E$80*Salmonella!I376+GraphSalmonella!$E$81</f>
        <v>0.59495409397555665</v>
      </c>
      <c r="Z376" s="10">
        <f>GraphSalmonella!$H$80*Salmonella!I376+GraphSalmonella!$H$81</f>
        <v>0.29719653009134195</v>
      </c>
    </row>
    <row r="377" spans="1:26" x14ac:dyDescent="0.2">
      <c r="A377" s="1" t="s">
        <v>66</v>
      </c>
      <c r="B377" s="1" t="s">
        <v>85</v>
      </c>
      <c r="C377" s="1"/>
      <c r="D377" t="s">
        <v>44</v>
      </c>
      <c r="E377" s="1" t="s">
        <v>86</v>
      </c>
      <c r="F377" s="1"/>
      <c r="G377" s="11" t="s">
        <v>516</v>
      </c>
      <c r="H377" s="4">
        <v>6.9</v>
      </c>
      <c r="I377" s="4">
        <v>57.2</v>
      </c>
      <c r="J377" s="9">
        <v>6</v>
      </c>
      <c r="K377" s="7"/>
      <c r="L377" s="12">
        <f t="shared" si="9"/>
        <v>0.77815125038364363</v>
      </c>
      <c r="M377" s="11">
        <f>GraphSalmonella!$B$10-(Salmonella!I377-GraphSalmonella!$B$6)/GraphSalmonella!$B$5</f>
        <v>0.57931100083447151</v>
      </c>
      <c r="N377" s="2" t="s">
        <v>1226</v>
      </c>
      <c r="O377">
        <v>1996</v>
      </c>
      <c r="S377" s="10">
        <f>GraphSalmonella!$B$57*Salmonella!I377+GraphSalmonella!$B$58</f>
        <v>0.51813599117844245</v>
      </c>
      <c r="T377" s="10">
        <f>GraphSalmonella!$E$57*Salmonella!I377+GraphSalmonella!$E$58</f>
        <v>3.2744886177804045</v>
      </c>
      <c r="U377" s="10">
        <f>GraphSalmonella!$H$57*Salmonella!I377+GraphSalmonella!$H$58</f>
        <v>0.58010622333732087</v>
      </c>
      <c r="X377" s="10">
        <f>GraphSalmonella!$B$80*Salmonella!I377+GraphSalmonella!$B$81</f>
        <v>0.58208601784486369</v>
      </c>
      <c r="Y377" s="10">
        <f>GraphSalmonella!$E$80*Salmonella!I377+GraphSalmonella!$E$81</f>
        <v>0.59495409397555665</v>
      </c>
      <c r="Z377" s="10">
        <f>GraphSalmonella!$H$80*Salmonella!I377+GraphSalmonella!$H$81</f>
        <v>0.29719653009134195</v>
      </c>
    </row>
    <row r="378" spans="1:26" x14ac:dyDescent="0.2">
      <c r="A378" s="1" t="s">
        <v>66</v>
      </c>
      <c r="B378" s="1" t="s">
        <v>70</v>
      </c>
      <c r="D378" t="s">
        <v>44</v>
      </c>
      <c r="E378" s="1" t="s">
        <v>86</v>
      </c>
      <c r="F378" s="1"/>
      <c r="G378" s="11" t="s">
        <v>516</v>
      </c>
      <c r="H378" s="4">
        <v>6.9</v>
      </c>
      <c r="I378" s="4">
        <v>57.2</v>
      </c>
      <c r="J378" s="11">
        <v>8.8000000000000007</v>
      </c>
      <c r="L378" s="12">
        <f t="shared" si="9"/>
        <v>0.94448267215016868</v>
      </c>
      <c r="M378" s="11">
        <f>GraphSalmonella!$B$10-(Salmonella!I378-GraphSalmonella!$B$6)/GraphSalmonella!$B$5</f>
        <v>0.57931100083447151</v>
      </c>
      <c r="N378" s="2" t="s">
        <v>1226</v>
      </c>
      <c r="O378">
        <v>1996</v>
      </c>
      <c r="S378" s="10">
        <f>GraphSalmonella!$B$57*Salmonella!I378+GraphSalmonella!$B$58</f>
        <v>0.51813599117844245</v>
      </c>
      <c r="T378" s="10">
        <f>GraphSalmonella!$E$57*Salmonella!I378+GraphSalmonella!$E$58</f>
        <v>3.2744886177804045</v>
      </c>
      <c r="U378" s="10">
        <f>GraphSalmonella!$H$57*Salmonella!I378+GraphSalmonella!$H$58</f>
        <v>0.58010622333732087</v>
      </c>
      <c r="X378" s="10">
        <f>GraphSalmonella!$B$80*Salmonella!I378+GraphSalmonella!$B$81</f>
        <v>0.58208601784486369</v>
      </c>
      <c r="Y378" s="10">
        <f>GraphSalmonella!$E$80*Salmonella!I378+GraphSalmonella!$E$81</f>
        <v>0.59495409397555665</v>
      </c>
      <c r="Z378" s="10">
        <f>GraphSalmonella!$H$80*Salmonella!I378+GraphSalmonella!$H$81</f>
        <v>0.29719653009134195</v>
      </c>
    </row>
    <row r="379" spans="1:26" x14ac:dyDescent="0.2">
      <c r="A379" s="1" t="s">
        <v>66</v>
      </c>
      <c r="B379" s="1" t="s">
        <v>87</v>
      </c>
      <c r="D379" t="s">
        <v>44</v>
      </c>
      <c r="E379" s="1" t="s">
        <v>86</v>
      </c>
      <c r="F379" s="1"/>
      <c r="G379" s="11" t="s">
        <v>513</v>
      </c>
      <c r="H379" s="4">
        <v>6.9</v>
      </c>
      <c r="I379" s="4">
        <v>57.2</v>
      </c>
      <c r="J379" s="11">
        <v>2.2999999999999998</v>
      </c>
      <c r="L379" s="12">
        <f t="shared" si="9"/>
        <v>0.36172783601759284</v>
      </c>
      <c r="M379" s="11">
        <f>GraphSalmonella!$B$10-(Salmonella!I379-GraphSalmonella!$B$6)/GraphSalmonella!$B$5</f>
        <v>0.57931100083447151</v>
      </c>
      <c r="N379" s="2" t="s">
        <v>1226</v>
      </c>
      <c r="O379">
        <v>1996</v>
      </c>
      <c r="S379" s="10">
        <f>GraphSalmonella!$B$57*Salmonella!I379+GraphSalmonella!$B$58</f>
        <v>0.51813599117844245</v>
      </c>
      <c r="T379" s="10">
        <f>GraphSalmonella!$E$57*Salmonella!I379+GraphSalmonella!$E$58</f>
        <v>3.2744886177804045</v>
      </c>
      <c r="U379" s="10">
        <f>GraphSalmonella!$H$57*Salmonella!I379+GraphSalmonella!$H$58</f>
        <v>0.58010622333732087</v>
      </c>
      <c r="X379" s="10">
        <f>GraphSalmonella!$B$80*Salmonella!I379+GraphSalmonella!$B$81</f>
        <v>0.58208601784486369</v>
      </c>
      <c r="Y379" s="10">
        <f>GraphSalmonella!$E$80*Salmonella!I379+GraphSalmonella!$E$81</f>
        <v>0.59495409397555665</v>
      </c>
      <c r="Z379" s="10">
        <f>GraphSalmonella!$H$80*Salmonella!I379+GraphSalmonella!$H$81</f>
        <v>0.29719653009134195</v>
      </c>
    </row>
    <row r="380" spans="1:26" x14ac:dyDescent="0.2">
      <c r="A380" s="1" t="s">
        <v>66</v>
      </c>
      <c r="B380" s="1" t="s">
        <v>80</v>
      </c>
      <c r="D380" t="s">
        <v>44</v>
      </c>
      <c r="E380" s="1" t="s">
        <v>86</v>
      </c>
      <c r="F380" s="1"/>
      <c r="G380" s="11" t="s">
        <v>513</v>
      </c>
      <c r="H380" s="4">
        <v>6.9</v>
      </c>
      <c r="I380" s="4">
        <v>57.2</v>
      </c>
      <c r="J380" s="11">
        <v>2.2999999999999998</v>
      </c>
      <c r="L380" s="12">
        <f t="shared" si="9"/>
        <v>0.36172783601759284</v>
      </c>
      <c r="M380" s="11">
        <f>GraphSalmonella!$B$10-(Salmonella!I380-GraphSalmonella!$B$6)/GraphSalmonella!$B$5</f>
        <v>0.57931100083447151</v>
      </c>
      <c r="N380" s="2" t="s">
        <v>1226</v>
      </c>
      <c r="O380">
        <v>1996</v>
      </c>
      <c r="S380" s="10">
        <f>GraphSalmonella!$B$57*Salmonella!I380+GraphSalmonella!$B$58</f>
        <v>0.51813599117844245</v>
      </c>
      <c r="T380" s="10">
        <f>GraphSalmonella!$E$57*Salmonella!I380+GraphSalmonella!$E$58</f>
        <v>3.2744886177804045</v>
      </c>
      <c r="U380" s="10">
        <f>GraphSalmonella!$H$57*Salmonella!I380+GraphSalmonella!$H$58</f>
        <v>0.58010622333732087</v>
      </c>
      <c r="X380" s="10">
        <f>GraphSalmonella!$B$80*Salmonella!I380+GraphSalmonella!$B$81</f>
        <v>0.58208601784486369</v>
      </c>
      <c r="Y380" s="10">
        <f>GraphSalmonella!$E$80*Salmonella!I380+GraphSalmonella!$E$81</f>
        <v>0.59495409397555665</v>
      </c>
      <c r="Z380" s="10">
        <f>GraphSalmonella!$H$80*Salmonella!I380+GraphSalmonella!$H$81</f>
        <v>0.29719653009134195</v>
      </c>
    </row>
    <row r="381" spans="1:26" x14ac:dyDescent="0.2">
      <c r="A381" s="1" t="s">
        <v>66</v>
      </c>
      <c r="B381" s="1" t="s">
        <v>80</v>
      </c>
      <c r="C381" s="1"/>
      <c r="D381" t="s">
        <v>44</v>
      </c>
      <c r="E381" s="1" t="s">
        <v>86</v>
      </c>
      <c r="F381" s="1"/>
      <c r="G381" s="11" t="s">
        <v>513</v>
      </c>
      <c r="H381" s="4">
        <v>6.9</v>
      </c>
      <c r="I381" s="4">
        <v>57.2</v>
      </c>
      <c r="J381" s="9">
        <v>2.8</v>
      </c>
      <c r="K381" s="7"/>
      <c r="L381" s="12">
        <f t="shared" si="9"/>
        <v>0.44715803134221921</v>
      </c>
      <c r="M381" s="11">
        <f>GraphSalmonella!$B$10-(Salmonella!I381-GraphSalmonella!$B$6)/GraphSalmonella!$B$5</f>
        <v>0.57931100083447151</v>
      </c>
      <c r="N381" s="2" t="s">
        <v>1226</v>
      </c>
      <c r="O381">
        <v>1996</v>
      </c>
      <c r="S381" s="10">
        <f>GraphSalmonella!$B$57*Salmonella!I381+GraphSalmonella!$B$58</f>
        <v>0.51813599117844245</v>
      </c>
      <c r="T381" s="10">
        <f>GraphSalmonella!$E$57*Salmonella!I381+GraphSalmonella!$E$58</f>
        <v>3.2744886177804045</v>
      </c>
      <c r="U381" s="10">
        <f>GraphSalmonella!$H$57*Salmonella!I381+GraphSalmonella!$H$58</f>
        <v>0.58010622333732087</v>
      </c>
      <c r="X381" s="10">
        <f>GraphSalmonella!$B$80*Salmonella!I381+GraphSalmonella!$B$81</f>
        <v>0.58208601784486369</v>
      </c>
      <c r="Y381" s="10">
        <f>GraphSalmonella!$E$80*Salmonella!I381+GraphSalmonella!$E$81</f>
        <v>0.59495409397555665</v>
      </c>
      <c r="Z381" s="10">
        <f>GraphSalmonella!$H$80*Salmonella!I381+GraphSalmonella!$H$81</f>
        <v>0.29719653009134195</v>
      </c>
    </row>
    <row r="382" spans="1:26" x14ac:dyDescent="0.2">
      <c r="A382" s="1" t="s">
        <v>66</v>
      </c>
      <c r="B382" s="1" t="s">
        <v>88</v>
      </c>
      <c r="D382" t="s">
        <v>44</v>
      </c>
      <c r="E382" s="1" t="s">
        <v>86</v>
      </c>
      <c r="F382" s="1"/>
      <c r="G382" s="11" t="s">
        <v>513</v>
      </c>
      <c r="H382" s="4">
        <v>6.9</v>
      </c>
      <c r="I382" s="4">
        <v>57.2</v>
      </c>
      <c r="J382" s="11">
        <v>3</v>
      </c>
      <c r="L382" s="12">
        <f t="shared" si="9"/>
        <v>0.47712125471966244</v>
      </c>
      <c r="M382" s="11">
        <f>GraphSalmonella!$B$10-(Salmonella!I382-GraphSalmonella!$B$6)/GraphSalmonella!$B$5</f>
        <v>0.57931100083447151</v>
      </c>
      <c r="N382" s="2" t="s">
        <v>1226</v>
      </c>
      <c r="O382">
        <v>1996</v>
      </c>
      <c r="S382" s="10">
        <f>GraphSalmonella!$B$57*Salmonella!I382+GraphSalmonella!$B$58</f>
        <v>0.51813599117844245</v>
      </c>
      <c r="T382" s="10">
        <f>GraphSalmonella!$E$57*Salmonella!I382+GraphSalmonella!$E$58</f>
        <v>3.2744886177804045</v>
      </c>
      <c r="U382" s="10">
        <f>GraphSalmonella!$H$57*Salmonella!I382+GraphSalmonella!$H$58</f>
        <v>0.58010622333732087</v>
      </c>
      <c r="X382" s="10">
        <f>GraphSalmonella!$B$80*Salmonella!I382+GraphSalmonella!$B$81</f>
        <v>0.58208601784486369</v>
      </c>
      <c r="Y382" s="10">
        <f>GraphSalmonella!$E$80*Salmonella!I382+GraphSalmonella!$E$81</f>
        <v>0.59495409397555665</v>
      </c>
      <c r="Z382" s="10">
        <f>GraphSalmonella!$H$80*Salmonella!I382+GraphSalmonella!$H$81</f>
        <v>0.29719653009134195</v>
      </c>
    </row>
    <row r="383" spans="1:26" x14ac:dyDescent="0.2">
      <c r="A383" s="1" t="s">
        <v>66</v>
      </c>
      <c r="B383" s="1" t="s">
        <v>67</v>
      </c>
      <c r="C383" s="1"/>
      <c r="D383" t="s">
        <v>44</v>
      </c>
      <c r="E383" s="1" t="s">
        <v>86</v>
      </c>
      <c r="F383" s="1"/>
      <c r="G383" s="11" t="s">
        <v>513</v>
      </c>
      <c r="H383" s="4">
        <v>6.9</v>
      </c>
      <c r="I383" s="4">
        <v>57.2</v>
      </c>
      <c r="J383" s="9">
        <v>31.5</v>
      </c>
      <c r="K383" s="5"/>
      <c r="L383" s="12">
        <f t="shared" si="9"/>
        <v>1.4983105537896004</v>
      </c>
      <c r="M383" s="11">
        <f>GraphSalmonella!$B$10-(Salmonella!I383-GraphSalmonella!$B$6)/GraphSalmonella!$B$5</f>
        <v>0.57931100083447151</v>
      </c>
      <c r="N383" s="2" t="s">
        <v>1226</v>
      </c>
      <c r="O383">
        <v>1996</v>
      </c>
      <c r="S383" s="10">
        <f>GraphSalmonella!$B$57*Salmonella!I383+GraphSalmonella!$B$58</f>
        <v>0.51813599117844245</v>
      </c>
      <c r="T383" s="10">
        <f>GraphSalmonella!$E$57*Salmonella!I383+GraphSalmonella!$E$58</f>
        <v>3.2744886177804045</v>
      </c>
      <c r="U383" s="10">
        <f>GraphSalmonella!$H$57*Salmonella!I383+GraphSalmonella!$H$58</f>
        <v>0.58010622333732087</v>
      </c>
      <c r="X383" s="10">
        <f>GraphSalmonella!$B$80*Salmonella!I383+GraphSalmonella!$B$81</f>
        <v>0.58208601784486369</v>
      </c>
      <c r="Y383" s="10">
        <f>GraphSalmonella!$E$80*Salmonella!I383+GraphSalmonella!$E$81</f>
        <v>0.59495409397555665</v>
      </c>
      <c r="Z383" s="10">
        <f>GraphSalmonella!$H$80*Salmonella!I383+GraphSalmonella!$H$81</f>
        <v>0.29719653009134195</v>
      </c>
    </row>
    <row r="384" spans="1:26" x14ac:dyDescent="0.2">
      <c r="A384" s="1" t="s">
        <v>66</v>
      </c>
      <c r="B384" s="1" t="s">
        <v>85</v>
      </c>
      <c r="C384" s="1"/>
      <c r="D384" t="s">
        <v>44</v>
      </c>
      <c r="E384" s="1" t="s">
        <v>86</v>
      </c>
      <c r="F384" s="1"/>
      <c r="G384" s="11" t="s">
        <v>513</v>
      </c>
      <c r="H384" s="4">
        <v>6.9</v>
      </c>
      <c r="I384" s="4">
        <v>57.2</v>
      </c>
      <c r="J384" s="9">
        <v>1.7</v>
      </c>
      <c r="K384" s="7"/>
      <c r="L384" s="12">
        <f t="shared" si="9"/>
        <v>0.23044892137827391</v>
      </c>
      <c r="M384" s="11">
        <f>GraphSalmonella!$B$10-(Salmonella!I384-GraphSalmonella!$B$6)/GraphSalmonella!$B$5</f>
        <v>0.57931100083447151</v>
      </c>
      <c r="N384" s="2" t="s">
        <v>1226</v>
      </c>
      <c r="O384">
        <v>1996</v>
      </c>
      <c r="S384" s="10">
        <f>GraphSalmonella!$B$57*Salmonella!I384+GraphSalmonella!$B$58</f>
        <v>0.51813599117844245</v>
      </c>
      <c r="T384" s="10">
        <f>GraphSalmonella!$E$57*Salmonella!I384+GraphSalmonella!$E$58</f>
        <v>3.2744886177804045</v>
      </c>
      <c r="U384" s="10">
        <f>GraphSalmonella!$H$57*Salmonella!I384+GraphSalmonella!$H$58</f>
        <v>0.58010622333732087</v>
      </c>
      <c r="X384" s="10">
        <f>GraphSalmonella!$B$80*Salmonella!I384+GraphSalmonella!$B$81</f>
        <v>0.58208601784486369</v>
      </c>
      <c r="Y384" s="10">
        <f>GraphSalmonella!$E$80*Salmonella!I384+GraphSalmonella!$E$81</f>
        <v>0.59495409397555665</v>
      </c>
      <c r="Z384" s="10">
        <f>GraphSalmonella!$H$80*Salmonella!I384+GraphSalmonella!$H$81</f>
        <v>0.29719653009134195</v>
      </c>
    </row>
    <row r="385" spans="1:26" x14ac:dyDescent="0.2">
      <c r="A385" s="1" t="s">
        <v>66</v>
      </c>
      <c r="B385" s="1" t="s">
        <v>70</v>
      </c>
      <c r="D385" t="s">
        <v>44</v>
      </c>
      <c r="E385" s="1" t="s">
        <v>86</v>
      </c>
      <c r="F385" s="1"/>
      <c r="G385" s="11" t="s">
        <v>513</v>
      </c>
      <c r="H385" s="4">
        <v>6.9</v>
      </c>
      <c r="I385" s="4">
        <v>57.2</v>
      </c>
      <c r="J385" s="11">
        <v>2.6</v>
      </c>
      <c r="L385" s="12">
        <f t="shared" si="9"/>
        <v>0.41497334797081797</v>
      </c>
      <c r="M385" s="11">
        <f>GraphSalmonella!$B$10-(Salmonella!I385-GraphSalmonella!$B$6)/GraphSalmonella!$B$5</f>
        <v>0.57931100083447151</v>
      </c>
      <c r="N385" s="2" t="s">
        <v>1226</v>
      </c>
      <c r="O385">
        <v>1996</v>
      </c>
      <c r="S385" s="10">
        <f>GraphSalmonella!$B$57*Salmonella!I385+GraphSalmonella!$B$58</f>
        <v>0.51813599117844245</v>
      </c>
      <c r="T385" s="10">
        <f>GraphSalmonella!$E$57*Salmonella!I385+GraphSalmonella!$E$58</f>
        <v>3.2744886177804045</v>
      </c>
      <c r="U385" s="10">
        <f>GraphSalmonella!$H$57*Salmonella!I385+GraphSalmonella!$H$58</f>
        <v>0.58010622333732087</v>
      </c>
      <c r="X385" s="10">
        <f>GraphSalmonella!$B$80*Salmonella!I385+GraphSalmonella!$B$81</f>
        <v>0.58208601784486369</v>
      </c>
      <c r="Y385" s="10">
        <f>GraphSalmonella!$E$80*Salmonella!I385+GraphSalmonella!$E$81</f>
        <v>0.59495409397555665</v>
      </c>
      <c r="Z385" s="10">
        <f>GraphSalmonella!$H$80*Salmonella!I385+GraphSalmonella!$H$81</f>
        <v>0.29719653009134195</v>
      </c>
    </row>
    <row r="386" spans="1:26" x14ac:dyDescent="0.2">
      <c r="A386" s="1" t="s">
        <v>66</v>
      </c>
      <c r="B386" s="1" t="s">
        <v>87</v>
      </c>
      <c r="D386" t="s">
        <v>44</v>
      </c>
      <c r="E386" s="1" t="s">
        <v>86</v>
      </c>
      <c r="F386" s="1"/>
      <c r="G386" s="11" t="s">
        <v>515</v>
      </c>
      <c r="H386" s="4">
        <v>6.9</v>
      </c>
      <c r="I386" s="4">
        <v>57.2</v>
      </c>
      <c r="J386" s="11">
        <v>1.1000000000000001</v>
      </c>
      <c r="L386" s="12">
        <f t="shared" si="9"/>
        <v>4.1392685158225077E-2</v>
      </c>
      <c r="M386" s="11">
        <f>GraphSalmonella!$B$10-(Salmonella!I386-GraphSalmonella!$B$6)/GraphSalmonella!$B$5</f>
        <v>0.57931100083447151</v>
      </c>
      <c r="N386" s="2" t="s">
        <v>1226</v>
      </c>
      <c r="O386">
        <v>1996</v>
      </c>
      <c r="S386" s="10">
        <f>GraphSalmonella!$B$57*Salmonella!I386+GraphSalmonella!$B$58</f>
        <v>0.51813599117844245</v>
      </c>
      <c r="T386" s="10">
        <f>GraphSalmonella!$E$57*Salmonella!I386+GraphSalmonella!$E$58</f>
        <v>3.2744886177804045</v>
      </c>
      <c r="U386" s="10">
        <f>GraphSalmonella!$H$57*Salmonella!I386+GraphSalmonella!$H$58</f>
        <v>0.58010622333732087</v>
      </c>
      <c r="X386" s="10">
        <f>GraphSalmonella!$B$80*Salmonella!I386+GraphSalmonella!$B$81</f>
        <v>0.58208601784486369</v>
      </c>
      <c r="Y386" s="10">
        <f>GraphSalmonella!$E$80*Salmonella!I386+GraphSalmonella!$E$81</f>
        <v>0.59495409397555665</v>
      </c>
      <c r="Z386" s="10">
        <f>GraphSalmonella!$H$80*Salmonella!I386+GraphSalmonella!$H$81</f>
        <v>0.29719653009134195</v>
      </c>
    </row>
    <row r="387" spans="1:26" x14ac:dyDescent="0.2">
      <c r="A387" s="1" t="s">
        <v>66</v>
      </c>
      <c r="B387" s="1" t="s">
        <v>80</v>
      </c>
      <c r="D387" t="s">
        <v>44</v>
      </c>
      <c r="E387" s="1" t="s">
        <v>86</v>
      </c>
      <c r="F387" s="1"/>
      <c r="G387" s="11" t="s">
        <v>515</v>
      </c>
      <c r="H387" s="4">
        <v>6.9</v>
      </c>
      <c r="I387" s="4">
        <v>57.2</v>
      </c>
      <c r="J387" s="11">
        <v>0.8</v>
      </c>
      <c r="L387" s="12">
        <f t="shared" si="9"/>
        <v>-9.6910013008056392E-2</v>
      </c>
      <c r="M387" s="11">
        <f>GraphSalmonella!$B$10-(Salmonella!I387-GraphSalmonella!$B$6)/GraphSalmonella!$B$5</f>
        <v>0.57931100083447151</v>
      </c>
      <c r="N387" s="2" t="s">
        <v>1226</v>
      </c>
      <c r="O387">
        <v>1996</v>
      </c>
      <c r="S387" s="10">
        <f>GraphSalmonella!$B$57*Salmonella!I387+GraphSalmonella!$B$58</f>
        <v>0.51813599117844245</v>
      </c>
      <c r="T387" s="10">
        <f>GraphSalmonella!$E$57*Salmonella!I387+GraphSalmonella!$E$58</f>
        <v>3.2744886177804045</v>
      </c>
      <c r="U387" s="10">
        <f>GraphSalmonella!$H$57*Salmonella!I387+GraphSalmonella!$H$58</f>
        <v>0.58010622333732087</v>
      </c>
      <c r="X387" s="10">
        <f>GraphSalmonella!$B$80*Salmonella!I387+GraphSalmonella!$B$81</f>
        <v>0.58208601784486369</v>
      </c>
      <c r="Y387" s="10">
        <f>GraphSalmonella!$E$80*Salmonella!I387+GraphSalmonella!$E$81</f>
        <v>0.59495409397555665</v>
      </c>
      <c r="Z387" s="10">
        <f>GraphSalmonella!$H$80*Salmonella!I387+GraphSalmonella!$H$81</f>
        <v>0.29719653009134195</v>
      </c>
    </row>
    <row r="388" spans="1:26" x14ac:dyDescent="0.2">
      <c r="A388" s="1" t="s">
        <v>66</v>
      </c>
      <c r="B388" s="1" t="s">
        <v>80</v>
      </c>
      <c r="D388" t="s">
        <v>44</v>
      </c>
      <c r="E388" s="1" t="s">
        <v>86</v>
      </c>
      <c r="F388" s="1"/>
      <c r="G388" s="11" t="s">
        <v>515</v>
      </c>
      <c r="H388" s="4">
        <v>6.9</v>
      </c>
      <c r="I388" s="4">
        <v>57.2</v>
      </c>
      <c r="J388" s="11">
        <v>1.1000000000000001</v>
      </c>
      <c r="L388" s="12">
        <f t="shared" si="9"/>
        <v>4.1392685158225077E-2</v>
      </c>
      <c r="M388" s="11">
        <f>GraphSalmonella!$B$10-(Salmonella!I388-GraphSalmonella!$B$6)/GraphSalmonella!$B$5</f>
        <v>0.57931100083447151</v>
      </c>
      <c r="N388" s="2" t="s">
        <v>1226</v>
      </c>
      <c r="O388">
        <v>1996</v>
      </c>
      <c r="S388" s="10">
        <f>GraphSalmonella!$B$57*Salmonella!I388+GraphSalmonella!$B$58</f>
        <v>0.51813599117844245</v>
      </c>
      <c r="T388" s="10">
        <f>GraphSalmonella!$E$57*Salmonella!I388+GraphSalmonella!$E$58</f>
        <v>3.2744886177804045</v>
      </c>
      <c r="U388" s="10">
        <f>GraphSalmonella!$H$57*Salmonella!I388+GraphSalmonella!$H$58</f>
        <v>0.58010622333732087</v>
      </c>
      <c r="X388" s="10">
        <f>GraphSalmonella!$B$80*Salmonella!I388+GraphSalmonella!$B$81</f>
        <v>0.58208601784486369</v>
      </c>
      <c r="Y388" s="10">
        <f>GraphSalmonella!$E$80*Salmonella!I388+GraphSalmonella!$E$81</f>
        <v>0.59495409397555665</v>
      </c>
      <c r="Z388" s="10">
        <f>GraphSalmonella!$H$80*Salmonella!I388+GraphSalmonella!$H$81</f>
        <v>0.29719653009134195</v>
      </c>
    </row>
    <row r="389" spans="1:26" x14ac:dyDescent="0.2">
      <c r="A389" s="1" t="s">
        <v>66</v>
      </c>
      <c r="B389" s="1" t="s">
        <v>88</v>
      </c>
      <c r="D389" t="s">
        <v>44</v>
      </c>
      <c r="E389" s="1" t="s">
        <v>86</v>
      </c>
      <c r="F389" s="1"/>
      <c r="G389" s="11" t="s">
        <v>515</v>
      </c>
      <c r="H389" s="4">
        <v>6.9</v>
      </c>
      <c r="I389" s="4">
        <v>57.2</v>
      </c>
      <c r="J389" s="11">
        <v>1.1000000000000001</v>
      </c>
      <c r="L389" s="12">
        <f t="shared" si="9"/>
        <v>4.1392685158225077E-2</v>
      </c>
      <c r="M389" s="11">
        <f>GraphSalmonella!$B$10-(Salmonella!I389-GraphSalmonella!$B$6)/GraphSalmonella!$B$5</f>
        <v>0.57931100083447151</v>
      </c>
      <c r="N389" s="2" t="s">
        <v>1226</v>
      </c>
      <c r="O389">
        <v>1996</v>
      </c>
      <c r="S389" s="10">
        <f>GraphSalmonella!$B$57*Salmonella!I389+GraphSalmonella!$B$58</f>
        <v>0.51813599117844245</v>
      </c>
      <c r="T389" s="10">
        <f>GraphSalmonella!$E$57*Salmonella!I389+GraphSalmonella!$E$58</f>
        <v>3.2744886177804045</v>
      </c>
      <c r="U389" s="10">
        <f>GraphSalmonella!$H$57*Salmonella!I389+GraphSalmonella!$H$58</f>
        <v>0.58010622333732087</v>
      </c>
      <c r="X389" s="10">
        <f>GraphSalmonella!$B$80*Salmonella!I389+GraphSalmonella!$B$81</f>
        <v>0.58208601784486369</v>
      </c>
      <c r="Y389" s="10">
        <f>GraphSalmonella!$E$80*Salmonella!I389+GraphSalmonella!$E$81</f>
        <v>0.59495409397555665</v>
      </c>
      <c r="Z389" s="10">
        <f>GraphSalmonella!$H$80*Salmonella!I389+GraphSalmonella!$H$81</f>
        <v>0.29719653009134195</v>
      </c>
    </row>
    <row r="390" spans="1:26" x14ac:dyDescent="0.2">
      <c r="A390" s="1" t="s">
        <v>66</v>
      </c>
      <c r="B390" s="1" t="s">
        <v>67</v>
      </c>
      <c r="C390" s="1"/>
      <c r="D390" t="s">
        <v>44</v>
      </c>
      <c r="E390" s="1" t="s">
        <v>86</v>
      </c>
      <c r="F390" s="1"/>
      <c r="G390" s="11" t="s">
        <v>515</v>
      </c>
      <c r="H390" s="4">
        <v>6.9</v>
      </c>
      <c r="I390" s="4">
        <v>57.2</v>
      </c>
      <c r="J390" s="9">
        <v>13.5</v>
      </c>
      <c r="K390" s="5"/>
      <c r="L390" s="12">
        <f t="shared" si="9"/>
        <v>1.1303337684950061</v>
      </c>
      <c r="M390" s="11">
        <f>GraphSalmonella!$B$10-(Salmonella!I390-GraphSalmonella!$B$6)/GraphSalmonella!$B$5</f>
        <v>0.57931100083447151</v>
      </c>
      <c r="N390" s="2" t="s">
        <v>1226</v>
      </c>
      <c r="O390">
        <v>1996</v>
      </c>
      <c r="S390" s="10">
        <f>GraphSalmonella!$B$57*Salmonella!I390+GraphSalmonella!$B$58</f>
        <v>0.51813599117844245</v>
      </c>
      <c r="T390" s="10">
        <f>GraphSalmonella!$E$57*Salmonella!I390+GraphSalmonella!$E$58</f>
        <v>3.2744886177804045</v>
      </c>
      <c r="U390" s="10">
        <f>GraphSalmonella!$H$57*Salmonella!I390+GraphSalmonella!$H$58</f>
        <v>0.58010622333732087</v>
      </c>
      <c r="X390" s="10">
        <f>GraphSalmonella!$B$80*Salmonella!I390+GraphSalmonella!$B$81</f>
        <v>0.58208601784486369</v>
      </c>
      <c r="Y390" s="10">
        <f>GraphSalmonella!$E$80*Salmonella!I390+GraphSalmonella!$E$81</f>
        <v>0.59495409397555665</v>
      </c>
      <c r="Z390" s="10">
        <f>GraphSalmonella!$H$80*Salmonella!I390+GraphSalmonella!$H$81</f>
        <v>0.29719653009134195</v>
      </c>
    </row>
    <row r="391" spans="1:26" x14ac:dyDescent="0.2">
      <c r="A391" s="1" t="s">
        <v>66</v>
      </c>
      <c r="B391" s="1" t="s">
        <v>85</v>
      </c>
      <c r="C391" s="2"/>
      <c r="D391" t="s">
        <v>44</v>
      </c>
      <c r="E391" s="1" t="s">
        <v>86</v>
      </c>
      <c r="F391" s="1"/>
      <c r="G391" s="11" t="s">
        <v>515</v>
      </c>
      <c r="H391" s="4">
        <v>6.9</v>
      </c>
      <c r="I391" s="4">
        <v>57.2</v>
      </c>
      <c r="J391" s="9">
        <v>1.1000000000000001</v>
      </c>
      <c r="K391" s="7"/>
      <c r="L391" s="12">
        <f t="shared" si="9"/>
        <v>4.1392685158225077E-2</v>
      </c>
      <c r="M391" s="11">
        <f>GraphSalmonella!$B$10-(Salmonella!I391-GraphSalmonella!$B$6)/GraphSalmonella!$B$5</f>
        <v>0.57931100083447151</v>
      </c>
      <c r="N391" s="2" t="s">
        <v>1226</v>
      </c>
      <c r="O391">
        <v>1996</v>
      </c>
      <c r="S391" s="10">
        <f>GraphSalmonella!$B$57*Salmonella!I391+GraphSalmonella!$B$58</f>
        <v>0.51813599117844245</v>
      </c>
      <c r="T391" s="10">
        <f>GraphSalmonella!$E$57*Salmonella!I391+GraphSalmonella!$E$58</f>
        <v>3.2744886177804045</v>
      </c>
      <c r="U391" s="10">
        <f>GraphSalmonella!$H$57*Salmonella!I391+GraphSalmonella!$H$58</f>
        <v>0.58010622333732087</v>
      </c>
      <c r="X391" s="10">
        <f>GraphSalmonella!$B$80*Salmonella!I391+GraphSalmonella!$B$81</f>
        <v>0.58208601784486369</v>
      </c>
      <c r="Y391" s="10">
        <f>GraphSalmonella!$E$80*Salmonella!I391+GraphSalmonella!$E$81</f>
        <v>0.59495409397555665</v>
      </c>
      <c r="Z391" s="10">
        <f>GraphSalmonella!$H$80*Salmonella!I391+GraphSalmonella!$H$81</f>
        <v>0.29719653009134195</v>
      </c>
    </row>
    <row r="392" spans="1:26" x14ac:dyDescent="0.2">
      <c r="A392" s="1" t="s">
        <v>66</v>
      </c>
      <c r="B392" s="1" t="s">
        <v>70</v>
      </c>
      <c r="C392" s="1"/>
      <c r="D392" t="s">
        <v>44</v>
      </c>
      <c r="E392" s="1" t="s">
        <v>86</v>
      </c>
      <c r="F392" s="1"/>
      <c r="G392" s="11" t="s">
        <v>515</v>
      </c>
      <c r="H392" s="4">
        <v>6.9</v>
      </c>
      <c r="I392" s="4">
        <v>57.2</v>
      </c>
      <c r="J392" s="9">
        <v>1.1000000000000001</v>
      </c>
      <c r="K392" s="5"/>
      <c r="L392" s="12">
        <f t="shared" si="9"/>
        <v>4.1392685158225077E-2</v>
      </c>
      <c r="M392" s="11">
        <f>GraphSalmonella!$B$10-(Salmonella!I392-GraphSalmonella!$B$6)/GraphSalmonella!$B$5</f>
        <v>0.57931100083447151</v>
      </c>
      <c r="N392" s="2" t="s">
        <v>1226</v>
      </c>
      <c r="O392">
        <v>1996</v>
      </c>
      <c r="S392" s="10">
        <f>GraphSalmonella!$B$57*Salmonella!I392+GraphSalmonella!$B$58</f>
        <v>0.51813599117844245</v>
      </c>
      <c r="T392" s="10">
        <f>GraphSalmonella!$E$57*Salmonella!I392+GraphSalmonella!$E$58</f>
        <v>3.2744886177804045</v>
      </c>
      <c r="U392" s="10">
        <f>GraphSalmonella!$H$57*Salmonella!I392+GraphSalmonella!$H$58</f>
        <v>0.58010622333732087</v>
      </c>
      <c r="X392" s="10">
        <f>GraphSalmonella!$B$80*Salmonella!I392+GraphSalmonella!$B$81</f>
        <v>0.58208601784486369</v>
      </c>
      <c r="Y392" s="10">
        <f>GraphSalmonella!$E$80*Salmonella!I392+GraphSalmonella!$E$81</f>
        <v>0.59495409397555665</v>
      </c>
      <c r="Z392" s="10">
        <f>GraphSalmonella!$H$80*Salmonella!I392+GraphSalmonella!$H$81</f>
        <v>0.29719653009134195</v>
      </c>
    </row>
    <row r="393" spans="1:26" x14ac:dyDescent="0.2">
      <c r="A393" s="1" t="s">
        <v>66</v>
      </c>
      <c r="B393" s="1" t="s">
        <v>87</v>
      </c>
      <c r="D393" t="s">
        <v>44</v>
      </c>
      <c r="E393" s="1" t="s">
        <v>89</v>
      </c>
      <c r="G393" s="11" t="s">
        <v>519</v>
      </c>
      <c r="H393" s="4">
        <v>6.9</v>
      </c>
      <c r="I393" s="4">
        <v>57.2</v>
      </c>
      <c r="J393" s="11">
        <v>95</v>
      </c>
      <c r="L393" s="12">
        <f t="shared" si="9"/>
        <v>1.9777236052888478</v>
      </c>
      <c r="M393" s="11">
        <f>GraphSalmonella!$B$10-(Salmonella!I393-GraphSalmonella!$B$6)/GraphSalmonella!$B$5</f>
        <v>0.57931100083447151</v>
      </c>
      <c r="N393" s="2" t="s">
        <v>1226</v>
      </c>
      <c r="O393">
        <v>1996</v>
      </c>
      <c r="S393" s="10">
        <f>GraphSalmonella!$B$57*Salmonella!I393+GraphSalmonella!$B$58</f>
        <v>0.51813599117844245</v>
      </c>
      <c r="T393" s="10">
        <f>GraphSalmonella!$E$57*Salmonella!I393+GraphSalmonella!$E$58</f>
        <v>3.2744886177804045</v>
      </c>
      <c r="U393" s="10">
        <f>GraphSalmonella!$H$57*Salmonella!I393+GraphSalmonella!$H$58</f>
        <v>0.58010622333732087</v>
      </c>
      <c r="X393" s="10">
        <f>GraphSalmonella!$B$80*Salmonella!I393+GraphSalmonella!$B$81</f>
        <v>0.58208601784486369</v>
      </c>
      <c r="Y393" s="10">
        <f>GraphSalmonella!$E$80*Salmonella!I393+GraphSalmonella!$E$81</f>
        <v>0.59495409397555665</v>
      </c>
      <c r="Z393" s="10">
        <f>GraphSalmonella!$H$80*Salmonella!I393+GraphSalmonella!$H$81</f>
        <v>0.29719653009134195</v>
      </c>
    </row>
    <row r="394" spans="1:26" x14ac:dyDescent="0.2">
      <c r="A394" s="1" t="s">
        <v>66</v>
      </c>
      <c r="B394" s="1" t="s">
        <v>80</v>
      </c>
      <c r="D394" t="s">
        <v>44</v>
      </c>
      <c r="E394" s="1" t="s">
        <v>89</v>
      </c>
      <c r="F394" s="1"/>
      <c r="G394" s="11" t="s">
        <v>519</v>
      </c>
      <c r="H394" s="4">
        <v>6.9</v>
      </c>
      <c r="I394" s="4">
        <v>57.2</v>
      </c>
      <c r="J394" s="11">
        <v>83.3</v>
      </c>
      <c r="L394" s="12">
        <f t="shared" si="9"/>
        <v>1.9206450014067875</v>
      </c>
      <c r="M394" s="11">
        <f>GraphSalmonella!$B$10-(Salmonella!I394-GraphSalmonella!$B$6)/GraphSalmonella!$B$5</f>
        <v>0.57931100083447151</v>
      </c>
      <c r="N394" s="2" t="s">
        <v>1226</v>
      </c>
      <c r="O394">
        <v>1996</v>
      </c>
      <c r="S394" s="10">
        <f>GraphSalmonella!$B$57*Salmonella!I394+GraphSalmonella!$B$58</f>
        <v>0.51813599117844245</v>
      </c>
      <c r="T394" s="10">
        <f>GraphSalmonella!$E$57*Salmonella!I394+GraphSalmonella!$E$58</f>
        <v>3.2744886177804045</v>
      </c>
      <c r="U394" s="10">
        <f>GraphSalmonella!$H$57*Salmonella!I394+GraphSalmonella!$H$58</f>
        <v>0.58010622333732087</v>
      </c>
      <c r="X394" s="10">
        <f>GraphSalmonella!$B$80*Salmonella!I394+GraphSalmonella!$B$81</f>
        <v>0.58208601784486369</v>
      </c>
      <c r="Y394" s="10">
        <f>GraphSalmonella!$E$80*Salmonella!I394+GraphSalmonella!$E$81</f>
        <v>0.59495409397555665</v>
      </c>
      <c r="Z394" s="10">
        <f>GraphSalmonella!$H$80*Salmonella!I394+GraphSalmonella!$H$81</f>
        <v>0.29719653009134195</v>
      </c>
    </row>
    <row r="395" spans="1:26" x14ac:dyDescent="0.2">
      <c r="A395" s="1" t="s">
        <v>66</v>
      </c>
      <c r="B395" s="1" t="s">
        <v>80</v>
      </c>
      <c r="D395" t="s">
        <v>44</v>
      </c>
      <c r="E395" s="1" t="s">
        <v>89</v>
      </c>
      <c r="F395" s="1"/>
      <c r="G395" s="11" t="s">
        <v>519</v>
      </c>
      <c r="H395" s="4">
        <v>6.9</v>
      </c>
      <c r="I395" s="4">
        <v>57.2</v>
      </c>
      <c r="J395" s="11">
        <v>94</v>
      </c>
      <c r="L395" s="12">
        <f t="shared" si="9"/>
        <v>1.9731278535996986</v>
      </c>
      <c r="M395" s="11">
        <f>GraphSalmonella!$B$10-(Salmonella!I395-GraphSalmonella!$B$6)/GraphSalmonella!$B$5</f>
        <v>0.57931100083447151</v>
      </c>
      <c r="N395" s="2" t="s">
        <v>1226</v>
      </c>
      <c r="O395">
        <v>1996</v>
      </c>
      <c r="S395" s="10">
        <f>GraphSalmonella!$B$57*Salmonella!I395+GraphSalmonella!$B$58</f>
        <v>0.51813599117844245</v>
      </c>
      <c r="T395" s="10">
        <f>GraphSalmonella!$E$57*Salmonella!I395+GraphSalmonella!$E$58</f>
        <v>3.2744886177804045</v>
      </c>
      <c r="U395" s="10">
        <f>GraphSalmonella!$H$57*Salmonella!I395+GraphSalmonella!$H$58</f>
        <v>0.58010622333732087</v>
      </c>
      <c r="X395" s="10">
        <f>GraphSalmonella!$B$80*Salmonella!I395+GraphSalmonella!$B$81</f>
        <v>0.58208601784486369</v>
      </c>
      <c r="Y395" s="10">
        <f>GraphSalmonella!$E$80*Salmonella!I395+GraphSalmonella!$E$81</f>
        <v>0.59495409397555665</v>
      </c>
      <c r="Z395" s="10">
        <f>GraphSalmonella!$H$80*Salmonella!I395+GraphSalmonella!$H$81</f>
        <v>0.29719653009134195</v>
      </c>
    </row>
    <row r="396" spans="1:26" x14ac:dyDescent="0.2">
      <c r="A396" s="1" t="s">
        <v>66</v>
      </c>
      <c r="B396" s="1" t="s">
        <v>90</v>
      </c>
      <c r="D396" t="s">
        <v>44</v>
      </c>
      <c r="E396" s="1" t="s">
        <v>89</v>
      </c>
      <c r="F396" s="1"/>
      <c r="G396" s="11" t="s">
        <v>519</v>
      </c>
      <c r="H396" s="4">
        <v>6.9</v>
      </c>
      <c r="I396" s="4">
        <v>57.2</v>
      </c>
      <c r="J396" s="11">
        <v>26</v>
      </c>
      <c r="L396" s="12">
        <f t="shared" ref="L396:L413" si="10">LOG(J396)</f>
        <v>1.414973347970818</v>
      </c>
      <c r="M396" s="11">
        <f>GraphSalmonella!$B$10-(Salmonella!I396-GraphSalmonella!$B$6)/GraphSalmonella!$B$5</f>
        <v>0.57931100083447151</v>
      </c>
      <c r="N396" s="2" t="s">
        <v>1226</v>
      </c>
      <c r="O396">
        <v>1996</v>
      </c>
      <c r="S396" s="10">
        <f>GraphSalmonella!$B$57*Salmonella!I396+GraphSalmonella!$B$58</f>
        <v>0.51813599117844245</v>
      </c>
      <c r="T396" s="10">
        <f>GraphSalmonella!$E$57*Salmonella!I396+GraphSalmonella!$E$58</f>
        <v>3.2744886177804045</v>
      </c>
      <c r="U396" s="10">
        <f>GraphSalmonella!$H$57*Salmonella!I396+GraphSalmonella!$H$58</f>
        <v>0.58010622333732087</v>
      </c>
      <c r="X396" s="10">
        <f>GraphSalmonella!$B$80*Salmonella!I396+GraphSalmonella!$B$81</f>
        <v>0.58208601784486369</v>
      </c>
      <c r="Y396" s="10">
        <f>GraphSalmonella!$E$80*Salmonella!I396+GraphSalmonella!$E$81</f>
        <v>0.59495409397555665</v>
      </c>
      <c r="Z396" s="10">
        <f>GraphSalmonella!$H$80*Salmonella!I396+GraphSalmonella!$H$81</f>
        <v>0.29719653009134195</v>
      </c>
    </row>
    <row r="397" spans="1:26" x14ac:dyDescent="0.2">
      <c r="A397" s="1" t="s">
        <v>66</v>
      </c>
      <c r="B397" s="1" t="s">
        <v>88</v>
      </c>
      <c r="D397" t="s">
        <v>44</v>
      </c>
      <c r="E397" s="1" t="s">
        <v>89</v>
      </c>
      <c r="F397" s="1"/>
      <c r="G397" s="11" t="s">
        <v>519</v>
      </c>
      <c r="H397" s="4">
        <v>6.9</v>
      </c>
      <c r="I397" s="4">
        <v>57.2</v>
      </c>
      <c r="J397" s="11">
        <v>75</v>
      </c>
      <c r="L397" s="12">
        <f t="shared" si="10"/>
        <v>1.8750612633917001</v>
      </c>
      <c r="M397" s="11">
        <f>GraphSalmonella!$B$10-(Salmonella!I397-GraphSalmonella!$B$6)/GraphSalmonella!$B$5</f>
        <v>0.57931100083447151</v>
      </c>
      <c r="N397" s="2" t="s">
        <v>1226</v>
      </c>
      <c r="O397">
        <v>1996</v>
      </c>
      <c r="S397" s="10">
        <f>GraphSalmonella!$B$57*Salmonella!I397+GraphSalmonella!$B$58</f>
        <v>0.51813599117844245</v>
      </c>
      <c r="T397" s="10">
        <f>GraphSalmonella!$E$57*Salmonella!I397+GraphSalmonella!$E$58</f>
        <v>3.2744886177804045</v>
      </c>
      <c r="U397" s="10">
        <f>GraphSalmonella!$H$57*Salmonella!I397+GraphSalmonella!$H$58</f>
        <v>0.58010622333732087</v>
      </c>
      <c r="X397" s="10">
        <f>GraphSalmonella!$B$80*Salmonella!I397+GraphSalmonella!$B$81</f>
        <v>0.58208601784486369</v>
      </c>
      <c r="Y397" s="10">
        <f>GraphSalmonella!$E$80*Salmonella!I397+GraphSalmonella!$E$81</f>
        <v>0.59495409397555665</v>
      </c>
      <c r="Z397" s="10">
        <f>GraphSalmonella!$H$80*Salmonella!I397+GraphSalmonella!$H$81</f>
        <v>0.29719653009134195</v>
      </c>
    </row>
    <row r="398" spans="1:26" x14ac:dyDescent="0.2">
      <c r="A398" s="1" t="s">
        <v>66</v>
      </c>
      <c r="B398" s="1" t="s">
        <v>85</v>
      </c>
      <c r="D398" t="s">
        <v>44</v>
      </c>
      <c r="E398" s="1" t="s">
        <v>89</v>
      </c>
      <c r="F398" s="1"/>
      <c r="G398" s="11" t="s">
        <v>519</v>
      </c>
      <c r="H398" s="4">
        <v>6.9</v>
      </c>
      <c r="I398" s="4">
        <v>57.2</v>
      </c>
      <c r="J398" s="11">
        <v>35.9</v>
      </c>
      <c r="L398" s="12">
        <f t="shared" si="10"/>
        <v>1.5550944485783191</v>
      </c>
      <c r="M398" s="11">
        <f>GraphSalmonella!$B$10-(Salmonella!I398-GraphSalmonella!$B$6)/GraphSalmonella!$B$5</f>
        <v>0.57931100083447151</v>
      </c>
      <c r="N398" s="2" t="s">
        <v>1226</v>
      </c>
      <c r="O398">
        <v>1996</v>
      </c>
      <c r="S398" s="10">
        <f>GraphSalmonella!$B$57*Salmonella!I398+GraphSalmonella!$B$58</f>
        <v>0.51813599117844245</v>
      </c>
      <c r="T398" s="10">
        <f>GraphSalmonella!$E$57*Salmonella!I398+GraphSalmonella!$E$58</f>
        <v>3.2744886177804045</v>
      </c>
      <c r="U398" s="10">
        <f>GraphSalmonella!$H$57*Salmonella!I398+GraphSalmonella!$H$58</f>
        <v>0.58010622333732087</v>
      </c>
      <c r="X398" s="10">
        <f>GraphSalmonella!$B$80*Salmonella!I398+GraphSalmonella!$B$81</f>
        <v>0.58208601784486369</v>
      </c>
      <c r="Y398" s="10">
        <f>GraphSalmonella!$E$80*Salmonella!I398+GraphSalmonella!$E$81</f>
        <v>0.59495409397555665</v>
      </c>
      <c r="Z398" s="10">
        <f>GraphSalmonella!$H$80*Salmonella!I398+GraphSalmonella!$H$81</f>
        <v>0.29719653009134195</v>
      </c>
    </row>
    <row r="399" spans="1:26" x14ac:dyDescent="0.2">
      <c r="A399" s="1" t="s">
        <v>66</v>
      </c>
      <c r="B399" s="1" t="s">
        <v>70</v>
      </c>
      <c r="D399" t="s">
        <v>44</v>
      </c>
      <c r="E399" s="1" t="s">
        <v>89</v>
      </c>
      <c r="F399" s="1"/>
      <c r="G399" s="11" t="s">
        <v>519</v>
      </c>
      <c r="H399" s="4">
        <v>6.9</v>
      </c>
      <c r="I399" s="4">
        <v>57.2</v>
      </c>
      <c r="J399" s="11">
        <v>61.5</v>
      </c>
      <c r="L399" s="12">
        <f t="shared" si="10"/>
        <v>1.7888751157754168</v>
      </c>
      <c r="M399" s="11">
        <f>GraphSalmonella!$B$10-(Salmonella!I399-GraphSalmonella!$B$6)/GraphSalmonella!$B$5</f>
        <v>0.57931100083447151</v>
      </c>
      <c r="N399" s="2" t="s">
        <v>1226</v>
      </c>
      <c r="O399">
        <v>1996</v>
      </c>
      <c r="S399" s="10">
        <f>GraphSalmonella!$B$57*Salmonella!I399+GraphSalmonella!$B$58</f>
        <v>0.51813599117844245</v>
      </c>
      <c r="T399" s="10">
        <f>GraphSalmonella!$E$57*Salmonella!I399+GraphSalmonella!$E$58</f>
        <v>3.2744886177804045</v>
      </c>
      <c r="U399" s="10">
        <f>GraphSalmonella!$H$57*Salmonella!I399+GraphSalmonella!$H$58</f>
        <v>0.58010622333732087</v>
      </c>
      <c r="X399" s="10">
        <f>GraphSalmonella!$B$80*Salmonella!I399+GraphSalmonella!$B$81</f>
        <v>0.58208601784486369</v>
      </c>
      <c r="Y399" s="10">
        <f>GraphSalmonella!$E$80*Salmonella!I399+GraphSalmonella!$E$81</f>
        <v>0.59495409397555665</v>
      </c>
      <c r="Z399" s="10">
        <f>GraphSalmonella!$H$80*Salmonella!I399+GraphSalmonella!$H$81</f>
        <v>0.29719653009134195</v>
      </c>
    </row>
    <row r="400" spans="1:26" x14ac:dyDescent="0.2">
      <c r="A400" s="1" t="s">
        <v>66</v>
      </c>
      <c r="B400" s="1" t="s">
        <v>87</v>
      </c>
      <c r="D400" t="s">
        <v>44</v>
      </c>
      <c r="E400" s="1" t="s">
        <v>89</v>
      </c>
      <c r="G400" s="11" t="s">
        <v>513</v>
      </c>
      <c r="H400" s="4">
        <v>6.9</v>
      </c>
      <c r="I400" s="4">
        <v>57.2</v>
      </c>
      <c r="J400" s="11">
        <v>80</v>
      </c>
      <c r="L400" s="12">
        <f t="shared" si="10"/>
        <v>1.9030899869919435</v>
      </c>
      <c r="M400" s="11">
        <f>GraphSalmonella!$B$10-(Salmonella!I400-GraphSalmonella!$B$6)/GraphSalmonella!$B$5</f>
        <v>0.57931100083447151</v>
      </c>
      <c r="N400" s="2" t="s">
        <v>1226</v>
      </c>
      <c r="O400">
        <v>1996</v>
      </c>
      <c r="S400" s="10">
        <f>GraphSalmonella!$B$57*Salmonella!I400+GraphSalmonella!$B$58</f>
        <v>0.51813599117844245</v>
      </c>
      <c r="T400" s="10">
        <f>GraphSalmonella!$E$57*Salmonella!I400+GraphSalmonella!$E$58</f>
        <v>3.2744886177804045</v>
      </c>
      <c r="U400" s="10">
        <f>GraphSalmonella!$H$57*Salmonella!I400+GraphSalmonella!$H$58</f>
        <v>0.58010622333732087</v>
      </c>
      <c r="X400" s="10">
        <f>GraphSalmonella!$B$80*Salmonella!I400+GraphSalmonella!$B$81</f>
        <v>0.58208601784486369</v>
      </c>
      <c r="Y400" s="10">
        <f>GraphSalmonella!$E$80*Salmonella!I400+GraphSalmonella!$E$81</f>
        <v>0.59495409397555665</v>
      </c>
      <c r="Z400" s="10">
        <f>GraphSalmonella!$H$80*Salmonella!I400+GraphSalmonella!$H$81</f>
        <v>0.29719653009134195</v>
      </c>
    </row>
    <row r="401" spans="1:26" x14ac:dyDescent="0.2">
      <c r="A401" s="1" t="s">
        <v>66</v>
      </c>
      <c r="B401" s="1" t="s">
        <v>80</v>
      </c>
      <c r="D401" t="s">
        <v>44</v>
      </c>
      <c r="E401" s="1" t="s">
        <v>89</v>
      </c>
      <c r="F401" s="1"/>
      <c r="G401" s="11" t="s">
        <v>513</v>
      </c>
      <c r="H401" s="4">
        <v>6.9</v>
      </c>
      <c r="I401" s="4">
        <v>57.2</v>
      </c>
      <c r="J401" s="11">
        <v>59</v>
      </c>
      <c r="L401" s="12">
        <f t="shared" si="10"/>
        <v>1.7708520116421442</v>
      </c>
      <c r="M401" s="11">
        <f>GraphSalmonella!$B$10-(Salmonella!I401-GraphSalmonella!$B$6)/GraphSalmonella!$B$5</f>
        <v>0.57931100083447151</v>
      </c>
      <c r="N401" s="2" t="s">
        <v>1226</v>
      </c>
      <c r="O401">
        <v>1996</v>
      </c>
      <c r="S401" s="10">
        <f>GraphSalmonella!$B$57*Salmonella!I401+GraphSalmonella!$B$58</f>
        <v>0.51813599117844245</v>
      </c>
      <c r="T401" s="10">
        <f>GraphSalmonella!$E$57*Salmonella!I401+GraphSalmonella!$E$58</f>
        <v>3.2744886177804045</v>
      </c>
      <c r="U401" s="10">
        <f>GraphSalmonella!$H$57*Salmonella!I401+GraphSalmonella!$H$58</f>
        <v>0.58010622333732087</v>
      </c>
      <c r="X401" s="10">
        <f>GraphSalmonella!$B$80*Salmonella!I401+GraphSalmonella!$B$81</f>
        <v>0.58208601784486369</v>
      </c>
      <c r="Y401" s="10">
        <f>GraphSalmonella!$E$80*Salmonella!I401+GraphSalmonella!$E$81</f>
        <v>0.59495409397555665</v>
      </c>
      <c r="Z401" s="10">
        <f>GraphSalmonella!$H$80*Salmonella!I401+GraphSalmonella!$H$81</f>
        <v>0.29719653009134195</v>
      </c>
    </row>
    <row r="402" spans="1:26" x14ac:dyDescent="0.2">
      <c r="A402" s="1" t="s">
        <v>66</v>
      </c>
      <c r="B402" s="1" t="s">
        <v>80</v>
      </c>
      <c r="D402" t="s">
        <v>44</v>
      </c>
      <c r="E402" s="1" t="s">
        <v>89</v>
      </c>
      <c r="F402" s="1"/>
      <c r="G402" s="11" t="s">
        <v>513</v>
      </c>
      <c r="H402" s="4">
        <v>6.9</v>
      </c>
      <c r="I402" s="4">
        <v>57.2</v>
      </c>
      <c r="J402" s="11">
        <v>62.5</v>
      </c>
      <c r="L402" s="12">
        <f t="shared" si="10"/>
        <v>1.7958800173440752</v>
      </c>
      <c r="M402" s="11">
        <f>GraphSalmonella!$B$10-(Salmonella!I402-GraphSalmonella!$B$6)/GraphSalmonella!$B$5</f>
        <v>0.57931100083447151</v>
      </c>
      <c r="N402" s="2" t="s">
        <v>1226</v>
      </c>
      <c r="O402">
        <v>1996</v>
      </c>
      <c r="S402" s="10">
        <f>GraphSalmonella!$B$57*Salmonella!I402+GraphSalmonella!$B$58</f>
        <v>0.51813599117844245</v>
      </c>
      <c r="T402" s="10">
        <f>GraphSalmonella!$E$57*Salmonella!I402+GraphSalmonella!$E$58</f>
        <v>3.2744886177804045</v>
      </c>
      <c r="U402" s="10">
        <f>GraphSalmonella!$H$57*Salmonella!I402+GraphSalmonella!$H$58</f>
        <v>0.58010622333732087</v>
      </c>
      <c r="X402" s="10">
        <f>GraphSalmonella!$B$80*Salmonella!I402+GraphSalmonella!$B$81</f>
        <v>0.58208601784486369</v>
      </c>
      <c r="Y402" s="10">
        <f>GraphSalmonella!$E$80*Salmonella!I402+GraphSalmonella!$E$81</f>
        <v>0.59495409397555665</v>
      </c>
      <c r="Z402" s="10">
        <f>GraphSalmonella!$H$80*Salmonella!I402+GraphSalmonella!$H$81</f>
        <v>0.29719653009134195</v>
      </c>
    </row>
    <row r="403" spans="1:26" x14ac:dyDescent="0.2">
      <c r="A403" s="1" t="s">
        <v>66</v>
      </c>
      <c r="B403" s="1" t="s">
        <v>90</v>
      </c>
      <c r="C403" s="1"/>
      <c r="D403" t="s">
        <v>44</v>
      </c>
      <c r="E403" s="1" t="s">
        <v>89</v>
      </c>
      <c r="F403" s="1"/>
      <c r="G403" s="11" t="s">
        <v>513</v>
      </c>
      <c r="H403" s="4">
        <v>6.9</v>
      </c>
      <c r="I403" s="4">
        <v>57.2</v>
      </c>
      <c r="J403" s="9">
        <v>21.1</v>
      </c>
      <c r="K403" s="7"/>
      <c r="L403" s="12">
        <f t="shared" si="10"/>
        <v>1.3242824552976926</v>
      </c>
      <c r="M403" s="11">
        <f>GraphSalmonella!$B$10-(Salmonella!I403-GraphSalmonella!$B$6)/GraphSalmonella!$B$5</f>
        <v>0.57931100083447151</v>
      </c>
      <c r="N403" s="2" t="s">
        <v>1226</v>
      </c>
      <c r="O403">
        <v>1996</v>
      </c>
      <c r="S403" s="10">
        <f>GraphSalmonella!$B$57*Salmonella!I403+GraphSalmonella!$B$58</f>
        <v>0.51813599117844245</v>
      </c>
      <c r="T403" s="10">
        <f>GraphSalmonella!$E$57*Salmonella!I403+GraphSalmonella!$E$58</f>
        <v>3.2744886177804045</v>
      </c>
      <c r="U403" s="10">
        <f>GraphSalmonella!$H$57*Salmonella!I403+GraphSalmonella!$H$58</f>
        <v>0.58010622333732087</v>
      </c>
      <c r="X403" s="10">
        <f>GraphSalmonella!$B$80*Salmonella!I403+GraphSalmonella!$B$81</f>
        <v>0.58208601784486369</v>
      </c>
      <c r="Y403" s="10">
        <f>GraphSalmonella!$E$80*Salmonella!I403+GraphSalmonella!$E$81</f>
        <v>0.59495409397555665</v>
      </c>
      <c r="Z403" s="10">
        <f>GraphSalmonella!$H$80*Salmonella!I403+GraphSalmonella!$H$81</f>
        <v>0.29719653009134195</v>
      </c>
    </row>
    <row r="404" spans="1:26" x14ac:dyDescent="0.2">
      <c r="A404" s="1" t="s">
        <v>66</v>
      </c>
      <c r="B404" s="1" t="s">
        <v>88</v>
      </c>
      <c r="D404" t="s">
        <v>44</v>
      </c>
      <c r="E404" s="1" t="s">
        <v>89</v>
      </c>
      <c r="F404" s="1"/>
      <c r="G404" s="11" t="s">
        <v>513</v>
      </c>
      <c r="H404" s="4">
        <v>6.9</v>
      </c>
      <c r="I404" s="4">
        <v>57.2</v>
      </c>
      <c r="J404" s="11">
        <v>72.5</v>
      </c>
      <c r="L404" s="12">
        <f t="shared" si="10"/>
        <v>1.8603380065709938</v>
      </c>
      <c r="M404" s="11">
        <f>GraphSalmonella!$B$10-(Salmonella!I404-GraphSalmonella!$B$6)/GraphSalmonella!$B$5</f>
        <v>0.57931100083447151</v>
      </c>
      <c r="N404" s="2" t="s">
        <v>1226</v>
      </c>
      <c r="O404">
        <v>1996</v>
      </c>
      <c r="S404" s="10">
        <f>GraphSalmonella!$B$57*Salmonella!I404+GraphSalmonella!$B$58</f>
        <v>0.51813599117844245</v>
      </c>
      <c r="T404" s="10">
        <f>GraphSalmonella!$E$57*Salmonella!I404+GraphSalmonella!$E$58</f>
        <v>3.2744886177804045</v>
      </c>
      <c r="U404" s="10">
        <f>GraphSalmonella!$H$57*Salmonella!I404+GraphSalmonella!$H$58</f>
        <v>0.58010622333732087</v>
      </c>
      <c r="X404" s="10">
        <f>GraphSalmonella!$B$80*Salmonella!I404+GraphSalmonella!$B$81</f>
        <v>0.58208601784486369</v>
      </c>
      <c r="Y404" s="10">
        <f>GraphSalmonella!$E$80*Salmonella!I404+GraphSalmonella!$E$81</f>
        <v>0.59495409397555665</v>
      </c>
      <c r="Z404" s="10">
        <f>GraphSalmonella!$H$80*Salmonella!I404+GraphSalmonella!$H$81</f>
        <v>0.29719653009134195</v>
      </c>
    </row>
    <row r="405" spans="1:26" x14ac:dyDescent="0.2">
      <c r="A405" s="1" t="s">
        <v>66</v>
      </c>
      <c r="B405" s="1" t="s">
        <v>67</v>
      </c>
      <c r="D405" t="s">
        <v>44</v>
      </c>
      <c r="E405" s="1" t="s">
        <v>89</v>
      </c>
      <c r="F405" s="1"/>
      <c r="G405" s="11" t="s">
        <v>513</v>
      </c>
      <c r="H405" s="4">
        <v>6.9</v>
      </c>
      <c r="I405" s="4">
        <v>57.2</v>
      </c>
      <c r="J405" s="11">
        <v>62</v>
      </c>
      <c r="L405" s="12">
        <f t="shared" si="10"/>
        <v>1.7923916894982539</v>
      </c>
      <c r="M405" s="11">
        <f>GraphSalmonella!$B$10-(Salmonella!I405-GraphSalmonella!$B$6)/GraphSalmonella!$B$5</f>
        <v>0.57931100083447151</v>
      </c>
      <c r="N405" s="2" t="s">
        <v>1226</v>
      </c>
      <c r="O405">
        <v>1996</v>
      </c>
      <c r="S405" s="10">
        <f>GraphSalmonella!$B$57*Salmonella!I405+GraphSalmonella!$B$58</f>
        <v>0.51813599117844245</v>
      </c>
      <c r="T405" s="10">
        <f>GraphSalmonella!$E$57*Salmonella!I405+GraphSalmonella!$E$58</f>
        <v>3.2744886177804045</v>
      </c>
      <c r="U405" s="10">
        <f>GraphSalmonella!$H$57*Salmonella!I405+GraphSalmonella!$H$58</f>
        <v>0.58010622333732087</v>
      </c>
      <c r="X405" s="10">
        <f>GraphSalmonella!$B$80*Salmonella!I405+GraphSalmonella!$B$81</f>
        <v>0.58208601784486369</v>
      </c>
      <c r="Y405" s="10">
        <f>GraphSalmonella!$E$80*Salmonella!I405+GraphSalmonella!$E$81</f>
        <v>0.59495409397555665</v>
      </c>
      <c r="Z405" s="10">
        <f>GraphSalmonella!$H$80*Salmonella!I405+GraphSalmonella!$H$81</f>
        <v>0.29719653009134195</v>
      </c>
    </row>
    <row r="406" spans="1:26" x14ac:dyDescent="0.2">
      <c r="A406" s="1" t="s">
        <v>66</v>
      </c>
      <c r="B406" s="1" t="s">
        <v>85</v>
      </c>
      <c r="D406" t="s">
        <v>44</v>
      </c>
      <c r="E406" s="1" t="s">
        <v>89</v>
      </c>
      <c r="F406" s="1"/>
      <c r="G406" s="11" t="s">
        <v>513</v>
      </c>
      <c r="H406" s="4">
        <v>6.9</v>
      </c>
      <c r="I406" s="4">
        <v>57.2</v>
      </c>
      <c r="J406" s="11">
        <v>23.5</v>
      </c>
      <c r="L406" s="12">
        <f t="shared" si="10"/>
        <v>1.3710678622717363</v>
      </c>
      <c r="M406" s="11">
        <f>GraphSalmonella!$B$10-(Salmonella!I406-GraphSalmonella!$B$6)/GraphSalmonella!$B$5</f>
        <v>0.57931100083447151</v>
      </c>
      <c r="N406" s="2" t="s">
        <v>1226</v>
      </c>
      <c r="O406">
        <v>1996</v>
      </c>
      <c r="S406" s="10">
        <f>GraphSalmonella!$B$57*Salmonella!I406+GraphSalmonella!$B$58</f>
        <v>0.51813599117844245</v>
      </c>
      <c r="T406" s="10">
        <f>GraphSalmonella!$E$57*Salmonella!I406+GraphSalmonella!$E$58</f>
        <v>3.2744886177804045</v>
      </c>
      <c r="U406" s="10">
        <f>GraphSalmonella!$H$57*Salmonella!I406+GraphSalmonella!$H$58</f>
        <v>0.58010622333732087</v>
      </c>
      <c r="X406" s="10">
        <f>GraphSalmonella!$B$80*Salmonella!I406+GraphSalmonella!$B$81</f>
        <v>0.58208601784486369</v>
      </c>
      <c r="Y406" s="10">
        <f>GraphSalmonella!$E$80*Salmonella!I406+GraphSalmonella!$E$81</f>
        <v>0.59495409397555665</v>
      </c>
      <c r="Z406" s="10">
        <f>GraphSalmonella!$H$80*Salmonella!I406+GraphSalmonella!$H$81</f>
        <v>0.29719653009134195</v>
      </c>
    </row>
    <row r="407" spans="1:26" x14ac:dyDescent="0.2">
      <c r="A407" s="1" t="s">
        <v>66</v>
      </c>
      <c r="B407" s="1" t="s">
        <v>70</v>
      </c>
      <c r="D407" t="s">
        <v>44</v>
      </c>
      <c r="E407" s="1" t="s">
        <v>89</v>
      </c>
      <c r="F407" s="1"/>
      <c r="G407" s="11" t="s">
        <v>513</v>
      </c>
      <c r="H407" s="4">
        <v>6.9</v>
      </c>
      <c r="I407" s="4">
        <v>57.2</v>
      </c>
      <c r="J407" s="11">
        <v>46.7</v>
      </c>
      <c r="L407" s="12">
        <f t="shared" si="10"/>
        <v>1.6693168805661123</v>
      </c>
      <c r="M407" s="11">
        <f>GraphSalmonella!$B$10-(Salmonella!I407-GraphSalmonella!$B$6)/GraphSalmonella!$B$5</f>
        <v>0.57931100083447151</v>
      </c>
      <c r="N407" s="2" t="s">
        <v>1226</v>
      </c>
      <c r="O407">
        <v>1996</v>
      </c>
      <c r="S407" s="10">
        <f>GraphSalmonella!$B$57*Salmonella!I407+GraphSalmonella!$B$58</f>
        <v>0.51813599117844245</v>
      </c>
      <c r="T407" s="10">
        <f>GraphSalmonella!$E$57*Salmonella!I407+GraphSalmonella!$E$58</f>
        <v>3.2744886177804045</v>
      </c>
      <c r="U407" s="10">
        <f>GraphSalmonella!$H$57*Salmonella!I407+GraphSalmonella!$H$58</f>
        <v>0.58010622333732087</v>
      </c>
      <c r="X407" s="10">
        <f>GraphSalmonella!$B$80*Salmonella!I407+GraphSalmonella!$B$81</f>
        <v>0.58208601784486369</v>
      </c>
      <c r="Y407" s="10">
        <f>GraphSalmonella!$E$80*Salmonella!I407+GraphSalmonella!$E$81</f>
        <v>0.59495409397555665</v>
      </c>
      <c r="Z407" s="10">
        <f>GraphSalmonella!$H$80*Salmonella!I407+GraphSalmonella!$H$81</f>
        <v>0.29719653009134195</v>
      </c>
    </row>
    <row r="408" spans="1:26" x14ac:dyDescent="0.2">
      <c r="A408" s="1" t="s">
        <v>66</v>
      </c>
      <c r="B408" s="1" t="s">
        <v>87</v>
      </c>
      <c r="D408" t="s">
        <v>44</v>
      </c>
      <c r="E408" s="1" t="s">
        <v>89</v>
      </c>
      <c r="G408" s="11" t="s">
        <v>518</v>
      </c>
      <c r="H408" s="4">
        <v>6.9</v>
      </c>
      <c r="I408" s="4">
        <v>57.2</v>
      </c>
      <c r="J408" s="11">
        <v>60</v>
      </c>
      <c r="L408" s="12">
        <f t="shared" si="10"/>
        <v>1.7781512503836436</v>
      </c>
      <c r="M408" s="11">
        <f>GraphSalmonella!$B$10-(Salmonella!I408-GraphSalmonella!$B$6)/GraphSalmonella!$B$5</f>
        <v>0.57931100083447151</v>
      </c>
      <c r="N408" s="2" t="s">
        <v>1226</v>
      </c>
      <c r="O408">
        <v>1996</v>
      </c>
      <c r="S408" s="10">
        <f>GraphSalmonella!$B$57*Salmonella!I408+GraphSalmonella!$B$58</f>
        <v>0.51813599117844245</v>
      </c>
      <c r="T408" s="10">
        <f>GraphSalmonella!$E$57*Salmonella!I408+GraphSalmonella!$E$58</f>
        <v>3.2744886177804045</v>
      </c>
      <c r="U408" s="10">
        <f>GraphSalmonella!$H$57*Salmonella!I408+GraphSalmonella!$H$58</f>
        <v>0.58010622333732087</v>
      </c>
      <c r="X408" s="10">
        <f>GraphSalmonella!$B$80*Salmonella!I408+GraphSalmonella!$B$81</f>
        <v>0.58208601784486369</v>
      </c>
      <c r="Y408" s="10">
        <f>GraphSalmonella!$E$80*Salmonella!I408+GraphSalmonella!$E$81</f>
        <v>0.59495409397555665</v>
      </c>
      <c r="Z408" s="10">
        <f>GraphSalmonella!$H$80*Salmonella!I408+GraphSalmonella!$H$81</f>
        <v>0.29719653009134195</v>
      </c>
    </row>
    <row r="409" spans="1:26" x14ac:dyDescent="0.2">
      <c r="A409" s="1" t="s">
        <v>66</v>
      </c>
      <c r="B409" s="1" t="s">
        <v>80</v>
      </c>
      <c r="D409" t="s">
        <v>44</v>
      </c>
      <c r="E409" s="1" t="s">
        <v>89</v>
      </c>
      <c r="F409" s="1"/>
      <c r="G409" s="11" t="s">
        <v>518</v>
      </c>
      <c r="H409" s="4">
        <v>6.9</v>
      </c>
      <c r="I409" s="4">
        <v>57.2</v>
      </c>
      <c r="J409" s="11">
        <v>56</v>
      </c>
      <c r="L409" s="12">
        <f t="shared" si="10"/>
        <v>1.7481880270062005</v>
      </c>
      <c r="M409" s="11">
        <f>GraphSalmonella!$B$10-(Salmonella!I409-GraphSalmonella!$B$6)/GraphSalmonella!$B$5</f>
        <v>0.57931100083447151</v>
      </c>
      <c r="N409" s="2" t="s">
        <v>1226</v>
      </c>
      <c r="O409">
        <v>1996</v>
      </c>
      <c r="S409" s="10">
        <f>GraphSalmonella!$B$57*Salmonella!I409+GraphSalmonella!$B$58</f>
        <v>0.51813599117844245</v>
      </c>
      <c r="T409" s="10">
        <f>GraphSalmonella!$E$57*Salmonella!I409+GraphSalmonella!$E$58</f>
        <v>3.2744886177804045</v>
      </c>
      <c r="U409" s="10">
        <f>GraphSalmonella!$H$57*Salmonella!I409+GraphSalmonella!$H$58</f>
        <v>0.58010622333732087</v>
      </c>
      <c r="X409" s="10">
        <f>GraphSalmonella!$B$80*Salmonella!I409+GraphSalmonella!$B$81</f>
        <v>0.58208601784486369</v>
      </c>
      <c r="Y409" s="10">
        <f>GraphSalmonella!$E$80*Salmonella!I409+GraphSalmonella!$E$81</f>
        <v>0.59495409397555665</v>
      </c>
      <c r="Z409" s="10">
        <f>GraphSalmonella!$H$80*Salmonella!I409+GraphSalmonella!$H$81</f>
        <v>0.29719653009134195</v>
      </c>
    </row>
    <row r="410" spans="1:26" x14ac:dyDescent="0.2">
      <c r="A410" s="1" t="s">
        <v>66</v>
      </c>
      <c r="B410" s="1" t="s">
        <v>80</v>
      </c>
      <c r="D410" t="s">
        <v>44</v>
      </c>
      <c r="E410" s="1" t="s">
        <v>89</v>
      </c>
      <c r="F410" s="1"/>
      <c r="G410" s="11" t="s">
        <v>518</v>
      </c>
      <c r="H410" s="4">
        <v>6.9</v>
      </c>
      <c r="I410" s="4">
        <v>57.2</v>
      </c>
      <c r="J410" s="11">
        <v>68.7</v>
      </c>
      <c r="L410" s="12">
        <f t="shared" si="10"/>
        <v>1.8369567370595505</v>
      </c>
      <c r="M410" s="11">
        <f>GraphSalmonella!$B$10-(Salmonella!I410-GraphSalmonella!$B$6)/GraphSalmonella!$B$5</f>
        <v>0.57931100083447151</v>
      </c>
      <c r="N410" s="2" t="s">
        <v>1226</v>
      </c>
      <c r="O410">
        <v>1996</v>
      </c>
      <c r="S410" s="10">
        <f>GraphSalmonella!$B$57*Salmonella!I410+GraphSalmonella!$B$58</f>
        <v>0.51813599117844245</v>
      </c>
      <c r="T410" s="10">
        <f>GraphSalmonella!$E$57*Salmonella!I410+GraphSalmonella!$E$58</f>
        <v>3.2744886177804045</v>
      </c>
      <c r="U410" s="10">
        <f>GraphSalmonella!$H$57*Salmonella!I410+GraphSalmonella!$H$58</f>
        <v>0.58010622333732087</v>
      </c>
      <c r="X410" s="10">
        <f>GraphSalmonella!$B$80*Salmonella!I410+GraphSalmonella!$B$81</f>
        <v>0.58208601784486369</v>
      </c>
      <c r="Y410" s="10">
        <f>GraphSalmonella!$E$80*Salmonella!I410+GraphSalmonella!$E$81</f>
        <v>0.59495409397555665</v>
      </c>
      <c r="Z410" s="10">
        <f>GraphSalmonella!$H$80*Salmonella!I410+GraphSalmonella!$H$81</f>
        <v>0.29719653009134195</v>
      </c>
    </row>
    <row r="411" spans="1:26" x14ac:dyDescent="0.2">
      <c r="A411" s="1" t="s">
        <v>66</v>
      </c>
      <c r="B411" s="1" t="s">
        <v>90</v>
      </c>
      <c r="D411" t="s">
        <v>44</v>
      </c>
      <c r="E411" s="1" t="s">
        <v>89</v>
      </c>
      <c r="F411" s="1"/>
      <c r="G411" s="11" t="s">
        <v>518</v>
      </c>
      <c r="H411" s="4">
        <v>6.9</v>
      </c>
      <c r="I411" s="4">
        <v>57.2</v>
      </c>
      <c r="J411" s="11">
        <v>14.3</v>
      </c>
      <c r="L411" s="12">
        <f t="shared" si="10"/>
        <v>1.1553360374650619</v>
      </c>
      <c r="M411" s="11">
        <f>GraphSalmonella!$B$10-(Salmonella!I411-GraphSalmonella!$B$6)/GraphSalmonella!$B$5</f>
        <v>0.57931100083447151</v>
      </c>
      <c r="N411" s="2" t="s">
        <v>1226</v>
      </c>
      <c r="O411">
        <v>1996</v>
      </c>
      <c r="S411" s="10">
        <f>GraphSalmonella!$B$57*Salmonella!I411+GraphSalmonella!$B$58</f>
        <v>0.51813599117844245</v>
      </c>
      <c r="T411" s="10">
        <f>GraphSalmonella!$E$57*Salmonella!I411+GraphSalmonella!$E$58</f>
        <v>3.2744886177804045</v>
      </c>
      <c r="U411" s="10">
        <f>GraphSalmonella!$H$57*Salmonella!I411+GraphSalmonella!$H$58</f>
        <v>0.58010622333732087</v>
      </c>
      <c r="X411" s="10">
        <f>GraphSalmonella!$B$80*Salmonella!I411+GraphSalmonella!$B$81</f>
        <v>0.58208601784486369</v>
      </c>
      <c r="Y411" s="10">
        <f>GraphSalmonella!$E$80*Salmonella!I411+GraphSalmonella!$E$81</f>
        <v>0.59495409397555665</v>
      </c>
      <c r="Z411" s="10">
        <f>GraphSalmonella!$H$80*Salmonella!I411+GraphSalmonella!$H$81</f>
        <v>0.29719653009134195</v>
      </c>
    </row>
    <row r="412" spans="1:26" x14ac:dyDescent="0.2">
      <c r="A412" s="1" t="s">
        <v>66</v>
      </c>
      <c r="B412" s="1" t="s">
        <v>88</v>
      </c>
      <c r="D412" t="s">
        <v>44</v>
      </c>
      <c r="E412" s="1" t="s">
        <v>89</v>
      </c>
      <c r="F412" s="1"/>
      <c r="G412" s="11" t="s">
        <v>518</v>
      </c>
      <c r="H412" s="4">
        <v>6.9</v>
      </c>
      <c r="I412" s="4">
        <v>57.2</v>
      </c>
      <c r="J412" s="11">
        <v>58.4</v>
      </c>
      <c r="L412" s="12">
        <f t="shared" si="10"/>
        <v>1.7664128471123994</v>
      </c>
      <c r="M412" s="11">
        <f>GraphSalmonella!$B$10-(Salmonella!I412-GraphSalmonella!$B$6)/GraphSalmonella!$B$5</f>
        <v>0.57931100083447151</v>
      </c>
      <c r="N412" s="2" t="s">
        <v>1226</v>
      </c>
      <c r="O412">
        <v>1996</v>
      </c>
      <c r="S412" s="10">
        <f>GraphSalmonella!$B$57*Salmonella!I412+GraphSalmonella!$B$58</f>
        <v>0.51813599117844245</v>
      </c>
      <c r="T412" s="10">
        <f>GraphSalmonella!$E$57*Salmonella!I412+GraphSalmonella!$E$58</f>
        <v>3.2744886177804045</v>
      </c>
      <c r="U412" s="10">
        <f>GraphSalmonella!$H$57*Salmonella!I412+GraphSalmonella!$H$58</f>
        <v>0.58010622333732087</v>
      </c>
      <c r="X412" s="10">
        <f>GraphSalmonella!$B$80*Salmonella!I412+GraphSalmonella!$B$81</f>
        <v>0.58208601784486369</v>
      </c>
      <c r="Y412" s="10">
        <f>GraphSalmonella!$E$80*Salmonella!I412+GraphSalmonella!$E$81</f>
        <v>0.59495409397555665</v>
      </c>
      <c r="Z412" s="10">
        <f>GraphSalmonella!$H$80*Salmonella!I412+GraphSalmonella!$H$81</f>
        <v>0.29719653009134195</v>
      </c>
    </row>
    <row r="413" spans="1:26" x14ac:dyDescent="0.2">
      <c r="A413" s="1" t="s">
        <v>66</v>
      </c>
      <c r="B413" s="1" t="s">
        <v>67</v>
      </c>
      <c r="D413" t="s">
        <v>44</v>
      </c>
      <c r="E413" s="1" t="s">
        <v>89</v>
      </c>
      <c r="F413" s="1"/>
      <c r="G413" s="11" t="s">
        <v>518</v>
      </c>
      <c r="H413" s="4">
        <v>6.9</v>
      </c>
      <c r="I413" s="4">
        <v>57.2</v>
      </c>
      <c r="J413" s="11">
        <v>55</v>
      </c>
      <c r="L413" s="12">
        <f t="shared" si="10"/>
        <v>1.7403626894942439</v>
      </c>
      <c r="M413" s="11">
        <f>GraphSalmonella!$B$10-(Salmonella!I413-GraphSalmonella!$B$6)/GraphSalmonella!$B$5</f>
        <v>0.57931100083447151</v>
      </c>
      <c r="N413" s="2" t="s">
        <v>1226</v>
      </c>
      <c r="O413">
        <v>1996</v>
      </c>
      <c r="S413" s="10">
        <f>GraphSalmonella!$B$57*Salmonella!I413+GraphSalmonella!$B$58</f>
        <v>0.51813599117844245</v>
      </c>
      <c r="T413" s="10">
        <f>GraphSalmonella!$E$57*Salmonella!I413+GraphSalmonella!$E$58</f>
        <v>3.2744886177804045</v>
      </c>
      <c r="U413" s="10">
        <f>GraphSalmonella!$H$57*Salmonella!I413+GraphSalmonella!$H$58</f>
        <v>0.58010622333732087</v>
      </c>
      <c r="X413" s="10">
        <f>GraphSalmonella!$B$80*Salmonella!I413+GraphSalmonella!$B$81</f>
        <v>0.58208601784486369</v>
      </c>
      <c r="Y413" s="10">
        <f>GraphSalmonella!$E$80*Salmonella!I413+GraphSalmonella!$E$81</f>
        <v>0.59495409397555665</v>
      </c>
      <c r="Z413" s="10">
        <f>GraphSalmonella!$H$80*Salmonella!I413+GraphSalmonella!$H$81</f>
        <v>0.29719653009134195</v>
      </c>
    </row>
    <row r="414" spans="1:26" x14ac:dyDescent="0.2">
      <c r="A414" s="1" t="s">
        <v>66</v>
      </c>
      <c r="B414" s="1" t="s">
        <v>85</v>
      </c>
      <c r="D414" t="s">
        <v>44</v>
      </c>
      <c r="E414" s="1" t="s">
        <v>89</v>
      </c>
      <c r="F414" s="1"/>
      <c r="G414" s="11" t="s">
        <v>518</v>
      </c>
      <c r="H414" s="4">
        <v>6.9</v>
      </c>
      <c r="I414" s="4">
        <v>57.2</v>
      </c>
      <c r="J414" s="11">
        <v>21.3</v>
      </c>
      <c r="L414" s="12">
        <f t="shared" ref="L414:L477" si="11">LOG(J414)</f>
        <v>1.3283796034387378</v>
      </c>
      <c r="M414" s="11">
        <f>GraphSalmonella!$B$10-(Salmonella!I414-GraphSalmonella!$B$6)/GraphSalmonella!$B$5</f>
        <v>0.57931100083447151</v>
      </c>
      <c r="N414" s="2" t="s">
        <v>1226</v>
      </c>
      <c r="O414">
        <v>1996</v>
      </c>
      <c r="S414" s="10">
        <f>GraphSalmonella!$B$57*Salmonella!I414+GraphSalmonella!$B$58</f>
        <v>0.51813599117844245</v>
      </c>
      <c r="T414" s="10">
        <f>GraphSalmonella!$E$57*Salmonella!I414+GraphSalmonella!$E$58</f>
        <v>3.2744886177804045</v>
      </c>
      <c r="U414" s="10">
        <f>GraphSalmonella!$H$57*Salmonella!I414+GraphSalmonella!$H$58</f>
        <v>0.58010622333732087</v>
      </c>
      <c r="X414" s="10">
        <f>GraphSalmonella!$B$80*Salmonella!I414+GraphSalmonella!$B$81</f>
        <v>0.58208601784486369</v>
      </c>
      <c r="Y414" s="10">
        <f>GraphSalmonella!$E$80*Salmonella!I414+GraphSalmonella!$E$81</f>
        <v>0.59495409397555665</v>
      </c>
      <c r="Z414" s="10">
        <f>GraphSalmonella!$H$80*Salmonella!I414+GraphSalmonella!$H$81</f>
        <v>0.29719653009134195</v>
      </c>
    </row>
    <row r="415" spans="1:26" x14ac:dyDescent="0.2">
      <c r="A415" s="1" t="s">
        <v>66</v>
      </c>
      <c r="B415" s="1" t="s">
        <v>70</v>
      </c>
      <c r="D415" t="s">
        <v>44</v>
      </c>
      <c r="E415" s="1" t="s">
        <v>89</v>
      </c>
      <c r="F415" s="1"/>
      <c r="G415" s="11" t="s">
        <v>518</v>
      </c>
      <c r="H415" s="4">
        <v>6.9</v>
      </c>
      <c r="I415" s="4">
        <v>57.2</v>
      </c>
      <c r="J415" s="11">
        <v>30.5</v>
      </c>
      <c r="L415" s="12">
        <f t="shared" si="11"/>
        <v>1.4842998393467859</v>
      </c>
      <c r="M415" s="11">
        <f>GraphSalmonella!$B$10-(Salmonella!I415-GraphSalmonella!$B$6)/GraphSalmonella!$B$5</f>
        <v>0.57931100083447151</v>
      </c>
      <c r="N415" s="2" t="s">
        <v>1226</v>
      </c>
      <c r="O415">
        <v>1996</v>
      </c>
      <c r="S415" s="10">
        <f>GraphSalmonella!$B$57*Salmonella!I415+GraphSalmonella!$B$58</f>
        <v>0.51813599117844245</v>
      </c>
      <c r="T415" s="10">
        <f>GraphSalmonella!$E$57*Salmonella!I415+GraphSalmonella!$E$58</f>
        <v>3.2744886177804045</v>
      </c>
      <c r="U415" s="10">
        <f>GraphSalmonella!$H$57*Salmonella!I415+GraphSalmonella!$H$58</f>
        <v>0.58010622333732087</v>
      </c>
      <c r="X415" s="10">
        <f>GraphSalmonella!$B$80*Salmonella!I415+GraphSalmonella!$B$81</f>
        <v>0.58208601784486369</v>
      </c>
      <c r="Y415" s="10">
        <f>GraphSalmonella!$E$80*Salmonella!I415+GraphSalmonella!$E$81</f>
        <v>0.59495409397555665</v>
      </c>
      <c r="Z415" s="10">
        <f>GraphSalmonella!$H$80*Salmonella!I415+GraphSalmonella!$H$81</f>
        <v>0.29719653009134195</v>
      </c>
    </row>
    <row r="416" spans="1:26" x14ac:dyDescent="0.2">
      <c r="A416" s="1" t="s">
        <v>66</v>
      </c>
      <c r="B416" s="1" t="s">
        <v>87</v>
      </c>
      <c r="D416" t="s">
        <v>44</v>
      </c>
      <c r="E416" s="1" t="s">
        <v>89</v>
      </c>
      <c r="G416" s="11" t="s">
        <v>517</v>
      </c>
      <c r="H416" s="4">
        <v>6.9</v>
      </c>
      <c r="I416" s="4">
        <v>57.2</v>
      </c>
      <c r="J416" s="11">
        <v>26.5</v>
      </c>
      <c r="L416" s="12">
        <f t="shared" si="11"/>
        <v>1.4232458739368079</v>
      </c>
      <c r="M416" s="11">
        <f>GraphSalmonella!$B$10-(Salmonella!I416-GraphSalmonella!$B$6)/GraphSalmonella!$B$5</f>
        <v>0.57931100083447151</v>
      </c>
      <c r="N416" s="2" t="s">
        <v>1226</v>
      </c>
      <c r="O416">
        <v>1996</v>
      </c>
      <c r="S416" s="10">
        <f>GraphSalmonella!$B$57*Salmonella!I416+GraphSalmonella!$B$58</f>
        <v>0.51813599117844245</v>
      </c>
      <c r="T416" s="10">
        <f>GraphSalmonella!$E$57*Salmonella!I416+GraphSalmonella!$E$58</f>
        <v>3.2744886177804045</v>
      </c>
      <c r="U416" s="10">
        <f>GraphSalmonella!$H$57*Salmonella!I416+GraphSalmonella!$H$58</f>
        <v>0.58010622333732087</v>
      </c>
      <c r="X416" s="10">
        <f>GraphSalmonella!$B$80*Salmonella!I416+GraphSalmonella!$B$81</f>
        <v>0.58208601784486369</v>
      </c>
      <c r="Y416" s="10">
        <f>GraphSalmonella!$E$80*Salmonella!I416+GraphSalmonella!$E$81</f>
        <v>0.59495409397555665</v>
      </c>
      <c r="Z416" s="10">
        <f>GraphSalmonella!$H$80*Salmonella!I416+GraphSalmonella!$H$81</f>
        <v>0.29719653009134195</v>
      </c>
    </row>
    <row r="417" spans="1:26" x14ac:dyDescent="0.2">
      <c r="A417" s="1" t="s">
        <v>66</v>
      </c>
      <c r="B417" s="1" t="s">
        <v>80</v>
      </c>
      <c r="D417" t="s">
        <v>44</v>
      </c>
      <c r="E417" s="1" t="s">
        <v>89</v>
      </c>
      <c r="F417" s="1"/>
      <c r="G417" s="11" t="s">
        <v>517</v>
      </c>
      <c r="H417" s="4">
        <v>6.9</v>
      </c>
      <c r="I417" s="4">
        <v>57.2</v>
      </c>
      <c r="J417" s="11">
        <v>35.5</v>
      </c>
      <c r="L417" s="12">
        <f t="shared" si="11"/>
        <v>1.550228353055094</v>
      </c>
      <c r="M417" s="11">
        <f>GraphSalmonella!$B$10-(Salmonella!I417-GraphSalmonella!$B$6)/GraphSalmonella!$B$5</f>
        <v>0.57931100083447151</v>
      </c>
      <c r="N417" s="2" t="s">
        <v>1226</v>
      </c>
      <c r="O417">
        <v>1996</v>
      </c>
      <c r="S417" s="10">
        <f>GraphSalmonella!$B$57*Salmonella!I417+GraphSalmonella!$B$58</f>
        <v>0.51813599117844245</v>
      </c>
      <c r="T417" s="10">
        <f>GraphSalmonella!$E$57*Salmonella!I417+GraphSalmonella!$E$58</f>
        <v>3.2744886177804045</v>
      </c>
      <c r="U417" s="10">
        <f>GraphSalmonella!$H$57*Salmonella!I417+GraphSalmonella!$H$58</f>
        <v>0.58010622333732087</v>
      </c>
      <c r="X417" s="10">
        <f>GraphSalmonella!$B$80*Salmonella!I417+GraphSalmonella!$B$81</f>
        <v>0.58208601784486369</v>
      </c>
      <c r="Y417" s="10">
        <f>GraphSalmonella!$E$80*Salmonella!I417+GraphSalmonella!$E$81</f>
        <v>0.59495409397555665</v>
      </c>
      <c r="Z417" s="10">
        <f>GraphSalmonella!$H$80*Salmonella!I417+GraphSalmonella!$H$81</f>
        <v>0.29719653009134195</v>
      </c>
    </row>
    <row r="418" spans="1:26" x14ac:dyDescent="0.2">
      <c r="A418" s="1" t="s">
        <v>66</v>
      </c>
      <c r="B418" s="1" t="s">
        <v>90</v>
      </c>
      <c r="D418" t="s">
        <v>44</v>
      </c>
      <c r="E418" s="1" t="s">
        <v>89</v>
      </c>
      <c r="F418" s="1"/>
      <c r="G418" s="11" t="s">
        <v>517</v>
      </c>
      <c r="H418" s="4">
        <v>6.9</v>
      </c>
      <c r="I418" s="4">
        <v>57.2</v>
      </c>
      <c r="J418" s="11">
        <v>5.3</v>
      </c>
      <c r="L418" s="12">
        <f t="shared" si="11"/>
        <v>0.72427586960078905</v>
      </c>
      <c r="M418" s="11">
        <f>GraphSalmonella!$B$10-(Salmonella!I418-GraphSalmonella!$B$6)/GraphSalmonella!$B$5</f>
        <v>0.57931100083447151</v>
      </c>
      <c r="N418" s="2" t="s">
        <v>1226</v>
      </c>
      <c r="O418">
        <v>1996</v>
      </c>
      <c r="S418" s="10">
        <f>GraphSalmonella!$B$57*Salmonella!I418+GraphSalmonella!$B$58</f>
        <v>0.51813599117844245</v>
      </c>
      <c r="T418" s="10">
        <f>GraphSalmonella!$E$57*Salmonella!I418+GraphSalmonella!$E$58</f>
        <v>3.2744886177804045</v>
      </c>
      <c r="U418" s="10">
        <f>GraphSalmonella!$H$57*Salmonella!I418+GraphSalmonella!$H$58</f>
        <v>0.58010622333732087</v>
      </c>
      <c r="X418" s="10">
        <f>GraphSalmonella!$B$80*Salmonella!I418+GraphSalmonella!$B$81</f>
        <v>0.58208601784486369</v>
      </c>
      <c r="Y418" s="10">
        <f>GraphSalmonella!$E$80*Salmonella!I418+GraphSalmonella!$E$81</f>
        <v>0.59495409397555665</v>
      </c>
      <c r="Z418" s="10">
        <f>GraphSalmonella!$H$80*Salmonella!I418+GraphSalmonella!$H$81</f>
        <v>0.29719653009134195</v>
      </c>
    </row>
    <row r="419" spans="1:26" x14ac:dyDescent="0.2">
      <c r="A419" s="1" t="s">
        <v>66</v>
      </c>
      <c r="B419" s="1" t="s">
        <v>88</v>
      </c>
      <c r="D419" t="s">
        <v>44</v>
      </c>
      <c r="E419" s="1" t="s">
        <v>89</v>
      </c>
      <c r="F419" s="1"/>
      <c r="G419" s="11" t="s">
        <v>517</v>
      </c>
      <c r="H419" s="4">
        <v>6.9</v>
      </c>
      <c r="I419" s="4">
        <v>57.2</v>
      </c>
      <c r="J419" s="11">
        <v>20</v>
      </c>
      <c r="L419" s="12">
        <f t="shared" si="11"/>
        <v>1.3010299956639813</v>
      </c>
      <c r="M419" s="11">
        <f>GraphSalmonella!$B$10-(Salmonella!I419-GraphSalmonella!$B$6)/GraphSalmonella!$B$5</f>
        <v>0.57931100083447151</v>
      </c>
      <c r="N419" s="2" t="s">
        <v>1226</v>
      </c>
      <c r="O419">
        <v>1996</v>
      </c>
      <c r="S419" s="10">
        <f>GraphSalmonella!$B$57*Salmonella!I419+GraphSalmonella!$B$58</f>
        <v>0.51813599117844245</v>
      </c>
      <c r="T419" s="10">
        <f>GraphSalmonella!$E$57*Salmonella!I419+GraphSalmonella!$E$58</f>
        <v>3.2744886177804045</v>
      </c>
      <c r="U419" s="10">
        <f>GraphSalmonella!$H$57*Salmonella!I419+GraphSalmonella!$H$58</f>
        <v>0.58010622333732087</v>
      </c>
      <c r="X419" s="10">
        <f>GraphSalmonella!$B$80*Salmonella!I419+GraphSalmonella!$B$81</f>
        <v>0.58208601784486369</v>
      </c>
      <c r="Y419" s="10">
        <f>GraphSalmonella!$E$80*Salmonella!I419+GraphSalmonella!$E$81</f>
        <v>0.59495409397555665</v>
      </c>
      <c r="Z419" s="10">
        <f>GraphSalmonella!$H$80*Salmonella!I419+GraphSalmonella!$H$81</f>
        <v>0.29719653009134195</v>
      </c>
    </row>
    <row r="420" spans="1:26" x14ac:dyDescent="0.2">
      <c r="A420" s="1" t="s">
        <v>66</v>
      </c>
      <c r="B420" s="1" t="s">
        <v>67</v>
      </c>
      <c r="D420" t="s">
        <v>44</v>
      </c>
      <c r="E420" s="1" t="s">
        <v>89</v>
      </c>
      <c r="F420" s="1"/>
      <c r="G420" s="11" t="s">
        <v>517</v>
      </c>
      <c r="H420" s="4">
        <v>6.9</v>
      </c>
      <c r="I420" s="4">
        <v>57.2</v>
      </c>
      <c r="J420" s="11">
        <v>48.3</v>
      </c>
      <c r="L420" s="12">
        <f t="shared" si="11"/>
        <v>1.6839471307515121</v>
      </c>
      <c r="M420" s="11">
        <f>GraphSalmonella!$B$10-(Salmonella!I420-GraphSalmonella!$B$6)/GraphSalmonella!$B$5</f>
        <v>0.57931100083447151</v>
      </c>
      <c r="N420" s="2" t="s">
        <v>1226</v>
      </c>
      <c r="O420">
        <v>1996</v>
      </c>
      <c r="S420" s="10">
        <f>GraphSalmonella!$B$57*Salmonella!I420+GraphSalmonella!$B$58</f>
        <v>0.51813599117844245</v>
      </c>
      <c r="T420" s="10">
        <f>GraphSalmonella!$E$57*Salmonella!I420+GraphSalmonella!$E$58</f>
        <v>3.2744886177804045</v>
      </c>
      <c r="U420" s="10">
        <f>GraphSalmonella!$H$57*Salmonella!I420+GraphSalmonella!$H$58</f>
        <v>0.58010622333732087</v>
      </c>
      <c r="X420" s="10">
        <f>GraphSalmonella!$B$80*Salmonella!I420+GraphSalmonella!$B$81</f>
        <v>0.58208601784486369</v>
      </c>
      <c r="Y420" s="10">
        <f>GraphSalmonella!$E$80*Salmonella!I420+GraphSalmonella!$E$81</f>
        <v>0.59495409397555665</v>
      </c>
      <c r="Z420" s="10">
        <f>GraphSalmonella!$H$80*Salmonella!I420+GraphSalmonella!$H$81</f>
        <v>0.29719653009134195</v>
      </c>
    </row>
    <row r="421" spans="1:26" x14ac:dyDescent="0.2">
      <c r="A421" s="1" t="s">
        <v>66</v>
      </c>
      <c r="B421" s="1" t="s">
        <v>85</v>
      </c>
      <c r="D421" t="s">
        <v>44</v>
      </c>
      <c r="E421" s="1" t="s">
        <v>89</v>
      </c>
      <c r="F421" s="1"/>
      <c r="G421" s="11" t="s">
        <v>517</v>
      </c>
      <c r="H421" s="4">
        <v>6.9</v>
      </c>
      <c r="I421" s="4">
        <v>57.2</v>
      </c>
      <c r="J421" s="11">
        <v>9.5</v>
      </c>
      <c r="L421" s="12">
        <f t="shared" si="11"/>
        <v>0.97772360528884772</v>
      </c>
      <c r="M421" s="11">
        <f>GraphSalmonella!$B$10-(Salmonella!I421-GraphSalmonella!$B$6)/GraphSalmonella!$B$5</f>
        <v>0.57931100083447151</v>
      </c>
      <c r="N421" s="2" t="s">
        <v>1226</v>
      </c>
      <c r="O421">
        <v>1996</v>
      </c>
      <c r="S421" s="10">
        <f>GraphSalmonella!$B$57*Salmonella!I421+GraphSalmonella!$B$58</f>
        <v>0.51813599117844245</v>
      </c>
      <c r="T421" s="10">
        <f>GraphSalmonella!$E$57*Salmonella!I421+GraphSalmonella!$E$58</f>
        <v>3.2744886177804045</v>
      </c>
      <c r="U421" s="10">
        <f>GraphSalmonella!$H$57*Salmonella!I421+GraphSalmonella!$H$58</f>
        <v>0.58010622333732087</v>
      </c>
      <c r="X421" s="10">
        <f>GraphSalmonella!$B$80*Salmonella!I421+GraphSalmonella!$B$81</f>
        <v>0.58208601784486369</v>
      </c>
      <c r="Y421" s="10">
        <f>GraphSalmonella!$E$80*Salmonella!I421+GraphSalmonella!$E$81</f>
        <v>0.59495409397555665</v>
      </c>
      <c r="Z421" s="10">
        <f>GraphSalmonella!$H$80*Salmonella!I421+GraphSalmonella!$H$81</f>
        <v>0.29719653009134195</v>
      </c>
    </row>
    <row r="422" spans="1:26" x14ac:dyDescent="0.2">
      <c r="A422" s="1" t="s">
        <v>66</v>
      </c>
      <c r="B422" s="1" t="s">
        <v>70</v>
      </c>
      <c r="D422" t="s">
        <v>44</v>
      </c>
      <c r="E422" s="1" t="s">
        <v>89</v>
      </c>
      <c r="F422" s="1"/>
      <c r="G422" s="11" t="s">
        <v>517</v>
      </c>
      <c r="H422" s="4">
        <v>6.9</v>
      </c>
      <c r="I422" s="4">
        <v>57.2</v>
      </c>
      <c r="J422" s="11">
        <v>14.3</v>
      </c>
      <c r="L422" s="12">
        <f t="shared" si="11"/>
        <v>1.1553360374650619</v>
      </c>
      <c r="M422" s="11">
        <f>GraphSalmonella!$B$10-(Salmonella!I422-GraphSalmonella!$B$6)/GraphSalmonella!$B$5</f>
        <v>0.57931100083447151</v>
      </c>
      <c r="N422" s="2" t="s">
        <v>1226</v>
      </c>
      <c r="O422">
        <v>1996</v>
      </c>
      <c r="S422" s="10">
        <f>GraphSalmonella!$B$57*Salmonella!I422+GraphSalmonella!$B$58</f>
        <v>0.51813599117844245</v>
      </c>
      <c r="T422" s="10">
        <f>GraphSalmonella!$E$57*Salmonella!I422+GraphSalmonella!$E$58</f>
        <v>3.2744886177804045</v>
      </c>
      <c r="U422" s="10">
        <f>GraphSalmonella!$H$57*Salmonella!I422+GraphSalmonella!$H$58</f>
        <v>0.58010622333732087</v>
      </c>
      <c r="X422" s="10">
        <f>GraphSalmonella!$B$80*Salmonella!I422+GraphSalmonella!$B$81</f>
        <v>0.58208601784486369</v>
      </c>
      <c r="Y422" s="10">
        <f>GraphSalmonella!$E$80*Salmonella!I422+GraphSalmonella!$E$81</f>
        <v>0.59495409397555665</v>
      </c>
      <c r="Z422" s="10">
        <f>GraphSalmonella!$H$80*Salmonella!I422+GraphSalmonella!$H$81</f>
        <v>0.29719653009134195</v>
      </c>
    </row>
    <row r="423" spans="1:26" x14ac:dyDescent="0.2">
      <c r="A423" s="1" t="s">
        <v>66</v>
      </c>
      <c r="B423" s="1" t="s">
        <v>87</v>
      </c>
      <c r="D423" t="s">
        <v>44</v>
      </c>
      <c r="E423" s="1" t="s">
        <v>89</v>
      </c>
      <c r="F423" s="1"/>
      <c r="G423" s="11" t="s">
        <v>515</v>
      </c>
      <c r="H423" s="4">
        <v>6.9</v>
      </c>
      <c r="I423" s="4">
        <v>57.2</v>
      </c>
      <c r="J423" s="11">
        <v>1.1000000000000001</v>
      </c>
      <c r="L423" s="12">
        <f t="shared" si="11"/>
        <v>4.1392685158225077E-2</v>
      </c>
      <c r="M423" s="11">
        <f>GraphSalmonella!$B$10-(Salmonella!I423-GraphSalmonella!$B$6)/GraphSalmonella!$B$5</f>
        <v>0.57931100083447151</v>
      </c>
      <c r="N423" s="2" t="s">
        <v>1226</v>
      </c>
      <c r="O423">
        <v>1996</v>
      </c>
      <c r="S423" s="10">
        <f>GraphSalmonella!$B$57*Salmonella!I423+GraphSalmonella!$B$58</f>
        <v>0.51813599117844245</v>
      </c>
      <c r="T423" s="10">
        <f>GraphSalmonella!$E$57*Salmonella!I423+GraphSalmonella!$E$58</f>
        <v>3.2744886177804045</v>
      </c>
      <c r="U423" s="10">
        <f>GraphSalmonella!$H$57*Salmonella!I423+GraphSalmonella!$H$58</f>
        <v>0.58010622333732087</v>
      </c>
      <c r="X423" s="10">
        <f>GraphSalmonella!$B$80*Salmonella!I423+GraphSalmonella!$B$81</f>
        <v>0.58208601784486369</v>
      </c>
      <c r="Y423" s="10">
        <f>GraphSalmonella!$E$80*Salmonella!I423+GraphSalmonella!$E$81</f>
        <v>0.59495409397555665</v>
      </c>
      <c r="Z423" s="10">
        <f>GraphSalmonella!$H$80*Salmonella!I423+GraphSalmonella!$H$81</f>
        <v>0.29719653009134195</v>
      </c>
    </row>
    <row r="424" spans="1:26" x14ac:dyDescent="0.2">
      <c r="A424" s="1" t="s">
        <v>66</v>
      </c>
      <c r="B424" s="1" t="s">
        <v>80</v>
      </c>
      <c r="D424" t="s">
        <v>44</v>
      </c>
      <c r="E424" s="1" t="s">
        <v>89</v>
      </c>
      <c r="F424" s="1"/>
      <c r="G424" s="11" t="s">
        <v>515</v>
      </c>
      <c r="H424" s="4">
        <v>6.9</v>
      </c>
      <c r="I424" s="4">
        <v>57.2</v>
      </c>
      <c r="J424" s="11">
        <v>1</v>
      </c>
      <c r="L424" s="12">
        <f t="shared" si="11"/>
        <v>0</v>
      </c>
      <c r="M424" s="11">
        <f>GraphSalmonella!$B$10-(Salmonella!I424-GraphSalmonella!$B$6)/GraphSalmonella!$B$5</f>
        <v>0.57931100083447151</v>
      </c>
      <c r="N424" s="2" t="s">
        <v>1226</v>
      </c>
      <c r="O424">
        <v>1996</v>
      </c>
      <c r="S424" s="10">
        <f>GraphSalmonella!$B$57*Salmonella!I424+GraphSalmonella!$B$58</f>
        <v>0.51813599117844245</v>
      </c>
      <c r="T424" s="10">
        <f>GraphSalmonella!$E$57*Salmonella!I424+GraphSalmonella!$E$58</f>
        <v>3.2744886177804045</v>
      </c>
      <c r="U424" s="10">
        <f>GraphSalmonella!$H$57*Salmonella!I424+GraphSalmonella!$H$58</f>
        <v>0.58010622333732087</v>
      </c>
      <c r="X424" s="10">
        <f>GraphSalmonella!$B$80*Salmonella!I424+GraphSalmonella!$B$81</f>
        <v>0.58208601784486369</v>
      </c>
      <c r="Y424" s="10">
        <f>GraphSalmonella!$E$80*Salmonella!I424+GraphSalmonella!$E$81</f>
        <v>0.59495409397555665</v>
      </c>
      <c r="Z424" s="10">
        <f>GraphSalmonella!$H$80*Salmonella!I424+GraphSalmonella!$H$81</f>
        <v>0.29719653009134195</v>
      </c>
    </row>
    <row r="425" spans="1:26" x14ac:dyDescent="0.2">
      <c r="A425" s="1" t="s">
        <v>66</v>
      </c>
      <c r="B425" s="1" t="s">
        <v>80</v>
      </c>
      <c r="D425" t="s">
        <v>44</v>
      </c>
      <c r="E425" s="1" t="s">
        <v>89</v>
      </c>
      <c r="F425" s="1"/>
      <c r="G425" s="11" t="s">
        <v>515</v>
      </c>
      <c r="H425" s="4">
        <v>6.9</v>
      </c>
      <c r="I425" s="4">
        <v>57.2</v>
      </c>
      <c r="J425" s="11">
        <v>1.1000000000000001</v>
      </c>
      <c r="L425" s="12">
        <f t="shared" si="11"/>
        <v>4.1392685158225077E-2</v>
      </c>
      <c r="M425" s="11">
        <f>GraphSalmonella!$B$10-(Salmonella!I425-GraphSalmonella!$B$6)/GraphSalmonella!$B$5</f>
        <v>0.57931100083447151</v>
      </c>
      <c r="N425" s="2" t="s">
        <v>1226</v>
      </c>
      <c r="O425">
        <v>1996</v>
      </c>
      <c r="S425" s="10">
        <f>GraphSalmonella!$B$57*Salmonella!I425+GraphSalmonella!$B$58</f>
        <v>0.51813599117844245</v>
      </c>
      <c r="T425" s="10">
        <f>GraphSalmonella!$E$57*Salmonella!I425+GraphSalmonella!$E$58</f>
        <v>3.2744886177804045</v>
      </c>
      <c r="U425" s="10">
        <f>GraphSalmonella!$H$57*Salmonella!I425+GraphSalmonella!$H$58</f>
        <v>0.58010622333732087</v>
      </c>
      <c r="X425" s="10">
        <f>GraphSalmonella!$B$80*Salmonella!I425+GraphSalmonella!$B$81</f>
        <v>0.58208601784486369</v>
      </c>
      <c r="Y425" s="10">
        <f>GraphSalmonella!$E$80*Salmonella!I425+GraphSalmonella!$E$81</f>
        <v>0.59495409397555665</v>
      </c>
      <c r="Z425" s="10">
        <f>GraphSalmonella!$H$80*Salmonella!I425+GraphSalmonella!$H$81</f>
        <v>0.29719653009134195</v>
      </c>
    </row>
    <row r="426" spans="1:26" x14ac:dyDescent="0.2">
      <c r="A426" s="1" t="s">
        <v>66</v>
      </c>
      <c r="B426" s="1" t="s">
        <v>90</v>
      </c>
      <c r="D426" t="s">
        <v>44</v>
      </c>
      <c r="E426" s="1" t="s">
        <v>89</v>
      </c>
      <c r="F426" s="1"/>
      <c r="G426" s="11" t="s">
        <v>515</v>
      </c>
      <c r="H426" s="4">
        <v>6.9</v>
      </c>
      <c r="I426" s="4">
        <v>57.2</v>
      </c>
      <c r="J426" s="11">
        <v>0.9</v>
      </c>
      <c r="L426" s="12">
        <f t="shared" si="11"/>
        <v>-4.5757490560675115E-2</v>
      </c>
      <c r="M426" s="11">
        <f>GraphSalmonella!$B$10-(Salmonella!I426-GraphSalmonella!$B$6)/GraphSalmonella!$B$5</f>
        <v>0.57931100083447151</v>
      </c>
      <c r="N426" s="2" t="s">
        <v>1226</v>
      </c>
      <c r="O426">
        <v>1996</v>
      </c>
      <c r="S426" s="10">
        <f>GraphSalmonella!$B$57*Salmonella!I426+GraphSalmonella!$B$58</f>
        <v>0.51813599117844245</v>
      </c>
      <c r="T426" s="10">
        <f>GraphSalmonella!$E$57*Salmonella!I426+GraphSalmonella!$E$58</f>
        <v>3.2744886177804045</v>
      </c>
      <c r="U426" s="10">
        <f>GraphSalmonella!$H$57*Salmonella!I426+GraphSalmonella!$H$58</f>
        <v>0.58010622333732087</v>
      </c>
      <c r="X426" s="10">
        <f>GraphSalmonella!$B$80*Salmonella!I426+GraphSalmonella!$B$81</f>
        <v>0.58208601784486369</v>
      </c>
      <c r="Y426" s="10">
        <f>GraphSalmonella!$E$80*Salmonella!I426+GraphSalmonella!$E$81</f>
        <v>0.59495409397555665</v>
      </c>
      <c r="Z426" s="10">
        <f>GraphSalmonella!$H$80*Salmonella!I426+GraphSalmonella!$H$81</f>
        <v>0.29719653009134195</v>
      </c>
    </row>
    <row r="427" spans="1:26" x14ac:dyDescent="0.2">
      <c r="A427" s="1" t="s">
        <v>66</v>
      </c>
      <c r="B427" s="1" t="s">
        <v>88</v>
      </c>
      <c r="D427" t="s">
        <v>44</v>
      </c>
      <c r="E427" s="1" t="s">
        <v>89</v>
      </c>
      <c r="F427" s="1"/>
      <c r="G427" s="11" t="s">
        <v>515</v>
      </c>
      <c r="H427" s="4">
        <v>6.9</v>
      </c>
      <c r="I427" s="4">
        <v>57.2</v>
      </c>
      <c r="J427" s="11">
        <v>1.1000000000000001</v>
      </c>
      <c r="L427" s="12">
        <f t="shared" si="11"/>
        <v>4.1392685158225077E-2</v>
      </c>
      <c r="M427" s="11">
        <f>GraphSalmonella!$B$10-(Salmonella!I427-GraphSalmonella!$B$6)/GraphSalmonella!$B$5</f>
        <v>0.57931100083447151</v>
      </c>
      <c r="N427" s="2" t="s">
        <v>1226</v>
      </c>
      <c r="O427">
        <v>1996</v>
      </c>
      <c r="S427" s="10">
        <f>GraphSalmonella!$B$57*Salmonella!I427+GraphSalmonella!$B$58</f>
        <v>0.51813599117844245</v>
      </c>
      <c r="T427" s="10">
        <f>GraphSalmonella!$E$57*Salmonella!I427+GraphSalmonella!$E$58</f>
        <v>3.2744886177804045</v>
      </c>
      <c r="U427" s="10">
        <f>GraphSalmonella!$H$57*Salmonella!I427+GraphSalmonella!$H$58</f>
        <v>0.58010622333732087</v>
      </c>
      <c r="X427" s="10">
        <f>GraphSalmonella!$B$80*Salmonella!I427+GraphSalmonella!$B$81</f>
        <v>0.58208601784486369</v>
      </c>
      <c r="Y427" s="10">
        <f>GraphSalmonella!$E$80*Salmonella!I427+GraphSalmonella!$E$81</f>
        <v>0.59495409397555665</v>
      </c>
      <c r="Z427" s="10">
        <f>GraphSalmonella!$H$80*Salmonella!I427+GraphSalmonella!$H$81</f>
        <v>0.29719653009134195</v>
      </c>
    </row>
    <row r="428" spans="1:26" x14ac:dyDescent="0.2">
      <c r="A428" s="1" t="s">
        <v>66</v>
      </c>
      <c r="B428" s="1" t="s">
        <v>67</v>
      </c>
      <c r="D428" t="s">
        <v>44</v>
      </c>
      <c r="E428" s="1" t="s">
        <v>89</v>
      </c>
      <c r="F428" s="1"/>
      <c r="G428" s="11" t="s">
        <v>515</v>
      </c>
      <c r="H428" s="4">
        <v>6.9</v>
      </c>
      <c r="I428" s="4">
        <v>57.2</v>
      </c>
      <c r="J428" s="11">
        <v>14.5</v>
      </c>
      <c r="L428" s="12">
        <f t="shared" si="11"/>
        <v>1.1613680022349748</v>
      </c>
      <c r="M428" s="11">
        <f>GraphSalmonella!$B$10-(Salmonella!I428-GraphSalmonella!$B$6)/GraphSalmonella!$B$5</f>
        <v>0.57931100083447151</v>
      </c>
      <c r="N428" s="2" t="s">
        <v>1226</v>
      </c>
      <c r="O428">
        <v>1996</v>
      </c>
      <c r="S428" s="10">
        <f>GraphSalmonella!$B$57*Salmonella!I428+GraphSalmonella!$B$58</f>
        <v>0.51813599117844245</v>
      </c>
      <c r="T428" s="10">
        <f>GraphSalmonella!$E$57*Salmonella!I428+GraphSalmonella!$E$58</f>
        <v>3.2744886177804045</v>
      </c>
      <c r="U428" s="10">
        <f>GraphSalmonella!$H$57*Salmonella!I428+GraphSalmonella!$H$58</f>
        <v>0.58010622333732087</v>
      </c>
      <c r="X428" s="10">
        <f>GraphSalmonella!$B$80*Salmonella!I428+GraphSalmonella!$B$81</f>
        <v>0.58208601784486369</v>
      </c>
      <c r="Y428" s="10">
        <f>GraphSalmonella!$E$80*Salmonella!I428+GraphSalmonella!$E$81</f>
        <v>0.59495409397555665</v>
      </c>
      <c r="Z428" s="10">
        <f>GraphSalmonella!$H$80*Salmonella!I428+GraphSalmonella!$H$81</f>
        <v>0.29719653009134195</v>
      </c>
    </row>
    <row r="429" spans="1:26" x14ac:dyDescent="0.2">
      <c r="A429" s="1" t="s">
        <v>66</v>
      </c>
      <c r="B429" s="1" t="s">
        <v>85</v>
      </c>
      <c r="D429" t="s">
        <v>44</v>
      </c>
      <c r="E429" s="1" t="s">
        <v>89</v>
      </c>
      <c r="F429" s="1"/>
      <c r="G429" s="11" t="s">
        <v>515</v>
      </c>
      <c r="H429" s="4">
        <v>6.9</v>
      </c>
      <c r="I429" s="4">
        <v>57.2</v>
      </c>
      <c r="J429" s="11">
        <v>0.8</v>
      </c>
      <c r="L429" s="12">
        <f t="shared" si="11"/>
        <v>-9.6910013008056392E-2</v>
      </c>
      <c r="M429" s="11">
        <f>GraphSalmonella!$B$10-(Salmonella!I429-GraphSalmonella!$B$6)/GraphSalmonella!$B$5</f>
        <v>0.57931100083447151</v>
      </c>
      <c r="N429" s="2" t="s">
        <v>1226</v>
      </c>
      <c r="O429">
        <v>1996</v>
      </c>
      <c r="S429" s="10">
        <f>GraphSalmonella!$B$57*Salmonella!I429+GraphSalmonella!$B$58</f>
        <v>0.51813599117844245</v>
      </c>
      <c r="T429" s="10">
        <f>GraphSalmonella!$E$57*Salmonella!I429+GraphSalmonella!$E$58</f>
        <v>3.2744886177804045</v>
      </c>
      <c r="U429" s="10">
        <f>GraphSalmonella!$H$57*Salmonella!I429+GraphSalmonella!$H$58</f>
        <v>0.58010622333732087</v>
      </c>
      <c r="X429" s="10">
        <f>GraphSalmonella!$B$80*Salmonella!I429+GraphSalmonella!$B$81</f>
        <v>0.58208601784486369</v>
      </c>
      <c r="Y429" s="10">
        <f>GraphSalmonella!$E$80*Salmonella!I429+GraphSalmonella!$E$81</f>
        <v>0.59495409397555665</v>
      </c>
      <c r="Z429" s="10">
        <f>GraphSalmonella!$H$80*Salmonella!I429+GraphSalmonella!$H$81</f>
        <v>0.29719653009134195</v>
      </c>
    </row>
    <row r="430" spans="1:26" x14ac:dyDescent="0.2">
      <c r="A430" s="1" t="s">
        <v>66</v>
      </c>
      <c r="B430" s="1" t="s">
        <v>70</v>
      </c>
      <c r="D430" t="s">
        <v>44</v>
      </c>
      <c r="E430" s="1" t="s">
        <v>89</v>
      </c>
      <c r="F430" s="1"/>
      <c r="G430" s="11" t="s">
        <v>515</v>
      </c>
      <c r="H430" s="4">
        <v>6.9</v>
      </c>
      <c r="I430" s="4">
        <v>57.2</v>
      </c>
      <c r="J430" s="11">
        <v>1.1000000000000001</v>
      </c>
      <c r="L430" s="12">
        <f t="shared" si="11"/>
        <v>4.1392685158225077E-2</v>
      </c>
      <c r="M430" s="11">
        <f>GraphSalmonella!$B$10-(Salmonella!I430-GraphSalmonella!$B$6)/GraphSalmonella!$B$5</f>
        <v>0.57931100083447151</v>
      </c>
      <c r="N430" s="2" t="s">
        <v>1226</v>
      </c>
      <c r="O430">
        <v>1996</v>
      </c>
      <c r="S430" s="10">
        <f>GraphSalmonella!$B$57*Salmonella!I430+GraphSalmonella!$B$58</f>
        <v>0.51813599117844245</v>
      </c>
      <c r="T430" s="10">
        <f>GraphSalmonella!$E$57*Salmonella!I430+GraphSalmonella!$E$58</f>
        <v>3.2744886177804045</v>
      </c>
      <c r="U430" s="10">
        <f>GraphSalmonella!$H$57*Salmonella!I430+GraphSalmonella!$H$58</f>
        <v>0.58010622333732087</v>
      </c>
      <c r="X430" s="10">
        <f>GraphSalmonella!$B$80*Salmonella!I430+GraphSalmonella!$B$81</f>
        <v>0.58208601784486369</v>
      </c>
      <c r="Y430" s="10">
        <f>GraphSalmonella!$E$80*Salmonella!I430+GraphSalmonella!$E$81</f>
        <v>0.59495409397555665</v>
      </c>
      <c r="Z430" s="10">
        <f>GraphSalmonella!$H$80*Salmonella!I430+GraphSalmonella!$H$81</f>
        <v>0.29719653009134195</v>
      </c>
    </row>
    <row r="431" spans="1:26" x14ac:dyDescent="0.2">
      <c r="A431" s="1" t="s">
        <v>66</v>
      </c>
      <c r="B431" s="1" t="s">
        <v>87</v>
      </c>
      <c r="D431" t="s">
        <v>44</v>
      </c>
      <c r="E431" s="1" t="s">
        <v>89</v>
      </c>
      <c r="F431" s="1"/>
      <c r="I431" s="4">
        <v>57</v>
      </c>
      <c r="J431" s="11">
        <v>11.7</v>
      </c>
      <c r="L431" s="12">
        <f t="shared" si="11"/>
        <v>1.0681858617461617</v>
      </c>
      <c r="M431" s="11">
        <f>GraphSalmonella!$B$10-(Salmonella!I431-GraphSalmonella!$B$6)/GraphSalmonella!$B$5</f>
        <v>0.60131721921482906</v>
      </c>
      <c r="N431" s="2" t="s">
        <v>1226</v>
      </c>
      <c r="O431">
        <v>1996</v>
      </c>
      <c r="S431" s="10">
        <f>GraphSalmonella!$B$57*Salmonella!I431+GraphSalmonella!$B$58</f>
        <v>0.53009404539071348</v>
      </c>
      <c r="T431" s="10">
        <f>GraphSalmonella!$E$57*Salmonella!I431+GraphSalmonella!$E$58</f>
        <v>3.2843075221502183</v>
      </c>
      <c r="U431" s="10">
        <f>GraphSalmonella!$H$57*Salmonella!I431+GraphSalmonella!$H$58</f>
        <v>0.60210748793194213</v>
      </c>
      <c r="X431" s="10">
        <f>GraphSalmonella!$B$80*Salmonella!I431+GraphSalmonella!$B$81</f>
        <v>0.6041028937858588</v>
      </c>
      <c r="Y431" s="10">
        <f>GraphSalmonella!$E$80*Salmonella!I431+GraphSalmonella!$E$81</f>
        <v>0.61727995735019991</v>
      </c>
      <c r="Z431" s="10">
        <f>GraphSalmonella!$H$80*Salmonella!I431+GraphSalmonella!$H$81</f>
        <v>0.32303290273881835</v>
      </c>
    </row>
    <row r="432" spans="1:26" x14ac:dyDescent="0.2">
      <c r="A432" s="1" t="s">
        <v>66</v>
      </c>
      <c r="B432" s="1" t="s">
        <v>80</v>
      </c>
      <c r="D432" t="s">
        <v>44</v>
      </c>
      <c r="E432" s="1" t="s">
        <v>89</v>
      </c>
      <c r="F432" s="1"/>
      <c r="I432" s="4">
        <v>57</v>
      </c>
      <c r="J432" s="11">
        <v>6.7</v>
      </c>
      <c r="L432" s="12">
        <f t="shared" si="11"/>
        <v>0.82607480270082645</v>
      </c>
      <c r="M432" s="11">
        <f>GraphSalmonella!$B$10-(Salmonella!I432-GraphSalmonella!$B$6)/GraphSalmonella!$B$5</f>
        <v>0.60131721921482906</v>
      </c>
      <c r="N432" s="2" t="s">
        <v>1226</v>
      </c>
      <c r="O432">
        <v>1996</v>
      </c>
      <c r="S432" s="10">
        <f>GraphSalmonella!$B$57*Salmonella!I432+GraphSalmonella!$B$58</f>
        <v>0.53009404539071348</v>
      </c>
      <c r="T432" s="10">
        <f>GraphSalmonella!$E$57*Salmonella!I432+GraphSalmonella!$E$58</f>
        <v>3.2843075221502183</v>
      </c>
      <c r="U432" s="10">
        <f>GraphSalmonella!$H$57*Salmonella!I432+GraphSalmonella!$H$58</f>
        <v>0.60210748793194213</v>
      </c>
      <c r="X432" s="10">
        <f>GraphSalmonella!$B$80*Salmonella!I432+GraphSalmonella!$B$81</f>
        <v>0.6041028937858588</v>
      </c>
      <c r="Y432" s="10">
        <f>GraphSalmonella!$E$80*Salmonella!I432+GraphSalmonella!$E$81</f>
        <v>0.61727995735019991</v>
      </c>
      <c r="Z432" s="10">
        <f>GraphSalmonella!$H$80*Salmonella!I432+GraphSalmonella!$H$81</f>
        <v>0.32303290273881835</v>
      </c>
    </row>
    <row r="433" spans="1:26" x14ac:dyDescent="0.2">
      <c r="A433" s="1" t="s">
        <v>66</v>
      </c>
      <c r="B433" s="1" t="s">
        <v>95</v>
      </c>
      <c r="D433" t="s">
        <v>44</v>
      </c>
      <c r="E433" s="1" t="s">
        <v>89</v>
      </c>
      <c r="F433" s="1"/>
      <c r="I433" s="4">
        <v>57</v>
      </c>
      <c r="J433" s="11">
        <v>6.2</v>
      </c>
      <c r="L433" s="12">
        <f t="shared" si="11"/>
        <v>0.79239168949825389</v>
      </c>
      <c r="M433" s="11">
        <f>GraphSalmonella!$B$10-(Salmonella!I433-GraphSalmonella!$B$6)/GraphSalmonella!$B$5</f>
        <v>0.60131721921482906</v>
      </c>
      <c r="N433" s="2" t="s">
        <v>1226</v>
      </c>
      <c r="O433">
        <v>1996</v>
      </c>
      <c r="S433" s="10">
        <f>GraphSalmonella!$B$57*Salmonella!I433+GraphSalmonella!$B$58</f>
        <v>0.53009404539071348</v>
      </c>
      <c r="T433" s="10">
        <f>GraphSalmonella!$E$57*Salmonella!I433+GraphSalmonella!$E$58</f>
        <v>3.2843075221502183</v>
      </c>
      <c r="U433" s="10">
        <f>GraphSalmonella!$H$57*Salmonella!I433+GraphSalmonella!$H$58</f>
        <v>0.60210748793194213</v>
      </c>
      <c r="X433" s="10">
        <f>GraphSalmonella!$B$80*Salmonella!I433+GraphSalmonella!$B$81</f>
        <v>0.6041028937858588</v>
      </c>
      <c r="Y433" s="10">
        <f>GraphSalmonella!$E$80*Salmonella!I433+GraphSalmonella!$E$81</f>
        <v>0.61727995735019991</v>
      </c>
      <c r="Z433" s="10">
        <f>GraphSalmonella!$H$80*Salmonella!I433+GraphSalmonella!$H$81</f>
        <v>0.32303290273881835</v>
      </c>
    </row>
    <row r="434" spans="1:26" x14ac:dyDescent="0.2">
      <c r="A434" s="1" t="s">
        <v>66</v>
      </c>
      <c r="B434" s="1" t="s">
        <v>90</v>
      </c>
      <c r="D434" t="s">
        <v>44</v>
      </c>
      <c r="E434" s="1" t="s">
        <v>89</v>
      </c>
      <c r="F434" s="1"/>
      <c r="I434" s="4">
        <v>57</v>
      </c>
      <c r="J434" s="11">
        <v>7.3</v>
      </c>
      <c r="L434" s="12">
        <f t="shared" si="11"/>
        <v>0.86332286012045589</v>
      </c>
      <c r="M434" s="11">
        <f>GraphSalmonella!$B$10-(Salmonella!I434-GraphSalmonella!$B$6)/GraphSalmonella!$B$5</f>
        <v>0.60131721921482906</v>
      </c>
      <c r="N434" s="2" t="s">
        <v>1226</v>
      </c>
      <c r="O434">
        <v>1996</v>
      </c>
      <c r="S434" s="10">
        <f>GraphSalmonella!$B$57*Salmonella!I434+GraphSalmonella!$B$58</f>
        <v>0.53009404539071348</v>
      </c>
      <c r="T434" s="10">
        <f>GraphSalmonella!$E$57*Salmonella!I434+GraphSalmonella!$E$58</f>
        <v>3.2843075221502183</v>
      </c>
      <c r="U434" s="10">
        <f>GraphSalmonella!$H$57*Salmonella!I434+GraphSalmonella!$H$58</f>
        <v>0.60210748793194213</v>
      </c>
      <c r="X434" s="10">
        <f>GraphSalmonella!$B$80*Salmonella!I434+GraphSalmonella!$B$81</f>
        <v>0.6041028937858588</v>
      </c>
      <c r="Y434" s="10">
        <f>GraphSalmonella!$E$80*Salmonella!I434+GraphSalmonella!$E$81</f>
        <v>0.61727995735019991</v>
      </c>
      <c r="Z434" s="10">
        <f>GraphSalmonella!$H$80*Salmonella!I434+GraphSalmonella!$H$81</f>
        <v>0.32303290273881835</v>
      </c>
    </row>
    <row r="435" spans="1:26" x14ac:dyDescent="0.2">
      <c r="A435" s="1" t="s">
        <v>66</v>
      </c>
      <c r="B435" s="1" t="s">
        <v>88</v>
      </c>
      <c r="D435" t="s">
        <v>44</v>
      </c>
      <c r="E435" s="1" t="s">
        <v>89</v>
      </c>
      <c r="F435" s="1"/>
      <c r="I435" s="4">
        <v>57</v>
      </c>
      <c r="J435" s="11">
        <v>16.5</v>
      </c>
      <c r="L435" s="12">
        <f t="shared" si="11"/>
        <v>1.2174839442139063</v>
      </c>
      <c r="M435" s="11">
        <f>GraphSalmonella!$B$10-(Salmonella!I435-GraphSalmonella!$B$6)/GraphSalmonella!$B$5</f>
        <v>0.60131721921482906</v>
      </c>
      <c r="N435" s="2" t="s">
        <v>1226</v>
      </c>
      <c r="O435">
        <v>1996</v>
      </c>
      <c r="S435" s="10">
        <f>GraphSalmonella!$B$57*Salmonella!I435+GraphSalmonella!$B$58</f>
        <v>0.53009404539071348</v>
      </c>
      <c r="T435" s="10">
        <f>GraphSalmonella!$E$57*Salmonella!I435+GraphSalmonella!$E$58</f>
        <v>3.2843075221502183</v>
      </c>
      <c r="U435" s="10">
        <f>GraphSalmonella!$H$57*Salmonella!I435+GraphSalmonella!$H$58</f>
        <v>0.60210748793194213</v>
      </c>
      <c r="X435" s="10">
        <f>GraphSalmonella!$B$80*Salmonella!I435+GraphSalmonella!$B$81</f>
        <v>0.6041028937858588</v>
      </c>
      <c r="Y435" s="10">
        <f>GraphSalmonella!$E$80*Salmonella!I435+GraphSalmonella!$E$81</f>
        <v>0.61727995735019991</v>
      </c>
      <c r="Z435" s="10">
        <f>GraphSalmonella!$H$80*Salmonella!I435+GraphSalmonella!$H$81</f>
        <v>0.32303290273881835</v>
      </c>
    </row>
    <row r="436" spans="1:26" x14ac:dyDescent="0.2">
      <c r="A436" s="1" t="s">
        <v>66</v>
      </c>
      <c r="B436" s="1" t="s">
        <v>67</v>
      </c>
      <c r="D436" t="s">
        <v>44</v>
      </c>
      <c r="E436" s="1" t="s">
        <v>89</v>
      </c>
      <c r="F436" s="1"/>
      <c r="I436" s="4">
        <v>57</v>
      </c>
      <c r="J436" s="11">
        <v>35</v>
      </c>
      <c r="L436" s="12">
        <f t="shared" si="11"/>
        <v>1.5440680443502757</v>
      </c>
      <c r="M436" s="11">
        <f>GraphSalmonella!$B$10-(Salmonella!I436-GraphSalmonella!$B$6)/GraphSalmonella!$B$5</f>
        <v>0.60131721921482906</v>
      </c>
      <c r="N436" s="2" t="s">
        <v>1226</v>
      </c>
      <c r="O436">
        <v>1996</v>
      </c>
      <c r="S436" s="10">
        <f>GraphSalmonella!$B$57*Salmonella!I436+GraphSalmonella!$B$58</f>
        <v>0.53009404539071348</v>
      </c>
      <c r="T436" s="10">
        <f>GraphSalmonella!$E$57*Salmonella!I436+GraphSalmonella!$E$58</f>
        <v>3.2843075221502183</v>
      </c>
      <c r="U436" s="10">
        <f>GraphSalmonella!$H$57*Salmonella!I436+GraphSalmonella!$H$58</f>
        <v>0.60210748793194213</v>
      </c>
      <c r="X436" s="10">
        <f>GraphSalmonella!$B$80*Salmonella!I436+GraphSalmonella!$B$81</f>
        <v>0.6041028937858588</v>
      </c>
      <c r="Y436" s="10">
        <f>GraphSalmonella!$E$80*Salmonella!I436+GraphSalmonella!$E$81</f>
        <v>0.61727995735019991</v>
      </c>
      <c r="Z436" s="10">
        <f>GraphSalmonella!$H$80*Salmonella!I436+GraphSalmonella!$H$81</f>
        <v>0.32303290273881835</v>
      </c>
    </row>
    <row r="437" spans="1:26" x14ac:dyDescent="0.2">
      <c r="A437" s="1" t="s">
        <v>66</v>
      </c>
      <c r="B437" s="1" t="s">
        <v>85</v>
      </c>
      <c r="D437" t="s">
        <v>44</v>
      </c>
      <c r="E437" s="1" t="s">
        <v>89</v>
      </c>
      <c r="F437" s="1"/>
      <c r="I437" s="4">
        <v>57</v>
      </c>
      <c r="J437" s="11">
        <v>17</v>
      </c>
      <c r="L437" s="12">
        <f t="shared" si="11"/>
        <v>1.2304489213782739</v>
      </c>
      <c r="M437" s="11">
        <f>GraphSalmonella!$B$10-(Salmonella!I437-GraphSalmonella!$B$6)/GraphSalmonella!$B$5</f>
        <v>0.60131721921482906</v>
      </c>
      <c r="N437" s="2" t="s">
        <v>1226</v>
      </c>
      <c r="O437">
        <v>1996</v>
      </c>
      <c r="S437" s="10">
        <f>GraphSalmonella!$B$57*Salmonella!I437+GraphSalmonella!$B$58</f>
        <v>0.53009404539071348</v>
      </c>
      <c r="T437" s="10">
        <f>GraphSalmonella!$E$57*Salmonella!I437+GraphSalmonella!$E$58</f>
        <v>3.2843075221502183</v>
      </c>
      <c r="U437" s="10">
        <f>GraphSalmonella!$H$57*Salmonella!I437+GraphSalmonella!$H$58</f>
        <v>0.60210748793194213</v>
      </c>
      <c r="X437" s="10">
        <f>GraphSalmonella!$B$80*Salmonella!I437+GraphSalmonella!$B$81</f>
        <v>0.6041028937858588</v>
      </c>
      <c r="Y437" s="10">
        <f>GraphSalmonella!$E$80*Salmonella!I437+GraphSalmonella!$E$81</f>
        <v>0.61727995735019991</v>
      </c>
      <c r="Z437" s="10">
        <f>GraphSalmonella!$H$80*Salmonella!I437+GraphSalmonella!$H$81</f>
        <v>0.32303290273881835</v>
      </c>
    </row>
    <row r="438" spans="1:26" x14ac:dyDescent="0.2">
      <c r="A438" s="1" t="s">
        <v>66</v>
      </c>
      <c r="B438" s="1" t="s">
        <v>70</v>
      </c>
      <c r="D438" t="s">
        <v>44</v>
      </c>
      <c r="E438" s="1" t="s">
        <v>89</v>
      </c>
      <c r="F438" s="1"/>
      <c r="I438" s="4">
        <v>57</v>
      </c>
      <c r="J438" s="11">
        <v>12</v>
      </c>
      <c r="L438" s="12">
        <f t="shared" si="11"/>
        <v>1.0791812460476249</v>
      </c>
      <c r="M438" s="11">
        <f>GraphSalmonella!$B$10-(Salmonella!I438-GraphSalmonella!$B$6)/GraphSalmonella!$B$5</f>
        <v>0.60131721921482906</v>
      </c>
      <c r="N438" s="2" t="s">
        <v>1226</v>
      </c>
      <c r="O438">
        <v>1996</v>
      </c>
      <c r="S438" s="10">
        <f>GraphSalmonella!$B$57*Salmonella!I438+GraphSalmonella!$B$58</f>
        <v>0.53009404539071348</v>
      </c>
      <c r="T438" s="10">
        <f>GraphSalmonella!$E$57*Salmonella!I438+GraphSalmonella!$E$58</f>
        <v>3.2843075221502183</v>
      </c>
      <c r="U438" s="10">
        <f>GraphSalmonella!$H$57*Salmonella!I438+GraphSalmonella!$H$58</f>
        <v>0.60210748793194213</v>
      </c>
      <c r="X438" s="10">
        <f>GraphSalmonella!$B$80*Salmonella!I438+GraphSalmonella!$B$81</f>
        <v>0.6041028937858588</v>
      </c>
      <c r="Y438" s="10">
        <f>GraphSalmonella!$E$80*Salmonella!I438+GraphSalmonella!$E$81</f>
        <v>0.61727995735019991</v>
      </c>
      <c r="Z438" s="10">
        <f>GraphSalmonella!$H$80*Salmonella!I438+GraphSalmonella!$H$81</f>
        <v>0.32303290273881835</v>
      </c>
    </row>
    <row r="439" spans="1:26" x14ac:dyDescent="0.2">
      <c r="A439" s="1" t="s">
        <v>66</v>
      </c>
      <c r="B439" s="1" t="s">
        <v>368</v>
      </c>
      <c r="D439" t="s">
        <v>44</v>
      </c>
      <c r="E439" s="1" t="s">
        <v>367</v>
      </c>
      <c r="F439" s="1"/>
      <c r="G439" s="9"/>
      <c r="I439" s="4">
        <v>60</v>
      </c>
      <c r="J439" s="11">
        <v>0.96</v>
      </c>
      <c r="L439" s="12">
        <f t="shared" si="11"/>
        <v>-1.7728766960431602E-2</v>
      </c>
      <c r="M439" s="11">
        <f>GraphSalmonella!$B$10-(Salmonella!I439-GraphSalmonella!$B$6)/GraphSalmonella!$B$5</f>
        <v>0.2712239435094701</v>
      </c>
      <c r="N439" s="1" t="s">
        <v>319</v>
      </c>
      <c r="O439">
        <v>2000</v>
      </c>
      <c r="P439" t="s">
        <v>366</v>
      </c>
      <c r="S439" s="10">
        <f>GraphSalmonella!$B$57*Salmonella!I439+GraphSalmonella!$B$58</f>
        <v>0.35072323220664714</v>
      </c>
      <c r="T439" s="10">
        <f>GraphSalmonella!$E$57*Salmonella!I439+GraphSalmonella!$E$58</f>
        <v>3.1370239566030182</v>
      </c>
      <c r="U439" s="10">
        <f>GraphSalmonella!$H$57*Salmonella!I439+GraphSalmonella!$H$58</f>
        <v>0.27208851901262943</v>
      </c>
      <c r="X439" s="10">
        <f>GraphSalmonella!$B$80*Salmonella!I439+GraphSalmonella!$B$81</f>
        <v>0.2738497546709393</v>
      </c>
      <c r="Y439" s="10">
        <f>GraphSalmonella!$E$80*Salmonella!I439+GraphSalmonella!$E$81</f>
        <v>0.2823920067305572</v>
      </c>
      <c r="Z439" s="10">
        <f>GraphSalmonella!$H$80*Salmonella!I439+GraphSalmonella!$H$81</f>
        <v>-6.4512686973317024E-2</v>
      </c>
    </row>
    <row r="440" spans="1:26" x14ac:dyDescent="0.2">
      <c r="A440" s="1" t="s">
        <v>66</v>
      </c>
      <c r="B440" s="1" t="s">
        <v>107</v>
      </c>
      <c r="D440" t="s">
        <v>44</v>
      </c>
      <c r="E440" s="1" t="s">
        <v>367</v>
      </c>
      <c r="F440" s="1"/>
      <c r="G440" s="9"/>
      <c r="I440" s="4">
        <v>60</v>
      </c>
      <c r="J440" s="11">
        <v>0.66</v>
      </c>
      <c r="L440" s="12">
        <f t="shared" si="11"/>
        <v>-0.18045606445813131</v>
      </c>
      <c r="M440" s="11">
        <f>GraphSalmonella!$B$10-(Salmonella!I440-GraphSalmonella!$B$6)/GraphSalmonella!$B$5</f>
        <v>0.2712239435094701</v>
      </c>
      <c r="N440" s="1" t="s">
        <v>319</v>
      </c>
      <c r="O440">
        <v>2000</v>
      </c>
      <c r="P440" t="s">
        <v>366</v>
      </c>
      <c r="S440" s="10">
        <f>GraphSalmonella!$B$57*Salmonella!I440+GraphSalmonella!$B$58</f>
        <v>0.35072323220664714</v>
      </c>
      <c r="T440" s="10">
        <f>GraphSalmonella!$E$57*Salmonella!I440+GraphSalmonella!$E$58</f>
        <v>3.1370239566030182</v>
      </c>
      <c r="U440" s="10">
        <f>GraphSalmonella!$H$57*Salmonella!I440+GraphSalmonella!$H$58</f>
        <v>0.27208851901262943</v>
      </c>
      <c r="X440" s="10">
        <f>GraphSalmonella!$B$80*Salmonella!I440+GraphSalmonella!$B$81</f>
        <v>0.2738497546709393</v>
      </c>
      <c r="Y440" s="10">
        <f>GraphSalmonella!$E$80*Salmonella!I440+GraphSalmonella!$E$81</f>
        <v>0.2823920067305572</v>
      </c>
      <c r="Z440" s="10">
        <f>GraphSalmonella!$H$80*Salmonella!I440+GraphSalmonella!$H$81</f>
        <v>-6.4512686973317024E-2</v>
      </c>
    </row>
    <row r="441" spans="1:26" x14ac:dyDescent="0.2">
      <c r="A441" s="1" t="s">
        <v>66</v>
      </c>
      <c r="B441" s="1" t="s">
        <v>90</v>
      </c>
      <c r="D441" t="s">
        <v>44</v>
      </c>
      <c r="E441" s="1" t="s">
        <v>367</v>
      </c>
      <c r="F441" s="1"/>
      <c r="G441" s="9"/>
      <c r="I441" s="4">
        <v>60</v>
      </c>
      <c r="J441" s="11">
        <v>0.75</v>
      </c>
      <c r="L441" s="12">
        <f t="shared" si="11"/>
        <v>-0.12493873660829995</v>
      </c>
      <c r="M441" s="11">
        <f>GraphSalmonella!$B$10-(Salmonella!I441-GraphSalmonella!$B$6)/GraphSalmonella!$B$5</f>
        <v>0.2712239435094701</v>
      </c>
      <c r="N441" s="1" t="s">
        <v>319</v>
      </c>
      <c r="O441">
        <v>2000</v>
      </c>
      <c r="P441" t="s">
        <v>366</v>
      </c>
      <c r="S441" s="10">
        <f>GraphSalmonella!$B$57*Salmonella!I441+GraphSalmonella!$B$58</f>
        <v>0.35072323220664714</v>
      </c>
      <c r="T441" s="10">
        <f>GraphSalmonella!$E$57*Salmonella!I441+GraphSalmonella!$E$58</f>
        <v>3.1370239566030182</v>
      </c>
      <c r="U441" s="10">
        <f>GraphSalmonella!$H$57*Salmonella!I441+GraphSalmonella!$H$58</f>
        <v>0.27208851901262943</v>
      </c>
      <c r="X441" s="10">
        <f>GraphSalmonella!$B$80*Salmonella!I441+GraphSalmonella!$B$81</f>
        <v>0.2738497546709393</v>
      </c>
      <c r="Y441" s="10">
        <f>GraphSalmonella!$E$80*Salmonella!I441+GraphSalmonella!$E$81</f>
        <v>0.2823920067305572</v>
      </c>
      <c r="Z441" s="10">
        <f>GraphSalmonella!$H$80*Salmonella!I441+GraphSalmonella!$H$81</f>
        <v>-6.4512686973317024E-2</v>
      </c>
    </row>
    <row r="442" spans="1:26" x14ac:dyDescent="0.2">
      <c r="A442" s="1" t="s">
        <v>66</v>
      </c>
      <c r="B442" s="1" t="s">
        <v>369</v>
      </c>
      <c r="D442" t="s">
        <v>44</v>
      </c>
      <c r="E442" s="1" t="s">
        <v>367</v>
      </c>
      <c r="F442" s="1"/>
      <c r="G442" s="9"/>
      <c r="I442" s="4">
        <v>60</v>
      </c>
      <c r="J442" s="11">
        <v>0.56000000000000005</v>
      </c>
      <c r="L442" s="12">
        <f t="shared" si="11"/>
        <v>-0.25181197299379954</v>
      </c>
      <c r="M442" s="11">
        <f>GraphSalmonella!$B$10-(Salmonella!I442-GraphSalmonella!$B$6)/GraphSalmonella!$B$5</f>
        <v>0.2712239435094701</v>
      </c>
      <c r="N442" s="1" t="s">
        <v>319</v>
      </c>
      <c r="O442">
        <v>2000</v>
      </c>
      <c r="P442" t="s">
        <v>366</v>
      </c>
      <c r="S442" s="10">
        <f>GraphSalmonella!$B$57*Salmonella!I442+GraphSalmonella!$B$58</f>
        <v>0.35072323220664714</v>
      </c>
      <c r="T442" s="10">
        <f>GraphSalmonella!$E$57*Salmonella!I442+GraphSalmonella!$E$58</f>
        <v>3.1370239566030182</v>
      </c>
      <c r="U442" s="10">
        <f>GraphSalmonella!$H$57*Salmonella!I442+GraphSalmonella!$H$58</f>
        <v>0.27208851901262943</v>
      </c>
      <c r="X442" s="10">
        <f>GraphSalmonella!$B$80*Salmonella!I442+GraphSalmonella!$B$81</f>
        <v>0.2738497546709393</v>
      </c>
      <c r="Y442" s="10">
        <f>GraphSalmonella!$E$80*Salmonella!I442+GraphSalmonella!$E$81</f>
        <v>0.2823920067305572</v>
      </c>
      <c r="Z442" s="10">
        <f>GraphSalmonella!$H$80*Salmonella!I442+GraphSalmonella!$H$81</f>
        <v>-6.4512686973317024E-2</v>
      </c>
    </row>
    <row r="443" spans="1:26" x14ac:dyDescent="0.2">
      <c r="A443" s="1" t="s">
        <v>66</v>
      </c>
      <c r="B443" s="1" t="s">
        <v>70</v>
      </c>
      <c r="D443" t="s">
        <v>44</v>
      </c>
      <c r="E443" s="1" t="s">
        <v>367</v>
      </c>
      <c r="F443" s="1"/>
      <c r="G443" s="9"/>
      <c r="I443" s="4">
        <v>55</v>
      </c>
      <c r="J443" s="11">
        <v>18.3</v>
      </c>
      <c r="K443" s="4">
        <v>4.3</v>
      </c>
      <c r="L443" s="12">
        <f t="shared" si="11"/>
        <v>1.2624510897304295</v>
      </c>
      <c r="M443" s="11">
        <f>GraphSalmonella!$B$10-(Salmonella!I443-GraphSalmonella!$B$6)/GraphSalmonella!$B$5</f>
        <v>0.82137940301840184</v>
      </c>
      <c r="N443" s="1" t="s">
        <v>319</v>
      </c>
      <c r="O443">
        <v>2000</v>
      </c>
      <c r="P443" t="s">
        <v>366</v>
      </c>
      <c r="S443" s="10">
        <f>GraphSalmonella!$B$57*Salmonella!I443+GraphSalmonella!$B$58</f>
        <v>0.64967458751342466</v>
      </c>
      <c r="T443" s="10">
        <f>GraphSalmonella!$E$57*Salmonella!I443+GraphSalmonella!$E$58</f>
        <v>3.3824965658483515</v>
      </c>
      <c r="U443" s="10">
        <f>GraphSalmonella!$H$57*Salmonella!I443+GraphSalmonella!$H$58</f>
        <v>0.82212013387815031</v>
      </c>
      <c r="X443" s="10">
        <f>GraphSalmonella!$B$80*Salmonella!I443+GraphSalmonella!$B$81</f>
        <v>0.82427165319580453</v>
      </c>
      <c r="Y443" s="10">
        <f>GraphSalmonella!$E$80*Salmonella!I443+GraphSalmonella!$E$81</f>
        <v>0.84053859109662721</v>
      </c>
      <c r="Z443" s="10">
        <f>GraphSalmonella!$H$80*Salmonella!I443+GraphSalmonella!$H$81</f>
        <v>0.58139662921357438</v>
      </c>
    </row>
    <row r="444" spans="1:26" x14ac:dyDescent="0.2">
      <c r="A444" s="1" t="s">
        <v>66</v>
      </c>
      <c r="B444" s="1" t="s">
        <v>70</v>
      </c>
      <c r="D444" t="s">
        <v>44</v>
      </c>
      <c r="E444" s="1" t="s">
        <v>367</v>
      </c>
      <c r="F444" s="1"/>
      <c r="G444" s="9"/>
      <c r="I444" s="4">
        <v>57</v>
      </c>
      <c r="J444" s="11">
        <v>4.5999999999999996</v>
      </c>
      <c r="K444" s="4">
        <v>4.3</v>
      </c>
      <c r="L444" s="12">
        <f t="shared" si="11"/>
        <v>0.66275783168157409</v>
      </c>
      <c r="M444" s="11">
        <f>GraphSalmonella!$B$10-(Salmonella!I444-GraphSalmonella!$B$6)/GraphSalmonella!$B$5</f>
        <v>0.60131721921482906</v>
      </c>
      <c r="N444" s="1" t="s">
        <v>319</v>
      </c>
      <c r="O444">
        <v>2000</v>
      </c>
      <c r="P444" t="s">
        <v>366</v>
      </c>
      <c r="S444" s="10">
        <f>GraphSalmonella!$B$57*Salmonella!I444+GraphSalmonella!$B$58</f>
        <v>0.53009404539071348</v>
      </c>
      <c r="T444" s="10">
        <f>GraphSalmonella!$E$57*Salmonella!I444+GraphSalmonella!$E$58</f>
        <v>3.2843075221502183</v>
      </c>
      <c r="U444" s="10">
        <f>GraphSalmonella!$H$57*Salmonella!I444+GraphSalmonella!$H$58</f>
        <v>0.60210748793194213</v>
      </c>
      <c r="X444" s="10">
        <f>GraphSalmonella!$B$80*Salmonella!I444+GraphSalmonella!$B$81</f>
        <v>0.6041028937858588</v>
      </c>
      <c r="Y444" s="10">
        <f>GraphSalmonella!$E$80*Salmonella!I444+GraphSalmonella!$E$81</f>
        <v>0.61727995735019991</v>
      </c>
      <c r="Z444" s="10">
        <f>GraphSalmonella!$H$80*Salmonella!I444+GraphSalmonella!$H$81</f>
        <v>0.32303290273881835</v>
      </c>
    </row>
    <row r="445" spans="1:26" x14ac:dyDescent="0.2">
      <c r="A445" s="1" t="s">
        <v>66</v>
      </c>
      <c r="B445" s="1" t="s">
        <v>70</v>
      </c>
      <c r="D445" t="s">
        <v>44</v>
      </c>
      <c r="E445" s="1" t="s">
        <v>367</v>
      </c>
      <c r="F445" s="1"/>
      <c r="G445" s="9"/>
      <c r="I445" s="4">
        <v>60</v>
      </c>
      <c r="J445" s="11">
        <v>0.82</v>
      </c>
      <c r="K445" s="4">
        <v>4.3</v>
      </c>
      <c r="L445" s="12">
        <f t="shared" si="11"/>
        <v>-8.6186147616283335E-2</v>
      </c>
      <c r="M445" s="11">
        <f>GraphSalmonella!$B$10-(Salmonella!I445-GraphSalmonella!$B$6)/GraphSalmonella!$B$5</f>
        <v>0.2712239435094701</v>
      </c>
      <c r="N445" s="1" t="s">
        <v>319</v>
      </c>
      <c r="O445">
        <v>2000</v>
      </c>
      <c r="P445" t="s">
        <v>366</v>
      </c>
      <c r="S445" s="10">
        <f>GraphSalmonella!$B$57*Salmonella!I445+GraphSalmonella!$B$58</f>
        <v>0.35072323220664714</v>
      </c>
      <c r="T445" s="10">
        <f>GraphSalmonella!$E$57*Salmonella!I445+GraphSalmonella!$E$58</f>
        <v>3.1370239566030182</v>
      </c>
      <c r="U445" s="10">
        <f>GraphSalmonella!$H$57*Salmonella!I445+GraphSalmonella!$H$58</f>
        <v>0.27208851901262943</v>
      </c>
      <c r="X445" s="10">
        <f>GraphSalmonella!$B$80*Salmonella!I445+GraphSalmonella!$B$81</f>
        <v>0.2738497546709393</v>
      </c>
      <c r="Y445" s="10">
        <f>GraphSalmonella!$E$80*Salmonella!I445+GraphSalmonella!$E$81</f>
        <v>0.2823920067305572</v>
      </c>
      <c r="Z445" s="10">
        <f>GraphSalmonella!$H$80*Salmonella!I445+GraphSalmonella!$H$81</f>
        <v>-6.4512686973317024E-2</v>
      </c>
    </row>
    <row r="446" spans="1:26" x14ac:dyDescent="0.2">
      <c r="A446" s="1" t="s">
        <v>66</v>
      </c>
      <c r="B446" s="1" t="s">
        <v>70</v>
      </c>
      <c r="D446" t="s">
        <v>44</v>
      </c>
      <c r="E446" s="1" t="s">
        <v>367</v>
      </c>
      <c r="F446" s="1"/>
      <c r="G446" s="9"/>
      <c r="I446" s="4">
        <v>62</v>
      </c>
      <c r="J446" s="11">
        <v>0.4</v>
      </c>
      <c r="K446" s="4">
        <v>4.3</v>
      </c>
      <c r="L446" s="12">
        <f t="shared" si="11"/>
        <v>-0.3979400086720376</v>
      </c>
      <c r="M446" s="11">
        <f>GraphSalmonella!$B$10-(Salmonella!I446-GraphSalmonella!$B$6)/GraphSalmonella!$B$5</f>
        <v>5.1161759705897314E-2</v>
      </c>
      <c r="N446" s="1" t="s">
        <v>319</v>
      </c>
      <c r="O446">
        <v>2000</v>
      </c>
      <c r="P446" t="s">
        <v>366</v>
      </c>
      <c r="S446" s="10">
        <f>GraphSalmonella!$B$57*Salmonella!I446+GraphSalmonella!$B$58</f>
        <v>0.23114269008393595</v>
      </c>
      <c r="T446" s="10">
        <f>GraphSalmonella!$E$57*Salmonella!I446+GraphSalmonella!$E$58</f>
        <v>3.0388349129048851</v>
      </c>
      <c r="U446" s="10">
        <f>GraphSalmonella!$H$57*Salmonella!I446+GraphSalmonella!$H$58</f>
        <v>5.2075873066421252E-2</v>
      </c>
      <c r="X446" s="10">
        <f>GraphSalmonella!$B$80*Salmonella!I446+GraphSalmonella!$B$81</f>
        <v>5.3680995260992681E-2</v>
      </c>
      <c r="Y446" s="10">
        <f>GraphSalmonella!$E$80*Salmonella!I446+GraphSalmonella!$E$81</f>
        <v>5.9133372984129906E-2</v>
      </c>
      <c r="Z446" s="10">
        <f>GraphSalmonella!$H$80*Salmonella!I446+GraphSalmonella!$H$81</f>
        <v>-0.32287641344807394</v>
      </c>
    </row>
    <row r="447" spans="1:26" x14ac:dyDescent="0.2">
      <c r="A447" s="1" t="s">
        <v>66</v>
      </c>
      <c r="B447" s="1" t="s">
        <v>109</v>
      </c>
      <c r="D447" t="s">
        <v>44</v>
      </c>
      <c r="E447" s="1" t="s">
        <v>356</v>
      </c>
      <c r="F447" s="1"/>
      <c r="G447" s="9"/>
      <c r="I447" s="4">
        <v>52</v>
      </c>
      <c r="J447" s="11">
        <v>5.3</v>
      </c>
      <c r="L447" s="12">
        <f t="shared" si="11"/>
        <v>0.72427586960078905</v>
      </c>
      <c r="M447" s="11">
        <f>GraphSalmonella!$B$10-(Salmonella!I447-GraphSalmonella!$B$6)/GraphSalmonella!$B$5</f>
        <v>1.1514726787237608</v>
      </c>
      <c r="N447" s="1" t="s">
        <v>319</v>
      </c>
      <c r="O447">
        <v>2000</v>
      </c>
      <c r="S447" s="10">
        <f>GraphSalmonella!$B$57*Salmonella!I447+GraphSalmonella!$B$58</f>
        <v>0.829045400697491</v>
      </c>
      <c r="T447" s="10">
        <f>GraphSalmonella!$E$57*Salmonella!I447+GraphSalmonella!$E$58</f>
        <v>3.529780131395551</v>
      </c>
      <c r="U447" s="10">
        <f>GraphSalmonella!$H$57*Salmonella!I447+GraphSalmonella!$H$58</f>
        <v>1.1521391027974621</v>
      </c>
      <c r="X447" s="10">
        <f>GraphSalmonella!$B$80*Salmonella!I447+GraphSalmonella!$B$81</f>
        <v>1.154524792310724</v>
      </c>
      <c r="Y447" s="10">
        <f>GraphSalmonella!$E$80*Salmonella!I447+GraphSalmonella!$E$81</f>
        <v>1.175426541716269</v>
      </c>
      <c r="Z447" s="10">
        <f>GraphSalmonella!$H$80*Salmonella!I447+GraphSalmonella!$H$81</f>
        <v>0.96894221892570975</v>
      </c>
    </row>
    <row r="448" spans="1:26" x14ac:dyDescent="0.2">
      <c r="A448" s="1" t="s">
        <v>66</v>
      </c>
      <c r="B448" s="1" t="s">
        <v>109</v>
      </c>
      <c r="D448" t="s">
        <v>44</v>
      </c>
      <c r="E448" s="1" t="s">
        <v>356</v>
      </c>
      <c r="F448" s="1"/>
      <c r="G448" s="9"/>
      <c r="I448" s="4">
        <v>54</v>
      </c>
      <c r="J448" s="11">
        <v>2.7</v>
      </c>
      <c r="L448" s="12">
        <f t="shared" si="11"/>
        <v>0.43136376415898736</v>
      </c>
      <c r="M448" s="11">
        <f>GraphSalmonella!$B$10-(Salmonella!I448-GraphSalmonella!$B$6)/GraphSalmonella!$B$5</f>
        <v>0.93141049492018801</v>
      </c>
      <c r="N448" s="1" t="s">
        <v>319</v>
      </c>
      <c r="O448">
        <v>2000</v>
      </c>
      <c r="S448" s="10">
        <f>GraphSalmonella!$B$57*Salmonella!I448+GraphSalmonella!$B$58</f>
        <v>0.70946485857477981</v>
      </c>
      <c r="T448" s="10">
        <f>GraphSalmonella!$E$57*Salmonella!I448+GraphSalmonella!$E$58</f>
        <v>3.4315910876974178</v>
      </c>
      <c r="U448" s="10">
        <f>GraphSalmonella!$H$57*Salmonella!I448+GraphSalmonella!$H$58</f>
        <v>0.93212645685125395</v>
      </c>
      <c r="X448" s="10">
        <f>GraphSalmonella!$B$80*Salmonella!I448+GraphSalmonella!$B$81</f>
        <v>0.9343560329007774</v>
      </c>
      <c r="Y448" s="10">
        <f>GraphSalmonella!$E$80*Salmonella!I448+GraphSalmonella!$E$81</f>
        <v>0.95216790796984174</v>
      </c>
      <c r="Z448" s="10">
        <f>GraphSalmonella!$H$80*Salmonella!I448+GraphSalmonella!$H$81</f>
        <v>0.71057849245095284</v>
      </c>
    </row>
    <row r="449" spans="1:26" x14ac:dyDescent="0.2">
      <c r="A449" s="1" t="s">
        <v>66</v>
      </c>
      <c r="B449" s="1" t="s">
        <v>109</v>
      </c>
      <c r="D449" t="s">
        <v>44</v>
      </c>
      <c r="E449" s="1" t="s">
        <v>356</v>
      </c>
      <c r="F449" s="1"/>
      <c r="G449" s="9"/>
      <c r="I449" s="4">
        <v>56</v>
      </c>
      <c r="J449" s="11">
        <v>1.3</v>
      </c>
      <c r="L449" s="12">
        <f t="shared" si="11"/>
        <v>0.11394335230683679</v>
      </c>
      <c r="M449" s="11">
        <f>GraphSalmonella!$B$10-(Salmonella!I449-GraphSalmonella!$B$6)/GraphSalmonella!$B$5</f>
        <v>0.71134831111661545</v>
      </c>
      <c r="N449" s="1" t="s">
        <v>319</v>
      </c>
      <c r="O449">
        <v>2000</v>
      </c>
      <c r="S449" s="10">
        <f>GraphSalmonella!$B$57*Salmonella!I449+GraphSalmonella!$B$58</f>
        <v>0.58988431645206907</v>
      </c>
      <c r="T449" s="10">
        <f>GraphSalmonella!$E$57*Salmonella!I449+GraphSalmonella!$E$58</f>
        <v>3.3334020439992846</v>
      </c>
      <c r="U449" s="10">
        <f>GraphSalmonella!$H$57*Salmonella!I449+GraphSalmonella!$H$58</f>
        <v>0.71211381090504577</v>
      </c>
      <c r="X449" s="10">
        <f>GraphSalmonella!$B$80*Salmonella!I449+GraphSalmonella!$B$81</f>
        <v>0.71418727349083166</v>
      </c>
      <c r="Y449" s="10">
        <f>GraphSalmonella!$E$80*Salmonella!I449+GraphSalmonella!$E$81</f>
        <v>0.72890927422341356</v>
      </c>
      <c r="Z449" s="10">
        <f>GraphSalmonella!$H$80*Salmonella!I449+GraphSalmonella!$H$81</f>
        <v>0.45221476597619681</v>
      </c>
    </row>
    <row r="450" spans="1:26" x14ac:dyDescent="0.2">
      <c r="A450" s="1" t="s">
        <v>66</v>
      </c>
      <c r="B450" s="1" t="s">
        <v>109</v>
      </c>
      <c r="D450" t="s">
        <v>44</v>
      </c>
      <c r="E450" s="1" t="s">
        <v>356</v>
      </c>
      <c r="F450" s="1"/>
      <c r="G450" s="9"/>
      <c r="I450" s="4">
        <v>58</v>
      </c>
      <c r="J450" s="11">
        <v>0.9</v>
      </c>
      <c r="L450" s="12">
        <f t="shared" si="11"/>
        <v>-4.5757490560675115E-2</v>
      </c>
      <c r="M450" s="11">
        <f>GraphSalmonella!$B$10-(Salmonella!I450-GraphSalmonella!$B$6)/GraphSalmonella!$B$5</f>
        <v>0.49128612731304266</v>
      </c>
      <c r="N450" s="1" t="s">
        <v>319</v>
      </c>
      <c r="O450">
        <v>2000</v>
      </c>
      <c r="S450" s="10">
        <f>GraphSalmonella!$B$57*Salmonella!I450+GraphSalmonella!$B$58</f>
        <v>0.47030377432935788</v>
      </c>
      <c r="T450" s="10">
        <f>GraphSalmonella!$E$57*Salmonella!I450+GraphSalmonella!$E$58</f>
        <v>3.2352130003011514</v>
      </c>
      <c r="U450" s="10">
        <f>GraphSalmonella!$H$57*Salmonella!I450+GraphSalmonella!$H$58</f>
        <v>0.4921011649588376</v>
      </c>
      <c r="X450" s="10">
        <f>GraphSalmonella!$B$80*Salmonella!I450+GraphSalmonella!$B$81</f>
        <v>0.49401851408088504</v>
      </c>
      <c r="Y450" s="10">
        <f>GraphSalmonella!$E$80*Salmonella!I450+GraphSalmonella!$E$81</f>
        <v>0.50565064047698538</v>
      </c>
      <c r="Z450" s="10">
        <f>GraphSalmonella!$H$80*Salmonella!I450+GraphSalmonella!$H$81</f>
        <v>0.19385103950143989</v>
      </c>
    </row>
    <row r="451" spans="1:26" x14ac:dyDescent="0.2">
      <c r="A451" s="1" t="s">
        <v>66</v>
      </c>
      <c r="B451" s="1" t="s">
        <v>96</v>
      </c>
      <c r="C451">
        <v>286</v>
      </c>
      <c r="D451" t="s">
        <v>44</v>
      </c>
      <c r="E451" s="1" t="s">
        <v>370</v>
      </c>
      <c r="F451" s="19" t="s">
        <v>50</v>
      </c>
      <c r="G451" s="9">
        <v>0.85</v>
      </c>
      <c r="I451" s="4">
        <v>60</v>
      </c>
      <c r="J451" s="11">
        <v>2.2999999999999998</v>
      </c>
      <c r="L451" s="12">
        <f t="shared" si="11"/>
        <v>0.36172783601759284</v>
      </c>
      <c r="M451" s="11">
        <f>GraphSalmonella!$B$10-(Salmonella!I451-GraphSalmonella!$B$6)/GraphSalmonella!$B$5</f>
        <v>0.2712239435094701</v>
      </c>
      <c r="N451" s="1" t="s">
        <v>580</v>
      </c>
      <c r="O451">
        <v>1970</v>
      </c>
      <c r="P451" t="s">
        <v>578</v>
      </c>
      <c r="S451" s="10">
        <f>GraphSalmonella!$B$57*Salmonella!I451+GraphSalmonella!$B$58</f>
        <v>0.35072323220664714</v>
      </c>
      <c r="T451" s="10">
        <f>GraphSalmonella!$E$57*Salmonella!I451+GraphSalmonella!$E$58</f>
        <v>3.1370239566030182</v>
      </c>
      <c r="U451" s="10">
        <f>GraphSalmonella!$H$57*Salmonella!I451+GraphSalmonella!$H$58</f>
        <v>0.27208851901262943</v>
      </c>
      <c r="X451" s="10">
        <f>GraphSalmonella!$B$80*Salmonella!I451+GraphSalmonella!$B$81</f>
        <v>0.2738497546709393</v>
      </c>
      <c r="Y451" s="10">
        <f>GraphSalmonella!$E$80*Salmonella!I451+GraphSalmonella!$E$81</f>
        <v>0.2823920067305572</v>
      </c>
      <c r="Z451" s="10">
        <f>GraphSalmonella!$H$80*Salmonella!I451+GraphSalmonella!$H$81</f>
        <v>-6.4512686973317024E-2</v>
      </c>
    </row>
    <row r="452" spans="1:26" x14ac:dyDescent="0.2">
      <c r="A452" s="1" t="s">
        <v>66</v>
      </c>
      <c r="B452" s="1" t="s">
        <v>96</v>
      </c>
      <c r="C452">
        <v>286</v>
      </c>
      <c r="D452" t="s">
        <v>44</v>
      </c>
      <c r="E452" s="1" t="s">
        <v>370</v>
      </c>
      <c r="F452" s="19" t="s">
        <v>50</v>
      </c>
      <c r="G452" s="9">
        <v>0.9</v>
      </c>
      <c r="I452" s="4">
        <v>60</v>
      </c>
      <c r="J452" s="11">
        <v>2.1</v>
      </c>
      <c r="L452" s="12">
        <f t="shared" si="11"/>
        <v>0.3222192947339193</v>
      </c>
      <c r="M452" s="11">
        <f>GraphSalmonella!$B$10-(Salmonella!I452-GraphSalmonella!$B$6)/GraphSalmonella!$B$5</f>
        <v>0.2712239435094701</v>
      </c>
      <c r="N452" s="1" t="s">
        <v>580</v>
      </c>
      <c r="O452">
        <v>1970</v>
      </c>
      <c r="P452" t="s">
        <v>578</v>
      </c>
      <c r="S452" s="10">
        <f>GraphSalmonella!$B$57*Salmonella!I452+GraphSalmonella!$B$58</f>
        <v>0.35072323220664714</v>
      </c>
      <c r="T452" s="10">
        <f>GraphSalmonella!$E$57*Salmonella!I452+GraphSalmonella!$E$58</f>
        <v>3.1370239566030182</v>
      </c>
      <c r="U452" s="10">
        <f>GraphSalmonella!$H$57*Salmonella!I452+GraphSalmonella!$H$58</f>
        <v>0.27208851901262943</v>
      </c>
      <c r="X452" s="10">
        <f>GraphSalmonella!$B$80*Salmonella!I452+GraphSalmonella!$B$81</f>
        <v>0.2738497546709393</v>
      </c>
      <c r="Y452" s="10">
        <f>GraphSalmonella!$E$80*Salmonella!I452+GraphSalmonella!$E$81</f>
        <v>0.2823920067305572</v>
      </c>
      <c r="Z452" s="10">
        <f>GraphSalmonella!$H$80*Salmonella!I452+GraphSalmonella!$H$81</f>
        <v>-6.4512686973317024E-2</v>
      </c>
    </row>
    <row r="453" spans="1:26" x14ac:dyDescent="0.2">
      <c r="A453" s="1" t="s">
        <v>66</v>
      </c>
      <c r="B453" s="1" t="s">
        <v>96</v>
      </c>
      <c r="C453">
        <v>286</v>
      </c>
      <c r="D453" t="s">
        <v>44</v>
      </c>
      <c r="E453" s="1" t="s">
        <v>370</v>
      </c>
      <c r="F453" s="19" t="s">
        <v>50</v>
      </c>
      <c r="G453" s="9">
        <v>0.92</v>
      </c>
      <c r="I453" s="4">
        <v>60</v>
      </c>
      <c r="J453" s="11">
        <v>1.9</v>
      </c>
      <c r="L453" s="12">
        <f t="shared" si="11"/>
        <v>0.27875360095282892</v>
      </c>
      <c r="M453" s="11">
        <f>GraphSalmonella!$B$10-(Salmonella!I453-GraphSalmonella!$B$6)/GraphSalmonella!$B$5</f>
        <v>0.2712239435094701</v>
      </c>
      <c r="N453" s="1" t="s">
        <v>580</v>
      </c>
      <c r="O453">
        <v>1970</v>
      </c>
      <c r="P453" t="s">
        <v>578</v>
      </c>
      <c r="S453" s="10">
        <f>GraphSalmonella!$B$57*Salmonella!I453+GraphSalmonella!$B$58</f>
        <v>0.35072323220664714</v>
      </c>
      <c r="T453" s="10">
        <f>GraphSalmonella!$E$57*Salmonella!I453+GraphSalmonella!$E$58</f>
        <v>3.1370239566030182</v>
      </c>
      <c r="U453" s="10">
        <f>GraphSalmonella!$H$57*Salmonella!I453+GraphSalmonella!$H$58</f>
        <v>0.27208851901262943</v>
      </c>
      <c r="X453" s="10">
        <f>GraphSalmonella!$B$80*Salmonella!I453+GraphSalmonella!$B$81</f>
        <v>0.2738497546709393</v>
      </c>
      <c r="Y453" s="10">
        <f>GraphSalmonella!$E$80*Salmonella!I453+GraphSalmonella!$E$81</f>
        <v>0.2823920067305572</v>
      </c>
      <c r="Z453" s="10">
        <f>GraphSalmonella!$H$80*Salmonella!I453+GraphSalmonella!$H$81</f>
        <v>-6.4512686973317024E-2</v>
      </c>
    </row>
    <row r="454" spans="1:26" x14ac:dyDescent="0.2">
      <c r="A454" s="1" t="s">
        <v>66</v>
      </c>
      <c r="B454" s="1" t="s">
        <v>96</v>
      </c>
      <c r="C454">
        <v>286</v>
      </c>
      <c r="D454" t="s">
        <v>44</v>
      </c>
      <c r="E454" s="1" t="s">
        <v>370</v>
      </c>
      <c r="F454" s="19" t="s">
        <v>50</v>
      </c>
      <c r="G454" s="9">
        <v>0.96</v>
      </c>
      <c r="I454" s="4">
        <v>60</v>
      </c>
      <c r="J454" s="11">
        <v>1.8</v>
      </c>
      <c r="L454" s="12">
        <f t="shared" si="11"/>
        <v>0.25527250510330607</v>
      </c>
      <c r="M454" s="11">
        <f>GraphSalmonella!$B$10-(Salmonella!I454-GraphSalmonella!$B$6)/GraphSalmonella!$B$5</f>
        <v>0.2712239435094701</v>
      </c>
      <c r="N454" s="1" t="s">
        <v>580</v>
      </c>
      <c r="O454">
        <v>1970</v>
      </c>
      <c r="P454" t="s">
        <v>578</v>
      </c>
      <c r="S454" s="10">
        <f>GraphSalmonella!$B$57*Salmonella!I454+GraphSalmonella!$B$58</f>
        <v>0.35072323220664714</v>
      </c>
      <c r="T454" s="10">
        <f>GraphSalmonella!$E$57*Salmonella!I454+GraphSalmonella!$E$58</f>
        <v>3.1370239566030182</v>
      </c>
      <c r="U454" s="10">
        <f>GraphSalmonella!$H$57*Salmonella!I454+GraphSalmonella!$H$58</f>
        <v>0.27208851901262943</v>
      </c>
      <c r="X454" s="10">
        <f>GraphSalmonella!$B$80*Salmonella!I454+GraphSalmonella!$B$81</f>
        <v>0.2738497546709393</v>
      </c>
      <c r="Y454" s="10">
        <f>GraphSalmonella!$E$80*Salmonella!I454+GraphSalmonella!$E$81</f>
        <v>0.2823920067305572</v>
      </c>
      <c r="Z454" s="10">
        <f>GraphSalmonella!$H$80*Salmonella!I454+GraphSalmonella!$H$81</f>
        <v>-6.4512686973317024E-2</v>
      </c>
    </row>
    <row r="455" spans="1:26" x14ac:dyDescent="0.2">
      <c r="A455" s="1" t="s">
        <v>66</v>
      </c>
      <c r="B455" s="1" t="s">
        <v>96</v>
      </c>
      <c r="C455">
        <v>286</v>
      </c>
      <c r="D455" t="s">
        <v>44</v>
      </c>
      <c r="E455" s="1" t="s">
        <v>370</v>
      </c>
      <c r="F455" s="19" t="s">
        <v>50</v>
      </c>
      <c r="G455" s="9">
        <v>0.98</v>
      </c>
      <c r="I455" s="4">
        <v>60</v>
      </c>
      <c r="J455" s="11">
        <v>2</v>
      </c>
      <c r="L455" s="12">
        <f t="shared" si="11"/>
        <v>0.3010299956639812</v>
      </c>
      <c r="M455" s="11">
        <f>GraphSalmonella!$B$10-(Salmonella!I455-GraphSalmonella!$B$6)/GraphSalmonella!$B$5</f>
        <v>0.2712239435094701</v>
      </c>
      <c r="N455" s="1" t="s">
        <v>580</v>
      </c>
      <c r="O455">
        <v>1970</v>
      </c>
      <c r="P455" t="s">
        <v>578</v>
      </c>
      <c r="S455" s="10">
        <f>GraphSalmonella!$B$57*Salmonella!I455+GraphSalmonella!$B$58</f>
        <v>0.35072323220664714</v>
      </c>
      <c r="T455" s="10">
        <f>GraphSalmonella!$E$57*Salmonella!I455+GraphSalmonella!$E$58</f>
        <v>3.1370239566030182</v>
      </c>
      <c r="U455" s="10">
        <f>GraphSalmonella!$H$57*Salmonella!I455+GraphSalmonella!$H$58</f>
        <v>0.27208851901262943</v>
      </c>
      <c r="X455" s="10">
        <f>GraphSalmonella!$B$80*Salmonella!I455+GraphSalmonella!$B$81</f>
        <v>0.2738497546709393</v>
      </c>
      <c r="Y455" s="10">
        <f>GraphSalmonella!$E$80*Salmonella!I455+GraphSalmonella!$E$81</f>
        <v>0.2823920067305572</v>
      </c>
      <c r="Z455" s="10">
        <f>GraphSalmonella!$H$80*Salmonella!I455+GraphSalmonella!$H$81</f>
        <v>-6.4512686973317024E-2</v>
      </c>
    </row>
    <row r="456" spans="1:26" x14ac:dyDescent="0.2">
      <c r="A456" s="1" t="s">
        <v>66</v>
      </c>
      <c r="B456" s="1" t="s">
        <v>96</v>
      </c>
      <c r="C456">
        <v>286</v>
      </c>
      <c r="D456" t="s">
        <v>44</v>
      </c>
      <c r="E456" s="1" t="s">
        <v>370</v>
      </c>
      <c r="F456" s="19" t="s">
        <v>50</v>
      </c>
      <c r="G456" s="9">
        <v>0.998</v>
      </c>
      <c r="I456" s="4">
        <v>60</v>
      </c>
      <c r="J456" s="11">
        <v>4.4000000000000004</v>
      </c>
      <c r="L456" s="12">
        <f t="shared" si="11"/>
        <v>0.64345267648618742</v>
      </c>
      <c r="M456" s="11">
        <f>GraphSalmonella!$B$10-(Salmonella!I456-GraphSalmonella!$B$6)/GraphSalmonella!$B$5</f>
        <v>0.2712239435094701</v>
      </c>
      <c r="N456" s="1" t="s">
        <v>580</v>
      </c>
      <c r="O456">
        <v>1970</v>
      </c>
      <c r="P456" t="s">
        <v>578</v>
      </c>
      <c r="S456" s="10">
        <f>GraphSalmonella!$B$57*Salmonella!I456+GraphSalmonella!$B$58</f>
        <v>0.35072323220664714</v>
      </c>
      <c r="T456" s="10">
        <f>GraphSalmonella!$E$57*Salmonella!I456+GraphSalmonella!$E$58</f>
        <v>3.1370239566030182</v>
      </c>
      <c r="U456" s="10">
        <f>GraphSalmonella!$H$57*Salmonella!I456+GraphSalmonella!$H$58</f>
        <v>0.27208851901262943</v>
      </c>
      <c r="X456" s="10">
        <f>GraphSalmonella!$B$80*Salmonella!I456+GraphSalmonella!$B$81</f>
        <v>0.2738497546709393</v>
      </c>
      <c r="Y456" s="10">
        <f>GraphSalmonella!$E$80*Salmonella!I456+GraphSalmonella!$E$81</f>
        <v>0.2823920067305572</v>
      </c>
      <c r="Z456" s="10">
        <f>GraphSalmonella!$H$80*Salmonella!I456+GraphSalmonella!$H$81</f>
        <v>-6.4512686973317024E-2</v>
      </c>
    </row>
    <row r="457" spans="1:26" x14ac:dyDescent="0.2">
      <c r="A457" s="1" t="s">
        <v>66</v>
      </c>
      <c r="B457" s="1" t="s">
        <v>96</v>
      </c>
      <c r="C457">
        <v>286</v>
      </c>
      <c r="D457" t="s">
        <v>44</v>
      </c>
      <c r="E457" s="1" t="s">
        <v>370</v>
      </c>
      <c r="F457" s="19" t="s">
        <v>50</v>
      </c>
      <c r="G457" s="9">
        <v>0.94</v>
      </c>
      <c r="I457" s="4">
        <v>60</v>
      </c>
      <c r="J457" s="11">
        <v>2</v>
      </c>
      <c r="L457" s="12">
        <f t="shared" si="11"/>
        <v>0.3010299956639812</v>
      </c>
      <c r="M457" s="11">
        <f>GraphSalmonella!$B$10-(Salmonella!I457-GraphSalmonella!$B$6)/GraphSalmonella!$B$5</f>
        <v>0.2712239435094701</v>
      </c>
      <c r="N457" s="1" t="s">
        <v>580</v>
      </c>
      <c r="O457">
        <v>1970</v>
      </c>
      <c r="P457" t="s">
        <v>578</v>
      </c>
      <c r="S457" s="10">
        <f>GraphSalmonella!$B$57*Salmonella!I457+GraphSalmonella!$B$58</f>
        <v>0.35072323220664714</v>
      </c>
      <c r="T457" s="10">
        <f>GraphSalmonella!$E$57*Salmonella!I457+GraphSalmonella!$E$58</f>
        <v>3.1370239566030182</v>
      </c>
      <c r="U457" s="10">
        <f>GraphSalmonella!$H$57*Salmonella!I457+GraphSalmonella!$H$58</f>
        <v>0.27208851901262943</v>
      </c>
      <c r="X457" s="10">
        <f>GraphSalmonella!$B$80*Salmonella!I457+GraphSalmonella!$B$81</f>
        <v>0.2738497546709393</v>
      </c>
      <c r="Y457" s="10">
        <f>GraphSalmonella!$E$80*Salmonella!I457+GraphSalmonella!$E$81</f>
        <v>0.2823920067305572</v>
      </c>
      <c r="Z457" s="10">
        <f>GraphSalmonella!$H$80*Salmonella!I457+GraphSalmonella!$H$81</f>
        <v>-6.4512686973317024E-2</v>
      </c>
    </row>
    <row r="458" spans="1:26" x14ac:dyDescent="0.2">
      <c r="A458" s="1" t="s">
        <v>66</v>
      </c>
      <c r="B458" s="1" t="s">
        <v>96</v>
      </c>
      <c r="C458">
        <v>2315</v>
      </c>
      <c r="D458" t="s">
        <v>44</v>
      </c>
      <c r="E458" s="1" t="s">
        <v>370</v>
      </c>
      <c r="F458" s="19" t="s">
        <v>50</v>
      </c>
      <c r="G458" s="9">
        <v>0.85</v>
      </c>
      <c r="I458" s="4">
        <v>60</v>
      </c>
      <c r="J458" s="11">
        <v>1.7</v>
      </c>
      <c r="L458" s="12">
        <f t="shared" si="11"/>
        <v>0.23044892137827391</v>
      </c>
      <c r="M458" s="11">
        <f>GraphSalmonella!$B$10-(Salmonella!I458-GraphSalmonella!$B$6)/GraphSalmonella!$B$5</f>
        <v>0.2712239435094701</v>
      </c>
      <c r="N458" s="1" t="s">
        <v>580</v>
      </c>
      <c r="O458">
        <v>1970</v>
      </c>
      <c r="P458" t="s">
        <v>579</v>
      </c>
      <c r="S458" s="10">
        <f>GraphSalmonella!$B$57*Salmonella!I458+GraphSalmonella!$B$58</f>
        <v>0.35072323220664714</v>
      </c>
      <c r="T458" s="10">
        <f>GraphSalmonella!$E$57*Salmonella!I458+GraphSalmonella!$E$58</f>
        <v>3.1370239566030182</v>
      </c>
      <c r="U458" s="10">
        <f>GraphSalmonella!$H$57*Salmonella!I458+GraphSalmonella!$H$58</f>
        <v>0.27208851901262943</v>
      </c>
      <c r="X458" s="10">
        <f>GraphSalmonella!$B$80*Salmonella!I458+GraphSalmonella!$B$81</f>
        <v>0.2738497546709393</v>
      </c>
      <c r="Y458" s="10">
        <f>GraphSalmonella!$E$80*Salmonella!I458+GraphSalmonella!$E$81</f>
        <v>0.2823920067305572</v>
      </c>
      <c r="Z458" s="10">
        <f>GraphSalmonella!$H$80*Salmonella!I458+GraphSalmonella!$H$81</f>
        <v>-6.4512686973317024E-2</v>
      </c>
    </row>
    <row r="459" spans="1:26" x14ac:dyDescent="0.2">
      <c r="A459" s="1" t="s">
        <v>66</v>
      </c>
      <c r="B459" s="1" t="s">
        <v>96</v>
      </c>
      <c r="C459">
        <v>2315</v>
      </c>
      <c r="D459" t="s">
        <v>44</v>
      </c>
      <c r="E459" s="1" t="s">
        <v>370</v>
      </c>
      <c r="F459" s="19" t="s">
        <v>50</v>
      </c>
      <c r="G459" s="9">
        <v>0.9</v>
      </c>
      <c r="I459" s="4">
        <v>60</v>
      </c>
      <c r="J459" s="11">
        <v>1.7</v>
      </c>
      <c r="L459" s="12">
        <f t="shared" si="11"/>
        <v>0.23044892137827391</v>
      </c>
      <c r="M459" s="11">
        <f>GraphSalmonella!$B$10-(Salmonella!I459-GraphSalmonella!$B$6)/GraphSalmonella!$B$5</f>
        <v>0.2712239435094701</v>
      </c>
      <c r="N459" s="1" t="s">
        <v>580</v>
      </c>
      <c r="O459">
        <v>1970</v>
      </c>
      <c r="P459" t="s">
        <v>579</v>
      </c>
      <c r="S459" s="10">
        <f>GraphSalmonella!$B$57*Salmonella!I459+GraphSalmonella!$B$58</f>
        <v>0.35072323220664714</v>
      </c>
      <c r="T459" s="10">
        <f>GraphSalmonella!$E$57*Salmonella!I459+GraphSalmonella!$E$58</f>
        <v>3.1370239566030182</v>
      </c>
      <c r="U459" s="10">
        <f>GraphSalmonella!$H$57*Salmonella!I459+GraphSalmonella!$H$58</f>
        <v>0.27208851901262943</v>
      </c>
      <c r="X459" s="10">
        <f>GraphSalmonella!$B$80*Salmonella!I459+GraphSalmonella!$B$81</f>
        <v>0.2738497546709393</v>
      </c>
      <c r="Y459" s="10">
        <f>GraphSalmonella!$E$80*Salmonella!I459+GraphSalmonella!$E$81</f>
        <v>0.2823920067305572</v>
      </c>
      <c r="Z459" s="10">
        <f>GraphSalmonella!$H$80*Salmonella!I459+GraphSalmonella!$H$81</f>
        <v>-6.4512686973317024E-2</v>
      </c>
    </row>
    <row r="460" spans="1:26" x14ac:dyDescent="0.2">
      <c r="A460" s="1" t="s">
        <v>66</v>
      </c>
      <c r="B460" s="1" t="s">
        <v>96</v>
      </c>
      <c r="C460">
        <v>2315</v>
      </c>
      <c r="D460" t="s">
        <v>44</v>
      </c>
      <c r="E460" s="1" t="s">
        <v>370</v>
      </c>
      <c r="F460" s="19" t="s">
        <v>50</v>
      </c>
      <c r="G460" s="9">
        <v>0.92</v>
      </c>
      <c r="I460" s="4">
        <v>60</v>
      </c>
      <c r="J460" s="11">
        <v>1.1000000000000001</v>
      </c>
      <c r="L460" s="12">
        <f t="shared" si="11"/>
        <v>4.1392685158225077E-2</v>
      </c>
      <c r="M460" s="11">
        <f>GraphSalmonella!$B$10-(Salmonella!I460-GraphSalmonella!$B$6)/GraphSalmonella!$B$5</f>
        <v>0.2712239435094701</v>
      </c>
      <c r="N460" s="1" t="s">
        <v>580</v>
      </c>
      <c r="O460">
        <v>1970</v>
      </c>
      <c r="P460" t="s">
        <v>579</v>
      </c>
      <c r="S460" s="10">
        <f>GraphSalmonella!$B$57*Salmonella!I460+GraphSalmonella!$B$58</f>
        <v>0.35072323220664714</v>
      </c>
      <c r="T460" s="10">
        <f>GraphSalmonella!$E$57*Salmonella!I460+GraphSalmonella!$E$58</f>
        <v>3.1370239566030182</v>
      </c>
      <c r="U460" s="10">
        <f>GraphSalmonella!$H$57*Salmonella!I460+GraphSalmonella!$H$58</f>
        <v>0.27208851901262943</v>
      </c>
      <c r="X460" s="10">
        <f>GraphSalmonella!$B$80*Salmonella!I460+GraphSalmonella!$B$81</f>
        <v>0.2738497546709393</v>
      </c>
      <c r="Y460" s="10">
        <f>GraphSalmonella!$E$80*Salmonella!I460+GraphSalmonella!$E$81</f>
        <v>0.2823920067305572</v>
      </c>
      <c r="Z460" s="10">
        <f>GraphSalmonella!$H$80*Salmonella!I460+GraphSalmonella!$H$81</f>
        <v>-6.4512686973317024E-2</v>
      </c>
    </row>
    <row r="461" spans="1:26" x14ac:dyDescent="0.2">
      <c r="A461" s="1" t="s">
        <v>66</v>
      </c>
      <c r="B461" s="1" t="s">
        <v>96</v>
      </c>
      <c r="C461">
        <v>2315</v>
      </c>
      <c r="D461" t="s">
        <v>44</v>
      </c>
      <c r="E461" s="1" t="s">
        <v>370</v>
      </c>
      <c r="F461" s="19" t="s">
        <v>50</v>
      </c>
      <c r="G461" s="9">
        <v>0.96</v>
      </c>
      <c r="I461" s="4">
        <v>60</v>
      </c>
      <c r="J461" s="11">
        <v>0.43</v>
      </c>
      <c r="L461" s="12">
        <f t="shared" si="11"/>
        <v>-0.36653154442041347</v>
      </c>
      <c r="M461" s="11">
        <f>GraphSalmonella!$B$10-(Salmonella!I461-GraphSalmonella!$B$6)/GraphSalmonella!$B$5</f>
        <v>0.2712239435094701</v>
      </c>
      <c r="N461" s="1" t="s">
        <v>580</v>
      </c>
      <c r="O461">
        <v>1970</v>
      </c>
      <c r="P461" t="s">
        <v>579</v>
      </c>
      <c r="S461" s="10">
        <f>GraphSalmonella!$B$57*Salmonella!I461+GraphSalmonella!$B$58</f>
        <v>0.35072323220664714</v>
      </c>
      <c r="T461" s="10">
        <f>GraphSalmonella!$E$57*Salmonella!I461+GraphSalmonella!$E$58</f>
        <v>3.1370239566030182</v>
      </c>
      <c r="U461" s="10">
        <f>GraphSalmonella!$H$57*Salmonella!I461+GraphSalmonella!$H$58</f>
        <v>0.27208851901262943</v>
      </c>
      <c r="X461" s="10">
        <f>GraphSalmonella!$B$80*Salmonella!I461+GraphSalmonella!$B$81</f>
        <v>0.2738497546709393</v>
      </c>
      <c r="Y461" s="10">
        <f>GraphSalmonella!$E$80*Salmonella!I461+GraphSalmonella!$E$81</f>
        <v>0.2823920067305572</v>
      </c>
      <c r="Z461" s="10">
        <f>GraphSalmonella!$H$80*Salmonella!I461+GraphSalmonella!$H$81</f>
        <v>-6.4512686973317024E-2</v>
      </c>
    </row>
    <row r="462" spans="1:26" x14ac:dyDescent="0.2">
      <c r="A462" s="1" t="s">
        <v>66</v>
      </c>
      <c r="B462" s="1" t="s">
        <v>96</v>
      </c>
      <c r="C462">
        <v>2315</v>
      </c>
      <c r="D462" t="s">
        <v>44</v>
      </c>
      <c r="E462" s="1" t="s">
        <v>370</v>
      </c>
      <c r="F462" s="19" t="s">
        <v>50</v>
      </c>
      <c r="G462" s="9">
        <v>0.98</v>
      </c>
      <c r="I462" s="4">
        <v>60</v>
      </c>
      <c r="J462" s="11">
        <v>0.44</v>
      </c>
      <c r="L462" s="12">
        <f t="shared" si="11"/>
        <v>-0.35654732351381258</v>
      </c>
      <c r="M462" s="11">
        <f>GraphSalmonella!$B$10-(Salmonella!I462-GraphSalmonella!$B$6)/GraphSalmonella!$B$5</f>
        <v>0.2712239435094701</v>
      </c>
      <c r="N462" s="1" t="s">
        <v>580</v>
      </c>
      <c r="O462">
        <v>1970</v>
      </c>
      <c r="P462" t="s">
        <v>579</v>
      </c>
      <c r="S462" s="10">
        <f>GraphSalmonella!$B$57*Salmonella!I462+GraphSalmonella!$B$58</f>
        <v>0.35072323220664714</v>
      </c>
      <c r="T462" s="10">
        <f>GraphSalmonella!$E$57*Salmonella!I462+GraphSalmonella!$E$58</f>
        <v>3.1370239566030182</v>
      </c>
      <c r="U462" s="10">
        <f>GraphSalmonella!$H$57*Salmonella!I462+GraphSalmonella!$H$58</f>
        <v>0.27208851901262943</v>
      </c>
      <c r="X462" s="10">
        <f>GraphSalmonella!$B$80*Salmonella!I462+GraphSalmonella!$B$81</f>
        <v>0.2738497546709393</v>
      </c>
      <c r="Y462" s="10">
        <f>GraphSalmonella!$E$80*Salmonella!I462+GraphSalmonella!$E$81</f>
        <v>0.2823920067305572</v>
      </c>
      <c r="Z462" s="10">
        <f>GraphSalmonella!$H$80*Salmonella!I462+GraphSalmonella!$H$81</f>
        <v>-6.4512686973317024E-2</v>
      </c>
    </row>
    <row r="463" spans="1:26" x14ac:dyDescent="0.2">
      <c r="A463" s="1" t="s">
        <v>66</v>
      </c>
      <c r="B463" s="1" t="s">
        <v>96</v>
      </c>
      <c r="C463">
        <v>2315</v>
      </c>
      <c r="D463" t="s">
        <v>44</v>
      </c>
      <c r="E463" s="1" t="s">
        <v>370</v>
      </c>
      <c r="F463" s="19" t="s">
        <v>50</v>
      </c>
      <c r="G463" s="9">
        <v>0.998</v>
      </c>
      <c r="I463" s="4">
        <v>60</v>
      </c>
      <c r="J463" s="11">
        <v>0.41</v>
      </c>
      <c r="L463" s="12">
        <f t="shared" si="11"/>
        <v>-0.38721614328026455</v>
      </c>
      <c r="M463" s="11">
        <f>GraphSalmonella!$B$10-(Salmonella!I463-GraphSalmonella!$B$6)/GraphSalmonella!$B$5</f>
        <v>0.2712239435094701</v>
      </c>
      <c r="N463" s="1" t="s">
        <v>580</v>
      </c>
      <c r="O463">
        <v>1970</v>
      </c>
      <c r="P463" t="s">
        <v>579</v>
      </c>
      <c r="S463" s="10">
        <f>GraphSalmonella!$B$57*Salmonella!I463+GraphSalmonella!$B$58</f>
        <v>0.35072323220664714</v>
      </c>
      <c r="T463" s="10">
        <f>GraphSalmonella!$E$57*Salmonella!I463+GraphSalmonella!$E$58</f>
        <v>3.1370239566030182</v>
      </c>
      <c r="U463" s="10">
        <f>GraphSalmonella!$H$57*Salmonella!I463+GraphSalmonella!$H$58</f>
        <v>0.27208851901262943</v>
      </c>
      <c r="X463" s="10">
        <f>GraphSalmonella!$B$80*Salmonella!I463+GraphSalmonella!$B$81</f>
        <v>0.2738497546709393</v>
      </c>
      <c r="Y463" s="10">
        <f>GraphSalmonella!$E$80*Salmonella!I463+GraphSalmonella!$E$81</f>
        <v>0.2823920067305572</v>
      </c>
      <c r="Z463" s="10">
        <f>GraphSalmonella!$H$80*Salmonella!I463+GraphSalmonella!$H$81</f>
        <v>-6.4512686973317024E-2</v>
      </c>
    </row>
    <row r="464" spans="1:26" x14ac:dyDescent="0.2">
      <c r="A464" s="1" t="s">
        <v>66</v>
      </c>
      <c r="B464" s="1" t="s">
        <v>96</v>
      </c>
      <c r="C464">
        <v>2315</v>
      </c>
      <c r="D464" t="s">
        <v>44</v>
      </c>
      <c r="E464" s="1" t="s">
        <v>370</v>
      </c>
      <c r="F464" s="19" t="s">
        <v>50</v>
      </c>
      <c r="G464" s="9">
        <v>0.94</v>
      </c>
      <c r="I464" s="4">
        <v>60</v>
      </c>
      <c r="J464" s="11">
        <v>0.71</v>
      </c>
      <c r="L464" s="12">
        <f t="shared" si="11"/>
        <v>-0.14874165128092473</v>
      </c>
      <c r="M464" s="11">
        <f>GraphSalmonella!$B$10-(Salmonella!I464-GraphSalmonella!$B$6)/GraphSalmonella!$B$5</f>
        <v>0.2712239435094701</v>
      </c>
      <c r="N464" s="1" t="s">
        <v>580</v>
      </c>
      <c r="O464">
        <v>1970</v>
      </c>
      <c r="P464" t="s">
        <v>579</v>
      </c>
      <c r="S464" s="10">
        <f>GraphSalmonella!$B$57*Salmonella!I464+GraphSalmonella!$B$58</f>
        <v>0.35072323220664714</v>
      </c>
      <c r="T464" s="10">
        <f>GraphSalmonella!$E$57*Salmonella!I464+GraphSalmonella!$E$58</f>
        <v>3.1370239566030182</v>
      </c>
      <c r="U464" s="10">
        <f>GraphSalmonella!$H$57*Salmonella!I464+GraphSalmonella!$H$58</f>
        <v>0.27208851901262943</v>
      </c>
      <c r="X464" s="10">
        <f>GraphSalmonella!$B$80*Salmonella!I464+GraphSalmonella!$B$81</f>
        <v>0.2738497546709393</v>
      </c>
      <c r="Y464" s="10">
        <f>GraphSalmonella!$E$80*Salmonella!I464+GraphSalmonella!$E$81</f>
        <v>0.2823920067305572</v>
      </c>
      <c r="Z464" s="10">
        <f>GraphSalmonella!$H$80*Salmonella!I464+GraphSalmonella!$H$81</f>
        <v>-6.4512686973317024E-2</v>
      </c>
    </row>
    <row r="465" spans="1:26" x14ac:dyDescent="0.2">
      <c r="A465" s="1" t="s">
        <v>66</v>
      </c>
      <c r="B465" s="1" t="s">
        <v>67</v>
      </c>
      <c r="C465">
        <v>436</v>
      </c>
      <c r="D465" t="s">
        <v>44</v>
      </c>
      <c r="E465" s="1" t="s">
        <v>370</v>
      </c>
      <c r="F465" s="19" t="s">
        <v>50</v>
      </c>
      <c r="G465" s="9">
        <v>0.85</v>
      </c>
      <c r="I465" s="4">
        <v>60</v>
      </c>
      <c r="J465" s="11">
        <v>2.6</v>
      </c>
      <c r="L465" s="12">
        <f t="shared" si="11"/>
        <v>0.41497334797081797</v>
      </c>
      <c r="M465" s="11">
        <f>GraphSalmonella!$B$10-(Salmonella!I465-GraphSalmonella!$B$6)/GraphSalmonella!$B$5</f>
        <v>0.2712239435094701</v>
      </c>
      <c r="N465" s="1" t="s">
        <v>580</v>
      </c>
      <c r="O465">
        <v>1970</v>
      </c>
      <c r="P465" t="s">
        <v>579</v>
      </c>
      <c r="S465" s="10">
        <f>GraphSalmonella!$B$57*Salmonella!I465+GraphSalmonella!$B$58</f>
        <v>0.35072323220664714</v>
      </c>
      <c r="T465" s="10">
        <f>GraphSalmonella!$E$57*Salmonella!I465+GraphSalmonella!$E$58</f>
        <v>3.1370239566030182</v>
      </c>
      <c r="U465" s="10">
        <f>GraphSalmonella!$H$57*Salmonella!I465+GraphSalmonella!$H$58</f>
        <v>0.27208851901262943</v>
      </c>
      <c r="X465" s="10">
        <f>GraphSalmonella!$B$80*Salmonella!I465+GraphSalmonella!$B$81</f>
        <v>0.2738497546709393</v>
      </c>
      <c r="Y465" s="10">
        <f>GraphSalmonella!$E$80*Salmonella!I465+GraphSalmonella!$E$81</f>
        <v>0.2823920067305572</v>
      </c>
      <c r="Z465" s="10">
        <f>GraphSalmonella!$H$80*Salmonella!I465+GraphSalmonella!$H$81</f>
        <v>-6.4512686973317024E-2</v>
      </c>
    </row>
    <row r="466" spans="1:26" x14ac:dyDescent="0.2">
      <c r="A466" s="1" t="s">
        <v>66</v>
      </c>
      <c r="B466" s="1" t="s">
        <v>67</v>
      </c>
      <c r="C466">
        <v>436</v>
      </c>
      <c r="D466" t="s">
        <v>44</v>
      </c>
      <c r="E466" s="1" t="s">
        <v>370</v>
      </c>
      <c r="F466" s="19" t="s">
        <v>50</v>
      </c>
      <c r="G466" s="9">
        <v>0.9</v>
      </c>
      <c r="I466" s="4">
        <v>60</v>
      </c>
      <c r="J466" s="11">
        <v>1.5</v>
      </c>
      <c r="L466" s="12">
        <f t="shared" si="11"/>
        <v>0.17609125905568124</v>
      </c>
      <c r="M466" s="11">
        <f>GraphSalmonella!$B$10-(Salmonella!I466-GraphSalmonella!$B$6)/GraphSalmonella!$B$5</f>
        <v>0.2712239435094701</v>
      </c>
      <c r="N466" s="1" t="s">
        <v>580</v>
      </c>
      <c r="O466">
        <v>1970</v>
      </c>
      <c r="P466" t="s">
        <v>579</v>
      </c>
      <c r="S466" s="10">
        <f>GraphSalmonella!$B$57*Salmonella!I466+GraphSalmonella!$B$58</f>
        <v>0.35072323220664714</v>
      </c>
      <c r="T466" s="10">
        <f>GraphSalmonella!$E$57*Salmonella!I466+GraphSalmonella!$E$58</f>
        <v>3.1370239566030182</v>
      </c>
      <c r="U466" s="10">
        <f>GraphSalmonella!$H$57*Salmonella!I466+GraphSalmonella!$H$58</f>
        <v>0.27208851901262943</v>
      </c>
      <c r="X466" s="10">
        <f>GraphSalmonella!$B$80*Salmonella!I466+GraphSalmonella!$B$81</f>
        <v>0.2738497546709393</v>
      </c>
      <c r="Y466" s="10">
        <f>GraphSalmonella!$E$80*Salmonella!I466+GraphSalmonella!$E$81</f>
        <v>0.2823920067305572</v>
      </c>
      <c r="Z466" s="10">
        <f>GraphSalmonella!$H$80*Salmonella!I466+GraphSalmonella!$H$81</f>
        <v>-6.4512686973317024E-2</v>
      </c>
    </row>
    <row r="467" spans="1:26" x14ac:dyDescent="0.2">
      <c r="A467" s="1" t="s">
        <v>66</v>
      </c>
      <c r="B467" s="1" t="s">
        <v>67</v>
      </c>
      <c r="C467">
        <v>436</v>
      </c>
      <c r="D467" t="s">
        <v>44</v>
      </c>
      <c r="E467" s="1" t="s">
        <v>370</v>
      </c>
      <c r="F467" s="19" t="s">
        <v>50</v>
      </c>
      <c r="G467" s="9">
        <v>0.92</v>
      </c>
      <c r="I467" s="4">
        <v>60</v>
      </c>
      <c r="J467" s="11">
        <v>1.6</v>
      </c>
      <c r="L467" s="12">
        <f t="shared" si="11"/>
        <v>0.20411998265592479</v>
      </c>
      <c r="M467" s="11">
        <f>GraphSalmonella!$B$10-(Salmonella!I467-GraphSalmonella!$B$6)/GraphSalmonella!$B$5</f>
        <v>0.2712239435094701</v>
      </c>
      <c r="N467" s="1" t="s">
        <v>580</v>
      </c>
      <c r="O467">
        <v>1970</v>
      </c>
      <c r="P467" t="s">
        <v>579</v>
      </c>
      <c r="S467" s="10">
        <f>GraphSalmonella!$B$57*Salmonella!I467+GraphSalmonella!$B$58</f>
        <v>0.35072323220664714</v>
      </c>
      <c r="T467" s="10">
        <f>GraphSalmonella!$E$57*Salmonella!I467+GraphSalmonella!$E$58</f>
        <v>3.1370239566030182</v>
      </c>
      <c r="U467" s="10">
        <f>GraphSalmonella!$H$57*Salmonella!I467+GraphSalmonella!$H$58</f>
        <v>0.27208851901262943</v>
      </c>
      <c r="X467" s="10">
        <f>GraphSalmonella!$B$80*Salmonella!I467+GraphSalmonella!$B$81</f>
        <v>0.2738497546709393</v>
      </c>
      <c r="Y467" s="10">
        <f>GraphSalmonella!$E$80*Salmonella!I467+GraphSalmonella!$E$81</f>
        <v>0.2823920067305572</v>
      </c>
      <c r="Z467" s="10">
        <f>GraphSalmonella!$H$80*Salmonella!I467+GraphSalmonella!$H$81</f>
        <v>-6.4512686973317024E-2</v>
      </c>
    </row>
    <row r="468" spans="1:26" x14ac:dyDescent="0.2">
      <c r="A468" s="1" t="s">
        <v>66</v>
      </c>
      <c r="B468" s="1" t="s">
        <v>67</v>
      </c>
      <c r="C468">
        <v>436</v>
      </c>
      <c r="D468" t="s">
        <v>44</v>
      </c>
      <c r="E468" s="1" t="s">
        <v>370</v>
      </c>
      <c r="F468" s="19" t="s">
        <v>50</v>
      </c>
      <c r="G468" s="9">
        <v>0.96</v>
      </c>
      <c r="I468" s="4">
        <v>60</v>
      </c>
      <c r="J468" s="11">
        <v>0.87</v>
      </c>
      <c r="L468" s="12">
        <f t="shared" si="11"/>
        <v>-6.0480747381381476E-2</v>
      </c>
      <c r="M468" s="11">
        <f>GraphSalmonella!$B$10-(Salmonella!I468-GraphSalmonella!$B$6)/GraphSalmonella!$B$5</f>
        <v>0.2712239435094701</v>
      </c>
      <c r="N468" s="1" t="s">
        <v>580</v>
      </c>
      <c r="O468">
        <v>1970</v>
      </c>
      <c r="P468" t="s">
        <v>579</v>
      </c>
      <c r="S468" s="10">
        <f>GraphSalmonella!$B$57*Salmonella!I468+GraphSalmonella!$B$58</f>
        <v>0.35072323220664714</v>
      </c>
      <c r="T468" s="10">
        <f>GraphSalmonella!$E$57*Salmonella!I468+GraphSalmonella!$E$58</f>
        <v>3.1370239566030182</v>
      </c>
      <c r="U468" s="10">
        <f>GraphSalmonella!$H$57*Salmonella!I468+GraphSalmonella!$H$58</f>
        <v>0.27208851901262943</v>
      </c>
      <c r="X468" s="10">
        <f>GraphSalmonella!$B$80*Salmonella!I468+GraphSalmonella!$B$81</f>
        <v>0.2738497546709393</v>
      </c>
      <c r="Y468" s="10">
        <f>GraphSalmonella!$E$80*Salmonella!I468+GraphSalmonella!$E$81</f>
        <v>0.2823920067305572</v>
      </c>
      <c r="Z468" s="10">
        <f>GraphSalmonella!$H$80*Salmonella!I468+GraphSalmonella!$H$81</f>
        <v>-6.4512686973317024E-2</v>
      </c>
    </row>
    <row r="469" spans="1:26" x14ac:dyDescent="0.2">
      <c r="A469" s="1" t="s">
        <v>66</v>
      </c>
      <c r="B469" s="1" t="s">
        <v>67</v>
      </c>
      <c r="C469">
        <v>436</v>
      </c>
      <c r="D469" t="s">
        <v>44</v>
      </c>
      <c r="E469" s="1" t="s">
        <v>370</v>
      </c>
      <c r="F469" s="19" t="s">
        <v>50</v>
      </c>
      <c r="G469" s="9">
        <v>0.98</v>
      </c>
      <c r="I469" s="4">
        <v>60</v>
      </c>
      <c r="J469" s="11">
        <v>0.71</v>
      </c>
      <c r="L469" s="12">
        <f t="shared" si="11"/>
        <v>-0.14874165128092473</v>
      </c>
      <c r="M469" s="11">
        <f>GraphSalmonella!$B$10-(Salmonella!I469-GraphSalmonella!$B$6)/GraphSalmonella!$B$5</f>
        <v>0.2712239435094701</v>
      </c>
      <c r="N469" s="1" t="s">
        <v>580</v>
      </c>
      <c r="O469">
        <v>1970</v>
      </c>
      <c r="P469" t="s">
        <v>579</v>
      </c>
      <c r="S469" s="10">
        <f>GraphSalmonella!$B$57*Salmonella!I469+GraphSalmonella!$B$58</f>
        <v>0.35072323220664714</v>
      </c>
      <c r="T469" s="10">
        <f>GraphSalmonella!$E$57*Salmonella!I469+GraphSalmonella!$E$58</f>
        <v>3.1370239566030182</v>
      </c>
      <c r="U469" s="10">
        <f>GraphSalmonella!$H$57*Salmonella!I469+GraphSalmonella!$H$58</f>
        <v>0.27208851901262943</v>
      </c>
      <c r="X469" s="10">
        <f>GraphSalmonella!$B$80*Salmonella!I469+GraphSalmonella!$B$81</f>
        <v>0.2738497546709393</v>
      </c>
      <c r="Y469" s="10">
        <f>GraphSalmonella!$E$80*Salmonella!I469+GraphSalmonella!$E$81</f>
        <v>0.2823920067305572</v>
      </c>
      <c r="Z469" s="10">
        <f>GraphSalmonella!$H$80*Salmonella!I469+GraphSalmonella!$H$81</f>
        <v>-6.4512686973317024E-2</v>
      </c>
    </row>
    <row r="470" spans="1:26" x14ac:dyDescent="0.2">
      <c r="A470" s="1" t="s">
        <v>66</v>
      </c>
      <c r="B470" s="1" t="s">
        <v>67</v>
      </c>
      <c r="C470">
        <v>436</v>
      </c>
      <c r="D470" t="s">
        <v>44</v>
      </c>
      <c r="E470" s="1" t="s">
        <v>370</v>
      </c>
      <c r="F470" s="19" t="s">
        <v>50</v>
      </c>
      <c r="G470" s="9">
        <v>0.998</v>
      </c>
      <c r="I470" s="4">
        <v>60</v>
      </c>
      <c r="J470" s="11">
        <v>0.46</v>
      </c>
      <c r="L470" s="12">
        <f t="shared" si="11"/>
        <v>-0.33724216831842591</v>
      </c>
      <c r="M470" s="11">
        <f>GraphSalmonella!$B$10-(Salmonella!I470-GraphSalmonella!$B$6)/GraphSalmonella!$B$5</f>
        <v>0.2712239435094701</v>
      </c>
      <c r="N470" s="1" t="s">
        <v>580</v>
      </c>
      <c r="O470">
        <v>1970</v>
      </c>
      <c r="P470" t="s">
        <v>579</v>
      </c>
      <c r="S470" s="10">
        <f>GraphSalmonella!$B$57*Salmonella!I470+GraphSalmonella!$B$58</f>
        <v>0.35072323220664714</v>
      </c>
      <c r="T470" s="10">
        <f>GraphSalmonella!$E$57*Salmonella!I470+GraphSalmonella!$E$58</f>
        <v>3.1370239566030182</v>
      </c>
      <c r="U470" s="10">
        <f>GraphSalmonella!$H$57*Salmonella!I470+GraphSalmonella!$H$58</f>
        <v>0.27208851901262943</v>
      </c>
      <c r="X470" s="10">
        <f>GraphSalmonella!$B$80*Salmonella!I470+GraphSalmonella!$B$81</f>
        <v>0.2738497546709393</v>
      </c>
      <c r="Y470" s="10">
        <f>GraphSalmonella!$E$80*Salmonella!I470+GraphSalmonella!$E$81</f>
        <v>0.2823920067305572</v>
      </c>
      <c r="Z470" s="10">
        <f>GraphSalmonella!$H$80*Salmonella!I470+GraphSalmonella!$H$81</f>
        <v>-6.4512686973317024E-2</v>
      </c>
    </row>
    <row r="471" spans="1:26" x14ac:dyDescent="0.2">
      <c r="A471" s="1" t="s">
        <v>66</v>
      </c>
      <c r="B471" s="1" t="s">
        <v>67</v>
      </c>
      <c r="C471">
        <v>436</v>
      </c>
      <c r="D471" t="s">
        <v>44</v>
      </c>
      <c r="E471" s="1" t="s">
        <v>370</v>
      </c>
      <c r="F471" s="19" t="s">
        <v>50</v>
      </c>
      <c r="G471" s="9">
        <v>0.94</v>
      </c>
      <c r="I471" s="4">
        <v>60</v>
      </c>
      <c r="J471" s="11">
        <v>0.98</v>
      </c>
      <c r="L471" s="12">
        <f t="shared" si="11"/>
        <v>-8.7739243075051505E-3</v>
      </c>
      <c r="M471" s="11">
        <f>GraphSalmonella!$B$10-(Salmonella!I471-GraphSalmonella!$B$6)/GraphSalmonella!$B$5</f>
        <v>0.2712239435094701</v>
      </c>
      <c r="N471" s="1" t="s">
        <v>580</v>
      </c>
      <c r="O471">
        <v>1970</v>
      </c>
      <c r="P471" t="s">
        <v>579</v>
      </c>
      <c r="S471" s="10">
        <f>GraphSalmonella!$B$57*Salmonella!I471+GraphSalmonella!$B$58</f>
        <v>0.35072323220664714</v>
      </c>
      <c r="T471" s="10">
        <f>GraphSalmonella!$E$57*Salmonella!I471+GraphSalmonella!$E$58</f>
        <v>3.1370239566030182</v>
      </c>
      <c r="U471" s="10">
        <f>GraphSalmonella!$H$57*Salmonella!I471+GraphSalmonella!$H$58</f>
        <v>0.27208851901262943</v>
      </c>
      <c r="X471" s="10">
        <f>GraphSalmonella!$B$80*Salmonella!I471+GraphSalmonella!$B$81</f>
        <v>0.2738497546709393</v>
      </c>
      <c r="Y471" s="10">
        <f>GraphSalmonella!$E$80*Salmonella!I471+GraphSalmonella!$E$81</f>
        <v>0.2823920067305572</v>
      </c>
      <c r="Z471" s="10">
        <f>GraphSalmonella!$H$80*Salmonella!I471+GraphSalmonella!$H$81</f>
        <v>-6.4512686973317024E-2</v>
      </c>
    </row>
    <row r="472" spans="1:26" x14ac:dyDescent="0.2">
      <c r="A472" s="1" t="s">
        <v>66</v>
      </c>
      <c r="B472" s="1" t="s">
        <v>67</v>
      </c>
      <c r="C472" t="s">
        <v>312</v>
      </c>
      <c r="D472" t="s">
        <v>44</v>
      </c>
      <c r="E472" s="1" t="s">
        <v>370</v>
      </c>
      <c r="F472" s="19" t="s">
        <v>50</v>
      </c>
      <c r="G472" s="9">
        <v>0.85</v>
      </c>
      <c r="I472" s="4">
        <v>60</v>
      </c>
      <c r="J472" s="11">
        <v>3.3</v>
      </c>
      <c r="L472" s="12">
        <f t="shared" si="11"/>
        <v>0.51851393987788741</v>
      </c>
      <c r="M472" s="11">
        <f>GraphSalmonella!$B$10-(Salmonella!I472-GraphSalmonella!$B$6)/GraphSalmonella!$B$5</f>
        <v>0.2712239435094701</v>
      </c>
      <c r="N472" s="1" t="s">
        <v>580</v>
      </c>
      <c r="O472">
        <v>1970</v>
      </c>
      <c r="P472" t="s">
        <v>578</v>
      </c>
      <c r="S472" s="10">
        <f>GraphSalmonella!$B$57*Salmonella!I472+GraphSalmonella!$B$58</f>
        <v>0.35072323220664714</v>
      </c>
      <c r="T472" s="10">
        <f>GraphSalmonella!$E$57*Salmonella!I472+GraphSalmonella!$E$58</f>
        <v>3.1370239566030182</v>
      </c>
      <c r="U472" s="10">
        <f>GraphSalmonella!$H$57*Salmonella!I472+GraphSalmonella!$H$58</f>
        <v>0.27208851901262943</v>
      </c>
      <c r="X472" s="10">
        <f>GraphSalmonella!$B$80*Salmonella!I472+GraphSalmonella!$B$81</f>
        <v>0.2738497546709393</v>
      </c>
      <c r="Y472" s="10">
        <f>GraphSalmonella!$E$80*Salmonella!I472+GraphSalmonella!$E$81</f>
        <v>0.2823920067305572</v>
      </c>
      <c r="Z472" s="10">
        <f>GraphSalmonella!$H$80*Salmonella!I472+GraphSalmonella!$H$81</f>
        <v>-6.4512686973317024E-2</v>
      </c>
    </row>
    <row r="473" spans="1:26" x14ac:dyDescent="0.2">
      <c r="A473" s="1" t="s">
        <v>66</v>
      </c>
      <c r="B473" s="1" t="s">
        <v>67</v>
      </c>
      <c r="C473" t="s">
        <v>312</v>
      </c>
      <c r="D473" t="s">
        <v>44</v>
      </c>
      <c r="E473" s="1" t="s">
        <v>370</v>
      </c>
      <c r="F473" s="19" t="s">
        <v>50</v>
      </c>
      <c r="G473" s="9">
        <v>0.9</v>
      </c>
      <c r="I473" s="4">
        <v>60</v>
      </c>
      <c r="J473" s="11">
        <v>2.5</v>
      </c>
      <c r="L473" s="12">
        <f t="shared" si="11"/>
        <v>0.3979400086720376</v>
      </c>
      <c r="M473" s="11">
        <f>GraphSalmonella!$B$10-(Salmonella!I473-GraphSalmonella!$B$6)/GraphSalmonella!$B$5</f>
        <v>0.2712239435094701</v>
      </c>
      <c r="N473" s="1" t="s">
        <v>580</v>
      </c>
      <c r="O473">
        <v>1970</v>
      </c>
      <c r="P473" t="s">
        <v>578</v>
      </c>
      <c r="S473" s="10">
        <f>GraphSalmonella!$B$57*Salmonella!I473+GraphSalmonella!$B$58</f>
        <v>0.35072323220664714</v>
      </c>
      <c r="T473" s="10">
        <f>GraphSalmonella!$E$57*Salmonella!I473+GraphSalmonella!$E$58</f>
        <v>3.1370239566030182</v>
      </c>
      <c r="U473" s="10">
        <f>GraphSalmonella!$H$57*Salmonella!I473+GraphSalmonella!$H$58</f>
        <v>0.27208851901262943</v>
      </c>
      <c r="X473" s="10">
        <f>GraphSalmonella!$B$80*Salmonella!I473+GraphSalmonella!$B$81</f>
        <v>0.2738497546709393</v>
      </c>
      <c r="Y473" s="10">
        <f>GraphSalmonella!$E$80*Salmonella!I473+GraphSalmonella!$E$81</f>
        <v>0.2823920067305572</v>
      </c>
      <c r="Z473" s="10">
        <f>GraphSalmonella!$H$80*Salmonella!I473+GraphSalmonella!$H$81</f>
        <v>-6.4512686973317024E-2</v>
      </c>
    </row>
    <row r="474" spans="1:26" x14ac:dyDescent="0.2">
      <c r="A474" s="1" t="s">
        <v>66</v>
      </c>
      <c r="B474" s="1" t="s">
        <v>67</v>
      </c>
      <c r="C474" t="s">
        <v>312</v>
      </c>
      <c r="D474" t="s">
        <v>44</v>
      </c>
      <c r="E474" s="1" t="s">
        <v>370</v>
      </c>
      <c r="F474" s="19" t="s">
        <v>50</v>
      </c>
      <c r="G474" s="9">
        <v>0.92</v>
      </c>
      <c r="I474" s="4">
        <v>60</v>
      </c>
      <c r="J474" s="11">
        <v>2.2000000000000002</v>
      </c>
      <c r="L474" s="12">
        <f t="shared" si="11"/>
        <v>0.34242268082220628</v>
      </c>
      <c r="M474" s="11">
        <f>GraphSalmonella!$B$10-(Salmonella!I474-GraphSalmonella!$B$6)/GraphSalmonella!$B$5</f>
        <v>0.2712239435094701</v>
      </c>
      <c r="N474" s="1" t="s">
        <v>580</v>
      </c>
      <c r="O474">
        <v>1970</v>
      </c>
      <c r="P474" t="s">
        <v>578</v>
      </c>
      <c r="S474" s="10">
        <f>GraphSalmonella!$B$57*Salmonella!I474+GraphSalmonella!$B$58</f>
        <v>0.35072323220664714</v>
      </c>
      <c r="T474" s="10">
        <f>GraphSalmonella!$E$57*Salmonella!I474+GraphSalmonella!$E$58</f>
        <v>3.1370239566030182</v>
      </c>
      <c r="U474" s="10">
        <f>GraphSalmonella!$H$57*Salmonella!I474+GraphSalmonella!$H$58</f>
        <v>0.27208851901262943</v>
      </c>
      <c r="X474" s="10">
        <f>GraphSalmonella!$B$80*Salmonella!I474+GraphSalmonella!$B$81</f>
        <v>0.2738497546709393</v>
      </c>
      <c r="Y474" s="10">
        <f>GraphSalmonella!$E$80*Salmonella!I474+GraphSalmonella!$E$81</f>
        <v>0.2823920067305572</v>
      </c>
      <c r="Z474" s="10">
        <f>GraphSalmonella!$H$80*Salmonella!I474+GraphSalmonella!$H$81</f>
        <v>-6.4512686973317024E-2</v>
      </c>
    </row>
    <row r="475" spans="1:26" x14ac:dyDescent="0.2">
      <c r="A475" s="1" t="s">
        <v>66</v>
      </c>
      <c r="B475" s="1" t="s">
        <v>67</v>
      </c>
      <c r="C475" t="s">
        <v>312</v>
      </c>
      <c r="D475" t="s">
        <v>44</v>
      </c>
      <c r="E475" s="1" t="s">
        <v>370</v>
      </c>
      <c r="F475" s="19" t="s">
        <v>50</v>
      </c>
      <c r="G475" s="9">
        <v>0.96</v>
      </c>
      <c r="I475" s="4">
        <v>60</v>
      </c>
      <c r="J475" s="11">
        <v>2.2999999999999998</v>
      </c>
      <c r="L475" s="12">
        <f t="shared" si="11"/>
        <v>0.36172783601759284</v>
      </c>
      <c r="M475" s="11">
        <f>GraphSalmonella!$B$10-(Salmonella!I475-GraphSalmonella!$B$6)/GraphSalmonella!$B$5</f>
        <v>0.2712239435094701</v>
      </c>
      <c r="N475" s="1" t="s">
        <v>580</v>
      </c>
      <c r="O475">
        <v>1970</v>
      </c>
      <c r="P475" t="s">
        <v>578</v>
      </c>
      <c r="S475" s="10">
        <f>GraphSalmonella!$B$57*Salmonella!I475+GraphSalmonella!$B$58</f>
        <v>0.35072323220664714</v>
      </c>
      <c r="T475" s="10">
        <f>GraphSalmonella!$E$57*Salmonella!I475+GraphSalmonella!$E$58</f>
        <v>3.1370239566030182</v>
      </c>
      <c r="U475" s="10">
        <f>GraphSalmonella!$H$57*Salmonella!I475+GraphSalmonella!$H$58</f>
        <v>0.27208851901262943</v>
      </c>
      <c r="X475" s="10">
        <f>GraphSalmonella!$B$80*Salmonella!I475+GraphSalmonella!$B$81</f>
        <v>0.2738497546709393</v>
      </c>
      <c r="Y475" s="10">
        <f>GraphSalmonella!$E$80*Salmonella!I475+GraphSalmonella!$E$81</f>
        <v>0.2823920067305572</v>
      </c>
      <c r="Z475" s="10">
        <f>GraphSalmonella!$H$80*Salmonella!I475+GraphSalmonella!$H$81</f>
        <v>-6.4512686973317024E-2</v>
      </c>
    </row>
    <row r="476" spans="1:26" x14ac:dyDescent="0.2">
      <c r="A476" s="1" t="s">
        <v>66</v>
      </c>
      <c r="B476" s="1" t="s">
        <v>67</v>
      </c>
      <c r="C476" t="s">
        <v>312</v>
      </c>
      <c r="D476" t="s">
        <v>44</v>
      </c>
      <c r="E476" s="1" t="s">
        <v>370</v>
      </c>
      <c r="F476" s="19" t="s">
        <v>50</v>
      </c>
      <c r="G476" s="9">
        <v>0.98</v>
      </c>
      <c r="I476" s="4">
        <v>60</v>
      </c>
      <c r="J476" s="11">
        <v>2.6</v>
      </c>
      <c r="L476" s="12">
        <f t="shared" si="11"/>
        <v>0.41497334797081797</v>
      </c>
      <c r="M476" s="11">
        <f>GraphSalmonella!$B$10-(Salmonella!I476-GraphSalmonella!$B$6)/GraphSalmonella!$B$5</f>
        <v>0.2712239435094701</v>
      </c>
      <c r="N476" s="1" t="s">
        <v>580</v>
      </c>
      <c r="O476">
        <v>1970</v>
      </c>
      <c r="P476" t="s">
        <v>578</v>
      </c>
      <c r="S476" s="10">
        <f>GraphSalmonella!$B$57*Salmonella!I476+GraphSalmonella!$B$58</f>
        <v>0.35072323220664714</v>
      </c>
      <c r="T476" s="10">
        <f>GraphSalmonella!$E$57*Salmonella!I476+GraphSalmonella!$E$58</f>
        <v>3.1370239566030182</v>
      </c>
      <c r="U476" s="10">
        <f>GraphSalmonella!$H$57*Salmonella!I476+GraphSalmonella!$H$58</f>
        <v>0.27208851901262943</v>
      </c>
      <c r="X476" s="10">
        <f>GraphSalmonella!$B$80*Salmonella!I476+GraphSalmonella!$B$81</f>
        <v>0.2738497546709393</v>
      </c>
      <c r="Y476" s="10">
        <f>GraphSalmonella!$E$80*Salmonella!I476+GraphSalmonella!$E$81</f>
        <v>0.2823920067305572</v>
      </c>
      <c r="Z476" s="10">
        <f>GraphSalmonella!$H$80*Salmonella!I476+GraphSalmonella!$H$81</f>
        <v>-6.4512686973317024E-2</v>
      </c>
    </row>
    <row r="477" spans="1:26" x14ac:dyDescent="0.2">
      <c r="A477" s="1" t="s">
        <v>66</v>
      </c>
      <c r="B477" s="1" t="s">
        <v>67</v>
      </c>
      <c r="C477" t="s">
        <v>312</v>
      </c>
      <c r="D477" t="s">
        <v>44</v>
      </c>
      <c r="E477" s="1" t="s">
        <v>370</v>
      </c>
      <c r="F477" s="19" t="s">
        <v>50</v>
      </c>
      <c r="G477" s="9">
        <v>0.998</v>
      </c>
      <c r="I477" s="4">
        <v>60</v>
      </c>
      <c r="J477" s="11">
        <v>6.1</v>
      </c>
      <c r="L477" s="12">
        <f t="shared" si="11"/>
        <v>0.78532983501076703</v>
      </c>
      <c r="M477" s="11">
        <f>GraphSalmonella!$B$10-(Salmonella!I477-GraphSalmonella!$B$6)/GraphSalmonella!$B$5</f>
        <v>0.2712239435094701</v>
      </c>
      <c r="N477" s="1" t="s">
        <v>580</v>
      </c>
      <c r="O477">
        <v>1970</v>
      </c>
      <c r="P477" t="s">
        <v>578</v>
      </c>
      <c r="S477" s="10">
        <f>GraphSalmonella!$B$57*Salmonella!I477+GraphSalmonella!$B$58</f>
        <v>0.35072323220664714</v>
      </c>
      <c r="T477" s="10">
        <f>GraphSalmonella!$E$57*Salmonella!I477+GraphSalmonella!$E$58</f>
        <v>3.1370239566030182</v>
      </c>
      <c r="U477" s="10">
        <f>GraphSalmonella!$H$57*Salmonella!I477+GraphSalmonella!$H$58</f>
        <v>0.27208851901262943</v>
      </c>
      <c r="X477" s="10">
        <f>GraphSalmonella!$B$80*Salmonella!I477+GraphSalmonella!$B$81</f>
        <v>0.2738497546709393</v>
      </c>
      <c r="Y477" s="10">
        <f>GraphSalmonella!$E$80*Salmonella!I477+GraphSalmonella!$E$81</f>
        <v>0.2823920067305572</v>
      </c>
      <c r="Z477" s="10">
        <f>GraphSalmonella!$H$80*Salmonella!I477+GraphSalmonella!$H$81</f>
        <v>-6.4512686973317024E-2</v>
      </c>
    </row>
    <row r="478" spans="1:26" x14ac:dyDescent="0.2">
      <c r="A478" s="1" t="s">
        <v>66</v>
      </c>
      <c r="B478" s="1" t="s">
        <v>67</v>
      </c>
      <c r="C478" t="s">
        <v>312</v>
      </c>
      <c r="D478" t="s">
        <v>44</v>
      </c>
      <c r="E478" s="1" t="s">
        <v>370</v>
      </c>
      <c r="F478" s="19" t="s">
        <v>50</v>
      </c>
      <c r="G478" s="9">
        <v>0.94</v>
      </c>
      <c r="I478" s="4">
        <v>60</v>
      </c>
      <c r="J478" s="11">
        <v>2</v>
      </c>
      <c r="L478" s="12">
        <f t="shared" ref="L478:L541" si="12">LOG(J478)</f>
        <v>0.3010299956639812</v>
      </c>
      <c r="M478" s="11">
        <f>GraphSalmonella!$B$10-(Salmonella!I478-GraphSalmonella!$B$6)/GraphSalmonella!$B$5</f>
        <v>0.2712239435094701</v>
      </c>
      <c r="N478" s="1" t="s">
        <v>580</v>
      </c>
      <c r="O478">
        <v>1970</v>
      </c>
      <c r="P478" t="s">
        <v>578</v>
      </c>
      <c r="S478" s="10">
        <f>GraphSalmonella!$B$57*Salmonella!I478+GraphSalmonella!$B$58</f>
        <v>0.35072323220664714</v>
      </c>
      <c r="T478" s="10">
        <f>GraphSalmonella!$E$57*Salmonella!I478+GraphSalmonella!$E$58</f>
        <v>3.1370239566030182</v>
      </c>
      <c r="U478" s="10">
        <f>GraphSalmonella!$H$57*Salmonella!I478+GraphSalmonella!$H$58</f>
        <v>0.27208851901262943</v>
      </c>
      <c r="X478" s="10">
        <f>GraphSalmonella!$B$80*Salmonella!I478+GraphSalmonella!$B$81</f>
        <v>0.2738497546709393</v>
      </c>
      <c r="Y478" s="10">
        <f>GraphSalmonella!$E$80*Salmonella!I478+GraphSalmonella!$E$81</f>
        <v>0.2823920067305572</v>
      </c>
      <c r="Z478" s="10">
        <f>GraphSalmonella!$H$80*Salmonella!I478+GraphSalmonella!$H$81</f>
        <v>-6.4512686973317024E-2</v>
      </c>
    </row>
    <row r="479" spans="1:26" x14ac:dyDescent="0.2">
      <c r="A479" s="1" t="s">
        <v>66</v>
      </c>
      <c r="B479" s="1" t="s">
        <v>96</v>
      </c>
      <c r="C479">
        <v>286</v>
      </c>
      <c r="D479" t="s">
        <v>44</v>
      </c>
      <c r="E479" s="1" t="s">
        <v>370</v>
      </c>
      <c r="F479" s="19" t="s">
        <v>1433</v>
      </c>
      <c r="G479" s="9">
        <v>0.9</v>
      </c>
      <c r="I479" s="4">
        <v>60</v>
      </c>
      <c r="J479" s="11">
        <v>2.2999999999999998</v>
      </c>
      <c r="L479" s="12">
        <f t="shared" si="12"/>
        <v>0.36172783601759284</v>
      </c>
      <c r="M479" s="11">
        <f>GraphSalmonella!$B$10-(Salmonella!I479-GraphSalmonella!$B$6)/GraphSalmonella!$B$5</f>
        <v>0.2712239435094701</v>
      </c>
      <c r="N479" s="1" t="s">
        <v>580</v>
      </c>
      <c r="O479">
        <v>1970</v>
      </c>
      <c r="P479" t="s">
        <v>578</v>
      </c>
      <c r="S479" s="10">
        <f>GraphSalmonella!$B$57*Salmonella!I479+GraphSalmonella!$B$58</f>
        <v>0.35072323220664714</v>
      </c>
      <c r="T479" s="10">
        <f>GraphSalmonella!$E$57*Salmonella!I479+GraphSalmonella!$E$58</f>
        <v>3.1370239566030182</v>
      </c>
      <c r="U479" s="10">
        <f>GraphSalmonella!$H$57*Salmonella!I479+GraphSalmonella!$H$58</f>
        <v>0.27208851901262943</v>
      </c>
      <c r="X479" s="10">
        <f>GraphSalmonella!$B$80*Salmonella!I479+GraphSalmonella!$B$81</f>
        <v>0.2738497546709393</v>
      </c>
      <c r="Y479" s="10">
        <f>GraphSalmonella!$E$80*Salmonella!I479+GraphSalmonella!$E$81</f>
        <v>0.2823920067305572</v>
      </c>
      <c r="Z479" s="10">
        <f>GraphSalmonella!$H$80*Salmonella!I479+GraphSalmonella!$H$81</f>
        <v>-6.4512686973317024E-2</v>
      </c>
    </row>
    <row r="480" spans="1:26" x14ac:dyDescent="0.2">
      <c r="A480" s="1" t="s">
        <v>66</v>
      </c>
      <c r="B480" s="1" t="s">
        <v>96</v>
      </c>
      <c r="C480">
        <v>286</v>
      </c>
      <c r="D480" t="s">
        <v>44</v>
      </c>
      <c r="E480" s="1" t="s">
        <v>370</v>
      </c>
      <c r="F480" s="19" t="s">
        <v>1433</v>
      </c>
      <c r="G480" s="9">
        <v>0.92</v>
      </c>
      <c r="I480" s="4">
        <v>60</v>
      </c>
      <c r="J480" s="11">
        <v>2.6</v>
      </c>
      <c r="L480" s="12">
        <f t="shared" si="12"/>
        <v>0.41497334797081797</v>
      </c>
      <c r="M480" s="11">
        <f>GraphSalmonella!$B$10-(Salmonella!I480-GraphSalmonella!$B$6)/GraphSalmonella!$B$5</f>
        <v>0.2712239435094701</v>
      </c>
      <c r="N480" s="1" t="s">
        <v>580</v>
      </c>
      <c r="O480">
        <v>1970</v>
      </c>
      <c r="P480" t="s">
        <v>578</v>
      </c>
      <c r="S480" s="10">
        <f>GraphSalmonella!$B$57*Salmonella!I480+GraphSalmonella!$B$58</f>
        <v>0.35072323220664714</v>
      </c>
      <c r="T480" s="10">
        <f>GraphSalmonella!$E$57*Salmonella!I480+GraphSalmonella!$E$58</f>
        <v>3.1370239566030182</v>
      </c>
      <c r="U480" s="10">
        <f>GraphSalmonella!$H$57*Salmonella!I480+GraphSalmonella!$H$58</f>
        <v>0.27208851901262943</v>
      </c>
      <c r="X480" s="10">
        <f>GraphSalmonella!$B$80*Salmonella!I480+GraphSalmonella!$B$81</f>
        <v>0.2738497546709393</v>
      </c>
      <c r="Y480" s="10">
        <f>GraphSalmonella!$E$80*Salmonella!I480+GraphSalmonella!$E$81</f>
        <v>0.2823920067305572</v>
      </c>
      <c r="Z480" s="10">
        <f>GraphSalmonella!$H$80*Salmonella!I480+GraphSalmonella!$H$81</f>
        <v>-6.4512686973317024E-2</v>
      </c>
    </row>
    <row r="481" spans="1:26" x14ac:dyDescent="0.2">
      <c r="A481" s="1" t="s">
        <v>66</v>
      </c>
      <c r="B481" s="1" t="s">
        <v>96</v>
      </c>
      <c r="C481">
        <v>286</v>
      </c>
      <c r="D481" t="s">
        <v>44</v>
      </c>
      <c r="E481" s="1" t="s">
        <v>370</v>
      </c>
      <c r="F481" s="19" t="s">
        <v>1433</v>
      </c>
      <c r="G481" s="9">
        <v>0.96</v>
      </c>
      <c r="I481" s="4">
        <v>60</v>
      </c>
      <c r="J481" s="11">
        <v>4.9000000000000004</v>
      </c>
      <c r="L481" s="12">
        <f t="shared" si="12"/>
        <v>0.69019608002851374</v>
      </c>
      <c r="M481" s="11">
        <f>GraphSalmonella!$B$10-(Salmonella!I481-GraphSalmonella!$B$6)/GraphSalmonella!$B$5</f>
        <v>0.2712239435094701</v>
      </c>
      <c r="N481" s="1" t="s">
        <v>580</v>
      </c>
      <c r="O481">
        <v>1970</v>
      </c>
      <c r="P481" t="s">
        <v>578</v>
      </c>
      <c r="S481" s="10">
        <f>GraphSalmonella!$B$57*Salmonella!I481+GraphSalmonella!$B$58</f>
        <v>0.35072323220664714</v>
      </c>
      <c r="T481" s="10">
        <f>GraphSalmonella!$E$57*Salmonella!I481+GraphSalmonella!$E$58</f>
        <v>3.1370239566030182</v>
      </c>
      <c r="U481" s="10">
        <f>GraphSalmonella!$H$57*Salmonella!I481+GraphSalmonella!$H$58</f>
        <v>0.27208851901262943</v>
      </c>
      <c r="X481" s="10">
        <f>GraphSalmonella!$B$80*Salmonella!I481+GraphSalmonella!$B$81</f>
        <v>0.2738497546709393</v>
      </c>
      <c r="Y481" s="10">
        <f>GraphSalmonella!$E$80*Salmonella!I481+GraphSalmonella!$E$81</f>
        <v>0.2823920067305572</v>
      </c>
      <c r="Z481" s="10">
        <f>GraphSalmonella!$H$80*Salmonella!I481+GraphSalmonella!$H$81</f>
        <v>-6.4512686973317024E-2</v>
      </c>
    </row>
    <row r="482" spans="1:26" x14ac:dyDescent="0.2">
      <c r="A482" s="1" t="s">
        <v>66</v>
      </c>
      <c r="B482" s="1" t="s">
        <v>96</v>
      </c>
      <c r="C482">
        <v>286</v>
      </c>
      <c r="D482" t="s">
        <v>44</v>
      </c>
      <c r="E482" s="1" t="s">
        <v>370</v>
      </c>
      <c r="F482" s="19" t="s">
        <v>1433</v>
      </c>
      <c r="G482" s="9">
        <v>0.98</v>
      </c>
      <c r="I482" s="4">
        <v>60</v>
      </c>
      <c r="J482" s="11">
        <v>4.2</v>
      </c>
      <c r="L482" s="12">
        <f t="shared" si="12"/>
        <v>0.62324929039790045</v>
      </c>
      <c r="M482" s="11">
        <f>GraphSalmonella!$B$10-(Salmonella!I482-GraphSalmonella!$B$6)/GraphSalmonella!$B$5</f>
        <v>0.2712239435094701</v>
      </c>
      <c r="N482" s="1" t="s">
        <v>580</v>
      </c>
      <c r="O482">
        <v>1970</v>
      </c>
      <c r="P482" t="s">
        <v>578</v>
      </c>
      <c r="S482" s="10">
        <f>GraphSalmonella!$B$57*Salmonella!I482+GraphSalmonella!$B$58</f>
        <v>0.35072323220664714</v>
      </c>
      <c r="T482" s="10">
        <f>GraphSalmonella!$E$57*Salmonella!I482+GraphSalmonella!$E$58</f>
        <v>3.1370239566030182</v>
      </c>
      <c r="U482" s="10">
        <f>GraphSalmonella!$H$57*Salmonella!I482+GraphSalmonella!$H$58</f>
        <v>0.27208851901262943</v>
      </c>
      <c r="X482" s="10">
        <f>GraphSalmonella!$B$80*Salmonella!I482+GraphSalmonella!$B$81</f>
        <v>0.2738497546709393</v>
      </c>
      <c r="Y482" s="10">
        <f>GraphSalmonella!$E$80*Salmonella!I482+GraphSalmonella!$E$81</f>
        <v>0.2823920067305572</v>
      </c>
      <c r="Z482" s="10">
        <f>GraphSalmonella!$H$80*Salmonella!I482+GraphSalmonella!$H$81</f>
        <v>-6.4512686973317024E-2</v>
      </c>
    </row>
    <row r="483" spans="1:26" x14ac:dyDescent="0.2">
      <c r="A483" s="1" t="s">
        <v>66</v>
      </c>
      <c r="B483" s="1" t="s">
        <v>96</v>
      </c>
      <c r="C483">
        <v>286</v>
      </c>
      <c r="D483" t="s">
        <v>44</v>
      </c>
      <c r="E483" s="1" t="s">
        <v>370</v>
      </c>
      <c r="F483" s="19" t="s">
        <v>1433</v>
      </c>
      <c r="G483" s="9">
        <v>0.998</v>
      </c>
      <c r="I483" s="4">
        <v>60</v>
      </c>
      <c r="J483" s="11">
        <v>4.5999999999999996</v>
      </c>
      <c r="L483" s="12">
        <f t="shared" si="12"/>
        <v>0.66275783168157409</v>
      </c>
      <c r="M483" s="11">
        <f>GraphSalmonella!$B$10-(Salmonella!I483-GraphSalmonella!$B$6)/GraphSalmonella!$B$5</f>
        <v>0.2712239435094701</v>
      </c>
      <c r="N483" s="1" t="s">
        <v>580</v>
      </c>
      <c r="O483">
        <v>1970</v>
      </c>
      <c r="P483" t="s">
        <v>578</v>
      </c>
      <c r="S483" s="10">
        <f>GraphSalmonella!$B$57*Salmonella!I483+GraphSalmonella!$B$58</f>
        <v>0.35072323220664714</v>
      </c>
      <c r="T483" s="10">
        <f>GraphSalmonella!$E$57*Salmonella!I483+GraphSalmonella!$E$58</f>
        <v>3.1370239566030182</v>
      </c>
      <c r="U483" s="10">
        <f>GraphSalmonella!$H$57*Salmonella!I483+GraphSalmonella!$H$58</f>
        <v>0.27208851901262943</v>
      </c>
      <c r="X483" s="10">
        <f>GraphSalmonella!$B$80*Salmonella!I483+GraphSalmonella!$B$81</f>
        <v>0.2738497546709393</v>
      </c>
      <c r="Y483" s="10">
        <f>GraphSalmonella!$E$80*Salmonella!I483+GraphSalmonella!$E$81</f>
        <v>0.2823920067305572</v>
      </c>
      <c r="Z483" s="10">
        <f>GraphSalmonella!$H$80*Salmonella!I483+GraphSalmonella!$H$81</f>
        <v>-6.4512686973317024E-2</v>
      </c>
    </row>
    <row r="484" spans="1:26" x14ac:dyDescent="0.2">
      <c r="A484" s="1" t="s">
        <v>66</v>
      </c>
      <c r="B484" s="1" t="s">
        <v>96</v>
      </c>
      <c r="C484">
        <v>286</v>
      </c>
      <c r="D484" t="s">
        <v>44</v>
      </c>
      <c r="E484" s="1" t="s">
        <v>370</v>
      </c>
      <c r="F484" s="19" t="s">
        <v>1433</v>
      </c>
      <c r="G484" s="9">
        <v>0.94</v>
      </c>
      <c r="I484" s="4">
        <v>60</v>
      </c>
      <c r="J484" s="11">
        <v>3.8</v>
      </c>
      <c r="L484" s="12">
        <f t="shared" si="12"/>
        <v>0.57978359661681012</v>
      </c>
      <c r="M484" s="11">
        <f>GraphSalmonella!$B$10-(Salmonella!I484-GraphSalmonella!$B$6)/GraphSalmonella!$B$5</f>
        <v>0.2712239435094701</v>
      </c>
      <c r="N484" s="1" t="s">
        <v>580</v>
      </c>
      <c r="O484">
        <v>1970</v>
      </c>
      <c r="P484" t="s">
        <v>578</v>
      </c>
      <c r="S484" s="10">
        <f>GraphSalmonella!$B$57*Salmonella!I484+GraphSalmonella!$B$58</f>
        <v>0.35072323220664714</v>
      </c>
      <c r="T484" s="10">
        <f>GraphSalmonella!$E$57*Salmonella!I484+GraphSalmonella!$E$58</f>
        <v>3.1370239566030182</v>
      </c>
      <c r="U484" s="10">
        <f>GraphSalmonella!$H$57*Salmonella!I484+GraphSalmonella!$H$58</f>
        <v>0.27208851901262943</v>
      </c>
      <c r="X484" s="10">
        <f>GraphSalmonella!$B$80*Salmonella!I484+GraphSalmonella!$B$81</f>
        <v>0.2738497546709393</v>
      </c>
      <c r="Y484" s="10">
        <f>GraphSalmonella!$E$80*Salmonella!I484+GraphSalmonella!$E$81</f>
        <v>0.2823920067305572</v>
      </c>
      <c r="Z484" s="10">
        <f>GraphSalmonella!$H$80*Salmonella!I484+GraphSalmonella!$H$81</f>
        <v>-6.4512686973317024E-2</v>
      </c>
    </row>
    <row r="485" spans="1:26" x14ac:dyDescent="0.2">
      <c r="A485" s="1" t="s">
        <v>66</v>
      </c>
      <c r="B485" s="1" t="s">
        <v>96</v>
      </c>
      <c r="C485">
        <v>2315</v>
      </c>
      <c r="D485" t="s">
        <v>44</v>
      </c>
      <c r="E485" s="1" t="s">
        <v>370</v>
      </c>
      <c r="F485" s="19" t="s">
        <v>1433</v>
      </c>
      <c r="G485" s="9">
        <v>0.9</v>
      </c>
      <c r="I485" s="4">
        <v>60</v>
      </c>
      <c r="J485" s="11">
        <v>0.69</v>
      </c>
      <c r="L485" s="12">
        <f t="shared" si="12"/>
        <v>-0.16115090926274472</v>
      </c>
      <c r="M485" s="11">
        <f>GraphSalmonella!$B$10-(Salmonella!I485-GraphSalmonella!$B$6)/GraphSalmonella!$B$5</f>
        <v>0.2712239435094701</v>
      </c>
      <c r="N485" s="1" t="s">
        <v>580</v>
      </c>
      <c r="O485">
        <v>1970</v>
      </c>
      <c r="P485" t="s">
        <v>579</v>
      </c>
      <c r="S485" s="10">
        <f>GraphSalmonella!$B$57*Salmonella!I485+GraphSalmonella!$B$58</f>
        <v>0.35072323220664714</v>
      </c>
      <c r="T485" s="10">
        <f>GraphSalmonella!$E$57*Salmonella!I485+GraphSalmonella!$E$58</f>
        <v>3.1370239566030182</v>
      </c>
      <c r="U485" s="10">
        <f>GraphSalmonella!$H$57*Salmonella!I485+GraphSalmonella!$H$58</f>
        <v>0.27208851901262943</v>
      </c>
      <c r="X485" s="10">
        <f>GraphSalmonella!$B$80*Salmonella!I485+GraphSalmonella!$B$81</f>
        <v>0.2738497546709393</v>
      </c>
      <c r="Y485" s="10">
        <f>GraphSalmonella!$E$80*Salmonella!I485+GraphSalmonella!$E$81</f>
        <v>0.2823920067305572</v>
      </c>
      <c r="Z485" s="10">
        <f>GraphSalmonella!$H$80*Salmonella!I485+GraphSalmonella!$H$81</f>
        <v>-6.4512686973317024E-2</v>
      </c>
    </row>
    <row r="486" spans="1:26" x14ac:dyDescent="0.2">
      <c r="A486" s="1" t="s">
        <v>66</v>
      </c>
      <c r="B486" s="1" t="s">
        <v>96</v>
      </c>
      <c r="C486">
        <v>2315</v>
      </c>
      <c r="D486" t="s">
        <v>44</v>
      </c>
      <c r="E486" s="1" t="s">
        <v>370</v>
      </c>
      <c r="F486" s="19" t="s">
        <v>1433</v>
      </c>
      <c r="G486" s="9">
        <v>0.92</v>
      </c>
      <c r="I486" s="4">
        <v>60</v>
      </c>
      <c r="J486" s="11">
        <v>1.1000000000000001</v>
      </c>
      <c r="L486" s="12">
        <f t="shared" si="12"/>
        <v>4.1392685158225077E-2</v>
      </c>
      <c r="M486" s="11">
        <f>GraphSalmonella!$B$10-(Salmonella!I486-GraphSalmonella!$B$6)/GraphSalmonella!$B$5</f>
        <v>0.2712239435094701</v>
      </c>
      <c r="N486" s="1" t="s">
        <v>580</v>
      </c>
      <c r="O486">
        <v>1970</v>
      </c>
      <c r="P486" t="s">
        <v>579</v>
      </c>
      <c r="S486" s="10">
        <f>GraphSalmonella!$B$57*Salmonella!I486+GraphSalmonella!$B$58</f>
        <v>0.35072323220664714</v>
      </c>
      <c r="T486" s="10">
        <f>GraphSalmonella!$E$57*Salmonella!I486+GraphSalmonella!$E$58</f>
        <v>3.1370239566030182</v>
      </c>
      <c r="U486" s="10">
        <f>GraphSalmonella!$H$57*Salmonella!I486+GraphSalmonella!$H$58</f>
        <v>0.27208851901262943</v>
      </c>
      <c r="X486" s="10">
        <f>GraphSalmonella!$B$80*Salmonella!I486+GraphSalmonella!$B$81</f>
        <v>0.2738497546709393</v>
      </c>
      <c r="Y486" s="10">
        <f>GraphSalmonella!$E$80*Salmonella!I486+GraphSalmonella!$E$81</f>
        <v>0.2823920067305572</v>
      </c>
      <c r="Z486" s="10">
        <f>GraphSalmonella!$H$80*Salmonella!I486+GraphSalmonella!$H$81</f>
        <v>-6.4512686973317024E-2</v>
      </c>
    </row>
    <row r="487" spans="1:26" x14ac:dyDescent="0.2">
      <c r="A487" s="1" t="s">
        <v>66</v>
      </c>
      <c r="B487" s="1" t="s">
        <v>96</v>
      </c>
      <c r="C487">
        <v>2315</v>
      </c>
      <c r="D487" t="s">
        <v>44</v>
      </c>
      <c r="E487" s="1" t="s">
        <v>370</v>
      </c>
      <c r="F487" s="19" t="s">
        <v>1433</v>
      </c>
      <c r="G487" s="9">
        <v>0.96</v>
      </c>
      <c r="I487" s="4">
        <v>60</v>
      </c>
      <c r="J487" s="11">
        <v>1.1000000000000001</v>
      </c>
      <c r="L487" s="12">
        <f t="shared" si="12"/>
        <v>4.1392685158225077E-2</v>
      </c>
      <c r="M487" s="11">
        <f>GraphSalmonella!$B$10-(Salmonella!I487-GraphSalmonella!$B$6)/GraphSalmonella!$B$5</f>
        <v>0.2712239435094701</v>
      </c>
      <c r="N487" s="1" t="s">
        <v>580</v>
      </c>
      <c r="O487">
        <v>1970</v>
      </c>
      <c r="P487" t="s">
        <v>579</v>
      </c>
      <c r="S487" s="10">
        <f>GraphSalmonella!$B$57*Salmonella!I487+GraphSalmonella!$B$58</f>
        <v>0.35072323220664714</v>
      </c>
      <c r="T487" s="10">
        <f>GraphSalmonella!$E$57*Salmonella!I487+GraphSalmonella!$E$58</f>
        <v>3.1370239566030182</v>
      </c>
      <c r="U487" s="10">
        <f>GraphSalmonella!$H$57*Salmonella!I487+GraphSalmonella!$H$58</f>
        <v>0.27208851901262943</v>
      </c>
      <c r="X487" s="10">
        <f>GraphSalmonella!$B$80*Salmonella!I487+GraphSalmonella!$B$81</f>
        <v>0.2738497546709393</v>
      </c>
      <c r="Y487" s="10">
        <f>GraphSalmonella!$E$80*Salmonella!I487+GraphSalmonella!$E$81</f>
        <v>0.2823920067305572</v>
      </c>
      <c r="Z487" s="10">
        <f>GraphSalmonella!$H$80*Salmonella!I487+GraphSalmonella!$H$81</f>
        <v>-6.4512686973317024E-2</v>
      </c>
    </row>
    <row r="488" spans="1:26" x14ac:dyDescent="0.2">
      <c r="A488" s="1" t="s">
        <v>66</v>
      </c>
      <c r="B488" s="1" t="s">
        <v>96</v>
      </c>
      <c r="C488">
        <v>2315</v>
      </c>
      <c r="D488" t="s">
        <v>44</v>
      </c>
      <c r="E488" s="1" t="s">
        <v>370</v>
      </c>
      <c r="F488" s="19" t="s">
        <v>1433</v>
      </c>
      <c r="G488" s="9">
        <v>0.98</v>
      </c>
      <c r="I488" s="4">
        <v>60</v>
      </c>
      <c r="J488" s="11">
        <v>0.68</v>
      </c>
      <c r="L488" s="12">
        <f t="shared" si="12"/>
        <v>-0.16749108729376366</v>
      </c>
      <c r="M488" s="11">
        <f>GraphSalmonella!$B$10-(Salmonella!I488-GraphSalmonella!$B$6)/GraphSalmonella!$B$5</f>
        <v>0.2712239435094701</v>
      </c>
      <c r="N488" s="1" t="s">
        <v>580</v>
      </c>
      <c r="O488">
        <v>1970</v>
      </c>
      <c r="P488" t="s">
        <v>579</v>
      </c>
      <c r="S488" s="10">
        <f>GraphSalmonella!$B$57*Salmonella!I488+GraphSalmonella!$B$58</f>
        <v>0.35072323220664714</v>
      </c>
      <c r="T488" s="10">
        <f>GraphSalmonella!$E$57*Salmonella!I488+GraphSalmonella!$E$58</f>
        <v>3.1370239566030182</v>
      </c>
      <c r="U488" s="10">
        <f>GraphSalmonella!$H$57*Salmonella!I488+GraphSalmonella!$H$58</f>
        <v>0.27208851901262943</v>
      </c>
      <c r="X488" s="10">
        <f>GraphSalmonella!$B$80*Salmonella!I488+GraphSalmonella!$B$81</f>
        <v>0.2738497546709393</v>
      </c>
      <c r="Y488" s="10">
        <f>GraphSalmonella!$E$80*Salmonella!I488+GraphSalmonella!$E$81</f>
        <v>0.2823920067305572</v>
      </c>
      <c r="Z488" s="10">
        <f>GraphSalmonella!$H$80*Salmonella!I488+GraphSalmonella!$H$81</f>
        <v>-6.4512686973317024E-2</v>
      </c>
    </row>
    <row r="489" spans="1:26" x14ac:dyDescent="0.2">
      <c r="A489" s="1" t="s">
        <v>66</v>
      </c>
      <c r="B489" s="1" t="s">
        <v>96</v>
      </c>
      <c r="C489">
        <v>2315</v>
      </c>
      <c r="D489" t="s">
        <v>44</v>
      </c>
      <c r="E489" s="1" t="s">
        <v>370</v>
      </c>
      <c r="F489" s="19" t="s">
        <v>1433</v>
      </c>
      <c r="G489" s="9">
        <v>0.998</v>
      </c>
      <c r="I489" s="4">
        <v>60</v>
      </c>
      <c r="J489" s="11">
        <v>0.42</v>
      </c>
      <c r="L489" s="12">
        <f t="shared" si="12"/>
        <v>-0.37675070960209955</v>
      </c>
      <c r="M489" s="11">
        <f>GraphSalmonella!$B$10-(Salmonella!I489-GraphSalmonella!$B$6)/GraphSalmonella!$B$5</f>
        <v>0.2712239435094701</v>
      </c>
      <c r="N489" s="1" t="s">
        <v>580</v>
      </c>
      <c r="O489">
        <v>1970</v>
      </c>
      <c r="P489" t="s">
        <v>579</v>
      </c>
      <c r="S489" s="10">
        <f>GraphSalmonella!$B$57*Salmonella!I489+GraphSalmonella!$B$58</f>
        <v>0.35072323220664714</v>
      </c>
      <c r="T489" s="10">
        <f>GraphSalmonella!$E$57*Salmonella!I489+GraphSalmonella!$E$58</f>
        <v>3.1370239566030182</v>
      </c>
      <c r="U489" s="10">
        <f>GraphSalmonella!$H$57*Salmonella!I489+GraphSalmonella!$H$58</f>
        <v>0.27208851901262943</v>
      </c>
      <c r="X489" s="10">
        <f>GraphSalmonella!$B$80*Salmonella!I489+GraphSalmonella!$B$81</f>
        <v>0.2738497546709393</v>
      </c>
      <c r="Y489" s="10">
        <f>GraphSalmonella!$E$80*Salmonella!I489+GraphSalmonella!$E$81</f>
        <v>0.2823920067305572</v>
      </c>
      <c r="Z489" s="10">
        <f>GraphSalmonella!$H$80*Salmonella!I489+GraphSalmonella!$H$81</f>
        <v>-6.4512686973317024E-2</v>
      </c>
    </row>
    <row r="490" spans="1:26" x14ac:dyDescent="0.2">
      <c r="A490" s="1" t="s">
        <v>66</v>
      </c>
      <c r="B490" s="1" t="s">
        <v>96</v>
      </c>
      <c r="C490">
        <v>2315</v>
      </c>
      <c r="D490" t="s">
        <v>44</v>
      </c>
      <c r="E490" s="1" t="s">
        <v>370</v>
      </c>
      <c r="F490" s="19" t="s">
        <v>1433</v>
      </c>
      <c r="G490" s="9">
        <v>0.94</v>
      </c>
      <c r="I490" s="4">
        <v>60</v>
      </c>
      <c r="J490" s="11">
        <v>1.3</v>
      </c>
      <c r="L490" s="12">
        <f t="shared" si="12"/>
        <v>0.11394335230683679</v>
      </c>
      <c r="M490" s="11">
        <f>GraphSalmonella!$B$10-(Salmonella!I490-GraphSalmonella!$B$6)/GraphSalmonella!$B$5</f>
        <v>0.2712239435094701</v>
      </c>
      <c r="N490" s="1" t="s">
        <v>580</v>
      </c>
      <c r="O490">
        <v>1970</v>
      </c>
      <c r="P490" t="s">
        <v>579</v>
      </c>
      <c r="S490" s="10">
        <f>GraphSalmonella!$B$57*Salmonella!I490+GraphSalmonella!$B$58</f>
        <v>0.35072323220664714</v>
      </c>
      <c r="T490" s="10">
        <f>GraphSalmonella!$E$57*Salmonella!I490+GraphSalmonella!$E$58</f>
        <v>3.1370239566030182</v>
      </c>
      <c r="U490" s="10">
        <f>GraphSalmonella!$H$57*Salmonella!I490+GraphSalmonella!$H$58</f>
        <v>0.27208851901262943</v>
      </c>
      <c r="X490" s="10">
        <f>GraphSalmonella!$B$80*Salmonella!I490+GraphSalmonella!$B$81</f>
        <v>0.2738497546709393</v>
      </c>
      <c r="Y490" s="10">
        <f>GraphSalmonella!$E$80*Salmonella!I490+GraphSalmonella!$E$81</f>
        <v>0.2823920067305572</v>
      </c>
      <c r="Z490" s="10">
        <f>GraphSalmonella!$H$80*Salmonella!I490+GraphSalmonella!$H$81</f>
        <v>-6.4512686973317024E-2</v>
      </c>
    </row>
    <row r="491" spans="1:26" x14ac:dyDescent="0.2">
      <c r="A491" s="1" t="s">
        <v>66</v>
      </c>
      <c r="B491" s="1" t="s">
        <v>67</v>
      </c>
      <c r="C491">
        <v>436</v>
      </c>
      <c r="D491" t="s">
        <v>44</v>
      </c>
      <c r="E491" s="1" t="s">
        <v>370</v>
      </c>
      <c r="F491" s="19" t="s">
        <v>1433</v>
      </c>
      <c r="G491" s="9">
        <v>0.9</v>
      </c>
      <c r="I491" s="4">
        <v>60</v>
      </c>
      <c r="J491" s="11">
        <v>0.6</v>
      </c>
      <c r="L491" s="12">
        <f t="shared" si="12"/>
        <v>-0.22184874961635639</v>
      </c>
      <c r="M491" s="11">
        <f>GraphSalmonella!$B$10-(Salmonella!I491-GraphSalmonella!$B$6)/GraphSalmonella!$B$5</f>
        <v>0.2712239435094701</v>
      </c>
      <c r="N491" s="1" t="s">
        <v>580</v>
      </c>
      <c r="O491">
        <v>1970</v>
      </c>
      <c r="P491" t="s">
        <v>579</v>
      </c>
      <c r="S491" s="10">
        <f>GraphSalmonella!$B$57*Salmonella!I491+GraphSalmonella!$B$58</f>
        <v>0.35072323220664714</v>
      </c>
      <c r="T491" s="10">
        <f>GraphSalmonella!$E$57*Salmonella!I491+GraphSalmonella!$E$58</f>
        <v>3.1370239566030182</v>
      </c>
      <c r="U491" s="10">
        <f>GraphSalmonella!$H$57*Salmonella!I491+GraphSalmonella!$H$58</f>
        <v>0.27208851901262943</v>
      </c>
      <c r="X491" s="10">
        <f>GraphSalmonella!$B$80*Salmonella!I491+GraphSalmonella!$B$81</f>
        <v>0.2738497546709393</v>
      </c>
      <c r="Y491" s="10">
        <f>GraphSalmonella!$E$80*Salmonella!I491+GraphSalmonella!$E$81</f>
        <v>0.2823920067305572</v>
      </c>
      <c r="Z491" s="10">
        <f>GraphSalmonella!$H$80*Salmonella!I491+GraphSalmonella!$H$81</f>
        <v>-6.4512686973317024E-2</v>
      </c>
    </row>
    <row r="492" spans="1:26" x14ac:dyDescent="0.2">
      <c r="A492" s="1" t="s">
        <v>66</v>
      </c>
      <c r="B492" s="1" t="s">
        <v>67</v>
      </c>
      <c r="C492">
        <v>436</v>
      </c>
      <c r="D492" t="s">
        <v>44</v>
      </c>
      <c r="E492" s="1" t="s">
        <v>370</v>
      </c>
      <c r="F492" s="19" t="s">
        <v>1433</v>
      </c>
      <c r="G492" s="9">
        <v>0.92</v>
      </c>
      <c r="I492" s="4">
        <v>60</v>
      </c>
      <c r="J492" s="11">
        <v>1.2</v>
      </c>
      <c r="L492" s="12">
        <f t="shared" si="12"/>
        <v>7.9181246047624818E-2</v>
      </c>
      <c r="M492" s="11">
        <f>GraphSalmonella!$B$10-(Salmonella!I492-GraphSalmonella!$B$6)/GraphSalmonella!$B$5</f>
        <v>0.2712239435094701</v>
      </c>
      <c r="N492" s="1" t="s">
        <v>580</v>
      </c>
      <c r="O492">
        <v>1970</v>
      </c>
      <c r="P492" t="s">
        <v>579</v>
      </c>
      <c r="S492" s="10">
        <f>GraphSalmonella!$B$57*Salmonella!I492+GraphSalmonella!$B$58</f>
        <v>0.35072323220664714</v>
      </c>
      <c r="T492" s="10">
        <f>GraphSalmonella!$E$57*Salmonella!I492+GraphSalmonella!$E$58</f>
        <v>3.1370239566030182</v>
      </c>
      <c r="U492" s="10">
        <f>GraphSalmonella!$H$57*Salmonella!I492+GraphSalmonella!$H$58</f>
        <v>0.27208851901262943</v>
      </c>
      <c r="X492" s="10">
        <f>GraphSalmonella!$B$80*Salmonella!I492+GraphSalmonella!$B$81</f>
        <v>0.2738497546709393</v>
      </c>
      <c r="Y492" s="10">
        <f>GraphSalmonella!$E$80*Salmonella!I492+GraphSalmonella!$E$81</f>
        <v>0.2823920067305572</v>
      </c>
      <c r="Z492" s="10">
        <f>GraphSalmonella!$H$80*Salmonella!I492+GraphSalmonella!$H$81</f>
        <v>-6.4512686973317024E-2</v>
      </c>
    </row>
    <row r="493" spans="1:26" x14ac:dyDescent="0.2">
      <c r="A493" s="1" t="s">
        <v>66</v>
      </c>
      <c r="B493" s="1" t="s">
        <v>67</v>
      </c>
      <c r="C493">
        <v>436</v>
      </c>
      <c r="D493" t="s">
        <v>44</v>
      </c>
      <c r="E493" s="1" t="s">
        <v>370</v>
      </c>
      <c r="F493" s="19" t="s">
        <v>1433</v>
      </c>
      <c r="G493" s="9">
        <v>0.96</v>
      </c>
      <c r="I493" s="4">
        <v>60</v>
      </c>
      <c r="J493" s="11">
        <v>2</v>
      </c>
      <c r="L493" s="12">
        <f t="shared" si="12"/>
        <v>0.3010299956639812</v>
      </c>
      <c r="M493" s="11">
        <f>GraphSalmonella!$B$10-(Salmonella!I493-GraphSalmonella!$B$6)/GraphSalmonella!$B$5</f>
        <v>0.2712239435094701</v>
      </c>
      <c r="N493" s="1" t="s">
        <v>580</v>
      </c>
      <c r="O493">
        <v>1970</v>
      </c>
      <c r="P493" t="s">
        <v>579</v>
      </c>
      <c r="S493" s="10">
        <f>GraphSalmonella!$B$57*Salmonella!I493+GraphSalmonella!$B$58</f>
        <v>0.35072323220664714</v>
      </c>
      <c r="T493" s="10">
        <f>GraphSalmonella!$E$57*Salmonella!I493+GraphSalmonella!$E$58</f>
        <v>3.1370239566030182</v>
      </c>
      <c r="U493" s="10">
        <f>GraphSalmonella!$H$57*Salmonella!I493+GraphSalmonella!$H$58</f>
        <v>0.27208851901262943</v>
      </c>
      <c r="X493" s="10">
        <f>GraphSalmonella!$B$80*Salmonella!I493+GraphSalmonella!$B$81</f>
        <v>0.2738497546709393</v>
      </c>
      <c r="Y493" s="10">
        <f>GraphSalmonella!$E$80*Salmonella!I493+GraphSalmonella!$E$81</f>
        <v>0.2823920067305572</v>
      </c>
      <c r="Z493" s="10">
        <f>GraphSalmonella!$H$80*Salmonella!I493+GraphSalmonella!$H$81</f>
        <v>-6.4512686973317024E-2</v>
      </c>
    </row>
    <row r="494" spans="1:26" x14ac:dyDescent="0.2">
      <c r="A494" s="1" t="s">
        <v>66</v>
      </c>
      <c r="B494" s="1" t="s">
        <v>67</v>
      </c>
      <c r="C494">
        <v>436</v>
      </c>
      <c r="D494" t="s">
        <v>44</v>
      </c>
      <c r="E494" s="1" t="s">
        <v>370</v>
      </c>
      <c r="F494" s="19" t="s">
        <v>1433</v>
      </c>
      <c r="G494" s="9">
        <v>0.98</v>
      </c>
      <c r="I494" s="4">
        <v>60</v>
      </c>
      <c r="J494" s="11">
        <v>1</v>
      </c>
      <c r="L494" s="12">
        <f t="shared" si="12"/>
        <v>0</v>
      </c>
      <c r="M494" s="11">
        <f>GraphSalmonella!$B$10-(Salmonella!I494-GraphSalmonella!$B$6)/GraphSalmonella!$B$5</f>
        <v>0.2712239435094701</v>
      </c>
      <c r="N494" s="1" t="s">
        <v>580</v>
      </c>
      <c r="O494">
        <v>1970</v>
      </c>
      <c r="P494" t="s">
        <v>579</v>
      </c>
      <c r="S494" s="10">
        <f>GraphSalmonella!$B$57*Salmonella!I494+GraphSalmonella!$B$58</f>
        <v>0.35072323220664714</v>
      </c>
      <c r="T494" s="10">
        <f>GraphSalmonella!$E$57*Salmonella!I494+GraphSalmonella!$E$58</f>
        <v>3.1370239566030182</v>
      </c>
      <c r="U494" s="10">
        <f>GraphSalmonella!$H$57*Salmonella!I494+GraphSalmonella!$H$58</f>
        <v>0.27208851901262943</v>
      </c>
      <c r="X494" s="10">
        <f>GraphSalmonella!$B$80*Salmonella!I494+GraphSalmonella!$B$81</f>
        <v>0.2738497546709393</v>
      </c>
      <c r="Y494" s="10">
        <f>GraphSalmonella!$E$80*Salmonella!I494+GraphSalmonella!$E$81</f>
        <v>0.2823920067305572</v>
      </c>
      <c r="Z494" s="10">
        <f>GraphSalmonella!$H$80*Salmonella!I494+GraphSalmonella!$H$81</f>
        <v>-6.4512686973317024E-2</v>
      </c>
    </row>
    <row r="495" spans="1:26" x14ac:dyDescent="0.2">
      <c r="A495" s="1" t="s">
        <v>66</v>
      </c>
      <c r="B495" s="1" t="s">
        <v>67</v>
      </c>
      <c r="C495">
        <v>436</v>
      </c>
      <c r="D495" t="s">
        <v>44</v>
      </c>
      <c r="E495" s="1" t="s">
        <v>370</v>
      </c>
      <c r="F495" s="19" t="s">
        <v>1433</v>
      </c>
      <c r="G495" s="9">
        <v>0.998</v>
      </c>
      <c r="I495" s="4">
        <v>60</v>
      </c>
      <c r="J495" s="11">
        <v>0.45</v>
      </c>
      <c r="L495" s="12">
        <f t="shared" si="12"/>
        <v>-0.34678748622465633</v>
      </c>
      <c r="M495" s="11">
        <f>GraphSalmonella!$B$10-(Salmonella!I495-GraphSalmonella!$B$6)/GraphSalmonella!$B$5</f>
        <v>0.2712239435094701</v>
      </c>
      <c r="N495" s="1" t="s">
        <v>580</v>
      </c>
      <c r="O495">
        <v>1970</v>
      </c>
      <c r="P495" t="s">
        <v>579</v>
      </c>
      <c r="S495" s="10">
        <f>GraphSalmonella!$B$57*Salmonella!I495+GraphSalmonella!$B$58</f>
        <v>0.35072323220664714</v>
      </c>
      <c r="T495" s="10">
        <f>GraphSalmonella!$E$57*Salmonella!I495+GraphSalmonella!$E$58</f>
        <v>3.1370239566030182</v>
      </c>
      <c r="U495" s="10">
        <f>GraphSalmonella!$H$57*Salmonella!I495+GraphSalmonella!$H$58</f>
        <v>0.27208851901262943</v>
      </c>
      <c r="X495" s="10">
        <f>GraphSalmonella!$B$80*Salmonella!I495+GraphSalmonella!$B$81</f>
        <v>0.2738497546709393</v>
      </c>
      <c r="Y495" s="10">
        <f>GraphSalmonella!$E$80*Salmonella!I495+GraphSalmonella!$E$81</f>
        <v>0.2823920067305572</v>
      </c>
      <c r="Z495" s="10">
        <f>GraphSalmonella!$H$80*Salmonella!I495+GraphSalmonella!$H$81</f>
        <v>-6.4512686973317024E-2</v>
      </c>
    </row>
    <row r="496" spans="1:26" x14ac:dyDescent="0.2">
      <c r="A496" s="1" t="s">
        <v>66</v>
      </c>
      <c r="B496" s="1" t="s">
        <v>67</v>
      </c>
      <c r="C496">
        <v>436</v>
      </c>
      <c r="D496" t="s">
        <v>44</v>
      </c>
      <c r="E496" s="1" t="s">
        <v>370</v>
      </c>
      <c r="F496" s="19" t="s">
        <v>1433</v>
      </c>
      <c r="G496" s="9">
        <v>0.94</v>
      </c>
      <c r="I496" s="4">
        <v>60</v>
      </c>
      <c r="J496" s="11">
        <v>1.8</v>
      </c>
      <c r="L496" s="12">
        <f t="shared" si="12"/>
        <v>0.25527250510330607</v>
      </c>
      <c r="M496" s="11">
        <f>GraphSalmonella!$B$10-(Salmonella!I496-GraphSalmonella!$B$6)/GraphSalmonella!$B$5</f>
        <v>0.2712239435094701</v>
      </c>
      <c r="N496" s="1" t="s">
        <v>580</v>
      </c>
      <c r="O496">
        <v>1970</v>
      </c>
      <c r="P496" t="s">
        <v>579</v>
      </c>
      <c r="S496" s="10">
        <f>GraphSalmonella!$B$57*Salmonella!I496+GraphSalmonella!$B$58</f>
        <v>0.35072323220664714</v>
      </c>
      <c r="T496" s="10">
        <f>GraphSalmonella!$E$57*Salmonella!I496+GraphSalmonella!$E$58</f>
        <v>3.1370239566030182</v>
      </c>
      <c r="U496" s="10">
        <f>GraphSalmonella!$H$57*Salmonella!I496+GraphSalmonella!$H$58</f>
        <v>0.27208851901262943</v>
      </c>
      <c r="X496" s="10">
        <f>GraphSalmonella!$B$80*Salmonella!I496+GraphSalmonella!$B$81</f>
        <v>0.2738497546709393</v>
      </c>
      <c r="Y496" s="10">
        <f>GraphSalmonella!$E$80*Salmonella!I496+GraphSalmonella!$E$81</f>
        <v>0.2823920067305572</v>
      </c>
      <c r="Z496" s="10">
        <f>GraphSalmonella!$H$80*Salmonella!I496+GraphSalmonella!$H$81</f>
        <v>-6.4512686973317024E-2</v>
      </c>
    </row>
    <row r="497" spans="1:26" x14ac:dyDescent="0.2">
      <c r="A497" s="1" t="s">
        <v>66</v>
      </c>
      <c r="B497" s="1" t="s">
        <v>67</v>
      </c>
      <c r="C497" t="s">
        <v>312</v>
      </c>
      <c r="D497" t="s">
        <v>44</v>
      </c>
      <c r="E497" s="1" t="s">
        <v>370</v>
      </c>
      <c r="F497" s="19" t="s">
        <v>1433</v>
      </c>
      <c r="G497" s="9">
        <v>0.9</v>
      </c>
      <c r="I497" s="4">
        <v>60</v>
      </c>
      <c r="J497" s="11">
        <v>2.7</v>
      </c>
      <c r="L497" s="12">
        <f t="shared" si="12"/>
        <v>0.43136376415898736</v>
      </c>
      <c r="M497" s="11">
        <f>GraphSalmonella!$B$10-(Salmonella!I497-GraphSalmonella!$B$6)/GraphSalmonella!$B$5</f>
        <v>0.2712239435094701</v>
      </c>
      <c r="N497" s="1" t="s">
        <v>580</v>
      </c>
      <c r="O497">
        <v>1970</v>
      </c>
      <c r="P497" t="s">
        <v>578</v>
      </c>
      <c r="S497" s="10">
        <f>GraphSalmonella!$B$57*Salmonella!I497+GraphSalmonella!$B$58</f>
        <v>0.35072323220664714</v>
      </c>
      <c r="T497" s="10">
        <f>GraphSalmonella!$E$57*Salmonella!I497+GraphSalmonella!$E$58</f>
        <v>3.1370239566030182</v>
      </c>
      <c r="U497" s="10">
        <f>GraphSalmonella!$H$57*Salmonella!I497+GraphSalmonella!$H$58</f>
        <v>0.27208851901262943</v>
      </c>
      <c r="X497" s="10">
        <f>GraphSalmonella!$B$80*Salmonella!I497+GraphSalmonella!$B$81</f>
        <v>0.2738497546709393</v>
      </c>
      <c r="Y497" s="10">
        <f>GraphSalmonella!$E$80*Salmonella!I497+GraphSalmonella!$E$81</f>
        <v>0.2823920067305572</v>
      </c>
      <c r="Z497" s="10">
        <f>GraphSalmonella!$H$80*Salmonella!I497+GraphSalmonella!$H$81</f>
        <v>-6.4512686973317024E-2</v>
      </c>
    </row>
    <row r="498" spans="1:26" x14ac:dyDescent="0.2">
      <c r="A498" s="1" t="s">
        <v>66</v>
      </c>
      <c r="B498" s="1" t="s">
        <v>67</v>
      </c>
      <c r="C498" t="s">
        <v>312</v>
      </c>
      <c r="D498" t="s">
        <v>44</v>
      </c>
      <c r="E498" s="1" t="s">
        <v>370</v>
      </c>
      <c r="F498" s="19" t="s">
        <v>1433</v>
      </c>
      <c r="G498" s="9">
        <v>0.92</v>
      </c>
      <c r="I498" s="4">
        <v>60</v>
      </c>
      <c r="J498" s="11">
        <v>3.7</v>
      </c>
      <c r="L498" s="12">
        <f t="shared" si="12"/>
        <v>0.56820172406699498</v>
      </c>
      <c r="M498" s="11">
        <f>GraphSalmonella!$B$10-(Salmonella!I498-GraphSalmonella!$B$6)/GraphSalmonella!$B$5</f>
        <v>0.2712239435094701</v>
      </c>
      <c r="N498" s="1" t="s">
        <v>580</v>
      </c>
      <c r="O498">
        <v>1970</v>
      </c>
      <c r="P498" t="s">
        <v>578</v>
      </c>
      <c r="S498" s="10">
        <f>GraphSalmonella!$B$57*Salmonella!I498+GraphSalmonella!$B$58</f>
        <v>0.35072323220664714</v>
      </c>
      <c r="T498" s="10">
        <f>GraphSalmonella!$E$57*Salmonella!I498+GraphSalmonella!$E$58</f>
        <v>3.1370239566030182</v>
      </c>
      <c r="U498" s="10">
        <f>GraphSalmonella!$H$57*Salmonella!I498+GraphSalmonella!$H$58</f>
        <v>0.27208851901262943</v>
      </c>
      <c r="X498" s="10">
        <f>GraphSalmonella!$B$80*Salmonella!I498+GraphSalmonella!$B$81</f>
        <v>0.2738497546709393</v>
      </c>
      <c r="Y498" s="10">
        <f>GraphSalmonella!$E$80*Salmonella!I498+GraphSalmonella!$E$81</f>
        <v>0.2823920067305572</v>
      </c>
      <c r="Z498" s="10">
        <f>GraphSalmonella!$H$80*Salmonella!I498+GraphSalmonella!$H$81</f>
        <v>-6.4512686973317024E-2</v>
      </c>
    </row>
    <row r="499" spans="1:26" x14ac:dyDescent="0.2">
      <c r="A499" s="1" t="s">
        <v>66</v>
      </c>
      <c r="B499" s="1" t="s">
        <v>67</v>
      </c>
      <c r="C499" t="s">
        <v>312</v>
      </c>
      <c r="D499" t="s">
        <v>44</v>
      </c>
      <c r="E499" s="1" t="s">
        <v>370</v>
      </c>
      <c r="F499" s="19" t="s">
        <v>1433</v>
      </c>
      <c r="G499" s="9">
        <v>0.96</v>
      </c>
      <c r="I499" s="4">
        <v>60</v>
      </c>
      <c r="J499" s="11">
        <v>7.2</v>
      </c>
      <c r="L499" s="12">
        <f t="shared" si="12"/>
        <v>0.85733249643126852</v>
      </c>
      <c r="M499" s="11">
        <f>GraphSalmonella!$B$10-(Salmonella!I499-GraphSalmonella!$B$6)/GraphSalmonella!$B$5</f>
        <v>0.2712239435094701</v>
      </c>
      <c r="N499" s="1" t="s">
        <v>580</v>
      </c>
      <c r="O499">
        <v>1970</v>
      </c>
      <c r="P499" t="s">
        <v>578</v>
      </c>
      <c r="S499" s="10">
        <f>GraphSalmonella!$B$57*Salmonella!I499+GraphSalmonella!$B$58</f>
        <v>0.35072323220664714</v>
      </c>
      <c r="T499" s="10">
        <f>GraphSalmonella!$E$57*Salmonella!I499+GraphSalmonella!$E$58</f>
        <v>3.1370239566030182</v>
      </c>
      <c r="U499" s="10">
        <f>GraphSalmonella!$H$57*Salmonella!I499+GraphSalmonella!$H$58</f>
        <v>0.27208851901262943</v>
      </c>
      <c r="X499" s="10">
        <f>GraphSalmonella!$B$80*Salmonella!I499+GraphSalmonella!$B$81</f>
        <v>0.2738497546709393</v>
      </c>
      <c r="Y499" s="10">
        <f>GraphSalmonella!$E$80*Salmonella!I499+GraphSalmonella!$E$81</f>
        <v>0.2823920067305572</v>
      </c>
      <c r="Z499" s="10">
        <f>GraphSalmonella!$H$80*Salmonella!I499+GraphSalmonella!$H$81</f>
        <v>-6.4512686973317024E-2</v>
      </c>
    </row>
    <row r="500" spans="1:26" x14ac:dyDescent="0.2">
      <c r="A500" s="1" t="s">
        <v>66</v>
      </c>
      <c r="B500" s="1" t="s">
        <v>67</v>
      </c>
      <c r="C500" t="s">
        <v>312</v>
      </c>
      <c r="D500" t="s">
        <v>44</v>
      </c>
      <c r="E500" s="1" t="s">
        <v>370</v>
      </c>
      <c r="F500" s="19" t="s">
        <v>1433</v>
      </c>
      <c r="G500" s="9">
        <v>0.98</v>
      </c>
      <c r="I500" s="4">
        <v>60</v>
      </c>
      <c r="J500" s="11">
        <v>5.3</v>
      </c>
      <c r="L500" s="12">
        <f t="shared" si="12"/>
        <v>0.72427586960078905</v>
      </c>
      <c r="M500" s="11">
        <f>GraphSalmonella!$B$10-(Salmonella!I500-GraphSalmonella!$B$6)/GraphSalmonella!$B$5</f>
        <v>0.2712239435094701</v>
      </c>
      <c r="N500" s="1" t="s">
        <v>580</v>
      </c>
      <c r="O500">
        <v>1970</v>
      </c>
      <c r="P500" t="s">
        <v>578</v>
      </c>
      <c r="S500" s="10">
        <f>GraphSalmonella!$B$57*Salmonella!I500+GraphSalmonella!$B$58</f>
        <v>0.35072323220664714</v>
      </c>
      <c r="T500" s="10">
        <f>GraphSalmonella!$E$57*Salmonella!I500+GraphSalmonella!$E$58</f>
        <v>3.1370239566030182</v>
      </c>
      <c r="U500" s="10">
        <f>GraphSalmonella!$H$57*Salmonella!I500+GraphSalmonella!$H$58</f>
        <v>0.27208851901262943</v>
      </c>
      <c r="X500" s="10">
        <f>GraphSalmonella!$B$80*Salmonella!I500+GraphSalmonella!$B$81</f>
        <v>0.2738497546709393</v>
      </c>
      <c r="Y500" s="10">
        <f>GraphSalmonella!$E$80*Salmonella!I500+GraphSalmonella!$E$81</f>
        <v>0.2823920067305572</v>
      </c>
      <c r="Z500" s="10">
        <f>GraphSalmonella!$H$80*Salmonella!I500+GraphSalmonella!$H$81</f>
        <v>-6.4512686973317024E-2</v>
      </c>
    </row>
    <row r="501" spans="1:26" x14ac:dyDescent="0.2">
      <c r="A501" s="1" t="s">
        <v>66</v>
      </c>
      <c r="B501" s="1" t="s">
        <v>67</v>
      </c>
      <c r="C501" t="s">
        <v>312</v>
      </c>
      <c r="D501" t="s">
        <v>44</v>
      </c>
      <c r="E501" s="1" t="s">
        <v>370</v>
      </c>
      <c r="F501" s="19" t="s">
        <v>1433</v>
      </c>
      <c r="G501" s="9">
        <v>0.998</v>
      </c>
      <c r="I501" s="4">
        <v>60</v>
      </c>
      <c r="J501" s="11">
        <v>6.1</v>
      </c>
      <c r="L501" s="12">
        <f t="shared" si="12"/>
        <v>0.78532983501076703</v>
      </c>
      <c r="M501" s="11">
        <f>GraphSalmonella!$B$10-(Salmonella!I501-GraphSalmonella!$B$6)/GraphSalmonella!$B$5</f>
        <v>0.2712239435094701</v>
      </c>
      <c r="N501" s="1" t="s">
        <v>580</v>
      </c>
      <c r="O501">
        <v>1970</v>
      </c>
      <c r="P501" t="s">
        <v>578</v>
      </c>
      <c r="S501" s="10">
        <f>GraphSalmonella!$B$57*Salmonella!I501+GraphSalmonella!$B$58</f>
        <v>0.35072323220664714</v>
      </c>
      <c r="T501" s="10">
        <f>GraphSalmonella!$E$57*Salmonella!I501+GraphSalmonella!$E$58</f>
        <v>3.1370239566030182</v>
      </c>
      <c r="U501" s="10">
        <f>GraphSalmonella!$H$57*Salmonella!I501+GraphSalmonella!$H$58</f>
        <v>0.27208851901262943</v>
      </c>
      <c r="X501" s="10">
        <f>GraphSalmonella!$B$80*Salmonella!I501+GraphSalmonella!$B$81</f>
        <v>0.2738497546709393</v>
      </c>
      <c r="Y501" s="10">
        <f>GraphSalmonella!$E$80*Salmonella!I501+GraphSalmonella!$E$81</f>
        <v>0.2823920067305572</v>
      </c>
      <c r="Z501" s="10">
        <f>GraphSalmonella!$H$80*Salmonella!I501+GraphSalmonella!$H$81</f>
        <v>-6.4512686973317024E-2</v>
      </c>
    </row>
    <row r="502" spans="1:26" x14ac:dyDescent="0.2">
      <c r="A502" s="1" t="s">
        <v>66</v>
      </c>
      <c r="B502" s="1" t="s">
        <v>67</v>
      </c>
      <c r="C502" t="s">
        <v>312</v>
      </c>
      <c r="D502" t="s">
        <v>44</v>
      </c>
      <c r="E502" s="1" t="s">
        <v>370</v>
      </c>
      <c r="F502" s="19" t="s">
        <v>1433</v>
      </c>
      <c r="G502" s="9">
        <v>0.94</v>
      </c>
      <c r="I502" s="4">
        <v>60</v>
      </c>
      <c r="J502" s="11">
        <v>5.0999999999999996</v>
      </c>
      <c r="L502" s="12">
        <f t="shared" si="12"/>
        <v>0.70757017609793638</v>
      </c>
      <c r="M502" s="11">
        <f>GraphSalmonella!$B$10-(Salmonella!I502-GraphSalmonella!$B$6)/GraphSalmonella!$B$5</f>
        <v>0.2712239435094701</v>
      </c>
      <c r="N502" s="1" t="s">
        <v>580</v>
      </c>
      <c r="O502">
        <v>1970</v>
      </c>
      <c r="P502" t="s">
        <v>578</v>
      </c>
      <c r="S502" s="10">
        <f>GraphSalmonella!$B$57*Salmonella!I502+GraphSalmonella!$B$58</f>
        <v>0.35072323220664714</v>
      </c>
      <c r="T502" s="10">
        <f>GraphSalmonella!$E$57*Salmonella!I502+GraphSalmonella!$E$58</f>
        <v>3.1370239566030182</v>
      </c>
      <c r="U502" s="10">
        <f>GraphSalmonella!$H$57*Salmonella!I502+GraphSalmonella!$H$58</f>
        <v>0.27208851901262943</v>
      </c>
      <c r="X502" s="10">
        <f>GraphSalmonella!$B$80*Salmonella!I502+GraphSalmonella!$B$81</f>
        <v>0.2738497546709393</v>
      </c>
      <c r="Y502" s="10">
        <f>GraphSalmonella!$E$80*Salmonella!I502+GraphSalmonella!$E$81</f>
        <v>0.2823920067305572</v>
      </c>
      <c r="Z502" s="10">
        <f>GraphSalmonella!$H$80*Salmonella!I502+GraphSalmonella!$H$81</f>
        <v>-6.4512686973317024E-2</v>
      </c>
    </row>
    <row r="503" spans="1:26" x14ac:dyDescent="0.2">
      <c r="A503" s="1" t="s">
        <v>66</v>
      </c>
      <c r="B503" s="1" t="s">
        <v>96</v>
      </c>
      <c r="C503">
        <v>286</v>
      </c>
      <c r="D503" t="s">
        <v>44</v>
      </c>
      <c r="E503" s="1" t="s">
        <v>370</v>
      </c>
      <c r="F503" s="19" t="s">
        <v>53</v>
      </c>
      <c r="G503" s="9">
        <v>0.9</v>
      </c>
      <c r="I503" s="4">
        <v>60</v>
      </c>
      <c r="J503" s="11">
        <v>46.7</v>
      </c>
      <c r="L503" s="12">
        <f t="shared" si="12"/>
        <v>1.6693168805661123</v>
      </c>
      <c r="M503" s="11">
        <f>GraphSalmonella!$B$10-(Salmonella!I503-GraphSalmonella!$B$6)/GraphSalmonella!$B$5</f>
        <v>0.2712239435094701</v>
      </c>
      <c r="N503" s="1" t="s">
        <v>580</v>
      </c>
      <c r="O503">
        <v>1970</v>
      </c>
      <c r="P503" t="s">
        <v>578</v>
      </c>
      <c r="S503" s="10">
        <f>GraphSalmonella!$B$57*Salmonella!I503+GraphSalmonella!$B$58</f>
        <v>0.35072323220664714</v>
      </c>
      <c r="T503" s="10">
        <f>GraphSalmonella!$E$57*Salmonella!I503+GraphSalmonella!$E$58</f>
        <v>3.1370239566030182</v>
      </c>
      <c r="U503" s="10">
        <f>GraphSalmonella!$H$57*Salmonella!I503+GraphSalmonella!$H$58</f>
        <v>0.27208851901262943</v>
      </c>
      <c r="X503" s="10">
        <f>GraphSalmonella!$B$80*Salmonella!I503+GraphSalmonella!$B$81</f>
        <v>0.2738497546709393</v>
      </c>
      <c r="Y503" s="10">
        <f>GraphSalmonella!$E$80*Salmonella!I503+GraphSalmonella!$E$81</f>
        <v>0.2823920067305572</v>
      </c>
      <c r="Z503" s="10">
        <f>GraphSalmonella!$H$80*Salmonella!I503+GraphSalmonella!$H$81</f>
        <v>-6.4512686973317024E-2</v>
      </c>
    </row>
    <row r="504" spans="1:26" x14ac:dyDescent="0.2">
      <c r="A504" s="1" t="s">
        <v>66</v>
      </c>
      <c r="B504" s="1" t="s">
        <v>96</v>
      </c>
      <c r="C504">
        <v>286</v>
      </c>
      <c r="D504" t="s">
        <v>44</v>
      </c>
      <c r="E504" s="1" t="s">
        <v>370</v>
      </c>
      <c r="F504" s="19" t="s">
        <v>53</v>
      </c>
      <c r="G504" s="9">
        <v>0.92</v>
      </c>
      <c r="I504" s="4">
        <v>60</v>
      </c>
      <c r="J504" s="11">
        <v>46.3</v>
      </c>
      <c r="L504" s="12">
        <f t="shared" si="12"/>
        <v>1.6655809910179531</v>
      </c>
      <c r="M504" s="11">
        <f>GraphSalmonella!$B$10-(Salmonella!I504-GraphSalmonella!$B$6)/GraphSalmonella!$B$5</f>
        <v>0.2712239435094701</v>
      </c>
      <c r="N504" s="1" t="s">
        <v>580</v>
      </c>
      <c r="O504">
        <v>1970</v>
      </c>
      <c r="P504" t="s">
        <v>578</v>
      </c>
      <c r="S504" s="10">
        <f>GraphSalmonella!$B$57*Salmonella!I504+GraphSalmonella!$B$58</f>
        <v>0.35072323220664714</v>
      </c>
      <c r="T504" s="10">
        <f>GraphSalmonella!$E$57*Salmonella!I504+GraphSalmonella!$E$58</f>
        <v>3.1370239566030182</v>
      </c>
      <c r="U504" s="10">
        <f>GraphSalmonella!$H$57*Salmonella!I504+GraphSalmonella!$H$58</f>
        <v>0.27208851901262943</v>
      </c>
      <c r="X504" s="10">
        <f>GraphSalmonella!$B$80*Salmonella!I504+GraphSalmonella!$B$81</f>
        <v>0.2738497546709393</v>
      </c>
      <c r="Y504" s="10">
        <f>GraphSalmonella!$E$80*Salmonella!I504+GraphSalmonella!$E$81</f>
        <v>0.2823920067305572</v>
      </c>
      <c r="Z504" s="10">
        <f>GraphSalmonella!$H$80*Salmonella!I504+GraphSalmonella!$H$81</f>
        <v>-6.4512686973317024E-2</v>
      </c>
    </row>
    <row r="505" spans="1:26" x14ac:dyDescent="0.2">
      <c r="A505" s="1" t="s">
        <v>66</v>
      </c>
      <c r="B505" s="1" t="s">
        <v>96</v>
      </c>
      <c r="C505">
        <v>286</v>
      </c>
      <c r="D505" t="s">
        <v>44</v>
      </c>
      <c r="E505" s="1" t="s">
        <v>370</v>
      </c>
      <c r="F505" s="19" t="s">
        <v>53</v>
      </c>
      <c r="G505" s="9">
        <v>0.96</v>
      </c>
      <c r="I505" s="4">
        <v>60</v>
      </c>
      <c r="J505" s="11">
        <v>29.9</v>
      </c>
      <c r="L505" s="12">
        <f t="shared" si="12"/>
        <v>1.4756711883244296</v>
      </c>
      <c r="M505" s="11">
        <f>GraphSalmonella!$B$10-(Salmonella!I505-GraphSalmonella!$B$6)/GraphSalmonella!$B$5</f>
        <v>0.2712239435094701</v>
      </c>
      <c r="N505" s="1" t="s">
        <v>580</v>
      </c>
      <c r="O505">
        <v>1970</v>
      </c>
      <c r="P505" t="s">
        <v>578</v>
      </c>
      <c r="S505" s="10">
        <f>GraphSalmonella!$B$57*Salmonella!I505+GraphSalmonella!$B$58</f>
        <v>0.35072323220664714</v>
      </c>
      <c r="T505" s="10">
        <f>GraphSalmonella!$E$57*Salmonella!I505+GraphSalmonella!$E$58</f>
        <v>3.1370239566030182</v>
      </c>
      <c r="U505" s="10">
        <f>GraphSalmonella!$H$57*Salmonella!I505+GraphSalmonella!$H$58</f>
        <v>0.27208851901262943</v>
      </c>
      <c r="X505" s="10">
        <f>GraphSalmonella!$B$80*Salmonella!I505+GraphSalmonella!$B$81</f>
        <v>0.2738497546709393</v>
      </c>
      <c r="Y505" s="10">
        <f>GraphSalmonella!$E$80*Salmonella!I505+GraphSalmonella!$E$81</f>
        <v>0.2823920067305572</v>
      </c>
      <c r="Z505" s="10">
        <f>GraphSalmonella!$H$80*Salmonella!I505+GraphSalmonella!$H$81</f>
        <v>-6.4512686973317024E-2</v>
      </c>
    </row>
    <row r="506" spans="1:26" x14ac:dyDescent="0.2">
      <c r="A506" s="1" t="s">
        <v>66</v>
      </c>
      <c r="B506" s="1" t="s">
        <v>96</v>
      </c>
      <c r="C506">
        <v>286</v>
      </c>
      <c r="D506" t="s">
        <v>44</v>
      </c>
      <c r="E506" s="1" t="s">
        <v>370</v>
      </c>
      <c r="F506" s="19" t="s">
        <v>53</v>
      </c>
      <c r="G506" s="9">
        <v>0.98</v>
      </c>
      <c r="I506" s="4">
        <v>60</v>
      </c>
      <c r="J506" s="11">
        <v>12.6</v>
      </c>
      <c r="L506" s="12">
        <f t="shared" si="12"/>
        <v>1.1003705451175629</v>
      </c>
      <c r="M506" s="11">
        <f>GraphSalmonella!$B$10-(Salmonella!I506-GraphSalmonella!$B$6)/GraphSalmonella!$B$5</f>
        <v>0.2712239435094701</v>
      </c>
      <c r="N506" s="1" t="s">
        <v>580</v>
      </c>
      <c r="O506">
        <v>1970</v>
      </c>
      <c r="P506" t="s">
        <v>578</v>
      </c>
      <c r="S506" s="10">
        <f>GraphSalmonella!$B$57*Salmonella!I506+GraphSalmonella!$B$58</f>
        <v>0.35072323220664714</v>
      </c>
      <c r="T506" s="10">
        <f>GraphSalmonella!$E$57*Salmonella!I506+GraphSalmonella!$E$58</f>
        <v>3.1370239566030182</v>
      </c>
      <c r="U506" s="10">
        <f>GraphSalmonella!$H$57*Salmonella!I506+GraphSalmonella!$H$58</f>
        <v>0.27208851901262943</v>
      </c>
      <c r="X506" s="10">
        <f>GraphSalmonella!$B$80*Salmonella!I506+GraphSalmonella!$B$81</f>
        <v>0.2738497546709393</v>
      </c>
      <c r="Y506" s="10">
        <f>GraphSalmonella!$E$80*Salmonella!I506+GraphSalmonella!$E$81</f>
        <v>0.2823920067305572</v>
      </c>
      <c r="Z506" s="10">
        <f>GraphSalmonella!$H$80*Salmonella!I506+GraphSalmonella!$H$81</f>
        <v>-6.4512686973317024E-2</v>
      </c>
    </row>
    <row r="507" spans="1:26" x14ac:dyDescent="0.2">
      <c r="A507" s="1" t="s">
        <v>66</v>
      </c>
      <c r="B507" s="1" t="s">
        <v>96</v>
      </c>
      <c r="C507">
        <v>286</v>
      </c>
      <c r="D507" t="s">
        <v>44</v>
      </c>
      <c r="E507" s="1" t="s">
        <v>370</v>
      </c>
      <c r="F507" s="19" t="s">
        <v>53</v>
      </c>
      <c r="G507" s="9">
        <v>0.998</v>
      </c>
      <c r="I507" s="4">
        <v>60</v>
      </c>
      <c r="J507" s="11">
        <v>4.0999999999999996</v>
      </c>
      <c r="L507" s="12">
        <f t="shared" si="12"/>
        <v>0.61278385671973545</v>
      </c>
      <c r="M507" s="11">
        <f>GraphSalmonella!$B$10-(Salmonella!I507-GraphSalmonella!$B$6)/GraphSalmonella!$B$5</f>
        <v>0.2712239435094701</v>
      </c>
      <c r="N507" s="1" t="s">
        <v>580</v>
      </c>
      <c r="O507">
        <v>1970</v>
      </c>
      <c r="P507" t="s">
        <v>578</v>
      </c>
      <c r="S507" s="10">
        <f>GraphSalmonella!$B$57*Salmonella!I507+GraphSalmonella!$B$58</f>
        <v>0.35072323220664714</v>
      </c>
      <c r="T507" s="10">
        <f>GraphSalmonella!$E$57*Salmonella!I507+GraphSalmonella!$E$58</f>
        <v>3.1370239566030182</v>
      </c>
      <c r="U507" s="10">
        <f>GraphSalmonella!$H$57*Salmonella!I507+GraphSalmonella!$H$58</f>
        <v>0.27208851901262943</v>
      </c>
      <c r="X507" s="10">
        <f>GraphSalmonella!$B$80*Salmonella!I507+GraphSalmonella!$B$81</f>
        <v>0.2738497546709393</v>
      </c>
      <c r="Y507" s="10">
        <f>GraphSalmonella!$E$80*Salmonella!I507+GraphSalmonella!$E$81</f>
        <v>0.2823920067305572</v>
      </c>
      <c r="Z507" s="10">
        <f>GraphSalmonella!$H$80*Salmonella!I507+GraphSalmonella!$H$81</f>
        <v>-6.4512686973317024E-2</v>
      </c>
    </row>
    <row r="508" spans="1:26" x14ac:dyDescent="0.2">
      <c r="A508" s="1" t="s">
        <v>66</v>
      </c>
      <c r="B508" s="1" t="s">
        <v>96</v>
      </c>
      <c r="C508">
        <v>286</v>
      </c>
      <c r="D508" t="s">
        <v>44</v>
      </c>
      <c r="E508" s="1" t="s">
        <v>370</v>
      </c>
      <c r="F508" s="19" t="s">
        <v>53</v>
      </c>
      <c r="G508" s="9">
        <v>0.94</v>
      </c>
      <c r="I508" s="4">
        <v>60</v>
      </c>
      <c r="J508" s="11">
        <v>36.4</v>
      </c>
      <c r="L508" s="12">
        <f t="shared" si="12"/>
        <v>1.5611013836490559</v>
      </c>
      <c r="M508" s="11">
        <f>GraphSalmonella!$B$10-(Salmonella!I508-GraphSalmonella!$B$6)/GraphSalmonella!$B$5</f>
        <v>0.2712239435094701</v>
      </c>
      <c r="N508" s="1" t="s">
        <v>580</v>
      </c>
      <c r="O508">
        <v>1970</v>
      </c>
      <c r="P508" t="s">
        <v>578</v>
      </c>
      <c r="S508" s="10">
        <f>GraphSalmonella!$B$57*Salmonella!I508+GraphSalmonella!$B$58</f>
        <v>0.35072323220664714</v>
      </c>
      <c r="T508" s="10">
        <f>GraphSalmonella!$E$57*Salmonella!I508+GraphSalmonella!$E$58</f>
        <v>3.1370239566030182</v>
      </c>
      <c r="U508" s="10">
        <f>GraphSalmonella!$H$57*Salmonella!I508+GraphSalmonella!$H$58</f>
        <v>0.27208851901262943</v>
      </c>
      <c r="X508" s="10">
        <f>GraphSalmonella!$B$80*Salmonella!I508+GraphSalmonella!$B$81</f>
        <v>0.2738497546709393</v>
      </c>
      <c r="Y508" s="10">
        <f>GraphSalmonella!$E$80*Salmonella!I508+GraphSalmonella!$E$81</f>
        <v>0.2823920067305572</v>
      </c>
      <c r="Z508" s="10">
        <f>GraphSalmonella!$H$80*Salmonella!I508+GraphSalmonella!$H$81</f>
        <v>-6.4512686973317024E-2</v>
      </c>
    </row>
    <row r="509" spans="1:26" x14ac:dyDescent="0.2">
      <c r="A509" s="1" t="s">
        <v>66</v>
      </c>
      <c r="B509" s="1" t="s">
        <v>96</v>
      </c>
      <c r="C509">
        <v>2315</v>
      </c>
      <c r="D509" t="s">
        <v>44</v>
      </c>
      <c r="E509" s="1" t="s">
        <v>370</v>
      </c>
      <c r="F509" s="19" t="s">
        <v>53</v>
      </c>
      <c r="G509" s="9">
        <v>0.9</v>
      </c>
      <c r="I509" s="4">
        <v>60</v>
      </c>
      <c r="J509" s="11">
        <v>53.9</v>
      </c>
      <c r="L509" s="12">
        <f t="shared" si="12"/>
        <v>1.7315887651867388</v>
      </c>
      <c r="M509" s="11">
        <f>GraphSalmonella!$B$10-(Salmonella!I509-GraphSalmonella!$B$6)/GraphSalmonella!$B$5</f>
        <v>0.2712239435094701</v>
      </c>
      <c r="N509" s="1" t="s">
        <v>580</v>
      </c>
      <c r="O509">
        <v>1970</v>
      </c>
      <c r="P509" t="s">
        <v>579</v>
      </c>
      <c r="S509" s="10">
        <f>GraphSalmonella!$B$57*Salmonella!I509+GraphSalmonella!$B$58</f>
        <v>0.35072323220664714</v>
      </c>
      <c r="T509" s="10">
        <f>GraphSalmonella!$E$57*Salmonella!I509+GraphSalmonella!$E$58</f>
        <v>3.1370239566030182</v>
      </c>
      <c r="U509" s="10">
        <f>GraphSalmonella!$H$57*Salmonella!I509+GraphSalmonella!$H$58</f>
        <v>0.27208851901262943</v>
      </c>
      <c r="X509" s="10">
        <f>GraphSalmonella!$B$80*Salmonella!I509+GraphSalmonella!$B$81</f>
        <v>0.2738497546709393</v>
      </c>
      <c r="Y509" s="10">
        <f>GraphSalmonella!$E$80*Salmonella!I509+GraphSalmonella!$E$81</f>
        <v>0.2823920067305572</v>
      </c>
      <c r="Z509" s="10">
        <f>GraphSalmonella!$H$80*Salmonella!I509+GraphSalmonella!$H$81</f>
        <v>-6.4512686973317024E-2</v>
      </c>
    </row>
    <row r="510" spans="1:26" x14ac:dyDescent="0.2">
      <c r="A510" s="1" t="s">
        <v>66</v>
      </c>
      <c r="B510" s="1" t="s">
        <v>96</v>
      </c>
      <c r="C510">
        <v>2315</v>
      </c>
      <c r="D510" t="s">
        <v>44</v>
      </c>
      <c r="E510" s="1" t="s">
        <v>370</v>
      </c>
      <c r="F510" s="19" t="s">
        <v>53</v>
      </c>
      <c r="G510" s="9">
        <v>0.92</v>
      </c>
      <c r="I510" s="4">
        <v>60</v>
      </c>
      <c r="J510" s="11">
        <v>51.8</v>
      </c>
      <c r="L510" s="12">
        <f t="shared" si="12"/>
        <v>1.7143297597452329</v>
      </c>
      <c r="M510" s="11">
        <f>GraphSalmonella!$B$10-(Salmonella!I510-GraphSalmonella!$B$6)/GraphSalmonella!$B$5</f>
        <v>0.2712239435094701</v>
      </c>
      <c r="N510" s="1" t="s">
        <v>580</v>
      </c>
      <c r="O510">
        <v>1970</v>
      </c>
      <c r="P510" t="s">
        <v>579</v>
      </c>
      <c r="S510" s="10">
        <f>GraphSalmonella!$B$57*Salmonella!I510+GraphSalmonella!$B$58</f>
        <v>0.35072323220664714</v>
      </c>
      <c r="T510" s="10">
        <f>GraphSalmonella!$E$57*Salmonella!I510+GraphSalmonella!$E$58</f>
        <v>3.1370239566030182</v>
      </c>
      <c r="U510" s="10">
        <f>GraphSalmonella!$H$57*Salmonella!I510+GraphSalmonella!$H$58</f>
        <v>0.27208851901262943</v>
      </c>
      <c r="X510" s="10">
        <f>GraphSalmonella!$B$80*Salmonella!I510+GraphSalmonella!$B$81</f>
        <v>0.2738497546709393</v>
      </c>
      <c r="Y510" s="10">
        <f>GraphSalmonella!$E$80*Salmonella!I510+GraphSalmonella!$E$81</f>
        <v>0.2823920067305572</v>
      </c>
      <c r="Z510" s="10">
        <f>GraphSalmonella!$H$80*Salmonella!I510+GraphSalmonella!$H$81</f>
        <v>-6.4512686973317024E-2</v>
      </c>
    </row>
    <row r="511" spans="1:26" x14ac:dyDescent="0.2">
      <c r="A511" s="1" t="s">
        <v>66</v>
      </c>
      <c r="B511" s="1" t="s">
        <v>96</v>
      </c>
      <c r="C511">
        <v>2315</v>
      </c>
      <c r="D511" t="s">
        <v>44</v>
      </c>
      <c r="E511" s="1" t="s">
        <v>370</v>
      </c>
      <c r="F511" s="19" t="s">
        <v>53</v>
      </c>
      <c r="G511" s="9">
        <v>0.96</v>
      </c>
      <c r="I511" s="4">
        <v>60</v>
      </c>
      <c r="J511" s="11">
        <v>18.399999999999999</v>
      </c>
      <c r="L511" s="12">
        <f t="shared" si="12"/>
        <v>1.2648178230095364</v>
      </c>
      <c r="M511" s="11">
        <f>GraphSalmonella!$B$10-(Salmonella!I511-GraphSalmonella!$B$6)/GraphSalmonella!$B$5</f>
        <v>0.2712239435094701</v>
      </c>
      <c r="N511" s="1" t="s">
        <v>580</v>
      </c>
      <c r="O511">
        <v>1970</v>
      </c>
      <c r="P511" t="s">
        <v>579</v>
      </c>
      <c r="S511" s="10">
        <f>GraphSalmonella!$B$57*Salmonella!I511+GraphSalmonella!$B$58</f>
        <v>0.35072323220664714</v>
      </c>
      <c r="T511" s="10">
        <f>GraphSalmonella!$E$57*Salmonella!I511+GraphSalmonella!$E$58</f>
        <v>3.1370239566030182</v>
      </c>
      <c r="U511" s="10">
        <f>GraphSalmonella!$H$57*Salmonella!I511+GraphSalmonella!$H$58</f>
        <v>0.27208851901262943</v>
      </c>
      <c r="X511" s="10">
        <f>GraphSalmonella!$B$80*Salmonella!I511+GraphSalmonella!$B$81</f>
        <v>0.2738497546709393</v>
      </c>
      <c r="Y511" s="10">
        <f>GraphSalmonella!$E$80*Salmonella!I511+GraphSalmonella!$E$81</f>
        <v>0.2823920067305572</v>
      </c>
      <c r="Z511" s="10">
        <f>GraphSalmonella!$H$80*Salmonella!I511+GraphSalmonella!$H$81</f>
        <v>-6.4512686973317024E-2</v>
      </c>
    </row>
    <row r="512" spans="1:26" x14ac:dyDescent="0.2">
      <c r="A512" s="1" t="s">
        <v>66</v>
      </c>
      <c r="B512" s="1" t="s">
        <v>96</v>
      </c>
      <c r="C512">
        <v>2315</v>
      </c>
      <c r="D512" t="s">
        <v>44</v>
      </c>
      <c r="E512" s="1" t="s">
        <v>370</v>
      </c>
      <c r="F512" s="19" t="s">
        <v>53</v>
      </c>
      <c r="G512" s="9">
        <v>0.98</v>
      </c>
      <c r="I512" s="4">
        <v>60</v>
      </c>
      <c r="J512" s="11">
        <v>4</v>
      </c>
      <c r="L512" s="12">
        <f t="shared" si="12"/>
        <v>0.6020599913279624</v>
      </c>
      <c r="M512" s="11">
        <f>GraphSalmonella!$B$10-(Salmonella!I512-GraphSalmonella!$B$6)/GraphSalmonella!$B$5</f>
        <v>0.2712239435094701</v>
      </c>
      <c r="N512" s="1" t="s">
        <v>580</v>
      </c>
      <c r="O512">
        <v>1970</v>
      </c>
      <c r="P512" t="s">
        <v>579</v>
      </c>
      <c r="S512" s="10">
        <f>GraphSalmonella!$B$57*Salmonella!I512+GraphSalmonella!$B$58</f>
        <v>0.35072323220664714</v>
      </c>
      <c r="T512" s="10">
        <f>GraphSalmonella!$E$57*Salmonella!I512+GraphSalmonella!$E$58</f>
        <v>3.1370239566030182</v>
      </c>
      <c r="U512" s="10">
        <f>GraphSalmonella!$H$57*Salmonella!I512+GraphSalmonella!$H$58</f>
        <v>0.27208851901262943</v>
      </c>
      <c r="X512" s="10">
        <f>GraphSalmonella!$B$80*Salmonella!I512+GraphSalmonella!$B$81</f>
        <v>0.2738497546709393</v>
      </c>
      <c r="Y512" s="10">
        <f>GraphSalmonella!$E$80*Salmonella!I512+GraphSalmonella!$E$81</f>
        <v>0.2823920067305572</v>
      </c>
      <c r="Z512" s="10">
        <f>GraphSalmonella!$H$80*Salmonella!I512+GraphSalmonella!$H$81</f>
        <v>-6.4512686973317024E-2</v>
      </c>
    </row>
    <row r="513" spans="1:26" x14ac:dyDescent="0.2">
      <c r="A513" s="1" t="s">
        <v>66</v>
      </c>
      <c r="B513" s="1" t="s">
        <v>96</v>
      </c>
      <c r="C513">
        <v>2315</v>
      </c>
      <c r="D513" t="s">
        <v>44</v>
      </c>
      <c r="E513" s="1" t="s">
        <v>370</v>
      </c>
      <c r="F513" s="19" t="s">
        <v>53</v>
      </c>
      <c r="G513" s="9">
        <v>0.998</v>
      </c>
      <c r="I513" s="4">
        <v>60</v>
      </c>
      <c r="J513" s="11">
        <v>0.43</v>
      </c>
      <c r="L513" s="12">
        <f t="shared" si="12"/>
        <v>-0.36653154442041347</v>
      </c>
      <c r="M513" s="11">
        <f>GraphSalmonella!$B$10-(Salmonella!I513-GraphSalmonella!$B$6)/GraphSalmonella!$B$5</f>
        <v>0.2712239435094701</v>
      </c>
      <c r="N513" s="1" t="s">
        <v>580</v>
      </c>
      <c r="O513">
        <v>1970</v>
      </c>
      <c r="P513" t="s">
        <v>579</v>
      </c>
      <c r="S513" s="10">
        <f>GraphSalmonella!$B$57*Salmonella!I513+GraphSalmonella!$B$58</f>
        <v>0.35072323220664714</v>
      </c>
      <c r="T513" s="10">
        <f>GraphSalmonella!$E$57*Salmonella!I513+GraphSalmonella!$E$58</f>
        <v>3.1370239566030182</v>
      </c>
      <c r="U513" s="10">
        <f>GraphSalmonella!$H$57*Salmonella!I513+GraphSalmonella!$H$58</f>
        <v>0.27208851901262943</v>
      </c>
      <c r="X513" s="10">
        <f>GraphSalmonella!$B$80*Salmonella!I513+GraphSalmonella!$B$81</f>
        <v>0.2738497546709393</v>
      </c>
      <c r="Y513" s="10">
        <f>GraphSalmonella!$E$80*Salmonella!I513+GraphSalmonella!$E$81</f>
        <v>0.2823920067305572</v>
      </c>
      <c r="Z513" s="10">
        <f>GraphSalmonella!$H$80*Salmonella!I513+GraphSalmonella!$H$81</f>
        <v>-6.4512686973317024E-2</v>
      </c>
    </row>
    <row r="514" spans="1:26" x14ac:dyDescent="0.2">
      <c r="A514" s="1" t="s">
        <v>66</v>
      </c>
      <c r="B514" s="1" t="s">
        <v>96</v>
      </c>
      <c r="C514">
        <v>2315</v>
      </c>
      <c r="D514" t="s">
        <v>44</v>
      </c>
      <c r="E514" s="1" t="s">
        <v>370</v>
      </c>
      <c r="F514" s="19" t="s">
        <v>53</v>
      </c>
      <c r="G514" s="9">
        <v>0.94</v>
      </c>
      <c r="I514" s="4">
        <v>60</v>
      </c>
      <c r="J514" s="11">
        <v>31.9</v>
      </c>
      <c r="L514" s="12">
        <f t="shared" si="12"/>
        <v>1.503790683057181</v>
      </c>
      <c r="M514" s="11">
        <f>GraphSalmonella!$B$10-(Salmonella!I514-GraphSalmonella!$B$6)/GraphSalmonella!$B$5</f>
        <v>0.2712239435094701</v>
      </c>
      <c r="N514" s="1" t="s">
        <v>580</v>
      </c>
      <c r="O514">
        <v>1970</v>
      </c>
      <c r="P514" t="s">
        <v>579</v>
      </c>
      <c r="S514" s="10">
        <f>GraphSalmonella!$B$57*Salmonella!I514+GraphSalmonella!$B$58</f>
        <v>0.35072323220664714</v>
      </c>
      <c r="T514" s="10">
        <f>GraphSalmonella!$E$57*Salmonella!I514+GraphSalmonella!$E$58</f>
        <v>3.1370239566030182</v>
      </c>
      <c r="U514" s="10">
        <f>GraphSalmonella!$H$57*Salmonella!I514+GraphSalmonella!$H$58</f>
        <v>0.27208851901262943</v>
      </c>
      <c r="X514" s="10">
        <f>GraphSalmonella!$B$80*Salmonella!I514+GraphSalmonella!$B$81</f>
        <v>0.2738497546709393</v>
      </c>
      <c r="Y514" s="10">
        <f>GraphSalmonella!$E$80*Salmonella!I514+GraphSalmonella!$E$81</f>
        <v>0.2823920067305572</v>
      </c>
      <c r="Z514" s="10">
        <f>GraphSalmonella!$H$80*Salmonella!I514+GraphSalmonella!$H$81</f>
        <v>-6.4512686973317024E-2</v>
      </c>
    </row>
    <row r="515" spans="1:26" x14ac:dyDescent="0.2">
      <c r="A515" s="1" t="s">
        <v>66</v>
      </c>
      <c r="B515" s="1" t="s">
        <v>67</v>
      </c>
      <c r="C515">
        <v>436</v>
      </c>
      <c r="D515" t="s">
        <v>44</v>
      </c>
      <c r="E515" s="1" t="s">
        <v>370</v>
      </c>
      <c r="F515" s="19" t="s">
        <v>53</v>
      </c>
      <c r="G515" s="9">
        <v>0.9</v>
      </c>
      <c r="I515" s="4">
        <v>60</v>
      </c>
      <c r="J515" s="11">
        <v>64.900000000000006</v>
      </c>
      <c r="L515" s="12">
        <f t="shared" si="12"/>
        <v>1.8122446968003694</v>
      </c>
      <c r="M515" s="11">
        <f>GraphSalmonella!$B$10-(Salmonella!I515-GraphSalmonella!$B$6)/GraphSalmonella!$B$5</f>
        <v>0.2712239435094701</v>
      </c>
      <c r="N515" s="1" t="s">
        <v>580</v>
      </c>
      <c r="O515">
        <v>1970</v>
      </c>
      <c r="P515" t="s">
        <v>579</v>
      </c>
      <c r="S515" s="10">
        <f>GraphSalmonella!$B$57*Salmonella!I515+GraphSalmonella!$B$58</f>
        <v>0.35072323220664714</v>
      </c>
      <c r="T515" s="10">
        <f>GraphSalmonella!$E$57*Salmonella!I515+GraphSalmonella!$E$58</f>
        <v>3.1370239566030182</v>
      </c>
      <c r="U515" s="10">
        <f>GraphSalmonella!$H$57*Salmonella!I515+GraphSalmonella!$H$58</f>
        <v>0.27208851901262943</v>
      </c>
      <c r="X515" s="10">
        <f>GraphSalmonella!$B$80*Salmonella!I515+GraphSalmonella!$B$81</f>
        <v>0.2738497546709393</v>
      </c>
      <c r="Y515" s="10">
        <f>GraphSalmonella!$E$80*Salmonella!I515+GraphSalmonella!$E$81</f>
        <v>0.2823920067305572</v>
      </c>
      <c r="Z515" s="10">
        <f>GraphSalmonella!$H$80*Salmonella!I515+GraphSalmonella!$H$81</f>
        <v>-6.4512686973317024E-2</v>
      </c>
    </row>
    <row r="516" spans="1:26" x14ac:dyDescent="0.2">
      <c r="A516" s="1" t="s">
        <v>66</v>
      </c>
      <c r="B516" s="1" t="s">
        <v>67</v>
      </c>
      <c r="C516">
        <v>436</v>
      </c>
      <c r="D516" t="s">
        <v>44</v>
      </c>
      <c r="E516" s="1" t="s">
        <v>370</v>
      </c>
      <c r="F516" s="19" t="s">
        <v>53</v>
      </c>
      <c r="G516" s="9">
        <v>0.92</v>
      </c>
      <c r="I516" s="4">
        <v>60</v>
      </c>
      <c r="J516" s="11">
        <v>45.3</v>
      </c>
      <c r="L516" s="12">
        <f t="shared" si="12"/>
        <v>1.6560982020128319</v>
      </c>
      <c r="M516" s="11">
        <f>GraphSalmonella!$B$10-(Salmonella!I516-GraphSalmonella!$B$6)/GraphSalmonella!$B$5</f>
        <v>0.2712239435094701</v>
      </c>
      <c r="N516" s="1" t="s">
        <v>580</v>
      </c>
      <c r="O516">
        <v>1970</v>
      </c>
      <c r="P516" t="s">
        <v>579</v>
      </c>
      <c r="S516" s="10">
        <f>GraphSalmonella!$B$57*Salmonella!I516+GraphSalmonella!$B$58</f>
        <v>0.35072323220664714</v>
      </c>
      <c r="T516" s="10">
        <f>GraphSalmonella!$E$57*Salmonella!I516+GraphSalmonella!$E$58</f>
        <v>3.1370239566030182</v>
      </c>
      <c r="U516" s="10">
        <f>GraphSalmonella!$H$57*Salmonella!I516+GraphSalmonella!$H$58</f>
        <v>0.27208851901262943</v>
      </c>
      <c r="X516" s="10">
        <f>GraphSalmonella!$B$80*Salmonella!I516+GraphSalmonella!$B$81</f>
        <v>0.2738497546709393</v>
      </c>
      <c r="Y516" s="10">
        <f>GraphSalmonella!$E$80*Salmonella!I516+GraphSalmonella!$E$81</f>
        <v>0.2823920067305572</v>
      </c>
      <c r="Z516" s="10">
        <f>GraphSalmonella!$H$80*Salmonella!I516+GraphSalmonella!$H$81</f>
        <v>-6.4512686973317024E-2</v>
      </c>
    </row>
    <row r="517" spans="1:26" x14ac:dyDescent="0.2">
      <c r="A517" s="1" t="s">
        <v>66</v>
      </c>
      <c r="B517" s="1" t="s">
        <v>67</v>
      </c>
      <c r="C517">
        <v>436</v>
      </c>
      <c r="D517" t="s">
        <v>44</v>
      </c>
      <c r="E517" s="1" t="s">
        <v>370</v>
      </c>
      <c r="F517" s="19" t="s">
        <v>53</v>
      </c>
      <c r="G517" s="9">
        <v>0.96</v>
      </c>
      <c r="I517" s="4">
        <v>60</v>
      </c>
      <c r="J517" s="11">
        <v>15.5</v>
      </c>
      <c r="L517" s="12">
        <f t="shared" si="12"/>
        <v>1.1903316981702914</v>
      </c>
      <c r="M517" s="11">
        <f>GraphSalmonella!$B$10-(Salmonella!I517-GraphSalmonella!$B$6)/GraphSalmonella!$B$5</f>
        <v>0.2712239435094701</v>
      </c>
      <c r="N517" s="1" t="s">
        <v>580</v>
      </c>
      <c r="O517">
        <v>1970</v>
      </c>
      <c r="P517" t="s">
        <v>579</v>
      </c>
      <c r="S517" s="10">
        <f>GraphSalmonella!$B$57*Salmonella!I517+GraphSalmonella!$B$58</f>
        <v>0.35072323220664714</v>
      </c>
      <c r="T517" s="10">
        <f>GraphSalmonella!$E$57*Salmonella!I517+GraphSalmonella!$E$58</f>
        <v>3.1370239566030182</v>
      </c>
      <c r="U517" s="10">
        <f>GraphSalmonella!$H$57*Salmonella!I517+GraphSalmonella!$H$58</f>
        <v>0.27208851901262943</v>
      </c>
      <c r="X517" s="10">
        <f>GraphSalmonella!$B$80*Salmonella!I517+GraphSalmonella!$B$81</f>
        <v>0.2738497546709393</v>
      </c>
      <c r="Y517" s="10">
        <f>GraphSalmonella!$E$80*Salmonella!I517+GraphSalmonella!$E$81</f>
        <v>0.2823920067305572</v>
      </c>
      <c r="Z517" s="10">
        <f>GraphSalmonella!$H$80*Salmonella!I517+GraphSalmonella!$H$81</f>
        <v>-6.4512686973317024E-2</v>
      </c>
    </row>
    <row r="518" spans="1:26" x14ac:dyDescent="0.2">
      <c r="A518" s="1" t="s">
        <v>66</v>
      </c>
      <c r="B518" s="1" t="s">
        <v>67</v>
      </c>
      <c r="C518">
        <v>436</v>
      </c>
      <c r="D518" t="s">
        <v>44</v>
      </c>
      <c r="E518" s="1" t="s">
        <v>370</v>
      </c>
      <c r="F518" s="19" t="s">
        <v>53</v>
      </c>
      <c r="G518" s="9">
        <v>0.98</v>
      </c>
      <c r="I518" s="4">
        <v>60</v>
      </c>
      <c r="J518" s="11">
        <v>6.1</v>
      </c>
      <c r="L518" s="12">
        <f t="shared" si="12"/>
        <v>0.78532983501076703</v>
      </c>
      <c r="M518" s="11">
        <f>GraphSalmonella!$B$10-(Salmonella!I518-GraphSalmonella!$B$6)/GraphSalmonella!$B$5</f>
        <v>0.2712239435094701</v>
      </c>
      <c r="N518" s="1" t="s">
        <v>580</v>
      </c>
      <c r="O518">
        <v>1970</v>
      </c>
      <c r="P518" t="s">
        <v>579</v>
      </c>
      <c r="S518" s="10">
        <f>GraphSalmonella!$B$57*Salmonella!I518+GraphSalmonella!$B$58</f>
        <v>0.35072323220664714</v>
      </c>
      <c r="T518" s="10">
        <f>GraphSalmonella!$E$57*Salmonella!I518+GraphSalmonella!$E$58</f>
        <v>3.1370239566030182</v>
      </c>
      <c r="U518" s="10">
        <f>GraphSalmonella!$H$57*Salmonella!I518+GraphSalmonella!$H$58</f>
        <v>0.27208851901262943</v>
      </c>
      <c r="X518" s="10">
        <f>GraphSalmonella!$B$80*Salmonella!I518+GraphSalmonella!$B$81</f>
        <v>0.2738497546709393</v>
      </c>
      <c r="Y518" s="10">
        <f>GraphSalmonella!$E$80*Salmonella!I518+GraphSalmonella!$E$81</f>
        <v>0.2823920067305572</v>
      </c>
      <c r="Z518" s="10">
        <f>GraphSalmonella!$H$80*Salmonella!I518+GraphSalmonella!$H$81</f>
        <v>-6.4512686973317024E-2</v>
      </c>
    </row>
    <row r="519" spans="1:26" x14ac:dyDescent="0.2">
      <c r="A519" s="1" t="s">
        <v>66</v>
      </c>
      <c r="B519" s="1" t="s">
        <v>67</v>
      </c>
      <c r="C519">
        <v>436</v>
      </c>
      <c r="D519" t="s">
        <v>44</v>
      </c>
      <c r="E519" s="1" t="s">
        <v>370</v>
      </c>
      <c r="F519" s="19" t="s">
        <v>53</v>
      </c>
      <c r="G519" s="9">
        <v>0.998</v>
      </c>
      <c r="I519" s="4">
        <v>60</v>
      </c>
      <c r="J519" s="11">
        <v>0.44</v>
      </c>
      <c r="L519" s="12">
        <f t="shared" si="12"/>
        <v>-0.35654732351381258</v>
      </c>
      <c r="M519" s="11">
        <f>GraphSalmonella!$B$10-(Salmonella!I519-GraphSalmonella!$B$6)/GraphSalmonella!$B$5</f>
        <v>0.2712239435094701</v>
      </c>
      <c r="N519" s="1" t="s">
        <v>580</v>
      </c>
      <c r="O519">
        <v>1970</v>
      </c>
      <c r="P519" t="s">
        <v>579</v>
      </c>
      <c r="S519" s="10">
        <f>GraphSalmonella!$B$57*Salmonella!I519+GraphSalmonella!$B$58</f>
        <v>0.35072323220664714</v>
      </c>
      <c r="T519" s="10">
        <f>GraphSalmonella!$E$57*Salmonella!I519+GraphSalmonella!$E$58</f>
        <v>3.1370239566030182</v>
      </c>
      <c r="U519" s="10">
        <f>GraphSalmonella!$H$57*Salmonella!I519+GraphSalmonella!$H$58</f>
        <v>0.27208851901262943</v>
      </c>
      <c r="X519" s="10">
        <f>GraphSalmonella!$B$80*Salmonella!I519+GraphSalmonella!$B$81</f>
        <v>0.2738497546709393</v>
      </c>
      <c r="Y519" s="10">
        <f>GraphSalmonella!$E$80*Salmonella!I519+GraphSalmonella!$E$81</f>
        <v>0.2823920067305572</v>
      </c>
      <c r="Z519" s="10">
        <f>GraphSalmonella!$H$80*Salmonella!I519+GraphSalmonella!$H$81</f>
        <v>-6.4512686973317024E-2</v>
      </c>
    </row>
    <row r="520" spans="1:26" x14ac:dyDescent="0.2">
      <c r="A520" s="1" t="s">
        <v>66</v>
      </c>
      <c r="B520" s="1" t="s">
        <v>67</v>
      </c>
      <c r="C520">
        <v>436</v>
      </c>
      <c r="D520" t="s">
        <v>44</v>
      </c>
      <c r="E520" s="1" t="s">
        <v>370</v>
      </c>
      <c r="F520" s="19" t="s">
        <v>53</v>
      </c>
      <c r="G520" s="9">
        <v>0.94</v>
      </c>
      <c r="I520" s="4">
        <v>60</v>
      </c>
      <c r="J520" s="11">
        <v>32.1</v>
      </c>
      <c r="L520" s="12">
        <f t="shared" si="12"/>
        <v>1.5065050324048721</v>
      </c>
      <c r="M520" s="11">
        <f>GraphSalmonella!$B$10-(Salmonella!I520-GraphSalmonella!$B$6)/GraphSalmonella!$B$5</f>
        <v>0.2712239435094701</v>
      </c>
      <c r="N520" s="1" t="s">
        <v>580</v>
      </c>
      <c r="O520">
        <v>1970</v>
      </c>
      <c r="P520" t="s">
        <v>579</v>
      </c>
      <c r="S520" s="10">
        <f>GraphSalmonella!$B$57*Salmonella!I520+GraphSalmonella!$B$58</f>
        <v>0.35072323220664714</v>
      </c>
      <c r="T520" s="10">
        <f>GraphSalmonella!$E$57*Salmonella!I520+GraphSalmonella!$E$58</f>
        <v>3.1370239566030182</v>
      </c>
      <c r="U520" s="10">
        <f>GraphSalmonella!$H$57*Salmonella!I520+GraphSalmonella!$H$58</f>
        <v>0.27208851901262943</v>
      </c>
      <c r="X520" s="10">
        <f>GraphSalmonella!$B$80*Salmonella!I520+GraphSalmonella!$B$81</f>
        <v>0.2738497546709393</v>
      </c>
      <c r="Y520" s="10">
        <f>GraphSalmonella!$E$80*Salmonella!I520+GraphSalmonella!$E$81</f>
        <v>0.2823920067305572</v>
      </c>
      <c r="Z520" s="10">
        <f>GraphSalmonella!$H$80*Salmonella!I520+GraphSalmonella!$H$81</f>
        <v>-6.4512686973317024E-2</v>
      </c>
    </row>
    <row r="521" spans="1:26" x14ac:dyDescent="0.2">
      <c r="A521" s="1" t="s">
        <v>66</v>
      </c>
      <c r="B521" s="1" t="s">
        <v>67</v>
      </c>
      <c r="C521" t="s">
        <v>312</v>
      </c>
      <c r="D521" t="s">
        <v>44</v>
      </c>
      <c r="E521" s="1" t="s">
        <v>370</v>
      </c>
      <c r="F521" s="19" t="s">
        <v>53</v>
      </c>
      <c r="G521" s="9">
        <v>0.9</v>
      </c>
      <c r="I521" s="4">
        <v>60</v>
      </c>
      <c r="J521" s="11">
        <v>75.2</v>
      </c>
      <c r="L521" s="12">
        <f t="shared" si="12"/>
        <v>1.8762178405916423</v>
      </c>
      <c r="M521" s="11">
        <f>GraphSalmonella!$B$10-(Salmonella!I521-GraphSalmonella!$B$6)/GraphSalmonella!$B$5</f>
        <v>0.2712239435094701</v>
      </c>
      <c r="N521" s="1" t="s">
        <v>580</v>
      </c>
      <c r="O521">
        <v>1970</v>
      </c>
      <c r="P521" t="s">
        <v>578</v>
      </c>
      <c r="S521" s="10">
        <f>GraphSalmonella!$B$57*Salmonella!I521+GraphSalmonella!$B$58</f>
        <v>0.35072323220664714</v>
      </c>
      <c r="T521" s="10">
        <f>GraphSalmonella!$E$57*Salmonella!I521+GraphSalmonella!$E$58</f>
        <v>3.1370239566030182</v>
      </c>
      <c r="U521" s="10">
        <f>GraphSalmonella!$H$57*Salmonella!I521+GraphSalmonella!$H$58</f>
        <v>0.27208851901262943</v>
      </c>
      <c r="X521" s="10">
        <f>GraphSalmonella!$B$80*Salmonella!I521+GraphSalmonella!$B$81</f>
        <v>0.2738497546709393</v>
      </c>
      <c r="Y521" s="10">
        <f>GraphSalmonella!$E$80*Salmonella!I521+GraphSalmonella!$E$81</f>
        <v>0.2823920067305572</v>
      </c>
      <c r="Z521" s="10">
        <f>GraphSalmonella!$H$80*Salmonella!I521+GraphSalmonella!$H$81</f>
        <v>-6.4512686973317024E-2</v>
      </c>
    </row>
    <row r="522" spans="1:26" x14ac:dyDescent="0.2">
      <c r="A522" s="1" t="s">
        <v>66</v>
      </c>
      <c r="B522" s="1" t="s">
        <v>67</v>
      </c>
      <c r="C522" t="s">
        <v>312</v>
      </c>
      <c r="D522" t="s">
        <v>44</v>
      </c>
      <c r="E522" s="1" t="s">
        <v>370</v>
      </c>
      <c r="F522" s="19" t="s">
        <v>53</v>
      </c>
      <c r="G522" s="9">
        <v>0.92</v>
      </c>
      <c r="I522" s="4">
        <v>60</v>
      </c>
      <c r="J522" s="11">
        <v>44.8</v>
      </c>
      <c r="L522" s="12">
        <f t="shared" si="12"/>
        <v>1.651278013998144</v>
      </c>
      <c r="M522" s="11">
        <f>GraphSalmonella!$B$10-(Salmonella!I522-GraphSalmonella!$B$6)/GraphSalmonella!$B$5</f>
        <v>0.2712239435094701</v>
      </c>
      <c r="N522" s="1" t="s">
        <v>580</v>
      </c>
      <c r="O522">
        <v>1970</v>
      </c>
      <c r="P522" t="s">
        <v>578</v>
      </c>
      <c r="S522" s="10">
        <f>GraphSalmonella!$B$57*Salmonella!I522+GraphSalmonella!$B$58</f>
        <v>0.35072323220664714</v>
      </c>
      <c r="T522" s="10">
        <f>GraphSalmonella!$E$57*Salmonella!I522+GraphSalmonella!$E$58</f>
        <v>3.1370239566030182</v>
      </c>
      <c r="U522" s="10">
        <f>GraphSalmonella!$H$57*Salmonella!I522+GraphSalmonella!$H$58</f>
        <v>0.27208851901262943</v>
      </c>
      <c r="X522" s="10">
        <f>GraphSalmonella!$B$80*Salmonella!I522+GraphSalmonella!$B$81</f>
        <v>0.2738497546709393</v>
      </c>
      <c r="Y522" s="10">
        <f>GraphSalmonella!$E$80*Salmonella!I522+GraphSalmonella!$E$81</f>
        <v>0.2823920067305572</v>
      </c>
      <c r="Z522" s="10">
        <f>GraphSalmonella!$H$80*Salmonella!I522+GraphSalmonella!$H$81</f>
        <v>-6.4512686973317024E-2</v>
      </c>
    </row>
    <row r="523" spans="1:26" x14ac:dyDescent="0.2">
      <c r="A523" s="1" t="s">
        <v>66</v>
      </c>
      <c r="B523" s="1" t="s">
        <v>67</v>
      </c>
      <c r="C523" t="s">
        <v>312</v>
      </c>
      <c r="D523" t="s">
        <v>44</v>
      </c>
      <c r="E523" s="1" t="s">
        <v>370</v>
      </c>
      <c r="F523" s="19" t="s">
        <v>53</v>
      </c>
      <c r="G523" s="9">
        <v>0.96</v>
      </c>
      <c r="I523" s="4">
        <v>60</v>
      </c>
      <c r="J523" s="11">
        <v>21.7</v>
      </c>
      <c r="L523" s="12">
        <f t="shared" si="12"/>
        <v>1.3364597338485296</v>
      </c>
      <c r="M523" s="11">
        <f>GraphSalmonella!$B$10-(Salmonella!I523-GraphSalmonella!$B$6)/GraphSalmonella!$B$5</f>
        <v>0.2712239435094701</v>
      </c>
      <c r="N523" s="1" t="s">
        <v>580</v>
      </c>
      <c r="O523">
        <v>1970</v>
      </c>
      <c r="P523" t="s">
        <v>578</v>
      </c>
      <c r="S523" s="10">
        <f>GraphSalmonella!$B$57*Salmonella!I523+GraphSalmonella!$B$58</f>
        <v>0.35072323220664714</v>
      </c>
      <c r="T523" s="10">
        <f>GraphSalmonella!$E$57*Salmonella!I523+GraphSalmonella!$E$58</f>
        <v>3.1370239566030182</v>
      </c>
      <c r="U523" s="10">
        <f>GraphSalmonella!$H$57*Salmonella!I523+GraphSalmonella!$H$58</f>
        <v>0.27208851901262943</v>
      </c>
      <c r="X523" s="10">
        <f>GraphSalmonella!$B$80*Salmonella!I523+GraphSalmonella!$B$81</f>
        <v>0.2738497546709393</v>
      </c>
      <c r="Y523" s="10">
        <f>GraphSalmonella!$E$80*Salmonella!I523+GraphSalmonella!$E$81</f>
        <v>0.2823920067305572</v>
      </c>
      <c r="Z523" s="10">
        <f>GraphSalmonella!$H$80*Salmonella!I523+GraphSalmonella!$H$81</f>
        <v>-6.4512686973317024E-2</v>
      </c>
    </row>
    <row r="524" spans="1:26" x14ac:dyDescent="0.2">
      <c r="A524" s="1" t="s">
        <v>66</v>
      </c>
      <c r="B524" s="1" t="s">
        <v>67</v>
      </c>
      <c r="C524" t="s">
        <v>312</v>
      </c>
      <c r="D524" t="s">
        <v>44</v>
      </c>
      <c r="E524" s="1" t="s">
        <v>370</v>
      </c>
      <c r="F524" s="19" t="s">
        <v>53</v>
      </c>
      <c r="G524" s="9">
        <v>0.98</v>
      </c>
      <c r="I524" s="4">
        <v>60</v>
      </c>
      <c r="J524" s="11">
        <v>8.9</v>
      </c>
      <c r="L524" s="12">
        <f t="shared" si="12"/>
        <v>0.9493900066449128</v>
      </c>
      <c r="M524" s="11">
        <f>GraphSalmonella!$B$10-(Salmonella!I524-GraphSalmonella!$B$6)/GraphSalmonella!$B$5</f>
        <v>0.2712239435094701</v>
      </c>
      <c r="N524" s="1" t="s">
        <v>580</v>
      </c>
      <c r="O524">
        <v>1970</v>
      </c>
      <c r="P524" t="s">
        <v>578</v>
      </c>
      <c r="S524" s="10">
        <f>GraphSalmonella!$B$57*Salmonella!I524+GraphSalmonella!$B$58</f>
        <v>0.35072323220664714</v>
      </c>
      <c r="T524" s="10">
        <f>GraphSalmonella!$E$57*Salmonella!I524+GraphSalmonella!$E$58</f>
        <v>3.1370239566030182</v>
      </c>
      <c r="U524" s="10">
        <f>GraphSalmonella!$H$57*Salmonella!I524+GraphSalmonella!$H$58</f>
        <v>0.27208851901262943</v>
      </c>
      <c r="X524" s="10">
        <f>GraphSalmonella!$B$80*Salmonella!I524+GraphSalmonella!$B$81</f>
        <v>0.2738497546709393</v>
      </c>
      <c r="Y524" s="10">
        <f>GraphSalmonella!$E$80*Salmonella!I524+GraphSalmonella!$E$81</f>
        <v>0.2823920067305572</v>
      </c>
      <c r="Z524" s="10">
        <f>GraphSalmonella!$H$80*Salmonella!I524+GraphSalmonella!$H$81</f>
        <v>-6.4512686973317024E-2</v>
      </c>
    </row>
    <row r="525" spans="1:26" x14ac:dyDescent="0.2">
      <c r="A525" s="1" t="s">
        <v>66</v>
      </c>
      <c r="B525" s="1" t="s">
        <v>67</v>
      </c>
      <c r="C525" t="s">
        <v>312</v>
      </c>
      <c r="D525" t="s">
        <v>44</v>
      </c>
      <c r="E525" s="1" t="s">
        <v>370</v>
      </c>
      <c r="F525" s="19" t="s">
        <v>53</v>
      </c>
      <c r="G525" s="9">
        <v>0.998</v>
      </c>
      <c r="I525" s="4">
        <v>60</v>
      </c>
      <c r="J525" s="11">
        <v>5.7</v>
      </c>
      <c r="L525" s="12">
        <f t="shared" si="12"/>
        <v>0.75587485567249146</v>
      </c>
      <c r="M525" s="11">
        <f>GraphSalmonella!$B$10-(Salmonella!I525-GraphSalmonella!$B$6)/GraphSalmonella!$B$5</f>
        <v>0.2712239435094701</v>
      </c>
      <c r="N525" s="1" t="s">
        <v>580</v>
      </c>
      <c r="O525">
        <v>1970</v>
      </c>
      <c r="P525" t="s">
        <v>578</v>
      </c>
      <c r="S525" s="10">
        <f>GraphSalmonella!$B$57*Salmonella!I525+GraphSalmonella!$B$58</f>
        <v>0.35072323220664714</v>
      </c>
      <c r="T525" s="10">
        <f>GraphSalmonella!$E$57*Salmonella!I525+GraphSalmonella!$E$58</f>
        <v>3.1370239566030182</v>
      </c>
      <c r="U525" s="10">
        <f>GraphSalmonella!$H$57*Salmonella!I525+GraphSalmonella!$H$58</f>
        <v>0.27208851901262943</v>
      </c>
      <c r="X525" s="10">
        <f>GraphSalmonella!$B$80*Salmonella!I525+GraphSalmonella!$B$81</f>
        <v>0.2738497546709393</v>
      </c>
      <c r="Y525" s="10">
        <f>GraphSalmonella!$E$80*Salmonella!I525+GraphSalmonella!$E$81</f>
        <v>0.2823920067305572</v>
      </c>
      <c r="Z525" s="10">
        <f>GraphSalmonella!$H$80*Salmonella!I525+GraphSalmonella!$H$81</f>
        <v>-6.4512686973317024E-2</v>
      </c>
    </row>
    <row r="526" spans="1:26" x14ac:dyDescent="0.2">
      <c r="A526" s="1" t="s">
        <v>66</v>
      </c>
      <c r="B526" s="1" t="s">
        <v>67</v>
      </c>
      <c r="C526" t="s">
        <v>312</v>
      </c>
      <c r="D526" t="s">
        <v>44</v>
      </c>
      <c r="E526" s="1" t="s">
        <v>370</v>
      </c>
      <c r="F526" s="19" t="s">
        <v>53</v>
      </c>
      <c r="G526" s="9">
        <v>0.94</v>
      </c>
      <c r="I526" s="4">
        <v>60</v>
      </c>
      <c r="J526" s="11">
        <v>36.200000000000003</v>
      </c>
      <c r="L526" s="12">
        <f t="shared" si="12"/>
        <v>1.5587085705331658</v>
      </c>
      <c r="M526" s="11">
        <f>GraphSalmonella!$B$10-(Salmonella!I526-GraphSalmonella!$B$6)/GraphSalmonella!$B$5</f>
        <v>0.2712239435094701</v>
      </c>
      <c r="N526" s="1" t="s">
        <v>580</v>
      </c>
      <c r="O526">
        <v>1970</v>
      </c>
      <c r="P526" t="s">
        <v>578</v>
      </c>
      <c r="S526" s="10">
        <f>GraphSalmonella!$B$57*Salmonella!I526+GraphSalmonella!$B$58</f>
        <v>0.35072323220664714</v>
      </c>
      <c r="T526" s="10">
        <f>GraphSalmonella!$E$57*Salmonella!I526+GraphSalmonella!$E$58</f>
        <v>3.1370239566030182</v>
      </c>
      <c r="U526" s="10">
        <f>GraphSalmonella!$H$57*Salmonella!I526+GraphSalmonella!$H$58</f>
        <v>0.27208851901262943</v>
      </c>
      <c r="X526" s="10">
        <f>GraphSalmonella!$B$80*Salmonella!I526+GraphSalmonella!$B$81</f>
        <v>0.2738497546709393</v>
      </c>
      <c r="Y526" s="10">
        <f>GraphSalmonella!$E$80*Salmonella!I526+GraphSalmonella!$E$81</f>
        <v>0.2823920067305572</v>
      </c>
      <c r="Z526" s="10">
        <f>GraphSalmonella!$H$80*Salmonella!I526+GraphSalmonella!$H$81</f>
        <v>-6.4512686973317024E-2</v>
      </c>
    </row>
    <row r="527" spans="1:26" x14ac:dyDescent="0.2">
      <c r="A527" s="1" t="s">
        <v>66</v>
      </c>
      <c r="B527" s="1" t="s">
        <v>80</v>
      </c>
      <c r="D527" t="s">
        <v>44</v>
      </c>
      <c r="E527" s="1" t="s">
        <v>370</v>
      </c>
      <c r="F527" s="1"/>
      <c r="G527" s="9"/>
      <c r="I527" s="4">
        <v>60</v>
      </c>
      <c r="J527" s="11">
        <v>0.4</v>
      </c>
      <c r="L527" s="12">
        <f t="shared" si="12"/>
        <v>-0.3979400086720376</v>
      </c>
      <c r="M527" s="11">
        <f>GraphSalmonella!$B$10-(Salmonella!I527-GraphSalmonella!$B$6)/GraphSalmonella!$B$5</f>
        <v>0.2712239435094701</v>
      </c>
      <c r="N527" s="1" t="s">
        <v>580</v>
      </c>
      <c r="O527">
        <v>1970</v>
      </c>
      <c r="S527" s="10">
        <f>GraphSalmonella!$B$57*Salmonella!I527+GraphSalmonella!$B$58</f>
        <v>0.35072323220664714</v>
      </c>
      <c r="T527" s="10">
        <f>GraphSalmonella!$E$57*Salmonella!I527+GraphSalmonella!$E$58</f>
        <v>3.1370239566030182</v>
      </c>
      <c r="U527" s="10">
        <f>GraphSalmonella!$H$57*Salmonella!I527+GraphSalmonella!$H$58</f>
        <v>0.27208851901262943</v>
      </c>
      <c r="X527" s="10">
        <f>GraphSalmonella!$B$80*Salmonella!I527+GraphSalmonella!$B$81</f>
        <v>0.2738497546709393</v>
      </c>
      <c r="Y527" s="10">
        <f>GraphSalmonella!$E$80*Salmonella!I527+GraphSalmonella!$E$81</f>
        <v>0.2823920067305572</v>
      </c>
      <c r="Z527" s="10">
        <f>GraphSalmonella!$H$80*Salmonella!I527+GraphSalmonella!$H$81</f>
        <v>-6.4512686973317024E-2</v>
      </c>
    </row>
    <row r="528" spans="1:26" x14ac:dyDescent="0.2">
      <c r="A528" s="1" t="s">
        <v>66</v>
      </c>
      <c r="B528" s="1" t="s">
        <v>80</v>
      </c>
      <c r="D528" t="s">
        <v>44</v>
      </c>
      <c r="E528" s="1" t="s">
        <v>370</v>
      </c>
      <c r="F528" s="1"/>
      <c r="G528" s="9"/>
      <c r="I528" s="4">
        <v>60</v>
      </c>
      <c r="J528" s="11">
        <v>0.9</v>
      </c>
      <c r="L528" s="12">
        <f t="shared" si="12"/>
        <v>-4.5757490560675115E-2</v>
      </c>
      <c r="M528" s="11">
        <f>GraphSalmonella!$B$10-(Salmonella!I528-GraphSalmonella!$B$6)/GraphSalmonella!$B$5</f>
        <v>0.2712239435094701</v>
      </c>
      <c r="N528" s="1" t="s">
        <v>580</v>
      </c>
      <c r="O528">
        <v>1970</v>
      </c>
      <c r="S528" s="10">
        <f>GraphSalmonella!$B$57*Salmonella!I528+GraphSalmonella!$B$58</f>
        <v>0.35072323220664714</v>
      </c>
      <c r="T528" s="10">
        <f>GraphSalmonella!$E$57*Salmonella!I528+GraphSalmonella!$E$58</f>
        <v>3.1370239566030182</v>
      </c>
      <c r="U528" s="10">
        <f>GraphSalmonella!$H$57*Salmonella!I528+GraphSalmonella!$H$58</f>
        <v>0.27208851901262943</v>
      </c>
      <c r="X528" s="10">
        <f>GraphSalmonella!$B$80*Salmonella!I528+GraphSalmonella!$B$81</f>
        <v>0.2738497546709393</v>
      </c>
      <c r="Y528" s="10">
        <f>GraphSalmonella!$E$80*Salmonella!I528+GraphSalmonella!$E$81</f>
        <v>0.2823920067305572</v>
      </c>
      <c r="Z528" s="10">
        <f>GraphSalmonella!$H$80*Salmonella!I528+GraphSalmonella!$H$81</f>
        <v>-6.4512686973317024E-2</v>
      </c>
    </row>
    <row r="529" spans="1:26" x14ac:dyDescent="0.2">
      <c r="A529" s="1" t="s">
        <v>66</v>
      </c>
      <c r="B529" s="1" t="s">
        <v>96</v>
      </c>
      <c r="C529">
        <v>286</v>
      </c>
      <c r="D529" t="s">
        <v>44</v>
      </c>
      <c r="E529" s="1" t="s">
        <v>370</v>
      </c>
      <c r="F529" s="1"/>
      <c r="G529" s="9"/>
      <c r="I529" s="4">
        <v>48</v>
      </c>
      <c r="J529" s="11">
        <v>1231</v>
      </c>
      <c r="L529" s="12">
        <f t="shared" si="12"/>
        <v>3.0902580529313162</v>
      </c>
      <c r="M529" s="11">
        <f>GraphSalmonella!$B$10-(Salmonella!I529-GraphSalmonella!$B$6)/GraphSalmonella!$B$5</f>
        <v>1.5915970463309064</v>
      </c>
      <c r="N529" s="1" t="s">
        <v>580</v>
      </c>
      <c r="O529">
        <v>1970</v>
      </c>
      <c r="P529" t="s">
        <v>578</v>
      </c>
      <c r="S529" s="10">
        <f>GraphSalmonella!$B$57*Salmonella!I529+GraphSalmonella!$B$58</f>
        <v>1.0682064849429129</v>
      </c>
      <c r="T529" s="10">
        <f>GraphSalmonella!$E$57*Salmonella!I529+GraphSalmonella!$E$58</f>
        <v>3.7261582187918174</v>
      </c>
      <c r="U529" s="10">
        <f>GraphSalmonella!$H$57*Salmonella!I529+GraphSalmonella!$H$58</f>
        <v>1.5921643946898785</v>
      </c>
      <c r="X529" s="10">
        <f>GraphSalmonella!$B$80*Salmonella!I529+GraphSalmonella!$B$81</f>
        <v>1.5948623111306164</v>
      </c>
      <c r="Y529" s="10">
        <f>GraphSalmonella!$E$80*Salmonella!I529+GraphSalmonella!$E$81</f>
        <v>1.6219438092091254</v>
      </c>
      <c r="Z529" s="10">
        <f>GraphSalmonella!$H$80*Salmonella!I529+GraphSalmonella!$H$81</f>
        <v>1.4856696718752236</v>
      </c>
    </row>
    <row r="530" spans="1:26" x14ac:dyDescent="0.2">
      <c r="A530" s="1" t="s">
        <v>66</v>
      </c>
      <c r="B530" s="1" t="s">
        <v>96</v>
      </c>
      <c r="C530">
        <v>286</v>
      </c>
      <c r="D530" t="s">
        <v>44</v>
      </c>
      <c r="E530" s="1" t="s">
        <v>370</v>
      </c>
      <c r="F530" s="1"/>
      <c r="G530" s="9"/>
      <c r="I530" s="4">
        <v>50</v>
      </c>
      <c r="J530" s="11">
        <v>350</v>
      </c>
      <c r="L530" s="12">
        <f t="shared" si="12"/>
        <v>2.5440680443502757</v>
      </c>
      <c r="M530" s="11">
        <f>GraphSalmonella!$B$10-(Salmonella!I530-GraphSalmonella!$B$6)/GraphSalmonella!$B$5</f>
        <v>1.3715348625273336</v>
      </c>
      <c r="N530" s="1" t="s">
        <v>319</v>
      </c>
      <c r="O530">
        <v>2000</v>
      </c>
      <c r="P530" t="s">
        <v>507</v>
      </c>
      <c r="S530" s="10">
        <f>GraphSalmonella!$B$57*Salmonella!I530+GraphSalmonella!$B$58</f>
        <v>0.94862594282020174</v>
      </c>
      <c r="T530" s="10">
        <f>GraphSalmonella!$E$57*Salmonella!I530+GraphSalmonella!$E$58</f>
        <v>3.6279691750936842</v>
      </c>
      <c r="U530" s="10">
        <f>GraphSalmonella!$H$57*Salmonella!I530+GraphSalmonella!$H$58</f>
        <v>1.3721517487436703</v>
      </c>
      <c r="X530" s="10">
        <f>GraphSalmonella!$B$80*Salmonella!I530+GraphSalmonella!$B$81</f>
        <v>1.3746935517206698</v>
      </c>
      <c r="Y530" s="10">
        <f>GraphSalmonella!$E$80*Salmonella!I530+GraphSalmonella!$E$81</f>
        <v>1.3986851754626972</v>
      </c>
      <c r="Z530" s="10">
        <f>GraphSalmonella!$H$80*Salmonella!I530+GraphSalmonella!$H$81</f>
        <v>1.2273059454004667</v>
      </c>
    </row>
    <row r="531" spans="1:26" x14ac:dyDescent="0.2">
      <c r="A531" s="1" t="s">
        <v>66</v>
      </c>
      <c r="B531" s="1" t="s">
        <v>96</v>
      </c>
      <c r="C531">
        <v>286</v>
      </c>
      <c r="D531" t="s">
        <v>44</v>
      </c>
      <c r="E531" s="1" t="s">
        <v>370</v>
      </c>
      <c r="F531" s="1"/>
      <c r="G531" s="9"/>
      <c r="I531" s="4">
        <v>55</v>
      </c>
      <c r="J531" s="11">
        <v>18.8</v>
      </c>
      <c r="L531" s="12">
        <f t="shared" si="12"/>
        <v>1.2741578492636798</v>
      </c>
      <c r="M531" s="11">
        <f>GraphSalmonella!$B$10-(Salmonella!I531-GraphSalmonella!$B$6)/GraphSalmonella!$B$5</f>
        <v>0.82137940301840184</v>
      </c>
      <c r="N531" s="1" t="s">
        <v>319</v>
      </c>
      <c r="O531">
        <v>2000</v>
      </c>
      <c r="P531" t="s">
        <v>507</v>
      </c>
      <c r="S531" s="10">
        <f>GraphSalmonella!$B$57*Salmonella!I531+GraphSalmonella!$B$58</f>
        <v>0.64967458751342466</v>
      </c>
      <c r="T531" s="10">
        <f>GraphSalmonella!$E$57*Salmonella!I531+GraphSalmonella!$E$58</f>
        <v>3.3824965658483515</v>
      </c>
      <c r="U531" s="10">
        <f>GraphSalmonella!$H$57*Salmonella!I531+GraphSalmonella!$H$58</f>
        <v>0.82212013387815031</v>
      </c>
      <c r="X531" s="10">
        <f>GraphSalmonella!$B$80*Salmonella!I531+GraphSalmonella!$B$81</f>
        <v>0.82427165319580453</v>
      </c>
      <c r="Y531" s="10">
        <f>GraphSalmonella!$E$80*Salmonella!I531+GraphSalmonella!$E$81</f>
        <v>0.84053859109662721</v>
      </c>
      <c r="Z531" s="10">
        <f>GraphSalmonella!$H$80*Salmonella!I531+GraphSalmonella!$H$81</f>
        <v>0.58139662921357438</v>
      </c>
    </row>
    <row r="532" spans="1:26" x14ac:dyDescent="0.2">
      <c r="A532" s="1" t="s">
        <v>66</v>
      </c>
      <c r="B532" s="1" t="s">
        <v>96</v>
      </c>
      <c r="C532">
        <v>286</v>
      </c>
      <c r="D532" t="s">
        <v>44</v>
      </c>
      <c r="E532" s="1" t="s">
        <v>370</v>
      </c>
      <c r="F532" s="1"/>
      <c r="G532" s="9"/>
      <c r="I532" s="4">
        <v>60</v>
      </c>
      <c r="J532" s="11">
        <v>4.3</v>
      </c>
      <c r="L532" s="12">
        <f t="shared" si="12"/>
        <v>0.63346845557958653</v>
      </c>
      <c r="M532" s="11">
        <f>GraphSalmonella!$B$10-(Salmonella!I532-GraphSalmonella!$B$6)/GraphSalmonella!$B$5</f>
        <v>0.2712239435094701</v>
      </c>
      <c r="N532" s="1" t="s">
        <v>319</v>
      </c>
      <c r="O532">
        <v>2000</v>
      </c>
      <c r="P532" t="s">
        <v>507</v>
      </c>
      <c r="S532" s="10">
        <f>GraphSalmonella!$B$57*Salmonella!I532+GraphSalmonella!$B$58</f>
        <v>0.35072323220664714</v>
      </c>
      <c r="T532" s="10">
        <f>GraphSalmonella!$E$57*Salmonella!I532+GraphSalmonella!$E$58</f>
        <v>3.1370239566030182</v>
      </c>
      <c r="U532" s="10">
        <f>GraphSalmonella!$H$57*Salmonella!I532+GraphSalmonella!$H$58</f>
        <v>0.27208851901262943</v>
      </c>
      <c r="X532" s="10">
        <f>GraphSalmonella!$B$80*Salmonella!I532+GraphSalmonella!$B$81</f>
        <v>0.2738497546709393</v>
      </c>
      <c r="Y532" s="10">
        <f>GraphSalmonella!$E$80*Salmonella!I532+GraphSalmonella!$E$81</f>
        <v>0.2823920067305572</v>
      </c>
      <c r="Z532" s="10">
        <f>GraphSalmonella!$H$80*Salmonella!I532+GraphSalmonella!$H$81</f>
        <v>-6.4512686973317024E-2</v>
      </c>
    </row>
    <row r="533" spans="1:26" x14ac:dyDescent="0.2">
      <c r="A533" s="1" t="s">
        <v>66</v>
      </c>
      <c r="B533" s="1" t="s">
        <v>96</v>
      </c>
      <c r="C533">
        <v>2315</v>
      </c>
      <c r="D533" t="s">
        <v>44</v>
      </c>
      <c r="E533" s="1" t="s">
        <v>370</v>
      </c>
      <c r="F533" s="1"/>
      <c r="G533" s="9"/>
      <c r="I533" s="4">
        <v>48</v>
      </c>
      <c r="J533" s="11">
        <v>1405</v>
      </c>
      <c r="L533" s="12">
        <f t="shared" si="12"/>
        <v>3.1476763242410986</v>
      </c>
      <c r="M533" s="11">
        <f>GraphSalmonella!$B$10-(Salmonella!I533-GraphSalmonella!$B$6)/GraphSalmonella!$B$5</f>
        <v>1.5915970463309064</v>
      </c>
      <c r="N533" s="1" t="s">
        <v>580</v>
      </c>
      <c r="O533">
        <v>1970</v>
      </c>
      <c r="P533" t="s">
        <v>579</v>
      </c>
      <c r="S533" s="10">
        <f>GraphSalmonella!$B$57*Salmonella!I533+GraphSalmonella!$B$58</f>
        <v>1.0682064849429129</v>
      </c>
      <c r="T533" s="10">
        <f>GraphSalmonella!$E$57*Salmonella!I533+GraphSalmonella!$E$58</f>
        <v>3.7261582187918174</v>
      </c>
      <c r="U533" s="10">
        <f>GraphSalmonella!$H$57*Salmonella!I533+GraphSalmonella!$H$58</f>
        <v>1.5921643946898785</v>
      </c>
      <c r="X533" s="10">
        <f>GraphSalmonella!$B$80*Salmonella!I533+GraphSalmonella!$B$81</f>
        <v>1.5948623111306164</v>
      </c>
      <c r="Y533" s="10">
        <f>GraphSalmonella!$E$80*Salmonella!I533+GraphSalmonella!$E$81</f>
        <v>1.6219438092091254</v>
      </c>
      <c r="Z533" s="10">
        <f>GraphSalmonella!$H$80*Salmonella!I533+GraphSalmonella!$H$81</f>
        <v>1.4856696718752236</v>
      </c>
    </row>
    <row r="534" spans="1:26" x14ac:dyDescent="0.2">
      <c r="A534" s="1" t="s">
        <v>66</v>
      </c>
      <c r="B534" s="1" t="s">
        <v>96</v>
      </c>
      <c r="C534">
        <v>2315</v>
      </c>
      <c r="D534" t="s">
        <v>44</v>
      </c>
      <c r="E534" s="1" t="s">
        <v>370</v>
      </c>
      <c r="F534" s="1"/>
      <c r="G534" s="9"/>
      <c r="I534" s="4">
        <v>50</v>
      </c>
      <c r="J534" s="11">
        <v>88</v>
      </c>
      <c r="L534" s="12">
        <f t="shared" si="12"/>
        <v>1.9444826721501687</v>
      </c>
      <c r="M534" s="11">
        <f>GraphSalmonella!$B$10-(Salmonella!I534-GraphSalmonella!$B$6)/GraphSalmonella!$B$5</f>
        <v>1.3715348625273336</v>
      </c>
      <c r="N534" s="1" t="s">
        <v>319</v>
      </c>
      <c r="O534">
        <v>2000</v>
      </c>
      <c r="P534" t="s">
        <v>508</v>
      </c>
      <c r="S534" s="10">
        <f>GraphSalmonella!$B$57*Salmonella!I534+GraphSalmonella!$B$58</f>
        <v>0.94862594282020174</v>
      </c>
      <c r="T534" s="10">
        <f>GraphSalmonella!$E$57*Salmonella!I534+GraphSalmonella!$E$58</f>
        <v>3.6279691750936842</v>
      </c>
      <c r="U534" s="10">
        <f>GraphSalmonella!$H$57*Salmonella!I534+GraphSalmonella!$H$58</f>
        <v>1.3721517487436703</v>
      </c>
      <c r="X534" s="10">
        <f>GraphSalmonella!$B$80*Salmonella!I534+GraphSalmonella!$B$81</f>
        <v>1.3746935517206698</v>
      </c>
      <c r="Y534" s="10">
        <f>GraphSalmonella!$E$80*Salmonella!I534+GraphSalmonella!$E$81</f>
        <v>1.3986851754626972</v>
      </c>
      <c r="Z534" s="10">
        <f>GraphSalmonella!$H$80*Salmonella!I534+GraphSalmonella!$H$81</f>
        <v>1.2273059454004667</v>
      </c>
    </row>
    <row r="535" spans="1:26" x14ac:dyDescent="0.2">
      <c r="A535" s="1" t="s">
        <v>66</v>
      </c>
      <c r="B535" s="1" t="s">
        <v>96</v>
      </c>
      <c r="C535">
        <v>2315</v>
      </c>
      <c r="D535" t="s">
        <v>44</v>
      </c>
      <c r="E535" s="1" t="s">
        <v>370</v>
      </c>
      <c r="F535" s="1"/>
      <c r="G535" s="9"/>
      <c r="I535" s="4">
        <v>55</v>
      </c>
      <c r="J535" s="11">
        <v>5.5</v>
      </c>
      <c r="L535" s="12">
        <f t="shared" si="12"/>
        <v>0.74036268949424389</v>
      </c>
      <c r="M535" s="11">
        <f>GraphSalmonella!$B$10-(Salmonella!I535-GraphSalmonella!$B$6)/GraphSalmonella!$B$5</f>
        <v>0.82137940301840184</v>
      </c>
      <c r="N535" s="1" t="s">
        <v>319</v>
      </c>
      <c r="O535">
        <v>2000</v>
      </c>
      <c r="P535" t="s">
        <v>508</v>
      </c>
      <c r="S535" s="10">
        <f>GraphSalmonella!$B$57*Salmonella!I535+GraphSalmonella!$B$58</f>
        <v>0.64967458751342466</v>
      </c>
      <c r="T535" s="10">
        <f>GraphSalmonella!$E$57*Salmonella!I535+GraphSalmonella!$E$58</f>
        <v>3.3824965658483515</v>
      </c>
      <c r="U535" s="10">
        <f>GraphSalmonella!$H$57*Salmonella!I535+GraphSalmonella!$H$58</f>
        <v>0.82212013387815031</v>
      </c>
      <c r="X535" s="10">
        <f>GraphSalmonella!$B$80*Salmonella!I535+GraphSalmonella!$B$81</f>
        <v>0.82427165319580453</v>
      </c>
      <c r="Y535" s="10">
        <f>GraphSalmonella!$E$80*Salmonella!I535+GraphSalmonella!$E$81</f>
        <v>0.84053859109662721</v>
      </c>
      <c r="Z535" s="10">
        <f>GraphSalmonella!$H$80*Salmonella!I535+GraphSalmonella!$H$81</f>
        <v>0.58139662921357438</v>
      </c>
    </row>
    <row r="536" spans="1:26" x14ac:dyDescent="0.2">
      <c r="A536" s="1" t="s">
        <v>66</v>
      </c>
      <c r="B536" s="1" t="s">
        <v>96</v>
      </c>
      <c r="C536">
        <v>2315</v>
      </c>
      <c r="D536" t="s">
        <v>44</v>
      </c>
      <c r="E536" s="1" t="s">
        <v>370</v>
      </c>
      <c r="F536" s="1"/>
      <c r="G536" s="9"/>
      <c r="I536" s="4">
        <v>60</v>
      </c>
      <c r="J536" s="11">
        <v>0.49</v>
      </c>
      <c r="L536" s="12">
        <f t="shared" si="12"/>
        <v>-0.30980391997148632</v>
      </c>
      <c r="M536" s="11">
        <f>GraphSalmonella!$B$10-(Salmonella!I536-GraphSalmonella!$B$6)/GraphSalmonella!$B$5</f>
        <v>0.2712239435094701</v>
      </c>
      <c r="N536" s="1" t="s">
        <v>319</v>
      </c>
      <c r="O536">
        <v>2000</v>
      </c>
      <c r="P536" t="s">
        <v>508</v>
      </c>
      <c r="S536" s="10">
        <f>GraphSalmonella!$B$57*Salmonella!I536+GraphSalmonella!$B$58</f>
        <v>0.35072323220664714</v>
      </c>
      <c r="T536" s="10">
        <f>GraphSalmonella!$E$57*Salmonella!I536+GraphSalmonella!$E$58</f>
        <v>3.1370239566030182</v>
      </c>
      <c r="U536" s="10">
        <f>GraphSalmonella!$H$57*Salmonella!I536+GraphSalmonella!$H$58</f>
        <v>0.27208851901262943</v>
      </c>
      <c r="X536" s="10">
        <f>GraphSalmonella!$B$80*Salmonella!I536+GraphSalmonella!$B$81</f>
        <v>0.2738497546709393</v>
      </c>
      <c r="Y536" s="10">
        <f>GraphSalmonella!$E$80*Salmonella!I536+GraphSalmonella!$E$81</f>
        <v>0.2823920067305572</v>
      </c>
      <c r="Z536" s="10">
        <f>GraphSalmonella!$H$80*Salmonella!I536+GraphSalmonella!$H$81</f>
        <v>-6.4512686973317024E-2</v>
      </c>
    </row>
    <row r="537" spans="1:26" x14ac:dyDescent="0.2">
      <c r="A537" s="1" t="s">
        <v>66</v>
      </c>
      <c r="B537" s="1" t="s">
        <v>96</v>
      </c>
      <c r="D537" t="s">
        <v>44</v>
      </c>
      <c r="E537" s="1" t="s">
        <v>370</v>
      </c>
      <c r="F537" s="1"/>
      <c r="G537" s="9"/>
      <c r="I537" s="4">
        <v>60</v>
      </c>
      <c r="J537" s="11">
        <v>0.3</v>
      </c>
      <c r="L537" s="12">
        <f t="shared" si="12"/>
        <v>-0.52287874528033762</v>
      </c>
      <c r="M537" s="11">
        <f>GraphSalmonella!$B$10-(Salmonella!I537-GraphSalmonella!$B$6)/GraphSalmonella!$B$5</f>
        <v>0.2712239435094701</v>
      </c>
      <c r="N537" s="1" t="s">
        <v>580</v>
      </c>
      <c r="O537">
        <v>1970</v>
      </c>
      <c r="S537" s="10">
        <f>GraphSalmonella!$B$57*Salmonella!I537+GraphSalmonella!$B$58</f>
        <v>0.35072323220664714</v>
      </c>
      <c r="T537" s="10">
        <f>GraphSalmonella!$E$57*Salmonella!I537+GraphSalmonella!$E$58</f>
        <v>3.1370239566030182</v>
      </c>
      <c r="U537" s="10">
        <f>GraphSalmonella!$H$57*Salmonella!I537+GraphSalmonella!$H$58</f>
        <v>0.27208851901262943</v>
      </c>
      <c r="X537" s="10">
        <f>GraphSalmonella!$B$80*Salmonella!I537+GraphSalmonella!$B$81</f>
        <v>0.2738497546709393</v>
      </c>
      <c r="Y537" s="10">
        <f>GraphSalmonella!$E$80*Salmonella!I537+GraphSalmonella!$E$81</f>
        <v>0.2823920067305572</v>
      </c>
      <c r="Z537" s="10">
        <f>GraphSalmonella!$H$80*Salmonella!I537+GraphSalmonella!$H$81</f>
        <v>-6.4512686973317024E-2</v>
      </c>
    </row>
    <row r="538" spans="1:26" x14ac:dyDescent="0.2">
      <c r="A538" s="1" t="s">
        <v>66</v>
      </c>
      <c r="B538" s="1" t="s">
        <v>96</v>
      </c>
      <c r="D538" t="s">
        <v>44</v>
      </c>
      <c r="E538" s="1" t="s">
        <v>370</v>
      </c>
      <c r="F538" s="1"/>
      <c r="G538" s="9"/>
      <c r="I538" s="4">
        <v>60</v>
      </c>
      <c r="J538" s="11">
        <v>5.3</v>
      </c>
      <c r="L538" s="12">
        <f t="shared" si="12"/>
        <v>0.72427586960078905</v>
      </c>
      <c r="M538" s="11">
        <f>GraphSalmonella!$B$10-(Salmonella!I538-GraphSalmonella!$B$6)/GraphSalmonella!$B$5</f>
        <v>0.2712239435094701</v>
      </c>
      <c r="N538" s="1" t="s">
        <v>580</v>
      </c>
      <c r="O538">
        <v>1970</v>
      </c>
      <c r="S538" s="10">
        <f>GraphSalmonella!$B$57*Salmonella!I538+GraphSalmonella!$B$58</f>
        <v>0.35072323220664714</v>
      </c>
      <c r="T538" s="10">
        <f>GraphSalmonella!$E$57*Salmonella!I538+GraphSalmonella!$E$58</f>
        <v>3.1370239566030182</v>
      </c>
      <c r="U538" s="10">
        <f>GraphSalmonella!$H$57*Salmonella!I538+GraphSalmonella!$H$58</f>
        <v>0.27208851901262943</v>
      </c>
      <c r="X538" s="10">
        <f>GraphSalmonella!$B$80*Salmonella!I538+GraphSalmonella!$B$81</f>
        <v>0.2738497546709393</v>
      </c>
      <c r="Y538" s="10">
        <f>GraphSalmonella!$E$80*Salmonella!I538+GraphSalmonella!$E$81</f>
        <v>0.2823920067305572</v>
      </c>
      <c r="Z538" s="10">
        <f>GraphSalmonella!$H$80*Salmonella!I538+GraphSalmonella!$H$81</f>
        <v>-6.4512686973317024E-2</v>
      </c>
    </row>
    <row r="539" spans="1:26" x14ac:dyDescent="0.2">
      <c r="A539" s="1" t="s">
        <v>66</v>
      </c>
      <c r="B539" s="1" t="s">
        <v>577</v>
      </c>
      <c r="D539" t="s">
        <v>44</v>
      </c>
      <c r="E539" s="1" t="s">
        <v>370</v>
      </c>
      <c r="F539" s="1"/>
      <c r="G539" s="9"/>
      <c r="I539" s="4">
        <v>60</v>
      </c>
      <c r="J539" s="11">
        <v>0.4</v>
      </c>
      <c r="L539" s="12">
        <f t="shared" si="12"/>
        <v>-0.3979400086720376</v>
      </c>
      <c r="M539" s="11">
        <f>GraphSalmonella!$B$10-(Salmonella!I539-GraphSalmonella!$B$6)/GraphSalmonella!$B$5</f>
        <v>0.2712239435094701</v>
      </c>
      <c r="N539" s="1" t="s">
        <v>580</v>
      </c>
      <c r="O539">
        <v>1970</v>
      </c>
      <c r="S539" s="10">
        <f>GraphSalmonella!$B$57*Salmonella!I539+GraphSalmonella!$B$58</f>
        <v>0.35072323220664714</v>
      </c>
      <c r="T539" s="10">
        <f>GraphSalmonella!$E$57*Salmonella!I539+GraphSalmonella!$E$58</f>
        <v>3.1370239566030182</v>
      </c>
      <c r="U539" s="10">
        <f>GraphSalmonella!$H$57*Salmonella!I539+GraphSalmonella!$H$58</f>
        <v>0.27208851901262943</v>
      </c>
      <c r="X539" s="10">
        <f>GraphSalmonella!$B$80*Salmonella!I539+GraphSalmonella!$B$81</f>
        <v>0.2738497546709393</v>
      </c>
      <c r="Y539" s="10">
        <f>GraphSalmonella!$E$80*Salmonella!I539+GraphSalmonella!$E$81</f>
        <v>0.2823920067305572</v>
      </c>
      <c r="Z539" s="10">
        <f>GraphSalmonella!$H$80*Salmonella!I539+GraphSalmonella!$H$81</f>
        <v>-6.4512686973317024E-2</v>
      </c>
    </row>
    <row r="540" spans="1:26" x14ac:dyDescent="0.2">
      <c r="A540" s="1" t="s">
        <v>66</v>
      </c>
      <c r="B540" s="1" t="s">
        <v>577</v>
      </c>
      <c r="D540" t="s">
        <v>44</v>
      </c>
      <c r="E540" s="1" t="s">
        <v>370</v>
      </c>
      <c r="F540" s="1"/>
      <c r="G540" s="9"/>
      <c r="I540" s="4">
        <v>60</v>
      </c>
      <c r="J540" s="11">
        <v>0.7</v>
      </c>
      <c r="L540" s="12">
        <f t="shared" si="12"/>
        <v>-0.15490195998574319</v>
      </c>
      <c r="M540" s="11">
        <f>GraphSalmonella!$B$10-(Salmonella!I540-GraphSalmonella!$B$6)/GraphSalmonella!$B$5</f>
        <v>0.2712239435094701</v>
      </c>
      <c r="N540" s="1" t="s">
        <v>580</v>
      </c>
      <c r="O540">
        <v>1970</v>
      </c>
      <c r="S540" s="10">
        <f>GraphSalmonella!$B$57*Salmonella!I540+GraphSalmonella!$B$58</f>
        <v>0.35072323220664714</v>
      </c>
      <c r="T540" s="10">
        <f>GraphSalmonella!$E$57*Salmonella!I540+GraphSalmonella!$E$58</f>
        <v>3.1370239566030182</v>
      </c>
      <c r="U540" s="10">
        <f>GraphSalmonella!$H$57*Salmonella!I540+GraphSalmonella!$H$58</f>
        <v>0.27208851901262943</v>
      </c>
      <c r="X540" s="10">
        <f>GraphSalmonella!$B$80*Salmonella!I540+GraphSalmonella!$B$81</f>
        <v>0.2738497546709393</v>
      </c>
      <c r="Y540" s="10">
        <f>GraphSalmonella!$E$80*Salmonella!I540+GraphSalmonella!$E$81</f>
        <v>0.2823920067305572</v>
      </c>
      <c r="Z540" s="10">
        <f>GraphSalmonella!$H$80*Salmonella!I540+GraphSalmonella!$H$81</f>
        <v>-6.4512686973317024E-2</v>
      </c>
    </row>
    <row r="541" spans="1:26" x14ac:dyDescent="0.2">
      <c r="A541" s="1" t="s">
        <v>66</v>
      </c>
      <c r="B541" s="1" t="s">
        <v>104</v>
      </c>
      <c r="D541" t="s">
        <v>44</v>
      </c>
      <c r="E541" s="1" t="s">
        <v>370</v>
      </c>
      <c r="F541" s="1"/>
      <c r="G541" s="9"/>
      <c r="I541" s="4">
        <v>60</v>
      </c>
      <c r="J541" s="11">
        <v>0.4</v>
      </c>
      <c r="L541" s="12">
        <f t="shared" si="12"/>
        <v>-0.3979400086720376</v>
      </c>
      <c r="M541" s="11">
        <f>GraphSalmonella!$B$10-(Salmonella!I541-GraphSalmonella!$B$6)/GraphSalmonella!$B$5</f>
        <v>0.2712239435094701</v>
      </c>
      <c r="N541" s="1" t="s">
        <v>580</v>
      </c>
      <c r="O541">
        <v>1970</v>
      </c>
      <c r="S541" s="10">
        <f>GraphSalmonella!$B$57*Salmonella!I541+GraphSalmonella!$B$58</f>
        <v>0.35072323220664714</v>
      </c>
      <c r="T541" s="10">
        <f>GraphSalmonella!$E$57*Salmonella!I541+GraphSalmonella!$E$58</f>
        <v>3.1370239566030182</v>
      </c>
      <c r="U541" s="10">
        <f>GraphSalmonella!$H$57*Salmonella!I541+GraphSalmonella!$H$58</f>
        <v>0.27208851901262943</v>
      </c>
      <c r="X541" s="10">
        <f>GraphSalmonella!$B$80*Salmonella!I541+GraphSalmonella!$B$81</f>
        <v>0.2738497546709393</v>
      </c>
      <c r="Y541" s="10">
        <f>GraphSalmonella!$E$80*Salmonella!I541+GraphSalmonella!$E$81</f>
        <v>0.2823920067305572</v>
      </c>
      <c r="Z541" s="10">
        <f>GraphSalmonella!$H$80*Salmonella!I541+GraphSalmonella!$H$81</f>
        <v>-6.4512686973317024E-2</v>
      </c>
    </row>
    <row r="542" spans="1:26" x14ac:dyDescent="0.2">
      <c r="A542" s="1" t="s">
        <v>66</v>
      </c>
      <c r="B542" s="1" t="s">
        <v>104</v>
      </c>
      <c r="D542" t="s">
        <v>44</v>
      </c>
      <c r="E542" s="1" t="s">
        <v>370</v>
      </c>
      <c r="F542" s="1"/>
      <c r="G542" s="9"/>
      <c r="I542" s="4">
        <v>60</v>
      </c>
      <c r="J542" s="11">
        <v>0.9</v>
      </c>
      <c r="L542" s="12">
        <f t="shared" ref="L542:L605" si="13">LOG(J542)</f>
        <v>-4.5757490560675115E-2</v>
      </c>
      <c r="M542" s="11">
        <f>GraphSalmonella!$B$10-(Salmonella!I542-GraphSalmonella!$B$6)/GraphSalmonella!$B$5</f>
        <v>0.2712239435094701</v>
      </c>
      <c r="N542" s="1" t="s">
        <v>580</v>
      </c>
      <c r="O542">
        <v>1970</v>
      </c>
      <c r="S542" s="10">
        <f>GraphSalmonella!$B$57*Salmonella!I542+GraphSalmonella!$B$58</f>
        <v>0.35072323220664714</v>
      </c>
      <c r="T542" s="10">
        <f>GraphSalmonella!$E$57*Salmonella!I542+GraphSalmonella!$E$58</f>
        <v>3.1370239566030182</v>
      </c>
      <c r="U542" s="10">
        <f>GraphSalmonella!$H$57*Salmonella!I542+GraphSalmonella!$H$58</f>
        <v>0.27208851901262943</v>
      </c>
      <c r="X542" s="10">
        <f>GraphSalmonella!$B$80*Salmonella!I542+GraphSalmonella!$B$81</f>
        <v>0.2738497546709393</v>
      </c>
      <c r="Y542" s="10">
        <f>GraphSalmonella!$E$80*Salmonella!I542+GraphSalmonella!$E$81</f>
        <v>0.2823920067305572</v>
      </c>
      <c r="Z542" s="10">
        <f>GraphSalmonella!$H$80*Salmonella!I542+GraphSalmonella!$H$81</f>
        <v>-6.4512686973317024E-2</v>
      </c>
    </row>
    <row r="543" spans="1:26" x14ac:dyDescent="0.2">
      <c r="A543" s="1" t="s">
        <v>66</v>
      </c>
      <c r="B543" s="1" t="s">
        <v>105</v>
      </c>
      <c r="D543" t="s">
        <v>44</v>
      </c>
      <c r="E543" s="1" t="s">
        <v>370</v>
      </c>
      <c r="F543" s="1"/>
      <c r="G543" s="9"/>
      <c r="I543" s="4">
        <v>60</v>
      </c>
      <c r="J543" s="11">
        <v>1.3</v>
      </c>
      <c r="L543" s="12">
        <f t="shared" si="13"/>
        <v>0.11394335230683679</v>
      </c>
      <c r="M543" s="11">
        <f>GraphSalmonella!$B$10-(Salmonella!I543-GraphSalmonella!$B$6)/GraphSalmonella!$B$5</f>
        <v>0.2712239435094701</v>
      </c>
      <c r="N543" s="1" t="s">
        <v>580</v>
      </c>
      <c r="O543">
        <v>1970</v>
      </c>
      <c r="S543" s="10">
        <f>GraphSalmonella!$B$57*Salmonella!I543+GraphSalmonella!$B$58</f>
        <v>0.35072323220664714</v>
      </c>
      <c r="T543" s="10">
        <f>GraphSalmonella!$E$57*Salmonella!I543+GraphSalmonella!$E$58</f>
        <v>3.1370239566030182</v>
      </c>
      <c r="U543" s="10">
        <f>GraphSalmonella!$H$57*Salmonella!I543+GraphSalmonella!$H$58</f>
        <v>0.27208851901262943</v>
      </c>
      <c r="X543" s="10">
        <f>GraphSalmonella!$B$80*Salmonella!I543+GraphSalmonella!$B$81</f>
        <v>0.2738497546709393</v>
      </c>
      <c r="Y543" s="10">
        <f>GraphSalmonella!$E$80*Salmonella!I543+GraphSalmonella!$E$81</f>
        <v>0.2823920067305572</v>
      </c>
      <c r="Z543" s="10">
        <f>GraphSalmonella!$H$80*Salmonella!I543+GraphSalmonella!$H$81</f>
        <v>-6.4512686973317024E-2</v>
      </c>
    </row>
    <row r="544" spans="1:26" x14ac:dyDescent="0.2">
      <c r="A544" s="1" t="s">
        <v>66</v>
      </c>
      <c r="B544" s="1" t="s">
        <v>105</v>
      </c>
      <c r="D544" t="s">
        <v>44</v>
      </c>
      <c r="E544" s="1" t="s">
        <v>370</v>
      </c>
      <c r="F544" s="1"/>
      <c r="G544" s="9"/>
      <c r="I544" s="4">
        <v>60</v>
      </c>
      <c r="J544" s="11">
        <v>2.2999999999999998</v>
      </c>
      <c r="L544" s="12">
        <f t="shared" si="13"/>
        <v>0.36172783601759284</v>
      </c>
      <c r="M544" s="11">
        <f>GraphSalmonella!$B$10-(Salmonella!I544-GraphSalmonella!$B$6)/GraphSalmonella!$B$5</f>
        <v>0.2712239435094701</v>
      </c>
      <c r="N544" s="1" t="s">
        <v>580</v>
      </c>
      <c r="O544">
        <v>1970</v>
      </c>
      <c r="S544" s="10">
        <f>GraphSalmonella!$B$57*Salmonella!I544+GraphSalmonella!$B$58</f>
        <v>0.35072323220664714</v>
      </c>
      <c r="T544" s="10">
        <f>GraphSalmonella!$E$57*Salmonella!I544+GraphSalmonella!$E$58</f>
        <v>3.1370239566030182</v>
      </c>
      <c r="U544" s="10">
        <f>GraphSalmonella!$H$57*Salmonella!I544+GraphSalmonella!$H$58</f>
        <v>0.27208851901262943</v>
      </c>
      <c r="X544" s="10">
        <f>GraphSalmonella!$B$80*Salmonella!I544+GraphSalmonella!$B$81</f>
        <v>0.2738497546709393</v>
      </c>
      <c r="Y544" s="10">
        <f>GraphSalmonella!$E$80*Salmonella!I544+GraphSalmonella!$E$81</f>
        <v>0.2823920067305572</v>
      </c>
      <c r="Z544" s="10">
        <f>GraphSalmonella!$H$80*Salmonella!I544+GraphSalmonella!$H$81</f>
        <v>-6.4512686973317024E-2</v>
      </c>
    </row>
    <row r="545" spans="1:26" x14ac:dyDescent="0.2">
      <c r="A545" s="1" t="s">
        <v>66</v>
      </c>
      <c r="B545" s="1" t="s">
        <v>106</v>
      </c>
      <c r="D545" t="s">
        <v>44</v>
      </c>
      <c r="E545" s="1" t="s">
        <v>370</v>
      </c>
      <c r="F545" s="1"/>
      <c r="G545" s="9"/>
      <c r="I545" s="4">
        <v>60</v>
      </c>
      <c r="J545" s="11">
        <v>0.3</v>
      </c>
      <c r="L545" s="12">
        <f t="shared" si="13"/>
        <v>-0.52287874528033762</v>
      </c>
      <c r="M545" s="11">
        <f>GraphSalmonella!$B$10-(Salmonella!I545-GraphSalmonella!$B$6)/GraphSalmonella!$B$5</f>
        <v>0.2712239435094701</v>
      </c>
      <c r="N545" s="1" t="s">
        <v>580</v>
      </c>
      <c r="O545">
        <v>1970</v>
      </c>
      <c r="S545" s="10">
        <f>GraphSalmonella!$B$57*Salmonella!I545+GraphSalmonella!$B$58</f>
        <v>0.35072323220664714</v>
      </c>
      <c r="T545" s="10">
        <f>GraphSalmonella!$E$57*Salmonella!I545+GraphSalmonella!$E$58</f>
        <v>3.1370239566030182</v>
      </c>
      <c r="U545" s="10">
        <f>GraphSalmonella!$H$57*Salmonella!I545+GraphSalmonella!$H$58</f>
        <v>0.27208851901262943</v>
      </c>
      <c r="X545" s="10">
        <f>GraphSalmonella!$B$80*Salmonella!I545+GraphSalmonella!$B$81</f>
        <v>0.2738497546709393</v>
      </c>
      <c r="Y545" s="10">
        <f>GraphSalmonella!$E$80*Salmonella!I545+GraphSalmonella!$E$81</f>
        <v>0.2823920067305572</v>
      </c>
      <c r="Z545" s="10">
        <f>GraphSalmonella!$H$80*Salmonella!I545+GraphSalmonella!$H$81</f>
        <v>-6.4512686973317024E-2</v>
      </c>
    </row>
    <row r="546" spans="1:26" x14ac:dyDescent="0.2">
      <c r="A546" s="1" t="s">
        <v>66</v>
      </c>
      <c r="B546" s="1" t="s">
        <v>82</v>
      </c>
      <c r="D546" t="s">
        <v>44</v>
      </c>
      <c r="E546" s="1" t="s">
        <v>370</v>
      </c>
      <c r="F546" s="1"/>
      <c r="G546" s="9"/>
      <c r="I546" s="4">
        <v>60</v>
      </c>
      <c r="J546" s="11">
        <v>0.5</v>
      </c>
      <c r="L546" s="12">
        <f t="shared" si="13"/>
        <v>-0.3010299956639812</v>
      </c>
      <c r="M546" s="11">
        <f>GraphSalmonella!$B$10-(Salmonella!I546-GraphSalmonella!$B$6)/GraphSalmonella!$B$5</f>
        <v>0.2712239435094701</v>
      </c>
      <c r="N546" s="1" t="s">
        <v>580</v>
      </c>
      <c r="O546">
        <v>1970</v>
      </c>
      <c r="S546" s="10">
        <f>GraphSalmonella!$B$57*Salmonella!I546+GraphSalmonella!$B$58</f>
        <v>0.35072323220664714</v>
      </c>
      <c r="T546" s="10">
        <f>GraphSalmonella!$E$57*Salmonella!I546+GraphSalmonella!$E$58</f>
        <v>3.1370239566030182</v>
      </c>
      <c r="U546" s="10">
        <f>GraphSalmonella!$H$57*Salmonella!I546+GraphSalmonella!$H$58</f>
        <v>0.27208851901262943</v>
      </c>
      <c r="X546" s="10">
        <f>GraphSalmonella!$B$80*Salmonella!I546+GraphSalmonella!$B$81</f>
        <v>0.2738497546709393</v>
      </c>
      <c r="Y546" s="10">
        <f>GraphSalmonella!$E$80*Salmonella!I546+GraphSalmonella!$E$81</f>
        <v>0.2823920067305572</v>
      </c>
      <c r="Z546" s="10">
        <f>GraphSalmonella!$H$80*Salmonella!I546+GraphSalmonella!$H$81</f>
        <v>-6.4512686973317024E-2</v>
      </c>
    </row>
    <row r="547" spans="1:26" x14ac:dyDescent="0.2">
      <c r="A547" s="1" t="s">
        <v>66</v>
      </c>
      <c r="B547" s="1" t="s">
        <v>82</v>
      </c>
      <c r="D547" t="s">
        <v>44</v>
      </c>
      <c r="E547" s="1" t="s">
        <v>370</v>
      </c>
      <c r="F547" s="1"/>
      <c r="G547" s="9"/>
      <c r="I547" s="4">
        <v>60</v>
      </c>
      <c r="J547" s="11">
        <v>1.2</v>
      </c>
      <c r="L547" s="12">
        <f t="shared" si="13"/>
        <v>7.9181246047624818E-2</v>
      </c>
      <c r="M547" s="11">
        <f>GraphSalmonella!$B$10-(Salmonella!I547-GraphSalmonella!$B$6)/GraphSalmonella!$B$5</f>
        <v>0.2712239435094701</v>
      </c>
      <c r="N547" s="1" t="s">
        <v>580</v>
      </c>
      <c r="O547">
        <v>1970</v>
      </c>
      <c r="S547" s="10">
        <f>GraphSalmonella!$B$57*Salmonella!I547+GraphSalmonella!$B$58</f>
        <v>0.35072323220664714</v>
      </c>
      <c r="T547" s="10">
        <f>GraphSalmonella!$E$57*Salmonella!I547+GraphSalmonella!$E$58</f>
        <v>3.1370239566030182</v>
      </c>
      <c r="U547" s="10">
        <f>GraphSalmonella!$H$57*Salmonella!I547+GraphSalmonella!$H$58</f>
        <v>0.27208851901262943</v>
      </c>
      <c r="X547" s="10">
        <f>GraphSalmonella!$B$80*Salmonella!I547+GraphSalmonella!$B$81</f>
        <v>0.2738497546709393</v>
      </c>
      <c r="Y547" s="10">
        <f>GraphSalmonella!$E$80*Salmonella!I547+GraphSalmonella!$E$81</f>
        <v>0.2823920067305572</v>
      </c>
      <c r="Z547" s="10">
        <f>GraphSalmonella!$H$80*Salmonella!I547+GraphSalmonella!$H$81</f>
        <v>-6.4512686973317024E-2</v>
      </c>
    </row>
    <row r="548" spans="1:26" x14ac:dyDescent="0.2">
      <c r="A548" s="1" t="s">
        <v>66</v>
      </c>
      <c r="B548" s="1" t="s">
        <v>107</v>
      </c>
      <c r="D548" t="s">
        <v>44</v>
      </c>
      <c r="E548" s="1" t="s">
        <v>370</v>
      </c>
      <c r="F548" s="1"/>
      <c r="G548" s="9"/>
      <c r="I548" s="4">
        <v>60</v>
      </c>
      <c r="J548" s="11">
        <v>0.4</v>
      </c>
      <c r="L548" s="12">
        <f t="shared" si="13"/>
        <v>-0.3979400086720376</v>
      </c>
      <c r="M548" s="11">
        <f>GraphSalmonella!$B$10-(Salmonella!I548-GraphSalmonella!$B$6)/GraphSalmonella!$B$5</f>
        <v>0.2712239435094701</v>
      </c>
      <c r="N548" s="1" t="s">
        <v>580</v>
      </c>
      <c r="O548">
        <v>1970</v>
      </c>
      <c r="S548" s="10">
        <f>GraphSalmonella!$B$57*Salmonella!I548+GraphSalmonella!$B$58</f>
        <v>0.35072323220664714</v>
      </c>
      <c r="T548" s="10">
        <f>GraphSalmonella!$E$57*Salmonella!I548+GraphSalmonella!$E$58</f>
        <v>3.1370239566030182</v>
      </c>
      <c r="U548" s="10">
        <f>GraphSalmonella!$H$57*Salmonella!I548+GraphSalmonella!$H$58</f>
        <v>0.27208851901262943</v>
      </c>
      <c r="X548" s="10">
        <f>GraphSalmonella!$B$80*Salmonella!I548+GraphSalmonella!$B$81</f>
        <v>0.2738497546709393</v>
      </c>
      <c r="Y548" s="10">
        <f>GraphSalmonella!$E$80*Salmonella!I548+GraphSalmonella!$E$81</f>
        <v>0.2823920067305572</v>
      </c>
      <c r="Z548" s="10">
        <f>GraphSalmonella!$H$80*Salmonella!I548+GraphSalmonella!$H$81</f>
        <v>-6.4512686973317024E-2</v>
      </c>
    </row>
    <row r="549" spans="1:26" x14ac:dyDescent="0.2">
      <c r="A549" s="1" t="s">
        <v>66</v>
      </c>
      <c r="B549" s="1" t="s">
        <v>107</v>
      </c>
      <c r="D549" t="s">
        <v>44</v>
      </c>
      <c r="E549" s="1" t="s">
        <v>370</v>
      </c>
      <c r="F549" s="1"/>
      <c r="G549" s="9"/>
      <c r="I549" s="4">
        <v>60</v>
      </c>
      <c r="J549" s="11">
        <v>1.2</v>
      </c>
      <c r="L549" s="12">
        <f t="shared" si="13"/>
        <v>7.9181246047624818E-2</v>
      </c>
      <c r="M549" s="11">
        <f>GraphSalmonella!$B$10-(Salmonella!I549-GraphSalmonella!$B$6)/GraphSalmonella!$B$5</f>
        <v>0.2712239435094701</v>
      </c>
      <c r="N549" s="1" t="s">
        <v>580</v>
      </c>
      <c r="O549">
        <v>1970</v>
      </c>
      <c r="S549" s="10">
        <f>GraphSalmonella!$B$57*Salmonella!I549+GraphSalmonella!$B$58</f>
        <v>0.35072323220664714</v>
      </c>
      <c r="T549" s="10">
        <f>GraphSalmonella!$E$57*Salmonella!I549+GraphSalmonella!$E$58</f>
        <v>3.1370239566030182</v>
      </c>
      <c r="U549" s="10">
        <f>GraphSalmonella!$H$57*Salmonella!I549+GraphSalmonella!$H$58</f>
        <v>0.27208851901262943</v>
      </c>
      <c r="X549" s="10">
        <f>GraphSalmonella!$B$80*Salmonella!I549+GraphSalmonella!$B$81</f>
        <v>0.2738497546709393</v>
      </c>
      <c r="Y549" s="10">
        <f>GraphSalmonella!$E$80*Salmonella!I549+GraphSalmonella!$E$81</f>
        <v>0.2823920067305572</v>
      </c>
      <c r="Z549" s="10">
        <f>GraphSalmonella!$H$80*Salmonella!I549+GraphSalmonella!$H$81</f>
        <v>-6.4512686973317024E-2</v>
      </c>
    </row>
    <row r="550" spans="1:26" x14ac:dyDescent="0.2">
      <c r="A550" s="1" t="s">
        <v>66</v>
      </c>
      <c r="B550" s="1" t="s">
        <v>108</v>
      </c>
      <c r="D550" t="s">
        <v>44</v>
      </c>
      <c r="E550" s="1" t="s">
        <v>370</v>
      </c>
      <c r="F550" s="1"/>
      <c r="G550" s="9"/>
      <c r="I550" s="4">
        <v>60</v>
      </c>
      <c r="J550" s="11">
        <v>0.5</v>
      </c>
      <c r="L550" s="12">
        <f t="shared" si="13"/>
        <v>-0.3010299956639812</v>
      </c>
      <c r="M550" s="11">
        <f>GraphSalmonella!$B$10-(Salmonella!I550-GraphSalmonella!$B$6)/GraphSalmonella!$B$5</f>
        <v>0.2712239435094701</v>
      </c>
      <c r="N550" s="1" t="s">
        <v>580</v>
      </c>
      <c r="O550">
        <v>1970</v>
      </c>
      <c r="S550" s="10">
        <f>GraphSalmonella!$B$57*Salmonella!I550+GraphSalmonella!$B$58</f>
        <v>0.35072323220664714</v>
      </c>
      <c r="T550" s="10">
        <f>GraphSalmonella!$E$57*Salmonella!I550+GraphSalmonella!$E$58</f>
        <v>3.1370239566030182</v>
      </c>
      <c r="U550" s="10">
        <f>GraphSalmonella!$H$57*Salmonella!I550+GraphSalmonella!$H$58</f>
        <v>0.27208851901262943</v>
      </c>
      <c r="X550" s="10">
        <f>GraphSalmonella!$B$80*Salmonella!I550+GraphSalmonella!$B$81</f>
        <v>0.2738497546709393</v>
      </c>
      <c r="Y550" s="10">
        <f>GraphSalmonella!$E$80*Salmonella!I550+GraphSalmonella!$E$81</f>
        <v>0.2823920067305572</v>
      </c>
      <c r="Z550" s="10">
        <f>GraphSalmonella!$H$80*Salmonella!I550+GraphSalmonella!$H$81</f>
        <v>-6.4512686973317024E-2</v>
      </c>
    </row>
    <row r="551" spans="1:26" x14ac:dyDescent="0.2">
      <c r="A551" s="1" t="s">
        <v>66</v>
      </c>
      <c r="B551" s="1" t="s">
        <v>108</v>
      </c>
      <c r="D551" t="s">
        <v>44</v>
      </c>
      <c r="E551" s="1" t="s">
        <v>370</v>
      </c>
      <c r="F551" s="1"/>
      <c r="G551" s="9"/>
      <c r="I551" s="4">
        <v>60</v>
      </c>
      <c r="J551" s="11">
        <v>0.6</v>
      </c>
      <c r="L551" s="12">
        <f t="shared" si="13"/>
        <v>-0.22184874961635639</v>
      </c>
      <c r="M551" s="11">
        <f>GraphSalmonella!$B$10-(Salmonella!I551-GraphSalmonella!$B$6)/GraphSalmonella!$B$5</f>
        <v>0.2712239435094701</v>
      </c>
      <c r="N551" s="1" t="s">
        <v>580</v>
      </c>
      <c r="O551">
        <v>1970</v>
      </c>
      <c r="S551" s="10">
        <f>GraphSalmonella!$B$57*Salmonella!I551+GraphSalmonella!$B$58</f>
        <v>0.35072323220664714</v>
      </c>
      <c r="T551" s="10">
        <f>GraphSalmonella!$E$57*Salmonella!I551+GraphSalmonella!$E$58</f>
        <v>3.1370239566030182</v>
      </c>
      <c r="U551" s="10">
        <f>GraphSalmonella!$H$57*Salmonella!I551+GraphSalmonella!$H$58</f>
        <v>0.27208851901262943</v>
      </c>
      <c r="X551" s="10">
        <f>GraphSalmonella!$B$80*Salmonella!I551+GraphSalmonella!$B$81</f>
        <v>0.2738497546709393</v>
      </c>
      <c r="Y551" s="10">
        <f>GraphSalmonella!$E$80*Salmonella!I551+GraphSalmonella!$E$81</f>
        <v>0.2823920067305572</v>
      </c>
      <c r="Z551" s="10">
        <f>GraphSalmonella!$H$80*Salmonella!I551+GraphSalmonella!$H$81</f>
        <v>-6.4512686973317024E-2</v>
      </c>
    </row>
    <row r="552" spans="1:26" x14ac:dyDescent="0.2">
      <c r="A552" s="1" t="s">
        <v>66</v>
      </c>
      <c r="B552" s="1" t="s">
        <v>109</v>
      </c>
      <c r="D552" t="s">
        <v>44</v>
      </c>
      <c r="E552" s="1" t="s">
        <v>370</v>
      </c>
      <c r="F552" s="1"/>
      <c r="G552" s="9"/>
      <c r="I552" s="4">
        <v>60</v>
      </c>
      <c r="J552" s="11">
        <v>0.7</v>
      </c>
      <c r="L552" s="12">
        <f t="shared" si="13"/>
        <v>-0.15490195998574319</v>
      </c>
      <c r="M552" s="11">
        <f>GraphSalmonella!$B$10-(Salmonella!I552-GraphSalmonella!$B$6)/GraphSalmonella!$B$5</f>
        <v>0.2712239435094701</v>
      </c>
      <c r="N552" s="1" t="s">
        <v>580</v>
      </c>
      <c r="O552">
        <v>1970</v>
      </c>
      <c r="S552" s="10">
        <f>GraphSalmonella!$B$57*Salmonella!I552+GraphSalmonella!$B$58</f>
        <v>0.35072323220664714</v>
      </c>
      <c r="T552" s="10">
        <f>GraphSalmonella!$E$57*Salmonella!I552+GraphSalmonella!$E$58</f>
        <v>3.1370239566030182</v>
      </c>
      <c r="U552" s="10">
        <f>GraphSalmonella!$H$57*Salmonella!I552+GraphSalmonella!$H$58</f>
        <v>0.27208851901262943</v>
      </c>
      <c r="X552" s="10">
        <f>GraphSalmonella!$B$80*Salmonella!I552+GraphSalmonella!$B$81</f>
        <v>0.2738497546709393</v>
      </c>
      <c r="Y552" s="10">
        <f>GraphSalmonella!$E$80*Salmonella!I552+GraphSalmonella!$E$81</f>
        <v>0.2823920067305572</v>
      </c>
      <c r="Z552" s="10">
        <f>GraphSalmonella!$H$80*Salmonella!I552+GraphSalmonella!$H$81</f>
        <v>-6.4512686973317024E-2</v>
      </c>
    </row>
    <row r="553" spans="1:26" x14ac:dyDescent="0.2">
      <c r="A553" s="1" t="s">
        <v>66</v>
      </c>
      <c r="B553" s="1" t="s">
        <v>109</v>
      </c>
      <c r="D553" t="s">
        <v>44</v>
      </c>
      <c r="E553" s="1" t="s">
        <v>370</v>
      </c>
      <c r="F553" s="1"/>
      <c r="G553" s="9"/>
      <c r="I553" s="4">
        <v>60</v>
      </c>
      <c r="J553" s="11">
        <v>0.8</v>
      </c>
      <c r="L553" s="12">
        <f t="shared" si="13"/>
        <v>-9.6910013008056392E-2</v>
      </c>
      <c r="M553" s="11">
        <f>GraphSalmonella!$B$10-(Salmonella!I553-GraphSalmonella!$B$6)/GraphSalmonella!$B$5</f>
        <v>0.2712239435094701</v>
      </c>
      <c r="N553" s="1" t="s">
        <v>580</v>
      </c>
      <c r="O553">
        <v>1970</v>
      </c>
      <c r="S553" s="10">
        <f>GraphSalmonella!$B$57*Salmonella!I553+GraphSalmonella!$B$58</f>
        <v>0.35072323220664714</v>
      </c>
      <c r="T553" s="10">
        <f>GraphSalmonella!$E$57*Salmonella!I553+GraphSalmonella!$E$58</f>
        <v>3.1370239566030182</v>
      </c>
      <c r="U553" s="10">
        <f>GraphSalmonella!$H$57*Salmonella!I553+GraphSalmonella!$H$58</f>
        <v>0.27208851901262943</v>
      </c>
      <c r="X553" s="10">
        <f>GraphSalmonella!$B$80*Salmonella!I553+GraphSalmonella!$B$81</f>
        <v>0.2738497546709393</v>
      </c>
      <c r="Y553" s="10">
        <f>GraphSalmonella!$E$80*Salmonella!I553+GraphSalmonella!$E$81</f>
        <v>0.2823920067305572</v>
      </c>
      <c r="Z553" s="10">
        <f>GraphSalmonella!$H$80*Salmonella!I553+GraphSalmonella!$H$81</f>
        <v>-6.4512686973317024E-2</v>
      </c>
    </row>
    <row r="554" spans="1:26" x14ac:dyDescent="0.2">
      <c r="A554" s="1" t="s">
        <v>66</v>
      </c>
      <c r="B554" s="1" t="s">
        <v>110</v>
      </c>
      <c r="D554" t="s">
        <v>44</v>
      </c>
      <c r="E554" s="1" t="s">
        <v>370</v>
      </c>
      <c r="F554" s="1"/>
      <c r="G554" s="9"/>
      <c r="I554" s="4">
        <v>60</v>
      </c>
      <c r="J554" s="11">
        <v>0.6</v>
      </c>
      <c r="L554" s="12">
        <f t="shared" si="13"/>
        <v>-0.22184874961635639</v>
      </c>
      <c r="M554" s="11">
        <f>GraphSalmonella!$B$10-(Salmonella!I554-GraphSalmonella!$B$6)/GraphSalmonella!$B$5</f>
        <v>0.2712239435094701</v>
      </c>
      <c r="N554" s="1" t="s">
        <v>580</v>
      </c>
      <c r="O554">
        <v>1970</v>
      </c>
      <c r="S554" s="10">
        <f>GraphSalmonella!$B$57*Salmonella!I554+GraphSalmonella!$B$58</f>
        <v>0.35072323220664714</v>
      </c>
      <c r="T554" s="10">
        <f>GraphSalmonella!$E$57*Salmonella!I554+GraphSalmonella!$E$58</f>
        <v>3.1370239566030182</v>
      </c>
      <c r="U554" s="10">
        <f>GraphSalmonella!$H$57*Salmonella!I554+GraphSalmonella!$H$58</f>
        <v>0.27208851901262943</v>
      </c>
      <c r="X554" s="10">
        <f>GraphSalmonella!$B$80*Salmonella!I554+GraphSalmonella!$B$81</f>
        <v>0.2738497546709393</v>
      </c>
      <c r="Y554" s="10">
        <f>GraphSalmonella!$E$80*Salmonella!I554+GraphSalmonella!$E$81</f>
        <v>0.2823920067305572</v>
      </c>
      <c r="Z554" s="10">
        <f>GraphSalmonella!$H$80*Salmonella!I554+GraphSalmonella!$H$81</f>
        <v>-6.4512686973317024E-2</v>
      </c>
    </row>
    <row r="555" spans="1:26" x14ac:dyDescent="0.2">
      <c r="A555" s="1" t="s">
        <v>66</v>
      </c>
      <c r="B555" s="1" t="s">
        <v>111</v>
      </c>
      <c r="D555" t="s">
        <v>44</v>
      </c>
      <c r="E555" s="1" t="s">
        <v>370</v>
      </c>
      <c r="F555" s="1"/>
      <c r="G555" s="9"/>
      <c r="I555" s="4">
        <v>60</v>
      </c>
      <c r="J555" s="11">
        <v>0.6</v>
      </c>
      <c r="L555" s="12">
        <f t="shared" si="13"/>
        <v>-0.22184874961635639</v>
      </c>
      <c r="M555" s="11">
        <f>GraphSalmonella!$B$10-(Salmonella!I555-GraphSalmonella!$B$6)/GraphSalmonella!$B$5</f>
        <v>0.2712239435094701</v>
      </c>
      <c r="N555" s="1" t="s">
        <v>580</v>
      </c>
      <c r="O555">
        <v>1970</v>
      </c>
      <c r="S555" s="10">
        <f>GraphSalmonella!$B$57*Salmonella!I555+GraphSalmonella!$B$58</f>
        <v>0.35072323220664714</v>
      </c>
      <c r="T555" s="10">
        <f>GraphSalmonella!$E$57*Salmonella!I555+GraphSalmonella!$E$58</f>
        <v>3.1370239566030182</v>
      </c>
      <c r="U555" s="10">
        <f>GraphSalmonella!$H$57*Salmonella!I555+GraphSalmonella!$H$58</f>
        <v>0.27208851901262943</v>
      </c>
      <c r="X555" s="10">
        <f>GraphSalmonella!$B$80*Salmonella!I555+GraphSalmonella!$B$81</f>
        <v>0.2738497546709393</v>
      </c>
      <c r="Y555" s="10">
        <f>GraphSalmonella!$E$80*Salmonella!I555+GraphSalmonella!$E$81</f>
        <v>0.2823920067305572</v>
      </c>
      <c r="Z555" s="10">
        <f>GraphSalmonella!$H$80*Salmonella!I555+GraphSalmonella!$H$81</f>
        <v>-6.4512686973317024E-2</v>
      </c>
    </row>
    <row r="556" spans="1:26" x14ac:dyDescent="0.2">
      <c r="A556" s="1" t="s">
        <v>66</v>
      </c>
      <c r="B556" s="1" t="s">
        <v>111</v>
      </c>
      <c r="D556" t="s">
        <v>44</v>
      </c>
      <c r="E556" s="1" t="s">
        <v>370</v>
      </c>
      <c r="F556" s="1"/>
      <c r="G556" s="9"/>
      <c r="I556" s="4">
        <v>60</v>
      </c>
      <c r="J556" s="11">
        <v>0.7</v>
      </c>
      <c r="L556" s="12">
        <f t="shared" si="13"/>
        <v>-0.15490195998574319</v>
      </c>
      <c r="M556" s="11">
        <f>GraphSalmonella!$B$10-(Salmonella!I556-GraphSalmonella!$B$6)/GraphSalmonella!$B$5</f>
        <v>0.2712239435094701</v>
      </c>
      <c r="N556" s="1" t="s">
        <v>580</v>
      </c>
      <c r="O556">
        <v>1970</v>
      </c>
      <c r="S556" s="10">
        <f>GraphSalmonella!$B$57*Salmonella!I556+GraphSalmonella!$B$58</f>
        <v>0.35072323220664714</v>
      </c>
      <c r="T556" s="10">
        <f>GraphSalmonella!$E$57*Salmonella!I556+GraphSalmonella!$E$58</f>
        <v>3.1370239566030182</v>
      </c>
      <c r="U556" s="10">
        <f>GraphSalmonella!$H$57*Salmonella!I556+GraphSalmonella!$H$58</f>
        <v>0.27208851901262943</v>
      </c>
      <c r="X556" s="10">
        <f>GraphSalmonella!$B$80*Salmonella!I556+GraphSalmonella!$B$81</f>
        <v>0.2738497546709393</v>
      </c>
      <c r="Y556" s="10">
        <f>GraphSalmonella!$E$80*Salmonella!I556+GraphSalmonella!$E$81</f>
        <v>0.2823920067305572</v>
      </c>
      <c r="Z556" s="10">
        <f>GraphSalmonella!$H$80*Salmonella!I556+GraphSalmonella!$H$81</f>
        <v>-6.4512686973317024E-2</v>
      </c>
    </row>
    <row r="557" spans="1:26" x14ac:dyDescent="0.2">
      <c r="A557" s="1" t="s">
        <v>66</v>
      </c>
      <c r="B557" s="1" t="s">
        <v>112</v>
      </c>
      <c r="D557" t="s">
        <v>44</v>
      </c>
      <c r="E557" s="1" t="s">
        <v>370</v>
      </c>
      <c r="F557" s="1"/>
      <c r="G557" s="9"/>
      <c r="I557" s="4">
        <v>60</v>
      </c>
      <c r="J557" s="11">
        <v>0.4</v>
      </c>
      <c r="L557" s="12">
        <f t="shared" si="13"/>
        <v>-0.3979400086720376</v>
      </c>
      <c r="M557" s="11">
        <f>GraphSalmonella!$B$10-(Salmonella!I557-GraphSalmonella!$B$6)/GraphSalmonella!$B$5</f>
        <v>0.2712239435094701</v>
      </c>
      <c r="N557" s="1" t="s">
        <v>580</v>
      </c>
      <c r="O557">
        <v>1970</v>
      </c>
      <c r="S557" s="10">
        <f>GraphSalmonella!$B$57*Salmonella!I557+GraphSalmonella!$B$58</f>
        <v>0.35072323220664714</v>
      </c>
      <c r="T557" s="10">
        <f>GraphSalmonella!$E$57*Salmonella!I557+GraphSalmonella!$E$58</f>
        <v>3.1370239566030182</v>
      </c>
      <c r="U557" s="10">
        <f>GraphSalmonella!$H$57*Salmonella!I557+GraphSalmonella!$H$58</f>
        <v>0.27208851901262943</v>
      </c>
      <c r="X557" s="10">
        <f>GraphSalmonella!$B$80*Salmonella!I557+GraphSalmonella!$B$81</f>
        <v>0.2738497546709393</v>
      </c>
      <c r="Y557" s="10">
        <f>GraphSalmonella!$E$80*Salmonella!I557+GraphSalmonella!$E$81</f>
        <v>0.2823920067305572</v>
      </c>
      <c r="Z557" s="10">
        <f>GraphSalmonella!$H$80*Salmonella!I557+GraphSalmonella!$H$81</f>
        <v>-6.4512686973317024E-2</v>
      </c>
    </row>
    <row r="558" spans="1:26" x14ac:dyDescent="0.2">
      <c r="A558" s="1" t="s">
        <v>66</v>
      </c>
      <c r="B558" s="1" t="s">
        <v>112</v>
      </c>
      <c r="D558" t="s">
        <v>44</v>
      </c>
      <c r="E558" s="1" t="s">
        <v>370</v>
      </c>
      <c r="F558" s="1"/>
      <c r="G558" s="9"/>
      <c r="I558" s="4">
        <v>60</v>
      </c>
      <c r="J558" s="11">
        <v>0.5</v>
      </c>
      <c r="L558" s="12">
        <f t="shared" si="13"/>
        <v>-0.3010299956639812</v>
      </c>
      <c r="M558" s="11">
        <f>GraphSalmonella!$B$10-(Salmonella!I558-GraphSalmonella!$B$6)/GraphSalmonella!$B$5</f>
        <v>0.2712239435094701</v>
      </c>
      <c r="N558" s="1" t="s">
        <v>580</v>
      </c>
      <c r="O558">
        <v>1970</v>
      </c>
      <c r="S558" s="10">
        <f>GraphSalmonella!$B$57*Salmonella!I558+GraphSalmonella!$B$58</f>
        <v>0.35072323220664714</v>
      </c>
      <c r="T558" s="10">
        <f>GraphSalmonella!$E$57*Salmonella!I558+GraphSalmonella!$E$58</f>
        <v>3.1370239566030182</v>
      </c>
      <c r="U558" s="10">
        <f>GraphSalmonella!$H$57*Salmonella!I558+GraphSalmonella!$H$58</f>
        <v>0.27208851901262943</v>
      </c>
      <c r="X558" s="10">
        <f>GraphSalmonella!$B$80*Salmonella!I558+GraphSalmonella!$B$81</f>
        <v>0.2738497546709393</v>
      </c>
      <c r="Y558" s="10">
        <f>GraphSalmonella!$E$80*Salmonella!I558+GraphSalmonella!$E$81</f>
        <v>0.2823920067305572</v>
      </c>
      <c r="Z558" s="10">
        <f>GraphSalmonella!$H$80*Salmonella!I558+GraphSalmonella!$H$81</f>
        <v>-6.4512686973317024E-2</v>
      </c>
    </row>
    <row r="559" spans="1:26" x14ac:dyDescent="0.2">
      <c r="A559" s="1" t="s">
        <v>66</v>
      </c>
      <c r="B559" s="1" t="s">
        <v>113</v>
      </c>
      <c r="D559" t="s">
        <v>44</v>
      </c>
      <c r="E559" s="1" t="s">
        <v>370</v>
      </c>
      <c r="F559" s="1"/>
      <c r="G559" s="9"/>
      <c r="I559" s="4">
        <v>60</v>
      </c>
      <c r="J559" s="11">
        <v>0.3</v>
      </c>
      <c r="L559" s="12">
        <f t="shared" si="13"/>
        <v>-0.52287874528033762</v>
      </c>
      <c r="M559" s="11">
        <f>GraphSalmonella!$B$10-(Salmonella!I559-GraphSalmonella!$B$6)/GraphSalmonella!$B$5</f>
        <v>0.2712239435094701</v>
      </c>
      <c r="N559" s="1" t="s">
        <v>580</v>
      </c>
      <c r="O559">
        <v>1970</v>
      </c>
      <c r="S559" s="10">
        <f>GraphSalmonella!$B$57*Salmonella!I559+GraphSalmonella!$B$58</f>
        <v>0.35072323220664714</v>
      </c>
      <c r="T559" s="10">
        <f>GraphSalmonella!$E$57*Salmonella!I559+GraphSalmonella!$E$58</f>
        <v>3.1370239566030182</v>
      </c>
      <c r="U559" s="10">
        <f>GraphSalmonella!$H$57*Salmonella!I559+GraphSalmonella!$H$58</f>
        <v>0.27208851901262943</v>
      </c>
      <c r="X559" s="10">
        <f>GraphSalmonella!$B$80*Salmonella!I559+GraphSalmonella!$B$81</f>
        <v>0.2738497546709393</v>
      </c>
      <c r="Y559" s="10">
        <f>GraphSalmonella!$E$80*Salmonella!I559+GraphSalmonella!$E$81</f>
        <v>0.2823920067305572</v>
      </c>
      <c r="Z559" s="10">
        <f>GraphSalmonella!$H$80*Salmonella!I559+GraphSalmonella!$H$81</f>
        <v>-6.4512686973317024E-2</v>
      </c>
    </row>
    <row r="560" spans="1:26" x14ac:dyDescent="0.2">
      <c r="A560" s="1" t="s">
        <v>66</v>
      </c>
      <c r="B560" s="1" t="s">
        <v>114</v>
      </c>
      <c r="D560" t="s">
        <v>44</v>
      </c>
      <c r="E560" s="1" t="s">
        <v>370</v>
      </c>
      <c r="F560" s="1"/>
      <c r="G560" s="9"/>
      <c r="I560" s="4">
        <v>60</v>
      </c>
      <c r="J560" s="11">
        <v>0.7</v>
      </c>
      <c r="L560" s="12">
        <f t="shared" si="13"/>
        <v>-0.15490195998574319</v>
      </c>
      <c r="M560" s="11">
        <f>GraphSalmonella!$B$10-(Salmonella!I560-GraphSalmonella!$B$6)/GraphSalmonella!$B$5</f>
        <v>0.2712239435094701</v>
      </c>
      <c r="N560" s="1" t="s">
        <v>580</v>
      </c>
      <c r="O560">
        <v>1970</v>
      </c>
      <c r="S560" s="10">
        <f>GraphSalmonella!$B$57*Salmonella!I560+GraphSalmonella!$B$58</f>
        <v>0.35072323220664714</v>
      </c>
      <c r="T560" s="10">
        <f>GraphSalmonella!$E$57*Salmonella!I560+GraphSalmonella!$E$58</f>
        <v>3.1370239566030182</v>
      </c>
      <c r="U560" s="10">
        <f>GraphSalmonella!$H$57*Salmonella!I560+GraphSalmonella!$H$58</f>
        <v>0.27208851901262943</v>
      </c>
      <c r="X560" s="10">
        <f>GraphSalmonella!$B$80*Salmonella!I560+GraphSalmonella!$B$81</f>
        <v>0.2738497546709393</v>
      </c>
      <c r="Y560" s="10">
        <f>GraphSalmonella!$E$80*Salmonella!I560+GraphSalmonella!$E$81</f>
        <v>0.2823920067305572</v>
      </c>
      <c r="Z560" s="10">
        <f>GraphSalmonella!$H$80*Salmonella!I560+GraphSalmonella!$H$81</f>
        <v>-6.4512686973317024E-2</v>
      </c>
    </row>
    <row r="561" spans="1:26" x14ac:dyDescent="0.2">
      <c r="A561" s="1" t="s">
        <v>66</v>
      </c>
      <c r="B561" s="1" t="s">
        <v>114</v>
      </c>
      <c r="D561" t="s">
        <v>44</v>
      </c>
      <c r="E561" s="1" t="s">
        <v>370</v>
      </c>
      <c r="F561" s="1"/>
      <c r="G561" s="9"/>
      <c r="I561" s="4">
        <v>60</v>
      </c>
      <c r="J561" s="11">
        <v>1.5</v>
      </c>
      <c r="L561" s="12">
        <f t="shared" si="13"/>
        <v>0.17609125905568124</v>
      </c>
      <c r="M561" s="11">
        <f>GraphSalmonella!$B$10-(Salmonella!I561-GraphSalmonella!$B$6)/GraphSalmonella!$B$5</f>
        <v>0.2712239435094701</v>
      </c>
      <c r="N561" s="1" t="s">
        <v>580</v>
      </c>
      <c r="O561">
        <v>1970</v>
      </c>
      <c r="S561" s="10">
        <f>GraphSalmonella!$B$57*Salmonella!I561+GraphSalmonella!$B$58</f>
        <v>0.35072323220664714</v>
      </c>
      <c r="T561" s="10">
        <f>GraphSalmonella!$E$57*Salmonella!I561+GraphSalmonella!$E$58</f>
        <v>3.1370239566030182</v>
      </c>
      <c r="U561" s="10">
        <f>GraphSalmonella!$H$57*Salmonella!I561+GraphSalmonella!$H$58</f>
        <v>0.27208851901262943</v>
      </c>
      <c r="X561" s="10">
        <f>GraphSalmonella!$B$80*Salmonella!I561+GraphSalmonella!$B$81</f>
        <v>0.2738497546709393</v>
      </c>
      <c r="Y561" s="10">
        <f>GraphSalmonella!$E$80*Salmonella!I561+GraphSalmonella!$E$81</f>
        <v>0.2823920067305572</v>
      </c>
      <c r="Z561" s="10">
        <f>GraphSalmonella!$H$80*Salmonella!I561+GraphSalmonella!$H$81</f>
        <v>-6.4512686973317024E-2</v>
      </c>
    </row>
    <row r="562" spans="1:26" x14ac:dyDescent="0.2">
      <c r="A562" s="1" t="s">
        <v>66</v>
      </c>
      <c r="B562" s="1" t="s">
        <v>115</v>
      </c>
      <c r="D562" t="s">
        <v>44</v>
      </c>
      <c r="E562" s="1" t="s">
        <v>370</v>
      </c>
      <c r="F562" s="1"/>
      <c r="G562" s="9"/>
      <c r="I562" s="4">
        <v>60</v>
      </c>
      <c r="J562" s="11">
        <v>0.5</v>
      </c>
      <c r="L562" s="12">
        <f t="shared" si="13"/>
        <v>-0.3010299956639812</v>
      </c>
      <c r="M562" s="11">
        <f>GraphSalmonella!$B$10-(Salmonella!I562-GraphSalmonella!$B$6)/GraphSalmonella!$B$5</f>
        <v>0.2712239435094701</v>
      </c>
      <c r="N562" s="1" t="s">
        <v>580</v>
      </c>
      <c r="O562">
        <v>1970</v>
      </c>
      <c r="S562" s="10">
        <f>GraphSalmonella!$B$57*Salmonella!I562+GraphSalmonella!$B$58</f>
        <v>0.35072323220664714</v>
      </c>
      <c r="T562" s="10">
        <f>GraphSalmonella!$E$57*Salmonella!I562+GraphSalmonella!$E$58</f>
        <v>3.1370239566030182</v>
      </c>
      <c r="U562" s="10">
        <f>GraphSalmonella!$H$57*Salmonella!I562+GraphSalmonella!$H$58</f>
        <v>0.27208851901262943</v>
      </c>
      <c r="X562" s="10">
        <f>GraphSalmonella!$B$80*Salmonella!I562+GraphSalmonella!$B$81</f>
        <v>0.2738497546709393</v>
      </c>
      <c r="Y562" s="10">
        <f>GraphSalmonella!$E$80*Salmonella!I562+GraphSalmonella!$E$81</f>
        <v>0.2823920067305572</v>
      </c>
      <c r="Z562" s="10">
        <f>GraphSalmonella!$H$80*Salmonella!I562+GraphSalmonella!$H$81</f>
        <v>-6.4512686973317024E-2</v>
      </c>
    </row>
    <row r="563" spans="1:26" x14ac:dyDescent="0.2">
      <c r="A563" s="1" t="s">
        <v>66</v>
      </c>
      <c r="B563" s="1" t="s">
        <v>115</v>
      </c>
      <c r="D563" t="s">
        <v>44</v>
      </c>
      <c r="E563" s="1" t="s">
        <v>370</v>
      </c>
      <c r="F563" s="1"/>
      <c r="G563" s="9"/>
      <c r="I563" s="4">
        <v>60</v>
      </c>
      <c r="J563" s="11">
        <v>0.8</v>
      </c>
      <c r="L563" s="12">
        <f t="shared" si="13"/>
        <v>-9.6910013008056392E-2</v>
      </c>
      <c r="M563" s="11">
        <f>GraphSalmonella!$B$10-(Salmonella!I563-GraphSalmonella!$B$6)/GraphSalmonella!$B$5</f>
        <v>0.2712239435094701</v>
      </c>
      <c r="N563" s="1" t="s">
        <v>580</v>
      </c>
      <c r="O563">
        <v>1970</v>
      </c>
      <c r="S563" s="10">
        <f>GraphSalmonella!$B$57*Salmonella!I563+GraphSalmonella!$B$58</f>
        <v>0.35072323220664714</v>
      </c>
      <c r="T563" s="10">
        <f>GraphSalmonella!$E$57*Salmonella!I563+GraphSalmonella!$E$58</f>
        <v>3.1370239566030182</v>
      </c>
      <c r="U563" s="10">
        <f>GraphSalmonella!$H$57*Salmonella!I563+GraphSalmonella!$H$58</f>
        <v>0.27208851901262943</v>
      </c>
      <c r="X563" s="10">
        <f>GraphSalmonella!$B$80*Salmonella!I563+GraphSalmonella!$B$81</f>
        <v>0.2738497546709393</v>
      </c>
      <c r="Y563" s="10">
        <f>GraphSalmonella!$E$80*Salmonella!I563+GraphSalmonella!$E$81</f>
        <v>0.2823920067305572</v>
      </c>
      <c r="Z563" s="10">
        <f>GraphSalmonella!$H$80*Salmonella!I563+GraphSalmonella!$H$81</f>
        <v>-6.4512686973317024E-2</v>
      </c>
    </row>
    <row r="564" spans="1:26" x14ac:dyDescent="0.2">
      <c r="A564" s="1" t="s">
        <v>66</v>
      </c>
      <c r="B564" s="1" t="s">
        <v>116</v>
      </c>
      <c r="D564" t="s">
        <v>44</v>
      </c>
      <c r="E564" s="1" t="s">
        <v>370</v>
      </c>
      <c r="F564" s="1"/>
      <c r="G564" s="9"/>
      <c r="I564" s="4">
        <v>60</v>
      </c>
      <c r="J564" s="11">
        <v>0.5</v>
      </c>
      <c r="L564" s="12">
        <f t="shared" si="13"/>
        <v>-0.3010299956639812</v>
      </c>
      <c r="M564" s="11">
        <f>GraphSalmonella!$B$10-(Salmonella!I564-GraphSalmonella!$B$6)/GraphSalmonella!$B$5</f>
        <v>0.2712239435094701</v>
      </c>
      <c r="N564" s="1" t="s">
        <v>580</v>
      </c>
      <c r="O564">
        <v>1970</v>
      </c>
      <c r="S564" s="10">
        <f>GraphSalmonella!$B$57*Salmonella!I564+GraphSalmonella!$B$58</f>
        <v>0.35072323220664714</v>
      </c>
      <c r="T564" s="10">
        <f>GraphSalmonella!$E$57*Salmonella!I564+GraphSalmonella!$E$58</f>
        <v>3.1370239566030182</v>
      </c>
      <c r="U564" s="10">
        <f>GraphSalmonella!$H$57*Salmonella!I564+GraphSalmonella!$H$58</f>
        <v>0.27208851901262943</v>
      </c>
      <c r="X564" s="10">
        <f>GraphSalmonella!$B$80*Salmonella!I564+GraphSalmonella!$B$81</f>
        <v>0.2738497546709393</v>
      </c>
      <c r="Y564" s="10">
        <f>GraphSalmonella!$E$80*Salmonella!I564+GraphSalmonella!$E$81</f>
        <v>0.2823920067305572</v>
      </c>
      <c r="Z564" s="10">
        <f>GraphSalmonella!$H$80*Salmonella!I564+GraphSalmonella!$H$81</f>
        <v>-6.4512686973317024E-2</v>
      </c>
    </row>
    <row r="565" spans="1:26" x14ac:dyDescent="0.2">
      <c r="A565" s="1" t="s">
        <v>66</v>
      </c>
      <c r="B565" s="1" t="s">
        <v>116</v>
      </c>
      <c r="D565" t="s">
        <v>44</v>
      </c>
      <c r="E565" s="1" t="s">
        <v>370</v>
      </c>
      <c r="F565" s="1"/>
      <c r="G565" s="9"/>
      <c r="I565" s="4">
        <v>60</v>
      </c>
      <c r="J565" s="11">
        <v>0.6</v>
      </c>
      <c r="L565" s="12">
        <f t="shared" si="13"/>
        <v>-0.22184874961635639</v>
      </c>
      <c r="M565" s="11">
        <f>GraphSalmonella!$B$10-(Salmonella!I565-GraphSalmonella!$B$6)/GraphSalmonella!$B$5</f>
        <v>0.2712239435094701</v>
      </c>
      <c r="N565" s="1" t="s">
        <v>580</v>
      </c>
      <c r="O565">
        <v>1970</v>
      </c>
      <c r="S565" s="10">
        <f>GraphSalmonella!$B$57*Salmonella!I565+GraphSalmonella!$B$58</f>
        <v>0.35072323220664714</v>
      </c>
      <c r="T565" s="10">
        <f>GraphSalmonella!$E$57*Salmonella!I565+GraphSalmonella!$E$58</f>
        <v>3.1370239566030182</v>
      </c>
      <c r="U565" s="10">
        <f>GraphSalmonella!$H$57*Salmonella!I565+GraphSalmonella!$H$58</f>
        <v>0.27208851901262943</v>
      </c>
      <c r="X565" s="10">
        <f>GraphSalmonella!$B$80*Salmonella!I565+GraphSalmonella!$B$81</f>
        <v>0.2738497546709393</v>
      </c>
      <c r="Y565" s="10">
        <f>GraphSalmonella!$E$80*Salmonella!I565+GraphSalmonella!$E$81</f>
        <v>0.2823920067305572</v>
      </c>
      <c r="Z565" s="10">
        <f>GraphSalmonella!$H$80*Salmonella!I565+GraphSalmonella!$H$81</f>
        <v>-6.4512686973317024E-2</v>
      </c>
    </row>
    <row r="566" spans="1:26" x14ac:dyDescent="0.2">
      <c r="A566" s="1" t="s">
        <v>66</v>
      </c>
      <c r="B566" s="1" t="s">
        <v>67</v>
      </c>
      <c r="C566">
        <v>436</v>
      </c>
      <c r="D566" t="s">
        <v>44</v>
      </c>
      <c r="E566" s="1" t="s">
        <v>370</v>
      </c>
      <c r="F566" s="1"/>
      <c r="G566" s="9"/>
      <c r="I566" s="4">
        <v>48</v>
      </c>
      <c r="J566" s="11">
        <v>1347</v>
      </c>
      <c r="L566" s="12">
        <f t="shared" si="13"/>
        <v>3.1293675957229854</v>
      </c>
      <c r="M566" s="11">
        <f>GraphSalmonella!$B$10-(Salmonella!I566-GraphSalmonella!$B$6)/GraphSalmonella!$B$5</f>
        <v>1.5915970463309064</v>
      </c>
      <c r="N566" s="1" t="s">
        <v>580</v>
      </c>
      <c r="O566">
        <v>1970</v>
      </c>
      <c r="P566" t="s">
        <v>579</v>
      </c>
      <c r="S566" s="10">
        <f>GraphSalmonella!$B$57*Salmonella!I566+GraphSalmonella!$B$58</f>
        <v>1.0682064849429129</v>
      </c>
      <c r="T566" s="10">
        <f>GraphSalmonella!$E$57*Salmonella!I566+GraphSalmonella!$E$58</f>
        <v>3.7261582187918174</v>
      </c>
      <c r="U566" s="10">
        <f>GraphSalmonella!$H$57*Salmonella!I566+GraphSalmonella!$H$58</f>
        <v>1.5921643946898785</v>
      </c>
      <c r="X566" s="10">
        <f>GraphSalmonella!$B$80*Salmonella!I566+GraphSalmonella!$B$81</f>
        <v>1.5948623111306164</v>
      </c>
      <c r="Y566" s="10">
        <f>GraphSalmonella!$E$80*Salmonella!I566+GraphSalmonella!$E$81</f>
        <v>1.6219438092091254</v>
      </c>
      <c r="Z566" s="10">
        <f>GraphSalmonella!$H$80*Salmonella!I566+GraphSalmonella!$H$81</f>
        <v>1.4856696718752236</v>
      </c>
    </row>
    <row r="567" spans="1:26" x14ac:dyDescent="0.2">
      <c r="A567" s="1" t="s">
        <v>66</v>
      </c>
      <c r="B567" s="1" t="s">
        <v>67</v>
      </c>
      <c r="C567">
        <v>436</v>
      </c>
      <c r="D567" t="s">
        <v>44</v>
      </c>
      <c r="E567" s="1" t="s">
        <v>370</v>
      </c>
      <c r="F567" s="1"/>
      <c r="G567" s="9"/>
      <c r="I567" s="4">
        <v>50</v>
      </c>
      <c r="J567" s="11">
        <v>146</v>
      </c>
      <c r="L567" s="12">
        <f t="shared" si="13"/>
        <v>2.1643528557844371</v>
      </c>
      <c r="M567" s="11">
        <f>GraphSalmonella!$B$10-(Salmonella!I567-GraphSalmonella!$B$6)/GraphSalmonella!$B$5</f>
        <v>1.3715348625273336</v>
      </c>
      <c r="N567" s="1" t="s">
        <v>319</v>
      </c>
      <c r="O567">
        <v>2000</v>
      </c>
      <c r="P567" t="s">
        <v>508</v>
      </c>
      <c r="S567" s="10">
        <f>GraphSalmonella!$B$57*Salmonella!I567+GraphSalmonella!$B$58</f>
        <v>0.94862594282020174</v>
      </c>
      <c r="T567" s="10">
        <f>GraphSalmonella!$E$57*Salmonella!I567+GraphSalmonella!$E$58</f>
        <v>3.6279691750936842</v>
      </c>
      <c r="U567" s="10">
        <f>GraphSalmonella!$H$57*Salmonella!I567+GraphSalmonella!$H$58</f>
        <v>1.3721517487436703</v>
      </c>
      <c r="X567" s="10">
        <f>GraphSalmonella!$B$80*Salmonella!I567+GraphSalmonella!$B$81</f>
        <v>1.3746935517206698</v>
      </c>
      <c r="Y567" s="10">
        <f>GraphSalmonella!$E$80*Salmonella!I567+GraphSalmonella!$E$81</f>
        <v>1.3986851754626972</v>
      </c>
      <c r="Z567" s="10">
        <f>GraphSalmonella!$H$80*Salmonella!I567+GraphSalmonella!$H$81</f>
        <v>1.2273059454004667</v>
      </c>
    </row>
    <row r="568" spans="1:26" x14ac:dyDescent="0.2">
      <c r="A568" s="1" t="s">
        <v>66</v>
      </c>
      <c r="B568" s="1" t="s">
        <v>67</v>
      </c>
      <c r="C568">
        <v>436</v>
      </c>
      <c r="D568" t="s">
        <v>44</v>
      </c>
      <c r="E568" s="1" t="s">
        <v>370</v>
      </c>
      <c r="F568" s="1"/>
      <c r="G568" s="9"/>
      <c r="I568" s="4">
        <v>55</v>
      </c>
      <c r="J568" s="11">
        <v>4.9000000000000004</v>
      </c>
      <c r="L568" s="12">
        <f t="shared" si="13"/>
        <v>0.69019608002851374</v>
      </c>
      <c r="M568" s="11">
        <f>GraphSalmonella!$B$10-(Salmonella!I568-GraphSalmonella!$B$6)/GraphSalmonella!$B$5</f>
        <v>0.82137940301840184</v>
      </c>
      <c r="N568" s="1" t="s">
        <v>319</v>
      </c>
      <c r="O568">
        <v>2000</v>
      </c>
      <c r="P568" t="s">
        <v>508</v>
      </c>
      <c r="S568" s="10">
        <f>GraphSalmonella!$B$57*Salmonella!I568+GraphSalmonella!$B$58</f>
        <v>0.64967458751342466</v>
      </c>
      <c r="T568" s="10">
        <f>GraphSalmonella!$E$57*Salmonella!I568+GraphSalmonella!$E$58</f>
        <v>3.3824965658483515</v>
      </c>
      <c r="U568" s="10">
        <f>GraphSalmonella!$H$57*Salmonella!I568+GraphSalmonella!$H$58</f>
        <v>0.82212013387815031</v>
      </c>
      <c r="X568" s="10">
        <f>GraphSalmonella!$B$80*Salmonella!I568+GraphSalmonella!$B$81</f>
        <v>0.82427165319580453</v>
      </c>
      <c r="Y568" s="10">
        <f>GraphSalmonella!$E$80*Salmonella!I568+GraphSalmonella!$E$81</f>
        <v>0.84053859109662721</v>
      </c>
      <c r="Z568" s="10">
        <f>GraphSalmonella!$H$80*Salmonella!I568+GraphSalmonella!$H$81</f>
        <v>0.58139662921357438</v>
      </c>
    </row>
    <row r="569" spans="1:26" x14ac:dyDescent="0.2">
      <c r="A569" s="1" t="s">
        <v>66</v>
      </c>
      <c r="B569" s="1" t="s">
        <v>67</v>
      </c>
      <c r="C569">
        <v>436</v>
      </c>
      <c r="D569" t="s">
        <v>44</v>
      </c>
      <c r="E569" s="1" t="s">
        <v>370</v>
      </c>
      <c r="F569" s="1"/>
      <c r="G569" s="9"/>
      <c r="I569" s="4">
        <v>60</v>
      </c>
      <c r="J569" s="11">
        <v>0.62</v>
      </c>
      <c r="L569" s="12">
        <f t="shared" si="13"/>
        <v>-0.20760831050174613</v>
      </c>
      <c r="M569" s="11">
        <f>GraphSalmonella!$B$10-(Salmonella!I569-GraphSalmonella!$B$6)/GraphSalmonella!$B$5</f>
        <v>0.2712239435094701</v>
      </c>
      <c r="N569" s="1" t="s">
        <v>319</v>
      </c>
      <c r="O569">
        <v>2000</v>
      </c>
      <c r="P569" t="s">
        <v>508</v>
      </c>
      <c r="S569" s="10">
        <f>GraphSalmonella!$B$57*Salmonella!I569+GraphSalmonella!$B$58</f>
        <v>0.35072323220664714</v>
      </c>
      <c r="T569" s="10">
        <f>GraphSalmonella!$E$57*Salmonella!I569+GraphSalmonella!$E$58</f>
        <v>3.1370239566030182</v>
      </c>
      <c r="U569" s="10">
        <f>GraphSalmonella!$H$57*Salmonella!I569+GraphSalmonella!$H$58</f>
        <v>0.27208851901262943</v>
      </c>
      <c r="X569" s="10">
        <f>GraphSalmonella!$B$80*Salmonella!I569+GraphSalmonella!$B$81</f>
        <v>0.2738497546709393</v>
      </c>
      <c r="Y569" s="10">
        <f>GraphSalmonella!$E$80*Salmonella!I569+GraphSalmonella!$E$81</f>
        <v>0.2823920067305572</v>
      </c>
      <c r="Z569" s="10">
        <f>GraphSalmonella!$H$80*Salmonella!I569+GraphSalmonella!$H$81</f>
        <v>-6.4512686973317024E-2</v>
      </c>
    </row>
    <row r="570" spans="1:26" x14ac:dyDescent="0.2">
      <c r="A570" s="1" t="s">
        <v>66</v>
      </c>
      <c r="B570" s="1" t="s">
        <v>67</v>
      </c>
      <c r="C570" t="s">
        <v>312</v>
      </c>
      <c r="D570" t="s">
        <v>44</v>
      </c>
      <c r="E570" s="1" t="s">
        <v>370</v>
      </c>
      <c r="F570" s="1"/>
      <c r="G570" s="9"/>
      <c r="I570" s="4">
        <v>48</v>
      </c>
      <c r="J570" s="11">
        <v>823</v>
      </c>
      <c r="L570" s="12">
        <f t="shared" si="13"/>
        <v>2.9153998352122699</v>
      </c>
      <c r="M570" s="11">
        <f>GraphSalmonella!$B$10-(Salmonella!I570-GraphSalmonella!$B$6)/GraphSalmonella!$B$5</f>
        <v>1.5915970463309064</v>
      </c>
      <c r="N570" s="1" t="s">
        <v>580</v>
      </c>
      <c r="O570">
        <v>1970</v>
      </c>
      <c r="P570" t="s">
        <v>578</v>
      </c>
      <c r="S570" s="10">
        <f>GraphSalmonella!$B$57*Salmonella!I570+GraphSalmonella!$B$58</f>
        <v>1.0682064849429129</v>
      </c>
      <c r="T570" s="10">
        <f>GraphSalmonella!$E$57*Salmonella!I570+GraphSalmonella!$E$58</f>
        <v>3.7261582187918174</v>
      </c>
      <c r="U570" s="10">
        <f>GraphSalmonella!$H$57*Salmonella!I570+GraphSalmonella!$H$58</f>
        <v>1.5921643946898785</v>
      </c>
      <c r="X570" s="10">
        <f>GraphSalmonella!$B$80*Salmonella!I570+GraphSalmonella!$B$81</f>
        <v>1.5948623111306164</v>
      </c>
      <c r="Y570" s="10">
        <f>GraphSalmonella!$E$80*Salmonella!I570+GraphSalmonella!$E$81</f>
        <v>1.6219438092091254</v>
      </c>
      <c r="Z570" s="10">
        <f>GraphSalmonella!$H$80*Salmonella!I570+GraphSalmonella!$H$81</f>
        <v>1.4856696718752236</v>
      </c>
    </row>
    <row r="571" spans="1:26" x14ac:dyDescent="0.2">
      <c r="A571" s="1" t="s">
        <v>66</v>
      </c>
      <c r="B571" s="1" t="s">
        <v>67</v>
      </c>
      <c r="C571" t="s">
        <v>312</v>
      </c>
      <c r="D571" t="s">
        <v>44</v>
      </c>
      <c r="E571" s="1" t="s">
        <v>370</v>
      </c>
      <c r="F571" s="1"/>
      <c r="G571" s="9"/>
      <c r="I571" s="4">
        <v>50</v>
      </c>
      <c r="J571" s="11">
        <v>268</v>
      </c>
      <c r="K571" s="4">
        <v>6.8</v>
      </c>
      <c r="L571" s="12">
        <f t="shared" si="13"/>
        <v>2.428134794028789</v>
      </c>
      <c r="M571" s="11">
        <f>GraphSalmonella!$B$10-(Salmonella!I571-GraphSalmonella!$B$6)/GraphSalmonella!$B$5</f>
        <v>1.3715348625273336</v>
      </c>
      <c r="N571" s="1" t="s">
        <v>319</v>
      </c>
      <c r="O571">
        <v>2000</v>
      </c>
      <c r="P571" t="s">
        <v>507</v>
      </c>
      <c r="S571" s="10">
        <f>GraphSalmonella!$B$57*Salmonella!I571+GraphSalmonella!$B$58</f>
        <v>0.94862594282020174</v>
      </c>
      <c r="T571" s="10">
        <f>GraphSalmonella!$E$57*Salmonella!I571+GraphSalmonella!$E$58</f>
        <v>3.6279691750936842</v>
      </c>
      <c r="U571" s="10">
        <f>GraphSalmonella!$H$57*Salmonella!I571+GraphSalmonella!$H$58</f>
        <v>1.3721517487436703</v>
      </c>
      <c r="X571" s="10">
        <f>GraphSalmonella!$B$80*Salmonella!I571+GraphSalmonella!$B$81</f>
        <v>1.3746935517206698</v>
      </c>
      <c r="Y571" s="10">
        <f>GraphSalmonella!$E$80*Salmonella!I571+GraphSalmonella!$E$81</f>
        <v>1.3986851754626972</v>
      </c>
      <c r="Z571" s="10">
        <f>GraphSalmonella!$H$80*Salmonella!I571+GraphSalmonella!$H$81</f>
        <v>1.2273059454004667</v>
      </c>
    </row>
    <row r="572" spans="1:26" x14ac:dyDescent="0.2">
      <c r="A572" s="1" t="s">
        <v>66</v>
      </c>
      <c r="B572" s="1" t="s">
        <v>67</v>
      </c>
      <c r="C572" t="s">
        <v>312</v>
      </c>
      <c r="D572" t="s">
        <v>44</v>
      </c>
      <c r="E572" s="1" t="s">
        <v>370</v>
      </c>
      <c r="F572" s="1"/>
      <c r="G572" s="9"/>
      <c r="I572" s="4">
        <v>55</v>
      </c>
      <c r="J572" s="11">
        <v>36.200000000000003</v>
      </c>
      <c r="K572" s="4">
        <v>6.8</v>
      </c>
      <c r="L572" s="12">
        <f t="shared" si="13"/>
        <v>1.5587085705331658</v>
      </c>
      <c r="M572" s="11">
        <f>GraphSalmonella!$B$10-(Salmonella!I572-GraphSalmonella!$B$6)/GraphSalmonella!$B$5</f>
        <v>0.82137940301840184</v>
      </c>
      <c r="N572" s="1" t="s">
        <v>319</v>
      </c>
      <c r="O572">
        <v>2000</v>
      </c>
      <c r="P572" t="s">
        <v>507</v>
      </c>
      <c r="S572" s="10">
        <f>GraphSalmonella!$B$57*Salmonella!I572+GraphSalmonella!$B$58</f>
        <v>0.64967458751342466</v>
      </c>
      <c r="T572" s="10">
        <f>GraphSalmonella!$E$57*Salmonella!I572+GraphSalmonella!$E$58</f>
        <v>3.3824965658483515</v>
      </c>
      <c r="U572" s="10">
        <f>GraphSalmonella!$H$57*Salmonella!I572+GraphSalmonella!$H$58</f>
        <v>0.82212013387815031</v>
      </c>
      <c r="X572" s="10">
        <f>GraphSalmonella!$B$80*Salmonella!I572+GraphSalmonella!$B$81</f>
        <v>0.82427165319580453</v>
      </c>
      <c r="Y572" s="10">
        <f>GraphSalmonella!$E$80*Salmonella!I572+GraphSalmonella!$E$81</f>
        <v>0.84053859109662721</v>
      </c>
      <c r="Z572" s="10">
        <f>GraphSalmonella!$H$80*Salmonella!I572+GraphSalmonella!$H$81</f>
        <v>0.58139662921357438</v>
      </c>
    </row>
    <row r="573" spans="1:26" x14ac:dyDescent="0.2">
      <c r="A573" s="1" t="s">
        <v>66</v>
      </c>
      <c r="B573" s="1" t="s">
        <v>67</v>
      </c>
      <c r="C573" t="s">
        <v>312</v>
      </c>
      <c r="D573" t="s">
        <v>44</v>
      </c>
      <c r="E573" s="1" t="s">
        <v>370</v>
      </c>
      <c r="F573" s="1"/>
      <c r="G573" s="9"/>
      <c r="I573" s="4">
        <v>60</v>
      </c>
      <c r="J573" s="11">
        <v>6.3</v>
      </c>
      <c r="K573" s="4">
        <v>6.8</v>
      </c>
      <c r="L573" s="12">
        <f t="shared" si="13"/>
        <v>0.79934054945358168</v>
      </c>
      <c r="M573" s="11">
        <f>GraphSalmonella!$B$10-(Salmonella!I573-GraphSalmonella!$B$6)/GraphSalmonella!$B$5</f>
        <v>0.2712239435094701</v>
      </c>
      <c r="N573" s="1" t="s">
        <v>319</v>
      </c>
      <c r="O573">
        <v>2000</v>
      </c>
      <c r="P573" t="s">
        <v>507</v>
      </c>
      <c r="S573" s="10">
        <f>GraphSalmonella!$B$57*Salmonella!I573+GraphSalmonella!$B$58</f>
        <v>0.35072323220664714</v>
      </c>
      <c r="T573" s="10">
        <f>GraphSalmonella!$E$57*Salmonella!I573+GraphSalmonella!$E$58</f>
        <v>3.1370239566030182</v>
      </c>
      <c r="U573" s="10">
        <f>GraphSalmonella!$H$57*Salmonella!I573+GraphSalmonella!$H$58</f>
        <v>0.27208851901262943</v>
      </c>
      <c r="X573" s="10">
        <f>GraphSalmonella!$B$80*Salmonella!I573+GraphSalmonella!$B$81</f>
        <v>0.2738497546709393</v>
      </c>
      <c r="Y573" s="10">
        <f>GraphSalmonella!$E$80*Salmonella!I573+GraphSalmonella!$E$81</f>
        <v>0.2823920067305572</v>
      </c>
      <c r="Z573" s="10">
        <f>GraphSalmonella!$H$80*Salmonella!I573+GraphSalmonella!$H$81</f>
        <v>-6.4512686973317024E-2</v>
      </c>
    </row>
    <row r="574" spans="1:26" x14ac:dyDescent="0.2">
      <c r="A574" s="1" t="s">
        <v>66</v>
      </c>
      <c r="B574" s="1" t="s">
        <v>67</v>
      </c>
      <c r="D574" t="s">
        <v>44</v>
      </c>
      <c r="E574" s="1" t="s">
        <v>370</v>
      </c>
      <c r="F574" s="1"/>
      <c r="G574" s="9"/>
      <c r="I574" s="4">
        <v>60</v>
      </c>
      <c r="J574" s="11">
        <v>0.2</v>
      </c>
      <c r="L574" s="12">
        <f t="shared" si="13"/>
        <v>-0.69897000433601875</v>
      </c>
      <c r="M574" s="11">
        <f>GraphSalmonella!$B$10-(Salmonella!I574-GraphSalmonella!$B$6)/GraphSalmonella!$B$5</f>
        <v>0.2712239435094701</v>
      </c>
      <c r="N574" s="1" t="s">
        <v>580</v>
      </c>
      <c r="O574">
        <v>1970</v>
      </c>
      <c r="S574" s="10">
        <f>GraphSalmonella!$B$57*Salmonella!I574+GraphSalmonella!$B$58</f>
        <v>0.35072323220664714</v>
      </c>
      <c r="T574" s="10">
        <f>GraphSalmonella!$E$57*Salmonella!I574+GraphSalmonella!$E$58</f>
        <v>3.1370239566030182</v>
      </c>
      <c r="U574" s="10">
        <f>GraphSalmonella!$H$57*Salmonella!I574+GraphSalmonella!$H$58</f>
        <v>0.27208851901262943</v>
      </c>
      <c r="X574" s="10">
        <f>GraphSalmonella!$B$80*Salmonella!I574+GraphSalmonella!$B$81</f>
        <v>0.2738497546709393</v>
      </c>
      <c r="Y574" s="10">
        <f>GraphSalmonella!$E$80*Salmonella!I574+GraphSalmonella!$E$81</f>
        <v>0.2823920067305572</v>
      </c>
      <c r="Z574" s="10">
        <f>GraphSalmonella!$H$80*Salmonella!I574+GraphSalmonella!$H$81</f>
        <v>-6.4512686973317024E-2</v>
      </c>
    </row>
    <row r="575" spans="1:26" x14ac:dyDescent="0.2">
      <c r="A575" s="1" t="s">
        <v>66</v>
      </c>
      <c r="B575" s="1" t="s">
        <v>67</v>
      </c>
      <c r="D575" t="s">
        <v>44</v>
      </c>
      <c r="E575" s="1" t="s">
        <v>370</v>
      </c>
      <c r="F575" s="1"/>
      <c r="G575" s="9"/>
      <c r="I575" s="4">
        <v>60</v>
      </c>
      <c r="J575" s="11">
        <v>6.5</v>
      </c>
      <c r="L575" s="12">
        <f t="shared" si="13"/>
        <v>0.81291335664285558</v>
      </c>
      <c r="M575" s="11">
        <f>GraphSalmonella!$B$10-(Salmonella!I575-GraphSalmonella!$B$6)/GraphSalmonella!$B$5</f>
        <v>0.2712239435094701</v>
      </c>
      <c r="N575" s="1" t="s">
        <v>580</v>
      </c>
      <c r="O575">
        <v>1970</v>
      </c>
      <c r="S575" s="10">
        <f>GraphSalmonella!$B$57*Salmonella!I575+GraphSalmonella!$B$58</f>
        <v>0.35072323220664714</v>
      </c>
      <c r="T575" s="10">
        <f>GraphSalmonella!$E$57*Salmonella!I575+GraphSalmonella!$E$58</f>
        <v>3.1370239566030182</v>
      </c>
      <c r="U575" s="10">
        <f>GraphSalmonella!$H$57*Salmonella!I575+GraphSalmonella!$H$58</f>
        <v>0.27208851901262943</v>
      </c>
      <c r="X575" s="10">
        <f>GraphSalmonella!$B$80*Salmonella!I575+GraphSalmonella!$B$81</f>
        <v>0.2738497546709393</v>
      </c>
      <c r="Y575" s="10">
        <f>GraphSalmonella!$E$80*Salmonella!I575+GraphSalmonella!$E$81</f>
        <v>0.2823920067305572</v>
      </c>
      <c r="Z575" s="10">
        <f>GraphSalmonella!$H$80*Salmonella!I575+GraphSalmonella!$H$81</f>
        <v>-6.4512686973317024E-2</v>
      </c>
    </row>
    <row r="576" spans="1:26" x14ac:dyDescent="0.2">
      <c r="A576" s="1" t="s">
        <v>66</v>
      </c>
      <c r="B576" s="1" t="s">
        <v>117</v>
      </c>
      <c r="D576" t="s">
        <v>44</v>
      </c>
      <c r="E576" s="1" t="s">
        <v>370</v>
      </c>
      <c r="F576" s="1"/>
      <c r="G576" s="9"/>
      <c r="I576" s="4">
        <v>60</v>
      </c>
      <c r="J576" s="11">
        <v>0.4</v>
      </c>
      <c r="L576" s="12">
        <f t="shared" si="13"/>
        <v>-0.3979400086720376</v>
      </c>
      <c r="M576" s="11">
        <f>GraphSalmonella!$B$10-(Salmonella!I576-GraphSalmonella!$B$6)/GraphSalmonella!$B$5</f>
        <v>0.2712239435094701</v>
      </c>
      <c r="N576" s="1" t="s">
        <v>580</v>
      </c>
      <c r="O576">
        <v>1970</v>
      </c>
      <c r="S576" s="10">
        <f>GraphSalmonella!$B$57*Salmonella!I576+GraphSalmonella!$B$58</f>
        <v>0.35072323220664714</v>
      </c>
      <c r="T576" s="10">
        <f>GraphSalmonella!$E$57*Salmonella!I576+GraphSalmonella!$E$58</f>
        <v>3.1370239566030182</v>
      </c>
      <c r="U576" s="10">
        <f>GraphSalmonella!$H$57*Salmonella!I576+GraphSalmonella!$H$58</f>
        <v>0.27208851901262943</v>
      </c>
      <c r="X576" s="10">
        <f>GraphSalmonella!$B$80*Salmonella!I576+GraphSalmonella!$B$81</f>
        <v>0.2738497546709393</v>
      </c>
      <c r="Y576" s="10">
        <f>GraphSalmonella!$E$80*Salmonella!I576+GraphSalmonella!$E$81</f>
        <v>0.2823920067305572</v>
      </c>
      <c r="Z576" s="10">
        <f>GraphSalmonella!$H$80*Salmonella!I576+GraphSalmonella!$H$81</f>
        <v>-6.4512686973317024E-2</v>
      </c>
    </row>
    <row r="577" spans="1:26" x14ac:dyDescent="0.2">
      <c r="A577" s="1" t="s">
        <v>66</v>
      </c>
      <c r="B577" s="1" t="s">
        <v>117</v>
      </c>
      <c r="D577" t="s">
        <v>44</v>
      </c>
      <c r="E577" s="1" t="s">
        <v>370</v>
      </c>
      <c r="F577" s="1"/>
      <c r="G577" s="9"/>
      <c r="I577" s="4">
        <v>60</v>
      </c>
      <c r="J577" s="11">
        <v>0.5</v>
      </c>
      <c r="L577" s="12">
        <f t="shared" si="13"/>
        <v>-0.3010299956639812</v>
      </c>
      <c r="M577" s="11">
        <f>GraphSalmonella!$B$10-(Salmonella!I577-GraphSalmonella!$B$6)/GraphSalmonella!$B$5</f>
        <v>0.2712239435094701</v>
      </c>
      <c r="N577" s="1" t="s">
        <v>580</v>
      </c>
      <c r="O577">
        <v>1970</v>
      </c>
      <c r="S577" s="10">
        <f>GraphSalmonella!$B$57*Salmonella!I577+GraphSalmonella!$B$58</f>
        <v>0.35072323220664714</v>
      </c>
      <c r="T577" s="10">
        <f>GraphSalmonella!$E$57*Salmonella!I577+GraphSalmonella!$E$58</f>
        <v>3.1370239566030182</v>
      </c>
      <c r="U577" s="10">
        <f>GraphSalmonella!$H$57*Salmonella!I577+GraphSalmonella!$H$58</f>
        <v>0.27208851901262943</v>
      </c>
      <c r="X577" s="10">
        <f>GraphSalmonella!$B$80*Salmonella!I577+GraphSalmonella!$B$81</f>
        <v>0.2738497546709393</v>
      </c>
      <c r="Y577" s="10">
        <f>GraphSalmonella!$E$80*Salmonella!I577+GraphSalmonella!$E$81</f>
        <v>0.2823920067305572</v>
      </c>
      <c r="Z577" s="10">
        <f>GraphSalmonella!$H$80*Salmonella!I577+GraphSalmonella!$H$81</f>
        <v>-6.4512686973317024E-2</v>
      </c>
    </row>
    <row r="578" spans="1:26" x14ac:dyDescent="0.2">
      <c r="A578" s="1" t="s">
        <v>66</v>
      </c>
      <c r="B578" s="1" t="s">
        <v>70</v>
      </c>
      <c r="D578" t="s">
        <v>44</v>
      </c>
      <c r="E578" s="1" t="s">
        <v>370</v>
      </c>
      <c r="F578" s="1"/>
      <c r="G578" s="9"/>
      <c r="I578" s="4">
        <v>60</v>
      </c>
      <c r="J578" s="11">
        <v>0.2</v>
      </c>
      <c r="L578" s="12">
        <f t="shared" si="13"/>
        <v>-0.69897000433601875</v>
      </c>
      <c r="M578" s="11">
        <f>GraphSalmonella!$B$10-(Salmonella!I578-GraphSalmonella!$B$6)/GraphSalmonella!$B$5</f>
        <v>0.2712239435094701</v>
      </c>
      <c r="N578" s="1" t="s">
        <v>580</v>
      </c>
      <c r="O578">
        <v>1970</v>
      </c>
      <c r="S578" s="10">
        <f>GraphSalmonella!$B$57*Salmonella!I578+GraphSalmonella!$B$58</f>
        <v>0.35072323220664714</v>
      </c>
      <c r="T578" s="10">
        <f>GraphSalmonella!$E$57*Salmonella!I578+GraphSalmonella!$E$58</f>
        <v>3.1370239566030182</v>
      </c>
      <c r="U578" s="10">
        <f>GraphSalmonella!$H$57*Salmonella!I578+GraphSalmonella!$H$58</f>
        <v>0.27208851901262943</v>
      </c>
      <c r="X578" s="10">
        <f>GraphSalmonella!$B$80*Salmonella!I578+GraphSalmonella!$B$81</f>
        <v>0.2738497546709393</v>
      </c>
      <c r="Y578" s="10">
        <f>GraphSalmonella!$E$80*Salmonella!I578+GraphSalmonella!$E$81</f>
        <v>0.2823920067305572</v>
      </c>
      <c r="Z578" s="10">
        <f>GraphSalmonella!$H$80*Salmonella!I578+GraphSalmonella!$H$81</f>
        <v>-6.4512686973317024E-2</v>
      </c>
    </row>
    <row r="579" spans="1:26" x14ac:dyDescent="0.2">
      <c r="A579" s="1" t="s">
        <v>66</v>
      </c>
      <c r="B579" s="1" t="s">
        <v>70</v>
      </c>
      <c r="D579" t="s">
        <v>44</v>
      </c>
      <c r="E579" s="1" t="s">
        <v>370</v>
      </c>
      <c r="F579" s="1"/>
      <c r="G579" s="9"/>
      <c r="I579" s="4">
        <v>60</v>
      </c>
      <c r="J579" s="11">
        <v>0.9</v>
      </c>
      <c r="L579" s="12">
        <f t="shared" si="13"/>
        <v>-4.5757490560675115E-2</v>
      </c>
      <c r="M579" s="11">
        <f>GraphSalmonella!$B$10-(Salmonella!I579-GraphSalmonella!$B$6)/GraphSalmonella!$B$5</f>
        <v>0.2712239435094701</v>
      </c>
      <c r="N579" s="1" t="s">
        <v>580</v>
      </c>
      <c r="O579">
        <v>1970</v>
      </c>
      <c r="S579" s="10">
        <f>GraphSalmonella!$B$57*Salmonella!I579+GraphSalmonella!$B$58</f>
        <v>0.35072323220664714</v>
      </c>
      <c r="T579" s="10">
        <f>GraphSalmonella!$E$57*Salmonella!I579+GraphSalmonella!$E$58</f>
        <v>3.1370239566030182</v>
      </c>
      <c r="U579" s="10">
        <f>GraphSalmonella!$H$57*Salmonella!I579+GraphSalmonella!$H$58</f>
        <v>0.27208851901262943</v>
      </c>
      <c r="X579" s="10">
        <f>GraphSalmonella!$B$80*Salmonella!I579+GraphSalmonella!$B$81</f>
        <v>0.2738497546709393</v>
      </c>
      <c r="Y579" s="10">
        <f>GraphSalmonella!$E$80*Salmonella!I579+GraphSalmonella!$E$81</f>
        <v>0.2823920067305572</v>
      </c>
      <c r="Z579" s="10">
        <f>GraphSalmonella!$H$80*Salmonella!I579+GraphSalmonella!$H$81</f>
        <v>-6.4512686973317024E-2</v>
      </c>
    </row>
    <row r="580" spans="1:26" x14ac:dyDescent="0.2">
      <c r="A580" s="1" t="s">
        <v>66</v>
      </c>
      <c r="B580" s="1" t="s">
        <v>80</v>
      </c>
      <c r="D580" t="s">
        <v>44</v>
      </c>
      <c r="E580" s="1" t="s">
        <v>99</v>
      </c>
      <c r="G580" s="11" t="s">
        <v>520</v>
      </c>
      <c r="H580" s="4">
        <v>7.4</v>
      </c>
      <c r="I580" s="4">
        <v>60</v>
      </c>
      <c r="J580" s="11">
        <v>0.4</v>
      </c>
      <c r="L580" s="12">
        <f t="shared" si="13"/>
        <v>-0.3979400086720376</v>
      </c>
      <c r="M580" s="11">
        <f>GraphSalmonella!$B$10-(Salmonella!I580-GraphSalmonella!$B$6)/GraphSalmonella!$B$5</f>
        <v>0.2712239435094701</v>
      </c>
      <c r="N580" s="2" t="s">
        <v>1226</v>
      </c>
      <c r="O580">
        <v>1996</v>
      </c>
      <c r="S580" s="10">
        <f>GraphSalmonella!$B$57*Salmonella!I580+GraphSalmonella!$B$58</f>
        <v>0.35072323220664714</v>
      </c>
      <c r="T580" s="10">
        <f>GraphSalmonella!$E$57*Salmonella!I580+GraphSalmonella!$E$58</f>
        <v>3.1370239566030182</v>
      </c>
      <c r="U580" s="10">
        <f>GraphSalmonella!$H$57*Salmonella!I580+GraphSalmonella!$H$58</f>
        <v>0.27208851901262943</v>
      </c>
      <c r="X580" s="10">
        <f>GraphSalmonella!$B$80*Salmonella!I580+GraphSalmonella!$B$81</f>
        <v>0.2738497546709393</v>
      </c>
      <c r="Y580" s="10">
        <f>GraphSalmonella!$E$80*Salmonella!I580+GraphSalmonella!$E$81</f>
        <v>0.2823920067305572</v>
      </c>
      <c r="Z580" s="10">
        <f>GraphSalmonella!$H$80*Salmonella!I580+GraphSalmonella!$H$81</f>
        <v>-6.4512686973317024E-2</v>
      </c>
    </row>
    <row r="581" spans="1:26" x14ac:dyDescent="0.2">
      <c r="A581" s="1" t="s">
        <v>66</v>
      </c>
      <c r="B581" s="1" t="s">
        <v>80</v>
      </c>
      <c r="D581" t="s">
        <v>44</v>
      </c>
      <c r="E581" s="1" t="s">
        <v>99</v>
      </c>
      <c r="G581" s="11" t="s">
        <v>520</v>
      </c>
      <c r="H581" s="4">
        <v>7.4</v>
      </c>
      <c r="I581" s="4">
        <v>60</v>
      </c>
      <c r="J581" s="11">
        <v>0.9</v>
      </c>
      <c r="L581" s="12">
        <f t="shared" si="13"/>
        <v>-4.5757490560675115E-2</v>
      </c>
      <c r="M581" s="11">
        <f>GraphSalmonella!$B$10-(Salmonella!I581-GraphSalmonella!$B$6)/GraphSalmonella!$B$5</f>
        <v>0.2712239435094701</v>
      </c>
      <c r="N581" s="2" t="s">
        <v>1226</v>
      </c>
      <c r="O581">
        <v>1996</v>
      </c>
      <c r="S581" s="10">
        <f>GraphSalmonella!$B$57*Salmonella!I581+GraphSalmonella!$B$58</f>
        <v>0.35072323220664714</v>
      </c>
      <c r="T581" s="10">
        <f>GraphSalmonella!$E$57*Salmonella!I581+GraphSalmonella!$E$58</f>
        <v>3.1370239566030182</v>
      </c>
      <c r="U581" s="10">
        <f>GraphSalmonella!$H$57*Salmonella!I581+GraphSalmonella!$H$58</f>
        <v>0.27208851901262943</v>
      </c>
      <c r="X581" s="10">
        <f>GraphSalmonella!$B$80*Salmonella!I581+GraphSalmonella!$B$81</f>
        <v>0.2738497546709393</v>
      </c>
      <c r="Y581" s="10">
        <f>GraphSalmonella!$E$80*Salmonella!I581+GraphSalmonella!$E$81</f>
        <v>0.2823920067305572</v>
      </c>
      <c r="Z581" s="10">
        <f>GraphSalmonella!$H$80*Salmonella!I581+GraphSalmonella!$H$81</f>
        <v>-6.4512686973317024E-2</v>
      </c>
    </row>
    <row r="582" spans="1:26" x14ac:dyDescent="0.2">
      <c r="A582" s="1" t="s">
        <v>66</v>
      </c>
      <c r="B582" s="1" t="s">
        <v>96</v>
      </c>
      <c r="C582" t="s">
        <v>97</v>
      </c>
      <c r="D582" t="s">
        <v>44</v>
      </c>
      <c r="E582" s="1" t="s">
        <v>99</v>
      </c>
      <c r="G582" s="11" t="s">
        <v>514</v>
      </c>
      <c r="H582" s="4">
        <v>7.4</v>
      </c>
      <c r="I582" s="4">
        <v>60</v>
      </c>
      <c r="J582" s="11">
        <v>2.2999999999999998</v>
      </c>
      <c r="L582" s="12">
        <f t="shared" si="13"/>
        <v>0.36172783601759284</v>
      </c>
      <c r="M582" s="11">
        <f>GraphSalmonella!$B$10-(Salmonella!I582-GraphSalmonella!$B$6)/GraphSalmonella!$B$5</f>
        <v>0.2712239435094701</v>
      </c>
      <c r="N582" s="2" t="s">
        <v>1226</v>
      </c>
      <c r="O582">
        <v>1996</v>
      </c>
      <c r="S582" s="10">
        <f>GraphSalmonella!$B$57*Salmonella!I582+GraphSalmonella!$B$58</f>
        <v>0.35072323220664714</v>
      </c>
      <c r="T582" s="10">
        <f>GraphSalmonella!$E$57*Salmonella!I582+GraphSalmonella!$E$58</f>
        <v>3.1370239566030182</v>
      </c>
      <c r="U582" s="10">
        <f>GraphSalmonella!$H$57*Salmonella!I582+GraphSalmonella!$H$58</f>
        <v>0.27208851901262943</v>
      </c>
      <c r="X582" s="10">
        <f>GraphSalmonella!$B$80*Salmonella!I582+GraphSalmonella!$B$81</f>
        <v>0.2738497546709393</v>
      </c>
      <c r="Y582" s="10">
        <f>GraphSalmonella!$E$80*Salmonella!I582+GraphSalmonella!$E$81</f>
        <v>0.2823920067305572</v>
      </c>
      <c r="Z582" s="10">
        <f>GraphSalmonella!$H$80*Salmonella!I582+GraphSalmonella!$H$81</f>
        <v>-6.4512686973317024E-2</v>
      </c>
    </row>
    <row r="583" spans="1:26" x14ac:dyDescent="0.2">
      <c r="A583" s="1" t="s">
        <v>66</v>
      </c>
      <c r="B583" s="1" t="s">
        <v>96</v>
      </c>
      <c r="C583" t="s">
        <v>97</v>
      </c>
      <c r="D583" t="s">
        <v>44</v>
      </c>
      <c r="E583" s="1" t="s">
        <v>99</v>
      </c>
      <c r="F583" s="1"/>
      <c r="G583" s="11" t="s">
        <v>513</v>
      </c>
      <c r="H583" s="4">
        <v>7.4</v>
      </c>
      <c r="I583" s="4">
        <v>60</v>
      </c>
      <c r="J583" s="11">
        <v>2.1</v>
      </c>
      <c r="L583" s="12">
        <f t="shared" si="13"/>
        <v>0.3222192947339193</v>
      </c>
      <c r="M583" s="11">
        <f>GraphSalmonella!$B$10-(Salmonella!I583-GraphSalmonella!$B$6)/GraphSalmonella!$B$5</f>
        <v>0.2712239435094701</v>
      </c>
      <c r="N583" s="2" t="s">
        <v>1226</v>
      </c>
      <c r="O583">
        <v>1996</v>
      </c>
      <c r="S583" s="10">
        <f>GraphSalmonella!$B$57*Salmonella!I583+GraphSalmonella!$B$58</f>
        <v>0.35072323220664714</v>
      </c>
      <c r="T583" s="10">
        <f>GraphSalmonella!$E$57*Salmonella!I583+GraphSalmonella!$E$58</f>
        <v>3.1370239566030182</v>
      </c>
      <c r="U583" s="10">
        <f>GraphSalmonella!$H$57*Salmonella!I583+GraphSalmonella!$H$58</f>
        <v>0.27208851901262943</v>
      </c>
      <c r="X583" s="10">
        <f>GraphSalmonella!$B$80*Salmonella!I583+GraphSalmonella!$B$81</f>
        <v>0.2738497546709393</v>
      </c>
      <c r="Y583" s="10">
        <f>GraphSalmonella!$E$80*Salmonella!I583+GraphSalmonella!$E$81</f>
        <v>0.2823920067305572</v>
      </c>
      <c r="Z583" s="10">
        <f>GraphSalmonella!$H$80*Salmonella!I583+GraphSalmonella!$H$81</f>
        <v>-6.4512686973317024E-2</v>
      </c>
    </row>
    <row r="584" spans="1:26" x14ac:dyDescent="0.2">
      <c r="A584" s="1" t="s">
        <v>66</v>
      </c>
      <c r="B584" s="1" t="s">
        <v>96</v>
      </c>
      <c r="C584" t="s">
        <v>97</v>
      </c>
      <c r="D584" t="s">
        <v>44</v>
      </c>
      <c r="E584" s="1" t="s">
        <v>99</v>
      </c>
      <c r="G584" s="11" t="s">
        <v>513</v>
      </c>
      <c r="H584" s="4">
        <v>7.4</v>
      </c>
      <c r="I584" s="4">
        <v>60</v>
      </c>
      <c r="J584" s="11">
        <v>2.2999999999999998</v>
      </c>
      <c r="L584" s="12">
        <f t="shared" si="13"/>
        <v>0.36172783601759284</v>
      </c>
      <c r="M584" s="11">
        <f>GraphSalmonella!$B$10-(Salmonella!I584-GraphSalmonella!$B$6)/GraphSalmonella!$B$5</f>
        <v>0.2712239435094701</v>
      </c>
      <c r="N584" s="2" t="s">
        <v>1226</v>
      </c>
      <c r="O584">
        <v>1996</v>
      </c>
      <c r="S584" s="10">
        <f>GraphSalmonella!$B$57*Salmonella!I584+GraphSalmonella!$B$58</f>
        <v>0.35072323220664714</v>
      </c>
      <c r="T584" s="10">
        <f>GraphSalmonella!$E$57*Salmonella!I584+GraphSalmonella!$E$58</f>
        <v>3.1370239566030182</v>
      </c>
      <c r="U584" s="10">
        <f>GraphSalmonella!$H$57*Salmonella!I584+GraphSalmonella!$H$58</f>
        <v>0.27208851901262943</v>
      </c>
      <c r="X584" s="10">
        <f>GraphSalmonella!$B$80*Salmonella!I584+GraphSalmonella!$B$81</f>
        <v>0.2738497546709393</v>
      </c>
      <c r="Y584" s="10">
        <f>GraphSalmonella!$E$80*Salmonella!I584+GraphSalmonella!$E$81</f>
        <v>0.2823920067305572</v>
      </c>
      <c r="Z584" s="10">
        <f>GraphSalmonella!$H$80*Salmonella!I584+GraphSalmonella!$H$81</f>
        <v>-6.4512686973317024E-2</v>
      </c>
    </row>
    <row r="585" spans="1:26" x14ac:dyDescent="0.2">
      <c r="A585" s="1" t="s">
        <v>66</v>
      </c>
      <c r="B585" s="1" t="s">
        <v>96</v>
      </c>
      <c r="C585" s="1" t="s">
        <v>97</v>
      </c>
      <c r="D585" t="s">
        <v>44</v>
      </c>
      <c r="E585" s="1" t="s">
        <v>99</v>
      </c>
      <c r="G585" s="11" t="s">
        <v>513</v>
      </c>
      <c r="H585" s="4">
        <v>7.4</v>
      </c>
      <c r="I585" s="4">
        <v>60</v>
      </c>
      <c r="J585" s="11">
        <v>46.7</v>
      </c>
      <c r="L585" s="12">
        <f t="shared" si="13"/>
        <v>1.6693168805661123</v>
      </c>
      <c r="M585" s="11">
        <f>GraphSalmonella!$B$10-(Salmonella!I585-GraphSalmonella!$B$6)/GraphSalmonella!$B$5</f>
        <v>0.2712239435094701</v>
      </c>
      <c r="N585" s="2" t="s">
        <v>1226</v>
      </c>
      <c r="O585">
        <v>1996</v>
      </c>
      <c r="S585" s="10">
        <f>GraphSalmonella!$B$57*Salmonella!I585+GraphSalmonella!$B$58</f>
        <v>0.35072323220664714</v>
      </c>
      <c r="T585" s="10">
        <f>GraphSalmonella!$E$57*Salmonella!I585+GraphSalmonella!$E$58</f>
        <v>3.1370239566030182</v>
      </c>
      <c r="U585" s="10">
        <f>GraphSalmonella!$H$57*Salmonella!I585+GraphSalmonella!$H$58</f>
        <v>0.27208851901262943</v>
      </c>
      <c r="X585" s="10">
        <f>GraphSalmonella!$B$80*Salmonella!I585+GraphSalmonella!$B$81</f>
        <v>0.2738497546709393</v>
      </c>
      <c r="Y585" s="10">
        <f>GraphSalmonella!$E$80*Salmonella!I585+GraphSalmonella!$E$81</f>
        <v>0.2823920067305572</v>
      </c>
      <c r="Z585" s="10">
        <f>GraphSalmonella!$H$80*Salmonella!I585+GraphSalmonella!$H$81</f>
        <v>-6.4512686973317024E-2</v>
      </c>
    </row>
    <row r="586" spans="1:26" x14ac:dyDescent="0.2">
      <c r="A586" s="1" t="s">
        <v>66</v>
      </c>
      <c r="B586" s="1" t="s">
        <v>96</v>
      </c>
      <c r="C586" t="s">
        <v>97</v>
      </c>
      <c r="D586" t="s">
        <v>44</v>
      </c>
      <c r="E586" s="1" t="s">
        <v>99</v>
      </c>
      <c r="F586" s="1"/>
      <c r="G586" s="11" t="s">
        <v>521</v>
      </c>
      <c r="H586" s="4">
        <v>7.4</v>
      </c>
      <c r="I586" s="4">
        <v>60</v>
      </c>
      <c r="J586" s="11">
        <v>1.9</v>
      </c>
      <c r="L586" s="12">
        <f t="shared" si="13"/>
        <v>0.27875360095282892</v>
      </c>
      <c r="M586" s="11">
        <f>GraphSalmonella!$B$10-(Salmonella!I586-GraphSalmonella!$B$6)/GraphSalmonella!$B$5</f>
        <v>0.2712239435094701</v>
      </c>
      <c r="N586" s="2" t="s">
        <v>1226</v>
      </c>
      <c r="O586">
        <v>1996</v>
      </c>
      <c r="S586" s="10">
        <f>GraphSalmonella!$B$57*Salmonella!I586+GraphSalmonella!$B$58</f>
        <v>0.35072323220664714</v>
      </c>
      <c r="T586" s="10">
        <f>GraphSalmonella!$E$57*Salmonella!I586+GraphSalmonella!$E$58</f>
        <v>3.1370239566030182</v>
      </c>
      <c r="U586" s="10">
        <f>GraphSalmonella!$H$57*Salmonella!I586+GraphSalmonella!$H$58</f>
        <v>0.27208851901262943</v>
      </c>
      <c r="X586" s="10">
        <f>GraphSalmonella!$B$80*Salmonella!I586+GraphSalmonella!$B$81</f>
        <v>0.2738497546709393</v>
      </c>
      <c r="Y586" s="10">
        <f>GraphSalmonella!$E$80*Salmonella!I586+GraphSalmonella!$E$81</f>
        <v>0.2823920067305572</v>
      </c>
      <c r="Z586" s="10">
        <f>GraphSalmonella!$H$80*Salmonella!I586+GraphSalmonella!$H$81</f>
        <v>-6.4512686973317024E-2</v>
      </c>
    </row>
    <row r="587" spans="1:26" x14ac:dyDescent="0.2">
      <c r="A587" s="1" t="s">
        <v>66</v>
      </c>
      <c r="B587" s="1" t="s">
        <v>96</v>
      </c>
      <c r="C587" t="s">
        <v>97</v>
      </c>
      <c r="D587" t="s">
        <v>44</v>
      </c>
      <c r="E587" s="1" t="s">
        <v>99</v>
      </c>
      <c r="G587" s="11" t="s">
        <v>521</v>
      </c>
      <c r="H587" s="4">
        <v>7.4</v>
      </c>
      <c r="I587" s="4">
        <v>60</v>
      </c>
      <c r="J587" s="11">
        <v>2.6</v>
      </c>
      <c r="L587" s="12">
        <f t="shared" si="13"/>
        <v>0.41497334797081797</v>
      </c>
      <c r="M587" s="11">
        <f>GraphSalmonella!$B$10-(Salmonella!I587-GraphSalmonella!$B$6)/GraphSalmonella!$B$5</f>
        <v>0.2712239435094701</v>
      </c>
      <c r="N587" s="2" t="s">
        <v>1226</v>
      </c>
      <c r="O587">
        <v>1996</v>
      </c>
      <c r="S587" s="10">
        <f>GraphSalmonella!$B$57*Salmonella!I587+GraphSalmonella!$B$58</f>
        <v>0.35072323220664714</v>
      </c>
      <c r="T587" s="10">
        <f>GraphSalmonella!$E$57*Salmonella!I587+GraphSalmonella!$E$58</f>
        <v>3.1370239566030182</v>
      </c>
      <c r="U587" s="10">
        <f>GraphSalmonella!$H$57*Salmonella!I587+GraphSalmonella!$H$58</f>
        <v>0.27208851901262943</v>
      </c>
      <c r="X587" s="10">
        <f>GraphSalmonella!$B$80*Salmonella!I587+GraphSalmonella!$B$81</f>
        <v>0.2738497546709393</v>
      </c>
      <c r="Y587" s="10">
        <f>GraphSalmonella!$E$80*Salmonella!I587+GraphSalmonella!$E$81</f>
        <v>0.2823920067305572</v>
      </c>
      <c r="Z587" s="10">
        <f>GraphSalmonella!$H$80*Salmonella!I587+GraphSalmonella!$H$81</f>
        <v>-6.4512686973317024E-2</v>
      </c>
    </row>
    <row r="588" spans="1:26" x14ac:dyDescent="0.2">
      <c r="A588" s="1" t="s">
        <v>66</v>
      </c>
      <c r="B588" s="1" t="s">
        <v>96</v>
      </c>
      <c r="C588" s="1" t="s">
        <v>97</v>
      </c>
      <c r="D588" t="s">
        <v>44</v>
      </c>
      <c r="E588" s="1" t="s">
        <v>99</v>
      </c>
      <c r="G588" s="11" t="s">
        <v>521</v>
      </c>
      <c r="H588" s="4">
        <v>7.4</v>
      </c>
      <c r="I588" s="4">
        <v>60</v>
      </c>
      <c r="J588" s="11">
        <v>46.3</v>
      </c>
      <c r="L588" s="12">
        <f t="shared" si="13"/>
        <v>1.6655809910179531</v>
      </c>
      <c r="M588" s="11">
        <f>GraphSalmonella!$B$10-(Salmonella!I588-GraphSalmonella!$B$6)/GraphSalmonella!$B$5</f>
        <v>0.2712239435094701</v>
      </c>
      <c r="N588" s="2" t="s">
        <v>1226</v>
      </c>
      <c r="O588">
        <v>1996</v>
      </c>
      <c r="S588" s="10">
        <f>GraphSalmonella!$B$57*Salmonella!I588+GraphSalmonella!$B$58</f>
        <v>0.35072323220664714</v>
      </c>
      <c r="T588" s="10">
        <f>GraphSalmonella!$E$57*Salmonella!I588+GraphSalmonella!$E$58</f>
        <v>3.1370239566030182</v>
      </c>
      <c r="U588" s="10">
        <f>GraphSalmonella!$H$57*Salmonella!I588+GraphSalmonella!$H$58</f>
        <v>0.27208851901262943</v>
      </c>
      <c r="X588" s="10">
        <f>GraphSalmonella!$B$80*Salmonella!I588+GraphSalmonella!$B$81</f>
        <v>0.2738497546709393</v>
      </c>
      <c r="Y588" s="10">
        <f>GraphSalmonella!$E$80*Salmonella!I588+GraphSalmonella!$E$81</f>
        <v>0.2823920067305572</v>
      </c>
      <c r="Z588" s="10">
        <f>GraphSalmonella!$H$80*Salmonella!I588+GraphSalmonella!$H$81</f>
        <v>-6.4512686973317024E-2</v>
      </c>
    </row>
    <row r="589" spans="1:26" x14ac:dyDescent="0.2">
      <c r="A589" s="1" t="s">
        <v>66</v>
      </c>
      <c r="B589" s="1" t="s">
        <v>96</v>
      </c>
      <c r="C589" t="s">
        <v>97</v>
      </c>
      <c r="D589" t="s">
        <v>44</v>
      </c>
      <c r="E589" s="1" t="s">
        <v>99</v>
      </c>
      <c r="F589" s="1"/>
      <c r="G589" s="11" t="s">
        <v>512</v>
      </c>
      <c r="H589" s="4">
        <v>7.4</v>
      </c>
      <c r="I589" s="4">
        <v>60</v>
      </c>
      <c r="J589" s="9">
        <v>2</v>
      </c>
      <c r="K589" s="5"/>
      <c r="L589" s="12">
        <f t="shared" si="13"/>
        <v>0.3010299956639812</v>
      </c>
      <c r="M589" s="11">
        <f>GraphSalmonella!$B$10-(Salmonella!I589-GraphSalmonella!$B$6)/GraphSalmonella!$B$5</f>
        <v>0.2712239435094701</v>
      </c>
      <c r="N589" s="2" t="s">
        <v>1226</v>
      </c>
      <c r="O589">
        <v>1996</v>
      </c>
      <c r="S589" s="10">
        <f>GraphSalmonella!$B$57*Salmonella!I589+GraphSalmonella!$B$58</f>
        <v>0.35072323220664714</v>
      </c>
      <c r="T589" s="10">
        <f>GraphSalmonella!$E$57*Salmonella!I589+GraphSalmonella!$E$58</f>
        <v>3.1370239566030182</v>
      </c>
      <c r="U589" s="10">
        <f>GraphSalmonella!$H$57*Salmonella!I589+GraphSalmonella!$H$58</f>
        <v>0.27208851901262943</v>
      </c>
      <c r="X589" s="10">
        <f>GraphSalmonella!$B$80*Salmonella!I589+GraphSalmonella!$B$81</f>
        <v>0.2738497546709393</v>
      </c>
      <c r="Y589" s="10">
        <f>GraphSalmonella!$E$80*Salmonella!I589+GraphSalmonella!$E$81</f>
        <v>0.2823920067305572</v>
      </c>
      <c r="Z589" s="10">
        <f>GraphSalmonella!$H$80*Salmonella!I589+GraphSalmonella!$H$81</f>
        <v>-6.4512686973317024E-2</v>
      </c>
    </row>
    <row r="590" spans="1:26" x14ac:dyDescent="0.2">
      <c r="A590" s="1" t="s">
        <v>66</v>
      </c>
      <c r="B590" s="1" t="s">
        <v>96</v>
      </c>
      <c r="C590" t="s">
        <v>97</v>
      </c>
      <c r="D590" t="s">
        <v>44</v>
      </c>
      <c r="E590" s="1" t="s">
        <v>99</v>
      </c>
      <c r="G590" s="11" t="s">
        <v>512</v>
      </c>
      <c r="H590" s="4">
        <v>7.4</v>
      </c>
      <c r="I590" s="4">
        <v>60</v>
      </c>
      <c r="J590" s="11">
        <v>3.8</v>
      </c>
      <c r="L590" s="12">
        <f t="shared" si="13"/>
        <v>0.57978359661681012</v>
      </c>
      <c r="M590" s="11">
        <f>GraphSalmonella!$B$10-(Salmonella!I590-GraphSalmonella!$B$6)/GraphSalmonella!$B$5</f>
        <v>0.2712239435094701</v>
      </c>
      <c r="N590" s="2" t="s">
        <v>1226</v>
      </c>
      <c r="O590">
        <v>1996</v>
      </c>
      <c r="S590" s="10">
        <f>GraphSalmonella!$B$57*Salmonella!I590+GraphSalmonella!$B$58</f>
        <v>0.35072323220664714</v>
      </c>
      <c r="T590" s="10">
        <f>GraphSalmonella!$E$57*Salmonella!I590+GraphSalmonella!$E$58</f>
        <v>3.1370239566030182</v>
      </c>
      <c r="U590" s="10">
        <f>GraphSalmonella!$H$57*Salmonella!I590+GraphSalmonella!$H$58</f>
        <v>0.27208851901262943</v>
      </c>
      <c r="X590" s="10">
        <f>GraphSalmonella!$B$80*Salmonella!I590+GraphSalmonella!$B$81</f>
        <v>0.2738497546709393</v>
      </c>
      <c r="Y590" s="10">
        <f>GraphSalmonella!$E$80*Salmonella!I590+GraphSalmonella!$E$81</f>
        <v>0.2823920067305572</v>
      </c>
      <c r="Z590" s="10">
        <f>GraphSalmonella!$H$80*Salmonella!I590+GraphSalmonella!$H$81</f>
        <v>-6.4512686973317024E-2</v>
      </c>
    </row>
    <row r="591" spans="1:26" x14ac:dyDescent="0.2">
      <c r="A591" s="1" t="s">
        <v>66</v>
      </c>
      <c r="B591" s="1" t="s">
        <v>96</v>
      </c>
      <c r="C591" s="1" t="s">
        <v>97</v>
      </c>
      <c r="D591" t="s">
        <v>44</v>
      </c>
      <c r="E591" s="1" t="s">
        <v>99</v>
      </c>
      <c r="G591" s="11" t="s">
        <v>512</v>
      </c>
      <c r="H591" s="4">
        <v>7.4</v>
      </c>
      <c r="I591" s="4">
        <v>60</v>
      </c>
      <c r="J591" s="11">
        <v>36.4</v>
      </c>
      <c r="L591" s="12">
        <f t="shared" si="13"/>
        <v>1.5611013836490559</v>
      </c>
      <c r="M591" s="11">
        <f>GraphSalmonella!$B$10-(Salmonella!I591-GraphSalmonella!$B$6)/GraphSalmonella!$B$5</f>
        <v>0.2712239435094701</v>
      </c>
      <c r="N591" s="2" t="s">
        <v>1226</v>
      </c>
      <c r="O591">
        <v>1996</v>
      </c>
      <c r="S591" s="10">
        <f>GraphSalmonella!$B$57*Salmonella!I591+GraphSalmonella!$B$58</f>
        <v>0.35072323220664714</v>
      </c>
      <c r="T591" s="10">
        <f>GraphSalmonella!$E$57*Salmonella!I591+GraphSalmonella!$E$58</f>
        <v>3.1370239566030182</v>
      </c>
      <c r="U591" s="10">
        <f>GraphSalmonella!$H$57*Salmonella!I591+GraphSalmonella!$H$58</f>
        <v>0.27208851901262943</v>
      </c>
      <c r="X591" s="10">
        <f>GraphSalmonella!$B$80*Salmonella!I591+GraphSalmonella!$B$81</f>
        <v>0.2738497546709393</v>
      </c>
      <c r="Y591" s="10">
        <f>GraphSalmonella!$E$80*Salmonella!I591+GraphSalmonella!$E$81</f>
        <v>0.2823920067305572</v>
      </c>
      <c r="Z591" s="10">
        <f>GraphSalmonella!$H$80*Salmonella!I591+GraphSalmonella!$H$81</f>
        <v>-6.4512686973317024E-2</v>
      </c>
    </row>
    <row r="592" spans="1:26" x14ac:dyDescent="0.2">
      <c r="A592" s="1" t="s">
        <v>66</v>
      </c>
      <c r="B592" s="1" t="s">
        <v>96</v>
      </c>
      <c r="C592" t="s">
        <v>97</v>
      </c>
      <c r="D592" t="s">
        <v>44</v>
      </c>
      <c r="E592" s="1" t="s">
        <v>99</v>
      </c>
      <c r="F592" s="1"/>
      <c r="G592" s="11" t="s">
        <v>517</v>
      </c>
      <c r="H592" s="4">
        <v>7.4</v>
      </c>
      <c r="I592" s="4">
        <v>60</v>
      </c>
      <c r="J592" s="11">
        <v>1.8</v>
      </c>
      <c r="L592" s="12">
        <f t="shared" si="13"/>
        <v>0.25527250510330607</v>
      </c>
      <c r="M592" s="11">
        <f>GraphSalmonella!$B$10-(Salmonella!I592-GraphSalmonella!$B$6)/GraphSalmonella!$B$5</f>
        <v>0.2712239435094701</v>
      </c>
      <c r="N592" s="2" t="s">
        <v>1226</v>
      </c>
      <c r="O592">
        <v>1996</v>
      </c>
      <c r="S592" s="10">
        <f>GraphSalmonella!$B$57*Salmonella!I592+GraphSalmonella!$B$58</f>
        <v>0.35072323220664714</v>
      </c>
      <c r="T592" s="10">
        <f>GraphSalmonella!$E$57*Salmonella!I592+GraphSalmonella!$E$58</f>
        <v>3.1370239566030182</v>
      </c>
      <c r="U592" s="10">
        <f>GraphSalmonella!$H$57*Salmonella!I592+GraphSalmonella!$H$58</f>
        <v>0.27208851901262943</v>
      </c>
      <c r="X592" s="10">
        <f>GraphSalmonella!$B$80*Salmonella!I592+GraphSalmonella!$B$81</f>
        <v>0.2738497546709393</v>
      </c>
      <c r="Y592" s="10">
        <f>GraphSalmonella!$E$80*Salmonella!I592+GraphSalmonella!$E$81</f>
        <v>0.2823920067305572</v>
      </c>
      <c r="Z592" s="10">
        <f>GraphSalmonella!$H$80*Salmonella!I592+GraphSalmonella!$H$81</f>
        <v>-6.4512686973317024E-2</v>
      </c>
    </row>
    <row r="593" spans="1:26" x14ac:dyDescent="0.2">
      <c r="A593" s="1" t="s">
        <v>66</v>
      </c>
      <c r="B593" s="1" t="s">
        <v>96</v>
      </c>
      <c r="C593" t="s">
        <v>97</v>
      </c>
      <c r="D593" t="s">
        <v>44</v>
      </c>
      <c r="E593" s="1" t="s">
        <v>99</v>
      </c>
      <c r="G593" s="11" t="s">
        <v>517</v>
      </c>
      <c r="H593" s="4">
        <v>7.4</v>
      </c>
      <c r="I593" s="4">
        <v>60</v>
      </c>
      <c r="J593" s="11">
        <v>4.9000000000000004</v>
      </c>
      <c r="L593" s="12">
        <f t="shared" si="13"/>
        <v>0.69019608002851374</v>
      </c>
      <c r="M593" s="11">
        <f>GraphSalmonella!$B$10-(Salmonella!I593-GraphSalmonella!$B$6)/GraphSalmonella!$B$5</f>
        <v>0.2712239435094701</v>
      </c>
      <c r="N593" s="2" t="s">
        <v>1226</v>
      </c>
      <c r="O593">
        <v>1996</v>
      </c>
      <c r="S593" s="10">
        <f>GraphSalmonella!$B$57*Salmonella!I593+GraphSalmonella!$B$58</f>
        <v>0.35072323220664714</v>
      </c>
      <c r="T593" s="10">
        <f>GraphSalmonella!$E$57*Salmonella!I593+GraphSalmonella!$E$58</f>
        <v>3.1370239566030182</v>
      </c>
      <c r="U593" s="10">
        <f>GraphSalmonella!$H$57*Salmonella!I593+GraphSalmonella!$H$58</f>
        <v>0.27208851901262943</v>
      </c>
      <c r="X593" s="10">
        <f>GraphSalmonella!$B$80*Salmonella!I593+GraphSalmonella!$B$81</f>
        <v>0.2738497546709393</v>
      </c>
      <c r="Y593" s="10">
        <f>GraphSalmonella!$E$80*Salmonella!I593+GraphSalmonella!$E$81</f>
        <v>0.2823920067305572</v>
      </c>
      <c r="Z593" s="10">
        <f>GraphSalmonella!$H$80*Salmonella!I593+GraphSalmonella!$H$81</f>
        <v>-6.4512686973317024E-2</v>
      </c>
    </row>
    <row r="594" spans="1:26" x14ac:dyDescent="0.2">
      <c r="A594" s="1" t="s">
        <v>66</v>
      </c>
      <c r="B594" s="1" t="s">
        <v>96</v>
      </c>
      <c r="C594" s="1" t="s">
        <v>97</v>
      </c>
      <c r="D594" t="s">
        <v>44</v>
      </c>
      <c r="E594" s="1" t="s">
        <v>99</v>
      </c>
      <c r="G594" s="11" t="s">
        <v>517</v>
      </c>
      <c r="H594" s="4">
        <v>7.4</v>
      </c>
      <c r="I594" s="4">
        <v>60</v>
      </c>
      <c r="J594" s="11">
        <v>29.9</v>
      </c>
      <c r="L594" s="12">
        <f t="shared" si="13"/>
        <v>1.4756711883244296</v>
      </c>
      <c r="M594" s="11">
        <f>GraphSalmonella!$B$10-(Salmonella!I594-GraphSalmonella!$B$6)/GraphSalmonella!$B$5</f>
        <v>0.2712239435094701</v>
      </c>
      <c r="N594" s="2" t="s">
        <v>1226</v>
      </c>
      <c r="O594">
        <v>1996</v>
      </c>
      <c r="S594" s="10">
        <f>GraphSalmonella!$B$57*Salmonella!I594+GraphSalmonella!$B$58</f>
        <v>0.35072323220664714</v>
      </c>
      <c r="T594" s="10">
        <f>GraphSalmonella!$E$57*Salmonella!I594+GraphSalmonella!$E$58</f>
        <v>3.1370239566030182</v>
      </c>
      <c r="U594" s="10">
        <f>GraphSalmonella!$H$57*Salmonella!I594+GraphSalmonella!$H$58</f>
        <v>0.27208851901262943</v>
      </c>
      <c r="X594" s="10">
        <f>GraphSalmonella!$B$80*Salmonella!I594+GraphSalmonella!$B$81</f>
        <v>0.2738497546709393</v>
      </c>
      <c r="Y594" s="10">
        <f>GraphSalmonella!$E$80*Salmonella!I594+GraphSalmonella!$E$81</f>
        <v>0.2823920067305572</v>
      </c>
      <c r="Z594" s="10">
        <f>GraphSalmonella!$H$80*Salmonella!I594+GraphSalmonella!$H$81</f>
        <v>-6.4512686973317024E-2</v>
      </c>
    </row>
    <row r="595" spans="1:26" x14ac:dyDescent="0.2">
      <c r="A595" s="1" t="s">
        <v>66</v>
      </c>
      <c r="B595" s="1" t="s">
        <v>96</v>
      </c>
      <c r="C595" t="s">
        <v>97</v>
      </c>
      <c r="D595" t="s">
        <v>44</v>
      </c>
      <c r="E595" s="1" t="s">
        <v>99</v>
      </c>
      <c r="F595" s="1"/>
      <c r="G595" s="11" t="s">
        <v>511</v>
      </c>
      <c r="H595" s="4">
        <v>7.4</v>
      </c>
      <c r="I595" s="4">
        <v>60</v>
      </c>
      <c r="J595" s="11">
        <v>2</v>
      </c>
      <c r="L595" s="12">
        <f t="shared" si="13"/>
        <v>0.3010299956639812</v>
      </c>
      <c r="M595" s="11">
        <f>GraphSalmonella!$B$10-(Salmonella!I595-GraphSalmonella!$B$6)/GraphSalmonella!$B$5</f>
        <v>0.2712239435094701</v>
      </c>
      <c r="N595" s="2" t="s">
        <v>1226</v>
      </c>
      <c r="O595">
        <v>1996</v>
      </c>
      <c r="S595" s="10">
        <f>GraphSalmonella!$B$57*Salmonella!I595+GraphSalmonella!$B$58</f>
        <v>0.35072323220664714</v>
      </c>
      <c r="T595" s="10">
        <f>GraphSalmonella!$E$57*Salmonella!I595+GraphSalmonella!$E$58</f>
        <v>3.1370239566030182</v>
      </c>
      <c r="U595" s="10">
        <f>GraphSalmonella!$H$57*Salmonella!I595+GraphSalmonella!$H$58</f>
        <v>0.27208851901262943</v>
      </c>
      <c r="X595" s="10">
        <f>GraphSalmonella!$B$80*Salmonella!I595+GraphSalmonella!$B$81</f>
        <v>0.2738497546709393</v>
      </c>
      <c r="Y595" s="10">
        <f>GraphSalmonella!$E$80*Salmonella!I595+GraphSalmonella!$E$81</f>
        <v>0.2823920067305572</v>
      </c>
      <c r="Z595" s="10">
        <f>GraphSalmonella!$H$80*Salmonella!I595+GraphSalmonella!$H$81</f>
        <v>-6.4512686973317024E-2</v>
      </c>
    </row>
    <row r="596" spans="1:26" x14ac:dyDescent="0.2">
      <c r="A596" s="1" t="s">
        <v>66</v>
      </c>
      <c r="B596" s="1" t="s">
        <v>96</v>
      </c>
      <c r="C596" t="s">
        <v>97</v>
      </c>
      <c r="D596" t="s">
        <v>44</v>
      </c>
      <c r="E596" s="1" t="s">
        <v>99</v>
      </c>
      <c r="G596" s="11" t="s">
        <v>511</v>
      </c>
      <c r="H596" s="4">
        <v>7.4</v>
      </c>
      <c r="I596" s="4">
        <v>60</v>
      </c>
      <c r="J596" s="11">
        <v>4.2</v>
      </c>
      <c r="L596" s="12">
        <f t="shared" si="13"/>
        <v>0.62324929039790045</v>
      </c>
      <c r="M596" s="11">
        <f>GraphSalmonella!$B$10-(Salmonella!I596-GraphSalmonella!$B$6)/GraphSalmonella!$B$5</f>
        <v>0.2712239435094701</v>
      </c>
      <c r="N596" s="2" t="s">
        <v>1226</v>
      </c>
      <c r="O596">
        <v>1996</v>
      </c>
      <c r="S596" s="10">
        <f>GraphSalmonella!$B$57*Salmonella!I596+GraphSalmonella!$B$58</f>
        <v>0.35072323220664714</v>
      </c>
      <c r="T596" s="10">
        <f>GraphSalmonella!$E$57*Salmonella!I596+GraphSalmonella!$E$58</f>
        <v>3.1370239566030182</v>
      </c>
      <c r="U596" s="10">
        <f>GraphSalmonella!$H$57*Salmonella!I596+GraphSalmonella!$H$58</f>
        <v>0.27208851901262943</v>
      </c>
      <c r="X596" s="10">
        <f>GraphSalmonella!$B$80*Salmonella!I596+GraphSalmonella!$B$81</f>
        <v>0.2738497546709393</v>
      </c>
      <c r="Y596" s="10">
        <f>GraphSalmonella!$E$80*Salmonella!I596+GraphSalmonella!$E$81</f>
        <v>0.2823920067305572</v>
      </c>
      <c r="Z596" s="10">
        <f>GraphSalmonella!$H$80*Salmonella!I596+GraphSalmonella!$H$81</f>
        <v>-6.4512686973317024E-2</v>
      </c>
    </row>
    <row r="597" spans="1:26" x14ac:dyDescent="0.2">
      <c r="A597" s="1" t="s">
        <v>66</v>
      </c>
      <c r="B597" s="1" t="s">
        <v>96</v>
      </c>
      <c r="C597" s="1" t="s">
        <v>97</v>
      </c>
      <c r="D597" t="s">
        <v>44</v>
      </c>
      <c r="E597" s="1" t="s">
        <v>99</v>
      </c>
      <c r="G597" s="11" t="s">
        <v>511</v>
      </c>
      <c r="H597" s="4">
        <v>7.4</v>
      </c>
      <c r="I597" s="4">
        <v>60</v>
      </c>
      <c r="J597" s="11">
        <v>12.6</v>
      </c>
      <c r="L597" s="12">
        <f t="shared" si="13"/>
        <v>1.1003705451175629</v>
      </c>
      <c r="M597" s="11">
        <f>GraphSalmonella!$B$10-(Salmonella!I597-GraphSalmonella!$B$6)/GraphSalmonella!$B$5</f>
        <v>0.2712239435094701</v>
      </c>
      <c r="N597" s="2" t="s">
        <v>1226</v>
      </c>
      <c r="O597">
        <v>1996</v>
      </c>
      <c r="S597" s="10">
        <f>GraphSalmonella!$B$57*Salmonella!I597+GraphSalmonella!$B$58</f>
        <v>0.35072323220664714</v>
      </c>
      <c r="T597" s="10">
        <f>GraphSalmonella!$E$57*Salmonella!I597+GraphSalmonella!$E$58</f>
        <v>3.1370239566030182</v>
      </c>
      <c r="U597" s="10">
        <f>GraphSalmonella!$H$57*Salmonella!I597+GraphSalmonella!$H$58</f>
        <v>0.27208851901262943</v>
      </c>
      <c r="X597" s="10">
        <f>GraphSalmonella!$B$80*Salmonella!I597+GraphSalmonella!$B$81</f>
        <v>0.2738497546709393</v>
      </c>
      <c r="Y597" s="10">
        <f>GraphSalmonella!$E$80*Salmonella!I597+GraphSalmonella!$E$81</f>
        <v>0.2823920067305572</v>
      </c>
      <c r="Z597" s="10">
        <f>GraphSalmonella!$H$80*Salmonella!I597+GraphSalmonella!$H$81</f>
        <v>-6.4512686973317024E-2</v>
      </c>
    </row>
    <row r="598" spans="1:26" x14ac:dyDescent="0.2">
      <c r="A598" s="1" t="s">
        <v>66</v>
      </c>
      <c r="B598" s="1" t="s">
        <v>96</v>
      </c>
      <c r="C598" s="1" t="s">
        <v>97</v>
      </c>
      <c r="D598" t="s">
        <v>44</v>
      </c>
      <c r="E598" s="1" t="s">
        <v>99</v>
      </c>
      <c r="G598" s="11" t="s">
        <v>520</v>
      </c>
      <c r="H598" s="4">
        <v>7.4</v>
      </c>
      <c r="I598" s="4">
        <v>60</v>
      </c>
      <c r="J598" s="11">
        <v>4.0999999999999996</v>
      </c>
      <c r="L598" s="12">
        <f t="shared" si="13"/>
        <v>0.61278385671973545</v>
      </c>
      <c r="M598" s="11">
        <f>GraphSalmonella!$B$10-(Salmonella!I598-GraphSalmonella!$B$6)/GraphSalmonella!$B$5</f>
        <v>0.2712239435094701</v>
      </c>
      <c r="N598" s="2" t="s">
        <v>1226</v>
      </c>
      <c r="O598">
        <v>1996</v>
      </c>
      <c r="S598" s="10">
        <f>GraphSalmonella!$B$57*Salmonella!I598+GraphSalmonella!$B$58</f>
        <v>0.35072323220664714</v>
      </c>
      <c r="T598" s="10">
        <f>GraphSalmonella!$E$57*Salmonella!I598+GraphSalmonella!$E$58</f>
        <v>3.1370239566030182</v>
      </c>
      <c r="U598" s="10">
        <f>GraphSalmonella!$H$57*Salmonella!I598+GraphSalmonella!$H$58</f>
        <v>0.27208851901262943</v>
      </c>
      <c r="X598" s="10">
        <f>GraphSalmonella!$B$80*Salmonella!I598+GraphSalmonella!$B$81</f>
        <v>0.2738497546709393</v>
      </c>
      <c r="Y598" s="10">
        <f>GraphSalmonella!$E$80*Salmonella!I598+GraphSalmonella!$E$81</f>
        <v>0.2823920067305572</v>
      </c>
      <c r="Z598" s="10">
        <f>GraphSalmonella!$H$80*Salmonella!I598+GraphSalmonella!$H$81</f>
        <v>-6.4512686973317024E-2</v>
      </c>
    </row>
    <row r="599" spans="1:26" x14ac:dyDescent="0.2">
      <c r="A599" s="1" t="s">
        <v>66</v>
      </c>
      <c r="B599" s="1" t="s">
        <v>96</v>
      </c>
      <c r="C599" s="1" t="s">
        <v>97</v>
      </c>
      <c r="D599" t="s">
        <v>44</v>
      </c>
      <c r="E599" s="1" t="s">
        <v>99</v>
      </c>
      <c r="G599" s="11" t="s">
        <v>520</v>
      </c>
      <c r="H599" s="4">
        <v>7.4</v>
      </c>
      <c r="I599" s="4">
        <v>60</v>
      </c>
      <c r="J599" s="9">
        <v>4.3</v>
      </c>
      <c r="K599" s="5"/>
      <c r="L599" s="12">
        <f t="shared" si="13"/>
        <v>0.63346845557958653</v>
      </c>
      <c r="M599" s="11">
        <f>GraphSalmonella!$B$10-(Salmonella!I599-GraphSalmonella!$B$6)/GraphSalmonella!$B$5</f>
        <v>0.2712239435094701</v>
      </c>
      <c r="N599" s="2" t="s">
        <v>1226</v>
      </c>
      <c r="O599">
        <v>1996</v>
      </c>
      <c r="S599" s="10">
        <f>GraphSalmonella!$B$57*Salmonella!I599+GraphSalmonella!$B$58</f>
        <v>0.35072323220664714</v>
      </c>
      <c r="T599" s="10">
        <f>GraphSalmonella!$E$57*Salmonella!I599+GraphSalmonella!$E$58</f>
        <v>3.1370239566030182</v>
      </c>
      <c r="U599" s="10">
        <f>GraphSalmonella!$H$57*Salmonella!I599+GraphSalmonella!$H$58</f>
        <v>0.27208851901262943</v>
      </c>
      <c r="X599" s="10">
        <f>GraphSalmonella!$B$80*Salmonella!I599+GraphSalmonella!$B$81</f>
        <v>0.2738497546709393</v>
      </c>
      <c r="Y599" s="10">
        <f>GraphSalmonella!$E$80*Salmonella!I599+GraphSalmonella!$E$81</f>
        <v>0.2823920067305572</v>
      </c>
      <c r="Z599" s="10">
        <f>GraphSalmonella!$H$80*Salmonella!I599+GraphSalmonella!$H$81</f>
        <v>-6.4512686973317024E-2</v>
      </c>
    </row>
    <row r="600" spans="1:26" x14ac:dyDescent="0.2">
      <c r="A600" s="1" t="s">
        <v>66</v>
      </c>
      <c r="B600" s="1" t="s">
        <v>96</v>
      </c>
      <c r="C600" t="s">
        <v>97</v>
      </c>
      <c r="D600" t="s">
        <v>44</v>
      </c>
      <c r="E600" s="1" t="s">
        <v>99</v>
      </c>
      <c r="F600" s="1"/>
      <c r="G600" s="11" t="s">
        <v>520</v>
      </c>
      <c r="H600" s="4">
        <v>7.4</v>
      </c>
      <c r="I600" s="4">
        <v>60</v>
      </c>
      <c r="J600" s="11">
        <v>4.4000000000000004</v>
      </c>
      <c r="L600" s="12">
        <f t="shared" si="13"/>
        <v>0.64345267648618742</v>
      </c>
      <c r="M600" s="11">
        <f>GraphSalmonella!$B$10-(Salmonella!I600-GraphSalmonella!$B$6)/GraphSalmonella!$B$5</f>
        <v>0.2712239435094701</v>
      </c>
      <c r="N600" s="2" t="s">
        <v>1226</v>
      </c>
      <c r="O600">
        <v>1996</v>
      </c>
      <c r="S600" s="10">
        <f>GraphSalmonella!$B$57*Salmonella!I600+GraphSalmonella!$B$58</f>
        <v>0.35072323220664714</v>
      </c>
      <c r="T600" s="10">
        <f>GraphSalmonella!$E$57*Salmonella!I600+GraphSalmonella!$E$58</f>
        <v>3.1370239566030182</v>
      </c>
      <c r="U600" s="10">
        <f>GraphSalmonella!$H$57*Salmonella!I600+GraphSalmonella!$H$58</f>
        <v>0.27208851901262943</v>
      </c>
      <c r="X600" s="10">
        <f>GraphSalmonella!$B$80*Salmonella!I600+GraphSalmonella!$B$81</f>
        <v>0.2738497546709393</v>
      </c>
      <c r="Y600" s="10">
        <f>GraphSalmonella!$E$80*Salmonella!I600+GraphSalmonella!$E$81</f>
        <v>0.2823920067305572</v>
      </c>
      <c r="Z600" s="10">
        <f>GraphSalmonella!$H$80*Salmonella!I600+GraphSalmonella!$H$81</f>
        <v>-6.4512686973317024E-2</v>
      </c>
    </row>
    <row r="601" spans="1:26" x14ac:dyDescent="0.2">
      <c r="A601" s="1" t="s">
        <v>66</v>
      </c>
      <c r="B601" s="1" t="s">
        <v>96</v>
      </c>
      <c r="C601" t="s">
        <v>97</v>
      </c>
      <c r="D601" t="s">
        <v>44</v>
      </c>
      <c r="E601" s="1" t="s">
        <v>99</v>
      </c>
      <c r="G601" s="11" t="s">
        <v>520</v>
      </c>
      <c r="H601" s="4">
        <v>7.4</v>
      </c>
      <c r="I601" s="4">
        <v>60</v>
      </c>
      <c r="J601" s="11">
        <v>4.5999999999999996</v>
      </c>
      <c r="L601" s="12">
        <f t="shared" si="13"/>
        <v>0.66275783168157409</v>
      </c>
      <c r="M601" s="11">
        <f>GraphSalmonella!$B$10-(Salmonella!I601-GraphSalmonella!$B$6)/GraphSalmonella!$B$5</f>
        <v>0.2712239435094701</v>
      </c>
      <c r="N601" s="2" t="s">
        <v>1226</v>
      </c>
      <c r="O601">
        <v>1996</v>
      </c>
      <c r="S601" s="10">
        <f>GraphSalmonella!$B$57*Salmonella!I601+GraphSalmonella!$B$58</f>
        <v>0.35072323220664714</v>
      </c>
      <c r="T601" s="10">
        <f>GraphSalmonella!$E$57*Salmonella!I601+GraphSalmonella!$E$58</f>
        <v>3.1370239566030182</v>
      </c>
      <c r="U601" s="10">
        <f>GraphSalmonella!$H$57*Salmonella!I601+GraphSalmonella!$H$58</f>
        <v>0.27208851901262943</v>
      </c>
      <c r="X601" s="10">
        <f>GraphSalmonella!$B$80*Salmonella!I601+GraphSalmonella!$B$81</f>
        <v>0.2738497546709393</v>
      </c>
      <c r="Y601" s="10">
        <f>GraphSalmonella!$E$80*Salmonella!I601+GraphSalmonella!$E$81</f>
        <v>0.2823920067305572</v>
      </c>
      <c r="Z601" s="10">
        <f>GraphSalmonella!$H$80*Salmonella!I601+GraphSalmonella!$H$81</f>
        <v>-6.4512686973317024E-2</v>
      </c>
    </row>
    <row r="602" spans="1:26" x14ac:dyDescent="0.2">
      <c r="A602" s="1" t="s">
        <v>66</v>
      </c>
      <c r="B602" s="1" t="s">
        <v>96</v>
      </c>
      <c r="C602" s="1" t="s">
        <v>97</v>
      </c>
      <c r="D602" t="s">
        <v>44</v>
      </c>
      <c r="E602" s="1" t="s">
        <v>99</v>
      </c>
      <c r="G602" s="11" t="s">
        <v>520</v>
      </c>
      <c r="H602" s="4">
        <v>7.4</v>
      </c>
      <c r="I602" s="4">
        <v>60</v>
      </c>
      <c r="J602" s="11">
        <v>18.8</v>
      </c>
      <c r="L602" s="12">
        <f t="shared" si="13"/>
        <v>1.2741578492636798</v>
      </c>
      <c r="M602" s="11">
        <f>GraphSalmonella!$B$10-(Salmonella!I602-GraphSalmonella!$B$6)/GraphSalmonella!$B$5</f>
        <v>0.2712239435094701</v>
      </c>
      <c r="N602" s="2" t="s">
        <v>1226</v>
      </c>
      <c r="O602">
        <v>1996</v>
      </c>
      <c r="S602" s="10">
        <f>GraphSalmonella!$B$57*Salmonella!I602+GraphSalmonella!$B$58</f>
        <v>0.35072323220664714</v>
      </c>
      <c r="T602" s="10">
        <f>GraphSalmonella!$E$57*Salmonella!I602+GraphSalmonella!$E$58</f>
        <v>3.1370239566030182</v>
      </c>
      <c r="U602" s="10">
        <f>GraphSalmonella!$H$57*Salmonella!I602+GraphSalmonella!$H$58</f>
        <v>0.27208851901262943</v>
      </c>
      <c r="X602" s="10">
        <f>GraphSalmonella!$B$80*Salmonella!I602+GraphSalmonella!$B$81</f>
        <v>0.2738497546709393</v>
      </c>
      <c r="Y602" s="10">
        <f>GraphSalmonella!$E$80*Salmonella!I602+GraphSalmonella!$E$81</f>
        <v>0.2823920067305572</v>
      </c>
      <c r="Z602" s="10">
        <f>GraphSalmonella!$H$80*Salmonella!I602+GraphSalmonella!$H$81</f>
        <v>-6.4512686973317024E-2</v>
      </c>
    </row>
    <row r="603" spans="1:26" x14ac:dyDescent="0.2">
      <c r="A603" s="1" t="s">
        <v>66</v>
      </c>
      <c r="B603" s="1" t="s">
        <v>96</v>
      </c>
      <c r="C603" t="s">
        <v>98</v>
      </c>
      <c r="D603" t="s">
        <v>44</v>
      </c>
      <c r="E603" s="1" t="s">
        <v>99</v>
      </c>
      <c r="F603" s="1"/>
      <c r="G603" s="11" t="s">
        <v>514</v>
      </c>
      <c r="H603" s="4">
        <v>7.4</v>
      </c>
      <c r="I603" s="4">
        <v>60</v>
      </c>
      <c r="J603" s="11">
        <v>1.7</v>
      </c>
      <c r="L603" s="12">
        <f t="shared" si="13"/>
        <v>0.23044892137827391</v>
      </c>
      <c r="M603" s="11">
        <f>GraphSalmonella!$B$10-(Salmonella!I603-GraphSalmonella!$B$6)/GraphSalmonella!$B$5</f>
        <v>0.2712239435094701</v>
      </c>
      <c r="N603" s="2" t="s">
        <v>1226</v>
      </c>
      <c r="O603">
        <v>1996</v>
      </c>
      <c r="S603" s="10">
        <f>GraphSalmonella!$B$57*Salmonella!I603+GraphSalmonella!$B$58</f>
        <v>0.35072323220664714</v>
      </c>
      <c r="T603" s="10">
        <f>GraphSalmonella!$E$57*Salmonella!I603+GraphSalmonella!$E$58</f>
        <v>3.1370239566030182</v>
      </c>
      <c r="U603" s="10">
        <f>GraphSalmonella!$H$57*Salmonella!I603+GraphSalmonella!$H$58</f>
        <v>0.27208851901262943</v>
      </c>
      <c r="X603" s="10">
        <f>GraphSalmonella!$B$80*Salmonella!I603+GraphSalmonella!$B$81</f>
        <v>0.2738497546709393</v>
      </c>
      <c r="Y603" s="10">
        <f>GraphSalmonella!$E$80*Salmonella!I603+GraphSalmonella!$E$81</f>
        <v>0.2823920067305572</v>
      </c>
      <c r="Z603" s="10">
        <f>GraphSalmonella!$H$80*Salmonella!I603+GraphSalmonella!$H$81</f>
        <v>-6.4512686973317024E-2</v>
      </c>
    </row>
    <row r="604" spans="1:26" x14ac:dyDescent="0.2">
      <c r="A604" s="1" t="s">
        <v>66</v>
      </c>
      <c r="B604" s="1" t="s">
        <v>96</v>
      </c>
      <c r="C604" t="s">
        <v>98</v>
      </c>
      <c r="D604" t="s">
        <v>44</v>
      </c>
      <c r="E604" s="1" t="s">
        <v>99</v>
      </c>
      <c r="G604" s="11" t="s">
        <v>513</v>
      </c>
      <c r="H604" s="4">
        <v>7.4</v>
      </c>
      <c r="I604" s="4">
        <v>60</v>
      </c>
      <c r="J604" s="11">
        <v>0.69</v>
      </c>
      <c r="L604" s="12">
        <f t="shared" si="13"/>
        <v>-0.16115090926274472</v>
      </c>
      <c r="M604" s="11">
        <f>GraphSalmonella!$B$10-(Salmonella!I604-GraphSalmonella!$B$6)/GraphSalmonella!$B$5</f>
        <v>0.2712239435094701</v>
      </c>
      <c r="N604" s="2" t="s">
        <v>1226</v>
      </c>
      <c r="O604">
        <v>1996</v>
      </c>
      <c r="S604" s="10">
        <f>GraphSalmonella!$B$57*Salmonella!I604+GraphSalmonella!$B$58</f>
        <v>0.35072323220664714</v>
      </c>
      <c r="T604" s="10">
        <f>GraphSalmonella!$E$57*Salmonella!I604+GraphSalmonella!$E$58</f>
        <v>3.1370239566030182</v>
      </c>
      <c r="U604" s="10">
        <f>GraphSalmonella!$H$57*Salmonella!I604+GraphSalmonella!$H$58</f>
        <v>0.27208851901262943</v>
      </c>
      <c r="X604" s="10">
        <f>GraphSalmonella!$B$80*Salmonella!I604+GraphSalmonella!$B$81</f>
        <v>0.2738497546709393</v>
      </c>
      <c r="Y604" s="10">
        <f>GraphSalmonella!$E$80*Salmonella!I604+GraphSalmonella!$E$81</f>
        <v>0.2823920067305572</v>
      </c>
      <c r="Z604" s="10">
        <f>GraphSalmonella!$H$80*Salmonella!I604+GraphSalmonella!$H$81</f>
        <v>-6.4512686973317024E-2</v>
      </c>
    </row>
    <row r="605" spans="1:26" x14ac:dyDescent="0.2">
      <c r="A605" s="1" t="s">
        <v>66</v>
      </c>
      <c r="B605" s="1" t="s">
        <v>96</v>
      </c>
      <c r="C605" t="s">
        <v>98</v>
      </c>
      <c r="D605" t="s">
        <v>44</v>
      </c>
      <c r="E605" s="1" t="s">
        <v>99</v>
      </c>
      <c r="G605" s="11" t="s">
        <v>513</v>
      </c>
      <c r="H605" s="4">
        <v>7.4</v>
      </c>
      <c r="I605" s="4">
        <v>60</v>
      </c>
      <c r="J605" s="11">
        <v>1.7</v>
      </c>
      <c r="L605" s="12">
        <f t="shared" si="13"/>
        <v>0.23044892137827391</v>
      </c>
      <c r="M605" s="11">
        <f>GraphSalmonella!$B$10-(Salmonella!I605-GraphSalmonella!$B$6)/GraphSalmonella!$B$5</f>
        <v>0.2712239435094701</v>
      </c>
      <c r="N605" s="2" t="s">
        <v>1226</v>
      </c>
      <c r="O605">
        <v>1996</v>
      </c>
      <c r="S605" s="10">
        <f>GraphSalmonella!$B$57*Salmonella!I605+GraphSalmonella!$B$58</f>
        <v>0.35072323220664714</v>
      </c>
      <c r="T605" s="10">
        <f>GraphSalmonella!$E$57*Salmonella!I605+GraphSalmonella!$E$58</f>
        <v>3.1370239566030182</v>
      </c>
      <c r="U605" s="10">
        <f>GraphSalmonella!$H$57*Salmonella!I605+GraphSalmonella!$H$58</f>
        <v>0.27208851901262943</v>
      </c>
      <c r="X605" s="10">
        <f>GraphSalmonella!$B$80*Salmonella!I605+GraphSalmonella!$B$81</f>
        <v>0.2738497546709393</v>
      </c>
      <c r="Y605" s="10">
        <f>GraphSalmonella!$E$80*Salmonella!I605+GraphSalmonella!$E$81</f>
        <v>0.2823920067305572</v>
      </c>
      <c r="Z605" s="10">
        <f>GraphSalmonella!$H$80*Salmonella!I605+GraphSalmonella!$H$81</f>
        <v>-6.4512686973317024E-2</v>
      </c>
    </row>
    <row r="606" spans="1:26" x14ac:dyDescent="0.2">
      <c r="A606" s="1" t="s">
        <v>66</v>
      </c>
      <c r="B606" s="1" t="s">
        <v>96</v>
      </c>
      <c r="C606" s="1" t="s">
        <v>98</v>
      </c>
      <c r="D606" t="s">
        <v>44</v>
      </c>
      <c r="E606" s="1" t="s">
        <v>99</v>
      </c>
      <c r="G606" s="11" t="s">
        <v>513</v>
      </c>
      <c r="H606" s="4">
        <v>7.4</v>
      </c>
      <c r="I606" s="4">
        <v>60</v>
      </c>
      <c r="J606" s="11">
        <v>53.9</v>
      </c>
      <c r="L606" s="12">
        <f t="shared" ref="L606:L669" si="14">LOG(J606)</f>
        <v>1.7315887651867388</v>
      </c>
      <c r="M606" s="11">
        <f>GraphSalmonella!$B$10-(Salmonella!I606-GraphSalmonella!$B$6)/GraphSalmonella!$B$5</f>
        <v>0.2712239435094701</v>
      </c>
      <c r="N606" s="2" t="s">
        <v>1226</v>
      </c>
      <c r="O606">
        <v>1996</v>
      </c>
      <c r="S606" s="10">
        <f>GraphSalmonella!$B$57*Salmonella!I606+GraphSalmonella!$B$58</f>
        <v>0.35072323220664714</v>
      </c>
      <c r="T606" s="10">
        <f>GraphSalmonella!$E$57*Salmonella!I606+GraphSalmonella!$E$58</f>
        <v>3.1370239566030182</v>
      </c>
      <c r="U606" s="10">
        <f>GraphSalmonella!$H$57*Salmonella!I606+GraphSalmonella!$H$58</f>
        <v>0.27208851901262943</v>
      </c>
      <c r="X606" s="10">
        <f>GraphSalmonella!$B$80*Salmonella!I606+GraphSalmonella!$B$81</f>
        <v>0.2738497546709393</v>
      </c>
      <c r="Y606" s="10">
        <f>GraphSalmonella!$E$80*Salmonella!I606+GraphSalmonella!$E$81</f>
        <v>0.2823920067305572</v>
      </c>
      <c r="Z606" s="10">
        <f>GraphSalmonella!$H$80*Salmonella!I606+GraphSalmonella!$H$81</f>
        <v>-6.4512686973317024E-2</v>
      </c>
    </row>
    <row r="607" spans="1:26" x14ac:dyDescent="0.2">
      <c r="A607" s="1" t="s">
        <v>66</v>
      </c>
      <c r="B607" s="1" t="s">
        <v>96</v>
      </c>
      <c r="C607" t="s">
        <v>98</v>
      </c>
      <c r="D607" t="s">
        <v>44</v>
      </c>
      <c r="E607" s="1" t="s">
        <v>99</v>
      </c>
      <c r="G607" s="11" t="s">
        <v>521</v>
      </c>
      <c r="H607" s="4">
        <v>7.4</v>
      </c>
      <c r="I607" s="4">
        <v>60</v>
      </c>
      <c r="J607" s="11">
        <v>1.1000000000000001</v>
      </c>
      <c r="L607" s="12">
        <f t="shared" si="14"/>
        <v>4.1392685158225077E-2</v>
      </c>
      <c r="M607" s="11">
        <f>GraphSalmonella!$B$10-(Salmonella!I607-GraphSalmonella!$B$6)/GraphSalmonella!$B$5</f>
        <v>0.2712239435094701</v>
      </c>
      <c r="N607" s="2" t="s">
        <v>1226</v>
      </c>
      <c r="O607">
        <v>1996</v>
      </c>
      <c r="S607" s="10">
        <f>GraphSalmonella!$B$57*Salmonella!I607+GraphSalmonella!$B$58</f>
        <v>0.35072323220664714</v>
      </c>
      <c r="T607" s="10">
        <f>GraphSalmonella!$E$57*Salmonella!I607+GraphSalmonella!$E$58</f>
        <v>3.1370239566030182</v>
      </c>
      <c r="U607" s="10">
        <f>GraphSalmonella!$H$57*Salmonella!I607+GraphSalmonella!$H$58</f>
        <v>0.27208851901262943</v>
      </c>
      <c r="X607" s="10">
        <f>GraphSalmonella!$B$80*Salmonella!I607+GraphSalmonella!$B$81</f>
        <v>0.2738497546709393</v>
      </c>
      <c r="Y607" s="10">
        <f>GraphSalmonella!$E$80*Salmonella!I607+GraphSalmonella!$E$81</f>
        <v>0.2823920067305572</v>
      </c>
      <c r="Z607" s="10">
        <f>GraphSalmonella!$H$80*Salmonella!I607+GraphSalmonella!$H$81</f>
        <v>-6.4512686973317024E-2</v>
      </c>
    </row>
    <row r="608" spans="1:26" x14ac:dyDescent="0.2">
      <c r="A608" s="1" t="s">
        <v>66</v>
      </c>
      <c r="B608" s="1" t="s">
        <v>96</v>
      </c>
      <c r="C608" s="1" t="s">
        <v>98</v>
      </c>
      <c r="D608" t="s">
        <v>44</v>
      </c>
      <c r="E608" s="1" t="s">
        <v>99</v>
      </c>
      <c r="G608" s="11" t="s">
        <v>521</v>
      </c>
      <c r="H608" s="4">
        <v>7.4</v>
      </c>
      <c r="I608" s="4">
        <v>60</v>
      </c>
      <c r="J608" s="11">
        <v>1.1000000000000001</v>
      </c>
      <c r="L608" s="12">
        <f t="shared" si="14"/>
        <v>4.1392685158225077E-2</v>
      </c>
      <c r="M608" s="11">
        <f>GraphSalmonella!$B$10-(Salmonella!I608-GraphSalmonella!$B$6)/GraphSalmonella!$B$5</f>
        <v>0.2712239435094701</v>
      </c>
      <c r="N608" s="2" t="s">
        <v>1226</v>
      </c>
      <c r="O608">
        <v>1996</v>
      </c>
      <c r="S608" s="10">
        <f>GraphSalmonella!$B$57*Salmonella!I608+GraphSalmonella!$B$58</f>
        <v>0.35072323220664714</v>
      </c>
      <c r="T608" s="10">
        <f>GraphSalmonella!$E$57*Salmonella!I608+GraphSalmonella!$E$58</f>
        <v>3.1370239566030182</v>
      </c>
      <c r="U608" s="10">
        <f>GraphSalmonella!$H$57*Salmonella!I608+GraphSalmonella!$H$58</f>
        <v>0.27208851901262943</v>
      </c>
      <c r="X608" s="10">
        <f>GraphSalmonella!$B$80*Salmonella!I608+GraphSalmonella!$B$81</f>
        <v>0.2738497546709393</v>
      </c>
      <c r="Y608" s="10">
        <f>GraphSalmonella!$E$80*Salmonella!I608+GraphSalmonella!$E$81</f>
        <v>0.2823920067305572</v>
      </c>
      <c r="Z608" s="10">
        <f>GraphSalmonella!$H$80*Salmonella!I608+GraphSalmonella!$H$81</f>
        <v>-6.4512686973317024E-2</v>
      </c>
    </row>
    <row r="609" spans="1:26" x14ac:dyDescent="0.2">
      <c r="A609" s="1" t="s">
        <v>66</v>
      </c>
      <c r="B609" s="1" t="s">
        <v>96</v>
      </c>
      <c r="C609" s="1" t="s">
        <v>98</v>
      </c>
      <c r="D609" t="s">
        <v>44</v>
      </c>
      <c r="E609" s="1" t="s">
        <v>99</v>
      </c>
      <c r="G609" s="11" t="s">
        <v>521</v>
      </c>
      <c r="H609" s="4">
        <v>7.4</v>
      </c>
      <c r="I609" s="4">
        <v>60</v>
      </c>
      <c r="J609" s="11">
        <v>51.8</v>
      </c>
      <c r="L609" s="12">
        <f t="shared" si="14"/>
        <v>1.7143297597452329</v>
      </c>
      <c r="M609" s="11">
        <f>GraphSalmonella!$B$10-(Salmonella!I609-GraphSalmonella!$B$6)/GraphSalmonella!$B$5</f>
        <v>0.2712239435094701</v>
      </c>
      <c r="N609" s="2" t="s">
        <v>1226</v>
      </c>
      <c r="O609">
        <v>1996</v>
      </c>
      <c r="S609" s="10">
        <f>GraphSalmonella!$B$57*Salmonella!I609+GraphSalmonella!$B$58</f>
        <v>0.35072323220664714</v>
      </c>
      <c r="T609" s="10">
        <f>GraphSalmonella!$E$57*Salmonella!I609+GraphSalmonella!$E$58</f>
        <v>3.1370239566030182</v>
      </c>
      <c r="U609" s="10">
        <f>GraphSalmonella!$H$57*Salmonella!I609+GraphSalmonella!$H$58</f>
        <v>0.27208851901262943</v>
      </c>
      <c r="X609" s="10">
        <f>GraphSalmonella!$B$80*Salmonella!I609+GraphSalmonella!$B$81</f>
        <v>0.2738497546709393</v>
      </c>
      <c r="Y609" s="10">
        <f>GraphSalmonella!$E$80*Salmonella!I609+GraphSalmonella!$E$81</f>
        <v>0.2823920067305572</v>
      </c>
      <c r="Z609" s="10">
        <f>GraphSalmonella!$H$80*Salmonella!I609+GraphSalmonella!$H$81</f>
        <v>-6.4512686973317024E-2</v>
      </c>
    </row>
    <row r="610" spans="1:26" x14ac:dyDescent="0.2">
      <c r="A610" s="1" t="s">
        <v>66</v>
      </c>
      <c r="B610" s="1" t="s">
        <v>96</v>
      </c>
      <c r="C610" t="s">
        <v>98</v>
      </c>
      <c r="D610" t="s">
        <v>44</v>
      </c>
      <c r="E610" s="1" t="s">
        <v>99</v>
      </c>
      <c r="G610" s="11" t="s">
        <v>512</v>
      </c>
      <c r="H610" s="4">
        <v>7.4</v>
      </c>
      <c r="I610" s="4">
        <v>60</v>
      </c>
      <c r="J610" s="11">
        <v>0.71</v>
      </c>
      <c r="L610" s="12">
        <f t="shared" si="14"/>
        <v>-0.14874165128092473</v>
      </c>
      <c r="M610" s="11">
        <f>GraphSalmonella!$B$10-(Salmonella!I610-GraphSalmonella!$B$6)/GraphSalmonella!$B$5</f>
        <v>0.2712239435094701</v>
      </c>
      <c r="N610" s="2" t="s">
        <v>1226</v>
      </c>
      <c r="O610">
        <v>1996</v>
      </c>
      <c r="S610" s="10">
        <f>GraphSalmonella!$B$57*Salmonella!I610+GraphSalmonella!$B$58</f>
        <v>0.35072323220664714</v>
      </c>
      <c r="T610" s="10">
        <f>GraphSalmonella!$E$57*Salmonella!I610+GraphSalmonella!$E$58</f>
        <v>3.1370239566030182</v>
      </c>
      <c r="U610" s="10">
        <f>GraphSalmonella!$H$57*Salmonella!I610+GraphSalmonella!$H$58</f>
        <v>0.27208851901262943</v>
      </c>
      <c r="X610" s="10">
        <f>GraphSalmonella!$B$80*Salmonella!I610+GraphSalmonella!$B$81</f>
        <v>0.2738497546709393</v>
      </c>
      <c r="Y610" s="10">
        <f>GraphSalmonella!$E$80*Salmonella!I610+GraphSalmonella!$E$81</f>
        <v>0.2823920067305572</v>
      </c>
      <c r="Z610" s="10">
        <f>GraphSalmonella!$H$80*Salmonella!I610+GraphSalmonella!$H$81</f>
        <v>-6.4512686973317024E-2</v>
      </c>
    </row>
    <row r="611" spans="1:26" x14ac:dyDescent="0.2">
      <c r="A611" s="1" t="s">
        <v>66</v>
      </c>
      <c r="B611" s="1" t="s">
        <v>96</v>
      </c>
      <c r="C611" s="1" t="s">
        <v>98</v>
      </c>
      <c r="D611" t="s">
        <v>44</v>
      </c>
      <c r="E611" s="1" t="s">
        <v>99</v>
      </c>
      <c r="G611" s="11" t="s">
        <v>512</v>
      </c>
      <c r="H611" s="4">
        <v>7.4</v>
      </c>
      <c r="I611" s="4">
        <v>60</v>
      </c>
      <c r="J611" s="9">
        <v>1.3</v>
      </c>
      <c r="K611" s="5"/>
      <c r="L611" s="12">
        <f t="shared" si="14"/>
        <v>0.11394335230683679</v>
      </c>
      <c r="M611" s="11">
        <f>GraphSalmonella!$B$10-(Salmonella!I611-GraphSalmonella!$B$6)/GraphSalmonella!$B$5</f>
        <v>0.2712239435094701</v>
      </c>
      <c r="N611" s="2" t="s">
        <v>1226</v>
      </c>
      <c r="O611">
        <v>1996</v>
      </c>
      <c r="S611" s="10">
        <f>GraphSalmonella!$B$57*Salmonella!I611+GraphSalmonella!$B$58</f>
        <v>0.35072323220664714</v>
      </c>
      <c r="T611" s="10">
        <f>GraphSalmonella!$E$57*Salmonella!I611+GraphSalmonella!$E$58</f>
        <v>3.1370239566030182</v>
      </c>
      <c r="U611" s="10">
        <f>GraphSalmonella!$H$57*Salmonella!I611+GraphSalmonella!$H$58</f>
        <v>0.27208851901262943</v>
      </c>
      <c r="X611" s="10">
        <f>GraphSalmonella!$B$80*Salmonella!I611+GraphSalmonella!$B$81</f>
        <v>0.2738497546709393</v>
      </c>
      <c r="Y611" s="10">
        <f>GraphSalmonella!$E$80*Salmonella!I611+GraphSalmonella!$E$81</f>
        <v>0.2823920067305572</v>
      </c>
      <c r="Z611" s="10">
        <f>GraphSalmonella!$H$80*Salmonella!I611+GraphSalmonella!$H$81</f>
        <v>-6.4512686973317024E-2</v>
      </c>
    </row>
    <row r="612" spans="1:26" x14ac:dyDescent="0.2">
      <c r="A612" s="1" t="s">
        <v>66</v>
      </c>
      <c r="B612" s="1" t="s">
        <v>96</v>
      </c>
      <c r="C612" s="1" t="s">
        <v>98</v>
      </c>
      <c r="D612" t="s">
        <v>44</v>
      </c>
      <c r="E612" s="1" t="s">
        <v>99</v>
      </c>
      <c r="G612" s="11" t="s">
        <v>512</v>
      </c>
      <c r="H612" s="4">
        <v>7.4</v>
      </c>
      <c r="I612" s="4">
        <v>60</v>
      </c>
      <c r="J612" s="11">
        <v>31.9</v>
      </c>
      <c r="L612" s="12">
        <f t="shared" si="14"/>
        <v>1.503790683057181</v>
      </c>
      <c r="M612" s="11">
        <f>GraphSalmonella!$B$10-(Salmonella!I612-GraphSalmonella!$B$6)/GraphSalmonella!$B$5</f>
        <v>0.2712239435094701</v>
      </c>
      <c r="N612" s="2" t="s">
        <v>1226</v>
      </c>
      <c r="O612">
        <v>1996</v>
      </c>
      <c r="S612" s="10">
        <f>GraphSalmonella!$B$57*Salmonella!I612+GraphSalmonella!$B$58</f>
        <v>0.35072323220664714</v>
      </c>
      <c r="T612" s="10">
        <f>GraphSalmonella!$E$57*Salmonella!I612+GraphSalmonella!$E$58</f>
        <v>3.1370239566030182</v>
      </c>
      <c r="U612" s="10">
        <f>GraphSalmonella!$H$57*Salmonella!I612+GraphSalmonella!$H$58</f>
        <v>0.27208851901262943</v>
      </c>
      <c r="X612" s="10">
        <f>GraphSalmonella!$B$80*Salmonella!I612+GraphSalmonella!$B$81</f>
        <v>0.2738497546709393</v>
      </c>
      <c r="Y612" s="10">
        <f>GraphSalmonella!$E$80*Salmonella!I612+GraphSalmonella!$E$81</f>
        <v>0.2823920067305572</v>
      </c>
      <c r="Z612" s="10">
        <f>GraphSalmonella!$H$80*Salmonella!I612+GraphSalmonella!$H$81</f>
        <v>-6.4512686973317024E-2</v>
      </c>
    </row>
    <row r="613" spans="1:26" x14ac:dyDescent="0.2">
      <c r="A613" s="1" t="s">
        <v>66</v>
      </c>
      <c r="B613" s="1" t="s">
        <v>96</v>
      </c>
      <c r="C613" t="s">
        <v>98</v>
      </c>
      <c r="D613" t="s">
        <v>44</v>
      </c>
      <c r="E613" s="1" t="s">
        <v>99</v>
      </c>
      <c r="G613" s="11" t="s">
        <v>517</v>
      </c>
      <c r="H613" s="4">
        <v>7.4</v>
      </c>
      <c r="I613" s="4">
        <v>60</v>
      </c>
      <c r="J613" s="11">
        <v>0.43</v>
      </c>
      <c r="L613" s="12">
        <f t="shared" si="14"/>
        <v>-0.36653154442041347</v>
      </c>
      <c r="M613" s="11">
        <f>GraphSalmonella!$B$10-(Salmonella!I613-GraphSalmonella!$B$6)/GraphSalmonella!$B$5</f>
        <v>0.2712239435094701</v>
      </c>
      <c r="N613" s="2" t="s">
        <v>1226</v>
      </c>
      <c r="O613">
        <v>1996</v>
      </c>
      <c r="S613" s="10">
        <f>GraphSalmonella!$B$57*Salmonella!I613+GraphSalmonella!$B$58</f>
        <v>0.35072323220664714</v>
      </c>
      <c r="T613" s="10">
        <f>GraphSalmonella!$E$57*Salmonella!I613+GraphSalmonella!$E$58</f>
        <v>3.1370239566030182</v>
      </c>
      <c r="U613" s="10">
        <f>GraphSalmonella!$H$57*Salmonella!I613+GraphSalmonella!$H$58</f>
        <v>0.27208851901262943</v>
      </c>
      <c r="X613" s="10">
        <f>GraphSalmonella!$B$80*Salmonella!I613+GraphSalmonella!$B$81</f>
        <v>0.2738497546709393</v>
      </c>
      <c r="Y613" s="10">
        <f>GraphSalmonella!$E$80*Salmonella!I613+GraphSalmonella!$E$81</f>
        <v>0.2823920067305572</v>
      </c>
      <c r="Z613" s="10">
        <f>GraphSalmonella!$H$80*Salmonella!I613+GraphSalmonella!$H$81</f>
        <v>-6.4512686973317024E-2</v>
      </c>
    </row>
    <row r="614" spans="1:26" x14ac:dyDescent="0.2">
      <c r="A614" s="1" t="s">
        <v>66</v>
      </c>
      <c r="B614" s="1" t="s">
        <v>96</v>
      </c>
      <c r="C614" t="s">
        <v>98</v>
      </c>
      <c r="D614" t="s">
        <v>44</v>
      </c>
      <c r="E614" s="1" t="s">
        <v>99</v>
      </c>
      <c r="G614" s="11" t="s">
        <v>517</v>
      </c>
      <c r="H614" s="4">
        <v>7.4</v>
      </c>
      <c r="I614" s="4">
        <v>60</v>
      </c>
      <c r="J614" s="11">
        <v>1.1000000000000001</v>
      </c>
      <c r="L614" s="12">
        <f t="shared" si="14"/>
        <v>4.1392685158225077E-2</v>
      </c>
      <c r="M614" s="11">
        <f>GraphSalmonella!$B$10-(Salmonella!I614-GraphSalmonella!$B$6)/GraphSalmonella!$B$5</f>
        <v>0.2712239435094701</v>
      </c>
      <c r="N614" s="2" t="s">
        <v>1226</v>
      </c>
      <c r="O614">
        <v>1996</v>
      </c>
      <c r="S614" s="10">
        <f>GraphSalmonella!$B$57*Salmonella!I614+GraphSalmonella!$B$58</f>
        <v>0.35072323220664714</v>
      </c>
      <c r="T614" s="10">
        <f>GraphSalmonella!$E$57*Salmonella!I614+GraphSalmonella!$E$58</f>
        <v>3.1370239566030182</v>
      </c>
      <c r="U614" s="10">
        <f>GraphSalmonella!$H$57*Salmonella!I614+GraphSalmonella!$H$58</f>
        <v>0.27208851901262943</v>
      </c>
      <c r="X614" s="10">
        <f>GraphSalmonella!$B$80*Salmonella!I614+GraphSalmonella!$B$81</f>
        <v>0.2738497546709393</v>
      </c>
      <c r="Y614" s="10">
        <f>GraphSalmonella!$E$80*Salmonella!I614+GraphSalmonella!$E$81</f>
        <v>0.2823920067305572</v>
      </c>
      <c r="Z614" s="10">
        <f>GraphSalmonella!$H$80*Salmonella!I614+GraphSalmonella!$H$81</f>
        <v>-6.4512686973317024E-2</v>
      </c>
    </row>
    <row r="615" spans="1:26" x14ac:dyDescent="0.2">
      <c r="A615" s="1" t="s">
        <v>66</v>
      </c>
      <c r="B615" s="1" t="s">
        <v>96</v>
      </c>
      <c r="C615" s="1" t="s">
        <v>98</v>
      </c>
      <c r="D615" t="s">
        <v>44</v>
      </c>
      <c r="E615" s="1" t="s">
        <v>99</v>
      </c>
      <c r="G615" s="11" t="s">
        <v>517</v>
      </c>
      <c r="H615" s="4">
        <v>7.4</v>
      </c>
      <c r="I615" s="4">
        <v>60</v>
      </c>
      <c r="J615" s="11">
        <v>18.399999999999999</v>
      </c>
      <c r="L615" s="12">
        <f t="shared" si="14"/>
        <v>1.2648178230095364</v>
      </c>
      <c r="M615" s="11">
        <f>GraphSalmonella!$B$10-(Salmonella!I615-GraphSalmonella!$B$6)/GraphSalmonella!$B$5</f>
        <v>0.2712239435094701</v>
      </c>
      <c r="N615" s="2" t="s">
        <v>1226</v>
      </c>
      <c r="O615">
        <v>1996</v>
      </c>
      <c r="S615" s="10">
        <f>GraphSalmonella!$B$57*Salmonella!I615+GraphSalmonella!$B$58</f>
        <v>0.35072323220664714</v>
      </c>
      <c r="T615" s="10">
        <f>GraphSalmonella!$E$57*Salmonella!I615+GraphSalmonella!$E$58</f>
        <v>3.1370239566030182</v>
      </c>
      <c r="U615" s="10">
        <f>GraphSalmonella!$H$57*Salmonella!I615+GraphSalmonella!$H$58</f>
        <v>0.27208851901262943</v>
      </c>
      <c r="X615" s="10">
        <f>GraphSalmonella!$B$80*Salmonella!I615+GraphSalmonella!$B$81</f>
        <v>0.2738497546709393</v>
      </c>
      <c r="Y615" s="10">
        <f>GraphSalmonella!$E$80*Salmonella!I615+GraphSalmonella!$E$81</f>
        <v>0.2823920067305572</v>
      </c>
      <c r="Z615" s="10">
        <f>GraphSalmonella!$H$80*Salmonella!I615+GraphSalmonella!$H$81</f>
        <v>-6.4512686973317024E-2</v>
      </c>
    </row>
    <row r="616" spans="1:26" x14ac:dyDescent="0.2">
      <c r="A616" s="1" t="s">
        <v>66</v>
      </c>
      <c r="B616" s="1" t="s">
        <v>96</v>
      </c>
      <c r="C616" t="s">
        <v>98</v>
      </c>
      <c r="D616" t="s">
        <v>44</v>
      </c>
      <c r="E616" s="1" t="s">
        <v>99</v>
      </c>
      <c r="G616" s="11" t="s">
        <v>511</v>
      </c>
      <c r="H616" s="4">
        <v>7.4</v>
      </c>
      <c r="I616" s="4">
        <v>60</v>
      </c>
      <c r="J616" s="11">
        <v>0.44</v>
      </c>
      <c r="L616" s="12">
        <f t="shared" si="14"/>
        <v>-0.35654732351381258</v>
      </c>
      <c r="M616" s="11">
        <f>GraphSalmonella!$B$10-(Salmonella!I616-GraphSalmonella!$B$6)/GraphSalmonella!$B$5</f>
        <v>0.2712239435094701</v>
      </c>
      <c r="N616" s="2" t="s">
        <v>1226</v>
      </c>
      <c r="O616">
        <v>1996</v>
      </c>
      <c r="S616" s="10">
        <f>GraphSalmonella!$B$57*Salmonella!I616+GraphSalmonella!$B$58</f>
        <v>0.35072323220664714</v>
      </c>
      <c r="T616" s="10">
        <f>GraphSalmonella!$E$57*Salmonella!I616+GraphSalmonella!$E$58</f>
        <v>3.1370239566030182</v>
      </c>
      <c r="U616" s="10">
        <f>GraphSalmonella!$H$57*Salmonella!I616+GraphSalmonella!$H$58</f>
        <v>0.27208851901262943</v>
      </c>
      <c r="X616" s="10">
        <f>GraphSalmonella!$B$80*Salmonella!I616+GraphSalmonella!$B$81</f>
        <v>0.2738497546709393</v>
      </c>
      <c r="Y616" s="10">
        <f>GraphSalmonella!$E$80*Salmonella!I616+GraphSalmonella!$E$81</f>
        <v>0.2823920067305572</v>
      </c>
      <c r="Z616" s="10">
        <f>GraphSalmonella!$H$80*Salmonella!I616+GraphSalmonella!$H$81</f>
        <v>-6.4512686973317024E-2</v>
      </c>
    </row>
    <row r="617" spans="1:26" x14ac:dyDescent="0.2">
      <c r="A617" s="1" t="s">
        <v>66</v>
      </c>
      <c r="B617" s="1" t="s">
        <v>96</v>
      </c>
      <c r="C617" s="1" t="s">
        <v>98</v>
      </c>
      <c r="D617" t="s">
        <v>44</v>
      </c>
      <c r="E617" s="1" t="s">
        <v>99</v>
      </c>
      <c r="G617" s="11" t="s">
        <v>511</v>
      </c>
      <c r="H617" s="4">
        <v>7.4</v>
      </c>
      <c r="I617" s="4">
        <v>60</v>
      </c>
      <c r="J617" s="9">
        <v>0.68</v>
      </c>
      <c r="K617" s="5"/>
      <c r="L617" s="12">
        <f t="shared" si="14"/>
        <v>-0.16749108729376366</v>
      </c>
      <c r="M617" s="11">
        <f>GraphSalmonella!$B$10-(Salmonella!I617-GraphSalmonella!$B$6)/GraphSalmonella!$B$5</f>
        <v>0.2712239435094701</v>
      </c>
      <c r="N617" s="2" t="s">
        <v>1226</v>
      </c>
      <c r="O617">
        <v>1996</v>
      </c>
      <c r="S617" s="10">
        <f>GraphSalmonella!$B$57*Salmonella!I617+GraphSalmonella!$B$58</f>
        <v>0.35072323220664714</v>
      </c>
      <c r="T617" s="10">
        <f>GraphSalmonella!$E$57*Salmonella!I617+GraphSalmonella!$E$58</f>
        <v>3.1370239566030182</v>
      </c>
      <c r="U617" s="10">
        <f>GraphSalmonella!$H$57*Salmonella!I617+GraphSalmonella!$H$58</f>
        <v>0.27208851901262943</v>
      </c>
      <c r="X617" s="10">
        <f>GraphSalmonella!$B$80*Salmonella!I617+GraphSalmonella!$B$81</f>
        <v>0.2738497546709393</v>
      </c>
      <c r="Y617" s="10">
        <f>GraphSalmonella!$E$80*Salmonella!I617+GraphSalmonella!$E$81</f>
        <v>0.2823920067305572</v>
      </c>
      <c r="Z617" s="10">
        <f>GraphSalmonella!$H$80*Salmonella!I617+GraphSalmonella!$H$81</f>
        <v>-6.4512686973317024E-2</v>
      </c>
    </row>
    <row r="618" spans="1:26" x14ac:dyDescent="0.2">
      <c r="A618" s="1" t="s">
        <v>66</v>
      </c>
      <c r="B618" s="1" t="s">
        <v>96</v>
      </c>
      <c r="C618" s="1" t="s">
        <v>98</v>
      </c>
      <c r="D618" t="s">
        <v>44</v>
      </c>
      <c r="E618" s="1" t="s">
        <v>99</v>
      </c>
      <c r="G618" s="11" t="s">
        <v>511</v>
      </c>
      <c r="H618" s="4">
        <v>7.4</v>
      </c>
      <c r="I618" s="4">
        <v>60</v>
      </c>
      <c r="J618" s="9">
        <v>4</v>
      </c>
      <c r="K618" s="5"/>
      <c r="L618" s="12">
        <f t="shared" si="14"/>
        <v>0.6020599913279624</v>
      </c>
      <c r="M618" s="11">
        <f>GraphSalmonella!$B$10-(Salmonella!I618-GraphSalmonella!$B$6)/GraphSalmonella!$B$5</f>
        <v>0.2712239435094701</v>
      </c>
      <c r="N618" s="2" t="s">
        <v>1226</v>
      </c>
      <c r="O618">
        <v>1996</v>
      </c>
      <c r="S618" s="10">
        <f>GraphSalmonella!$B$57*Salmonella!I618+GraphSalmonella!$B$58</f>
        <v>0.35072323220664714</v>
      </c>
      <c r="T618" s="10">
        <f>GraphSalmonella!$E$57*Salmonella!I618+GraphSalmonella!$E$58</f>
        <v>3.1370239566030182</v>
      </c>
      <c r="U618" s="10">
        <f>GraphSalmonella!$H$57*Salmonella!I618+GraphSalmonella!$H$58</f>
        <v>0.27208851901262943</v>
      </c>
      <c r="X618" s="10">
        <f>GraphSalmonella!$B$80*Salmonella!I618+GraphSalmonella!$B$81</f>
        <v>0.2738497546709393</v>
      </c>
      <c r="Y618" s="10">
        <f>GraphSalmonella!$E$80*Salmonella!I618+GraphSalmonella!$E$81</f>
        <v>0.2823920067305572</v>
      </c>
      <c r="Z618" s="10">
        <f>GraphSalmonella!$H$80*Salmonella!I618+GraphSalmonella!$H$81</f>
        <v>-6.4512686973317024E-2</v>
      </c>
    </row>
    <row r="619" spans="1:26" x14ac:dyDescent="0.2">
      <c r="A619" s="1" t="s">
        <v>66</v>
      </c>
      <c r="B619" s="1" t="s">
        <v>96</v>
      </c>
      <c r="C619" t="s">
        <v>98</v>
      </c>
      <c r="D619" t="s">
        <v>44</v>
      </c>
      <c r="E619" s="1" t="s">
        <v>99</v>
      </c>
      <c r="F619" s="1"/>
      <c r="G619" s="11" t="s">
        <v>520</v>
      </c>
      <c r="H619" s="4">
        <v>7.4</v>
      </c>
      <c r="I619" s="4">
        <v>60</v>
      </c>
      <c r="J619" s="11">
        <v>0.41</v>
      </c>
      <c r="L619" s="12">
        <f t="shared" si="14"/>
        <v>-0.38721614328026455</v>
      </c>
      <c r="M619" s="11">
        <f>GraphSalmonella!$B$10-(Salmonella!I619-GraphSalmonella!$B$6)/GraphSalmonella!$B$5</f>
        <v>0.2712239435094701</v>
      </c>
      <c r="N619" s="2" t="s">
        <v>1226</v>
      </c>
      <c r="O619">
        <v>1996</v>
      </c>
      <c r="S619" s="10">
        <f>GraphSalmonella!$B$57*Salmonella!I619+GraphSalmonella!$B$58</f>
        <v>0.35072323220664714</v>
      </c>
      <c r="T619" s="10">
        <f>GraphSalmonella!$E$57*Salmonella!I619+GraphSalmonella!$E$58</f>
        <v>3.1370239566030182</v>
      </c>
      <c r="U619" s="10">
        <f>GraphSalmonella!$H$57*Salmonella!I619+GraphSalmonella!$H$58</f>
        <v>0.27208851901262943</v>
      </c>
      <c r="X619" s="10">
        <f>GraphSalmonella!$B$80*Salmonella!I619+GraphSalmonella!$B$81</f>
        <v>0.2738497546709393</v>
      </c>
      <c r="Y619" s="10">
        <f>GraphSalmonella!$E$80*Salmonella!I619+GraphSalmonella!$E$81</f>
        <v>0.2823920067305572</v>
      </c>
      <c r="Z619" s="10">
        <f>GraphSalmonella!$H$80*Salmonella!I619+GraphSalmonella!$H$81</f>
        <v>-6.4512686973317024E-2</v>
      </c>
    </row>
    <row r="620" spans="1:26" x14ac:dyDescent="0.2">
      <c r="A620" s="1" t="s">
        <v>66</v>
      </c>
      <c r="B620" s="1" t="s">
        <v>96</v>
      </c>
      <c r="C620" s="1" t="s">
        <v>98</v>
      </c>
      <c r="D620" t="s">
        <v>44</v>
      </c>
      <c r="E620" s="1" t="s">
        <v>99</v>
      </c>
      <c r="G620" s="11" t="s">
        <v>520</v>
      </c>
      <c r="H620" s="4">
        <v>7.4</v>
      </c>
      <c r="I620" s="4">
        <v>60</v>
      </c>
      <c r="J620" s="9">
        <v>0.42</v>
      </c>
      <c r="K620" s="5"/>
      <c r="L620" s="12">
        <f t="shared" si="14"/>
        <v>-0.37675070960209955</v>
      </c>
      <c r="M620" s="11">
        <f>GraphSalmonella!$B$10-(Salmonella!I620-GraphSalmonella!$B$6)/GraphSalmonella!$B$5</f>
        <v>0.2712239435094701</v>
      </c>
      <c r="N620" s="2" t="s">
        <v>1226</v>
      </c>
      <c r="O620">
        <v>1996</v>
      </c>
      <c r="S620" s="10">
        <f>GraphSalmonella!$B$57*Salmonella!I620+GraphSalmonella!$B$58</f>
        <v>0.35072323220664714</v>
      </c>
      <c r="T620" s="10">
        <f>GraphSalmonella!$E$57*Salmonella!I620+GraphSalmonella!$E$58</f>
        <v>3.1370239566030182</v>
      </c>
      <c r="U620" s="10">
        <f>GraphSalmonella!$H$57*Salmonella!I620+GraphSalmonella!$H$58</f>
        <v>0.27208851901262943</v>
      </c>
      <c r="X620" s="10">
        <f>GraphSalmonella!$B$80*Salmonella!I620+GraphSalmonella!$B$81</f>
        <v>0.2738497546709393</v>
      </c>
      <c r="Y620" s="10">
        <f>GraphSalmonella!$E$80*Salmonella!I620+GraphSalmonella!$E$81</f>
        <v>0.2823920067305572</v>
      </c>
      <c r="Z620" s="10">
        <f>GraphSalmonella!$H$80*Salmonella!I620+GraphSalmonella!$H$81</f>
        <v>-6.4512686973317024E-2</v>
      </c>
    </row>
    <row r="621" spans="1:26" x14ac:dyDescent="0.2">
      <c r="A621" s="1" t="s">
        <v>66</v>
      </c>
      <c r="B621" s="1" t="s">
        <v>96</v>
      </c>
      <c r="C621" s="1" t="s">
        <v>98</v>
      </c>
      <c r="D621" t="s">
        <v>44</v>
      </c>
      <c r="E621" s="1" t="s">
        <v>99</v>
      </c>
      <c r="G621" s="11" t="s">
        <v>520</v>
      </c>
      <c r="H621" s="4">
        <v>7.4</v>
      </c>
      <c r="I621" s="4">
        <v>60</v>
      </c>
      <c r="J621" s="11">
        <v>0.43</v>
      </c>
      <c r="L621" s="12">
        <f t="shared" si="14"/>
        <v>-0.36653154442041347</v>
      </c>
      <c r="M621" s="11">
        <f>GraphSalmonella!$B$10-(Salmonella!I621-GraphSalmonella!$B$6)/GraphSalmonella!$B$5</f>
        <v>0.2712239435094701</v>
      </c>
      <c r="N621" s="2" t="s">
        <v>1226</v>
      </c>
      <c r="O621">
        <v>1996</v>
      </c>
      <c r="S621" s="10">
        <f>GraphSalmonella!$B$57*Salmonella!I621+GraphSalmonella!$B$58</f>
        <v>0.35072323220664714</v>
      </c>
      <c r="T621" s="10">
        <f>GraphSalmonella!$E$57*Salmonella!I621+GraphSalmonella!$E$58</f>
        <v>3.1370239566030182</v>
      </c>
      <c r="U621" s="10">
        <f>GraphSalmonella!$H$57*Salmonella!I621+GraphSalmonella!$H$58</f>
        <v>0.27208851901262943</v>
      </c>
      <c r="X621" s="10">
        <f>GraphSalmonella!$B$80*Salmonella!I621+GraphSalmonella!$B$81</f>
        <v>0.2738497546709393</v>
      </c>
      <c r="Y621" s="10">
        <f>GraphSalmonella!$E$80*Salmonella!I621+GraphSalmonella!$E$81</f>
        <v>0.2823920067305572</v>
      </c>
      <c r="Z621" s="10">
        <f>GraphSalmonella!$H$80*Salmonella!I621+GraphSalmonella!$H$81</f>
        <v>-6.4512686973317024E-2</v>
      </c>
    </row>
    <row r="622" spans="1:26" x14ac:dyDescent="0.2">
      <c r="A622" s="1" t="s">
        <v>66</v>
      </c>
      <c r="B622" s="1" t="s">
        <v>96</v>
      </c>
      <c r="C622" s="1" t="s">
        <v>98</v>
      </c>
      <c r="D622" t="s">
        <v>44</v>
      </c>
      <c r="E622" s="1" t="s">
        <v>99</v>
      </c>
      <c r="G622" s="11" t="s">
        <v>520</v>
      </c>
      <c r="H622" s="4">
        <v>7.4</v>
      </c>
      <c r="I622" s="4">
        <v>60</v>
      </c>
      <c r="J622" s="9">
        <v>0.49</v>
      </c>
      <c r="K622" s="5"/>
      <c r="L622" s="12">
        <f t="shared" si="14"/>
        <v>-0.30980391997148632</v>
      </c>
      <c r="M622" s="11">
        <f>GraphSalmonella!$B$10-(Salmonella!I622-GraphSalmonella!$B$6)/GraphSalmonella!$B$5</f>
        <v>0.2712239435094701</v>
      </c>
      <c r="N622" s="2" t="s">
        <v>1226</v>
      </c>
      <c r="O622">
        <v>1996</v>
      </c>
      <c r="S622" s="10">
        <f>GraphSalmonella!$B$57*Salmonella!I622+GraphSalmonella!$B$58</f>
        <v>0.35072323220664714</v>
      </c>
      <c r="T622" s="10">
        <f>GraphSalmonella!$E$57*Salmonella!I622+GraphSalmonella!$E$58</f>
        <v>3.1370239566030182</v>
      </c>
      <c r="U622" s="10">
        <f>GraphSalmonella!$H$57*Salmonella!I622+GraphSalmonella!$H$58</f>
        <v>0.27208851901262943</v>
      </c>
      <c r="X622" s="10">
        <f>GraphSalmonella!$B$80*Salmonella!I622+GraphSalmonella!$B$81</f>
        <v>0.2738497546709393</v>
      </c>
      <c r="Y622" s="10">
        <f>GraphSalmonella!$E$80*Salmonella!I622+GraphSalmonella!$E$81</f>
        <v>0.2823920067305572</v>
      </c>
      <c r="Z622" s="10">
        <f>GraphSalmonella!$H$80*Salmonella!I622+GraphSalmonella!$H$81</f>
        <v>-6.4512686973317024E-2</v>
      </c>
    </row>
    <row r="623" spans="1:26" x14ac:dyDescent="0.2">
      <c r="A623" s="1" t="s">
        <v>66</v>
      </c>
      <c r="B623" s="1" t="s">
        <v>96</v>
      </c>
      <c r="C623" s="1" t="s">
        <v>98</v>
      </c>
      <c r="D623" t="s">
        <v>44</v>
      </c>
      <c r="E623" s="1" t="s">
        <v>99</v>
      </c>
      <c r="G623" s="11" t="s">
        <v>520</v>
      </c>
      <c r="H623" s="4">
        <v>7.4</v>
      </c>
      <c r="I623" s="4">
        <v>60</v>
      </c>
      <c r="J623" s="11">
        <v>5.5</v>
      </c>
      <c r="L623" s="12">
        <f t="shared" si="14"/>
        <v>0.74036268949424389</v>
      </c>
      <c r="M623" s="11">
        <f>GraphSalmonella!$B$10-(Salmonella!I623-GraphSalmonella!$B$6)/GraphSalmonella!$B$5</f>
        <v>0.2712239435094701</v>
      </c>
      <c r="N623" s="2" t="s">
        <v>1226</v>
      </c>
      <c r="O623">
        <v>1996</v>
      </c>
      <c r="S623" s="10">
        <f>GraphSalmonella!$B$57*Salmonella!I623+GraphSalmonella!$B$58</f>
        <v>0.35072323220664714</v>
      </c>
      <c r="T623" s="10">
        <f>GraphSalmonella!$E$57*Salmonella!I623+GraphSalmonella!$E$58</f>
        <v>3.1370239566030182</v>
      </c>
      <c r="U623" s="10">
        <f>GraphSalmonella!$H$57*Salmonella!I623+GraphSalmonella!$H$58</f>
        <v>0.27208851901262943</v>
      </c>
      <c r="X623" s="10">
        <f>GraphSalmonella!$B$80*Salmonella!I623+GraphSalmonella!$B$81</f>
        <v>0.2738497546709393</v>
      </c>
      <c r="Y623" s="10">
        <f>GraphSalmonella!$E$80*Salmonella!I623+GraphSalmonella!$E$81</f>
        <v>0.2823920067305572</v>
      </c>
      <c r="Z623" s="10">
        <f>GraphSalmonella!$H$80*Salmonella!I623+GraphSalmonella!$H$81</f>
        <v>-6.4512686973317024E-2</v>
      </c>
    </row>
    <row r="624" spans="1:26" x14ac:dyDescent="0.2">
      <c r="A624" s="1" t="s">
        <v>66</v>
      </c>
      <c r="B624" s="1" t="s">
        <v>96</v>
      </c>
      <c r="D624" t="s">
        <v>44</v>
      </c>
      <c r="E624" s="1" t="s">
        <v>99</v>
      </c>
      <c r="G624" s="11" t="s">
        <v>520</v>
      </c>
      <c r="H624" s="4">
        <v>7.4</v>
      </c>
      <c r="I624" s="4">
        <v>60</v>
      </c>
      <c r="J624" s="11">
        <v>0.3</v>
      </c>
      <c r="L624" s="12">
        <f t="shared" si="14"/>
        <v>-0.52287874528033762</v>
      </c>
      <c r="M624" s="11">
        <f>GraphSalmonella!$B$10-(Salmonella!I624-GraphSalmonella!$B$6)/GraphSalmonella!$B$5</f>
        <v>0.2712239435094701</v>
      </c>
      <c r="N624" s="2" t="s">
        <v>1226</v>
      </c>
      <c r="O624">
        <v>1996</v>
      </c>
      <c r="S624" s="10">
        <f>GraphSalmonella!$B$57*Salmonella!I624+GraphSalmonella!$B$58</f>
        <v>0.35072323220664714</v>
      </c>
      <c r="T624" s="10">
        <f>GraphSalmonella!$E$57*Salmonella!I624+GraphSalmonella!$E$58</f>
        <v>3.1370239566030182</v>
      </c>
      <c r="U624" s="10">
        <f>GraphSalmonella!$H$57*Salmonella!I624+GraphSalmonella!$H$58</f>
        <v>0.27208851901262943</v>
      </c>
      <c r="X624" s="10">
        <f>GraphSalmonella!$B$80*Salmonella!I624+GraphSalmonella!$B$81</f>
        <v>0.2738497546709393</v>
      </c>
      <c r="Y624" s="10">
        <f>GraphSalmonella!$E$80*Salmonella!I624+GraphSalmonella!$E$81</f>
        <v>0.2823920067305572</v>
      </c>
      <c r="Z624" s="10">
        <f>GraphSalmonella!$H$80*Salmonella!I624+GraphSalmonella!$H$81</f>
        <v>-6.4512686973317024E-2</v>
      </c>
    </row>
    <row r="625" spans="1:26" x14ac:dyDescent="0.2">
      <c r="A625" s="1" t="s">
        <v>66</v>
      </c>
      <c r="B625" s="1" t="s">
        <v>96</v>
      </c>
      <c r="D625" t="s">
        <v>44</v>
      </c>
      <c r="E625" s="1" t="s">
        <v>99</v>
      </c>
      <c r="G625" s="11" t="s">
        <v>520</v>
      </c>
      <c r="H625" s="4">
        <v>7.4</v>
      </c>
      <c r="I625" s="4">
        <v>60</v>
      </c>
      <c r="J625" s="11">
        <v>5.3</v>
      </c>
      <c r="L625" s="12">
        <f t="shared" si="14"/>
        <v>0.72427586960078905</v>
      </c>
      <c r="M625" s="11">
        <f>GraphSalmonella!$B$10-(Salmonella!I625-GraphSalmonella!$B$6)/GraphSalmonella!$B$5</f>
        <v>0.2712239435094701</v>
      </c>
      <c r="N625" s="2" t="s">
        <v>1226</v>
      </c>
      <c r="O625">
        <v>1996</v>
      </c>
      <c r="S625" s="10">
        <f>GraphSalmonella!$B$57*Salmonella!I625+GraphSalmonella!$B$58</f>
        <v>0.35072323220664714</v>
      </c>
      <c r="T625" s="10">
        <f>GraphSalmonella!$E$57*Salmonella!I625+GraphSalmonella!$E$58</f>
        <v>3.1370239566030182</v>
      </c>
      <c r="U625" s="10">
        <f>GraphSalmonella!$H$57*Salmonella!I625+GraphSalmonella!$H$58</f>
        <v>0.27208851901262943</v>
      </c>
      <c r="X625" s="10">
        <f>GraphSalmonella!$B$80*Salmonella!I625+GraphSalmonella!$B$81</f>
        <v>0.2738497546709393</v>
      </c>
      <c r="Y625" s="10">
        <f>GraphSalmonella!$E$80*Salmonella!I625+GraphSalmonella!$E$81</f>
        <v>0.2823920067305572</v>
      </c>
      <c r="Z625" s="10">
        <f>GraphSalmonella!$H$80*Salmonella!I625+GraphSalmonella!$H$81</f>
        <v>-6.4512686973317024E-2</v>
      </c>
    </row>
    <row r="626" spans="1:26" x14ac:dyDescent="0.2">
      <c r="A626" s="1" t="s">
        <v>66</v>
      </c>
      <c r="B626" s="1" t="s">
        <v>103</v>
      </c>
      <c r="D626" t="s">
        <v>44</v>
      </c>
      <c r="E626" s="1" t="s">
        <v>99</v>
      </c>
      <c r="G626" s="11" t="s">
        <v>520</v>
      </c>
      <c r="H626" s="4">
        <v>7.4</v>
      </c>
      <c r="I626" s="4">
        <v>60</v>
      </c>
      <c r="J626" s="11">
        <v>0.4</v>
      </c>
      <c r="L626" s="12">
        <f t="shared" si="14"/>
        <v>-0.3979400086720376</v>
      </c>
      <c r="M626" s="11">
        <f>GraphSalmonella!$B$10-(Salmonella!I626-GraphSalmonella!$B$6)/GraphSalmonella!$B$5</f>
        <v>0.2712239435094701</v>
      </c>
      <c r="N626" s="2" t="s">
        <v>1226</v>
      </c>
      <c r="O626">
        <v>1996</v>
      </c>
      <c r="S626" s="10">
        <f>GraphSalmonella!$B$57*Salmonella!I626+GraphSalmonella!$B$58</f>
        <v>0.35072323220664714</v>
      </c>
      <c r="T626" s="10">
        <f>GraphSalmonella!$E$57*Salmonella!I626+GraphSalmonella!$E$58</f>
        <v>3.1370239566030182</v>
      </c>
      <c r="U626" s="10">
        <f>GraphSalmonella!$H$57*Salmonella!I626+GraphSalmonella!$H$58</f>
        <v>0.27208851901262943</v>
      </c>
      <c r="X626" s="10">
        <f>GraphSalmonella!$B$80*Salmonella!I626+GraphSalmonella!$B$81</f>
        <v>0.2738497546709393</v>
      </c>
      <c r="Y626" s="10">
        <f>GraphSalmonella!$E$80*Salmonella!I626+GraphSalmonella!$E$81</f>
        <v>0.2823920067305572</v>
      </c>
      <c r="Z626" s="10">
        <f>GraphSalmonella!$H$80*Salmonella!I626+GraphSalmonella!$H$81</f>
        <v>-6.4512686973317024E-2</v>
      </c>
    </row>
    <row r="627" spans="1:26" x14ac:dyDescent="0.2">
      <c r="A627" s="1" t="s">
        <v>66</v>
      </c>
      <c r="B627" s="1" t="s">
        <v>103</v>
      </c>
      <c r="D627" t="s">
        <v>44</v>
      </c>
      <c r="E627" s="1" t="s">
        <v>99</v>
      </c>
      <c r="G627" s="11" t="s">
        <v>520</v>
      </c>
      <c r="H627" s="4">
        <v>7.4</v>
      </c>
      <c r="I627" s="4">
        <v>60</v>
      </c>
      <c r="J627" s="11">
        <v>0.7</v>
      </c>
      <c r="L627" s="12">
        <f t="shared" si="14"/>
        <v>-0.15490195998574319</v>
      </c>
      <c r="M627" s="11">
        <f>GraphSalmonella!$B$10-(Salmonella!I627-GraphSalmonella!$B$6)/GraphSalmonella!$B$5</f>
        <v>0.2712239435094701</v>
      </c>
      <c r="N627" s="2" t="s">
        <v>1226</v>
      </c>
      <c r="O627">
        <v>1996</v>
      </c>
      <c r="S627" s="10">
        <f>GraphSalmonella!$B$57*Salmonella!I627+GraphSalmonella!$B$58</f>
        <v>0.35072323220664714</v>
      </c>
      <c r="T627" s="10">
        <f>GraphSalmonella!$E$57*Salmonella!I627+GraphSalmonella!$E$58</f>
        <v>3.1370239566030182</v>
      </c>
      <c r="U627" s="10">
        <f>GraphSalmonella!$H$57*Salmonella!I627+GraphSalmonella!$H$58</f>
        <v>0.27208851901262943</v>
      </c>
      <c r="X627" s="10">
        <f>GraphSalmonella!$B$80*Salmonella!I627+GraphSalmonella!$B$81</f>
        <v>0.2738497546709393</v>
      </c>
      <c r="Y627" s="10">
        <f>GraphSalmonella!$E$80*Salmonella!I627+GraphSalmonella!$E$81</f>
        <v>0.2823920067305572</v>
      </c>
      <c r="Z627" s="10">
        <f>GraphSalmonella!$H$80*Salmonella!I627+GraphSalmonella!$H$81</f>
        <v>-6.4512686973317024E-2</v>
      </c>
    </row>
    <row r="628" spans="1:26" x14ac:dyDescent="0.2">
      <c r="A628" s="1" t="s">
        <v>66</v>
      </c>
      <c r="B628" s="1" t="s">
        <v>104</v>
      </c>
      <c r="C628" s="1"/>
      <c r="D628" t="s">
        <v>44</v>
      </c>
      <c r="E628" s="1" t="s">
        <v>99</v>
      </c>
      <c r="G628" s="11" t="s">
        <v>520</v>
      </c>
      <c r="H628" s="4">
        <v>7.4</v>
      </c>
      <c r="I628" s="4">
        <v>60</v>
      </c>
      <c r="J628" s="9">
        <v>0.4</v>
      </c>
      <c r="K628" s="5"/>
      <c r="L628" s="12">
        <f t="shared" si="14"/>
        <v>-0.3979400086720376</v>
      </c>
      <c r="M628" s="11">
        <f>GraphSalmonella!$B$10-(Salmonella!I628-GraphSalmonella!$B$6)/GraphSalmonella!$B$5</f>
        <v>0.2712239435094701</v>
      </c>
      <c r="N628" s="2" t="s">
        <v>1226</v>
      </c>
      <c r="O628">
        <v>1996</v>
      </c>
      <c r="S628" s="10">
        <f>GraphSalmonella!$B$57*Salmonella!I628+GraphSalmonella!$B$58</f>
        <v>0.35072323220664714</v>
      </c>
      <c r="T628" s="10">
        <f>GraphSalmonella!$E$57*Salmonella!I628+GraphSalmonella!$E$58</f>
        <v>3.1370239566030182</v>
      </c>
      <c r="U628" s="10">
        <f>GraphSalmonella!$H$57*Salmonella!I628+GraphSalmonella!$H$58</f>
        <v>0.27208851901262943</v>
      </c>
      <c r="X628" s="10">
        <f>GraphSalmonella!$B$80*Salmonella!I628+GraphSalmonella!$B$81</f>
        <v>0.2738497546709393</v>
      </c>
      <c r="Y628" s="10">
        <f>GraphSalmonella!$E$80*Salmonella!I628+GraphSalmonella!$E$81</f>
        <v>0.2823920067305572</v>
      </c>
      <c r="Z628" s="10">
        <f>GraphSalmonella!$H$80*Salmonella!I628+GraphSalmonella!$H$81</f>
        <v>-6.4512686973317024E-2</v>
      </c>
    </row>
    <row r="629" spans="1:26" x14ac:dyDescent="0.2">
      <c r="A629" s="1" t="s">
        <v>66</v>
      </c>
      <c r="B629" s="1" t="s">
        <v>104</v>
      </c>
      <c r="D629" t="s">
        <v>44</v>
      </c>
      <c r="E629" s="1" t="s">
        <v>99</v>
      </c>
      <c r="G629" s="11" t="s">
        <v>520</v>
      </c>
      <c r="H629" s="4">
        <v>7.4</v>
      </c>
      <c r="I629" s="4">
        <v>60</v>
      </c>
      <c r="J629" s="11">
        <v>0.9</v>
      </c>
      <c r="L629" s="12">
        <f t="shared" si="14"/>
        <v>-4.5757490560675115E-2</v>
      </c>
      <c r="M629" s="11">
        <f>GraphSalmonella!$B$10-(Salmonella!I629-GraphSalmonella!$B$6)/GraphSalmonella!$B$5</f>
        <v>0.2712239435094701</v>
      </c>
      <c r="N629" s="2" t="s">
        <v>1226</v>
      </c>
      <c r="O629">
        <v>1996</v>
      </c>
      <c r="S629" s="10">
        <f>GraphSalmonella!$B$57*Salmonella!I629+GraphSalmonella!$B$58</f>
        <v>0.35072323220664714</v>
      </c>
      <c r="T629" s="10">
        <f>GraphSalmonella!$E$57*Salmonella!I629+GraphSalmonella!$E$58</f>
        <v>3.1370239566030182</v>
      </c>
      <c r="U629" s="10">
        <f>GraphSalmonella!$H$57*Salmonella!I629+GraphSalmonella!$H$58</f>
        <v>0.27208851901262943</v>
      </c>
      <c r="X629" s="10">
        <f>GraphSalmonella!$B$80*Salmonella!I629+GraphSalmonella!$B$81</f>
        <v>0.2738497546709393</v>
      </c>
      <c r="Y629" s="10">
        <f>GraphSalmonella!$E$80*Salmonella!I629+GraphSalmonella!$E$81</f>
        <v>0.2823920067305572</v>
      </c>
      <c r="Z629" s="10">
        <f>GraphSalmonella!$H$80*Salmonella!I629+GraphSalmonella!$H$81</f>
        <v>-6.4512686973317024E-2</v>
      </c>
    </row>
    <row r="630" spans="1:26" x14ac:dyDescent="0.2">
      <c r="A630" s="1" t="s">
        <v>66</v>
      </c>
      <c r="B630" s="1" t="s">
        <v>105</v>
      </c>
      <c r="D630" t="s">
        <v>44</v>
      </c>
      <c r="E630" s="1" t="s">
        <v>99</v>
      </c>
      <c r="G630" s="11" t="s">
        <v>520</v>
      </c>
      <c r="H630" s="4">
        <v>7.4</v>
      </c>
      <c r="I630" s="4">
        <v>60</v>
      </c>
      <c r="J630" s="11">
        <v>1.3</v>
      </c>
      <c r="L630" s="12">
        <f t="shared" si="14"/>
        <v>0.11394335230683679</v>
      </c>
      <c r="M630" s="11">
        <f>GraphSalmonella!$B$10-(Salmonella!I630-GraphSalmonella!$B$6)/GraphSalmonella!$B$5</f>
        <v>0.2712239435094701</v>
      </c>
      <c r="N630" s="2" t="s">
        <v>1226</v>
      </c>
      <c r="O630">
        <v>1996</v>
      </c>
      <c r="S630" s="10">
        <f>GraphSalmonella!$B$57*Salmonella!I630+GraphSalmonella!$B$58</f>
        <v>0.35072323220664714</v>
      </c>
      <c r="T630" s="10">
        <f>GraphSalmonella!$E$57*Salmonella!I630+GraphSalmonella!$E$58</f>
        <v>3.1370239566030182</v>
      </c>
      <c r="U630" s="10">
        <f>GraphSalmonella!$H$57*Salmonella!I630+GraphSalmonella!$H$58</f>
        <v>0.27208851901262943</v>
      </c>
      <c r="X630" s="10">
        <f>GraphSalmonella!$B$80*Salmonella!I630+GraphSalmonella!$B$81</f>
        <v>0.2738497546709393</v>
      </c>
      <c r="Y630" s="10">
        <f>GraphSalmonella!$E$80*Salmonella!I630+GraphSalmonella!$E$81</f>
        <v>0.2823920067305572</v>
      </c>
      <c r="Z630" s="10">
        <f>GraphSalmonella!$H$80*Salmonella!I630+GraphSalmonella!$H$81</f>
        <v>-6.4512686973317024E-2</v>
      </c>
    </row>
    <row r="631" spans="1:26" x14ac:dyDescent="0.2">
      <c r="A631" s="1" t="s">
        <v>66</v>
      </c>
      <c r="B631" s="1" t="s">
        <v>105</v>
      </c>
      <c r="D631" t="s">
        <v>44</v>
      </c>
      <c r="E631" s="1" t="s">
        <v>99</v>
      </c>
      <c r="G631" s="11" t="s">
        <v>520</v>
      </c>
      <c r="H631" s="4">
        <v>7.4</v>
      </c>
      <c r="I631" s="4">
        <v>60</v>
      </c>
      <c r="J631" s="11">
        <v>2.2999999999999998</v>
      </c>
      <c r="L631" s="12">
        <f t="shared" si="14"/>
        <v>0.36172783601759284</v>
      </c>
      <c r="M631" s="11">
        <f>GraphSalmonella!$B$10-(Salmonella!I631-GraphSalmonella!$B$6)/GraphSalmonella!$B$5</f>
        <v>0.2712239435094701</v>
      </c>
      <c r="N631" s="2" t="s">
        <v>1226</v>
      </c>
      <c r="O631">
        <v>1996</v>
      </c>
      <c r="S631" s="10">
        <f>GraphSalmonella!$B$57*Salmonella!I631+GraphSalmonella!$B$58</f>
        <v>0.35072323220664714</v>
      </c>
      <c r="T631" s="10">
        <f>GraphSalmonella!$E$57*Salmonella!I631+GraphSalmonella!$E$58</f>
        <v>3.1370239566030182</v>
      </c>
      <c r="U631" s="10">
        <f>GraphSalmonella!$H$57*Salmonella!I631+GraphSalmonella!$H$58</f>
        <v>0.27208851901262943</v>
      </c>
      <c r="X631" s="10">
        <f>GraphSalmonella!$B$80*Salmonella!I631+GraphSalmonella!$B$81</f>
        <v>0.2738497546709393</v>
      </c>
      <c r="Y631" s="10">
        <f>GraphSalmonella!$E$80*Salmonella!I631+GraphSalmonella!$E$81</f>
        <v>0.2823920067305572</v>
      </c>
      <c r="Z631" s="10">
        <f>GraphSalmonella!$H$80*Salmonella!I631+GraphSalmonella!$H$81</f>
        <v>-6.4512686973317024E-2</v>
      </c>
    </row>
    <row r="632" spans="1:26" x14ac:dyDescent="0.2">
      <c r="A632" s="1" t="s">
        <v>66</v>
      </c>
      <c r="B632" s="1" t="s">
        <v>106</v>
      </c>
      <c r="D632" t="s">
        <v>44</v>
      </c>
      <c r="E632" s="1" t="s">
        <v>99</v>
      </c>
      <c r="G632" s="11" t="s">
        <v>520</v>
      </c>
      <c r="H632" s="4">
        <v>7.4</v>
      </c>
      <c r="I632" s="4">
        <v>60</v>
      </c>
      <c r="J632" s="11">
        <v>0.3</v>
      </c>
      <c r="L632" s="12">
        <f t="shared" si="14"/>
        <v>-0.52287874528033762</v>
      </c>
      <c r="M632" s="11">
        <f>GraphSalmonella!$B$10-(Salmonella!I632-GraphSalmonella!$B$6)/GraphSalmonella!$B$5</f>
        <v>0.2712239435094701</v>
      </c>
      <c r="N632" s="2" t="s">
        <v>1226</v>
      </c>
      <c r="O632">
        <v>1996</v>
      </c>
      <c r="S632" s="10">
        <f>GraphSalmonella!$B$57*Salmonella!I632+GraphSalmonella!$B$58</f>
        <v>0.35072323220664714</v>
      </c>
      <c r="T632" s="10">
        <f>GraphSalmonella!$E$57*Salmonella!I632+GraphSalmonella!$E$58</f>
        <v>3.1370239566030182</v>
      </c>
      <c r="U632" s="10">
        <f>GraphSalmonella!$H$57*Salmonella!I632+GraphSalmonella!$H$58</f>
        <v>0.27208851901262943</v>
      </c>
      <c r="X632" s="10">
        <f>GraphSalmonella!$B$80*Salmonella!I632+GraphSalmonella!$B$81</f>
        <v>0.2738497546709393</v>
      </c>
      <c r="Y632" s="10">
        <f>GraphSalmonella!$E$80*Salmonella!I632+GraphSalmonella!$E$81</f>
        <v>0.2823920067305572</v>
      </c>
      <c r="Z632" s="10">
        <f>GraphSalmonella!$H$80*Salmonella!I632+GraphSalmonella!$H$81</f>
        <v>-6.4512686973317024E-2</v>
      </c>
    </row>
    <row r="633" spans="1:26" x14ac:dyDescent="0.2">
      <c r="A633" s="1" t="s">
        <v>66</v>
      </c>
      <c r="B633" s="1" t="s">
        <v>82</v>
      </c>
      <c r="D633" t="s">
        <v>44</v>
      </c>
      <c r="E633" s="1" t="s">
        <v>99</v>
      </c>
      <c r="G633" s="11" t="s">
        <v>520</v>
      </c>
      <c r="H633" s="4">
        <v>7.4</v>
      </c>
      <c r="I633" s="4">
        <v>60</v>
      </c>
      <c r="J633" s="11">
        <v>0.5</v>
      </c>
      <c r="L633" s="12">
        <f t="shared" si="14"/>
        <v>-0.3010299956639812</v>
      </c>
      <c r="M633" s="11">
        <f>GraphSalmonella!$B$10-(Salmonella!I633-GraphSalmonella!$B$6)/GraphSalmonella!$B$5</f>
        <v>0.2712239435094701</v>
      </c>
      <c r="N633" s="2" t="s">
        <v>1226</v>
      </c>
      <c r="O633">
        <v>1996</v>
      </c>
      <c r="S633" s="10">
        <f>GraphSalmonella!$B$57*Salmonella!I633+GraphSalmonella!$B$58</f>
        <v>0.35072323220664714</v>
      </c>
      <c r="T633" s="10">
        <f>GraphSalmonella!$E$57*Salmonella!I633+GraphSalmonella!$E$58</f>
        <v>3.1370239566030182</v>
      </c>
      <c r="U633" s="10">
        <f>GraphSalmonella!$H$57*Salmonella!I633+GraphSalmonella!$H$58</f>
        <v>0.27208851901262943</v>
      </c>
      <c r="X633" s="10">
        <f>GraphSalmonella!$B$80*Salmonella!I633+GraphSalmonella!$B$81</f>
        <v>0.2738497546709393</v>
      </c>
      <c r="Y633" s="10">
        <f>GraphSalmonella!$E$80*Salmonella!I633+GraphSalmonella!$E$81</f>
        <v>0.2823920067305572</v>
      </c>
      <c r="Z633" s="10">
        <f>GraphSalmonella!$H$80*Salmonella!I633+GraphSalmonella!$H$81</f>
        <v>-6.4512686973317024E-2</v>
      </c>
    </row>
    <row r="634" spans="1:26" x14ac:dyDescent="0.2">
      <c r="A634" s="1" t="s">
        <v>66</v>
      </c>
      <c r="B634" s="1" t="s">
        <v>82</v>
      </c>
      <c r="D634" t="s">
        <v>44</v>
      </c>
      <c r="E634" s="1" t="s">
        <v>99</v>
      </c>
      <c r="G634" s="11" t="s">
        <v>520</v>
      </c>
      <c r="H634" s="4">
        <v>7.4</v>
      </c>
      <c r="I634" s="4">
        <v>60</v>
      </c>
      <c r="J634" s="11">
        <v>1.2</v>
      </c>
      <c r="L634" s="12">
        <f t="shared" si="14"/>
        <v>7.9181246047624818E-2</v>
      </c>
      <c r="M634" s="11">
        <f>GraphSalmonella!$B$10-(Salmonella!I634-GraphSalmonella!$B$6)/GraphSalmonella!$B$5</f>
        <v>0.2712239435094701</v>
      </c>
      <c r="N634" s="2" t="s">
        <v>1226</v>
      </c>
      <c r="O634">
        <v>1996</v>
      </c>
      <c r="S634" s="10">
        <f>GraphSalmonella!$B$57*Salmonella!I634+GraphSalmonella!$B$58</f>
        <v>0.35072323220664714</v>
      </c>
      <c r="T634" s="10">
        <f>GraphSalmonella!$E$57*Salmonella!I634+GraphSalmonella!$E$58</f>
        <v>3.1370239566030182</v>
      </c>
      <c r="U634" s="10">
        <f>GraphSalmonella!$H$57*Salmonella!I634+GraphSalmonella!$H$58</f>
        <v>0.27208851901262943</v>
      </c>
      <c r="X634" s="10">
        <f>GraphSalmonella!$B$80*Salmonella!I634+GraphSalmonella!$B$81</f>
        <v>0.2738497546709393</v>
      </c>
      <c r="Y634" s="10">
        <f>GraphSalmonella!$E$80*Salmonella!I634+GraphSalmonella!$E$81</f>
        <v>0.2823920067305572</v>
      </c>
      <c r="Z634" s="10">
        <f>GraphSalmonella!$H$80*Salmonella!I634+GraphSalmonella!$H$81</f>
        <v>-6.4512686973317024E-2</v>
      </c>
    </row>
    <row r="635" spans="1:26" x14ac:dyDescent="0.2">
      <c r="A635" s="1" t="s">
        <v>66</v>
      </c>
      <c r="B635" s="1" t="s">
        <v>107</v>
      </c>
      <c r="C635" s="1"/>
      <c r="D635" t="s">
        <v>44</v>
      </c>
      <c r="E635" s="1" t="s">
        <v>99</v>
      </c>
      <c r="G635" s="11" t="s">
        <v>520</v>
      </c>
      <c r="H635" s="4">
        <v>7.4</v>
      </c>
      <c r="I635" s="4">
        <v>60</v>
      </c>
      <c r="J635" s="9">
        <v>0.4</v>
      </c>
      <c r="K635" s="5"/>
      <c r="L635" s="12">
        <f t="shared" si="14"/>
        <v>-0.3979400086720376</v>
      </c>
      <c r="M635" s="11">
        <f>GraphSalmonella!$B$10-(Salmonella!I635-GraphSalmonella!$B$6)/GraphSalmonella!$B$5</f>
        <v>0.2712239435094701</v>
      </c>
      <c r="N635" s="2" t="s">
        <v>1226</v>
      </c>
      <c r="O635">
        <v>1996</v>
      </c>
      <c r="S635" s="10">
        <f>GraphSalmonella!$B$57*Salmonella!I635+GraphSalmonella!$B$58</f>
        <v>0.35072323220664714</v>
      </c>
      <c r="T635" s="10">
        <f>GraphSalmonella!$E$57*Salmonella!I635+GraphSalmonella!$E$58</f>
        <v>3.1370239566030182</v>
      </c>
      <c r="U635" s="10">
        <f>GraphSalmonella!$H$57*Salmonella!I635+GraphSalmonella!$H$58</f>
        <v>0.27208851901262943</v>
      </c>
      <c r="X635" s="10">
        <f>GraphSalmonella!$B$80*Salmonella!I635+GraphSalmonella!$B$81</f>
        <v>0.2738497546709393</v>
      </c>
      <c r="Y635" s="10">
        <f>GraphSalmonella!$E$80*Salmonella!I635+GraphSalmonella!$E$81</f>
        <v>0.2823920067305572</v>
      </c>
      <c r="Z635" s="10">
        <f>GraphSalmonella!$H$80*Salmonella!I635+GraphSalmonella!$H$81</f>
        <v>-6.4512686973317024E-2</v>
      </c>
    </row>
    <row r="636" spans="1:26" x14ac:dyDescent="0.2">
      <c r="A636" s="1" t="s">
        <v>66</v>
      </c>
      <c r="B636" s="1" t="s">
        <v>107</v>
      </c>
      <c r="D636" t="s">
        <v>44</v>
      </c>
      <c r="E636" s="1" t="s">
        <v>99</v>
      </c>
      <c r="G636" s="11" t="s">
        <v>520</v>
      </c>
      <c r="H636" s="4">
        <v>7.4</v>
      </c>
      <c r="I636" s="4">
        <v>60</v>
      </c>
      <c r="J636" s="11">
        <v>1.2</v>
      </c>
      <c r="L636" s="12">
        <f t="shared" si="14"/>
        <v>7.9181246047624818E-2</v>
      </c>
      <c r="M636" s="11">
        <f>GraphSalmonella!$B$10-(Salmonella!I636-GraphSalmonella!$B$6)/GraphSalmonella!$B$5</f>
        <v>0.2712239435094701</v>
      </c>
      <c r="N636" s="2" t="s">
        <v>1226</v>
      </c>
      <c r="O636">
        <v>1996</v>
      </c>
      <c r="S636" s="10">
        <f>GraphSalmonella!$B$57*Salmonella!I636+GraphSalmonella!$B$58</f>
        <v>0.35072323220664714</v>
      </c>
      <c r="T636" s="10">
        <f>GraphSalmonella!$E$57*Salmonella!I636+GraphSalmonella!$E$58</f>
        <v>3.1370239566030182</v>
      </c>
      <c r="U636" s="10">
        <f>GraphSalmonella!$H$57*Salmonella!I636+GraphSalmonella!$H$58</f>
        <v>0.27208851901262943</v>
      </c>
      <c r="X636" s="10">
        <f>GraphSalmonella!$B$80*Salmonella!I636+GraphSalmonella!$B$81</f>
        <v>0.2738497546709393</v>
      </c>
      <c r="Y636" s="10">
        <f>GraphSalmonella!$E$80*Salmonella!I636+GraphSalmonella!$E$81</f>
        <v>0.2823920067305572</v>
      </c>
      <c r="Z636" s="10">
        <f>GraphSalmonella!$H$80*Salmonella!I636+GraphSalmonella!$H$81</f>
        <v>-6.4512686973317024E-2</v>
      </c>
    </row>
    <row r="637" spans="1:26" x14ac:dyDescent="0.2">
      <c r="A637" s="1" t="s">
        <v>66</v>
      </c>
      <c r="B637" s="1" t="s">
        <v>108</v>
      </c>
      <c r="D637" t="s">
        <v>44</v>
      </c>
      <c r="E637" s="1" t="s">
        <v>99</v>
      </c>
      <c r="G637" s="11" t="s">
        <v>520</v>
      </c>
      <c r="H637" s="4">
        <v>7.4</v>
      </c>
      <c r="I637" s="4">
        <v>60</v>
      </c>
      <c r="J637" s="11">
        <v>0.5</v>
      </c>
      <c r="L637" s="12">
        <f t="shared" si="14"/>
        <v>-0.3010299956639812</v>
      </c>
      <c r="M637" s="11">
        <f>GraphSalmonella!$B$10-(Salmonella!I637-GraphSalmonella!$B$6)/GraphSalmonella!$B$5</f>
        <v>0.2712239435094701</v>
      </c>
      <c r="N637" s="2" t="s">
        <v>1226</v>
      </c>
      <c r="O637">
        <v>1996</v>
      </c>
      <c r="S637" s="10">
        <f>GraphSalmonella!$B$57*Salmonella!I637+GraphSalmonella!$B$58</f>
        <v>0.35072323220664714</v>
      </c>
      <c r="T637" s="10">
        <f>GraphSalmonella!$E$57*Salmonella!I637+GraphSalmonella!$E$58</f>
        <v>3.1370239566030182</v>
      </c>
      <c r="U637" s="10">
        <f>GraphSalmonella!$H$57*Salmonella!I637+GraphSalmonella!$H$58</f>
        <v>0.27208851901262943</v>
      </c>
      <c r="X637" s="10">
        <f>GraphSalmonella!$B$80*Salmonella!I637+GraphSalmonella!$B$81</f>
        <v>0.2738497546709393</v>
      </c>
      <c r="Y637" s="10">
        <f>GraphSalmonella!$E$80*Salmonella!I637+GraphSalmonella!$E$81</f>
        <v>0.2823920067305572</v>
      </c>
      <c r="Z637" s="10">
        <f>GraphSalmonella!$H$80*Salmonella!I637+GraphSalmonella!$H$81</f>
        <v>-6.4512686973317024E-2</v>
      </c>
    </row>
    <row r="638" spans="1:26" x14ac:dyDescent="0.2">
      <c r="A638" s="1" t="s">
        <v>66</v>
      </c>
      <c r="B638" s="1" t="s">
        <v>108</v>
      </c>
      <c r="D638" t="s">
        <v>44</v>
      </c>
      <c r="E638" s="1" t="s">
        <v>99</v>
      </c>
      <c r="G638" s="11" t="s">
        <v>520</v>
      </c>
      <c r="H638" s="4">
        <v>7.4</v>
      </c>
      <c r="I638" s="4">
        <v>60</v>
      </c>
      <c r="J638" s="11">
        <v>0.6</v>
      </c>
      <c r="L638" s="12">
        <f t="shared" si="14"/>
        <v>-0.22184874961635639</v>
      </c>
      <c r="M638" s="11">
        <f>GraphSalmonella!$B$10-(Salmonella!I638-GraphSalmonella!$B$6)/GraphSalmonella!$B$5</f>
        <v>0.2712239435094701</v>
      </c>
      <c r="N638" s="2" t="s">
        <v>1226</v>
      </c>
      <c r="O638">
        <v>1996</v>
      </c>
      <c r="S638" s="10">
        <f>GraphSalmonella!$B$57*Salmonella!I638+GraphSalmonella!$B$58</f>
        <v>0.35072323220664714</v>
      </c>
      <c r="T638" s="10">
        <f>GraphSalmonella!$E$57*Salmonella!I638+GraphSalmonella!$E$58</f>
        <v>3.1370239566030182</v>
      </c>
      <c r="U638" s="10">
        <f>GraphSalmonella!$H$57*Salmonella!I638+GraphSalmonella!$H$58</f>
        <v>0.27208851901262943</v>
      </c>
      <c r="X638" s="10">
        <f>GraphSalmonella!$B$80*Salmonella!I638+GraphSalmonella!$B$81</f>
        <v>0.2738497546709393</v>
      </c>
      <c r="Y638" s="10">
        <f>GraphSalmonella!$E$80*Salmonella!I638+GraphSalmonella!$E$81</f>
        <v>0.2823920067305572</v>
      </c>
      <c r="Z638" s="10">
        <f>GraphSalmonella!$H$80*Salmonella!I638+GraphSalmonella!$H$81</f>
        <v>-6.4512686973317024E-2</v>
      </c>
    </row>
    <row r="639" spans="1:26" x14ac:dyDescent="0.2">
      <c r="A639" s="1" t="s">
        <v>66</v>
      </c>
      <c r="B639" s="1" t="s">
        <v>109</v>
      </c>
      <c r="D639" t="s">
        <v>44</v>
      </c>
      <c r="E639" s="1" t="s">
        <v>99</v>
      </c>
      <c r="G639" s="11" t="s">
        <v>520</v>
      </c>
      <c r="H639" s="4">
        <v>7.4</v>
      </c>
      <c r="I639" s="4">
        <v>60</v>
      </c>
      <c r="J639" s="11">
        <v>0.7</v>
      </c>
      <c r="L639" s="12">
        <f t="shared" si="14"/>
        <v>-0.15490195998574319</v>
      </c>
      <c r="M639" s="11">
        <f>GraphSalmonella!$B$10-(Salmonella!I639-GraphSalmonella!$B$6)/GraphSalmonella!$B$5</f>
        <v>0.2712239435094701</v>
      </c>
      <c r="N639" s="2" t="s">
        <v>1226</v>
      </c>
      <c r="O639">
        <v>1996</v>
      </c>
      <c r="S639" s="10">
        <f>GraphSalmonella!$B$57*Salmonella!I639+GraphSalmonella!$B$58</f>
        <v>0.35072323220664714</v>
      </c>
      <c r="T639" s="10">
        <f>GraphSalmonella!$E$57*Salmonella!I639+GraphSalmonella!$E$58</f>
        <v>3.1370239566030182</v>
      </c>
      <c r="U639" s="10">
        <f>GraphSalmonella!$H$57*Salmonella!I639+GraphSalmonella!$H$58</f>
        <v>0.27208851901262943</v>
      </c>
      <c r="X639" s="10">
        <f>GraphSalmonella!$B$80*Salmonella!I639+GraphSalmonella!$B$81</f>
        <v>0.2738497546709393</v>
      </c>
      <c r="Y639" s="10">
        <f>GraphSalmonella!$E$80*Salmonella!I639+GraphSalmonella!$E$81</f>
        <v>0.2823920067305572</v>
      </c>
      <c r="Z639" s="10">
        <f>GraphSalmonella!$H$80*Salmonella!I639+GraphSalmonella!$H$81</f>
        <v>-6.4512686973317024E-2</v>
      </c>
    </row>
    <row r="640" spans="1:26" x14ac:dyDescent="0.2">
      <c r="A640" s="1" t="s">
        <v>66</v>
      </c>
      <c r="B640" s="1" t="s">
        <v>109</v>
      </c>
      <c r="D640" t="s">
        <v>44</v>
      </c>
      <c r="E640" s="1" t="s">
        <v>99</v>
      </c>
      <c r="G640" s="11" t="s">
        <v>520</v>
      </c>
      <c r="H640" s="4">
        <v>7.4</v>
      </c>
      <c r="I640" s="4">
        <v>60</v>
      </c>
      <c r="J640" s="11">
        <v>0.8</v>
      </c>
      <c r="L640" s="12">
        <f t="shared" si="14"/>
        <v>-9.6910013008056392E-2</v>
      </c>
      <c r="M640" s="11">
        <f>GraphSalmonella!$B$10-(Salmonella!I640-GraphSalmonella!$B$6)/GraphSalmonella!$B$5</f>
        <v>0.2712239435094701</v>
      </c>
      <c r="N640" s="2" t="s">
        <v>1226</v>
      </c>
      <c r="O640">
        <v>1996</v>
      </c>
      <c r="S640" s="10">
        <f>GraphSalmonella!$B$57*Salmonella!I640+GraphSalmonella!$B$58</f>
        <v>0.35072323220664714</v>
      </c>
      <c r="T640" s="10">
        <f>GraphSalmonella!$E$57*Salmonella!I640+GraphSalmonella!$E$58</f>
        <v>3.1370239566030182</v>
      </c>
      <c r="U640" s="10">
        <f>GraphSalmonella!$H$57*Salmonella!I640+GraphSalmonella!$H$58</f>
        <v>0.27208851901262943</v>
      </c>
      <c r="X640" s="10">
        <f>GraphSalmonella!$B$80*Salmonella!I640+GraphSalmonella!$B$81</f>
        <v>0.2738497546709393</v>
      </c>
      <c r="Y640" s="10">
        <f>GraphSalmonella!$E$80*Salmonella!I640+GraphSalmonella!$E$81</f>
        <v>0.2823920067305572</v>
      </c>
      <c r="Z640" s="10">
        <f>GraphSalmonella!$H$80*Salmonella!I640+GraphSalmonella!$H$81</f>
        <v>-6.4512686973317024E-2</v>
      </c>
    </row>
    <row r="641" spans="1:26" x14ac:dyDescent="0.2">
      <c r="A641" s="1" t="s">
        <v>66</v>
      </c>
      <c r="B641" s="1" t="s">
        <v>110</v>
      </c>
      <c r="C641" s="1"/>
      <c r="D641" t="s">
        <v>44</v>
      </c>
      <c r="E641" s="1" t="s">
        <v>99</v>
      </c>
      <c r="G641" s="11" t="s">
        <v>520</v>
      </c>
      <c r="H641" s="4">
        <v>7.4</v>
      </c>
      <c r="I641" s="4">
        <v>60</v>
      </c>
      <c r="J641" s="9">
        <v>0.6</v>
      </c>
      <c r="K641" s="5"/>
      <c r="L641" s="12">
        <f t="shared" si="14"/>
        <v>-0.22184874961635639</v>
      </c>
      <c r="M641" s="11">
        <f>GraphSalmonella!$B$10-(Salmonella!I641-GraphSalmonella!$B$6)/GraphSalmonella!$B$5</f>
        <v>0.2712239435094701</v>
      </c>
      <c r="N641" s="2" t="s">
        <v>1226</v>
      </c>
      <c r="O641">
        <v>1996</v>
      </c>
      <c r="S641" s="10">
        <f>GraphSalmonella!$B$57*Salmonella!I641+GraphSalmonella!$B$58</f>
        <v>0.35072323220664714</v>
      </c>
      <c r="T641" s="10">
        <f>GraphSalmonella!$E$57*Salmonella!I641+GraphSalmonella!$E$58</f>
        <v>3.1370239566030182</v>
      </c>
      <c r="U641" s="10">
        <f>GraphSalmonella!$H$57*Salmonella!I641+GraphSalmonella!$H$58</f>
        <v>0.27208851901262943</v>
      </c>
      <c r="X641" s="10">
        <f>GraphSalmonella!$B$80*Salmonella!I641+GraphSalmonella!$B$81</f>
        <v>0.2738497546709393</v>
      </c>
      <c r="Y641" s="10">
        <f>GraphSalmonella!$E$80*Salmonella!I641+GraphSalmonella!$E$81</f>
        <v>0.2823920067305572</v>
      </c>
      <c r="Z641" s="10">
        <f>GraphSalmonella!$H$80*Salmonella!I641+GraphSalmonella!$H$81</f>
        <v>-6.4512686973317024E-2</v>
      </c>
    </row>
    <row r="642" spans="1:26" x14ac:dyDescent="0.2">
      <c r="A642" s="1" t="s">
        <v>66</v>
      </c>
      <c r="B642" s="1" t="s">
        <v>111</v>
      </c>
      <c r="D642" t="s">
        <v>44</v>
      </c>
      <c r="E642" s="1" t="s">
        <v>99</v>
      </c>
      <c r="G642" s="11" t="s">
        <v>520</v>
      </c>
      <c r="H642" s="4">
        <v>7.4</v>
      </c>
      <c r="I642" s="4">
        <v>60</v>
      </c>
      <c r="J642" s="11">
        <v>0.6</v>
      </c>
      <c r="L642" s="12">
        <f t="shared" si="14"/>
        <v>-0.22184874961635639</v>
      </c>
      <c r="M642" s="11">
        <f>GraphSalmonella!$B$10-(Salmonella!I642-GraphSalmonella!$B$6)/GraphSalmonella!$B$5</f>
        <v>0.2712239435094701</v>
      </c>
      <c r="N642" s="2" t="s">
        <v>1226</v>
      </c>
      <c r="O642">
        <v>1996</v>
      </c>
      <c r="S642" s="10">
        <f>GraphSalmonella!$B$57*Salmonella!I642+GraphSalmonella!$B$58</f>
        <v>0.35072323220664714</v>
      </c>
      <c r="T642" s="10">
        <f>GraphSalmonella!$E$57*Salmonella!I642+GraphSalmonella!$E$58</f>
        <v>3.1370239566030182</v>
      </c>
      <c r="U642" s="10">
        <f>GraphSalmonella!$H$57*Salmonella!I642+GraphSalmonella!$H$58</f>
        <v>0.27208851901262943</v>
      </c>
      <c r="X642" s="10">
        <f>GraphSalmonella!$B$80*Salmonella!I642+GraphSalmonella!$B$81</f>
        <v>0.2738497546709393</v>
      </c>
      <c r="Y642" s="10">
        <f>GraphSalmonella!$E$80*Salmonella!I642+GraphSalmonella!$E$81</f>
        <v>0.2823920067305572</v>
      </c>
      <c r="Z642" s="10">
        <f>GraphSalmonella!$H$80*Salmonella!I642+GraphSalmonella!$H$81</f>
        <v>-6.4512686973317024E-2</v>
      </c>
    </row>
    <row r="643" spans="1:26" x14ac:dyDescent="0.2">
      <c r="A643" s="1" t="s">
        <v>66</v>
      </c>
      <c r="B643" s="1" t="s">
        <v>111</v>
      </c>
      <c r="D643" t="s">
        <v>44</v>
      </c>
      <c r="E643" s="1" t="s">
        <v>99</v>
      </c>
      <c r="G643" s="11" t="s">
        <v>520</v>
      </c>
      <c r="H643" s="4">
        <v>7.4</v>
      </c>
      <c r="I643" s="4">
        <v>60</v>
      </c>
      <c r="J643" s="11">
        <v>0.7</v>
      </c>
      <c r="L643" s="12">
        <f t="shared" si="14"/>
        <v>-0.15490195998574319</v>
      </c>
      <c r="M643" s="11">
        <f>GraphSalmonella!$B$10-(Salmonella!I643-GraphSalmonella!$B$6)/GraphSalmonella!$B$5</f>
        <v>0.2712239435094701</v>
      </c>
      <c r="N643" s="2" t="s">
        <v>1226</v>
      </c>
      <c r="O643">
        <v>1996</v>
      </c>
      <c r="S643" s="10">
        <f>GraphSalmonella!$B$57*Salmonella!I643+GraphSalmonella!$B$58</f>
        <v>0.35072323220664714</v>
      </c>
      <c r="T643" s="10">
        <f>GraphSalmonella!$E$57*Salmonella!I643+GraphSalmonella!$E$58</f>
        <v>3.1370239566030182</v>
      </c>
      <c r="U643" s="10">
        <f>GraphSalmonella!$H$57*Salmonella!I643+GraphSalmonella!$H$58</f>
        <v>0.27208851901262943</v>
      </c>
      <c r="X643" s="10">
        <f>GraphSalmonella!$B$80*Salmonella!I643+GraphSalmonella!$B$81</f>
        <v>0.2738497546709393</v>
      </c>
      <c r="Y643" s="10">
        <f>GraphSalmonella!$E$80*Salmonella!I643+GraphSalmonella!$E$81</f>
        <v>0.2823920067305572</v>
      </c>
      <c r="Z643" s="10">
        <f>GraphSalmonella!$H$80*Salmonella!I643+GraphSalmonella!$H$81</f>
        <v>-6.4512686973317024E-2</v>
      </c>
    </row>
    <row r="644" spans="1:26" x14ac:dyDescent="0.2">
      <c r="A644" s="1" t="s">
        <v>66</v>
      </c>
      <c r="B644" s="1" t="s">
        <v>112</v>
      </c>
      <c r="D644" t="s">
        <v>44</v>
      </c>
      <c r="E644" s="1" t="s">
        <v>99</v>
      </c>
      <c r="G644" s="11" t="s">
        <v>520</v>
      </c>
      <c r="H644" s="4">
        <v>7.4</v>
      </c>
      <c r="I644" s="4">
        <v>60</v>
      </c>
      <c r="J644" s="11">
        <v>0.4</v>
      </c>
      <c r="L644" s="12">
        <f t="shared" si="14"/>
        <v>-0.3979400086720376</v>
      </c>
      <c r="M644" s="11">
        <f>GraphSalmonella!$B$10-(Salmonella!I644-GraphSalmonella!$B$6)/GraphSalmonella!$B$5</f>
        <v>0.2712239435094701</v>
      </c>
      <c r="N644" s="2" t="s">
        <v>1226</v>
      </c>
      <c r="O644">
        <v>1996</v>
      </c>
      <c r="S644" s="10">
        <f>GraphSalmonella!$B$57*Salmonella!I644+GraphSalmonella!$B$58</f>
        <v>0.35072323220664714</v>
      </c>
      <c r="T644" s="10">
        <f>GraphSalmonella!$E$57*Salmonella!I644+GraphSalmonella!$E$58</f>
        <v>3.1370239566030182</v>
      </c>
      <c r="U644" s="10">
        <f>GraphSalmonella!$H$57*Salmonella!I644+GraphSalmonella!$H$58</f>
        <v>0.27208851901262943</v>
      </c>
      <c r="X644" s="10">
        <f>GraphSalmonella!$B$80*Salmonella!I644+GraphSalmonella!$B$81</f>
        <v>0.2738497546709393</v>
      </c>
      <c r="Y644" s="10">
        <f>GraphSalmonella!$E$80*Salmonella!I644+GraphSalmonella!$E$81</f>
        <v>0.2823920067305572</v>
      </c>
      <c r="Z644" s="10">
        <f>GraphSalmonella!$H$80*Salmonella!I644+GraphSalmonella!$H$81</f>
        <v>-6.4512686973317024E-2</v>
      </c>
    </row>
    <row r="645" spans="1:26" x14ac:dyDescent="0.2">
      <c r="A645" s="1" t="s">
        <v>66</v>
      </c>
      <c r="B645" s="1" t="s">
        <v>112</v>
      </c>
      <c r="D645" t="s">
        <v>44</v>
      </c>
      <c r="E645" s="1" t="s">
        <v>99</v>
      </c>
      <c r="G645" s="11" t="s">
        <v>520</v>
      </c>
      <c r="H645" s="4">
        <v>7.4</v>
      </c>
      <c r="I645" s="4">
        <v>60</v>
      </c>
      <c r="J645" s="11">
        <v>0.5</v>
      </c>
      <c r="L645" s="12">
        <f t="shared" si="14"/>
        <v>-0.3010299956639812</v>
      </c>
      <c r="M645" s="11">
        <f>GraphSalmonella!$B$10-(Salmonella!I645-GraphSalmonella!$B$6)/GraphSalmonella!$B$5</f>
        <v>0.2712239435094701</v>
      </c>
      <c r="N645" s="2" t="s">
        <v>1226</v>
      </c>
      <c r="O645">
        <v>1996</v>
      </c>
      <c r="S645" s="10">
        <f>GraphSalmonella!$B$57*Salmonella!I645+GraphSalmonella!$B$58</f>
        <v>0.35072323220664714</v>
      </c>
      <c r="T645" s="10">
        <f>GraphSalmonella!$E$57*Salmonella!I645+GraphSalmonella!$E$58</f>
        <v>3.1370239566030182</v>
      </c>
      <c r="U645" s="10">
        <f>GraphSalmonella!$H$57*Salmonella!I645+GraphSalmonella!$H$58</f>
        <v>0.27208851901262943</v>
      </c>
      <c r="X645" s="10">
        <f>GraphSalmonella!$B$80*Salmonella!I645+GraphSalmonella!$B$81</f>
        <v>0.2738497546709393</v>
      </c>
      <c r="Y645" s="10">
        <f>GraphSalmonella!$E$80*Salmonella!I645+GraphSalmonella!$E$81</f>
        <v>0.2823920067305572</v>
      </c>
      <c r="Z645" s="10">
        <f>GraphSalmonella!$H$80*Salmonella!I645+GraphSalmonella!$H$81</f>
        <v>-6.4512686973317024E-2</v>
      </c>
    </row>
    <row r="646" spans="1:26" x14ac:dyDescent="0.2">
      <c r="A646" s="1" t="s">
        <v>66</v>
      </c>
      <c r="B646" s="1" t="s">
        <v>113</v>
      </c>
      <c r="D646" t="s">
        <v>44</v>
      </c>
      <c r="E646" s="1" t="s">
        <v>99</v>
      </c>
      <c r="G646" s="11" t="s">
        <v>520</v>
      </c>
      <c r="H646" s="4">
        <v>7.4</v>
      </c>
      <c r="I646" s="4">
        <v>60</v>
      </c>
      <c r="J646" s="11">
        <v>0.3</v>
      </c>
      <c r="L646" s="12">
        <f t="shared" si="14"/>
        <v>-0.52287874528033762</v>
      </c>
      <c r="M646" s="11">
        <f>GraphSalmonella!$B$10-(Salmonella!I646-GraphSalmonella!$B$6)/GraphSalmonella!$B$5</f>
        <v>0.2712239435094701</v>
      </c>
      <c r="N646" s="2" t="s">
        <v>1226</v>
      </c>
      <c r="O646">
        <v>1996</v>
      </c>
      <c r="S646" s="10">
        <f>GraphSalmonella!$B$57*Salmonella!I646+GraphSalmonella!$B$58</f>
        <v>0.35072323220664714</v>
      </c>
      <c r="T646" s="10">
        <f>GraphSalmonella!$E$57*Salmonella!I646+GraphSalmonella!$E$58</f>
        <v>3.1370239566030182</v>
      </c>
      <c r="U646" s="10">
        <f>GraphSalmonella!$H$57*Salmonella!I646+GraphSalmonella!$H$58</f>
        <v>0.27208851901262943</v>
      </c>
      <c r="X646" s="10">
        <f>GraphSalmonella!$B$80*Salmonella!I646+GraphSalmonella!$B$81</f>
        <v>0.2738497546709393</v>
      </c>
      <c r="Y646" s="10">
        <f>GraphSalmonella!$E$80*Salmonella!I646+GraphSalmonella!$E$81</f>
        <v>0.2823920067305572</v>
      </c>
      <c r="Z646" s="10">
        <f>GraphSalmonella!$H$80*Salmonella!I646+GraphSalmonella!$H$81</f>
        <v>-6.4512686973317024E-2</v>
      </c>
    </row>
    <row r="647" spans="1:26" x14ac:dyDescent="0.2">
      <c r="A647" s="1" t="s">
        <v>66</v>
      </c>
      <c r="B647" s="1" t="s">
        <v>114</v>
      </c>
      <c r="D647" t="s">
        <v>44</v>
      </c>
      <c r="E647" s="1" t="s">
        <v>99</v>
      </c>
      <c r="G647" s="11" t="s">
        <v>520</v>
      </c>
      <c r="H647" s="4">
        <v>7.4</v>
      </c>
      <c r="I647" s="4">
        <v>60</v>
      </c>
      <c r="J647" s="11">
        <v>0.7</v>
      </c>
      <c r="L647" s="12">
        <f t="shared" si="14"/>
        <v>-0.15490195998574319</v>
      </c>
      <c r="M647" s="11">
        <f>GraphSalmonella!$B$10-(Salmonella!I647-GraphSalmonella!$B$6)/GraphSalmonella!$B$5</f>
        <v>0.2712239435094701</v>
      </c>
      <c r="N647" s="2" t="s">
        <v>1226</v>
      </c>
      <c r="O647">
        <v>1996</v>
      </c>
      <c r="S647" s="10">
        <f>GraphSalmonella!$B$57*Salmonella!I647+GraphSalmonella!$B$58</f>
        <v>0.35072323220664714</v>
      </c>
      <c r="T647" s="10">
        <f>GraphSalmonella!$E$57*Salmonella!I647+GraphSalmonella!$E$58</f>
        <v>3.1370239566030182</v>
      </c>
      <c r="U647" s="10">
        <f>GraphSalmonella!$H$57*Salmonella!I647+GraphSalmonella!$H$58</f>
        <v>0.27208851901262943</v>
      </c>
      <c r="X647" s="10">
        <f>GraphSalmonella!$B$80*Salmonella!I647+GraphSalmonella!$B$81</f>
        <v>0.2738497546709393</v>
      </c>
      <c r="Y647" s="10">
        <f>GraphSalmonella!$E$80*Salmonella!I647+GraphSalmonella!$E$81</f>
        <v>0.2823920067305572</v>
      </c>
      <c r="Z647" s="10">
        <f>GraphSalmonella!$H$80*Salmonella!I647+GraphSalmonella!$H$81</f>
        <v>-6.4512686973317024E-2</v>
      </c>
    </row>
    <row r="648" spans="1:26" x14ac:dyDescent="0.2">
      <c r="A648" s="1" t="s">
        <v>66</v>
      </c>
      <c r="B648" s="1" t="s">
        <v>114</v>
      </c>
      <c r="D648" t="s">
        <v>44</v>
      </c>
      <c r="E648" s="1" t="s">
        <v>99</v>
      </c>
      <c r="G648" s="11" t="s">
        <v>520</v>
      </c>
      <c r="H648" s="4">
        <v>7.4</v>
      </c>
      <c r="I648" s="4">
        <v>60</v>
      </c>
      <c r="J648" s="11">
        <v>1.5</v>
      </c>
      <c r="L648" s="12">
        <f t="shared" si="14"/>
        <v>0.17609125905568124</v>
      </c>
      <c r="M648" s="11">
        <f>GraphSalmonella!$B$10-(Salmonella!I648-GraphSalmonella!$B$6)/GraphSalmonella!$B$5</f>
        <v>0.2712239435094701</v>
      </c>
      <c r="N648" s="2" t="s">
        <v>1226</v>
      </c>
      <c r="O648">
        <v>1996</v>
      </c>
      <c r="S648" s="10">
        <f>GraphSalmonella!$B$57*Salmonella!I648+GraphSalmonella!$B$58</f>
        <v>0.35072323220664714</v>
      </c>
      <c r="T648" s="10">
        <f>GraphSalmonella!$E$57*Salmonella!I648+GraphSalmonella!$E$58</f>
        <v>3.1370239566030182</v>
      </c>
      <c r="U648" s="10">
        <f>GraphSalmonella!$H$57*Salmonella!I648+GraphSalmonella!$H$58</f>
        <v>0.27208851901262943</v>
      </c>
      <c r="X648" s="10">
        <f>GraphSalmonella!$B$80*Salmonella!I648+GraphSalmonella!$B$81</f>
        <v>0.2738497546709393</v>
      </c>
      <c r="Y648" s="10">
        <f>GraphSalmonella!$E$80*Salmonella!I648+GraphSalmonella!$E$81</f>
        <v>0.2823920067305572</v>
      </c>
      <c r="Z648" s="10">
        <f>GraphSalmonella!$H$80*Salmonella!I648+GraphSalmonella!$H$81</f>
        <v>-6.4512686973317024E-2</v>
      </c>
    </row>
    <row r="649" spans="1:26" x14ac:dyDescent="0.2">
      <c r="A649" s="1" t="s">
        <v>66</v>
      </c>
      <c r="B649" s="1" t="s">
        <v>115</v>
      </c>
      <c r="D649" t="s">
        <v>44</v>
      </c>
      <c r="E649" s="1" t="s">
        <v>99</v>
      </c>
      <c r="G649" s="11" t="s">
        <v>520</v>
      </c>
      <c r="H649" s="4">
        <v>7.4</v>
      </c>
      <c r="I649" s="4">
        <v>60</v>
      </c>
      <c r="J649" s="11">
        <v>0.5</v>
      </c>
      <c r="L649" s="12">
        <f t="shared" si="14"/>
        <v>-0.3010299956639812</v>
      </c>
      <c r="M649" s="11">
        <f>GraphSalmonella!$B$10-(Salmonella!I649-GraphSalmonella!$B$6)/GraphSalmonella!$B$5</f>
        <v>0.2712239435094701</v>
      </c>
      <c r="N649" s="2" t="s">
        <v>1226</v>
      </c>
      <c r="O649">
        <v>1996</v>
      </c>
      <c r="S649" s="10">
        <f>GraphSalmonella!$B$57*Salmonella!I649+GraphSalmonella!$B$58</f>
        <v>0.35072323220664714</v>
      </c>
      <c r="T649" s="10">
        <f>GraphSalmonella!$E$57*Salmonella!I649+GraphSalmonella!$E$58</f>
        <v>3.1370239566030182</v>
      </c>
      <c r="U649" s="10">
        <f>GraphSalmonella!$H$57*Salmonella!I649+GraphSalmonella!$H$58</f>
        <v>0.27208851901262943</v>
      </c>
      <c r="X649" s="10">
        <f>GraphSalmonella!$B$80*Salmonella!I649+GraphSalmonella!$B$81</f>
        <v>0.2738497546709393</v>
      </c>
      <c r="Y649" s="10">
        <f>GraphSalmonella!$E$80*Salmonella!I649+GraphSalmonella!$E$81</f>
        <v>0.2823920067305572</v>
      </c>
      <c r="Z649" s="10">
        <f>GraphSalmonella!$H$80*Salmonella!I649+GraphSalmonella!$H$81</f>
        <v>-6.4512686973317024E-2</v>
      </c>
    </row>
    <row r="650" spans="1:26" x14ac:dyDescent="0.2">
      <c r="A650" s="1" t="s">
        <v>66</v>
      </c>
      <c r="B650" s="1" t="s">
        <v>115</v>
      </c>
      <c r="D650" t="s">
        <v>44</v>
      </c>
      <c r="E650" s="1" t="s">
        <v>99</v>
      </c>
      <c r="G650" s="11" t="s">
        <v>520</v>
      </c>
      <c r="H650" s="4">
        <v>7.4</v>
      </c>
      <c r="I650" s="4">
        <v>60</v>
      </c>
      <c r="J650" s="11">
        <v>0.8</v>
      </c>
      <c r="L650" s="12">
        <f t="shared" si="14"/>
        <v>-9.6910013008056392E-2</v>
      </c>
      <c r="M650" s="11">
        <f>GraphSalmonella!$B$10-(Salmonella!I650-GraphSalmonella!$B$6)/GraphSalmonella!$B$5</f>
        <v>0.2712239435094701</v>
      </c>
      <c r="N650" s="2" t="s">
        <v>1226</v>
      </c>
      <c r="O650">
        <v>1996</v>
      </c>
      <c r="S650" s="10">
        <f>GraphSalmonella!$B$57*Salmonella!I650+GraphSalmonella!$B$58</f>
        <v>0.35072323220664714</v>
      </c>
      <c r="T650" s="10">
        <f>GraphSalmonella!$E$57*Salmonella!I650+GraphSalmonella!$E$58</f>
        <v>3.1370239566030182</v>
      </c>
      <c r="U650" s="10">
        <f>GraphSalmonella!$H$57*Salmonella!I650+GraphSalmonella!$H$58</f>
        <v>0.27208851901262943</v>
      </c>
      <c r="X650" s="10">
        <f>GraphSalmonella!$B$80*Salmonella!I650+GraphSalmonella!$B$81</f>
        <v>0.2738497546709393</v>
      </c>
      <c r="Y650" s="10">
        <f>GraphSalmonella!$E$80*Salmonella!I650+GraphSalmonella!$E$81</f>
        <v>0.2823920067305572</v>
      </c>
      <c r="Z650" s="10">
        <f>GraphSalmonella!$H$80*Salmonella!I650+GraphSalmonella!$H$81</f>
        <v>-6.4512686973317024E-2</v>
      </c>
    </row>
    <row r="651" spans="1:26" x14ac:dyDescent="0.2">
      <c r="A651" s="1" t="s">
        <v>66</v>
      </c>
      <c r="B651" s="1" t="s">
        <v>116</v>
      </c>
      <c r="D651" t="s">
        <v>44</v>
      </c>
      <c r="E651" s="1" t="s">
        <v>99</v>
      </c>
      <c r="G651" s="11" t="s">
        <v>520</v>
      </c>
      <c r="H651" s="4">
        <v>7.4</v>
      </c>
      <c r="I651" s="4">
        <v>60</v>
      </c>
      <c r="J651" s="11">
        <v>0.5</v>
      </c>
      <c r="L651" s="12">
        <f t="shared" si="14"/>
        <v>-0.3010299956639812</v>
      </c>
      <c r="M651" s="11">
        <f>GraphSalmonella!$B$10-(Salmonella!I651-GraphSalmonella!$B$6)/GraphSalmonella!$B$5</f>
        <v>0.2712239435094701</v>
      </c>
      <c r="N651" s="2" t="s">
        <v>1226</v>
      </c>
      <c r="O651">
        <v>1996</v>
      </c>
      <c r="S651" s="10">
        <f>GraphSalmonella!$B$57*Salmonella!I651+GraphSalmonella!$B$58</f>
        <v>0.35072323220664714</v>
      </c>
      <c r="T651" s="10">
        <f>GraphSalmonella!$E$57*Salmonella!I651+GraphSalmonella!$E$58</f>
        <v>3.1370239566030182</v>
      </c>
      <c r="U651" s="10">
        <f>GraphSalmonella!$H$57*Salmonella!I651+GraphSalmonella!$H$58</f>
        <v>0.27208851901262943</v>
      </c>
      <c r="X651" s="10">
        <f>GraphSalmonella!$B$80*Salmonella!I651+GraphSalmonella!$B$81</f>
        <v>0.2738497546709393</v>
      </c>
      <c r="Y651" s="10">
        <f>GraphSalmonella!$E$80*Salmonella!I651+GraphSalmonella!$E$81</f>
        <v>0.2823920067305572</v>
      </c>
      <c r="Z651" s="10">
        <f>GraphSalmonella!$H$80*Salmonella!I651+GraphSalmonella!$H$81</f>
        <v>-6.4512686973317024E-2</v>
      </c>
    </row>
    <row r="652" spans="1:26" x14ac:dyDescent="0.2">
      <c r="A652" s="1" t="s">
        <v>66</v>
      </c>
      <c r="B652" s="1" t="s">
        <v>116</v>
      </c>
      <c r="D652" t="s">
        <v>44</v>
      </c>
      <c r="E652" s="1" t="s">
        <v>99</v>
      </c>
      <c r="G652" s="11" t="s">
        <v>520</v>
      </c>
      <c r="H652" s="4">
        <v>7.4</v>
      </c>
      <c r="I652" s="4">
        <v>60</v>
      </c>
      <c r="J652" s="11">
        <v>0.6</v>
      </c>
      <c r="L652" s="12">
        <f t="shared" si="14"/>
        <v>-0.22184874961635639</v>
      </c>
      <c r="M652" s="11">
        <f>GraphSalmonella!$B$10-(Salmonella!I652-GraphSalmonella!$B$6)/GraphSalmonella!$B$5</f>
        <v>0.2712239435094701</v>
      </c>
      <c r="N652" s="2" t="s">
        <v>1226</v>
      </c>
      <c r="O652">
        <v>1996</v>
      </c>
      <c r="S652" s="10">
        <f>GraphSalmonella!$B$57*Salmonella!I652+GraphSalmonella!$B$58</f>
        <v>0.35072323220664714</v>
      </c>
      <c r="T652" s="10">
        <f>GraphSalmonella!$E$57*Salmonella!I652+GraphSalmonella!$E$58</f>
        <v>3.1370239566030182</v>
      </c>
      <c r="U652" s="10">
        <f>GraphSalmonella!$H$57*Salmonella!I652+GraphSalmonella!$H$58</f>
        <v>0.27208851901262943</v>
      </c>
      <c r="X652" s="10">
        <f>GraphSalmonella!$B$80*Salmonella!I652+GraphSalmonella!$B$81</f>
        <v>0.2738497546709393</v>
      </c>
      <c r="Y652" s="10">
        <f>GraphSalmonella!$E$80*Salmonella!I652+GraphSalmonella!$E$81</f>
        <v>0.2823920067305572</v>
      </c>
      <c r="Z652" s="10">
        <f>GraphSalmonella!$H$80*Salmonella!I652+GraphSalmonella!$H$81</f>
        <v>-6.4512686973317024E-2</v>
      </c>
    </row>
    <row r="653" spans="1:26" x14ac:dyDescent="0.2">
      <c r="A653" s="1" t="s">
        <v>66</v>
      </c>
      <c r="B653" s="1" t="s">
        <v>67</v>
      </c>
      <c r="C653" t="s">
        <v>97</v>
      </c>
      <c r="D653" t="s">
        <v>44</v>
      </c>
      <c r="E653" s="1" t="s">
        <v>99</v>
      </c>
      <c r="F653" s="1"/>
      <c r="G653" s="11" t="s">
        <v>514</v>
      </c>
      <c r="H653" s="4">
        <v>7.4</v>
      </c>
      <c r="I653" s="4">
        <v>60</v>
      </c>
      <c r="J653" s="11">
        <v>3.3</v>
      </c>
      <c r="L653" s="12">
        <f t="shared" si="14"/>
        <v>0.51851393987788741</v>
      </c>
      <c r="M653" s="11">
        <f>GraphSalmonella!$B$10-(Salmonella!I653-GraphSalmonella!$B$6)/GraphSalmonella!$B$5</f>
        <v>0.2712239435094701</v>
      </c>
      <c r="N653" s="2" t="s">
        <v>1226</v>
      </c>
      <c r="O653">
        <v>1996</v>
      </c>
      <c r="S653" s="10">
        <f>GraphSalmonella!$B$57*Salmonella!I653+GraphSalmonella!$B$58</f>
        <v>0.35072323220664714</v>
      </c>
      <c r="T653" s="10">
        <f>GraphSalmonella!$E$57*Salmonella!I653+GraphSalmonella!$E$58</f>
        <v>3.1370239566030182</v>
      </c>
      <c r="U653" s="10">
        <f>GraphSalmonella!$H$57*Salmonella!I653+GraphSalmonella!$H$58</f>
        <v>0.27208851901262943</v>
      </c>
      <c r="X653" s="10">
        <f>GraphSalmonella!$B$80*Salmonella!I653+GraphSalmonella!$B$81</f>
        <v>0.2738497546709393</v>
      </c>
      <c r="Y653" s="10">
        <f>GraphSalmonella!$E$80*Salmonella!I653+GraphSalmonella!$E$81</f>
        <v>0.2823920067305572</v>
      </c>
      <c r="Z653" s="10">
        <f>GraphSalmonella!$H$80*Salmonella!I653+GraphSalmonella!$H$81</f>
        <v>-6.4512686973317024E-2</v>
      </c>
    </row>
    <row r="654" spans="1:26" x14ac:dyDescent="0.2">
      <c r="A654" s="1" t="s">
        <v>66</v>
      </c>
      <c r="B654" s="1" t="s">
        <v>67</v>
      </c>
      <c r="C654" t="s">
        <v>97</v>
      </c>
      <c r="D654" t="s">
        <v>44</v>
      </c>
      <c r="E654" s="1" t="s">
        <v>99</v>
      </c>
      <c r="F654" s="1"/>
      <c r="G654" s="11" t="s">
        <v>513</v>
      </c>
      <c r="H654" s="4">
        <v>7.4</v>
      </c>
      <c r="I654" s="4">
        <v>60</v>
      </c>
      <c r="J654" s="11">
        <v>2.5</v>
      </c>
      <c r="L654" s="12">
        <f t="shared" si="14"/>
        <v>0.3979400086720376</v>
      </c>
      <c r="M654" s="11">
        <f>GraphSalmonella!$B$10-(Salmonella!I654-GraphSalmonella!$B$6)/GraphSalmonella!$B$5</f>
        <v>0.2712239435094701</v>
      </c>
      <c r="N654" s="2" t="s">
        <v>1226</v>
      </c>
      <c r="O654">
        <v>1996</v>
      </c>
      <c r="S654" s="10">
        <f>GraphSalmonella!$B$57*Salmonella!I654+GraphSalmonella!$B$58</f>
        <v>0.35072323220664714</v>
      </c>
      <c r="T654" s="10">
        <f>GraphSalmonella!$E$57*Salmonella!I654+GraphSalmonella!$E$58</f>
        <v>3.1370239566030182</v>
      </c>
      <c r="U654" s="10">
        <f>GraphSalmonella!$H$57*Salmonella!I654+GraphSalmonella!$H$58</f>
        <v>0.27208851901262943</v>
      </c>
      <c r="X654" s="10">
        <f>GraphSalmonella!$B$80*Salmonella!I654+GraphSalmonella!$B$81</f>
        <v>0.2738497546709393</v>
      </c>
      <c r="Y654" s="10">
        <f>GraphSalmonella!$E$80*Salmonella!I654+GraphSalmonella!$E$81</f>
        <v>0.2823920067305572</v>
      </c>
      <c r="Z654" s="10">
        <f>GraphSalmonella!$H$80*Salmonella!I654+GraphSalmonella!$H$81</f>
        <v>-6.4512686973317024E-2</v>
      </c>
    </row>
    <row r="655" spans="1:26" x14ac:dyDescent="0.2">
      <c r="A655" s="1" t="s">
        <v>66</v>
      </c>
      <c r="B655" s="1" t="s">
        <v>67</v>
      </c>
      <c r="C655" t="s">
        <v>97</v>
      </c>
      <c r="D655" t="s">
        <v>44</v>
      </c>
      <c r="E655" s="1" t="s">
        <v>99</v>
      </c>
      <c r="G655" s="11" t="s">
        <v>513</v>
      </c>
      <c r="H655" s="4">
        <v>7.4</v>
      </c>
      <c r="I655" s="4">
        <v>60</v>
      </c>
      <c r="J655" s="11">
        <v>2.7</v>
      </c>
      <c r="L655" s="12">
        <f t="shared" si="14"/>
        <v>0.43136376415898736</v>
      </c>
      <c r="M655" s="11">
        <f>GraphSalmonella!$B$10-(Salmonella!I655-GraphSalmonella!$B$6)/GraphSalmonella!$B$5</f>
        <v>0.2712239435094701</v>
      </c>
      <c r="N655" s="2" t="s">
        <v>1226</v>
      </c>
      <c r="O655">
        <v>1996</v>
      </c>
      <c r="S655" s="10">
        <f>GraphSalmonella!$B$57*Salmonella!I655+GraphSalmonella!$B$58</f>
        <v>0.35072323220664714</v>
      </c>
      <c r="T655" s="10">
        <f>GraphSalmonella!$E$57*Salmonella!I655+GraphSalmonella!$E$58</f>
        <v>3.1370239566030182</v>
      </c>
      <c r="U655" s="10">
        <f>GraphSalmonella!$H$57*Salmonella!I655+GraphSalmonella!$H$58</f>
        <v>0.27208851901262943</v>
      </c>
      <c r="X655" s="10">
        <f>GraphSalmonella!$B$80*Salmonella!I655+GraphSalmonella!$B$81</f>
        <v>0.2738497546709393</v>
      </c>
      <c r="Y655" s="10">
        <f>GraphSalmonella!$E$80*Salmonella!I655+GraphSalmonella!$E$81</f>
        <v>0.2823920067305572</v>
      </c>
      <c r="Z655" s="10">
        <f>GraphSalmonella!$H$80*Salmonella!I655+GraphSalmonella!$H$81</f>
        <v>-6.4512686973317024E-2</v>
      </c>
    </row>
    <row r="656" spans="1:26" x14ac:dyDescent="0.2">
      <c r="A656" s="1" t="s">
        <v>66</v>
      </c>
      <c r="B656" s="1" t="s">
        <v>67</v>
      </c>
      <c r="C656" s="1" t="s">
        <v>97</v>
      </c>
      <c r="D656" t="s">
        <v>44</v>
      </c>
      <c r="E656" s="1" t="s">
        <v>99</v>
      </c>
      <c r="G656" s="11" t="s">
        <v>513</v>
      </c>
      <c r="H656" s="4">
        <v>7.4</v>
      </c>
      <c r="I656" s="4">
        <v>60</v>
      </c>
      <c r="J656" s="11">
        <v>75.2</v>
      </c>
      <c r="L656" s="12">
        <f t="shared" si="14"/>
        <v>1.8762178405916423</v>
      </c>
      <c r="M656" s="11">
        <f>GraphSalmonella!$B$10-(Salmonella!I656-GraphSalmonella!$B$6)/GraphSalmonella!$B$5</f>
        <v>0.2712239435094701</v>
      </c>
      <c r="N656" s="2" t="s">
        <v>1226</v>
      </c>
      <c r="O656">
        <v>1996</v>
      </c>
      <c r="S656" s="10">
        <f>GraphSalmonella!$B$57*Salmonella!I656+GraphSalmonella!$B$58</f>
        <v>0.35072323220664714</v>
      </c>
      <c r="T656" s="10">
        <f>GraphSalmonella!$E$57*Salmonella!I656+GraphSalmonella!$E$58</f>
        <v>3.1370239566030182</v>
      </c>
      <c r="U656" s="10">
        <f>GraphSalmonella!$H$57*Salmonella!I656+GraphSalmonella!$H$58</f>
        <v>0.27208851901262943</v>
      </c>
      <c r="X656" s="10">
        <f>GraphSalmonella!$B$80*Salmonella!I656+GraphSalmonella!$B$81</f>
        <v>0.2738497546709393</v>
      </c>
      <c r="Y656" s="10">
        <f>GraphSalmonella!$E$80*Salmonella!I656+GraphSalmonella!$E$81</f>
        <v>0.2823920067305572</v>
      </c>
      <c r="Z656" s="10">
        <f>GraphSalmonella!$H$80*Salmonella!I656+GraphSalmonella!$H$81</f>
        <v>-6.4512686973317024E-2</v>
      </c>
    </row>
    <row r="657" spans="1:26" x14ac:dyDescent="0.2">
      <c r="A657" s="1" t="s">
        <v>66</v>
      </c>
      <c r="B657" s="1" t="s">
        <v>67</v>
      </c>
      <c r="C657" t="s">
        <v>97</v>
      </c>
      <c r="D657" t="s">
        <v>44</v>
      </c>
      <c r="E657" s="1" t="s">
        <v>99</v>
      </c>
      <c r="F657" s="1"/>
      <c r="G657" s="11" t="s">
        <v>521</v>
      </c>
      <c r="H657" s="4">
        <v>7.4</v>
      </c>
      <c r="I657" s="4">
        <v>60</v>
      </c>
      <c r="J657" s="11">
        <v>2.2000000000000002</v>
      </c>
      <c r="L657" s="12">
        <f t="shared" si="14"/>
        <v>0.34242268082220628</v>
      </c>
      <c r="M657" s="11">
        <f>GraphSalmonella!$B$10-(Salmonella!I657-GraphSalmonella!$B$6)/GraphSalmonella!$B$5</f>
        <v>0.2712239435094701</v>
      </c>
      <c r="N657" s="2" t="s">
        <v>1226</v>
      </c>
      <c r="O657">
        <v>1996</v>
      </c>
      <c r="S657" s="10">
        <f>GraphSalmonella!$B$57*Salmonella!I657+GraphSalmonella!$B$58</f>
        <v>0.35072323220664714</v>
      </c>
      <c r="T657" s="10">
        <f>GraphSalmonella!$E$57*Salmonella!I657+GraphSalmonella!$E$58</f>
        <v>3.1370239566030182</v>
      </c>
      <c r="U657" s="10">
        <f>GraphSalmonella!$H$57*Salmonella!I657+GraphSalmonella!$H$58</f>
        <v>0.27208851901262943</v>
      </c>
      <c r="X657" s="10">
        <f>GraphSalmonella!$B$80*Salmonella!I657+GraphSalmonella!$B$81</f>
        <v>0.2738497546709393</v>
      </c>
      <c r="Y657" s="10">
        <f>GraphSalmonella!$E$80*Salmonella!I657+GraphSalmonella!$E$81</f>
        <v>0.2823920067305572</v>
      </c>
      <c r="Z657" s="10">
        <f>GraphSalmonella!$H$80*Salmonella!I657+GraphSalmonella!$H$81</f>
        <v>-6.4512686973317024E-2</v>
      </c>
    </row>
    <row r="658" spans="1:26" x14ac:dyDescent="0.2">
      <c r="A658" s="1" t="s">
        <v>66</v>
      </c>
      <c r="B658" s="1" t="s">
        <v>67</v>
      </c>
      <c r="C658" t="s">
        <v>97</v>
      </c>
      <c r="D658" t="s">
        <v>44</v>
      </c>
      <c r="E658" s="1" t="s">
        <v>99</v>
      </c>
      <c r="G658" s="11" t="s">
        <v>521</v>
      </c>
      <c r="H658" s="4">
        <v>7.4</v>
      </c>
      <c r="I658" s="4">
        <v>60</v>
      </c>
      <c r="J658" s="9">
        <v>3.7</v>
      </c>
      <c r="K658" s="5"/>
      <c r="L658" s="12">
        <f t="shared" si="14"/>
        <v>0.56820172406699498</v>
      </c>
      <c r="M658" s="11">
        <f>GraphSalmonella!$B$10-(Salmonella!I658-GraphSalmonella!$B$6)/GraphSalmonella!$B$5</f>
        <v>0.2712239435094701</v>
      </c>
      <c r="N658" s="2" t="s">
        <v>1226</v>
      </c>
      <c r="O658">
        <v>1996</v>
      </c>
      <c r="S658" s="10">
        <f>GraphSalmonella!$B$57*Salmonella!I658+GraphSalmonella!$B$58</f>
        <v>0.35072323220664714</v>
      </c>
      <c r="T658" s="10">
        <f>GraphSalmonella!$E$57*Salmonella!I658+GraphSalmonella!$E$58</f>
        <v>3.1370239566030182</v>
      </c>
      <c r="U658" s="10">
        <f>GraphSalmonella!$H$57*Salmonella!I658+GraphSalmonella!$H$58</f>
        <v>0.27208851901262943</v>
      </c>
      <c r="X658" s="10">
        <f>GraphSalmonella!$B$80*Salmonella!I658+GraphSalmonella!$B$81</f>
        <v>0.2738497546709393</v>
      </c>
      <c r="Y658" s="10">
        <f>GraphSalmonella!$E$80*Salmonella!I658+GraphSalmonella!$E$81</f>
        <v>0.2823920067305572</v>
      </c>
      <c r="Z658" s="10">
        <f>GraphSalmonella!$H$80*Salmonella!I658+GraphSalmonella!$H$81</f>
        <v>-6.4512686973317024E-2</v>
      </c>
    </row>
    <row r="659" spans="1:26" x14ac:dyDescent="0.2">
      <c r="A659" s="1" t="s">
        <v>66</v>
      </c>
      <c r="B659" s="1" t="s">
        <v>67</v>
      </c>
      <c r="C659" s="1" t="s">
        <v>97</v>
      </c>
      <c r="D659" t="s">
        <v>44</v>
      </c>
      <c r="E659" s="1" t="s">
        <v>99</v>
      </c>
      <c r="G659" s="11" t="s">
        <v>521</v>
      </c>
      <c r="H659" s="4">
        <v>7.4</v>
      </c>
      <c r="I659" s="4">
        <v>60</v>
      </c>
      <c r="J659" s="11">
        <v>44.8</v>
      </c>
      <c r="L659" s="12">
        <f t="shared" si="14"/>
        <v>1.651278013998144</v>
      </c>
      <c r="M659" s="11">
        <f>GraphSalmonella!$B$10-(Salmonella!I659-GraphSalmonella!$B$6)/GraphSalmonella!$B$5</f>
        <v>0.2712239435094701</v>
      </c>
      <c r="N659" s="2" t="s">
        <v>1226</v>
      </c>
      <c r="O659">
        <v>1996</v>
      </c>
      <c r="S659" s="10">
        <f>GraphSalmonella!$B$57*Salmonella!I659+GraphSalmonella!$B$58</f>
        <v>0.35072323220664714</v>
      </c>
      <c r="T659" s="10">
        <f>GraphSalmonella!$E$57*Salmonella!I659+GraphSalmonella!$E$58</f>
        <v>3.1370239566030182</v>
      </c>
      <c r="U659" s="10">
        <f>GraphSalmonella!$H$57*Salmonella!I659+GraphSalmonella!$H$58</f>
        <v>0.27208851901262943</v>
      </c>
      <c r="X659" s="10">
        <f>GraphSalmonella!$B$80*Salmonella!I659+GraphSalmonella!$B$81</f>
        <v>0.2738497546709393</v>
      </c>
      <c r="Y659" s="10">
        <f>GraphSalmonella!$E$80*Salmonella!I659+GraphSalmonella!$E$81</f>
        <v>0.2823920067305572</v>
      </c>
      <c r="Z659" s="10">
        <f>GraphSalmonella!$H$80*Salmonella!I659+GraphSalmonella!$H$81</f>
        <v>-6.4512686973317024E-2</v>
      </c>
    </row>
    <row r="660" spans="1:26" x14ac:dyDescent="0.2">
      <c r="A660" s="1" t="s">
        <v>66</v>
      </c>
      <c r="B660" s="1" t="s">
        <v>67</v>
      </c>
      <c r="C660" t="s">
        <v>97</v>
      </c>
      <c r="D660" t="s">
        <v>44</v>
      </c>
      <c r="E660" s="1" t="s">
        <v>99</v>
      </c>
      <c r="F660" s="1"/>
      <c r="G660" s="11" t="s">
        <v>512</v>
      </c>
      <c r="H660" s="4">
        <v>7.4</v>
      </c>
      <c r="I660" s="4">
        <v>60</v>
      </c>
      <c r="J660" s="11">
        <v>2</v>
      </c>
      <c r="L660" s="12">
        <f t="shared" si="14"/>
        <v>0.3010299956639812</v>
      </c>
      <c r="M660" s="11">
        <f>GraphSalmonella!$B$10-(Salmonella!I660-GraphSalmonella!$B$6)/GraphSalmonella!$B$5</f>
        <v>0.2712239435094701</v>
      </c>
      <c r="N660" s="2" t="s">
        <v>1226</v>
      </c>
      <c r="O660">
        <v>1996</v>
      </c>
      <c r="S660" s="10">
        <f>GraphSalmonella!$B$57*Salmonella!I660+GraphSalmonella!$B$58</f>
        <v>0.35072323220664714</v>
      </c>
      <c r="T660" s="10">
        <f>GraphSalmonella!$E$57*Salmonella!I660+GraphSalmonella!$E$58</f>
        <v>3.1370239566030182</v>
      </c>
      <c r="U660" s="10">
        <f>GraphSalmonella!$H$57*Salmonella!I660+GraphSalmonella!$H$58</f>
        <v>0.27208851901262943</v>
      </c>
      <c r="X660" s="10">
        <f>GraphSalmonella!$B$80*Salmonella!I660+GraphSalmonella!$B$81</f>
        <v>0.2738497546709393</v>
      </c>
      <c r="Y660" s="10">
        <f>GraphSalmonella!$E$80*Salmonella!I660+GraphSalmonella!$E$81</f>
        <v>0.2823920067305572</v>
      </c>
      <c r="Z660" s="10">
        <f>GraphSalmonella!$H$80*Salmonella!I660+GraphSalmonella!$H$81</f>
        <v>-6.4512686973317024E-2</v>
      </c>
    </row>
    <row r="661" spans="1:26" x14ac:dyDescent="0.2">
      <c r="A661" s="1" t="s">
        <v>66</v>
      </c>
      <c r="B661" s="1" t="s">
        <v>67</v>
      </c>
      <c r="C661" t="s">
        <v>97</v>
      </c>
      <c r="D661" t="s">
        <v>44</v>
      </c>
      <c r="E661" s="1" t="s">
        <v>99</v>
      </c>
      <c r="G661" s="11" t="s">
        <v>512</v>
      </c>
      <c r="H661" s="4">
        <v>7.4</v>
      </c>
      <c r="I661" s="4">
        <v>60</v>
      </c>
      <c r="J661" s="11">
        <v>5.0999999999999996</v>
      </c>
      <c r="L661" s="12">
        <f t="shared" si="14"/>
        <v>0.70757017609793638</v>
      </c>
      <c r="M661" s="11">
        <f>GraphSalmonella!$B$10-(Salmonella!I661-GraphSalmonella!$B$6)/GraphSalmonella!$B$5</f>
        <v>0.2712239435094701</v>
      </c>
      <c r="N661" s="2" t="s">
        <v>1226</v>
      </c>
      <c r="O661">
        <v>1996</v>
      </c>
      <c r="S661" s="10">
        <f>GraphSalmonella!$B$57*Salmonella!I661+GraphSalmonella!$B$58</f>
        <v>0.35072323220664714</v>
      </c>
      <c r="T661" s="10">
        <f>GraphSalmonella!$E$57*Salmonella!I661+GraphSalmonella!$E$58</f>
        <v>3.1370239566030182</v>
      </c>
      <c r="U661" s="10">
        <f>GraphSalmonella!$H$57*Salmonella!I661+GraphSalmonella!$H$58</f>
        <v>0.27208851901262943</v>
      </c>
      <c r="X661" s="10">
        <f>GraphSalmonella!$B$80*Salmonella!I661+GraphSalmonella!$B$81</f>
        <v>0.2738497546709393</v>
      </c>
      <c r="Y661" s="10">
        <f>GraphSalmonella!$E$80*Salmonella!I661+GraphSalmonella!$E$81</f>
        <v>0.2823920067305572</v>
      </c>
      <c r="Z661" s="10">
        <f>GraphSalmonella!$H$80*Salmonella!I661+GraphSalmonella!$H$81</f>
        <v>-6.4512686973317024E-2</v>
      </c>
    </row>
    <row r="662" spans="1:26" x14ac:dyDescent="0.2">
      <c r="A662" s="1" t="s">
        <v>66</v>
      </c>
      <c r="B662" s="1" t="s">
        <v>67</v>
      </c>
      <c r="C662" s="1" t="s">
        <v>97</v>
      </c>
      <c r="D662" t="s">
        <v>44</v>
      </c>
      <c r="E662" s="1" t="s">
        <v>99</v>
      </c>
      <c r="G662" s="11" t="s">
        <v>512</v>
      </c>
      <c r="H662" s="4">
        <v>7.4</v>
      </c>
      <c r="I662" s="4">
        <v>60</v>
      </c>
      <c r="J662" s="11">
        <v>36.200000000000003</v>
      </c>
      <c r="L662" s="12">
        <f t="shared" si="14"/>
        <v>1.5587085705331658</v>
      </c>
      <c r="M662" s="11">
        <f>GraphSalmonella!$B$10-(Salmonella!I662-GraphSalmonella!$B$6)/GraphSalmonella!$B$5</f>
        <v>0.2712239435094701</v>
      </c>
      <c r="N662" s="2" t="s">
        <v>1226</v>
      </c>
      <c r="O662">
        <v>1996</v>
      </c>
      <c r="S662" s="10">
        <f>GraphSalmonella!$B$57*Salmonella!I662+GraphSalmonella!$B$58</f>
        <v>0.35072323220664714</v>
      </c>
      <c r="T662" s="10">
        <f>GraphSalmonella!$E$57*Salmonella!I662+GraphSalmonella!$E$58</f>
        <v>3.1370239566030182</v>
      </c>
      <c r="U662" s="10">
        <f>GraphSalmonella!$H$57*Salmonella!I662+GraphSalmonella!$H$58</f>
        <v>0.27208851901262943</v>
      </c>
      <c r="X662" s="10">
        <f>GraphSalmonella!$B$80*Salmonella!I662+GraphSalmonella!$B$81</f>
        <v>0.2738497546709393</v>
      </c>
      <c r="Y662" s="10">
        <f>GraphSalmonella!$E$80*Salmonella!I662+GraphSalmonella!$E$81</f>
        <v>0.2823920067305572</v>
      </c>
      <c r="Z662" s="10">
        <f>GraphSalmonella!$H$80*Salmonella!I662+GraphSalmonella!$H$81</f>
        <v>-6.4512686973317024E-2</v>
      </c>
    </row>
    <row r="663" spans="1:26" x14ac:dyDescent="0.2">
      <c r="A663" s="1" t="s">
        <v>66</v>
      </c>
      <c r="B663" s="1" t="s">
        <v>67</v>
      </c>
      <c r="C663" t="s">
        <v>97</v>
      </c>
      <c r="D663" t="s">
        <v>44</v>
      </c>
      <c r="E663" s="1" t="s">
        <v>99</v>
      </c>
      <c r="F663" s="1"/>
      <c r="G663" s="11" t="s">
        <v>517</v>
      </c>
      <c r="H663" s="4">
        <v>7.4</v>
      </c>
      <c r="I663" s="4">
        <v>60</v>
      </c>
      <c r="J663" s="9">
        <v>2.2999999999999998</v>
      </c>
      <c r="K663" s="5"/>
      <c r="L663" s="12">
        <f t="shared" si="14"/>
        <v>0.36172783601759284</v>
      </c>
      <c r="M663" s="11">
        <f>GraphSalmonella!$B$10-(Salmonella!I663-GraphSalmonella!$B$6)/GraphSalmonella!$B$5</f>
        <v>0.2712239435094701</v>
      </c>
      <c r="N663" s="2" t="s">
        <v>1226</v>
      </c>
      <c r="O663">
        <v>1996</v>
      </c>
      <c r="S663" s="10">
        <f>GraphSalmonella!$B$57*Salmonella!I663+GraphSalmonella!$B$58</f>
        <v>0.35072323220664714</v>
      </c>
      <c r="T663" s="10">
        <f>GraphSalmonella!$E$57*Salmonella!I663+GraphSalmonella!$E$58</f>
        <v>3.1370239566030182</v>
      </c>
      <c r="U663" s="10">
        <f>GraphSalmonella!$H$57*Salmonella!I663+GraphSalmonella!$H$58</f>
        <v>0.27208851901262943</v>
      </c>
      <c r="X663" s="10">
        <f>GraphSalmonella!$B$80*Salmonella!I663+GraphSalmonella!$B$81</f>
        <v>0.2738497546709393</v>
      </c>
      <c r="Y663" s="10">
        <f>GraphSalmonella!$E$80*Salmonella!I663+GraphSalmonella!$E$81</f>
        <v>0.2823920067305572</v>
      </c>
      <c r="Z663" s="10">
        <f>GraphSalmonella!$H$80*Salmonella!I663+GraphSalmonella!$H$81</f>
        <v>-6.4512686973317024E-2</v>
      </c>
    </row>
    <row r="664" spans="1:26" x14ac:dyDescent="0.2">
      <c r="A664" s="1" t="s">
        <v>66</v>
      </c>
      <c r="B664" s="1" t="s">
        <v>67</v>
      </c>
      <c r="C664" t="s">
        <v>97</v>
      </c>
      <c r="D664" t="s">
        <v>44</v>
      </c>
      <c r="E664" s="1" t="s">
        <v>99</v>
      </c>
      <c r="G664" s="11" t="s">
        <v>517</v>
      </c>
      <c r="H664" s="4">
        <v>7.4</v>
      </c>
      <c r="I664" s="4">
        <v>60</v>
      </c>
      <c r="J664" s="11">
        <v>7.2</v>
      </c>
      <c r="L664" s="12">
        <f t="shared" si="14"/>
        <v>0.85733249643126852</v>
      </c>
      <c r="M664" s="11">
        <f>GraphSalmonella!$B$10-(Salmonella!I664-GraphSalmonella!$B$6)/GraphSalmonella!$B$5</f>
        <v>0.2712239435094701</v>
      </c>
      <c r="N664" s="2" t="s">
        <v>1226</v>
      </c>
      <c r="O664">
        <v>1996</v>
      </c>
      <c r="S664" s="10">
        <f>GraphSalmonella!$B$57*Salmonella!I664+GraphSalmonella!$B$58</f>
        <v>0.35072323220664714</v>
      </c>
      <c r="T664" s="10">
        <f>GraphSalmonella!$E$57*Salmonella!I664+GraphSalmonella!$E$58</f>
        <v>3.1370239566030182</v>
      </c>
      <c r="U664" s="10">
        <f>GraphSalmonella!$H$57*Salmonella!I664+GraphSalmonella!$H$58</f>
        <v>0.27208851901262943</v>
      </c>
      <c r="X664" s="10">
        <f>GraphSalmonella!$B$80*Salmonella!I664+GraphSalmonella!$B$81</f>
        <v>0.2738497546709393</v>
      </c>
      <c r="Y664" s="10">
        <f>GraphSalmonella!$E$80*Salmonella!I664+GraphSalmonella!$E$81</f>
        <v>0.2823920067305572</v>
      </c>
      <c r="Z664" s="10">
        <f>GraphSalmonella!$H$80*Salmonella!I664+GraphSalmonella!$H$81</f>
        <v>-6.4512686973317024E-2</v>
      </c>
    </row>
    <row r="665" spans="1:26" x14ac:dyDescent="0.2">
      <c r="A665" s="1" t="s">
        <v>66</v>
      </c>
      <c r="B665" s="1" t="s">
        <v>67</v>
      </c>
      <c r="C665" s="1" t="s">
        <v>97</v>
      </c>
      <c r="D665" t="s">
        <v>44</v>
      </c>
      <c r="E665" s="1" t="s">
        <v>99</v>
      </c>
      <c r="G665" s="11" t="s">
        <v>517</v>
      </c>
      <c r="H665" s="4">
        <v>7.4</v>
      </c>
      <c r="I665" s="4">
        <v>60</v>
      </c>
      <c r="J665" s="11">
        <v>21.7</v>
      </c>
      <c r="L665" s="12">
        <f t="shared" si="14"/>
        <v>1.3364597338485296</v>
      </c>
      <c r="M665" s="11">
        <f>GraphSalmonella!$B$10-(Salmonella!I665-GraphSalmonella!$B$6)/GraphSalmonella!$B$5</f>
        <v>0.2712239435094701</v>
      </c>
      <c r="N665" s="2" t="s">
        <v>1226</v>
      </c>
      <c r="O665">
        <v>1996</v>
      </c>
      <c r="S665" s="10">
        <f>GraphSalmonella!$B$57*Salmonella!I665+GraphSalmonella!$B$58</f>
        <v>0.35072323220664714</v>
      </c>
      <c r="T665" s="10">
        <f>GraphSalmonella!$E$57*Salmonella!I665+GraphSalmonella!$E$58</f>
        <v>3.1370239566030182</v>
      </c>
      <c r="U665" s="10">
        <f>GraphSalmonella!$H$57*Salmonella!I665+GraphSalmonella!$H$58</f>
        <v>0.27208851901262943</v>
      </c>
      <c r="X665" s="10">
        <f>GraphSalmonella!$B$80*Salmonella!I665+GraphSalmonella!$B$81</f>
        <v>0.2738497546709393</v>
      </c>
      <c r="Y665" s="10">
        <f>GraphSalmonella!$E$80*Salmonella!I665+GraphSalmonella!$E$81</f>
        <v>0.2823920067305572</v>
      </c>
      <c r="Z665" s="10">
        <f>GraphSalmonella!$H$80*Salmonella!I665+GraphSalmonella!$H$81</f>
        <v>-6.4512686973317024E-2</v>
      </c>
    </row>
    <row r="666" spans="1:26" x14ac:dyDescent="0.2">
      <c r="A666" s="1" t="s">
        <v>66</v>
      </c>
      <c r="B666" s="1" t="s">
        <v>67</v>
      </c>
      <c r="C666" t="s">
        <v>97</v>
      </c>
      <c r="D666" t="s">
        <v>44</v>
      </c>
      <c r="E666" s="1" t="s">
        <v>99</v>
      </c>
      <c r="F666" s="1"/>
      <c r="G666" s="11" t="s">
        <v>511</v>
      </c>
      <c r="H666" s="4">
        <v>7.4</v>
      </c>
      <c r="I666" s="4">
        <v>60</v>
      </c>
      <c r="J666" s="11">
        <v>2.6</v>
      </c>
      <c r="L666" s="12">
        <f t="shared" si="14"/>
        <v>0.41497334797081797</v>
      </c>
      <c r="M666" s="11">
        <f>GraphSalmonella!$B$10-(Salmonella!I666-GraphSalmonella!$B$6)/GraphSalmonella!$B$5</f>
        <v>0.2712239435094701</v>
      </c>
      <c r="N666" s="2" t="s">
        <v>1226</v>
      </c>
      <c r="O666">
        <v>1996</v>
      </c>
      <c r="S666" s="10">
        <f>GraphSalmonella!$B$57*Salmonella!I666+GraphSalmonella!$B$58</f>
        <v>0.35072323220664714</v>
      </c>
      <c r="T666" s="10">
        <f>GraphSalmonella!$E$57*Salmonella!I666+GraphSalmonella!$E$58</f>
        <v>3.1370239566030182</v>
      </c>
      <c r="U666" s="10">
        <f>GraphSalmonella!$H$57*Salmonella!I666+GraphSalmonella!$H$58</f>
        <v>0.27208851901262943</v>
      </c>
      <c r="X666" s="10">
        <f>GraphSalmonella!$B$80*Salmonella!I666+GraphSalmonella!$B$81</f>
        <v>0.2738497546709393</v>
      </c>
      <c r="Y666" s="10">
        <f>GraphSalmonella!$E$80*Salmonella!I666+GraphSalmonella!$E$81</f>
        <v>0.2823920067305572</v>
      </c>
      <c r="Z666" s="10">
        <f>GraphSalmonella!$H$80*Salmonella!I666+GraphSalmonella!$H$81</f>
        <v>-6.4512686973317024E-2</v>
      </c>
    </row>
    <row r="667" spans="1:26" x14ac:dyDescent="0.2">
      <c r="A667" s="1" t="s">
        <v>66</v>
      </c>
      <c r="B667" s="1" t="s">
        <v>67</v>
      </c>
      <c r="C667" t="s">
        <v>97</v>
      </c>
      <c r="D667" t="s">
        <v>44</v>
      </c>
      <c r="E667" s="1" t="s">
        <v>99</v>
      </c>
      <c r="G667" s="11" t="s">
        <v>511</v>
      </c>
      <c r="H667" s="4">
        <v>7.4</v>
      </c>
      <c r="I667" s="4">
        <v>60</v>
      </c>
      <c r="J667" s="11">
        <v>5.3</v>
      </c>
      <c r="L667" s="12">
        <f t="shared" si="14"/>
        <v>0.72427586960078905</v>
      </c>
      <c r="M667" s="11">
        <f>GraphSalmonella!$B$10-(Salmonella!I667-GraphSalmonella!$B$6)/GraphSalmonella!$B$5</f>
        <v>0.2712239435094701</v>
      </c>
      <c r="N667" s="2" t="s">
        <v>1226</v>
      </c>
      <c r="O667">
        <v>1996</v>
      </c>
      <c r="S667" s="10">
        <f>GraphSalmonella!$B$57*Salmonella!I667+GraphSalmonella!$B$58</f>
        <v>0.35072323220664714</v>
      </c>
      <c r="T667" s="10">
        <f>GraphSalmonella!$E$57*Salmonella!I667+GraphSalmonella!$E$58</f>
        <v>3.1370239566030182</v>
      </c>
      <c r="U667" s="10">
        <f>GraphSalmonella!$H$57*Salmonella!I667+GraphSalmonella!$H$58</f>
        <v>0.27208851901262943</v>
      </c>
      <c r="X667" s="10">
        <f>GraphSalmonella!$B$80*Salmonella!I667+GraphSalmonella!$B$81</f>
        <v>0.2738497546709393</v>
      </c>
      <c r="Y667" s="10">
        <f>GraphSalmonella!$E$80*Salmonella!I667+GraphSalmonella!$E$81</f>
        <v>0.2823920067305572</v>
      </c>
      <c r="Z667" s="10">
        <f>GraphSalmonella!$H$80*Salmonella!I667+GraphSalmonella!$H$81</f>
        <v>-6.4512686973317024E-2</v>
      </c>
    </row>
    <row r="668" spans="1:26" x14ac:dyDescent="0.2">
      <c r="A668" s="1" t="s">
        <v>66</v>
      </c>
      <c r="B668" s="1" t="s">
        <v>67</v>
      </c>
      <c r="C668" s="1" t="s">
        <v>97</v>
      </c>
      <c r="D668" t="s">
        <v>44</v>
      </c>
      <c r="E668" s="1" t="s">
        <v>99</v>
      </c>
      <c r="G668" s="11" t="s">
        <v>511</v>
      </c>
      <c r="H668" s="4">
        <v>7.4</v>
      </c>
      <c r="I668" s="4">
        <v>60</v>
      </c>
      <c r="J668" s="11">
        <v>8.9</v>
      </c>
      <c r="L668" s="12">
        <f t="shared" si="14"/>
        <v>0.9493900066449128</v>
      </c>
      <c r="M668" s="11">
        <f>GraphSalmonella!$B$10-(Salmonella!I668-GraphSalmonella!$B$6)/GraphSalmonella!$B$5</f>
        <v>0.2712239435094701</v>
      </c>
      <c r="N668" s="2" t="s">
        <v>1226</v>
      </c>
      <c r="O668">
        <v>1996</v>
      </c>
      <c r="S668" s="10">
        <f>GraphSalmonella!$B$57*Salmonella!I668+GraphSalmonella!$B$58</f>
        <v>0.35072323220664714</v>
      </c>
      <c r="T668" s="10">
        <f>GraphSalmonella!$E$57*Salmonella!I668+GraphSalmonella!$E$58</f>
        <v>3.1370239566030182</v>
      </c>
      <c r="U668" s="10">
        <f>GraphSalmonella!$H$57*Salmonella!I668+GraphSalmonella!$H$58</f>
        <v>0.27208851901262943</v>
      </c>
      <c r="X668" s="10">
        <f>GraphSalmonella!$B$80*Salmonella!I668+GraphSalmonella!$B$81</f>
        <v>0.2738497546709393</v>
      </c>
      <c r="Y668" s="10">
        <f>GraphSalmonella!$E$80*Salmonella!I668+GraphSalmonella!$E$81</f>
        <v>0.2823920067305572</v>
      </c>
      <c r="Z668" s="10">
        <f>GraphSalmonella!$H$80*Salmonella!I668+GraphSalmonella!$H$81</f>
        <v>-6.4512686973317024E-2</v>
      </c>
    </row>
    <row r="669" spans="1:26" x14ac:dyDescent="0.2">
      <c r="A669" s="1" t="s">
        <v>66</v>
      </c>
      <c r="B669" s="1" t="s">
        <v>67</v>
      </c>
      <c r="C669" s="1" t="s">
        <v>97</v>
      </c>
      <c r="D669" t="s">
        <v>44</v>
      </c>
      <c r="E669" s="1" t="s">
        <v>99</v>
      </c>
      <c r="G669" s="11" t="s">
        <v>520</v>
      </c>
      <c r="H669" s="4">
        <v>7.4</v>
      </c>
      <c r="I669" s="4">
        <v>60</v>
      </c>
      <c r="J669" s="11">
        <v>5.7</v>
      </c>
      <c r="L669" s="12">
        <f t="shared" si="14"/>
        <v>0.75587485567249146</v>
      </c>
      <c r="M669" s="11">
        <f>GraphSalmonella!$B$10-(Salmonella!I669-GraphSalmonella!$B$6)/GraphSalmonella!$B$5</f>
        <v>0.2712239435094701</v>
      </c>
      <c r="N669" s="2" t="s">
        <v>1226</v>
      </c>
      <c r="O669">
        <v>1996</v>
      </c>
      <c r="S669" s="10">
        <f>GraphSalmonella!$B$57*Salmonella!I669+GraphSalmonella!$B$58</f>
        <v>0.35072323220664714</v>
      </c>
      <c r="T669" s="10">
        <f>GraphSalmonella!$E$57*Salmonella!I669+GraphSalmonella!$E$58</f>
        <v>3.1370239566030182</v>
      </c>
      <c r="U669" s="10">
        <f>GraphSalmonella!$H$57*Salmonella!I669+GraphSalmonella!$H$58</f>
        <v>0.27208851901262943</v>
      </c>
      <c r="X669" s="10">
        <f>GraphSalmonella!$B$80*Salmonella!I669+GraphSalmonella!$B$81</f>
        <v>0.2738497546709393</v>
      </c>
      <c r="Y669" s="10">
        <f>GraphSalmonella!$E$80*Salmonella!I669+GraphSalmonella!$E$81</f>
        <v>0.2823920067305572</v>
      </c>
      <c r="Z669" s="10">
        <f>GraphSalmonella!$H$80*Salmonella!I669+GraphSalmonella!$H$81</f>
        <v>-6.4512686973317024E-2</v>
      </c>
    </row>
    <row r="670" spans="1:26" x14ac:dyDescent="0.2">
      <c r="A670" s="1" t="s">
        <v>66</v>
      </c>
      <c r="B670" s="1" t="s">
        <v>67</v>
      </c>
      <c r="C670" t="s">
        <v>97</v>
      </c>
      <c r="D670" t="s">
        <v>44</v>
      </c>
      <c r="E670" s="1" t="s">
        <v>99</v>
      </c>
      <c r="F670" s="1"/>
      <c r="G670" s="11" t="s">
        <v>520</v>
      </c>
      <c r="H670" s="4">
        <v>7.4</v>
      </c>
      <c r="I670" s="4">
        <v>60</v>
      </c>
      <c r="J670" s="11">
        <v>6.1</v>
      </c>
      <c r="L670" s="12">
        <f t="shared" ref="L670:L733" si="15">LOG(J670)</f>
        <v>0.78532983501076703</v>
      </c>
      <c r="M670" s="11">
        <f>GraphSalmonella!$B$10-(Salmonella!I670-GraphSalmonella!$B$6)/GraphSalmonella!$B$5</f>
        <v>0.2712239435094701</v>
      </c>
      <c r="N670" s="2" t="s">
        <v>1226</v>
      </c>
      <c r="O670">
        <v>1996</v>
      </c>
      <c r="S670" s="10">
        <f>GraphSalmonella!$B$57*Salmonella!I670+GraphSalmonella!$B$58</f>
        <v>0.35072323220664714</v>
      </c>
      <c r="T670" s="10">
        <f>GraphSalmonella!$E$57*Salmonella!I670+GraphSalmonella!$E$58</f>
        <v>3.1370239566030182</v>
      </c>
      <c r="U670" s="10">
        <f>GraphSalmonella!$H$57*Salmonella!I670+GraphSalmonella!$H$58</f>
        <v>0.27208851901262943</v>
      </c>
      <c r="X670" s="10">
        <f>GraphSalmonella!$B$80*Salmonella!I670+GraphSalmonella!$B$81</f>
        <v>0.2738497546709393</v>
      </c>
      <c r="Y670" s="10">
        <f>GraphSalmonella!$E$80*Salmonella!I670+GraphSalmonella!$E$81</f>
        <v>0.2823920067305572</v>
      </c>
      <c r="Z670" s="10">
        <f>GraphSalmonella!$H$80*Salmonella!I670+GraphSalmonella!$H$81</f>
        <v>-6.4512686973317024E-2</v>
      </c>
    </row>
    <row r="671" spans="1:26" x14ac:dyDescent="0.2">
      <c r="A671" s="1" t="s">
        <v>66</v>
      </c>
      <c r="B671" s="1" t="s">
        <v>67</v>
      </c>
      <c r="C671" t="s">
        <v>97</v>
      </c>
      <c r="D671" t="s">
        <v>44</v>
      </c>
      <c r="E671" s="1" t="s">
        <v>99</v>
      </c>
      <c r="G671" s="11" t="s">
        <v>520</v>
      </c>
      <c r="H671" s="4">
        <v>7.4</v>
      </c>
      <c r="I671" s="4">
        <v>60</v>
      </c>
      <c r="J671" s="11">
        <v>6.1</v>
      </c>
      <c r="L671" s="12">
        <f t="shared" si="15"/>
        <v>0.78532983501076703</v>
      </c>
      <c r="M671" s="11">
        <f>GraphSalmonella!$B$10-(Salmonella!I671-GraphSalmonella!$B$6)/GraphSalmonella!$B$5</f>
        <v>0.2712239435094701</v>
      </c>
      <c r="N671" s="2" t="s">
        <v>1226</v>
      </c>
      <c r="O671">
        <v>1996</v>
      </c>
      <c r="S671" s="10">
        <f>GraphSalmonella!$B$57*Salmonella!I671+GraphSalmonella!$B$58</f>
        <v>0.35072323220664714</v>
      </c>
      <c r="T671" s="10">
        <f>GraphSalmonella!$E$57*Salmonella!I671+GraphSalmonella!$E$58</f>
        <v>3.1370239566030182</v>
      </c>
      <c r="U671" s="10">
        <f>GraphSalmonella!$H$57*Salmonella!I671+GraphSalmonella!$H$58</f>
        <v>0.27208851901262943</v>
      </c>
      <c r="X671" s="10">
        <f>GraphSalmonella!$B$80*Salmonella!I671+GraphSalmonella!$B$81</f>
        <v>0.2738497546709393</v>
      </c>
      <c r="Y671" s="10">
        <f>GraphSalmonella!$E$80*Salmonella!I671+GraphSalmonella!$E$81</f>
        <v>0.2823920067305572</v>
      </c>
      <c r="Z671" s="10">
        <f>GraphSalmonella!$H$80*Salmonella!I671+GraphSalmonella!$H$81</f>
        <v>-6.4512686973317024E-2</v>
      </c>
    </row>
    <row r="672" spans="1:26" x14ac:dyDescent="0.2">
      <c r="A672" s="1" t="s">
        <v>66</v>
      </c>
      <c r="B672" s="1" t="s">
        <v>67</v>
      </c>
      <c r="C672" s="1" t="s">
        <v>97</v>
      </c>
      <c r="D672" t="s">
        <v>44</v>
      </c>
      <c r="E672" s="1" t="s">
        <v>99</v>
      </c>
      <c r="G672" s="11" t="s">
        <v>520</v>
      </c>
      <c r="H672" s="4">
        <v>7.4</v>
      </c>
      <c r="I672" s="4">
        <v>60</v>
      </c>
      <c r="J672" s="11">
        <v>6.3</v>
      </c>
      <c r="L672" s="12">
        <f t="shared" si="15"/>
        <v>0.79934054945358168</v>
      </c>
      <c r="M672" s="11">
        <f>GraphSalmonella!$B$10-(Salmonella!I672-GraphSalmonella!$B$6)/GraphSalmonella!$B$5</f>
        <v>0.2712239435094701</v>
      </c>
      <c r="N672" s="2" t="s">
        <v>1226</v>
      </c>
      <c r="O672">
        <v>1996</v>
      </c>
      <c r="S672" s="10">
        <f>GraphSalmonella!$B$57*Salmonella!I672+GraphSalmonella!$B$58</f>
        <v>0.35072323220664714</v>
      </c>
      <c r="T672" s="10">
        <f>GraphSalmonella!$E$57*Salmonella!I672+GraphSalmonella!$E$58</f>
        <v>3.1370239566030182</v>
      </c>
      <c r="U672" s="10">
        <f>GraphSalmonella!$H$57*Salmonella!I672+GraphSalmonella!$H$58</f>
        <v>0.27208851901262943</v>
      </c>
      <c r="X672" s="10">
        <f>GraphSalmonella!$B$80*Salmonella!I672+GraphSalmonella!$B$81</f>
        <v>0.2738497546709393</v>
      </c>
      <c r="Y672" s="10">
        <f>GraphSalmonella!$E$80*Salmonella!I672+GraphSalmonella!$E$81</f>
        <v>0.2823920067305572</v>
      </c>
      <c r="Z672" s="10">
        <f>GraphSalmonella!$H$80*Salmonella!I672+GraphSalmonella!$H$81</f>
        <v>-6.4512686973317024E-2</v>
      </c>
    </row>
    <row r="673" spans="1:26" x14ac:dyDescent="0.2">
      <c r="A673" s="1" t="s">
        <v>66</v>
      </c>
      <c r="B673" s="1" t="s">
        <v>67</v>
      </c>
      <c r="C673" s="1" t="s">
        <v>97</v>
      </c>
      <c r="D673" t="s">
        <v>44</v>
      </c>
      <c r="E673" s="1" t="s">
        <v>99</v>
      </c>
      <c r="G673" s="11" t="s">
        <v>520</v>
      </c>
      <c r="H673" s="4">
        <v>7.4</v>
      </c>
      <c r="I673" s="4">
        <v>60</v>
      </c>
      <c r="J673" s="11">
        <v>36.200000000000003</v>
      </c>
      <c r="L673" s="12">
        <f t="shared" si="15"/>
        <v>1.5587085705331658</v>
      </c>
      <c r="M673" s="11">
        <f>GraphSalmonella!$B$10-(Salmonella!I673-GraphSalmonella!$B$6)/GraphSalmonella!$B$5</f>
        <v>0.2712239435094701</v>
      </c>
      <c r="N673" s="2" t="s">
        <v>1226</v>
      </c>
      <c r="O673">
        <v>1996</v>
      </c>
      <c r="S673" s="10">
        <f>GraphSalmonella!$B$57*Salmonella!I673+GraphSalmonella!$B$58</f>
        <v>0.35072323220664714</v>
      </c>
      <c r="T673" s="10">
        <f>GraphSalmonella!$E$57*Salmonella!I673+GraphSalmonella!$E$58</f>
        <v>3.1370239566030182</v>
      </c>
      <c r="U673" s="10">
        <f>GraphSalmonella!$H$57*Salmonella!I673+GraphSalmonella!$H$58</f>
        <v>0.27208851901262943</v>
      </c>
      <c r="X673" s="10">
        <f>GraphSalmonella!$B$80*Salmonella!I673+GraphSalmonella!$B$81</f>
        <v>0.2738497546709393</v>
      </c>
      <c r="Y673" s="10">
        <f>GraphSalmonella!$E$80*Salmonella!I673+GraphSalmonella!$E$81</f>
        <v>0.2823920067305572</v>
      </c>
      <c r="Z673" s="10">
        <f>GraphSalmonella!$H$80*Salmonella!I673+GraphSalmonella!$H$81</f>
        <v>-6.4512686973317024E-2</v>
      </c>
    </row>
    <row r="674" spans="1:26" x14ac:dyDescent="0.2">
      <c r="A674" s="1" t="s">
        <v>66</v>
      </c>
      <c r="B674" s="1" t="s">
        <v>67</v>
      </c>
      <c r="C674" t="s">
        <v>98</v>
      </c>
      <c r="D674" t="s">
        <v>44</v>
      </c>
      <c r="E674" s="1" t="s">
        <v>99</v>
      </c>
      <c r="G674" s="11" t="s">
        <v>514</v>
      </c>
      <c r="H674" s="4">
        <v>7.4</v>
      </c>
      <c r="I674" s="4">
        <v>60</v>
      </c>
      <c r="J674" s="11">
        <v>2.6</v>
      </c>
      <c r="L674" s="12">
        <f t="shared" si="15"/>
        <v>0.41497334797081797</v>
      </c>
      <c r="M674" s="11">
        <f>GraphSalmonella!$B$10-(Salmonella!I674-GraphSalmonella!$B$6)/GraphSalmonella!$B$5</f>
        <v>0.2712239435094701</v>
      </c>
      <c r="N674" s="2" t="s">
        <v>1226</v>
      </c>
      <c r="O674">
        <v>1996</v>
      </c>
      <c r="S674" s="10">
        <f>GraphSalmonella!$B$57*Salmonella!I674+GraphSalmonella!$B$58</f>
        <v>0.35072323220664714</v>
      </c>
      <c r="T674" s="10">
        <f>GraphSalmonella!$E$57*Salmonella!I674+GraphSalmonella!$E$58</f>
        <v>3.1370239566030182</v>
      </c>
      <c r="U674" s="10">
        <f>GraphSalmonella!$H$57*Salmonella!I674+GraphSalmonella!$H$58</f>
        <v>0.27208851901262943</v>
      </c>
      <c r="X674" s="10">
        <f>GraphSalmonella!$B$80*Salmonella!I674+GraphSalmonella!$B$81</f>
        <v>0.2738497546709393</v>
      </c>
      <c r="Y674" s="10">
        <f>GraphSalmonella!$E$80*Salmonella!I674+GraphSalmonella!$E$81</f>
        <v>0.2823920067305572</v>
      </c>
      <c r="Z674" s="10">
        <f>GraphSalmonella!$H$80*Salmonella!I674+GraphSalmonella!$H$81</f>
        <v>-6.4512686973317024E-2</v>
      </c>
    </row>
    <row r="675" spans="1:26" x14ac:dyDescent="0.2">
      <c r="A675" s="1" t="s">
        <v>66</v>
      </c>
      <c r="B675" s="1" t="s">
        <v>67</v>
      </c>
      <c r="C675" t="s">
        <v>98</v>
      </c>
      <c r="D675" t="s">
        <v>44</v>
      </c>
      <c r="E675" s="1" t="s">
        <v>99</v>
      </c>
      <c r="G675" s="11" t="s">
        <v>513</v>
      </c>
      <c r="H675" s="4">
        <v>7.4</v>
      </c>
      <c r="I675" s="4">
        <v>60</v>
      </c>
      <c r="J675" s="11">
        <v>0.6</v>
      </c>
      <c r="L675" s="12">
        <f t="shared" si="15"/>
        <v>-0.22184874961635639</v>
      </c>
      <c r="M675" s="11">
        <f>GraphSalmonella!$B$10-(Salmonella!I675-GraphSalmonella!$B$6)/GraphSalmonella!$B$5</f>
        <v>0.2712239435094701</v>
      </c>
      <c r="N675" s="2" t="s">
        <v>1226</v>
      </c>
      <c r="O675">
        <v>1996</v>
      </c>
      <c r="S675" s="10">
        <f>GraphSalmonella!$B$57*Salmonella!I675+GraphSalmonella!$B$58</f>
        <v>0.35072323220664714</v>
      </c>
      <c r="T675" s="10">
        <f>GraphSalmonella!$E$57*Salmonella!I675+GraphSalmonella!$E$58</f>
        <v>3.1370239566030182</v>
      </c>
      <c r="U675" s="10">
        <f>GraphSalmonella!$H$57*Salmonella!I675+GraphSalmonella!$H$58</f>
        <v>0.27208851901262943</v>
      </c>
      <c r="X675" s="10">
        <f>GraphSalmonella!$B$80*Salmonella!I675+GraphSalmonella!$B$81</f>
        <v>0.2738497546709393</v>
      </c>
      <c r="Y675" s="10">
        <f>GraphSalmonella!$E$80*Salmonella!I675+GraphSalmonella!$E$81</f>
        <v>0.2823920067305572</v>
      </c>
      <c r="Z675" s="10">
        <f>GraphSalmonella!$H$80*Salmonella!I675+GraphSalmonella!$H$81</f>
        <v>-6.4512686973317024E-2</v>
      </c>
    </row>
    <row r="676" spans="1:26" x14ac:dyDescent="0.2">
      <c r="A676" s="1" t="s">
        <v>66</v>
      </c>
      <c r="B676" s="1" t="s">
        <v>67</v>
      </c>
      <c r="C676" t="s">
        <v>98</v>
      </c>
      <c r="D676" t="s">
        <v>44</v>
      </c>
      <c r="E676" s="1" t="s">
        <v>99</v>
      </c>
      <c r="G676" s="11" t="s">
        <v>513</v>
      </c>
      <c r="H676" s="4">
        <v>7.4</v>
      </c>
      <c r="I676" s="4">
        <v>60</v>
      </c>
      <c r="J676" s="11">
        <v>1.5</v>
      </c>
      <c r="L676" s="12">
        <f t="shared" si="15"/>
        <v>0.17609125905568124</v>
      </c>
      <c r="M676" s="11">
        <f>GraphSalmonella!$B$10-(Salmonella!I676-GraphSalmonella!$B$6)/GraphSalmonella!$B$5</f>
        <v>0.2712239435094701</v>
      </c>
      <c r="N676" s="2" t="s">
        <v>1226</v>
      </c>
      <c r="O676">
        <v>1996</v>
      </c>
      <c r="S676" s="10">
        <f>GraphSalmonella!$B$57*Salmonella!I676+GraphSalmonella!$B$58</f>
        <v>0.35072323220664714</v>
      </c>
      <c r="T676" s="10">
        <f>GraphSalmonella!$E$57*Salmonella!I676+GraphSalmonella!$E$58</f>
        <v>3.1370239566030182</v>
      </c>
      <c r="U676" s="10">
        <f>GraphSalmonella!$H$57*Salmonella!I676+GraphSalmonella!$H$58</f>
        <v>0.27208851901262943</v>
      </c>
      <c r="X676" s="10">
        <f>GraphSalmonella!$B$80*Salmonella!I676+GraphSalmonella!$B$81</f>
        <v>0.2738497546709393</v>
      </c>
      <c r="Y676" s="10">
        <f>GraphSalmonella!$E$80*Salmonella!I676+GraphSalmonella!$E$81</f>
        <v>0.2823920067305572</v>
      </c>
      <c r="Z676" s="10">
        <f>GraphSalmonella!$H$80*Salmonella!I676+GraphSalmonella!$H$81</f>
        <v>-6.4512686973317024E-2</v>
      </c>
    </row>
    <row r="677" spans="1:26" x14ac:dyDescent="0.2">
      <c r="A677" s="1" t="s">
        <v>66</v>
      </c>
      <c r="B677" s="1" t="s">
        <v>67</v>
      </c>
      <c r="C677" s="1" t="s">
        <v>98</v>
      </c>
      <c r="D677" t="s">
        <v>44</v>
      </c>
      <c r="E677" s="1" t="s">
        <v>99</v>
      </c>
      <c r="G677" s="11" t="s">
        <v>513</v>
      </c>
      <c r="H677" s="4">
        <v>7.4</v>
      </c>
      <c r="I677" s="4">
        <v>60</v>
      </c>
      <c r="J677" s="11">
        <v>64.900000000000006</v>
      </c>
      <c r="L677" s="12">
        <f t="shared" si="15"/>
        <v>1.8122446968003694</v>
      </c>
      <c r="M677" s="11">
        <f>GraphSalmonella!$B$10-(Salmonella!I677-GraphSalmonella!$B$6)/GraphSalmonella!$B$5</f>
        <v>0.2712239435094701</v>
      </c>
      <c r="N677" s="2" t="s">
        <v>1226</v>
      </c>
      <c r="O677">
        <v>1996</v>
      </c>
      <c r="S677" s="10">
        <f>GraphSalmonella!$B$57*Salmonella!I677+GraphSalmonella!$B$58</f>
        <v>0.35072323220664714</v>
      </c>
      <c r="T677" s="10">
        <f>GraphSalmonella!$E$57*Salmonella!I677+GraphSalmonella!$E$58</f>
        <v>3.1370239566030182</v>
      </c>
      <c r="U677" s="10">
        <f>GraphSalmonella!$H$57*Salmonella!I677+GraphSalmonella!$H$58</f>
        <v>0.27208851901262943</v>
      </c>
      <c r="X677" s="10">
        <f>GraphSalmonella!$B$80*Salmonella!I677+GraphSalmonella!$B$81</f>
        <v>0.2738497546709393</v>
      </c>
      <c r="Y677" s="10">
        <f>GraphSalmonella!$E$80*Salmonella!I677+GraphSalmonella!$E$81</f>
        <v>0.2823920067305572</v>
      </c>
      <c r="Z677" s="10">
        <f>GraphSalmonella!$H$80*Salmonella!I677+GraphSalmonella!$H$81</f>
        <v>-6.4512686973317024E-2</v>
      </c>
    </row>
    <row r="678" spans="1:26" x14ac:dyDescent="0.2">
      <c r="A678" s="1" t="s">
        <v>66</v>
      </c>
      <c r="B678" s="1" t="s">
        <v>67</v>
      </c>
      <c r="C678" s="1" t="s">
        <v>98</v>
      </c>
      <c r="D678" t="s">
        <v>44</v>
      </c>
      <c r="E678" s="1" t="s">
        <v>99</v>
      </c>
      <c r="G678" s="11" t="s">
        <v>521</v>
      </c>
      <c r="H678" s="4">
        <v>7.4</v>
      </c>
      <c r="I678" s="4">
        <v>60</v>
      </c>
      <c r="J678" s="11">
        <v>1.2</v>
      </c>
      <c r="L678" s="12">
        <f t="shared" si="15"/>
        <v>7.9181246047624818E-2</v>
      </c>
      <c r="M678" s="11">
        <f>GraphSalmonella!$B$10-(Salmonella!I678-GraphSalmonella!$B$6)/GraphSalmonella!$B$5</f>
        <v>0.2712239435094701</v>
      </c>
      <c r="N678" s="2" t="s">
        <v>1226</v>
      </c>
      <c r="O678">
        <v>1996</v>
      </c>
      <c r="S678" s="10">
        <f>GraphSalmonella!$B$57*Salmonella!I678+GraphSalmonella!$B$58</f>
        <v>0.35072323220664714</v>
      </c>
      <c r="T678" s="10">
        <f>GraphSalmonella!$E$57*Salmonella!I678+GraphSalmonella!$E$58</f>
        <v>3.1370239566030182</v>
      </c>
      <c r="U678" s="10">
        <f>GraphSalmonella!$H$57*Salmonella!I678+GraphSalmonella!$H$58</f>
        <v>0.27208851901262943</v>
      </c>
      <c r="X678" s="10">
        <f>GraphSalmonella!$B$80*Salmonella!I678+GraphSalmonella!$B$81</f>
        <v>0.2738497546709393</v>
      </c>
      <c r="Y678" s="10">
        <f>GraphSalmonella!$E$80*Salmonella!I678+GraphSalmonella!$E$81</f>
        <v>0.2823920067305572</v>
      </c>
      <c r="Z678" s="10">
        <f>GraphSalmonella!$H$80*Salmonella!I678+GraphSalmonella!$H$81</f>
        <v>-6.4512686973317024E-2</v>
      </c>
    </row>
    <row r="679" spans="1:26" x14ac:dyDescent="0.2">
      <c r="A679" s="1" t="s">
        <v>66</v>
      </c>
      <c r="B679" s="1" t="s">
        <v>67</v>
      </c>
      <c r="C679" t="s">
        <v>98</v>
      </c>
      <c r="D679" t="s">
        <v>44</v>
      </c>
      <c r="E679" s="1" t="s">
        <v>99</v>
      </c>
      <c r="G679" s="11" t="s">
        <v>521</v>
      </c>
      <c r="H679" s="4">
        <v>7.4</v>
      </c>
      <c r="I679" s="4">
        <v>60</v>
      </c>
      <c r="J679" s="11">
        <v>1.6</v>
      </c>
      <c r="L679" s="12">
        <f t="shared" si="15"/>
        <v>0.20411998265592479</v>
      </c>
      <c r="M679" s="11">
        <f>GraphSalmonella!$B$10-(Salmonella!I679-GraphSalmonella!$B$6)/GraphSalmonella!$B$5</f>
        <v>0.2712239435094701</v>
      </c>
      <c r="N679" s="2" t="s">
        <v>1226</v>
      </c>
      <c r="O679">
        <v>1996</v>
      </c>
      <c r="S679" s="10">
        <f>GraphSalmonella!$B$57*Salmonella!I679+GraphSalmonella!$B$58</f>
        <v>0.35072323220664714</v>
      </c>
      <c r="T679" s="10">
        <f>GraphSalmonella!$E$57*Salmonella!I679+GraphSalmonella!$E$58</f>
        <v>3.1370239566030182</v>
      </c>
      <c r="U679" s="10">
        <f>GraphSalmonella!$H$57*Salmonella!I679+GraphSalmonella!$H$58</f>
        <v>0.27208851901262943</v>
      </c>
      <c r="X679" s="10">
        <f>GraphSalmonella!$B$80*Salmonella!I679+GraphSalmonella!$B$81</f>
        <v>0.2738497546709393</v>
      </c>
      <c r="Y679" s="10">
        <f>GraphSalmonella!$E$80*Salmonella!I679+GraphSalmonella!$E$81</f>
        <v>0.2823920067305572</v>
      </c>
      <c r="Z679" s="10">
        <f>GraphSalmonella!$H$80*Salmonella!I679+GraphSalmonella!$H$81</f>
        <v>-6.4512686973317024E-2</v>
      </c>
    </row>
    <row r="680" spans="1:26" x14ac:dyDescent="0.2">
      <c r="A680" s="1" t="s">
        <v>66</v>
      </c>
      <c r="B680" s="1" t="s">
        <v>67</v>
      </c>
      <c r="C680" s="1" t="s">
        <v>98</v>
      </c>
      <c r="D680" t="s">
        <v>44</v>
      </c>
      <c r="E680" s="1" t="s">
        <v>99</v>
      </c>
      <c r="G680" s="11" t="s">
        <v>521</v>
      </c>
      <c r="H680" s="4">
        <v>7.4</v>
      </c>
      <c r="I680" s="4">
        <v>60</v>
      </c>
      <c r="J680" s="11">
        <v>45.3</v>
      </c>
      <c r="L680" s="12">
        <f t="shared" si="15"/>
        <v>1.6560982020128319</v>
      </c>
      <c r="M680" s="11">
        <f>GraphSalmonella!$B$10-(Salmonella!I680-GraphSalmonella!$B$6)/GraphSalmonella!$B$5</f>
        <v>0.2712239435094701</v>
      </c>
      <c r="N680" s="2" t="s">
        <v>1226</v>
      </c>
      <c r="O680">
        <v>1996</v>
      </c>
      <c r="S680" s="10">
        <f>GraphSalmonella!$B$57*Salmonella!I680+GraphSalmonella!$B$58</f>
        <v>0.35072323220664714</v>
      </c>
      <c r="T680" s="10">
        <f>GraphSalmonella!$E$57*Salmonella!I680+GraphSalmonella!$E$58</f>
        <v>3.1370239566030182</v>
      </c>
      <c r="U680" s="10">
        <f>GraphSalmonella!$H$57*Salmonella!I680+GraphSalmonella!$H$58</f>
        <v>0.27208851901262943</v>
      </c>
      <c r="X680" s="10">
        <f>GraphSalmonella!$B$80*Salmonella!I680+GraphSalmonella!$B$81</f>
        <v>0.2738497546709393</v>
      </c>
      <c r="Y680" s="10">
        <f>GraphSalmonella!$E$80*Salmonella!I680+GraphSalmonella!$E$81</f>
        <v>0.2823920067305572</v>
      </c>
      <c r="Z680" s="10">
        <f>GraphSalmonella!$H$80*Salmonella!I680+GraphSalmonella!$H$81</f>
        <v>-6.4512686973317024E-2</v>
      </c>
    </row>
    <row r="681" spans="1:26" x14ac:dyDescent="0.2">
      <c r="A681" s="1" t="s">
        <v>66</v>
      </c>
      <c r="B681" s="1" t="s">
        <v>67</v>
      </c>
      <c r="C681" t="s">
        <v>98</v>
      </c>
      <c r="D681" t="s">
        <v>44</v>
      </c>
      <c r="E681" s="1" t="s">
        <v>99</v>
      </c>
      <c r="G681" s="11" t="s">
        <v>512</v>
      </c>
      <c r="H681" s="4">
        <v>7.4</v>
      </c>
      <c r="I681" s="4">
        <v>60</v>
      </c>
      <c r="J681" s="11">
        <v>0.98</v>
      </c>
      <c r="L681" s="12">
        <f t="shared" si="15"/>
        <v>-8.7739243075051505E-3</v>
      </c>
      <c r="M681" s="11">
        <f>GraphSalmonella!$B$10-(Salmonella!I681-GraphSalmonella!$B$6)/GraphSalmonella!$B$5</f>
        <v>0.2712239435094701</v>
      </c>
      <c r="N681" s="2" t="s">
        <v>1226</v>
      </c>
      <c r="O681">
        <v>1996</v>
      </c>
      <c r="S681" s="10">
        <f>GraphSalmonella!$B$57*Salmonella!I681+GraphSalmonella!$B$58</f>
        <v>0.35072323220664714</v>
      </c>
      <c r="T681" s="10">
        <f>GraphSalmonella!$E$57*Salmonella!I681+GraphSalmonella!$E$58</f>
        <v>3.1370239566030182</v>
      </c>
      <c r="U681" s="10">
        <f>GraphSalmonella!$H$57*Salmonella!I681+GraphSalmonella!$H$58</f>
        <v>0.27208851901262943</v>
      </c>
      <c r="X681" s="10">
        <f>GraphSalmonella!$B$80*Salmonella!I681+GraphSalmonella!$B$81</f>
        <v>0.2738497546709393</v>
      </c>
      <c r="Y681" s="10">
        <f>GraphSalmonella!$E$80*Salmonella!I681+GraphSalmonella!$E$81</f>
        <v>0.2823920067305572</v>
      </c>
      <c r="Z681" s="10">
        <f>GraphSalmonella!$H$80*Salmonella!I681+GraphSalmonella!$H$81</f>
        <v>-6.4512686973317024E-2</v>
      </c>
    </row>
    <row r="682" spans="1:26" x14ac:dyDescent="0.2">
      <c r="A682" s="1" t="s">
        <v>66</v>
      </c>
      <c r="B682" s="1" t="s">
        <v>67</v>
      </c>
      <c r="C682" s="1" t="s">
        <v>98</v>
      </c>
      <c r="D682" t="s">
        <v>44</v>
      </c>
      <c r="E682" s="1" t="s">
        <v>99</v>
      </c>
      <c r="G682" s="11" t="s">
        <v>512</v>
      </c>
      <c r="H682" s="4">
        <v>7.4</v>
      </c>
      <c r="I682" s="4">
        <v>60</v>
      </c>
      <c r="J682" s="11">
        <v>1.8</v>
      </c>
      <c r="L682" s="12">
        <f t="shared" si="15"/>
        <v>0.25527250510330607</v>
      </c>
      <c r="M682" s="11">
        <f>GraphSalmonella!$B$10-(Salmonella!I682-GraphSalmonella!$B$6)/GraphSalmonella!$B$5</f>
        <v>0.2712239435094701</v>
      </c>
      <c r="N682" s="2" t="s">
        <v>1226</v>
      </c>
      <c r="O682">
        <v>1996</v>
      </c>
      <c r="S682" s="10">
        <f>GraphSalmonella!$B$57*Salmonella!I682+GraphSalmonella!$B$58</f>
        <v>0.35072323220664714</v>
      </c>
      <c r="T682" s="10">
        <f>GraphSalmonella!$E$57*Salmonella!I682+GraphSalmonella!$E$58</f>
        <v>3.1370239566030182</v>
      </c>
      <c r="U682" s="10">
        <f>GraphSalmonella!$H$57*Salmonella!I682+GraphSalmonella!$H$58</f>
        <v>0.27208851901262943</v>
      </c>
      <c r="X682" s="10">
        <f>GraphSalmonella!$B$80*Salmonella!I682+GraphSalmonella!$B$81</f>
        <v>0.2738497546709393</v>
      </c>
      <c r="Y682" s="10">
        <f>GraphSalmonella!$E$80*Salmonella!I682+GraphSalmonella!$E$81</f>
        <v>0.2823920067305572</v>
      </c>
      <c r="Z682" s="10">
        <f>GraphSalmonella!$H$80*Salmonella!I682+GraphSalmonella!$H$81</f>
        <v>-6.4512686973317024E-2</v>
      </c>
    </row>
    <row r="683" spans="1:26" x14ac:dyDescent="0.2">
      <c r="A683" s="1" t="s">
        <v>66</v>
      </c>
      <c r="B683" s="1" t="s">
        <v>67</v>
      </c>
      <c r="C683" s="1" t="s">
        <v>98</v>
      </c>
      <c r="D683" t="s">
        <v>44</v>
      </c>
      <c r="E683" s="1" t="s">
        <v>99</v>
      </c>
      <c r="G683" s="11" t="s">
        <v>512</v>
      </c>
      <c r="H683" s="4">
        <v>7.4</v>
      </c>
      <c r="I683" s="4">
        <v>60</v>
      </c>
      <c r="J683" s="11">
        <v>32.1</v>
      </c>
      <c r="L683" s="12">
        <f t="shared" si="15"/>
        <v>1.5065050324048721</v>
      </c>
      <c r="M683" s="11">
        <f>GraphSalmonella!$B$10-(Salmonella!I683-GraphSalmonella!$B$6)/GraphSalmonella!$B$5</f>
        <v>0.2712239435094701</v>
      </c>
      <c r="N683" s="2" t="s">
        <v>1226</v>
      </c>
      <c r="O683">
        <v>1996</v>
      </c>
      <c r="S683" s="10">
        <f>GraphSalmonella!$B$57*Salmonella!I683+GraphSalmonella!$B$58</f>
        <v>0.35072323220664714</v>
      </c>
      <c r="T683" s="10">
        <f>GraphSalmonella!$E$57*Salmonella!I683+GraphSalmonella!$E$58</f>
        <v>3.1370239566030182</v>
      </c>
      <c r="U683" s="10">
        <f>GraphSalmonella!$H$57*Salmonella!I683+GraphSalmonella!$H$58</f>
        <v>0.27208851901262943</v>
      </c>
      <c r="X683" s="10">
        <f>GraphSalmonella!$B$80*Salmonella!I683+GraphSalmonella!$B$81</f>
        <v>0.2738497546709393</v>
      </c>
      <c r="Y683" s="10">
        <f>GraphSalmonella!$E$80*Salmonella!I683+GraphSalmonella!$E$81</f>
        <v>0.2823920067305572</v>
      </c>
      <c r="Z683" s="10">
        <f>GraphSalmonella!$H$80*Salmonella!I683+GraphSalmonella!$H$81</f>
        <v>-6.4512686973317024E-2</v>
      </c>
    </row>
    <row r="684" spans="1:26" x14ac:dyDescent="0.2">
      <c r="A684" s="1" t="s">
        <v>66</v>
      </c>
      <c r="B684" s="1" t="s">
        <v>67</v>
      </c>
      <c r="C684" t="s">
        <v>98</v>
      </c>
      <c r="D684" t="s">
        <v>44</v>
      </c>
      <c r="E684" s="1" t="s">
        <v>99</v>
      </c>
      <c r="G684" s="11" t="s">
        <v>517</v>
      </c>
      <c r="H684" s="4">
        <v>7.4</v>
      </c>
      <c r="I684" s="4">
        <v>60</v>
      </c>
      <c r="J684" s="11">
        <v>0.87</v>
      </c>
      <c r="L684" s="12">
        <f t="shared" si="15"/>
        <v>-6.0480747381381476E-2</v>
      </c>
      <c r="M684" s="11">
        <f>GraphSalmonella!$B$10-(Salmonella!I684-GraphSalmonella!$B$6)/GraphSalmonella!$B$5</f>
        <v>0.2712239435094701</v>
      </c>
      <c r="N684" s="2" t="s">
        <v>1226</v>
      </c>
      <c r="O684">
        <v>1996</v>
      </c>
      <c r="S684" s="10">
        <f>GraphSalmonella!$B$57*Salmonella!I684+GraphSalmonella!$B$58</f>
        <v>0.35072323220664714</v>
      </c>
      <c r="T684" s="10">
        <f>GraphSalmonella!$E$57*Salmonella!I684+GraphSalmonella!$E$58</f>
        <v>3.1370239566030182</v>
      </c>
      <c r="U684" s="10">
        <f>GraphSalmonella!$H$57*Salmonella!I684+GraphSalmonella!$H$58</f>
        <v>0.27208851901262943</v>
      </c>
      <c r="X684" s="10">
        <f>GraphSalmonella!$B$80*Salmonella!I684+GraphSalmonella!$B$81</f>
        <v>0.2738497546709393</v>
      </c>
      <c r="Y684" s="10">
        <f>GraphSalmonella!$E$80*Salmonella!I684+GraphSalmonella!$E$81</f>
        <v>0.2823920067305572</v>
      </c>
      <c r="Z684" s="10">
        <f>GraphSalmonella!$H$80*Salmonella!I684+GraphSalmonella!$H$81</f>
        <v>-6.4512686973317024E-2</v>
      </c>
    </row>
    <row r="685" spans="1:26" x14ac:dyDescent="0.2">
      <c r="A685" s="1" t="s">
        <v>66</v>
      </c>
      <c r="B685" s="1" t="s">
        <v>67</v>
      </c>
      <c r="C685" t="s">
        <v>98</v>
      </c>
      <c r="D685" t="s">
        <v>44</v>
      </c>
      <c r="E685" s="1" t="s">
        <v>99</v>
      </c>
      <c r="G685" s="11" t="s">
        <v>517</v>
      </c>
      <c r="H685" s="4">
        <v>7.4</v>
      </c>
      <c r="I685" s="4">
        <v>60</v>
      </c>
      <c r="J685" s="11">
        <v>2</v>
      </c>
      <c r="L685" s="12">
        <f t="shared" si="15"/>
        <v>0.3010299956639812</v>
      </c>
      <c r="M685" s="11">
        <f>GraphSalmonella!$B$10-(Salmonella!I685-GraphSalmonella!$B$6)/GraphSalmonella!$B$5</f>
        <v>0.2712239435094701</v>
      </c>
      <c r="N685" s="2" t="s">
        <v>1226</v>
      </c>
      <c r="O685">
        <v>1996</v>
      </c>
      <c r="S685" s="10">
        <f>GraphSalmonella!$B$57*Salmonella!I685+GraphSalmonella!$B$58</f>
        <v>0.35072323220664714</v>
      </c>
      <c r="T685" s="10">
        <f>GraphSalmonella!$E$57*Salmonella!I685+GraphSalmonella!$E$58</f>
        <v>3.1370239566030182</v>
      </c>
      <c r="U685" s="10">
        <f>GraphSalmonella!$H$57*Salmonella!I685+GraphSalmonella!$H$58</f>
        <v>0.27208851901262943</v>
      </c>
      <c r="X685" s="10">
        <f>GraphSalmonella!$B$80*Salmonella!I685+GraphSalmonella!$B$81</f>
        <v>0.2738497546709393</v>
      </c>
      <c r="Y685" s="10">
        <f>GraphSalmonella!$E$80*Salmonella!I685+GraphSalmonella!$E$81</f>
        <v>0.2823920067305572</v>
      </c>
      <c r="Z685" s="10">
        <f>GraphSalmonella!$H$80*Salmonella!I685+GraphSalmonella!$H$81</f>
        <v>-6.4512686973317024E-2</v>
      </c>
    </row>
    <row r="686" spans="1:26" x14ac:dyDescent="0.2">
      <c r="A686" s="1" t="s">
        <v>66</v>
      </c>
      <c r="B686" s="1" t="s">
        <v>67</v>
      </c>
      <c r="C686" s="1" t="s">
        <v>98</v>
      </c>
      <c r="D686" t="s">
        <v>44</v>
      </c>
      <c r="E686" s="1" t="s">
        <v>99</v>
      </c>
      <c r="G686" s="11" t="s">
        <v>517</v>
      </c>
      <c r="H686" s="4">
        <v>7.4</v>
      </c>
      <c r="I686" s="4">
        <v>60</v>
      </c>
      <c r="J686" s="11">
        <v>15.5</v>
      </c>
      <c r="L686" s="12">
        <f t="shared" si="15"/>
        <v>1.1903316981702914</v>
      </c>
      <c r="M686" s="11">
        <f>GraphSalmonella!$B$10-(Salmonella!I686-GraphSalmonella!$B$6)/GraphSalmonella!$B$5</f>
        <v>0.2712239435094701</v>
      </c>
      <c r="N686" s="2" t="s">
        <v>1226</v>
      </c>
      <c r="O686">
        <v>1996</v>
      </c>
      <c r="S686" s="10">
        <f>GraphSalmonella!$B$57*Salmonella!I686+GraphSalmonella!$B$58</f>
        <v>0.35072323220664714</v>
      </c>
      <c r="T686" s="10">
        <f>GraphSalmonella!$E$57*Salmonella!I686+GraphSalmonella!$E$58</f>
        <v>3.1370239566030182</v>
      </c>
      <c r="U686" s="10">
        <f>GraphSalmonella!$H$57*Salmonella!I686+GraphSalmonella!$H$58</f>
        <v>0.27208851901262943</v>
      </c>
      <c r="X686" s="10">
        <f>GraphSalmonella!$B$80*Salmonella!I686+GraphSalmonella!$B$81</f>
        <v>0.2738497546709393</v>
      </c>
      <c r="Y686" s="10">
        <f>GraphSalmonella!$E$80*Salmonella!I686+GraphSalmonella!$E$81</f>
        <v>0.2823920067305572</v>
      </c>
      <c r="Z686" s="10">
        <f>GraphSalmonella!$H$80*Salmonella!I686+GraphSalmonella!$H$81</f>
        <v>-6.4512686973317024E-2</v>
      </c>
    </row>
    <row r="687" spans="1:26" x14ac:dyDescent="0.2">
      <c r="A687" s="1" t="s">
        <v>66</v>
      </c>
      <c r="B687" s="1" t="s">
        <v>67</v>
      </c>
      <c r="C687" t="s">
        <v>98</v>
      </c>
      <c r="D687" t="s">
        <v>44</v>
      </c>
      <c r="E687" s="1" t="s">
        <v>99</v>
      </c>
      <c r="G687" s="11" t="s">
        <v>511</v>
      </c>
      <c r="H687" s="4">
        <v>7.4</v>
      </c>
      <c r="I687" s="4">
        <v>60</v>
      </c>
      <c r="J687" s="11">
        <v>0.71</v>
      </c>
      <c r="L687" s="12">
        <f t="shared" si="15"/>
        <v>-0.14874165128092473</v>
      </c>
      <c r="M687" s="11">
        <f>GraphSalmonella!$B$10-(Salmonella!I687-GraphSalmonella!$B$6)/GraphSalmonella!$B$5</f>
        <v>0.2712239435094701</v>
      </c>
      <c r="N687" s="2" t="s">
        <v>1226</v>
      </c>
      <c r="O687">
        <v>1996</v>
      </c>
      <c r="S687" s="10">
        <f>GraphSalmonella!$B$57*Salmonella!I687+GraphSalmonella!$B$58</f>
        <v>0.35072323220664714</v>
      </c>
      <c r="T687" s="10">
        <f>GraphSalmonella!$E$57*Salmonella!I687+GraphSalmonella!$E$58</f>
        <v>3.1370239566030182</v>
      </c>
      <c r="U687" s="10">
        <f>GraphSalmonella!$H$57*Salmonella!I687+GraphSalmonella!$H$58</f>
        <v>0.27208851901262943</v>
      </c>
      <c r="X687" s="10">
        <f>GraphSalmonella!$B$80*Salmonella!I687+GraphSalmonella!$B$81</f>
        <v>0.2738497546709393</v>
      </c>
      <c r="Y687" s="10">
        <f>GraphSalmonella!$E$80*Salmonella!I687+GraphSalmonella!$E$81</f>
        <v>0.2823920067305572</v>
      </c>
      <c r="Z687" s="10">
        <f>GraphSalmonella!$H$80*Salmonella!I687+GraphSalmonella!$H$81</f>
        <v>-6.4512686973317024E-2</v>
      </c>
    </row>
    <row r="688" spans="1:26" x14ac:dyDescent="0.2">
      <c r="A688" s="1" t="s">
        <v>66</v>
      </c>
      <c r="B688" s="1" t="s">
        <v>67</v>
      </c>
      <c r="C688" s="1" t="s">
        <v>98</v>
      </c>
      <c r="D688" t="s">
        <v>44</v>
      </c>
      <c r="E688" s="1" t="s">
        <v>99</v>
      </c>
      <c r="G688" s="11" t="s">
        <v>511</v>
      </c>
      <c r="H688" s="4">
        <v>7.4</v>
      </c>
      <c r="I688" s="4">
        <v>60</v>
      </c>
      <c r="J688" s="11">
        <v>1</v>
      </c>
      <c r="L688" s="12">
        <f t="shared" si="15"/>
        <v>0</v>
      </c>
      <c r="M688" s="11">
        <f>GraphSalmonella!$B$10-(Salmonella!I688-GraphSalmonella!$B$6)/GraphSalmonella!$B$5</f>
        <v>0.2712239435094701</v>
      </c>
      <c r="N688" s="2" t="s">
        <v>1226</v>
      </c>
      <c r="O688">
        <v>1996</v>
      </c>
      <c r="S688" s="10">
        <f>GraphSalmonella!$B$57*Salmonella!I688+GraphSalmonella!$B$58</f>
        <v>0.35072323220664714</v>
      </c>
      <c r="T688" s="10">
        <f>GraphSalmonella!$E$57*Salmonella!I688+GraphSalmonella!$E$58</f>
        <v>3.1370239566030182</v>
      </c>
      <c r="U688" s="10">
        <f>GraphSalmonella!$H$57*Salmonella!I688+GraphSalmonella!$H$58</f>
        <v>0.27208851901262943</v>
      </c>
      <c r="X688" s="10">
        <f>GraphSalmonella!$B$80*Salmonella!I688+GraphSalmonella!$B$81</f>
        <v>0.2738497546709393</v>
      </c>
      <c r="Y688" s="10">
        <f>GraphSalmonella!$E$80*Salmonella!I688+GraphSalmonella!$E$81</f>
        <v>0.2823920067305572</v>
      </c>
      <c r="Z688" s="10">
        <f>GraphSalmonella!$H$80*Salmonella!I688+GraphSalmonella!$H$81</f>
        <v>-6.4512686973317024E-2</v>
      </c>
    </row>
    <row r="689" spans="1:26" x14ac:dyDescent="0.2">
      <c r="A689" s="1" t="s">
        <v>66</v>
      </c>
      <c r="B689" s="1" t="s">
        <v>67</v>
      </c>
      <c r="C689" s="1" t="s">
        <v>98</v>
      </c>
      <c r="D689" t="s">
        <v>44</v>
      </c>
      <c r="E689" s="1" t="s">
        <v>99</v>
      </c>
      <c r="G689" s="11" t="s">
        <v>511</v>
      </c>
      <c r="H689" s="4">
        <v>7.4</v>
      </c>
      <c r="I689" s="4">
        <v>60</v>
      </c>
      <c r="J689" s="11">
        <v>6.1</v>
      </c>
      <c r="L689" s="12">
        <f t="shared" si="15"/>
        <v>0.78532983501076703</v>
      </c>
      <c r="M689" s="11">
        <f>GraphSalmonella!$B$10-(Salmonella!I689-GraphSalmonella!$B$6)/GraphSalmonella!$B$5</f>
        <v>0.2712239435094701</v>
      </c>
      <c r="N689" s="2" t="s">
        <v>1226</v>
      </c>
      <c r="O689">
        <v>1996</v>
      </c>
      <c r="S689" s="10">
        <f>GraphSalmonella!$B$57*Salmonella!I689+GraphSalmonella!$B$58</f>
        <v>0.35072323220664714</v>
      </c>
      <c r="T689" s="10">
        <f>GraphSalmonella!$E$57*Salmonella!I689+GraphSalmonella!$E$58</f>
        <v>3.1370239566030182</v>
      </c>
      <c r="U689" s="10">
        <f>GraphSalmonella!$H$57*Salmonella!I689+GraphSalmonella!$H$58</f>
        <v>0.27208851901262943</v>
      </c>
      <c r="X689" s="10">
        <f>GraphSalmonella!$B$80*Salmonella!I689+GraphSalmonella!$B$81</f>
        <v>0.2738497546709393</v>
      </c>
      <c r="Y689" s="10">
        <f>GraphSalmonella!$E$80*Salmonella!I689+GraphSalmonella!$E$81</f>
        <v>0.2823920067305572</v>
      </c>
      <c r="Z689" s="10">
        <f>GraphSalmonella!$H$80*Salmonella!I689+GraphSalmonella!$H$81</f>
        <v>-6.4512686973317024E-2</v>
      </c>
    </row>
    <row r="690" spans="1:26" x14ac:dyDescent="0.2">
      <c r="A690" s="1" t="s">
        <v>66</v>
      </c>
      <c r="B690" s="1" t="s">
        <v>67</v>
      </c>
      <c r="C690" s="1" t="s">
        <v>98</v>
      </c>
      <c r="D690" t="s">
        <v>44</v>
      </c>
      <c r="E690" s="1" t="s">
        <v>99</v>
      </c>
      <c r="G690" s="11" t="s">
        <v>520</v>
      </c>
      <c r="H690" s="4">
        <v>7.4</v>
      </c>
      <c r="I690" s="4">
        <v>60</v>
      </c>
      <c r="J690" s="11">
        <v>0.44</v>
      </c>
      <c r="L690" s="12">
        <f t="shared" si="15"/>
        <v>-0.35654732351381258</v>
      </c>
      <c r="M690" s="11">
        <f>GraphSalmonella!$B$10-(Salmonella!I690-GraphSalmonella!$B$6)/GraphSalmonella!$B$5</f>
        <v>0.2712239435094701</v>
      </c>
      <c r="N690" s="2" t="s">
        <v>1226</v>
      </c>
      <c r="O690">
        <v>1996</v>
      </c>
      <c r="S690" s="10">
        <f>GraphSalmonella!$B$57*Salmonella!I690+GraphSalmonella!$B$58</f>
        <v>0.35072323220664714</v>
      </c>
      <c r="T690" s="10">
        <f>GraphSalmonella!$E$57*Salmonella!I690+GraphSalmonella!$E$58</f>
        <v>3.1370239566030182</v>
      </c>
      <c r="U690" s="10">
        <f>GraphSalmonella!$H$57*Salmonella!I690+GraphSalmonella!$H$58</f>
        <v>0.27208851901262943</v>
      </c>
      <c r="X690" s="10">
        <f>GraphSalmonella!$B$80*Salmonella!I690+GraphSalmonella!$B$81</f>
        <v>0.2738497546709393</v>
      </c>
      <c r="Y690" s="10">
        <f>GraphSalmonella!$E$80*Salmonella!I690+GraphSalmonella!$E$81</f>
        <v>0.2823920067305572</v>
      </c>
      <c r="Z690" s="10">
        <f>GraphSalmonella!$H$80*Salmonella!I690+GraphSalmonella!$H$81</f>
        <v>-6.4512686973317024E-2</v>
      </c>
    </row>
    <row r="691" spans="1:26" x14ac:dyDescent="0.2">
      <c r="A691" s="1" t="s">
        <v>66</v>
      </c>
      <c r="B691" s="1" t="s">
        <v>67</v>
      </c>
      <c r="C691" s="1" t="s">
        <v>98</v>
      </c>
      <c r="D691" t="s">
        <v>44</v>
      </c>
      <c r="E691" s="1" t="s">
        <v>99</v>
      </c>
      <c r="G691" s="11" t="s">
        <v>520</v>
      </c>
      <c r="H691" s="4">
        <v>7.4</v>
      </c>
      <c r="I691" s="4">
        <v>60</v>
      </c>
      <c r="J691" s="11">
        <v>0.45</v>
      </c>
      <c r="L691" s="12">
        <f t="shared" si="15"/>
        <v>-0.34678748622465633</v>
      </c>
      <c r="M691" s="11">
        <f>GraphSalmonella!$B$10-(Salmonella!I691-GraphSalmonella!$B$6)/GraphSalmonella!$B$5</f>
        <v>0.2712239435094701</v>
      </c>
      <c r="N691" s="2" t="s">
        <v>1226</v>
      </c>
      <c r="O691">
        <v>1996</v>
      </c>
      <c r="S691" s="10">
        <f>GraphSalmonella!$B$57*Salmonella!I691+GraphSalmonella!$B$58</f>
        <v>0.35072323220664714</v>
      </c>
      <c r="T691" s="10">
        <f>GraphSalmonella!$E$57*Salmonella!I691+GraphSalmonella!$E$58</f>
        <v>3.1370239566030182</v>
      </c>
      <c r="U691" s="10">
        <f>GraphSalmonella!$H$57*Salmonella!I691+GraphSalmonella!$H$58</f>
        <v>0.27208851901262943</v>
      </c>
      <c r="X691" s="10">
        <f>GraphSalmonella!$B$80*Salmonella!I691+GraphSalmonella!$B$81</f>
        <v>0.2738497546709393</v>
      </c>
      <c r="Y691" s="10">
        <f>GraphSalmonella!$E$80*Salmonella!I691+GraphSalmonella!$E$81</f>
        <v>0.2823920067305572</v>
      </c>
      <c r="Z691" s="10">
        <f>GraphSalmonella!$H$80*Salmonella!I691+GraphSalmonella!$H$81</f>
        <v>-6.4512686973317024E-2</v>
      </c>
    </row>
    <row r="692" spans="1:26" x14ac:dyDescent="0.2">
      <c r="A692" s="1" t="s">
        <v>66</v>
      </c>
      <c r="B692" s="1" t="s">
        <v>67</v>
      </c>
      <c r="C692" t="s">
        <v>98</v>
      </c>
      <c r="D692" t="s">
        <v>44</v>
      </c>
      <c r="E692" s="1" t="s">
        <v>99</v>
      </c>
      <c r="G692" s="11" t="s">
        <v>520</v>
      </c>
      <c r="H692" s="4">
        <v>7.4</v>
      </c>
      <c r="I692" s="4">
        <v>60</v>
      </c>
      <c r="J692" s="11">
        <v>0.46</v>
      </c>
      <c r="L692" s="12">
        <f t="shared" si="15"/>
        <v>-0.33724216831842591</v>
      </c>
      <c r="M692" s="11">
        <f>GraphSalmonella!$B$10-(Salmonella!I692-GraphSalmonella!$B$6)/GraphSalmonella!$B$5</f>
        <v>0.2712239435094701</v>
      </c>
      <c r="N692" s="2" t="s">
        <v>1226</v>
      </c>
      <c r="O692">
        <v>1996</v>
      </c>
      <c r="S692" s="10">
        <f>GraphSalmonella!$B$57*Salmonella!I692+GraphSalmonella!$B$58</f>
        <v>0.35072323220664714</v>
      </c>
      <c r="T692" s="10">
        <f>GraphSalmonella!$E$57*Salmonella!I692+GraphSalmonella!$E$58</f>
        <v>3.1370239566030182</v>
      </c>
      <c r="U692" s="10">
        <f>GraphSalmonella!$H$57*Salmonella!I692+GraphSalmonella!$H$58</f>
        <v>0.27208851901262943</v>
      </c>
      <c r="X692" s="10">
        <f>GraphSalmonella!$B$80*Salmonella!I692+GraphSalmonella!$B$81</f>
        <v>0.2738497546709393</v>
      </c>
      <c r="Y692" s="10">
        <f>GraphSalmonella!$E$80*Salmonella!I692+GraphSalmonella!$E$81</f>
        <v>0.2823920067305572</v>
      </c>
      <c r="Z692" s="10">
        <f>GraphSalmonella!$H$80*Salmonella!I692+GraphSalmonella!$H$81</f>
        <v>-6.4512686973317024E-2</v>
      </c>
    </row>
    <row r="693" spans="1:26" x14ac:dyDescent="0.2">
      <c r="A693" s="1" t="s">
        <v>66</v>
      </c>
      <c r="B693" s="1" t="s">
        <v>67</v>
      </c>
      <c r="C693" s="1" t="s">
        <v>98</v>
      </c>
      <c r="D693" t="s">
        <v>44</v>
      </c>
      <c r="E693" s="1" t="s">
        <v>99</v>
      </c>
      <c r="G693" s="11" t="s">
        <v>520</v>
      </c>
      <c r="H693" s="4">
        <v>7.4</v>
      </c>
      <c r="I693" s="4">
        <v>60</v>
      </c>
      <c r="J693" s="11">
        <v>0.62</v>
      </c>
      <c r="L693" s="12">
        <f t="shared" si="15"/>
        <v>-0.20760831050174613</v>
      </c>
      <c r="M693" s="11">
        <f>GraphSalmonella!$B$10-(Salmonella!I693-GraphSalmonella!$B$6)/GraphSalmonella!$B$5</f>
        <v>0.2712239435094701</v>
      </c>
      <c r="N693" s="2" t="s">
        <v>1226</v>
      </c>
      <c r="O693">
        <v>1996</v>
      </c>
      <c r="S693" s="10">
        <f>GraphSalmonella!$B$57*Salmonella!I693+GraphSalmonella!$B$58</f>
        <v>0.35072323220664714</v>
      </c>
      <c r="T693" s="10">
        <f>GraphSalmonella!$E$57*Salmonella!I693+GraphSalmonella!$E$58</f>
        <v>3.1370239566030182</v>
      </c>
      <c r="U693" s="10">
        <f>GraphSalmonella!$H$57*Salmonella!I693+GraphSalmonella!$H$58</f>
        <v>0.27208851901262943</v>
      </c>
      <c r="X693" s="10">
        <f>GraphSalmonella!$B$80*Salmonella!I693+GraphSalmonella!$B$81</f>
        <v>0.2738497546709393</v>
      </c>
      <c r="Y693" s="10">
        <f>GraphSalmonella!$E$80*Salmonella!I693+GraphSalmonella!$E$81</f>
        <v>0.2823920067305572</v>
      </c>
      <c r="Z693" s="10">
        <f>GraphSalmonella!$H$80*Salmonella!I693+GraphSalmonella!$H$81</f>
        <v>-6.4512686973317024E-2</v>
      </c>
    </row>
    <row r="694" spans="1:26" x14ac:dyDescent="0.2">
      <c r="A694" s="1" t="s">
        <v>66</v>
      </c>
      <c r="B694" s="1" t="s">
        <v>67</v>
      </c>
      <c r="C694" s="1" t="s">
        <v>98</v>
      </c>
      <c r="D694" t="s">
        <v>44</v>
      </c>
      <c r="E694" s="1" t="s">
        <v>99</v>
      </c>
      <c r="G694" s="11" t="s">
        <v>520</v>
      </c>
      <c r="H694" s="4">
        <v>7.4</v>
      </c>
      <c r="I694" s="4">
        <v>60</v>
      </c>
      <c r="J694" s="11">
        <v>4.9000000000000004</v>
      </c>
      <c r="L694" s="12">
        <f t="shared" si="15"/>
        <v>0.69019608002851374</v>
      </c>
      <c r="M694" s="11">
        <f>GraphSalmonella!$B$10-(Salmonella!I694-GraphSalmonella!$B$6)/GraphSalmonella!$B$5</f>
        <v>0.2712239435094701</v>
      </c>
      <c r="N694" s="2" t="s">
        <v>1226</v>
      </c>
      <c r="O694">
        <v>1996</v>
      </c>
      <c r="S694" s="10">
        <f>GraphSalmonella!$B$57*Salmonella!I694+GraphSalmonella!$B$58</f>
        <v>0.35072323220664714</v>
      </c>
      <c r="T694" s="10">
        <f>GraphSalmonella!$E$57*Salmonella!I694+GraphSalmonella!$E$58</f>
        <v>3.1370239566030182</v>
      </c>
      <c r="U694" s="10">
        <f>GraphSalmonella!$H$57*Salmonella!I694+GraphSalmonella!$H$58</f>
        <v>0.27208851901262943</v>
      </c>
      <c r="X694" s="10">
        <f>GraphSalmonella!$B$80*Salmonella!I694+GraphSalmonella!$B$81</f>
        <v>0.2738497546709393</v>
      </c>
      <c r="Y694" s="10">
        <f>GraphSalmonella!$E$80*Salmonella!I694+GraphSalmonella!$E$81</f>
        <v>0.2823920067305572</v>
      </c>
      <c r="Z694" s="10">
        <f>GraphSalmonella!$H$80*Salmonella!I694+GraphSalmonella!$H$81</f>
        <v>-6.4512686973317024E-2</v>
      </c>
    </row>
    <row r="695" spans="1:26" x14ac:dyDescent="0.2">
      <c r="A695" s="1" t="s">
        <v>66</v>
      </c>
      <c r="B695" s="1" t="s">
        <v>67</v>
      </c>
      <c r="D695" t="s">
        <v>44</v>
      </c>
      <c r="E695" s="1" t="s">
        <v>99</v>
      </c>
      <c r="G695" s="11" t="s">
        <v>520</v>
      </c>
      <c r="H695" s="4">
        <v>7.4</v>
      </c>
      <c r="I695" s="4">
        <v>60</v>
      </c>
      <c r="J695" s="11">
        <v>0.2</v>
      </c>
      <c r="L695" s="12">
        <f t="shared" si="15"/>
        <v>-0.69897000433601875</v>
      </c>
      <c r="M695" s="11">
        <f>GraphSalmonella!$B$10-(Salmonella!I695-GraphSalmonella!$B$6)/GraphSalmonella!$B$5</f>
        <v>0.2712239435094701</v>
      </c>
      <c r="N695" s="2" t="s">
        <v>1226</v>
      </c>
      <c r="O695">
        <v>1996</v>
      </c>
      <c r="S695" s="10">
        <f>GraphSalmonella!$B$57*Salmonella!I695+GraphSalmonella!$B$58</f>
        <v>0.35072323220664714</v>
      </c>
      <c r="T695" s="10">
        <f>GraphSalmonella!$E$57*Salmonella!I695+GraphSalmonella!$E$58</f>
        <v>3.1370239566030182</v>
      </c>
      <c r="U695" s="10">
        <f>GraphSalmonella!$H$57*Salmonella!I695+GraphSalmonella!$H$58</f>
        <v>0.27208851901262943</v>
      </c>
      <c r="X695" s="10">
        <f>GraphSalmonella!$B$80*Salmonella!I695+GraphSalmonella!$B$81</f>
        <v>0.2738497546709393</v>
      </c>
      <c r="Y695" s="10">
        <f>GraphSalmonella!$E$80*Salmonella!I695+GraphSalmonella!$E$81</f>
        <v>0.2823920067305572</v>
      </c>
      <c r="Z695" s="10">
        <f>GraphSalmonella!$H$80*Salmonella!I695+GraphSalmonella!$H$81</f>
        <v>-6.4512686973317024E-2</v>
      </c>
    </row>
    <row r="696" spans="1:26" x14ac:dyDescent="0.2">
      <c r="A696" s="1" t="s">
        <v>66</v>
      </c>
      <c r="B696" s="1" t="s">
        <v>67</v>
      </c>
      <c r="D696" t="s">
        <v>44</v>
      </c>
      <c r="E696" s="1" t="s">
        <v>99</v>
      </c>
      <c r="G696" s="11" t="s">
        <v>520</v>
      </c>
      <c r="H696" s="4">
        <v>7.4</v>
      </c>
      <c r="I696" s="4">
        <v>60</v>
      </c>
      <c r="J696" s="11">
        <v>6.5</v>
      </c>
      <c r="L696" s="12">
        <f t="shared" si="15"/>
        <v>0.81291335664285558</v>
      </c>
      <c r="M696" s="11">
        <f>GraphSalmonella!$B$10-(Salmonella!I696-GraphSalmonella!$B$6)/GraphSalmonella!$B$5</f>
        <v>0.2712239435094701</v>
      </c>
      <c r="N696" s="2" t="s">
        <v>1226</v>
      </c>
      <c r="O696">
        <v>1996</v>
      </c>
      <c r="S696" s="10">
        <f>GraphSalmonella!$B$57*Salmonella!I696+GraphSalmonella!$B$58</f>
        <v>0.35072323220664714</v>
      </c>
      <c r="T696" s="10">
        <f>GraphSalmonella!$E$57*Salmonella!I696+GraphSalmonella!$E$58</f>
        <v>3.1370239566030182</v>
      </c>
      <c r="U696" s="10">
        <f>GraphSalmonella!$H$57*Salmonella!I696+GraphSalmonella!$H$58</f>
        <v>0.27208851901262943</v>
      </c>
      <c r="X696" s="10">
        <f>GraphSalmonella!$B$80*Salmonella!I696+GraphSalmonella!$B$81</f>
        <v>0.2738497546709393</v>
      </c>
      <c r="Y696" s="10">
        <f>GraphSalmonella!$E$80*Salmonella!I696+GraphSalmonella!$E$81</f>
        <v>0.2823920067305572</v>
      </c>
      <c r="Z696" s="10">
        <f>GraphSalmonella!$H$80*Salmonella!I696+GraphSalmonella!$H$81</f>
        <v>-6.4512686973317024E-2</v>
      </c>
    </row>
    <row r="697" spans="1:26" x14ac:dyDescent="0.2">
      <c r="A697" s="1" t="s">
        <v>66</v>
      </c>
      <c r="B697" s="1" t="s">
        <v>117</v>
      </c>
      <c r="D697" t="s">
        <v>44</v>
      </c>
      <c r="E697" s="1" t="s">
        <v>99</v>
      </c>
      <c r="G697" s="11" t="s">
        <v>520</v>
      </c>
      <c r="H697" s="4">
        <v>7.4</v>
      </c>
      <c r="I697" s="4">
        <v>60</v>
      </c>
      <c r="J697" s="11">
        <v>0.4</v>
      </c>
      <c r="L697" s="12">
        <f t="shared" si="15"/>
        <v>-0.3979400086720376</v>
      </c>
      <c r="M697" s="11">
        <f>GraphSalmonella!$B$10-(Salmonella!I697-GraphSalmonella!$B$6)/GraphSalmonella!$B$5</f>
        <v>0.2712239435094701</v>
      </c>
      <c r="N697" s="2" t="s">
        <v>1226</v>
      </c>
      <c r="O697">
        <v>1996</v>
      </c>
      <c r="S697" s="10">
        <f>GraphSalmonella!$B$57*Salmonella!I697+GraphSalmonella!$B$58</f>
        <v>0.35072323220664714</v>
      </c>
      <c r="T697" s="10">
        <f>GraphSalmonella!$E$57*Salmonella!I697+GraphSalmonella!$E$58</f>
        <v>3.1370239566030182</v>
      </c>
      <c r="U697" s="10">
        <f>GraphSalmonella!$H$57*Salmonella!I697+GraphSalmonella!$H$58</f>
        <v>0.27208851901262943</v>
      </c>
      <c r="X697" s="10">
        <f>GraphSalmonella!$B$80*Salmonella!I697+GraphSalmonella!$B$81</f>
        <v>0.2738497546709393</v>
      </c>
      <c r="Y697" s="10">
        <f>GraphSalmonella!$E$80*Salmonella!I697+GraphSalmonella!$E$81</f>
        <v>0.2823920067305572</v>
      </c>
      <c r="Z697" s="10">
        <f>GraphSalmonella!$H$80*Salmonella!I697+GraphSalmonella!$H$81</f>
        <v>-6.4512686973317024E-2</v>
      </c>
    </row>
    <row r="698" spans="1:26" x14ac:dyDescent="0.2">
      <c r="A698" s="1" t="s">
        <v>66</v>
      </c>
      <c r="B698" s="1" t="s">
        <v>117</v>
      </c>
      <c r="C698" s="1"/>
      <c r="D698" t="s">
        <v>44</v>
      </c>
      <c r="E698" s="1" t="s">
        <v>99</v>
      </c>
      <c r="G698" s="11" t="s">
        <v>520</v>
      </c>
      <c r="H698" s="4">
        <v>7.4</v>
      </c>
      <c r="I698" s="4">
        <v>60</v>
      </c>
      <c r="J698" s="9">
        <v>0.5</v>
      </c>
      <c r="K698" s="7"/>
      <c r="L698" s="12">
        <f t="shared" si="15"/>
        <v>-0.3010299956639812</v>
      </c>
      <c r="M698" s="11">
        <f>GraphSalmonella!$B$10-(Salmonella!I698-GraphSalmonella!$B$6)/GraphSalmonella!$B$5</f>
        <v>0.2712239435094701</v>
      </c>
      <c r="N698" s="2" t="s">
        <v>1226</v>
      </c>
      <c r="O698">
        <v>1996</v>
      </c>
      <c r="S698" s="10">
        <f>GraphSalmonella!$B$57*Salmonella!I698+GraphSalmonella!$B$58</f>
        <v>0.35072323220664714</v>
      </c>
      <c r="T698" s="10">
        <f>GraphSalmonella!$E$57*Salmonella!I698+GraphSalmonella!$E$58</f>
        <v>3.1370239566030182</v>
      </c>
      <c r="U698" s="10">
        <f>GraphSalmonella!$H$57*Salmonella!I698+GraphSalmonella!$H$58</f>
        <v>0.27208851901262943</v>
      </c>
      <c r="X698" s="10">
        <f>GraphSalmonella!$B$80*Salmonella!I698+GraphSalmonella!$B$81</f>
        <v>0.2738497546709393</v>
      </c>
      <c r="Y698" s="10">
        <f>GraphSalmonella!$E$80*Salmonella!I698+GraphSalmonella!$E$81</f>
        <v>0.2823920067305572</v>
      </c>
      <c r="Z698" s="10">
        <f>GraphSalmonella!$H$80*Salmonella!I698+GraphSalmonella!$H$81</f>
        <v>-6.4512686973317024E-2</v>
      </c>
    </row>
    <row r="699" spans="1:26" x14ac:dyDescent="0.2">
      <c r="A699" s="1" t="s">
        <v>66</v>
      </c>
      <c r="B699" s="1" t="s">
        <v>70</v>
      </c>
      <c r="C699" s="1"/>
      <c r="D699" t="s">
        <v>44</v>
      </c>
      <c r="E699" s="1" t="s">
        <v>99</v>
      </c>
      <c r="G699" s="11" t="s">
        <v>520</v>
      </c>
      <c r="H699" s="4">
        <v>7.4</v>
      </c>
      <c r="I699" s="4">
        <v>60</v>
      </c>
      <c r="J699" s="9">
        <v>0.2</v>
      </c>
      <c r="K699" s="7"/>
      <c r="L699" s="12">
        <f t="shared" si="15"/>
        <v>-0.69897000433601875</v>
      </c>
      <c r="M699" s="11">
        <f>GraphSalmonella!$B$10-(Salmonella!I699-GraphSalmonella!$B$6)/GraphSalmonella!$B$5</f>
        <v>0.2712239435094701</v>
      </c>
      <c r="N699" s="2" t="s">
        <v>1226</v>
      </c>
      <c r="O699">
        <v>1996</v>
      </c>
      <c r="S699" s="10">
        <f>GraphSalmonella!$B$57*Salmonella!I699+GraphSalmonella!$B$58</f>
        <v>0.35072323220664714</v>
      </c>
      <c r="T699" s="10">
        <f>GraphSalmonella!$E$57*Salmonella!I699+GraphSalmonella!$E$58</f>
        <v>3.1370239566030182</v>
      </c>
      <c r="U699" s="10">
        <f>GraphSalmonella!$H$57*Salmonella!I699+GraphSalmonella!$H$58</f>
        <v>0.27208851901262943</v>
      </c>
      <c r="X699" s="10">
        <f>GraphSalmonella!$B$80*Salmonella!I699+GraphSalmonella!$B$81</f>
        <v>0.2738497546709393</v>
      </c>
      <c r="Y699" s="10">
        <f>GraphSalmonella!$E$80*Salmonella!I699+GraphSalmonella!$E$81</f>
        <v>0.2823920067305572</v>
      </c>
      <c r="Z699" s="10">
        <f>GraphSalmonella!$H$80*Salmonella!I699+GraphSalmonella!$H$81</f>
        <v>-6.4512686973317024E-2</v>
      </c>
    </row>
    <row r="700" spans="1:26" x14ac:dyDescent="0.2">
      <c r="A700" s="1" t="s">
        <v>66</v>
      </c>
      <c r="B700" s="1" t="s">
        <v>70</v>
      </c>
      <c r="D700" t="s">
        <v>44</v>
      </c>
      <c r="E700" s="1" t="s">
        <v>99</v>
      </c>
      <c r="G700" s="11" t="s">
        <v>520</v>
      </c>
      <c r="H700" s="4">
        <v>7.4</v>
      </c>
      <c r="I700" s="4">
        <v>60</v>
      </c>
      <c r="J700" s="11">
        <v>0.9</v>
      </c>
      <c r="L700" s="12">
        <f t="shared" si="15"/>
        <v>-4.5757490560675115E-2</v>
      </c>
      <c r="M700" s="11">
        <f>GraphSalmonella!$B$10-(Salmonella!I700-GraphSalmonella!$B$6)/GraphSalmonella!$B$5</f>
        <v>0.2712239435094701</v>
      </c>
      <c r="N700" s="2" t="s">
        <v>1226</v>
      </c>
      <c r="O700">
        <v>1996</v>
      </c>
      <c r="S700" s="10">
        <f>GraphSalmonella!$B$57*Salmonella!I700+GraphSalmonella!$B$58</f>
        <v>0.35072323220664714</v>
      </c>
      <c r="T700" s="10">
        <f>GraphSalmonella!$E$57*Salmonella!I700+GraphSalmonella!$E$58</f>
        <v>3.1370239566030182</v>
      </c>
      <c r="U700" s="10">
        <f>GraphSalmonella!$H$57*Salmonella!I700+GraphSalmonella!$H$58</f>
        <v>0.27208851901262943</v>
      </c>
      <c r="X700" s="10">
        <f>GraphSalmonella!$B$80*Salmonella!I700+GraphSalmonella!$B$81</f>
        <v>0.2738497546709393</v>
      </c>
      <c r="Y700" s="10">
        <f>GraphSalmonella!$E$80*Salmonella!I700+GraphSalmonella!$E$81</f>
        <v>0.2823920067305572</v>
      </c>
      <c r="Z700" s="10">
        <f>GraphSalmonella!$H$80*Salmonella!I700+GraphSalmonella!$H$81</f>
        <v>-6.4512686973317024E-2</v>
      </c>
    </row>
    <row r="701" spans="1:26" x14ac:dyDescent="0.2">
      <c r="A701" s="1" t="s">
        <v>66</v>
      </c>
      <c r="B701" s="1" t="s">
        <v>109</v>
      </c>
      <c r="D701" t="s">
        <v>44</v>
      </c>
      <c r="E701" s="1" t="s">
        <v>360</v>
      </c>
      <c r="F701" s="1"/>
      <c r="G701" s="9"/>
      <c r="I701" s="4">
        <v>52</v>
      </c>
      <c r="J701" s="11">
        <v>4.95</v>
      </c>
      <c r="L701" s="12">
        <f t="shared" si="15"/>
        <v>0.69460519893356876</v>
      </c>
      <c r="M701" s="11">
        <f>GraphSalmonella!$B$10-(Salmonella!I701-GraphSalmonella!$B$6)/GraphSalmonella!$B$5</f>
        <v>1.1514726787237608</v>
      </c>
      <c r="N701" s="1" t="s">
        <v>319</v>
      </c>
      <c r="O701">
        <v>2000</v>
      </c>
      <c r="S701" s="10">
        <f>GraphSalmonella!$B$57*Salmonella!I701+GraphSalmonella!$B$58</f>
        <v>0.829045400697491</v>
      </c>
      <c r="T701" s="10">
        <f>GraphSalmonella!$E$57*Salmonella!I701+GraphSalmonella!$E$58</f>
        <v>3.529780131395551</v>
      </c>
      <c r="U701" s="10">
        <f>GraphSalmonella!$H$57*Salmonella!I701+GraphSalmonella!$H$58</f>
        <v>1.1521391027974621</v>
      </c>
      <c r="X701" s="10">
        <f>GraphSalmonella!$B$80*Salmonella!I701+GraphSalmonella!$B$81</f>
        <v>1.154524792310724</v>
      </c>
      <c r="Y701" s="10">
        <f>GraphSalmonella!$E$80*Salmonella!I701+GraphSalmonella!$E$81</f>
        <v>1.175426541716269</v>
      </c>
      <c r="Z701" s="10">
        <f>GraphSalmonella!$H$80*Salmonella!I701+GraphSalmonella!$H$81</f>
        <v>0.96894221892570975</v>
      </c>
    </row>
    <row r="702" spans="1:26" x14ac:dyDescent="0.2">
      <c r="A702" s="1" t="s">
        <v>66</v>
      </c>
      <c r="B702" s="1" t="s">
        <v>109</v>
      </c>
      <c r="D702" t="s">
        <v>44</v>
      </c>
      <c r="E702" s="1" t="s">
        <v>360</v>
      </c>
      <c r="I702" s="4">
        <v>52</v>
      </c>
      <c r="J702" s="11">
        <v>4.95</v>
      </c>
      <c r="L702" s="12">
        <f t="shared" si="15"/>
        <v>0.69460519893356876</v>
      </c>
      <c r="M702" s="11">
        <f>GraphSalmonella!$B$10-(Salmonella!I702-GraphSalmonella!$B$6)/GraphSalmonella!$B$5</f>
        <v>1.1514726787237608</v>
      </c>
      <c r="N702" s="1" t="s">
        <v>319</v>
      </c>
      <c r="O702">
        <v>2000</v>
      </c>
      <c r="S702" s="10">
        <f>GraphSalmonella!$B$57*Salmonella!I702+GraphSalmonella!$B$58</f>
        <v>0.829045400697491</v>
      </c>
      <c r="T702" s="10">
        <f>GraphSalmonella!$E$57*Salmonella!I702+GraphSalmonella!$E$58</f>
        <v>3.529780131395551</v>
      </c>
      <c r="U702" s="10">
        <f>GraphSalmonella!$H$57*Salmonella!I702+GraphSalmonella!$H$58</f>
        <v>1.1521391027974621</v>
      </c>
      <c r="X702" s="10">
        <f>GraphSalmonella!$B$80*Salmonella!I702+GraphSalmonella!$B$81</f>
        <v>1.154524792310724</v>
      </c>
      <c r="Y702" s="10">
        <f>GraphSalmonella!$E$80*Salmonella!I702+GraphSalmonella!$E$81</f>
        <v>1.175426541716269</v>
      </c>
      <c r="Z702" s="10">
        <f>GraphSalmonella!$H$80*Salmonella!I702+GraphSalmonella!$H$81</f>
        <v>0.96894221892570975</v>
      </c>
    </row>
    <row r="703" spans="1:26" x14ac:dyDescent="0.2">
      <c r="A703" s="1" t="s">
        <v>66</v>
      </c>
      <c r="B703" s="1" t="s">
        <v>109</v>
      </c>
      <c r="D703" t="s">
        <v>44</v>
      </c>
      <c r="E703" s="1" t="s">
        <v>360</v>
      </c>
      <c r="F703" s="1"/>
      <c r="G703" s="9"/>
      <c r="I703" s="4">
        <v>55</v>
      </c>
      <c r="J703" s="11">
        <v>6.3</v>
      </c>
      <c r="L703" s="12">
        <f t="shared" si="15"/>
        <v>0.79934054945358168</v>
      </c>
      <c r="M703" s="11">
        <f>GraphSalmonella!$B$10-(Salmonella!I703-GraphSalmonella!$B$6)/GraphSalmonella!$B$5</f>
        <v>0.82137940301840184</v>
      </c>
      <c r="N703" s="1" t="s">
        <v>319</v>
      </c>
      <c r="O703">
        <v>2000</v>
      </c>
      <c r="S703" s="10">
        <f>GraphSalmonella!$B$57*Salmonella!I703+GraphSalmonella!$B$58</f>
        <v>0.64967458751342466</v>
      </c>
      <c r="T703" s="10">
        <f>GraphSalmonella!$E$57*Salmonella!I703+GraphSalmonella!$E$58</f>
        <v>3.3824965658483515</v>
      </c>
      <c r="U703" s="10">
        <f>GraphSalmonella!$H$57*Salmonella!I703+GraphSalmonella!$H$58</f>
        <v>0.82212013387815031</v>
      </c>
      <c r="X703" s="10">
        <f>GraphSalmonella!$B$80*Salmonella!I703+GraphSalmonella!$B$81</f>
        <v>0.82427165319580453</v>
      </c>
      <c r="Y703" s="10">
        <f>GraphSalmonella!$E$80*Salmonella!I703+GraphSalmonella!$E$81</f>
        <v>0.84053859109662721</v>
      </c>
      <c r="Z703" s="10">
        <f>GraphSalmonella!$H$80*Salmonella!I703+GraphSalmonella!$H$81</f>
        <v>0.58139662921357438</v>
      </c>
    </row>
    <row r="704" spans="1:26" x14ac:dyDescent="0.2">
      <c r="A704" s="1" t="s">
        <v>66</v>
      </c>
      <c r="B704" s="1" t="s">
        <v>109</v>
      </c>
      <c r="D704" t="s">
        <v>44</v>
      </c>
      <c r="E704" s="1" t="s">
        <v>360</v>
      </c>
      <c r="I704" s="4">
        <v>55</v>
      </c>
      <c r="J704" s="11">
        <v>6.3</v>
      </c>
      <c r="L704" s="12">
        <f t="shared" si="15"/>
        <v>0.79934054945358168</v>
      </c>
      <c r="M704" s="11">
        <f>GraphSalmonella!$B$10-(Salmonella!I704-GraphSalmonella!$B$6)/GraphSalmonella!$B$5</f>
        <v>0.82137940301840184</v>
      </c>
      <c r="N704" s="1" t="s">
        <v>319</v>
      </c>
      <c r="O704">
        <v>2000</v>
      </c>
      <c r="S704" s="10">
        <f>GraphSalmonella!$B$57*Salmonella!I704+GraphSalmonella!$B$58</f>
        <v>0.64967458751342466</v>
      </c>
      <c r="T704" s="10">
        <f>GraphSalmonella!$E$57*Salmonella!I704+GraphSalmonella!$E$58</f>
        <v>3.3824965658483515</v>
      </c>
      <c r="U704" s="10">
        <f>GraphSalmonella!$H$57*Salmonella!I704+GraphSalmonella!$H$58</f>
        <v>0.82212013387815031</v>
      </c>
      <c r="X704" s="10">
        <f>GraphSalmonella!$B$80*Salmonella!I704+GraphSalmonella!$B$81</f>
        <v>0.82427165319580453</v>
      </c>
      <c r="Y704" s="10">
        <f>GraphSalmonella!$E$80*Salmonella!I704+GraphSalmonella!$E$81</f>
        <v>0.84053859109662721</v>
      </c>
      <c r="Z704" s="10">
        <f>GraphSalmonella!$H$80*Salmonella!I704+GraphSalmonella!$H$81</f>
        <v>0.58139662921357438</v>
      </c>
    </row>
    <row r="705" spans="1:26" x14ac:dyDescent="0.2">
      <c r="A705" s="1" t="s">
        <v>66</v>
      </c>
      <c r="B705" s="1" t="s">
        <v>109</v>
      </c>
      <c r="D705" t="s">
        <v>44</v>
      </c>
      <c r="E705" s="1" t="s">
        <v>357</v>
      </c>
      <c r="F705" s="1"/>
      <c r="G705" s="9"/>
      <c r="I705" s="4">
        <v>52</v>
      </c>
      <c r="J705" s="11">
        <v>1.9</v>
      </c>
      <c r="L705" s="12">
        <f t="shared" si="15"/>
        <v>0.27875360095282892</v>
      </c>
      <c r="M705" s="11">
        <f>GraphSalmonella!$B$10-(Salmonella!I705-GraphSalmonella!$B$6)/GraphSalmonella!$B$5</f>
        <v>1.1514726787237608</v>
      </c>
      <c r="N705" s="1" t="s">
        <v>319</v>
      </c>
      <c r="O705">
        <v>2000</v>
      </c>
      <c r="P705" t="s">
        <v>407</v>
      </c>
      <c r="S705" s="10">
        <f>GraphSalmonella!$B$57*Salmonella!I705+GraphSalmonella!$B$58</f>
        <v>0.829045400697491</v>
      </c>
      <c r="T705" s="10">
        <f>GraphSalmonella!$E$57*Salmonella!I705+GraphSalmonella!$E$58</f>
        <v>3.529780131395551</v>
      </c>
      <c r="U705" s="10">
        <f>GraphSalmonella!$H$57*Salmonella!I705+GraphSalmonella!$H$58</f>
        <v>1.1521391027974621</v>
      </c>
      <c r="X705" s="10">
        <f>GraphSalmonella!$B$80*Salmonella!I705+GraphSalmonella!$B$81</f>
        <v>1.154524792310724</v>
      </c>
      <c r="Y705" s="10">
        <f>GraphSalmonella!$E$80*Salmonella!I705+GraphSalmonella!$E$81</f>
        <v>1.175426541716269</v>
      </c>
      <c r="Z705" s="10">
        <f>GraphSalmonella!$H$80*Salmonella!I705+GraphSalmonella!$H$81</f>
        <v>0.96894221892570975</v>
      </c>
    </row>
    <row r="706" spans="1:26" x14ac:dyDescent="0.2">
      <c r="A706" s="1" t="s">
        <v>66</v>
      </c>
      <c r="B706" s="1" t="s">
        <v>109</v>
      </c>
      <c r="D706" t="s">
        <v>44</v>
      </c>
      <c r="E706" s="1" t="s">
        <v>357</v>
      </c>
      <c r="I706" s="4">
        <v>52</v>
      </c>
      <c r="J706" s="11">
        <v>1.9</v>
      </c>
      <c r="L706" s="12">
        <f t="shared" si="15"/>
        <v>0.27875360095282892</v>
      </c>
      <c r="M706" s="11">
        <f>GraphSalmonella!$B$10-(Salmonella!I706-GraphSalmonella!$B$6)/GraphSalmonella!$B$5</f>
        <v>1.1514726787237608</v>
      </c>
      <c r="N706" s="1" t="s">
        <v>319</v>
      </c>
      <c r="O706">
        <v>2000</v>
      </c>
      <c r="P706" t="s">
        <v>359</v>
      </c>
      <c r="S706" s="10">
        <f>GraphSalmonella!$B$57*Salmonella!I706+GraphSalmonella!$B$58</f>
        <v>0.829045400697491</v>
      </c>
      <c r="T706" s="10">
        <f>GraphSalmonella!$E$57*Salmonella!I706+GraphSalmonella!$E$58</f>
        <v>3.529780131395551</v>
      </c>
      <c r="U706" s="10">
        <f>GraphSalmonella!$H$57*Salmonella!I706+GraphSalmonella!$H$58</f>
        <v>1.1521391027974621</v>
      </c>
      <c r="X706" s="10">
        <f>GraphSalmonella!$B$80*Salmonella!I706+GraphSalmonella!$B$81</f>
        <v>1.154524792310724</v>
      </c>
      <c r="Y706" s="10">
        <f>GraphSalmonella!$E$80*Salmonella!I706+GraphSalmonella!$E$81</f>
        <v>1.175426541716269</v>
      </c>
      <c r="Z706" s="10">
        <f>GraphSalmonella!$H$80*Salmonella!I706+GraphSalmonella!$H$81</f>
        <v>0.96894221892570975</v>
      </c>
    </row>
    <row r="707" spans="1:26" x14ac:dyDescent="0.2">
      <c r="A707" s="1" t="s">
        <v>66</v>
      </c>
      <c r="B707" s="1" t="s">
        <v>109</v>
      </c>
      <c r="D707" t="s">
        <v>44</v>
      </c>
      <c r="E707" s="1" t="s">
        <v>357</v>
      </c>
      <c r="F707" s="1"/>
      <c r="G707" s="9"/>
      <c r="I707" s="4">
        <v>52</v>
      </c>
      <c r="J707" s="11">
        <v>3.1</v>
      </c>
      <c r="L707" s="12">
        <f t="shared" si="15"/>
        <v>0.49136169383427269</v>
      </c>
      <c r="M707" s="11">
        <f>GraphSalmonella!$B$10-(Salmonella!I707-GraphSalmonella!$B$6)/GraphSalmonella!$B$5</f>
        <v>1.1514726787237608</v>
      </c>
      <c r="N707" s="1" t="s">
        <v>319</v>
      </c>
      <c r="O707">
        <v>2000</v>
      </c>
      <c r="P707" t="s">
        <v>407</v>
      </c>
      <c r="S707" s="10">
        <f>GraphSalmonella!$B$57*Salmonella!I707+GraphSalmonella!$B$58</f>
        <v>0.829045400697491</v>
      </c>
      <c r="T707" s="10">
        <f>GraphSalmonella!$E$57*Salmonella!I707+GraphSalmonella!$E$58</f>
        <v>3.529780131395551</v>
      </c>
      <c r="U707" s="10">
        <f>GraphSalmonella!$H$57*Salmonella!I707+GraphSalmonella!$H$58</f>
        <v>1.1521391027974621</v>
      </c>
      <c r="X707" s="10">
        <f>GraphSalmonella!$B$80*Salmonella!I707+GraphSalmonella!$B$81</f>
        <v>1.154524792310724</v>
      </c>
      <c r="Y707" s="10">
        <f>GraphSalmonella!$E$80*Salmonella!I707+GraphSalmonella!$E$81</f>
        <v>1.175426541716269</v>
      </c>
      <c r="Z707" s="10">
        <f>GraphSalmonella!$H$80*Salmonella!I707+GraphSalmonella!$H$81</f>
        <v>0.96894221892570975</v>
      </c>
    </row>
    <row r="708" spans="1:26" x14ac:dyDescent="0.2">
      <c r="A708" s="1" t="s">
        <v>66</v>
      </c>
      <c r="B708" s="1" t="s">
        <v>109</v>
      </c>
      <c r="D708" t="s">
        <v>44</v>
      </c>
      <c r="E708" s="1" t="s">
        <v>357</v>
      </c>
      <c r="F708" s="1"/>
      <c r="G708" s="9"/>
      <c r="I708" s="4">
        <v>52</v>
      </c>
      <c r="J708" s="11">
        <v>18.899999999999999</v>
      </c>
      <c r="L708" s="12">
        <f t="shared" si="15"/>
        <v>1.2764618041732441</v>
      </c>
      <c r="M708" s="11">
        <f>GraphSalmonella!$B$10-(Salmonella!I708-GraphSalmonella!$B$6)/GraphSalmonella!$B$5</f>
        <v>1.1514726787237608</v>
      </c>
      <c r="N708" s="1" t="s">
        <v>319</v>
      </c>
      <c r="O708">
        <v>2000</v>
      </c>
      <c r="P708" t="s">
        <v>366</v>
      </c>
      <c r="S708" s="10">
        <f>GraphSalmonella!$B$57*Salmonella!I708+GraphSalmonella!$B$58</f>
        <v>0.829045400697491</v>
      </c>
      <c r="T708" s="10">
        <f>GraphSalmonella!$E$57*Salmonella!I708+GraphSalmonella!$E$58</f>
        <v>3.529780131395551</v>
      </c>
      <c r="U708" s="10">
        <f>GraphSalmonella!$H$57*Salmonella!I708+GraphSalmonella!$H$58</f>
        <v>1.1521391027974621</v>
      </c>
      <c r="X708" s="10">
        <f>GraphSalmonella!$B$80*Salmonella!I708+GraphSalmonella!$B$81</f>
        <v>1.154524792310724</v>
      </c>
      <c r="Y708" s="10">
        <f>GraphSalmonella!$E$80*Salmonella!I708+GraphSalmonella!$E$81</f>
        <v>1.175426541716269</v>
      </c>
      <c r="Z708" s="10">
        <f>GraphSalmonella!$H$80*Salmonella!I708+GraphSalmonella!$H$81</f>
        <v>0.96894221892570975</v>
      </c>
    </row>
    <row r="709" spans="1:26" x14ac:dyDescent="0.2">
      <c r="A709" s="1" t="s">
        <v>66</v>
      </c>
      <c r="B709" s="1" t="s">
        <v>109</v>
      </c>
      <c r="D709" t="s">
        <v>44</v>
      </c>
      <c r="E709" s="1" t="s">
        <v>357</v>
      </c>
      <c r="F709" s="1"/>
      <c r="G709" s="9"/>
      <c r="I709" s="4">
        <v>52</v>
      </c>
      <c r="J709" s="11">
        <v>32.5</v>
      </c>
      <c r="L709" s="12">
        <f t="shared" si="15"/>
        <v>1.5118833609788744</v>
      </c>
      <c r="M709" s="11">
        <f>GraphSalmonella!$B$10-(Salmonella!I709-GraphSalmonella!$B$6)/GraphSalmonella!$B$5</f>
        <v>1.1514726787237608</v>
      </c>
      <c r="N709" s="1" t="s">
        <v>319</v>
      </c>
      <c r="O709">
        <v>2000</v>
      </c>
      <c r="P709" t="s">
        <v>366</v>
      </c>
      <c r="S709" s="10">
        <f>GraphSalmonella!$B$57*Salmonella!I709+GraphSalmonella!$B$58</f>
        <v>0.829045400697491</v>
      </c>
      <c r="T709" s="10">
        <f>GraphSalmonella!$E$57*Salmonella!I709+GraphSalmonella!$E$58</f>
        <v>3.529780131395551</v>
      </c>
      <c r="U709" s="10">
        <f>GraphSalmonella!$H$57*Salmonella!I709+GraphSalmonella!$H$58</f>
        <v>1.1521391027974621</v>
      </c>
      <c r="X709" s="10">
        <f>GraphSalmonella!$B$80*Salmonella!I709+GraphSalmonella!$B$81</f>
        <v>1.154524792310724</v>
      </c>
      <c r="Y709" s="10">
        <f>GraphSalmonella!$E$80*Salmonella!I709+GraphSalmonella!$E$81</f>
        <v>1.175426541716269</v>
      </c>
      <c r="Z709" s="10">
        <f>GraphSalmonella!$H$80*Salmonella!I709+GraphSalmonella!$H$81</f>
        <v>0.96894221892570975</v>
      </c>
    </row>
    <row r="710" spans="1:26" x14ac:dyDescent="0.2">
      <c r="A710" s="1" t="s">
        <v>66</v>
      </c>
      <c r="B710" s="1" t="s">
        <v>109</v>
      </c>
      <c r="D710" t="s">
        <v>44</v>
      </c>
      <c r="E710" s="1" t="s">
        <v>357</v>
      </c>
      <c r="F710" s="1"/>
      <c r="G710" s="9"/>
      <c r="I710" s="4">
        <v>54</v>
      </c>
      <c r="J710" s="11">
        <v>11.4</v>
      </c>
      <c r="L710" s="12">
        <f t="shared" si="15"/>
        <v>1.0569048513364727</v>
      </c>
      <c r="M710" s="11">
        <f>GraphSalmonella!$B$10-(Salmonella!I710-GraphSalmonella!$B$6)/GraphSalmonella!$B$5</f>
        <v>0.93141049492018801</v>
      </c>
      <c r="N710" s="1" t="s">
        <v>319</v>
      </c>
      <c r="O710">
        <v>2000</v>
      </c>
      <c r="S710" s="10">
        <f>GraphSalmonella!$B$57*Salmonella!I710+GraphSalmonella!$B$58</f>
        <v>0.70946485857477981</v>
      </c>
      <c r="T710" s="10">
        <f>GraphSalmonella!$E$57*Salmonella!I710+GraphSalmonella!$E$58</f>
        <v>3.4315910876974178</v>
      </c>
      <c r="U710" s="10">
        <f>GraphSalmonella!$H$57*Salmonella!I710+GraphSalmonella!$H$58</f>
        <v>0.93212645685125395</v>
      </c>
      <c r="X710" s="10">
        <f>GraphSalmonella!$B$80*Salmonella!I710+GraphSalmonella!$B$81</f>
        <v>0.9343560329007774</v>
      </c>
      <c r="Y710" s="10">
        <f>GraphSalmonella!$E$80*Salmonella!I710+GraphSalmonella!$E$81</f>
        <v>0.95216790796984174</v>
      </c>
      <c r="Z710" s="10">
        <f>GraphSalmonella!$H$80*Salmonella!I710+GraphSalmonella!$H$81</f>
        <v>0.71057849245095284</v>
      </c>
    </row>
    <row r="711" spans="1:26" x14ac:dyDescent="0.2">
      <c r="A711" s="1" t="s">
        <v>66</v>
      </c>
      <c r="B711" s="1" t="s">
        <v>109</v>
      </c>
      <c r="D711" t="s">
        <v>44</v>
      </c>
      <c r="E711" s="1" t="s">
        <v>357</v>
      </c>
      <c r="I711" s="4">
        <v>54</v>
      </c>
      <c r="J711" s="11">
        <v>11.4</v>
      </c>
      <c r="L711" s="12">
        <f t="shared" si="15"/>
        <v>1.0569048513364727</v>
      </c>
      <c r="M711" s="11">
        <f>GraphSalmonella!$B$10-(Salmonella!I711-GraphSalmonella!$B$6)/GraphSalmonella!$B$5</f>
        <v>0.93141049492018801</v>
      </c>
      <c r="N711" s="1" t="s">
        <v>319</v>
      </c>
      <c r="O711">
        <v>2000</v>
      </c>
      <c r="S711" s="10">
        <f>GraphSalmonella!$B$57*Salmonella!I711+GraphSalmonella!$B$58</f>
        <v>0.70946485857477981</v>
      </c>
      <c r="T711" s="10">
        <f>GraphSalmonella!$E$57*Salmonella!I711+GraphSalmonella!$E$58</f>
        <v>3.4315910876974178</v>
      </c>
      <c r="U711" s="10">
        <f>GraphSalmonella!$H$57*Salmonella!I711+GraphSalmonella!$H$58</f>
        <v>0.93212645685125395</v>
      </c>
      <c r="X711" s="10">
        <f>GraphSalmonella!$B$80*Salmonella!I711+GraphSalmonella!$B$81</f>
        <v>0.9343560329007774</v>
      </c>
      <c r="Y711" s="10">
        <f>GraphSalmonella!$E$80*Salmonella!I711+GraphSalmonella!$E$81</f>
        <v>0.95216790796984174</v>
      </c>
      <c r="Z711" s="10">
        <f>GraphSalmonella!$H$80*Salmonella!I711+GraphSalmonella!$H$81</f>
        <v>0.71057849245095284</v>
      </c>
    </row>
    <row r="712" spans="1:26" x14ac:dyDescent="0.2">
      <c r="A712" s="1" t="s">
        <v>66</v>
      </c>
      <c r="B712" s="1" t="s">
        <v>109</v>
      </c>
      <c r="D712" t="s">
        <v>44</v>
      </c>
      <c r="E712" s="1" t="s">
        <v>357</v>
      </c>
      <c r="I712" s="4">
        <v>55</v>
      </c>
      <c r="J712" s="11">
        <v>3.1</v>
      </c>
      <c r="L712" s="12">
        <f t="shared" si="15"/>
        <v>0.49136169383427269</v>
      </c>
      <c r="M712" s="11">
        <f>GraphSalmonella!$B$10-(Salmonella!I712-GraphSalmonella!$B$6)/GraphSalmonella!$B$5</f>
        <v>0.82137940301840184</v>
      </c>
      <c r="N712" s="1" t="s">
        <v>319</v>
      </c>
      <c r="O712">
        <v>2000</v>
      </c>
      <c r="P712" t="s">
        <v>359</v>
      </c>
      <c r="S712" s="10">
        <f>GraphSalmonella!$B$57*Salmonella!I712+GraphSalmonella!$B$58</f>
        <v>0.64967458751342466</v>
      </c>
      <c r="T712" s="10">
        <f>GraphSalmonella!$E$57*Salmonella!I712+GraphSalmonella!$E$58</f>
        <v>3.3824965658483515</v>
      </c>
      <c r="U712" s="10">
        <f>GraphSalmonella!$H$57*Salmonella!I712+GraphSalmonella!$H$58</f>
        <v>0.82212013387815031</v>
      </c>
      <c r="X712" s="10">
        <f>GraphSalmonella!$B$80*Salmonella!I712+GraphSalmonella!$B$81</f>
        <v>0.82427165319580453</v>
      </c>
      <c r="Y712" s="10">
        <f>GraphSalmonella!$E$80*Salmonella!I712+GraphSalmonella!$E$81</f>
        <v>0.84053859109662721</v>
      </c>
      <c r="Z712" s="10">
        <f>GraphSalmonella!$H$80*Salmonella!I712+GraphSalmonella!$H$81</f>
        <v>0.58139662921357438</v>
      </c>
    </row>
    <row r="713" spans="1:26" x14ac:dyDescent="0.2">
      <c r="A713" s="1" t="s">
        <v>66</v>
      </c>
      <c r="B713" s="1" t="s">
        <v>109</v>
      </c>
      <c r="D713" t="s">
        <v>44</v>
      </c>
      <c r="E713" s="1" t="s">
        <v>357</v>
      </c>
      <c r="F713" s="1"/>
      <c r="G713" s="9"/>
      <c r="I713" s="4">
        <v>55</v>
      </c>
      <c r="J713" s="11">
        <v>5.2</v>
      </c>
      <c r="L713" s="12">
        <f t="shared" si="15"/>
        <v>0.71600334363479923</v>
      </c>
      <c r="M713" s="11">
        <f>GraphSalmonella!$B$10-(Salmonella!I713-GraphSalmonella!$B$6)/GraphSalmonella!$B$5</f>
        <v>0.82137940301840184</v>
      </c>
      <c r="N713" s="1" t="s">
        <v>319</v>
      </c>
      <c r="O713">
        <v>2000</v>
      </c>
      <c r="S713" s="10">
        <f>GraphSalmonella!$B$57*Salmonella!I713+GraphSalmonella!$B$58</f>
        <v>0.64967458751342466</v>
      </c>
      <c r="T713" s="10">
        <f>GraphSalmonella!$E$57*Salmonella!I713+GraphSalmonella!$E$58</f>
        <v>3.3824965658483515</v>
      </c>
      <c r="U713" s="10">
        <f>GraphSalmonella!$H$57*Salmonella!I713+GraphSalmonella!$H$58</f>
        <v>0.82212013387815031</v>
      </c>
      <c r="X713" s="10">
        <f>GraphSalmonella!$B$80*Salmonella!I713+GraphSalmonella!$B$81</f>
        <v>0.82427165319580453</v>
      </c>
      <c r="Y713" s="10">
        <f>GraphSalmonella!$E$80*Salmonella!I713+GraphSalmonella!$E$81</f>
        <v>0.84053859109662721</v>
      </c>
      <c r="Z713" s="10">
        <f>GraphSalmonella!$H$80*Salmonella!I713+GraphSalmonella!$H$81</f>
        <v>0.58139662921357438</v>
      </c>
    </row>
    <row r="714" spans="1:26" x14ac:dyDescent="0.2">
      <c r="A714" s="1" t="s">
        <v>66</v>
      </c>
      <c r="B714" s="1" t="s">
        <v>109</v>
      </c>
      <c r="D714" t="s">
        <v>44</v>
      </c>
      <c r="E714" s="1" t="s">
        <v>357</v>
      </c>
      <c r="I714" s="4">
        <v>55</v>
      </c>
      <c r="J714" s="11">
        <v>5.2</v>
      </c>
      <c r="L714" s="12">
        <f t="shared" si="15"/>
        <v>0.71600334363479923</v>
      </c>
      <c r="M714" s="11">
        <f>GraphSalmonella!$B$10-(Salmonella!I714-GraphSalmonella!$B$6)/GraphSalmonella!$B$5</f>
        <v>0.82137940301840184</v>
      </c>
      <c r="N714" s="1" t="s">
        <v>319</v>
      </c>
      <c r="O714">
        <v>2000</v>
      </c>
      <c r="S714" s="10">
        <f>GraphSalmonella!$B$57*Salmonella!I714+GraphSalmonella!$B$58</f>
        <v>0.64967458751342466</v>
      </c>
      <c r="T714" s="10">
        <f>GraphSalmonella!$E$57*Salmonella!I714+GraphSalmonella!$E$58</f>
        <v>3.3824965658483515</v>
      </c>
      <c r="U714" s="10">
        <f>GraphSalmonella!$H$57*Salmonella!I714+GraphSalmonella!$H$58</f>
        <v>0.82212013387815031</v>
      </c>
      <c r="X714" s="10">
        <f>GraphSalmonella!$B$80*Salmonella!I714+GraphSalmonella!$B$81</f>
        <v>0.82427165319580453</v>
      </c>
      <c r="Y714" s="10">
        <f>GraphSalmonella!$E$80*Salmonella!I714+GraphSalmonella!$E$81</f>
        <v>0.84053859109662721</v>
      </c>
      <c r="Z714" s="10">
        <f>GraphSalmonella!$H$80*Salmonella!I714+GraphSalmonella!$H$81</f>
        <v>0.58139662921357438</v>
      </c>
    </row>
    <row r="715" spans="1:26" x14ac:dyDescent="0.2">
      <c r="A715" s="1" t="s">
        <v>66</v>
      </c>
      <c r="B715" s="1" t="s">
        <v>109</v>
      </c>
      <c r="D715" t="s">
        <v>44</v>
      </c>
      <c r="E715" s="1" t="s">
        <v>357</v>
      </c>
      <c r="I715" s="4">
        <v>55</v>
      </c>
      <c r="J715" s="11">
        <v>18.899999999999999</v>
      </c>
      <c r="L715" s="12">
        <f t="shared" si="15"/>
        <v>1.2764618041732441</v>
      </c>
      <c r="M715" s="11">
        <f>GraphSalmonella!$B$10-(Salmonella!I715-GraphSalmonella!$B$6)/GraphSalmonella!$B$5</f>
        <v>0.82137940301840184</v>
      </c>
      <c r="N715" s="1" t="s">
        <v>319</v>
      </c>
      <c r="O715">
        <v>2000</v>
      </c>
      <c r="P715" t="s">
        <v>358</v>
      </c>
      <c r="S715" s="10">
        <f>GraphSalmonella!$B$57*Salmonella!I715+GraphSalmonella!$B$58</f>
        <v>0.64967458751342466</v>
      </c>
      <c r="T715" s="10">
        <f>GraphSalmonella!$E$57*Salmonella!I715+GraphSalmonella!$E$58</f>
        <v>3.3824965658483515</v>
      </c>
      <c r="U715" s="10">
        <f>GraphSalmonella!$H$57*Salmonella!I715+GraphSalmonella!$H$58</f>
        <v>0.82212013387815031</v>
      </c>
      <c r="X715" s="10">
        <f>GraphSalmonella!$B$80*Salmonella!I715+GraphSalmonella!$B$81</f>
        <v>0.82427165319580453</v>
      </c>
      <c r="Y715" s="10">
        <f>GraphSalmonella!$E$80*Salmonella!I715+GraphSalmonella!$E$81</f>
        <v>0.84053859109662721</v>
      </c>
      <c r="Z715" s="10">
        <f>GraphSalmonella!$H$80*Salmonella!I715+GraphSalmonella!$H$81</f>
        <v>0.58139662921357438</v>
      </c>
    </row>
    <row r="716" spans="1:26" x14ac:dyDescent="0.2">
      <c r="A716" s="1" t="s">
        <v>66</v>
      </c>
      <c r="B716" s="1" t="s">
        <v>109</v>
      </c>
      <c r="D716" t="s">
        <v>44</v>
      </c>
      <c r="E716" s="1" t="s">
        <v>357</v>
      </c>
      <c r="I716" s="4">
        <v>55</v>
      </c>
      <c r="J716" s="11">
        <v>32.5</v>
      </c>
      <c r="L716" s="12">
        <f t="shared" si="15"/>
        <v>1.5118833609788744</v>
      </c>
      <c r="M716" s="11">
        <f>GraphSalmonella!$B$10-(Salmonella!I716-GraphSalmonella!$B$6)/GraphSalmonella!$B$5</f>
        <v>0.82137940301840184</v>
      </c>
      <c r="N716" s="1" t="s">
        <v>319</v>
      </c>
      <c r="O716">
        <v>2000</v>
      </c>
      <c r="P716" t="s">
        <v>358</v>
      </c>
      <c r="S716" s="10">
        <f>GraphSalmonella!$B$57*Salmonella!I716+GraphSalmonella!$B$58</f>
        <v>0.64967458751342466</v>
      </c>
      <c r="T716" s="10">
        <f>GraphSalmonella!$E$57*Salmonella!I716+GraphSalmonella!$E$58</f>
        <v>3.3824965658483515</v>
      </c>
      <c r="U716" s="10">
        <f>GraphSalmonella!$H$57*Salmonella!I716+GraphSalmonella!$H$58</f>
        <v>0.82212013387815031</v>
      </c>
      <c r="X716" s="10">
        <f>GraphSalmonella!$B$80*Salmonella!I716+GraphSalmonella!$B$81</f>
        <v>0.82427165319580453</v>
      </c>
      <c r="Y716" s="10">
        <f>GraphSalmonella!$E$80*Salmonella!I716+GraphSalmonella!$E$81</f>
        <v>0.84053859109662721</v>
      </c>
      <c r="Z716" s="10">
        <f>GraphSalmonella!$H$80*Salmonella!I716+GraphSalmonella!$H$81</f>
        <v>0.58139662921357438</v>
      </c>
    </row>
    <row r="717" spans="1:26" x14ac:dyDescent="0.2">
      <c r="A717" s="1" t="s">
        <v>66</v>
      </c>
      <c r="B717" s="1" t="s">
        <v>67</v>
      </c>
      <c r="C717" t="s">
        <v>312</v>
      </c>
      <c r="D717" t="s">
        <v>44</v>
      </c>
      <c r="E717" s="1" t="s">
        <v>541</v>
      </c>
      <c r="F717" s="21" t="s">
        <v>780</v>
      </c>
      <c r="H717" s="4">
        <v>7.7</v>
      </c>
      <c r="I717" s="4">
        <v>63</v>
      </c>
      <c r="J717" s="11">
        <v>0.16</v>
      </c>
      <c r="L717" s="12">
        <f t="shared" si="15"/>
        <v>-0.79588001734407521</v>
      </c>
      <c r="M717" s="11">
        <f>GraphSalmonella!$B$10-(Salmonella!I717-GraphSalmonella!$B$6)/GraphSalmonella!$B$5</f>
        <v>-5.8869332195888968E-2</v>
      </c>
      <c r="N717" s="1" t="s">
        <v>543</v>
      </c>
      <c r="O717">
        <v>2001</v>
      </c>
      <c r="S717" s="10">
        <f>GraphSalmonella!$B$57*Salmonella!I717+GraphSalmonella!$B$58</f>
        <v>0.1713524190225808</v>
      </c>
      <c r="T717" s="10">
        <f>GraphSalmonella!$E$57*Salmonella!I717+GraphSalmonella!$E$58</f>
        <v>2.9897403910558187</v>
      </c>
      <c r="U717" s="10">
        <f>GraphSalmonella!$H$57*Salmonella!I717+GraphSalmonella!$H$58</f>
        <v>-5.7930449906682391E-2</v>
      </c>
      <c r="X717" s="10">
        <f>GraphSalmonella!$B$80*Salmonella!I717+GraphSalmonella!$B$81</f>
        <v>-5.6403384443980187E-2</v>
      </c>
      <c r="Y717" s="10">
        <f>GraphSalmonella!$E$80*Salmonella!I717+GraphSalmonella!$E$81</f>
        <v>-5.2495943889084629E-2</v>
      </c>
      <c r="Z717" s="10">
        <f>GraphSalmonella!$H$80*Salmonella!I717+GraphSalmonella!$H$81</f>
        <v>-0.45205827668545329</v>
      </c>
    </row>
    <row r="718" spans="1:26" x14ac:dyDescent="0.2">
      <c r="A718" s="1" t="s">
        <v>66</v>
      </c>
      <c r="B718" s="1" t="s">
        <v>67</v>
      </c>
      <c r="C718" t="s">
        <v>312</v>
      </c>
      <c r="D718" t="s">
        <v>44</v>
      </c>
      <c r="E718" s="1" t="s">
        <v>541</v>
      </c>
      <c r="H718" s="4">
        <v>7.7</v>
      </c>
      <c r="I718" s="4">
        <v>63</v>
      </c>
      <c r="J718" s="11">
        <v>0.2</v>
      </c>
      <c r="L718" s="12">
        <f t="shared" si="15"/>
        <v>-0.69897000433601875</v>
      </c>
      <c r="M718" s="11">
        <f>GraphSalmonella!$B$10-(Salmonella!I718-GraphSalmonella!$B$6)/GraphSalmonella!$B$5</f>
        <v>-5.8869332195888968E-2</v>
      </c>
      <c r="N718" s="1" t="s">
        <v>543</v>
      </c>
      <c r="O718">
        <v>2001</v>
      </c>
      <c r="S718" s="10">
        <f>GraphSalmonella!$B$57*Salmonella!I718+GraphSalmonella!$B$58</f>
        <v>0.1713524190225808</v>
      </c>
      <c r="T718" s="10">
        <f>GraphSalmonella!$E$57*Salmonella!I718+GraphSalmonella!$E$58</f>
        <v>2.9897403910558187</v>
      </c>
      <c r="U718" s="10">
        <f>GraphSalmonella!$H$57*Salmonella!I718+GraphSalmonella!$H$58</f>
        <v>-5.7930449906682391E-2</v>
      </c>
      <c r="X718" s="10">
        <f>GraphSalmonella!$B$80*Salmonella!I718+GraphSalmonella!$B$81</f>
        <v>-5.6403384443980187E-2</v>
      </c>
      <c r="Y718" s="10">
        <f>GraphSalmonella!$E$80*Salmonella!I718+GraphSalmonella!$E$81</f>
        <v>-5.2495943889084629E-2</v>
      </c>
      <c r="Z718" s="10">
        <f>GraphSalmonella!$H$80*Salmonella!I718+GraphSalmonella!$H$81</f>
        <v>-0.45205827668545329</v>
      </c>
    </row>
    <row r="719" spans="1:26" x14ac:dyDescent="0.2">
      <c r="A719" s="1" t="s">
        <v>66</v>
      </c>
      <c r="B719" s="1" t="s">
        <v>67</v>
      </c>
      <c r="C719" t="s">
        <v>312</v>
      </c>
      <c r="D719" t="s">
        <v>44</v>
      </c>
      <c r="E719" s="1" t="s">
        <v>541</v>
      </c>
      <c r="H719" s="4">
        <v>6.7</v>
      </c>
      <c r="I719" s="4">
        <v>63</v>
      </c>
      <c r="J719" s="11">
        <v>0.37</v>
      </c>
      <c r="L719" s="12">
        <f t="shared" si="15"/>
        <v>-0.43179827593300502</v>
      </c>
      <c r="M719" s="11">
        <f>GraphSalmonella!$B$10-(Salmonella!I719-GraphSalmonella!$B$6)/GraphSalmonella!$B$5</f>
        <v>-5.8869332195888968E-2</v>
      </c>
      <c r="N719" s="1" t="s">
        <v>543</v>
      </c>
      <c r="O719">
        <v>2001</v>
      </c>
      <c r="S719" s="10">
        <f>GraphSalmonella!$B$57*Salmonella!I719+GraphSalmonella!$B$58</f>
        <v>0.1713524190225808</v>
      </c>
      <c r="T719" s="10">
        <f>GraphSalmonella!$E$57*Salmonella!I719+GraphSalmonella!$E$58</f>
        <v>2.9897403910558187</v>
      </c>
      <c r="U719" s="10">
        <f>GraphSalmonella!$H$57*Salmonella!I719+GraphSalmonella!$H$58</f>
        <v>-5.7930449906682391E-2</v>
      </c>
      <c r="X719" s="10">
        <f>GraphSalmonella!$B$80*Salmonella!I719+GraphSalmonella!$B$81</f>
        <v>-5.6403384443980187E-2</v>
      </c>
      <c r="Y719" s="10">
        <f>GraphSalmonella!$E$80*Salmonella!I719+GraphSalmonella!$E$81</f>
        <v>-5.2495943889084629E-2</v>
      </c>
      <c r="Z719" s="10">
        <f>GraphSalmonella!$H$80*Salmonella!I719+GraphSalmonella!$H$81</f>
        <v>-0.45205827668545329</v>
      </c>
    </row>
    <row r="720" spans="1:26" x14ac:dyDescent="0.2">
      <c r="A720" s="1" t="s">
        <v>66</v>
      </c>
      <c r="B720" s="1" t="s">
        <v>109</v>
      </c>
      <c r="D720" t="s">
        <v>44</v>
      </c>
      <c r="E720" s="1" t="s">
        <v>361</v>
      </c>
      <c r="F720" s="1"/>
      <c r="G720" s="9"/>
      <c r="I720" s="4">
        <v>52</v>
      </c>
      <c r="J720" s="11">
        <v>4.5</v>
      </c>
      <c r="K720" s="4">
        <v>3.3</v>
      </c>
      <c r="L720" s="12">
        <f t="shared" si="15"/>
        <v>0.65321251377534373</v>
      </c>
      <c r="M720" s="11">
        <f>GraphSalmonella!$B$10-(Salmonella!I720-GraphSalmonella!$B$6)/GraphSalmonella!$B$5</f>
        <v>1.1514726787237608</v>
      </c>
      <c r="N720" s="1" t="s">
        <v>319</v>
      </c>
      <c r="O720">
        <v>2000</v>
      </c>
      <c r="S720" s="10">
        <f>GraphSalmonella!$B$57*Salmonella!I720+GraphSalmonella!$B$58</f>
        <v>0.829045400697491</v>
      </c>
      <c r="T720" s="10">
        <f>GraphSalmonella!$E$57*Salmonella!I720+GraphSalmonella!$E$58</f>
        <v>3.529780131395551</v>
      </c>
      <c r="U720" s="10">
        <f>GraphSalmonella!$H$57*Salmonella!I720+GraphSalmonella!$H$58</f>
        <v>1.1521391027974621</v>
      </c>
      <c r="X720" s="10">
        <f>GraphSalmonella!$B$80*Salmonella!I720+GraphSalmonella!$B$81</f>
        <v>1.154524792310724</v>
      </c>
      <c r="Y720" s="10">
        <f>GraphSalmonella!$E$80*Salmonella!I720+GraphSalmonella!$E$81</f>
        <v>1.175426541716269</v>
      </c>
      <c r="Z720" s="10">
        <f>GraphSalmonella!$H$80*Salmonella!I720+GraphSalmonella!$H$81</f>
        <v>0.96894221892570975</v>
      </c>
    </row>
    <row r="721" spans="1:26" x14ac:dyDescent="0.2">
      <c r="A721" s="1" t="s">
        <v>66</v>
      </c>
      <c r="B721" s="1" t="s">
        <v>67</v>
      </c>
      <c r="C721" t="s">
        <v>71</v>
      </c>
      <c r="D721" t="s">
        <v>44</v>
      </c>
      <c r="E721" t="s">
        <v>73</v>
      </c>
      <c r="F721" s="1"/>
      <c r="G721" s="9"/>
      <c r="I721" s="4">
        <v>60</v>
      </c>
      <c r="J721" s="11">
        <v>6.2519999999999998</v>
      </c>
      <c r="L721" s="12">
        <f t="shared" si="15"/>
        <v>0.79601896934714933</v>
      </c>
      <c r="M721" s="11">
        <f>GraphSalmonella!$B$10-(Salmonella!I721-GraphSalmonella!$B$6)/GraphSalmonella!$B$5</f>
        <v>0.2712239435094701</v>
      </c>
      <c r="N721" s="2" t="s">
        <v>121</v>
      </c>
      <c r="O721">
        <v>1966</v>
      </c>
      <c r="S721" s="10">
        <f>GraphSalmonella!$B$57*Salmonella!I721+GraphSalmonella!$B$58</f>
        <v>0.35072323220664714</v>
      </c>
      <c r="T721" s="10">
        <f>GraphSalmonella!$E$57*Salmonella!I721+GraphSalmonella!$E$58</f>
        <v>3.1370239566030182</v>
      </c>
      <c r="U721" s="10">
        <f>GraphSalmonella!$H$57*Salmonella!I721+GraphSalmonella!$H$58</f>
        <v>0.27208851901262943</v>
      </c>
      <c r="X721" s="10">
        <f>GraphSalmonella!$B$80*Salmonella!I721+GraphSalmonella!$B$81</f>
        <v>0.2738497546709393</v>
      </c>
      <c r="Y721" s="10">
        <f>GraphSalmonella!$E$80*Salmonella!I721+GraphSalmonella!$E$81</f>
        <v>0.2823920067305572</v>
      </c>
      <c r="Z721" s="10">
        <f>GraphSalmonella!$H$80*Salmonella!I721+GraphSalmonella!$H$81</f>
        <v>-6.4512686973317024E-2</v>
      </c>
    </row>
    <row r="722" spans="1:26" x14ac:dyDescent="0.2">
      <c r="A722" s="1" t="s">
        <v>66</v>
      </c>
      <c r="B722" s="1" t="s">
        <v>67</v>
      </c>
      <c r="C722" t="s">
        <v>71</v>
      </c>
      <c r="D722" t="s">
        <v>44</v>
      </c>
      <c r="E722" t="s">
        <v>73</v>
      </c>
      <c r="F722" s="1"/>
      <c r="G722" s="9"/>
      <c r="I722" s="4">
        <v>65.5</v>
      </c>
      <c r="J722" s="11">
        <v>0.84299999999999997</v>
      </c>
      <c r="L722" s="12">
        <f t="shared" si="15"/>
        <v>-7.4172425375257686E-2</v>
      </c>
      <c r="M722" s="11">
        <f>GraphSalmonella!$B$10-(Salmonella!I722-GraphSalmonella!$B$6)/GraphSalmonella!$B$5</f>
        <v>-0.33394706195035484</v>
      </c>
      <c r="N722" s="2" t="s">
        <v>121</v>
      </c>
      <c r="O722">
        <v>1966</v>
      </c>
      <c r="S722" s="10">
        <f>GraphSalmonella!$B$57*Salmonella!I722+GraphSalmonella!$B$58</f>
        <v>2.1876741369192043E-2</v>
      </c>
      <c r="T722" s="10">
        <f>GraphSalmonella!$E$57*Salmonella!I722+GraphSalmonella!$E$58</f>
        <v>2.8670040864331519</v>
      </c>
      <c r="U722" s="10">
        <f>GraphSalmonella!$H$57*Salmonella!I722+GraphSalmonella!$H$58</f>
        <v>-0.33294625733944283</v>
      </c>
      <c r="X722" s="10">
        <f>GraphSalmonella!$B$80*Salmonella!I722+GraphSalmonella!$B$81</f>
        <v>-0.3316143337064128</v>
      </c>
      <c r="Y722" s="10">
        <f>GraphSalmonella!$E$80*Salmonella!I722+GraphSalmonella!$E$81</f>
        <v>-0.33156923607211919</v>
      </c>
      <c r="Z722" s="10">
        <f>GraphSalmonella!$H$80*Salmonella!I722+GraphSalmonella!$H$81</f>
        <v>-0.77501293477889899</v>
      </c>
    </row>
    <row r="723" spans="1:26" x14ac:dyDescent="0.2">
      <c r="A723" s="1" t="s">
        <v>66</v>
      </c>
      <c r="B723" s="1" t="s">
        <v>67</v>
      </c>
      <c r="C723" t="s">
        <v>72</v>
      </c>
      <c r="D723" t="s">
        <v>44</v>
      </c>
      <c r="E723" t="s">
        <v>73</v>
      </c>
      <c r="F723" s="1"/>
      <c r="G723" s="9"/>
      <c r="I723" s="4">
        <v>60</v>
      </c>
      <c r="J723" s="11">
        <v>3.3580000000000001</v>
      </c>
      <c r="L723" s="12">
        <f t="shared" si="15"/>
        <v>0.52608069180202999</v>
      </c>
      <c r="M723" s="11">
        <f>GraphSalmonella!$B$10-(Salmonella!I723-GraphSalmonella!$B$6)/GraphSalmonella!$B$5</f>
        <v>0.2712239435094701</v>
      </c>
      <c r="N723" s="2" t="s">
        <v>121</v>
      </c>
      <c r="O723">
        <v>1966</v>
      </c>
      <c r="S723" s="10">
        <f>GraphSalmonella!$B$57*Salmonella!I723+GraphSalmonella!$B$58</f>
        <v>0.35072323220664714</v>
      </c>
      <c r="T723" s="10">
        <f>GraphSalmonella!$E$57*Salmonella!I723+GraphSalmonella!$E$58</f>
        <v>3.1370239566030182</v>
      </c>
      <c r="U723" s="10">
        <f>GraphSalmonella!$H$57*Salmonella!I723+GraphSalmonella!$H$58</f>
        <v>0.27208851901262943</v>
      </c>
      <c r="X723" s="10">
        <f>GraphSalmonella!$B$80*Salmonella!I723+GraphSalmonella!$B$81</f>
        <v>0.2738497546709393</v>
      </c>
      <c r="Y723" s="10">
        <f>GraphSalmonella!$E$80*Salmonella!I723+GraphSalmonella!$E$81</f>
        <v>0.2823920067305572</v>
      </c>
      <c r="Z723" s="10">
        <f>GraphSalmonella!$H$80*Salmonella!I723+GraphSalmonella!$H$81</f>
        <v>-6.4512686973317024E-2</v>
      </c>
    </row>
    <row r="724" spans="1:26" x14ac:dyDescent="0.2">
      <c r="A724" s="1" t="s">
        <v>66</v>
      </c>
      <c r="B724" s="1" t="s">
        <v>67</v>
      </c>
      <c r="C724" t="s">
        <v>72</v>
      </c>
      <c r="D724" t="s">
        <v>44</v>
      </c>
      <c r="E724" t="s">
        <v>73</v>
      </c>
      <c r="F724" s="1"/>
      <c r="G724" s="9"/>
      <c r="I724" s="4">
        <v>65.5</v>
      </c>
      <c r="J724" s="11">
        <v>0.39400000000000002</v>
      </c>
      <c r="L724" s="12">
        <f t="shared" si="15"/>
        <v>-0.40450377817442584</v>
      </c>
      <c r="M724" s="11">
        <f>GraphSalmonella!$B$10-(Salmonella!I724-GraphSalmonella!$B$6)/GraphSalmonella!$B$5</f>
        <v>-0.33394706195035484</v>
      </c>
      <c r="N724" s="2" t="s">
        <v>121</v>
      </c>
      <c r="O724">
        <v>1966</v>
      </c>
      <c r="S724" s="10">
        <f>GraphSalmonella!$B$57*Salmonella!I724+GraphSalmonella!$B$58</f>
        <v>2.1876741369192043E-2</v>
      </c>
      <c r="T724" s="10">
        <f>GraphSalmonella!$E$57*Salmonella!I724+GraphSalmonella!$E$58</f>
        <v>2.8670040864331519</v>
      </c>
      <c r="U724" s="10">
        <f>GraphSalmonella!$H$57*Salmonella!I724+GraphSalmonella!$H$58</f>
        <v>-0.33294625733944283</v>
      </c>
      <c r="X724" s="10">
        <f>GraphSalmonella!$B$80*Salmonella!I724+GraphSalmonella!$B$81</f>
        <v>-0.3316143337064128</v>
      </c>
      <c r="Y724" s="10">
        <f>GraphSalmonella!$E$80*Salmonella!I724+GraphSalmonella!$E$81</f>
        <v>-0.33156923607211919</v>
      </c>
      <c r="Z724" s="10">
        <f>GraphSalmonella!$H$80*Salmonella!I724+GraphSalmonella!$H$81</f>
        <v>-0.77501293477889899</v>
      </c>
    </row>
    <row r="725" spans="1:26" x14ac:dyDescent="0.2">
      <c r="A725" s="1" t="s">
        <v>66</v>
      </c>
      <c r="B725" s="1" t="s">
        <v>109</v>
      </c>
      <c r="D725" t="s">
        <v>44</v>
      </c>
      <c r="E725" t="s">
        <v>362</v>
      </c>
      <c r="F725" s="1"/>
      <c r="G725" s="9" t="s">
        <v>544</v>
      </c>
      <c r="I725" s="4">
        <v>53</v>
      </c>
      <c r="J725" s="11">
        <v>2.6</v>
      </c>
      <c r="K725" s="4">
        <v>4.8899999999999997</v>
      </c>
      <c r="L725" s="12">
        <f t="shared" si="15"/>
        <v>0.41497334797081797</v>
      </c>
      <c r="M725" s="11">
        <f>GraphSalmonella!$B$10-(Salmonella!I725-GraphSalmonella!$B$6)/GraphSalmonella!$B$5</f>
        <v>1.0414415868219744</v>
      </c>
      <c r="N725" s="1" t="s">
        <v>545</v>
      </c>
      <c r="O725">
        <v>2003</v>
      </c>
      <c r="S725" s="10">
        <f>GraphSalmonella!$B$57*Salmonella!I725+GraphSalmonella!$B$58</f>
        <v>0.7692551296361354</v>
      </c>
      <c r="T725" s="10">
        <f>GraphSalmonella!$E$57*Salmonella!I725+GraphSalmonella!$E$58</f>
        <v>3.4806856095464846</v>
      </c>
      <c r="U725" s="10">
        <f>GraphSalmonella!$H$57*Salmonella!I725+GraphSalmonella!$H$58</f>
        <v>1.0421327798243585</v>
      </c>
      <c r="X725" s="10">
        <f>GraphSalmonella!$B$80*Salmonella!I725+GraphSalmonella!$B$81</f>
        <v>1.0444404126057503</v>
      </c>
      <c r="Y725" s="10">
        <f>GraphSalmonella!$E$80*Salmonella!I725+GraphSalmonella!$E$81</f>
        <v>1.0637972248430554</v>
      </c>
      <c r="Z725" s="10">
        <f>GraphSalmonella!$H$80*Salmonella!I725+GraphSalmonella!$H$81</f>
        <v>0.83976035568833129</v>
      </c>
    </row>
    <row r="726" spans="1:26" x14ac:dyDescent="0.2">
      <c r="A726" s="1" t="s">
        <v>66</v>
      </c>
      <c r="B726" s="1" t="s">
        <v>109</v>
      </c>
      <c r="D726" t="s">
        <v>44</v>
      </c>
      <c r="E726" t="s">
        <v>362</v>
      </c>
      <c r="F726" s="1"/>
      <c r="G726" s="9" t="s">
        <v>544</v>
      </c>
      <c r="I726" s="4">
        <v>54</v>
      </c>
      <c r="J726" s="11">
        <v>1.73</v>
      </c>
      <c r="K726" s="4">
        <v>4.8899999999999997</v>
      </c>
      <c r="L726" s="12">
        <f t="shared" si="15"/>
        <v>0.2380461031287954</v>
      </c>
      <c r="M726" s="11">
        <f>GraphSalmonella!$B$10-(Salmonella!I726-GraphSalmonella!$B$6)/GraphSalmonella!$B$5</f>
        <v>0.93141049492018801</v>
      </c>
      <c r="N726" s="1" t="s">
        <v>545</v>
      </c>
      <c r="O726">
        <v>2003</v>
      </c>
      <c r="S726" s="10">
        <f>GraphSalmonella!$B$57*Salmonella!I726+GraphSalmonella!$B$58</f>
        <v>0.70946485857477981</v>
      </c>
      <c r="T726" s="10">
        <f>GraphSalmonella!$E$57*Salmonella!I726+GraphSalmonella!$E$58</f>
        <v>3.4315910876974178</v>
      </c>
      <c r="U726" s="10">
        <f>GraphSalmonella!$H$57*Salmonella!I726+GraphSalmonella!$H$58</f>
        <v>0.93212645685125395</v>
      </c>
      <c r="X726" s="10">
        <f>GraphSalmonella!$B$80*Salmonella!I726+GraphSalmonella!$B$81</f>
        <v>0.9343560329007774</v>
      </c>
      <c r="Y726" s="10">
        <f>GraphSalmonella!$E$80*Salmonella!I726+GraphSalmonella!$E$81</f>
        <v>0.95216790796984174</v>
      </c>
      <c r="Z726" s="10">
        <f>GraphSalmonella!$H$80*Salmonella!I726+GraphSalmonella!$H$81</f>
        <v>0.71057849245095284</v>
      </c>
    </row>
    <row r="727" spans="1:26" x14ac:dyDescent="0.2">
      <c r="A727" s="1" t="s">
        <v>66</v>
      </c>
      <c r="B727" s="1" t="s">
        <v>109</v>
      </c>
      <c r="D727" t="s">
        <v>44</v>
      </c>
      <c r="E727" t="s">
        <v>362</v>
      </c>
      <c r="F727" s="1"/>
      <c r="G727" s="9"/>
      <c r="I727" s="4">
        <v>55</v>
      </c>
      <c r="J727" s="11">
        <v>6.28</v>
      </c>
      <c r="K727" s="4">
        <v>4.3</v>
      </c>
      <c r="L727" s="12">
        <f t="shared" si="15"/>
        <v>0.79795964373719619</v>
      </c>
      <c r="M727" s="11">
        <f>GraphSalmonella!$B$10-(Salmonella!I727-GraphSalmonella!$B$6)/GraphSalmonella!$B$5</f>
        <v>0.82137940301840184</v>
      </c>
      <c r="N727" s="1" t="s">
        <v>319</v>
      </c>
      <c r="O727">
        <v>2000</v>
      </c>
      <c r="P727" t="s">
        <v>363</v>
      </c>
      <c r="S727" s="10">
        <f>GraphSalmonella!$B$57*Salmonella!I727+GraphSalmonella!$B$58</f>
        <v>0.64967458751342466</v>
      </c>
      <c r="T727" s="10">
        <f>GraphSalmonella!$E$57*Salmonella!I727+GraphSalmonella!$E$58</f>
        <v>3.3824965658483515</v>
      </c>
      <c r="U727" s="10">
        <f>GraphSalmonella!$H$57*Salmonella!I727+GraphSalmonella!$H$58</f>
        <v>0.82212013387815031</v>
      </c>
      <c r="X727" s="10">
        <f>GraphSalmonella!$B$80*Salmonella!I727+GraphSalmonella!$B$81</f>
        <v>0.82427165319580453</v>
      </c>
      <c r="Y727" s="10">
        <f>GraphSalmonella!$E$80*Salmonella!I727+GraphSalmonella!$E$81</f>
        <v>0.84053859109662721</v>
      </c>
      <c r="Z727" s="10">
        <f>GraphSalmonella!$H$80*Salmonella!I727+GraphSalmonella!$H$81</f>
        <v>0.58139662921357438</v>
      </c>
    </row>
    <row r="728" spans="1:26" x14ac:dyDescent="0.2">
      <c r="A728" s="1" t="s">
        <v>66</v>
      </c>
      <c r="B728" s="1" t="s">
        <v>109</v>
      </c>
      <c r="D728" t="s">
        <v>44</v>
      </c>
      <c r="E728" t="s">
        <v>362</v>
      </c>
      <c r="F728" s="1"/>
      <c r="G728" s="9"/>
      <c r="I728" s="4">
        <v>55</v>
      </c>
      <c r="J728" s="11">
        <v>11.76</v>
      </c>
      <c r="K728" s="4">
        <v>4.3</v>
      </c>
      <c r="L728" s="12">
        <f t="shared" si="15"/>
        <v>1.0704073217401198</v>
      </c>
      <c r="M728" s="11">
        <f>GraphSalmonella!$B$10-(Salmonella!I728-GraphSalmonella!$B$6)/GraphSalmonella!$B$5</f>
        <v>0.82137940301840184</v>
      </c>
      <c r="N728" s="1" t="s">
        <v>319</v>
      </c>
      <c r="O728">
        <v>2000</v>
      </c>
      <c r="P728" t="s">
        <v>364</v>
      </c>
      <c r="S728" s="10">
        <f>GraphSalmonella!$B$57*Salmonella!I728+GraphSalmonella!$B$58</f>
        <v>0.64967458751342466</v>
      </c>
      <c r="T728" s="10">
        <f>GraphSalmonella!$E$57*Salmonella!I728+GraphSalmonella!$E$58</f>
        <v>3.3824965658483515</v>
      </c>
      <c r="U728" s="10">
        <f>GraphSalmonella!$H$57*Salmonella!I728+GraphSalmonella!$H$58</f>
        <v>0.82212013387815031</v>
      </c>
      <c r="X728" s="10">
        <f>GraphSalmonella!$B$80*Salmonella!I728+GraphSalmonella!$B$81</f>
        <v>0.82427165319580453</v>
      </c>
      <c r="Y728" s="10">
        <f>GraphSalmonella!$E$80*Salmonella!I728+GraphSalmonella!$E$81</f>
        <v>0.84053859109662721</v>
      </c>
      <c r="Z728" s="10">
        <f>GraphSalmonella!$H$80*Salmonella!I728+GraphSalmonella!$H$81</f>
        <v>0.58139662921357438</v>
      </c>
    </row>
    <row r="729" spans="1:26" x14ac:dyDescent="0.2">
      <c r="A729" s="1" t="s">
        <v>66</v>
      </c>
      <c r="B729" s="1" t="s">
        <v>109</v>
      </c>
      <c r="D729" t="s">
        <v>44</v>
      </c>
      <c r="E729" t="s">
        <v>362</v>
      </c>
      <c r="F729" s="1"/>
      <c r="G729" s="9">
        <v>0.98</v>
      </c>
      <c r="I729" s="4">
        <v>56</v>
      </c>
      <c r="J729" s="11">
        <v>3.68</v>
      </c>
      <c r="K729" s="4">
        <v>6.03</v>
      </c>
      <c r="L729" s="12">
        <f t="shared" si="15"/>
        <v>0.56584781867351763</v>
      </c>
      <c r="M729" s="11">
        <f>GraphSalmonella!$B$10-(Salmonella!I729-GraphSalmonella!$B$6)/GraphSalmonella!$B$5</f>
        <v>0.71134831111661545</v>
      </c>
      <c r="N729" s="1" t="s">
        <v>545</v>
      </c>
      <c r="O729">
        <v>2003</v>
      </c>
      <c r="S729" s="10">
        <f>GraphSalmonella!$B$57*Salmonella!I729+GraphSalmonella!$B$58</f>
        <v>0.58988431645206907</v>
      </c>
      <c r="T729" s="10">
        <f>GraphSalmonella!$E$57*Salmonella!I729+GraphSalmonella!$E$58</f>
        <v>3.3334020439992846</v>
      </c>
      <c r="U729" s="10">
        <f>GraphSalmonella!$H$57*Salmonella!I729+GraphSalmonella!$H$58</f>
        <v>0.71211381090504577</v>
      </c>
      <c r="X729" s="10">
        <f>GraphSalmonella!$B$80*Salmonella!I729+GraphSalmonella!$B$81</f>
        <v>0.71418727349083166</v>
      </c>
      <c r="Y729" s="10">
        <f>GraphSalmonella!$E$80*Salmonella!I729+GraphSalmonella!$E$81</f>
        <v>0.72890927422341356</v>
      </c>
      <c r="Z729" s="10">
        <f>GraphSalmonella!$H$80*Salmonella!I729+GraphSalmonella!$H$81</f>
        <v>0.45221476597619681</v>
      </c>
    </row>
    <row r="730" spans="1:26" x14ac:dyDescent="0.2">
      <c r="A730" s="1" t="s">
        <v>66</v>
      </c>
      <c r="B730" s="1" t="s">
        <v>109</v>
      </c>
      <c r="D730" t="s">
        <v>44</v>
      </c>
      <c r="E730" t="s">
        <v>362</v>
      </c>
      <c r="F730" s="1"/>
      <c r="G730" s="9" t="s">
        <v>544</v>
      </c>
      <c r="I730" s="4">
        <v>56</v>
      </c>
      <c r="J730" s="11">
        <v>0.78</v>
      </c>
      <c r="K730" s="4">
        <v>4.8899999999999997</v>
      </c>
      <c r="L730" s="12">
        <f t="shared" si="15"/>
        <v>-0.10790539730951958</v>
      </c>
      <c r="M730" s="11">
        <f>GraphSalmonella!$B$10-(Salmonella!I730-GraphSalmonella!$B$6)/GraphSalmonella!$B$5</f>
        <v>0.71134831111661545</v>
      </c>
      <c r="N730" s="1" t="s">
        <v>545</v>
      </c>
      <c r="O730">
        <v>2003</v>
      </c>
      <c r="S730" s="10">
        <f>GraphSalmonella!$B$57*Salmonella!I730+GraphSalmonella!$B$58</f>
        <v>0.58988431645206907</v>
      </c>
      <c r="T730" s="10">
        <f>GraphSalmonella!$E$57*Salmonella!I730+GraphSalmonella!$E$58</f>
        <v>3.3334020439992846</v>
      </c>
      <c r="U730" s="10">
        <f>GraphSalmonella!$H$57*Salmonella!I730+GraphSalmonella!$H$58</f>
        <v>0.71211381090504577</v>
      </c>
      <c r="X730" s="10">
        <f>GraphSalmonella!$B$80*Salmonella!I730+GraphSalmonella!$B$81</f>
        <v>0.71418727349083166</v>
      </c>
      <c r="Y730" s="10">
        <f>GraphSalmonella!$E$80*Salmonella!I730+GraphSalmonella!$E$81</f>
        <v>0.72890927422341356</v>
      </c>
      <c r="Z730" s="10">
        <f>GraphSalmonella!$H$80*Salmonella!I730+GraphSalmonella!$H$81</f>
        <v>0.45221476597619681</v>
      </c>
    </row>
    <row r="731" spans="1:26" x14ac:dyDescent="0.2">
      <c r="A731" s="1" t="s">
        <v>66</v>
      </c>
      <c r="B731" s="1" t="s">
        <v>109</v>
      </c>
      <c r="D731" t="s">
        <v>44</v>
      </c>
      <c r="E731" t="s">
        <v>362</v>
      </c>
      <c r="F731" s="1"/>
      <c r="G731" s="9"/>
      <c r="I731" s="4">
        <v>56</v>
      </c>
      <c r="J731" s="11">
        <v>3.62</v>
      </c>
      <c r="K731" s="4">
        <v>4.3</v>
      </c>
      <c r="L731" s="12">
        <f t="shared" si="15"/>
        <v>0.55870857053316569</v>
      </c>
      <c r="M731" s="11">
        <f>GraphSalmonella!$B$10-(Salmonella!I731-GraphSalmonella!$B$6)/GraphSalmonella!$B$5</f>
        <v>0.71134831111661545</v>
      </c>
      <c r="N731" s="1" t="s">
        <v>319</v>
      </c>
      <c r="O731">
        <v>2000</v>
      </c>
      <c r="P731" t="s">
        <v>363</v>
      </c>
      <c r="S731" s="10">
        <f>GraphSalmonella!$B$57*Salmonella!I731+GraphSalmonella!$B$58</f>
        <v>0.58988431645206907</v>
      </c>
      <c r="T731" s="10">
        <f>GraphSalmonella!$E$57*Salmonella!I731+GraphSalmonella!$E$58</f>
        <v>3.3334020439992846</v>
      </c>
      <c r="U731" s="10">
        <f>GraphSalmonella!$H$57*Salmonella!I731+GraphSalmonella!$H$58</f>
        <v>0.71211381090504577</v>
      </c>
      <c r="X731" s="10">
        <f>GraphSalmonella!$B$80*Salmonella!I731+GraphSalmonella!$B$81</f>
        <v>0.71418727349083166</v>
      </c>
      <c r="Y731" s="10">
        <f>GraphSalmonella!$E$80*Salmonella!I731+GraphSalmonella!$E$81</f>
        <v>0.72890927422341356</v>
      </c>
      <c r="Z731" s="10">
        <f>GraphSalmonella!$H$80*Salmonella!I731+GraphSalmonella!$H$81</f>
        <v>0.45221476597619681</v>
      </c>
    </row>
    <row r="732" spans="1:26" x14ac:dyDescent="0.2">
      <c r="A732" s="1" t="s">
        <v>66</v>
      </c>
      <c r="B732" s="1" t="s">
        <v>109</v>
      </c>
      <c r="D732" t="s">
        <v>44</v>
      </c>
      <c r="E732" t="s">
        <v>362</v>
      </c>
      <c r="F732" s="1"/>
      <c r="G732" s="9"/>
      <c r="I732" s="4">
        <v>56</v>
      </c>
      <c r="J732" s="11">
        <v>9.14</v>
      </c>
      <c r="K732" s="4">
        <v>4.3</v>
      </c>
      <c r="L732" s="12">
        <f t="shared" si="15"/>
        <v>0.96094619573383144</v>
      </c>
      <c r="M732" s="11">
        <f>GraphSalmonella!$B$10-(Salmonella!I732-GraphSalmonella!$B$6)/GraphSalmonella!$B$5</f>
        <v>0.71134831111661545</v>
      </c>
      <c r="N732" s="1" t="s">
        <v>319</v>
      </c>
      <c r="O732">
        <v>2000</v>
      </c>
      <c r="P732" t="s">
        <v>364</v>
      </c>
      <c r="S732" s="10">
        <f>GraphSalmonella!$B$57*Salmonella!I732+GraphSalmonella!$B$58</f>
        <v>0.58988431645206907</v>
      </c>
      <c r="T732" s="10">
        <f>GraphSalmonella!$E$57*Salmonella!I732+GraphSalmonella!$E$58</f>
        <v>3.3334020439992846</v>
      </c>
      <c r="U732" s="10">
        <f>GraphSalmonella!$H$57*Salmonella!I732+GraphSalmonella!$H$58</f>
        <v>0.71211381090504577</v>
      </c>
      <c r="X732" s="10">
        <f>GraphSalmonella!$B$80*Salmonella!I732+GraphSalmonella!$B$81</f>
        <v>0.71418727349083166</v>
      </c>
      <c r="Y732" s="10">
        <f>GraphSalmonella!$E$80*Salmonella!I732+GraphSalmonella!$E$81</f>
        <v>0.72890927422341356</v>
      </c>
      <c r="Z732" s="10">
        <f>GraphSalmonella!$H$80*Salmonella!I732+GraphSalmonella!$H$81</f>
        <v>0.45221476597619681</v>
      </c>
    </row>
    <row r="733" spans="1:26" x14ac:dyDescent="0.2">
      <c r="A733" s="1" t="s">
        <v>66</v>
      </c>
      <c r="B733" s="1" t="s">
        <v>109</v>
      </c>
      <c r="D733" t="s">
        <v>44</v>
      </c>
      <c r="E733" t="s">
        <v>362</v>
      </c>
      <c r="F733" s="1"/>
      <c r="G733" s="9"/>
      <c r="I733" s="4">
        <v>57</v>
      </c>
      <c r="J733" s="11">
        <v>1.47</v>
      </c>
      <c r="K733" s="4">
        <v>4.3</v>
      </c>
      <c r="L733" s="12">
        <f t="shared" si="15"/>
        <v>0.16731733474817609</v>
      </c>
      <c r="M733" s="11">
        <f>GraphSalmonella!$B$10-(Salmonella!I733-GraphSalmonella!$B$6)/GraphSalmonella!$B$5</f>
        <v>0.60131721921482906</v>
      </c>
      <c r="N733" s="1" t="s">
        <v>319</v>
      </c>
      <c r="O733">
        <v>2000</v>
      </c>
      <c r="P733" t="s">
        <v>363</v>
      </c>
      <c r="S733" s="10">
        <f>GraphSalmonella!$B$57*Salmonella!I733+GraphSalmonella!$B$58</f>
        <v>0.53009404539071348</v>
      </c>
      <c r="T733" s="10">
        <f>GraphSalmonella!$E$57*Salmonella!I733+GraphSalmonella!$E$58</f>
        <v>3.2843075221502183</v>
      </c>
      <c r="U733" s="10">
        <f>GraphSalmonella!$H$57*Salmonella!I733+GraphSalmonella!$H$58</f>
        <v>0.60210748793194213</v>
      </c>
      <c r="X733" s="10">
        <f>GraphSalmonella!$B$80*Salmonella!I733+GraphSalmonella!$B$81</f>
        <v>0.6041028937858588</v>
      </c>
      <c r="Y733" s="10">
        <f>GraphSalmonella!$E$80*Salmonella!I733+GraphSalmonella!$E$81</f>
        <v>0.61727995735019991</v>
      </c>
      <c r="Z733" s="10">
        <f>GraphSalmonella!$H$80*Salmonella!I733+GraphSalmonella!$H$81</f>
        <v>0.32303290273881835</v>
      </c>
    </row>
    <row r="734" spans="1:26" x14ac:dyDescent="0.2">
      <c r="A734" s="1" t="s">
        <v>66</v>
      </c>
      <c r="B734" s="1" t="s">
        <v>109</v>
      </c>
      <c r="D734" t="s">
        <v>44</v>
      </c>
      <c r="E734" t="s">
        <v>362</v>
      </c>
      <c r="F734" s="1"/>
      <c r="G734" s="9"/>
      <c r="I734" s="4">
        <v>57</v>
      </c>
      <c r="J734" s="11">
        <v>3.51</v>
      </c>
      <c r="K734" s="4">
        <v>4.3</v>
      </c>
      <c r="L734" s="12">
        <f t="shared" ref="L734:L797" si="16">LOG(J734)</f>
        <v>0.54530711646582408</v>
      </c>
      <c r="M734" s="11">
        <f>GraphSalmonella!$B$10-(Salmonella!I734-GraphSalmonella!$B$6)/GraphSalmonella!$B$5</f>
        <v>0.60131721921482906</v>
      </c>
      <c r="N734" s="1" t="s">
        <v>319</v>
      </c>
      <c r="O734">
        <v>2000</v>
      </c>
      <c r="P734" t="s">
        <v>364</v>
      </c>
      <c r="S734" s="10">
        <f>GraphSalmonella!$B$57*Salmonella!I734+GraphSalmonella!$B$58</f>
        <v>0.53009404539071348</v>
      </c>
      <c r="T734" s="10">
        <f>GraphSalmonella!$E$57*Salmonella!I734+GraphSalmonella!$E$58</f>
        <v>3.2843075221502183</v>
      </c>
      <c r="U734" s="10">
        <f>GraphSalmonella!$H$57*Salmonella!I734+GraphSalmonella!$H$58</f>
        <v>0.60210748793194213</v>
      </c>
      <c r="X734" s="10">
        <f>GraphSalmonella!$B$80*Salmonella!I734+GraphSalmonella!$B$81</f>
        <v>0.6041028937858588</v>
      </c>
      <c r="Y734" s="10">
        <f>GraphSalmonella!$E$80*Salmonella!I734+GraphSalmonella!$E$81</f>
        <v>0.61727995735019991</v>
      </c>
      <c r="Z734" s="10">
        <f>GraphSalmonella!$H$80*Salmonella!I734+GraphSalmonella!$H$81</f>
        <v>0.32303290273881835</v>
      </c>
    </row>
    <row r="735" spans="1:26" x14ac:dyDescent="0.2">
      <c r="A735" s="1" t="s">
        <v>66</v>
      </c>
      <c r="B735" s="1" t="s">
        <v>109</v>
      </c>
      <c r="D735" t="s">
        <v>44</v>
      </c>
      <c r="E735" t="s">
        <v>362</v>
      </c>
      <c r="F735" s="1"/>
      <c r="G735" s="9">
        <v>0.96</v>
      </c>
      <c r="I735" s="4">
        <v>58</v>
      </c>
      <c r="J735" s="11">
        <v>4.5599999999999996</v>
      </c>
      <c r="K735" s="4">
        <v>6.38</v>
      </c>
      <c r="L735" s="12">
        <f t="shared" si="16"/>
        <v>0.658964842664435</v>
      </c>
      <c r="M735" s="11">
        <f>GraphSalmonella!$B$10-(Salmonella!I735-GraphSalmonella!$B$6)/GraphSalmonella!$B$5</f>
        <v>0.49128612731304266</v>
      </c>
      <c r="N735" s="1" t="s">
        <v>545</v>
      </c>
      <c r="O735">
        <v>2003</v>
      </c>
      <c r="S735" s="10">
        <f>GraphSalmonella!$B$57*Salmonella!I735+GraphSalmonella!$B$58</f>
        <v>0.47030377432935788</v>
      </c>
      <c r="T735" s="10">
        <f>GraphSalmonella!$E$57*Salmonella!I735+GraphSalmonella!$E$58</f>
        <v>3.2352130003011514</v>
      </c>
      <c r="U735" s="10">
        <f>GraphSalmonella!$H$57*Salmonella!I735+GraphSalmonella!$H$58</f>
        <v>0.4921011649588376</v>
      </c>
      <c r="X735" s="10">
        <f>GraphSalmonella!$B$80*Salmonella!I735+GraphSalmonella!$B$81</f>
        <v>0.49401851408088504</v>
      </c>
      <c r="Y735" s="10">
        <f>GraphSalmonella!$E$80*Salmonella!I735+GraphSalmonella!$E$81</f>
        <v>0.50565064047698538</v>
      </c>
      <c r="Z735" s="10">
        <f>GraphSalmonella!$H$80*Salmonella!I735+GraphSalmonella!$H$81</f>
        <v>0.19385103950143989</v>
      </c>
    </row>
    <row r="736" spans="1:26" x14ac:dyDescent="0.2">
      <c r="A736" s="1" t="s">
        <v>66</v>
      </c>
      <c r="B736" s="1" t="s">
        <v>109</v>
      </c>
      <c r="D736" t="s">
        <v>44</v>
      </c>
      <c r="E736" t="s">
        <v>362</v>
      </c>
      <c r="F736" s="1"/>
      <c r="G736" s="9">
        <v>0.98</v>
      </c>
      <c r="I736" s="4">
        <v>58</v>
      </c>
      <c r="J736" s="11">
        <v>1.53</v>
      </c>
      <c r="K736" s="4">
        <v>6.03</v>
      </c>
      <c r="L736" s="12">
        <f t="shared" si="16"/>
        <v>0.18469143081759881</v>
      </c>
      <c r="M736" s="11">
        <f>GraphSalmonella!$B$10-(Salmonella!I736-GraphSalmonella!$B$6)/GraphSalmonella!$B$5</f>
        <v>0.49128612731304266</v>
      </c>
      <c r="N736" s="1" t="s">
        <v>545</v>
      </c>
      <c r="O736">
        <v>2003</v>
      </c>
      <c r="S736" s="10">
        <f>GraphSalmonella!$B$57*Salmonella!I736+GraphSalmonella!$B$58</f>
        <v>0.47030377432935788</v>
      </c>
      <c r="T736" s="10">
        <f>GraphSalmonella!$E$57*Salmonella!I736+GraphSalmonella!$E$58</f>
        <v>3.2352130003011514</v>
      </c>
      <c r="U736" s="10">
        <f>GraphSalmonella!$H$57*Salmonella!I736+GraphSalmonella!$H$58</f>
        <v>0.4921011649588376</v>
      </c>
      <c r="X736" s="10">
        <f>GraphSalmonella!$B$80*Salmonella!I736+GraphSalmonella!$B$81</f>
        <v>0.49401851408088504</v>
      </c>
      <c r="Y736" s="10">
        <f>GraphSalmonella!$E$80*Salmonella!I736+GraphSalmonella!$E$81</f>
        <v>0.50565064047698538</v>
      </c>
      <c r="Z736" s="10">
        <f>GraphSalmonella!$H$80*Salmonella!I736+GraphSalmonella!$H$81</f>
        <v>0.19385103950143989</v>
      </c>
    </row>
    <row r="737" spans="1:26" x14ac:dyDescent="0.2">
      <c r="A737" s="1" t="s">
        <v>66</v>
      </c>
      <c r="B737" s="1" t="s">
        <v>109</v>
      </c>
      <c r="D737" t="s">
        <v>44</v>
      </c>
      <c r="E737" t="s">
        <v>362</v>
      </c>
      <c r="F737" s="1"/>
      <c r="G737" s="9" t="s">
        <v>544</v>
      </c>
      <c r="I737" s="4">
        <v>58</v>
      </c>
      <c r="J737" s="11">
        <v>0.22</v>
      </c>
      <c r="K737" s="4">
        <v>4.8899999999999997</v>
      </c>
      <c r="L737" s="12">
        <f t="shared" si="16"/>
        <v>-0.65757731917779372</v>
      </c>
      <c r="M737" s="11">
        <f>GraphSalmonella!$B$10-(Salmonella!I737-GraphSalmonella!$B$6)/GraphSalmonella!$B$5</f>
        <v>0.49128612731304266</v>
      </c>
      <c r="N737" s="1" t="s">
        <v>545</v>
      </c>
      <c r="O737">
        <v>2003</v>
      </c>
      <c r="S737" s="10">
        <f>GraphSalmonella!$B$57*Salmonella!I737+GraphSalmonella!$B$58</f>
        <v>0.47030377432935788</v>
      </c>
      <c r="T737" s="10">
        <f>GraphSalmonella!$E$57*Salmonella!I737+GraphSalmonella!$E$58</f>
        <v>3.2352130003011514</v>
      </c>
      <c r="U737" s="10">
        <f>GraphSalmonella!$H$57*Salmonella!I737+GraphSalmonella!$H$58</f>
        <v>0.4921011649588376</v>
      </c>
      <c r="X737" s="10">
        <f>GraphSalmonella!$B$80*Salmonella!I737+GraphSalmonella!$B$81</f>
        <v>0.49401851408088504</v>
      </c>
      <c r="Y737" s="10">
        <f>GraphSalmonella!$E$80*Salmonella!I737+GraphSalmonella!$E$81</f>
        <v>0.50565064047698538</v>
      </c>
      <c r="Z737" s="10">
        <f>GraphSalmonella!$H$80*Salmonella!I737+GraphSalmonella!$H$81</f>
        <v>0.19385103950143989</v>
      </c>
    </row>
    <row r="738" spans="1:26" x14ac:dyDescent="0.2">
      <c r="A738" s="1" t="s">
        <v>66</v>
      </c>
      <c r="B738" s="1" t="s">
        <v>109</v>
      </c>
      <c r="D738" t="s">
        <v>44</v>
      </c>
      <c r="E738" t="s">
        <v>362</v>
      </c>
      <c r="F738" s="1"/>
      <c r="G738" s="9">
        <v>0.96</v>
      </c>
      <c r="I738" s="4">
        <v>60</v>
      </c>
      <c r="J738" s="11">
        <v>2.7</v>
      </c>
      <c r="K738" s="4">
        <v>6.38</v>
      </c>
      <c r="L738" s="12">
        <f t="shared" si="16"/>
        <v>0.43136376415898736</v>
      </c>
      <c r="M738" s="11">
        <f>GraphSalmonella!$B$10-(Salmonella!I738-GraphSalmonella!$B$6)/GraphSalmonella!$B$5</f>
        <v>0.2712239435094701</v>
      </c>
      <c r="N738" s="1" t="s">
        <v>545</v>
      </c>
      <c r="O738">
        <v>2003</v>
      </c>
      <c r="S738" s="10">
        <f>GraphSalmonella!$B$57*Salmonella!I738+GraphSalmonella!$B$58</f>
        <v>0.35072323220664714</v>
      </c>
      <c r="T738" s="10">
        <f>GraphSalmonella!$E$57*Salmonella!I738+GraphSalmonella!$E$58</f>
        <v>3.1370239566030182</v>
      </c>
      <c r="U738" s="10">
        <f>GraphSalmonella!$H$57*Salmonella!I738+GraphSalmonella!$H$58</f>
        <v>0.27208851901262943</v>
      </c>
      <c r="X738" s="10">
        <f>GraphSalmonella!$B$80*Salmonella!I738+GraphSalmonella!$B$81</f>
        <v>0.2738497546709393</v>
      </c>
      <c r="Y738" s="10">
        <f>GraphSalmonella!$E$80*Salmonella!I738+GraphSalmonella!$E$81</f>
        <v>0.2823920067305572</v>
      </c>
      <c r="Z738" s="10">
        <f>GraphSalmonella!$H$80*Salmonella!I738+GraphSalmonella!$H$81</f>
        <v>-6.4512686973317024E-2</v>
      </c>
    </row>
    <row r="739" spans="1:26" x14ac:dyDescent="0.2">
      <c r="A739" s="1" t="s">
        <v>66</v>
      </c>
      <c r="B739" s="1" t="s">
        <v>109</v>
      </c>
      <c r="D739" t="s">
        <v>44</v>
      </c>
      <c r="E739" t="s">
        <v>362</v>
      </c>
      <c r="F739" s="1"/>
      <c r="G739" s="9">
        <v>0.98</v>
      </c>
      <c r="I739" s="4">
        <v>60</v>
      </c>
      <c r="J739" s="11">
        <v>0.88</v>
      </c>
      <c r="K739" s="4">
        <v>6.03</v>
      </c>
      <c r="L739" s="12">
        <f t="shared" si="16"/>
        <v>-5.551732784983137E-2</v>
      </c>
      <c r="M739" s="11">
        <f>GraphSalmonella!$B$10-(Salmonella!I739-GraphSalmonella!$B$6)/GraphSalmonella!$B$5</f>
        <v>0.2712239435094701</v>
      </c>
      <c r="N739" s="1" t="s">
        <v>545</v>
      </c>
      <c r="O739">
        <v>2003</v>
      </c>
      <c r="S739" s="10">
        <f>GraphSalmonella!$B$57*Salmonella!I739+GraphSalmonella!$B$58</f>
        <v>0.35072323220664714</v>
      </c>
      <c r="T739" s="10">
        <f>GraphSalmonella!$E$57*Salmonella!I739+GraphSalmonella!$E$58</f>
        <v>3.1370239566030182</v>
      </c>
      <c r="U739" s="10">
        <f>GraphSalmonella!$H$57*Salmonella!I739+GraphSalmonella!$H$58</f>
        <v>0.27208851901262943</v>
      </c>
      <c r="X739" s="10">
        <f>GraphSalmonella!$B$80*Salmonella!I739+GraphSalmonella!$B$81</f>
        <v>0.2738497546709393</v>
      </c>
      <c r="Y739" s="10">
        <f>GraphSalmonella!$E$80*Salmonella!I739+GraphSalmonella!$E$81</f>
        <v>0.2823920067305572</v>
      </c>
      <c r="Z739" s="10">
        <f>GraphSalmonella!$H$80*Salmonella!I739+GraphSalmonella!$H$81</f>
        <v>-6.4512686973317024E-2</v>
      </c>
    </row>
    <row r="740" spans="1:26" x14ac:dyDescent="0.2">
      <c r="A740" s="1" t="s">
        <v>66</v>
      </c>
      <c r="B740" s="1" t="s">
        <v>109</v>
      </c>
      <c r="D740" t="s">
        <v>44</v>
      </c>
      <c r="E740" t="s">
        <v>362</v>
      </c>
      <c r="F740" s="1"/>
      <c r="G740" s="9" t="s">
        <v>544</v>
      </c>
      <c r="I740" s="4">
        <v>60</v>
      </c>
      <c r="J740" s="11">
        <v>0.1</v>
      </c>
      <c r="K740" s="4">
        <v>4.8899999999999997</v>
      </c>
      <c r="L740" s="12">
        <f t="shared" si="16"/>
        <v>-1</v>
      </c>
      <c r="M740" s="11">
        <f>GraphSalmonella!$B$10-(Salmonella!I740-GraphSalmonella!$B$6)/GraphSalmonella!$B$5</f>
        <v>0.2712239435094701</v>
      </c>
      <c r="N740" s="1" t="s">
        <v>545</v>
      </c>
      <c r="O740">
        <v>2003</v>
      </c>
      <c r="S740" s="10">
        <f>GraphSalmonella!$B$57*Salmonella!I740+GraphSalmonella!$B$58</f>
        <v>0.35072323220664714</v>
      </c>
      <c r="T740" s="10">
        <f>GraphSalmonella!$E$57*Salmonella!I740+GraphSalmonella!$E$58</f>
        <v>3.1370239566030182</v>
      </c>
      <c r="U740" s="10">
        <f>GraphSalmonella!$H$57*Salmonella!I740+GraphSalmonella!$H$58</f>
        <v>0.27208851901262943</v>
      </c>
      <c r="X740" s="10">
        <f>GraphSalmonella!$B$80*Salmonella!I740+GraphSalmonella!$B$81</f>
        <v>0.2738497546709393</v>
      </c>
      <c r="Y740" s="10">
        <f>GraphSalmonella!$E$80*Salmonella!I740+GraphSalmonella!$E$81</f>
        <v>0.2823920067305572</v>
      </c>
      <c r="Z740" s="10">
        <f>GraphSalmonella!$H$80*Salmonella!I740+GraphSalmonella!$H$81</f>
        <v>-6.4512686973317024E-2</v>
      </c>
    </row>
    <row r="741" spans="1:26" x14ac:dyDescent="0.2">
      <c r="A741" s="1" t="s">
        <v>66</v>
      </c>
      <c r="B741" s="1" t="s">
        <v>109</v>
      </c>
      <c r="D741" t="s">
        <v>44</v>
      </c>
      <c r="E741" t="s">
        <v>362</v>
      </c>
      <c r="F741" s="1"/>
      <c r="G741" s="9">
        <v>0.96</v>
      </c>
      <c r="I741" s="4">
        <v>62</v>
      </c>
      <c r="J741" s="11">
        <v>1.33</v>
      </c>
      <c r="K741" s="4">
        <v>6.38</v>
      </c>
      <c r="L741" s="12">
        <f t="shared" si="16"/>
        <v>0.12385164096708581</v>
      </c>
      <c r="M741" s="11">
        <f>GraphSalmonella!$B$10-(Salmonella!I741-GraphSalmonella!$B$6)/GraphSalmonella!$B$5</f>
        <v>5.1161759705897314E-2</v>
      </c>
      <c r="N741" s="1" t="s">
        <v>545</v>
      </c>
      <c r="O741">
        <v>2003</v>
      </c>
      <c r="S741" s="10">
        <f>GraphSalmonella!$B$57*Salmonella!I741+GraphSalmonella!$B$58</f>
        <v>0.23114269008393595</v>
      </c>
      <c r="T741" s="10">
        <f>GraphSalmonella!$E$57*Salmonella!I741+GraphSalmonella!$E$58</f>
        <v>3.0388349129048851</v>
      </c>
      <c r="U741" s="10">
        <f>GraphSalmonella!$H$57*Salmonella!I741+GraphSalmonella!$H$58</f>
        <v>5.2075873066421252E-2</v>
      </c>
      <c r="X741" s="10">
        <f>GraphSalmonella!$B$80*Salmonella!I741+GraphSalmonella!$B$81</f>
        <v>5.3680995260992681E-2</v>
      </c>
      <c r="Y741" s="10">
        <f>GraphSalmonella!$E$80*Salmonella!I741+GraphSalmonella!$E$81</f>
        <v>5.9133372984129906E-2</v>
      </c>
      <c r="Z741" s="10">
        <f>GraphSalmonella!$H$80*Salmonella!I741+GraphSalmonella!$H$81</f>
        <v>-0.32287641344807394</v>
      </c>
    </row>
    <row r="742" spans="1:26" x14ac:dyDescent="0.2">
      <c r="A742" s="1" t="s">
        <v>66</v>
      </c>
      <c r="B742" s="1" t="s">
        <v>109</v>
      </c>
      <c r="D742" t="s">
        <v>44</v>
      </c>
      <c r="E742" t="s">
        <v>362</v>
      </c>
      <c r="F742" s="1"/>
      <c r="G742" s="9">
        <v>0.98</v>
      </c>
      <c r="I742" s="4">
        <v>62</v>
      </c>
      <c r="J742" s="11">
        <v>0.38</v>
      </c>
      <c r="K742" s="4">
        <v>6.03</v>
      </c>
      <c r="L742" s="12">
        <f t="shared" si="16"/>
        <v>-0.42021640338318983</v>
      </c>
      <c r="M742" s="11">
        <f>GraphSalmonella!$B$10-(Salmonella!I742-GraphSalmonella!$B$6)/GraphSalmonella!$B$5</f>
        <v>5.1161759705897314E-2</v>
      </c>
      <c r="N742" s="1" t="s">
        <v>545</v>
      </c>
      <c r="O742">
        <v>2003</v>
      </c>
      <c r="S742" s="10">
        <f>GraphSalmonella!$B$57*Salmonella!I742+GraphSalmonella!$B$58</f>
        <v>0.23114269008393595</v>
      </c>
      <c r="T742" s="10">
        <f>GraphSalmonella!$E$57*Salmonella!I742+GraphSalmonella!$E$58</f>
        <v>3.0388349129048851</v>
      </c>
      <c r="U742" s="10">
        <f>GraphSalmonella!$H$57*Salmonella!I742+GraphSalmonella!$H$58</f>
        <v>5.2075873066421252E-2</v>
      </c>
      <c r="X742" s="10">
        <f>GraphSalmonella!$B$80*Salmonella!I742+GraphSalmonella!$B$81</f>
        <v>5.3680995260992681E-2</v>
      </c>
      <c r="Y742" s="10">
        <f>GraphSalmonella!$E$80*Salmonella!I742+GraphSalmonella!$E$81</f>
        <v>5.9133372984129906E-2</v>
      </c>
      <c r="Z742" s="10">
        <f>GraphSalmonella!$H$80*Salmonella!I742+GraphSalmonella!$H$81</f>
        <v>-0.32287641344807394</v>
      </c>
    </row>
    <row r="743" spans="1:26" x14ac:dyDescent="0.2">
      <c r="A743" s="1" t="s">
        <v>66</v>
      </c>
      <c r="B743" s="1" t="s">
        <v>109</v>
      </c>
      <c r="D743" t="s">
        <v>44</v>
      </c>
      <c r="E743" t="s">
        <v>362</v>
      </c>
      <c r="F743" s="1"/>
      <c r="G743" s="9" t="s">
        <v>544</v>
      </c>
      <c r="I743" s="4">
        <v>63</v>
      </c>
      <c r="J743" s="11">
        <v>0.03</v>
      </c>
      <c r="K743" s="4">
        <v>4.8899999999999997</v>
      </c>
      <c r="L743" s="12">
        <f t="shared" si="16"/>
        <v>-1.5228787452803376</v>
      </c>
      <c r="M743" s="11">
        <f>GraphSalmonella!$B$10-(Salmonella!I743-GraphSalmonella!$B$6)/GraphSalmonella!$B$5</f>
        <v>-5.8869332195888968E-2</v>
      </c>
      <c r="N743" s="1" t="s">
        <v>545</v>
      </c>
      <c r="O743">
        <v>2003</v>
      </c>
      <c r="S743" s="10">
        <f>GraphSalmonella!$B$57*Salmonella!I743+GraphSalmonella!$B$58</f>
        <v>0.1713524190225808</v>
      </c>
      <c r="T743" s="10">
        <f>GraphSalmonella!$E$57*Salmonella!I743+GraphSalmonella!$E$58</f>
        <v>2.9897403910558187</v>
      </c>
      <c r="U743" s="10">
        <f>GraphSalmonella!$H$57*Salmonella!I743+GraphSalmonella!$H$58</f>
        <v>-5.7930449906682391E-2</v>
      </c>
      <c r="X743" s="10">
        <f>GraphSalmonella!$B$80*Salmonella!I743+GraphSalmonella!$B$81</f>
        <v>-5.6403384443980187E-2</v>
      </c>
      <c r="Y743" s="10">
        <f>GraphSalmonella!$E$80*Salmonella!I743+GraphSalmonella!$E$81</f>
        <v>-5.2495943889084629E-2</v>
      </c>
      <c r="Z743" s="10">
        <f>GraphSalmonella!$H$80*Salmonella!I743+GraphSalmonella!$H$81</f>
        <v>-0.45205827668545329</v>
      </c>
    </row>
    <row r="744" spans="1:26" x14ac:dyDescent="0.2">
      <c r="A744" s="1" t="s">
        <v>66</v>
      </c>
      <c r="B744" s="1" t="s">
        <v>109</v>
      </c>
      <c r="D744" t="s">
        <v>44</v>
      </c>
      <c r="E744" t="s">
        <v>362</v>
      </c>
      <c r="F744" s="1"/>
      <c r="G744" s="9">
        <v>0.96</v>
      </c>
      <c r="I744" s="4">
        <v>64</v>
      </c>
      <c r="J744" s="11">
        <v>0.68</v>
      </c>
      <c r="K744" s="4">
        <v>6.38</v>
      </c>
      <c r="L744" s="12">
        <f t="shared" si="16"/>
        <v>-0.16749108729376366</v>
      </c>
      <c r="M744" s="11">
        <f>GraphSalmonella!$B$10-(Salmonella!I744-GraphSalmonella!$B$6)/GraphSalmonella!$B$5</f>
        <v>-0.16890042409767536</v>
      </c>
      <c r="N744" s="1" t="s">
        <v>545</v>
      </c>
      <c r="O744">
        <v>2003</v>
      </c>
      <c r="S744" s="10">
        <f>GraphSalmonella!$B$57*Salmonella!I744+GraphSalmonella!$B$58</f>
        <v>0.11156214796122521</v>
      </c>
      <c r="T744" s="10">
        <f>GraphSalmonella!$E$57*Salmonella!I744+GraphSalmonella!$E$58</f>
        <v>2.9406458692067519</v>
      </c>
      <c r="U744" s="10">
        <f>GraphSalmonella!$H$57*Salmonella!I744+GraphSalmonella!$H$58</f>
        <v>-0.16793677287978692</v>
      </c>
      <c r="X744" s="10">
        <f>GraphSalmonella!$B$80*Salmonella!I744+GraphSalmonella!$B$81</f>
        <v>-0.16648776414895305</v>
      </c>
      <c r="Y744" s="10">
        <f>GraphSalmonella!$E$80*Salmonella!I744+GraphSalmonella!$E$81</f>
        <v>-0.16412526076229828</v>
      </c>
      <c r="Z744" s="10">
        <f>GraphSalmonella!$H$80*Salmonella!I744+GraphSalmonella!$H$81</f>
        <v>-0.58124013992283086</v>
      </c>
    </row>
    <row r="745" spans="1:26" x14ac:dyDescent="0.2">
      <c r="A745" s="1" t="s">
        <v>66</v>
      </c>
      <c r="B745" s="1" t="s">
        <v>109</v>
      </c>
      <c r="D745" t="s">
        <v>44</v>
      </c>
      <c r="E745" t="s">
        <v>362</v>
      </c>
      <c r="F745" s="1"/>
      <c r="G745" s="9">
        <v>0.98</v>
      </c>
      <c r="I745" s="4">
        <v>65</v>
      </c>
      <c r="J745" s="11">
        <v>0.12</v>
      </c>
      <c r="K745" s="4">
        <v>6.03</v>
      </c>
      <c r="L745" s="12">
        <f t="shared" si="16"/>
        <v>-0.92081875395237522</v>
      </c>
      <c r="M745" s="11">
        <f>GraphSalmonella!$B$10-(Salmonella!I745-GraphSalmonella!$B$6)/GraphSalmonella!$B$5</f>
        <v>-0.27893151599946164</v>
      </c>
      <c r="N745" s="1" t="s">
        <v>545</v>
      </c>
      <c r="O745">
        <v>2003</v>
      </c>
      <c r="S745" s="10">
        <f>GraphSalmonella!$B$57*Salmonella!I745+GraphSalmonella!$B$58</f>
        <v>5.1771876899869618E-2</v>
      </c>
      <c r="T745" s="10">
        <f>GraphSalmonella!$E$57*Salmonella!I745+GraphSalmonella!$E$58</f>
        <v>2.891551347357685</v>
      </c>
      <c r="U745" s="10">
        <f>GraphSalmonella!$H$57*Salmonella!I745+GraphSalmonella!$H$58</f>
        <v>-0.27794309585289145</v>
      </c>
      <c r="X745" s="10">
        <f>GraphSalmonella!$B$80*Salmonella!I745+GraphSalmonella!$B$81</f>
        <v>-0.27657214385392592</v>
      </c>
      <c r="Y745" s="10">
        <f>GraphSalmonella!$E$80*Salmonella!I745+GraphSalmonella!$E$81</f>
        <v>-0.27575457763551192</v>
      </c>
      <c r="Z745" s="10">
        <f>GraphSalmonella!$H$80*Salmonella!I745+GraphSalmonella!$H$81</f>
        <v>-0.71042200316020843</v>
      </c>
    </row>
    <row r="746" spans="1:26" x14ac:dyDescent="0.2">
      <c r="A746" s="1" t="s">
        <v>66</v>
      </c>
      <c r="B746" s="1" t="s">
        <v>109</v>
      </c>
      <c r="D746" t="s">
        <v>44</v>
      </c>
      <c r="E746" t="s">
        <v>362</v>
      </c>
      <c r="F746" s="1"/>
      <c r="G746" s="9">
        <v>0.96</v>
      </c>
      <c r="I746" s="4">
        <v>67</v>
      </c>
      <c r="J746" s="11">
        <v>0.16</v>
      </c>
      <c r="K746" s="4">
        <v>6.38</v>
      </c>
      <c r="L746" s="12">
        <f t="shared" si="16"/>
        <v>-0.79588001734407521</v>
      </c>
      <c r="M746" s="11">
        <f>GraphSalmonella!$B$10-(Salmonella!I746-GraphSalmonella!$B$6)/GraphSalmonella!$B$5</f>
        <v>-0.49899369980303437</v>
      </c>
      <c r="N746" s="1" t="s">
        <v>545</v>
      </c>
      <c r="O746">
        <v>2003</v>
      </c>
      <c r="S746" s="10">
        <f>GraphSalmonella!$B$57*Salmonella!I746+GraphSalmonella!$B$58</f>
        <v>-6.7808665222841569E-2</v>
      </c>
      <c r="T746" s="10">
        <f>GraphSalmonella!$E$57*Salmonella!I746+GraphSalmonella!$E$58</f>
        <v>2.7933623036595518</v>
      </c>
      <c r="U746" s="10">
        <f>GraphSalmonella!$H$57*Salmonella!I746+GraphSalmonella!$H$58</f>
        <v>-0.49795574179909963</v>
      </c>
      <c r="X746" s="10">
        <f>GraphSalmonella!$B$80*Salmonella!I746+GraphSalmonella!$B$81</f>
        <v>-0.49674090326387255</v>
      </c>
      <c r="Y746" s="10">
        <f>GraphSalmonella!$E$80*Salmonella!I746+GraphSalmonella!$E$81</f>
        <v>-0.4990132113819401</v>
      </c>
      <c r="Z746" s="10">
        <f>GraphSalmonella!$H$80*Salmonella!I746+GraphSalmonella!$H$81</f>
        <v>-0.96878572963496534</v>
      </c>
    </row>
    <row r="747" spans="1:26" x14ac:dyDescent="0.2">
      <c r="A747" s="1" t="s">
        <v>66</v>
      </c>
      <c r="B747" s="1" t="s">
        <v>109</v>
      </c>
      <c r="D747" t="s">
        <v>44</v>
      </c>
      <c r="E747" t="s">
        <v>362</v>
      </c>
      <c r="F747" s="1"/>
      <c r="G747" s="9">
        <v>0.98</v>
      </c>
      <c r="I747" s="4">
        <v>68</v>
      </c>
      <c r="J747" s="11">
        <v>0.04</v>
      </c>
      <c r="K747" s="4">
        <v>6.03</v>
      </c>
      <c r="L747" s="12">
        <f t="shared" si="16"/>
        <v>-1.3979400086720375</v>
      </c>
      <c r="M747" s="11">
        <f>GraphSalmonella!$B$10-(Salmonella!I747-GraphSalmonella!$B$6)/GraphSalmonella!$B$5</f>
        <v>-0.60902479170482071</v>
      </c>
      <c r="N747" s="1" t="s">
        <v>545</v>
      </c>
      <c r="O747">
        <v>2003</v>
      </c>
      <c r="S747" s="10">
        <f>GraphSalmonella!$B$57*Salmonella!I747+GraphSalmonella!$B$58</f>
        <v>-0.12759893628419672</v>
      </c>
      <c r="T747" s="10">
        <f>GraphSalmonella!$E$57*Salmonella!I747+GraphSalmonella!$E$58</f>
        <v>2.7442677818104855</v>
      </c>
      <c r="U747" s="10">
        <f>GraphSalmonella!$H$57*Salmonella!I747+GraphSalmonella!$H$58</f>
        <v>-0.60796206477220327</v>
      </c>
      <c r="X747" s="10">
        <f>GraphSalmonella!$B$80*Salmonella!I747+GraphSalmonella!$B$81</f>
        <v>-0.60682528296884541</v>
      </c>
      <c r="Y747" s="10">
        <f>GraphSalmonella!$E$80*Salmonella!I747+GraphSalmonella!$E$81</f>
        <v>-0.61064252825515375</v>
      </c>
      <c r="Z747" s="10">
        <f>GraphSalmonella!$H$80*Salmonella!I747+GraphSalmonella!$H$81</f>
        <v>-1.0979675928723447</v>
      </c>
    </row>
    <row r="748" spans="1:26" x14ac:dyDescent="0.2">
      <c r="A748" s="1" t="s">
        <v>66</v>
      </c>
      <c r="B748" s="1" t="s">
        <v>109</v>
      </c>
      <c r="D748" t="s">
        <v>44</v>
      </c>
      <c r="E748" t="s">
        <v>362</v>
      </c>
      <c r="F748" s="1"/>
      <c r="G748" s="9">
        <v>0.96</v>
      </c>
      <c r="I748" s="4">
        <v>71</v>
      </c>
      <c r="J748" s="11">
        <v>0.05</v>
      </c>
      <c r="K748" s="4">
        <v>6.38</v>
      </c>
      <c r="L748" s="12">
        <f t="shared" si="16"/>
        <v>-1.3010299956639813</v>
      </c>
      <c r="M748" s="11">
        <f>GraphSalmonella!$B$10-(Salmonella!I748-GraphSalmonella!$B$6)/GraphSalmonella!$B$5</f>
        <v>-0.93911806741017978</v>
      </c>
      <c r="N748" s="1" t="s">
        <v>545</v>
      </c>
      <c r="O748">
        <v>2003</v>
      </c>
      <c r="S748" s="10">
        <f>GraphSalmonella!$B$57*Salmonella!I748+GraphSalmonella!$B$58</f>
        <v>-0.30696974946826305</v>
      </c>
      <c r="T748" s="10">
        <f>GraphSalmonella!$E$57*Salmonella!I748+GraphSalmonella!$E$58</f>
        <v>2.5969842162632855</v>
      </c>
      <c r="U748" s="10">
        <f>GraphSalmonella!$H$57*Salmonella!I748+GraphSalmonella!$H$58</f>
        <v>-0.93798103369151598</v>
      </c>
      <c r="X748" s="10">
        <f>GraphSalmonella!$B$80*Salmonella!I748+GraphSalmonella!$B$81</f>
        <v>-0.93707842208376491</v>
      </c>
      <c r="Y748" s="10">
        <f>GraphSalmonella!$E$80*Salmonella!I748+GraphSalmonella!$E$81</f>
        <v>-0.94553047887479647</v>
      </c>
      <c r="Z748" s="10">
        <f>GraphSalmonella!$H$80*Salmonella!I748+GraphSalmonella!$H$81</f>
        <v>-1.4855131825844792</v>
      </c>
    </row>
    <row r="749" spans="1:26" x14ac:dyDescent="0.2">
      <c r="A749" s="1" t="s">
        <v>66</v>
      </c>
      <c r="B749" s="1" t="s">
        <v>109</v>
      </c>
      <c r="C749">
        <v>331</v>
      </c>
      <c r="D749" t="s">
        <v>44</v>
      </c>
      <c r="E749" s="1" t="s">
        <v>1252</v>
      </c>
      <c r="F749" s="1"/>
      <c r="G749" s="9"/>
      <c r="H749" s="4">
        <v>7</v>
      </c>
      <c r="I749" s="4">
        <v>56</v>
      </c>
      <c r="J749" s="11">
        <v>1.4</v>
      </c>
      <c r="K749" s="4">
        <v>4.3</v>
      </c>
      <c r="L749" s="12">
        <f t="shared" si="16"/>
        <v>0.14612803567823801</v>
      </c>
      <c r="M749" s="11">
        <f>GraphSalmonella!$B$10-(Salmonella!I749-GraphSalmonella!$B$6)/GraphSalmonella!$B$5</f>
        <v>0.71134831111661545</v>
      </c>
      <c r="N749" s="1" t="s">
        <v>1013</v>
      </c>
      <c r="S749" s="10">
        <f>GraphSalmonella!$B$57*Salmonella!I749+GraphSalmonella!$B$58</f>
        <v>0.58988431645206907</v>
      </c>
      <c r="T749" s="10">
        <f>GraphSalmonella!$E$57*Salmonella!I749+GraphSalmonella!$E$58</f>
        <v>3.3334020439992846</v>
      </c>
      <c r="U749" s="10">
        <f>GraphSalmonella!$H$57*Salmonella!I749+GraphSalmonella!$H$58</f>
        <v>0.71211381090504577</v>
      </c>
      <c r="X749" s="10">
        <f>GraphSalmonella!$B$80*Salmonella!I749+GraphSalmonella!$B$81</f>
        <v>0.71418727349083166</v>
      </c>
      <c r="Y749" s="10">
        <f>GraphSalmonella!$E$80*Salmonella!I749+GraphSalmonella!$E$81</f>
        <v>0.72890927422341356</v>
      </c>
      <c r="Z749" s="10">
        <f>GraphSalmonella!$H$80*Salmonella!I749+GraphSalmonella!$H$81</f>
        <v>0.45221476597619681</v>
      </c>
    </row>
    <row r="750" spans="1:26" x14ac:dyDescent="0.2">
      <c r="A750" s="1" t="s">
        <v>66</v>
      </c>
      <c r="B750" s="1" t="s">
        <v>109</v>
      </c>
      <c r="C750">
        <v>331</v>
      </c>
      <c r="D750" t="s">
        <v>44</v>
      </c>
      <c r="E750" s="1" t="s">
        <v>1252</v>
      </c>
      <c r="F750" s="1"/>
      <c r="G750" s="9"/>
      <c r="H750" s="4">
        <v>7</v>
      </c>
      <c r="I750" s="4">
        <v>58</v>
      </c>
      <c r="J750" s="11">
        <v>0.5</v>
      </c>
      <c r="K750" s="4">
        <v>4.3</v>
      </c>
      <c r="L750" s="12">
        <f t="shared" si="16"/>
        <v>-0.3010299956639812</v>
      </c>
      <c r="M750" s="11">
        <f>GraphSalmonella!$B$10-(Salmonella!I750-GraphSalmonella!$B$6)/GraphSalmonella!$B$5</f>
        <v>0.49128612731304266</v>
      </c>
      <c r="N750" s="1" t="s">
        <v>1013</v>
      </c>
      <c r="S750" s="10">
        <f>GraphSalmonella!$B$57*Salmonella!I750+GraphSalmonella!$B$58</f>
        <v>0.47030377432935788</v>
      </c>
      <c r="T750" s="10">
        <f>GraphSalmonella!$E$57*Salmonella!I750+GraphSalmonella!$E$58</f>
        <v>3.2352130003011514</v>
      </c>
      <c r="U750" s="10">
        <f>GraphSalmonella!$H$57*Salmonella!I750+GraphSalmonella!$H$58</f>
        <v>0.4921011649588376</v>
      </c>
      <c r="X750" s="10">
        <f>GraphSalmonella!$B$80*Salmonella!I750+GraphSalmonella!$B$81</f>
        <v>0.49401851408088504</v>
      </c>
      <c r="Y750" s="10">
        <f>GraphSalmonella!$E$80*Salmonella!I750+GraphSalmonella!$E$81</f>
        <v>0.50565064047698538</v>
      </c>
      <c r="Z750" s="10">
        <f>GraphSalmonella!$H$80*Salmonella!I750+GraphSalmonella!$H$81</f>
        <v>0.19385103950143989</v>
      </c>
    </row>
    <row r="751" spans="1:26" x14ac:dyDescent="0.2">
      <c r="A751" s="1" t="s">
        <v>66</v>
      </c>
      <c r="B751" s="1" t="s">
        <v>109</v>
      </c>
      <c r="C751">
        <v>331</v>
      </c>
      <c r="D751" t="s">
        <v>44</v>
      </c>
      <c r="E751" s="1" t="s">
        <v>1252</v>
      </c>
      <c r="F751" s="1"/>
      <c r="G751" s="9"/>
      <c r="H751" s="4">
        <v>7</v>
      </c>
      <c r="I751" s="4">
        <v>60</v>
      </c>
      <c r="J751" s="11">
        <v>0.2</v>
      </c>
      <c r="K751" s="4">
        <v>4.3</v>
      </c>
      <c r="L751" s="12">
        <f t="shared" si="16"/>
        <v>-0.69897000433601875</v>
      </c>
      <c r="M751" s="11">
        <f>GraphSalmonella!$B$10-(Salmonella!I751-GraphSalmonella!$B$6)/GraphSalmonella!$B$5</f>
        <v>0.2712239435094701</v>
      </c>
      <c r="N751" s="1" t="s">
        <v>1013</v>
      </c>
      <c r="S751" s="10">
        <f>GraphSalmonella!$B$57*Salmonella!I751+GraphSalmonella!$B$58</f>
        <v>0.35072323220664714</v>
      </c>
      <c r="T751" s="10">
        <f>GraphSalmonella!$E$57*Salmonella!I751+GraphSalmonella!$E$58</f>
        <v>3.1370239566030182</v>
      </c>
      <c r="U751" s="10">
        <f>GraphSalmonella!$H$57*Salmonella!I751+GraphSalmonella!$H$58</f>
        <v>0.27208851901262943</v>
      </c>
      <c r="X751" s="10">
        <f>GraphSalmonella!$B$80*Salmonella!I751+GraphSalmonella!$B$81</f>
        <v>0.2738497546709393</v>
      </c>
      <c r="Y751" s="10">
        <f>GraphSalmonella!$E$80*Salmonella!I751+GraphSalmonella!$E$81</f>
        <v>0.2823920067305572</v>
      </c>
      <c r="Z751" s="10">
        <f>GraphSalmonella!$H$80*Salmonella!I751+GraphSalmonella!$H$81</f>
        <v>-6.4512686973317024E-2</v>
      </c>
    </row>
    <row r="752" spans="1:26" x14ac:dyDescent="0.2">
      <c r="A752" s="1" t="s">
        <v>66</v>
      </c>
      <c r="B752" s="1" t="s">
        <v>109</v>
      </c>
      <c r="C752">
        <v>495</v>
      </c>
      <c r="D752" t="s">
        <v>44</v>
      </c>
      <c r="E752" s="1" t="s">
        <v>1252</v>
      </c>
      <c r="F752" s="1"/>
      <c r="G752" s="9"/>
      <c r="H752" s="4">
        <v>7</v>
      </c>
      <c r="I752" s="4">
        <v>56</v>
      </c>
      <c r="J752" s="11">
        <v>2.9</v>
      </c>
      <c r="K752" s="4">
        <v>4.3</v>
      </c>
      <c r="L752" s="12">
        <f t="shared" si="16"/>
        <v>0.46239799789895608</v>
      </c>
      <c r="M752" s="11">
        <f>GraphSalmonella!$B$10-(Salmonella!I752-GraphSalmonella!$B$6)/GraphSalmonella!$B$5</f>
        <v>0.71134831111661545</v>
      </c>
      <c r="N752" s="1" t="s">
        <v>1013</v>
      </c>
      <c r="S752" s="10">
        <f>GraphSalmonella!$B$57*Salmonella!I752+GraphSalmonella!$B$58</f>
        <v>0.58988431645206907</v>
      </c>
      <c r="T752" s="10">
        <f>GraphSalmonella!$E$57*Salmonella!I752+GraphSalmonella!$E$58</f>
        <v>3.3334020439992846</v>
      </c>
      <c r="U752" s="10">
        <f>GraphSalmonella!$H$57*Salmonella!I752+GraphSalmonella!$H$58</f>
        <v>0.71211381090504577</v>
      </c>
      <c r="X752" s="10">
        <f>GraphSalmonella!$B$80*Salmonella!I752+GraphSalmonella!$B$81</f>
        <v>0.71418727349083166</v>
      </c>
      <c r="Y752" s="10">
        <f>GraphSalmonella!$E$80*Salmonella!I752+GraphSalmonella!$E$81</f>
        <v>0.72890927422341356</v>
      </c>
      <c r="Z752" s="10">
        <f>GraphSalmonella!$H$80*Salmonella!I752+GraphSalmonella!$H$81</f>
        <v>0.45221476597619681</v>
      </c>
    </row>
    <row r="753" spans="1:26" x14ac:dyDescent="0.2">
      <c r="A753" s="1" t="s">
        <v>66</v>
      </c>
      <c r="B753" s="1" t="s">
        <v>109</v>
      </c>
      <c r="C753">
        <v>495</v>
      </c>
      <c r="D753" t="s">
        <v>44</v>
      </c>
      <c r="E753" s="1" t="s">
        <v>1252</v>
      </c>
      <c r="F753" s="1"/>
      <c r="G753" s="9"/>
      <c r="H753" s="4">
        <v>7</v>
      </c>
      <c r="I753" s="4">
        <v>58</v>
      </c>
      <c r="J753" s="11">
        <v>0.8</v>
      </c>
      <c r="K753" s="4">
        <v>4.3</v>
      </c>
      <c r="L753" s="12">
        <f t="shared" si="16"/>
        <v>-9.6910013008056392E-2</v>
      </c>
      <c r="M753" s="11">
        <f>GraphSalmonella!$B$10-(Salmonella!I753-GraphSalmonella!$B$6)/GraphSalmonella!$B$5</f>
        <v>0.49128612731304266</v>
      </c>
      <c r="N753" s="1" t="s">
        <v>1013</v>
      </c>
      <c r="S753" s="10">
        <f>GraphSalmonella!$B$57*Salmonella!I753+GraphSalmonella!$B$58</f>
        <v>0.47030377432935788</v>
      </c>
      <c r="T753" s="10">
        <f>GraphSalmonella!$E$57*Salmonella!I753+GraphSalmonella!$E$58</f>
        <v>3.2352130003011514</v>
      </c>
      <c r="U753" s="10">
        <f>GraphSalmonella!$H$57*Salmonella!I753+GraphSalmonella!$H$58</f>
        <v>0.4921011649588376</v>
      </c>
      <c r="X753" s="10">
        <f>GraphSalmonella!$B$80*Salmonella!I753+GraphSalmonella!$B$81</f>
        <v>0.49401851408088504</v>
      </c>
      <c r="Y753" s="10">
        <f>GraphSalmonella!$E$80*Salmonella!I753+GraphSalmonella!$E$81</f>
        <v>0.50565064047698538</v>
      </c>
      <c r="Z753" s="10">
        <f>GraphSalmonella!$H$80*Salmonella!I753+GraphSalmonella!$H$81</f>
        <v>0.19385103950143989</v>
      </c>
    </row>
    <row r="754" spans="1:26" x14ac:dyDescent="0.2">
      <c r="A754" s="1" t="s">
        <v>66</v>
      </c>
      <c r="B754" s="1" t="s">
        <v>109</v>
      </c>
      <c r="C754">
        <v>495</v>
      </c>
      <c r="D754" t="s">
        <v>44</v>
      </c>
      <c r="E754" s="1" t="s">
        <v>1252</v>
      </c>
      <c r="F754" s="1"/>
      <c r="G754" s="9"/>
      <c r="H754" s="4">
        <v>7</v>
      </c>
      <c r="I754" s="4">
        <v>60</v>
      </c>
      <c r="J754" s="11">
        <v>0.3</v>
      </c>
      <c r="K754" s="4">
        <v>4.3</v>
      </c>
      <c r="L754" s="12">
        <f t="shared" si="16"/>
        <v>-0.52287874528033762</v>
      </c>
      <c r="M754" s="11">
        <f>GraphSalmonella!$B$10-(Salmonella!I754-GraphSalmonella!$B$6)/GraphSalmonella!$B$5</f>
        <v>0.2712239435094701</v>
      </c>
      <c r="N754" s="1" t="s">
        <v>1013</v>
      </c>
      <c r="S754" s="10">
        <f>GraphSalmonella!$B$57*Salmonella!I754+GraphSalmonella!$B$58</f>
        <v>0.35072323220664714</v>
      </c>
      <c r="T754" s="10">
        <f>GraphSalmonella!$E$57*Salmonella!I754+GraphSalmonella!$E$58</f>
        <v>3.1370239566030182</v>
      </c>
      <c r="U754" s="10">
        <f>GraphSalmonella!$H$57*Salmonella!I754+GraphSalmonella!$H$58</f>
        <v>0.27208851901262943</v>
      </c>
      <c r="X754" s="10">
        <f>GraphSalmonella!$B$80*Salmonella!I754+GraphSalmonella!$B$81</f>
        <v>0.2738497546709393</v>
      </c>
      <c r="Y754" s="10">
        <f>GraphSalmonella!$E$80*Salmonella!I754+GraphSalmonella!$E$81</f>
        <v>0.2823920067305572</v>
      </c>
      <c r="Z754" s="10">
        <f>GraphSalmonella!$H$80*Salmonella!I754+GraphSalmonella!$H$81</f>
        <v>-6.4512686973317024E-2</v>
      </c>
    </row>
    <row r="755" spans="1:26" x14ac:dyDescent="0.2">
      <c r="A755" s="1" t="s">
        <v>66</v>
      </c>
      <c r="B755" s="1" t="s">
        <v>67</v>
      </c>
      <c r="C755" t="s">
        <v>1015</v>
      </c>
      <c r="D755" t="s">
        <v>44</v>
      </c>
      <c r="E755" s="1" t="s">
        <v>1252</v>
      </c>
      <c r="F755" s="1"/>
      <c r="G755" s="9"/>
      <c r="H755" s="4">
        <v>7</v>
      </c>
      <c r="I755" s="4">
        <v>60</v>
      </c>
      <c r="J755" s="11">
        <v>2.4</v>
      </c>
      <c r="K755" s="4">
        <v>5.7</v>
      </c>
      <c r="L755" s="12">
        <f t="shared" si="16"/>
        <v>0.38021124171160603</v>
      </c>
      <c r="M755" s="11">
        <f>GraphSalmonella!$B$10-(Salmonella!I755-GraphSalmonella!$B$6)/GraphSalmonella!$B$5</f>
        <v>0.2712239435094701</v>
      </c>
      <c r="N755" s="1" t="s">
        <v>1013</v>
      </c>
      <c r="S755" s="10">
        <f>GraphSalmonella!$B$57*Salmonella!I755+GraphSalmonella!$B$58</f>
        <v>0.35072323220664714</v>
      </c>
      <c r="T755" s="10">
        <f>GraphSalmonella!$E$57*Salmonella!I755+GraphSalmonella!$E$58</f>
        <v>3.1370239566030182</v>
      </c>
      <c r="U755" s="10">
        <f>GraphSalmonella!$H$57*Salmonella!I755+GraphSalmonella!$H$58</f>
        <v>0.27208851901262943</v>
      </c>
      <c r="X755" s="10">
        <f>GraphSalmonella!$B$80*Salmonella!I755+GraphSalmonella!$B$81</f>
        <v>0.2738497546709393</v>
      </c>
      <c r="Y755" s="10">
        <f>GraphSalmonella!$E$80*Salmonella!I755+GraphSalmonella!$E$81</f>
        <v>0.2823920067305572</v>
      </c>
      <c r="Z755" s="10">
        <f>GraphSalmonella!$H$80*Salmonella!I755+GraphSalmonella!$H$81</f>
        <v>-6.4512686973317024E-2</v>
      </c>
    </row>
    <row r="756" spans="1:26" x14ac:dyDescent="0.2">
      <c r="A756" s="1" t="s">
        <v>66</v>
      </c>
      <c r="B756" s="1" t="s">
        <v>67</v>
      </c>
      <c r="C756" t="s">
        <v>1015</v>
      </c>
      <c r="D756" t="s">
        <v>44</v>
      </c>
      <c r="E756" s="1" t="s">
        <v>1252</v>
      </c>
      <c r="F756" s="1"/>
      <c r="G756" s="9"/>
      <c r="H756" s="4">
        <v>7</v>
      </c>
      <c r="I756" s="4">
        <v>62</v>
      </c>
      <c r="J756" s="11">
        <v>1.1000000000000001</v>
      </c>
      <c r="K756" s="4">
        <v>5.7</v>
      </c>
      <c r="L756" s="12">
        <f t="shared" si="16"/>
        <v>4.1392685158225077E-2</v>
      </c>
      <c r="M756" s="11">
        <f>GraphSalmonella!$B$10-(Salmonella!I756-GraphSalmonella!$B$6)/GraphSalmonella!$B$5</f>
        <v>5.1161759705897314E-2</v>
      </c>
      <c r="N756" s="1" t="s">
        <v>1013</v>
      </c>
      <c r="S756" s="10">
        <f>GraphSalmonella!$B$57*Salmonella!I756+GraphSalmonella!$B$58</f>
        <v>0.23114269008393595</v>
      </c>
      <c r="T756" s="10">
        <f>GraphSalmonella!$E$57*Salmonella!I756+GraphSalmonella!$E$58</f>
        <v>3.0388349129048851</v>
      </c>
      <c r="U756" s="10">
        <f>GraphSalmonella!$H$57*Salmonella!I756+GraphSalmonella!$H$58</f>
        <v>5.2075873066421252E-2</v>
      </c>
      <c r="X756" s="10">
        <f>GraphSalmonella!$B$80*Salmonella!I756+GraphSalmonella!$B$81</f>
        <v>5.3680995260992681E-2</v>
      </c>
      <c r="Y756" s="10">
        <f>GraphSalmonella!$E$80*Salmonella!I756+GraphSalmonella!$E$81</f>
        <v>5.9133372984129906E-2</v>
      </c>
      <c r="Z756" s="10">
        <f>GraphSalmonella!$H$80*Salmonella!I756+GraphSalmonella!$H$81</f>
        <v>-0.32287641344807394</v>
      </c>
    </row>
    <row r="757" spans="1:26" x14ac:dyDescent="0.2">
      <c r="A757" s="1" t="s">
        <v>66</v>
      </c>
      <c r="B757" s="1" t="s">
        <v>67</v>
      </c>
      <c r="C757" t="s">
        <v>1015</v>
      </c>
      <c r="D757" t="s">
        <v>44</v>
      </c>
      <c r="E757" s="1" t="s">
        <v>1252</v>
      </c>
      <c r="F757" s="1"/>
      <c r="G757" s="9"/>
      <c r="H757" s="4">
        <v>7</v>
      </c>
      <c r="I757" s="4">
        <v>64</v>
      </c>
      <c r="J757" s="11">
        <v>0.5</v>
      </c>
      <c r="K757" s="4">
        <v>5.7</v>
      </c>
      <c r="L757" s="12">
        <f t="shared" si="16"/>
        <v>-0.3010299956639812</v>
      </c>
      <c r="M757" s="11">
        <f>GraphSalmonella!$B$10-(Salmonella!I757-GraphSalmonella!$B$6)/GraphSalmonella!$B$5</f>
        <v>-0.16890042409767536</v>
      </c>
      <c r="N757" s="1" t="s">
        <v>1013</v>
      </c>
      <c r="S757" s="10">
        <f>GraphSalmonella!$B$57*Salmonella!I757+GraphSalmonella!$B$58</f>
        <v>0.11156214796122521</v>
      </c>
      <c r="T757" s="10">
        <f>GraphSalmonella!$E$57*Salmonella!I757+GraphSalmonella!$E$58</f>
        <v>2.9406458692067519</v>
      </c>
      <c r="U757" s="10">
        <f>GraphSalmonella!$H$57*Salmonella!I757+GraphSalmonella!$H$58</f>
        <v>-0.16793677287978692</v>
      </c>
      <c r="X757" s="10">
        <f>GraphSalmonella!$B$80*Salmonella!I757+GraphSalmonella!$B$81</f>
        <v>-0.16648776414895305</v>
      </c>
      <c r="Y757" s="10">
        <f>GraphSalmonella!$E$80*Salmonella!I757+GraphSalmonella!$E$81</f>
        <v>-0.16412526076229828</v>
      </c>
      <c r="Z757" s="10">
        <f>GraphSalmonella!$H$80*Salmonella!I757+GraphSalmonella!$H$81</f>
        <v>-0.58124013992283086</v>
      </c>
    </row>
    <row r="758" spans="1:26" x14ac:dyDescent="0.2">
      <c r="A758" s="1" t="s">
        <v>66</v>
      </c>
      <c r="B758" s="1" t="s">
        <v>1016</v>
      </c>
      <c r="C758">
        <v>447</v>
      </c>
      <c r="D758" t="s">
        <v>44</v>
      </c>
      <c r="E758" s="1" t="s">
        <v>1252</v>
      </c>
      <c r="F758" s="1"/>
      <c r="G758" s="9"/>
      <c r="H758" s="4">
        <v>7</v>
      </c>
      <c r="I758" s="4">
        <v>56</v>
      </c>
      <c r="J758" s="11">
        <v>1.1000000000000001</v>
      </c>
      <c r="K758" s="4">
        <v>5.7</v>
      </c>
      <c r="L758" s="12">
        <f t="shared" si="16"/>
        <v>4.1392685158225077E-2</v>
      </c>
      <c r="M758" s="11">
        <f>GraphSalmonella!$B$10-(Salmonella!I758-GraphSalmonella!$B$6)/GraphSalmonella!$B$5</f>
        <v>0.71134831111661545</v>
      </c>
      <c r="N758" s="1" t="s">
        <v>1013</v>
      </c>
      <c r="S758" s="10">
        <f>GraphSalmonella!$B$57*Salmonella!I758+GraphSalmonella!$B$58</f>
        <v>0.58988431645206907</v>
      </c>
      <c r="T758" s="10">
        <f>GraphSalmonella!$E$57*Salmonella!I758+GraphSalmonella!$E$58</f>
        <v>3.3334020439992846</v>
      </c>
      <c r="U758" s="10">
        <f>GraphSalmonella!$H$57*Salmonella!I758+GraphSalmonella!$H$58</f>
        <v>0.71211381090504577</v>
      </c>
      <c r="X758" s="10">
        <f>GraphSalmonella!$B$80*Salmonella!I758+GraphSalmonella!$B$81</f>
        <v>0.71418727349083166</v>
      </c>
      <c r="Y758" s="10">
        <f>GraphSalmonella!$E$80*Salmonella!I758+GraphSalmonella!$E$81</f>
        <v>0.72890927422341356</v>
      </c>
      <c r="Z758" s="10">
        <f>GraphSalmonella!$H$80*Salmonella!I758+GraphSalmonella!$H$81</f>
        <v>0.45221476597619681</v>
      </c>
    </row>
    <row r="759" spans="1:26" x14ac:dyDescent="0.2">
      <c r="A759" s="1" t="s">
        <v>66</v>
      </c>
      <c r="B759" s="1" t="s">
        <v>1016</v>
      </c>
      <c r="C759">
        <v>447</v>
      </c>
      <c r="D759" t="s">
        <v>44</v>
      </c>
      <c r="E759" s="1" t="s">
        <v>1252</v>
      </c>
      <c r="F759" s="1"/>
      <c r="G759" s="9"/>
      <c r="H759" s="4">
        <v>7</v>
      </c>
      <c r="I759" s="4">
        <v>58</v>
      </c>
      <c r="J759" s="11">
        <v>0.4</v>
      </c>
      <c r="K759" s="4">
        <v>5.7</v>
      </c>
      <c r="L759" s="12">
        <f t="shared" si="16"/>
        <v>-0.3979400086720376</v>
      </c>
      <c r="M759" s="11">
        <f>GraphSalmonella!$B$10-(Salmonella!I759-GraphSalmonella!$B$6)/GraphSalmonella!$B$5</f>
        <v>0.49128612731304266</v>
      </c>
      <c r="N759" s="1" t="s">
        <v>1013</v>
      </c>
      <c r="S759" s="10">
        <f>GraphSalmonella!$B$57*Salmonella!I759+GraphSalmonella!$B$58</f>
        <v>0.47030377432935788</v>
      </c>
      <c r="T759" s="10">
        <f>GraphSalmonella!$E$57*Salmonella!I759+GraphSalmonella!$E$58</f>
        <v>3.2352130003011514</v>
      </c>
      <c r="U759" s="10">
        <f>GraphSalmonella!$H$57*Salmonella!I759+GraphSalmonella!$H$58</f>
        <v>0.4921011649588376</v>
      </c>
      <c r="X759" s="10">
        <f>GraphSalmonella!$B$80*Salmonella!I759+GraphSalmonella!$B$81</f>
        <v>0.49401851408088504</v>
      </c>
      <c r="Y759" s="10">
        <f>GraphSalmonella!$E$80*Salmonella!I759+GraphSalmonella!$E$81</f>
        <v>0.50565064047698538</v>
      </c>
      <c r="Z759" s="10">
        <f>GraphSalmonella!$H$80*Salmonella!I759+GraphSalmonella!$H$81</f>
        <v>0.19385103950143989</v>
      </c>
    </row>
    <row r="760" spans="1:26" x14ac:dyDescent="0.2">
      <c r="A760" s="1" t="s">
        <v>66</v>
      </c>
      <c r="B760" s="1" t="s">
        <v>1016</v>
      </c>
      <c r="C760">
        <v>447</v>
      </c>
      <c r="D760" t="s">
        <v>44</v>
      </c>
      <c r="E760" s="1" t="s">
        <v>1252</v>
      </c>
      <c r="F760" s="1"/>
      <c r="G760" s="9"/>
      <c r="H760" s="4">
        <v>7</v>
      </c>
      <c r="I760" s="4">
        <v>60</v>
      </c>
      <c r="J760" s="11">
        <v>0.2</v>
      </c>
      <c r="K760" s="4">
        <v>5.7</v>
      </c>
      <c r="L760" s="12">
        <f t="shared" si="16"/>
        <v>-0.69897000433601875</v>
      </c>
      <c r="M760" s="11">
        <f>GraphSalmonella!$B$10-(Salmonella!I760-GraphSalmonella!$B$6)/GraphSalmonella!$B$5</f>
        <v>0.2712239435094701</v>
      </c>
      <c r="N760" s="1" t="s">
        <v>1013</v>
      </c>
      <c r="S760" s="10">
        <f>GraphSalmonella!$B$57*Salmonella!I760+GraphSalmonella!$B$58</f>
        <v>0.35072323220664714</v>
      </c>
      <c r="T760" s="10">
        <f>GraphSalmonella!$E$57*Salmonella!I760+GraphSalmonella!$E$58</f>
        <v>3.1370239566030182</v>
      </c>
      <c r="U760" s="10">
        <f>GraphSalmonella!$H$57*Salmonella!I760+GraphSalmonella!$H$58</f>
        <v>0.27208851901262943</v>
      </c>
      <c r="X760" s="10">
        <f>GraphSalmonella!$B$80*Salmonella!I760+GraphSalmonella!$B$81</f>
        <v>0.2738497546709393</v>
      </c>
      <c r="Y760" s="10">
        <f>GraphSalmonella!$E$80*Salmonella!I760+GraphSalmonella!$E$81</f>
        <v>0.2823920067305572</v>
      </c>
      <c r="Z760" s="10">
        <f>GraphSalmonella!$H$80*Salmonella!I760+GraphSalmonella!$H$81</f>
        <v>-6.4512686973317024E-2</v>
      </c>
    </row>
    <row r="761" spans="1:26" x14ac:dyDescent="0.2">
      <c r="A761" s="1" t="s">
        <v>66</v>
      </c>
      <c r="B761" s="1" t="s">
        <v>88</v>
      </c>
      <c r="D761" t="s">
        <v>44</v>
      </c>
      <c r="E761" s="1" t="s">
        <v>584</v>
      </c>
      <c r="F761" s="19" t="s">
        <v>729</v>
      </c>
      <c r="G761" s="9">
        <v>0.96</v>
      </c>
      <c r="H761" s="4">
        <v>6.9</v>
      </c>
      <c r="I761" s="4">
        <v>57.2</v>
      </c>
      <c r="J761" s="11">
        <v>1.3</v>
      </c>
      <c r="L761" s="12">
        <f t="shared" si="16"/>
        <v>0.11394335230683679</v>
      </c>
      <c r="M761" s="11">
        <f>GraphSalmonella!$B$10-(Salmonella!I761-GraphSalmonella!$B$6)/GraphSalmonella!$B$5</f>
        <v>0.57931100083447151</v>
      </c>
      <c r="N761" s="1" t="s">
        <v>586</v>
      </c>
      <c r="O761">
        <v>1970</v>
      </c>
      <c r="S761" s="10">
        <f>GraphSalmonella!$B$57*Salmonella!I761+GraphSalmonella!$B$58</f>
        <v>0.51813599117844245</v>
      </c>
      <c r="T761" s="10">
        <f>GraphSalmonella!$E$57*Salmonella!I761+GraphSalmonella!$E$58</f>
        <v>3.2744886177804045</v>
      </c>
      <c r="U761" s="10">
        <f>GraphSalmonella!$H$57*Salmonella!I761+GraphSalmonella!$H$58</f>
        <v>0.58010622333732087</v>
      </c>
      <c r="X761" s="10">
        <f>GraphSalmonella!$B$80*Salmonella!I761+GraphSalmonella!$B$81</f>
        <v>0.58208601784486369</v>
      </c>
      <c r="Y761" s="10">
        <f>GraphSalmonella!$E$80*Salmonella!I761+GraphSalmonella!$E$81</f>
        <v>0.59495409397555665</v>
      </c>
      <c r="Z761" s="10">
        <f>GraphSalmonella!$H$80*Salmonella!I761+GraphSalmonella!$H$81</f>
        <v>0.29719653009134195</v>
      </c>
    </row>
    <row r="762" spans="1:26" x14ac:dyDescent="0.2">
      <c r="A762" s="1" t="s">
        <v>66</v>
      </c>
      <c r="B762" s="1" t="s">
        <v>88</v>
      </c>
      <c r="D762" t="s">
        <v>44</v>
      </c>
      <c r="E762" s="1" t="s">
        <v>584</v>
      </c>
      <c r="F762" s="19" t="s">
        <v>50</v>
      </c>
      <c r="G762" s="9">
        <v>0.96</v>
      </c>
      <c r="H762" s="4">
        <v>6.9</v>
      </c>
      <c r="I762" s="4">
        <v>57.2</v>
      </c>
      <c r="J762" s="11">
        <v>1.2</v>
      </c>
      <c r="L762" s="12">
        <f t="shared" si="16"/>
        <v>7.9181246047624818E-2</v>
      </c>
      <c r="M762" s="11">
        <f>GraphSalmonella!$B$10-(Salmonella!I762-GraphSalmonella!$B$6)/GraphSalmonella!$B$5</f>
        <v>0.57931100083447151</v>
      </c>
      <c r="N762" s="1" t="s">
        <v>586</v>
      </c>
      <c r="O762">
        <v>1970</v>
      </c>
      <c r="S762" s="10">
        <f>GraphSalmonella!$B$57*Salmonella!I762+GraphSalmonella!$B$58</f>
        <v>0.51813599117844245</v>
      </c>
      <c r="T762" s="10">
        <f>GraphSalmonella!$E$57*Salmonella!I762+GraphSalmonella!$E$58</f>
        <v>3.2744886177804045</v>
      </c>
      <c r="U762" s="10">
        <f>GraphSalmonella!$H$57*Salmonella!I762+GraphSalmonella!$H$58</f>
        <v>0.58010622333732087</v>
      </c>
      <c r="X762" s="10">
        <f>GraphSalmonella!$B$80*Salmonella!I762+GraphSalmonella!$B$81</f>
        <v>0.58208601784486369</v>
      </c>
      <c r="Y762" s="10">
        <f>GraphSalmonella!$E$80*Salmonella!I762+GraphSalmonella!$E$81</f>
        <v>0.59495409397555665</v>
      </c>
      <c r="Z762" s="10">
        <f>GraphSalmonella!$H$80*Salmonella!I762+GraphSalmonella!$H$81</f>
        <v>0.29719653009134195</v>
      </c>
    </row>
    <row r="763" spans="1:26" x14ac:dyDescent="0.2">
      <c r="A763" s="1" t="s">
        <v>66</v>
      </c>
      <c r="B763" s="1" t="s">
        <v>87</v>
      </c>
      <c r="D763" t="s">
        <v>44</v>
      </c>
      <c r="E763" s="1" t="s">
        <v>584</v>
      </c>
      <c r="F763" s="19" t="s">
        <v>726</v>
      </c>
      <c r="G763" s="9">
        <v>0.9</v>
      </c>
      <c r="H763" s="4">
        <v>6.9</v>
      </c>
      <c r="I763" s="4">
        <v>57.2</v>
      </c>
      <c r="J763" s="11">
        <v>2.1</v>
      </c>
      <c r="L763" s="12">
        <f t="shared" si="16"/>
        <v>0.3222192947339193</v>
      </c>
      <c r="M763" s="11">
        <f>GraphSalmonella!$B$10-(Salmonella!I763-GraphSalmonella!$B$6)/GraphSalmonella!$B$5</f>
        <v>0.57931100083447151</v>
      </c>
      <c r="N763" s="1" t="s">
        <v>586</v>
      </c>
      <c r="O763">
        <v>1970</v>
      </c>
      <c r="S763" s="10">
        <f>GraphSalmonella!$B$57*Salmonella!I763+GraphSalmonella!$B$58</f>
        <v>0.51813599117844245</v>
      </c>
      <c r="T763" s="10">
        <f>GraphSalmonella!$E$57*Salmonella!I763+GraphSalmonella!$E$58</f>
        <v>3.2744886177804045</v>
      </c>
      <c r="U763" s="10">
        <f>GraphSalmonella!$H$57*Salmonella!I763+GraphSalmonella!$H$58</f>
        <v>0.58010622333732087</v>
      </c>
      <c r="X763" s="10">
        <f>GraphSalmonella!$B$80*Salmonella!I763+GraphSalmonella!$B$81</f>
        <v>0.58208601784486369</v>
      </c>
      <c r="Y763" s="10">
        <f>GraphSalmonella!$E$80*Salmonella!I763+GraphSalmonella!$E$81</f>
        <v>0.59495409397555665</v>
      </c>
      <c r="Z763" s="10">
        <f>GraphSalmonella!$H$80*Salmonella!I763+GraphSalmonella!$H$81</f>
        <v>0.29719653009134195</v>
      </c>
    </row>
    <row r="764" spans="1:26" x14ac:dyDescent="0.2">
      <c r="A764" s="1" t="s">
        <v>66</v>
      </c>
      <c r="B764" s="1" t="s">
        <v>87</v>
      </c>
      <c r="D764" t="s">
        <v>44</v>
      </c>
      <c r="E764" s="1" t="s">
        <v>584</v>
      </c>
      <c r="F764" s="19" t="s">
        <v>726</v>
      </c>
      <c r="G764" s="9">
        <v>0.9</v>
      </c>
      <c r="H764" s="4">
        <v>6.9</v>
      </c>
      <c r="I764" s="4">
        <v>57.2</v>
      </c>
      <c r="J764" s="11">
        <v>2.7</v>
      </c>
      <c r="L764" s="12">
        <f t="shared" si="16"/>
        <v>0.43136376415898736</v>
      </c>
      <c r="M764" s="11">
        <f>GraphSalmonella!$B$10-(Salmonella!I764-GraphSalmonella!$B$6)/GraphSalmonella!$B$5</f>
        <v>0.57931100083447151</v>
      </c>
      <c r="N764" s="1" t="s">
        <v>586</v>
      </c>
      <c r="O764">
        <v>1970</v>
      </c>
      <c r="S764" s="10">
        <f>GraphSalmonella!$B$57*Salmonella!I764+GraphSalmonella!$B$58</f>
        <v>0.51813599117844245</v>
      </c>
      <c r="T764" s="10">
        <f>GraphSalmonella!$E$57*Salmonella!I764+GraphSalmonella!$E$58</f>
        <v>3.2744886177804045</v>
      </c>
      <c r="U764" s="10">
        <f>GraphSalmonella!$H$57*Salmonella!I764+GraphSalmonella!$H$58</f>
        <v>0.58010622333732087</v>
      </c>
      <c r="X764" s="10">
        <f>GraphSalmonella!$B$80*Salmonella!I764+GraphSalmonella!$B$81</f>
        <v>0.58208601784486369</v>
      </c>
      <c r="Y764" s="10">
        <f>GraphSalmonella!$E$80*Salmonella!I764+GraphSalmonella!$E$81</f>
        <v>0.59495409397555665</v>
      </c>
      <c r="Z764" s="10">
        <f>GraphSalmonella!$H$80*Salmonella!I764+GraphSalmonella!$H$81</f>
        <v>0.29719653009134195</v>
      </c>
    </row>
    <row r="765" spans="1:26" x14ac:dyDescent="0.2">
      <c r="A765" s="1" t="s">
        <v>66</v>
      </c>
      <c r="B765" s="1" t="s">
        <v>80</v>
      </c>
      <c r="C765" t="s">
        <v>585</v>
      </c>
      <c r="D765" t="s">
        <v>44</v>
      </c>
      <c r="E765" s="1" t="s">
        <v>584</v>
      </c>
      <c r="F765" s="19" t="s">
        <v>726</v>
      </c>
      <c r="G765" s="9">
        <v>0.9</v>
      </c>
      <c r="H765" s="4">
        <v>6.9</v>
      </c>
      <c r="I765" s="4">
        <v>57.2</v>
      </c>
      <c r="J765" s="11">
        <v>2</v>
      </c>
      <c r="L765" s="12">
        <f t="shared" si="16"/>
        <v>0.3010299956639812</v>
      </c>
      <c r="M765" s="11">
        <f>GraphSalmonella!$B$10-(Salmonella!I765-GraphSalmonella!$B$6)/GraphSalmonella!$B$5</f>
        <v>0.57931100083447151</v>
      </c>
      <c r="N765" s="1" t="s">
        <v>586</v>
      </c>
      <c r="O765">
        <v>1970</v>
      </c>
      <c r="S765" s="10">
        <f>GraphSalmonella!$B$57*Salmonella!I765+GraphSalmonella!$B$58</f>
        <v>0.51813599117844245</v>
      </c>
      <c r="T765" s="10">
        <f>GraphSalmonella!$E$57*Salmonella!I765+GraphSalmonella!$E$58</f>
        <v>3.2744886177804045</v>
      </c>
      <c r="U765" s="10">
        <f>GraphSalmonella!$H$57*Salmonella!I765+GraphSalmonella!$H$58</f>
        <v>0.58010622333732087</v>
      </c>
      <c r="X765" s="10">
        <f>GraphSalmonella!$B$80*Salmonella!I765+GraphSalmonella!$B$81</f>
        <v>0.58208601784486369</v>
      </c>
      <c r="Y765" s="10">
        <f>GraphSalmonella!$E$80*Salmonella!I765+GraphSalmonella!$E$81</f>
        <v>0.59495409397555665</v>
      </c>
      <c r="Z765" s="10">
        <f>GraphSalmonella!$H$80*Salmonella!I765+GraphSalmonella!$H$81</f>
        <v>0.29719653009134195</v>
      </c>
    </row>
    <row r="766" spans="1:26" x14ac:dyDescent="0.2">
      <c r="A766" s="1" t="s">
        <v>66</v>
      </c>
      <c r="B766" s="1" t="s">
        <v>80</v>
      </c>
      <c r="C766" t="s">
        <v>585</v>
      </c>
      <c r="D766" t="s">
        <v>44</v>
      </c>
      <c r="E766" s="1" t="s">
        <v>584</v>
      </c>
      <c r="F766" s="19" t="s">
        <v>726</v>
      </c>
      <c r="G766" s="9">
        <v>0.9</v>
      </c>
      <c r="H766" s="4">
        <v>6.9</v>
      </c>
      <c r="I766" s="4">
        <v>57.2</v>
      </c>
      <c r="J766" s="11">
        <v>4</v>
      </c>
      <c r="L766" s="12">
        <f t="shared" si="16"/>
        <v>0.6020599913279624</v>
      </c>
      <c r="M766" s="11">
        <f>GraphSalmonella!$B$10-(Salmonella!I766-GraphSalmonella!$B$6)/GraphSalmonella!$B$5</f>
        <v>0.57931100083447151</v>
      </c>
      <c r="N766" s="1" t="s">
        <v>586</v>
      </c>
      <c r="O766">
        <v>1970</v>
      </c>
      <c r="S766" s="10">
        <f>GraphSalmonella!$B$57*Salmonella!I766+GraphSalmonella!$B$58</f>
        <v>0.51813599117844245</v>
      </c>
      <c r="T766" s="10">
        <f>GraphSalmonella!$E$57*Salmonella!I766+GraphSalmonella!$E$58</f>
        <v>3.2744886177804045</v>
      </c>
      <c r="U766" s="10">
        <f>GraphSalmonella!$H$57*Salmonella!I766+GraphSalmonella!$H$58</f>
        <v>0.58010622333732087</v>
      </c>
      <c r="X766" s="10">
        <f>GraphSalmonella!$B$80*Salmonella!I766+GraphSalmonella!$B$81</f>
        <v>0.58208601784486369</v>
      </c>
      <c r="Y766" s="10">
        <f>GraphSalmonella!$E$80*Salmonella!I766+GraphSalmonella!$E$81</f>
        <v>0.59495409397555665</v>
      </c>
      <c r="Z766" s="10">
        <f>GraphSalmonella!$H$80*Salmonella!I766+GraphSalmonella!$H$81</f>
        <v>0.29719653009134195</v>
      </c>
    </row>
    <row r="767" spans="1:26" x14ac:dyDescent="0.2">
      <c r="A767" s="1" t="s">
        <v>66</v>
      </c>
      <c r="B767" s="1" t="s">
        <v>80</v>
      </c>
      <c r="D767" t="s">
        <v>44</v>
      </c>
      <c r="E767" s="1" t="s">
        <v>584</v>
      </c>
      <c r="F767" s="19" t="s">
        <v>726</v>
      </c>
      <c r="G767" s="9">
        <v>0.9</v>
      </c>
      <c r="H767" s="4">
        <v>6.9</v>
      </c>
      <c r="I767" s="4">
        <v>57.2</v>
      </c>
      <c r="J767" s="11">
        <v>2.2000000000000002</v>
      </c>
      <c r="L767" s="12">
        <f t="shared" si="16"/>
        <v>0.34242268082220628</v>
      </c>
      <c r="M767" s="11">
        <f>GraphSalmonella!$B$10-(Salmonella!I767-GraphSalmonella!$B$6)/GraphSalmonella!$B$5</f>
        <v>0.57931100083447151</v>
      </c>
      <c r="N767" s="1" t="s">
        <v>586</v>
      </c>
      <c r="O767">
        <v>1970</v>
      </c>
      <c r="S767" s="10">
        <f>GraphSalmonella!$B$57*Salmonella!I767+GraphSalmonella!$B$58</f>
        <v>0.51813599117844245</v>
      </c>
      <c r="T767" s="10">
        <f>GraphSalmonella!$E$57*Salmonella!I767+GraphSalmonella!$E$58</f>
        <v>3.2744886177804045</v>
      </c>
      <c r="U767" s="10">
        <f>GraphSalmonella!$H$57*Salmonella!I767+GraphSalmonella!$H$58</f>
        <v>0.58010622333732087</v>
      </c>
      <c r="X767" s="10">
        <f>GraphSalmonella!$B$80*Salmonella!I767+GraphSalmonella!$B$81</f>
        <v>0.58208601784486369</v>
      </c>
      <c r="Y767" s="10">
        <f>GraphSalmonella!$E$80*Salmonella!I767+GraphSalmonella!$E$81</f>
        <v>0.59495409397555665</v>
      </c>
      <c r="Z767" s="10">
        <f>GraphSalmonella!$H$80*Salmonella!I767+GraphSalmonella!$H$81</f>
        <v>0.29719653009134195</v>
      </c>
    </row>
    <row r="768" spans="1:26" x14ac:dyDescent="0.2">
      <c r="A768" s="1" t="s">
        <v>66</v>
      </c>
      <c r="B768" s="1" t="s">
        <v>80</v>
      </c>
      <c r="D768" t="s">
        <v>44</v>
      </c>
      <c r="E768" s="1" t="s">
        <v>584</v>
      </c>
      <c r="F768" s="19" t="s">
        <v>726</v>
      </c>
      <c r="G768" s="9">
        <v>0.9</v>
      </c>
      <c r="H768" s="4">
        <v>6.9</v>
      </c>
      <c r="I768" s="4">
        <v>57.2</v>
      </c>
      <c r="J768" s="11">
        <v>2.5</v>
      </c>
      <c r="L768" s="12">
        <f t="shared" si="16"/>
        <v>0.3979400086720376</v>
      </c>
      <c r="M768" s="11">
        <f>GraphSalmonella!$B$10-(Salmonella!I768-GraphSalmonella!$B$6)/GraphSalmonella!$B$5</f>
        <v>0.57931100083447151</v>
      </c>
      <c r="N768" s="1" t="s">
        <v>586</v>
      </c>
      <c r="O768">
        <v>1970</v>
      </c>
      <c r="S768" s="10">
        <f>GraphSalmonella!$B$57*Salmonella!I768+GraphSalmonella!$B$58</f>
        <v>0.51813599117844245</v>
      </c>
      <c r="T768" s="10">
        <f>GraphSalmonella!$E$57*Salmonella!I768+GraphSalmonella!$E$58</f>
        <v>3.2744886177804045</v>
      </c>
      <c r="U768" s="10">
        <f>GraphSalmonella!$H$57*Salmonella!I768+GraphSalmonella!$H$58</f>
        <v>0.58010622333732087</v>
      </c>
      <c r="X768" s="10">
        <f>GraphSalmonella!$B$80*Salmonella!I768+GraphSalmonella!$B$81</f>
        <v>0.58208601784486369</v>
      </c>
      <c r="Y768" s="10">
        <f>GraphSalmonella!$E$80*Salmonella!I768+GraphSalmonella!$E$81</f>
        <v>0.59495409397555665</v>
      </c>
      <c r="Z768" s="10">
        <f>GraphSalmonella!$H$80*Salmonella!I768+GraphSalmonella!$H$81</f>
        <v>0.29719653009134195</v>
      </c>
    </row>
    <row r="769" spans="1:26" x14ac:dyDescent="0.2">
      <c r="A769" s="1" t="s">
        <v>66</v>
      </c>
      <c r="B769" s="1" t="s">
        <v>88</v>
      </c>
      <c r="D769" t="s">
        <v>44</v>
      </c>
      <c r="E769" s="1" t="s">
        <v>584</v>
      </c>
      <c r="F769" s="19" t="s">
        <v>726</v>
      </c>
      <c r="G769" s="9">
        <v>0.9</v>
      </c>
      <c r="H769" s="4">
        <v>6.9</v>
      </c>
      <c r="I769" s="4">
        <v>57.2</v>
      </c>
      <c r="J769" s="11">
        <v>2.8</v>
      </c>
      <c r="L769" s="12">
        <f t="shared" si="16"/>
        <v>0.44715803134221921</v>
      </c>
      <c r="M769" s="11">
        <f>GraphSalmonella!$B$10-(Salmonella!I769-GraphSalmonella!$B$6)/GraphSalmonella!$B$5</f>
        <v>0.57931100083447151</v>
      </c>
      <c r="N769" s="1" t="s">
        <v>586</v>
      </c>
      <c r="O769">
        <v>1970</v>
      </c>
      <c r="S769" s="10">
        <f>GraphSalmonella!$B$57*Salmonella!I769+GraphSalmonella!$B$58</f>
        <v>0.51813599117844245</v>
      </c>
      <c r="T769" s="10">
        <f>GraphSalmonella!$E$57*Salmonella!I769+GraphSalmonella!$E$58</f>
        <v>3.2744886177804045</v>
      </c>
      <c r="U769" s="10">
        <f>GraphSalmonella!$H$57*Salmonella!I769+GraphSalmonella!$H$58</f>
        <v>0.58010622333732087</v>
      </c>
      <c r="X769" s="10">
        <f>GraphSalmonella!$B$80*Salmonella!I769+GraphSalmonella!$B$81</f>
        <v>0.58208601784486369</v>
      </c>
      <c r="Y769" s="10">
        <f>GraphSalmonella!$E$80*Salmonella!I769+GraphSalmonella!$E$81</f>
        <v>0.59495409397555665</v>
      </c>
      <c r="Z769" s="10">
        <f>GraphSalmonella!$H$80*Salmonella!I769+GraphSalmonella!$H$81</f>
        <v>0.29719653009134195</v>
      </c>
    </row>
    <row r="770" spans="1:26" x14ac:dyDescent="0.2">
      <c r="A770" s="1" t="s">
        <v>66</v>
      </c>
      <c r="B770" s="1" t="s">
        <v>88</v>
      </c>
      <c r="D770" t="s">
        <v>44</v>
      </c>
      <c r="E770" s="1" t="s">
        <v>584</v>
      </c>
      <c r="F770" s="19" t="s">
        <v>726</v>
      </c>
      <c r="G770" s="9">
        <v>0.9</v>
      </c>
      <c r="H770" s="4">
        <v>6.9</v>
      </c>
      <c r="I770" s="4">
        <v>57.2</v>
      </c>
      <c r="J770" s="11">
        <v>3.1</v>
      </c>
      <c r="L770" s="12">
        <f t="shared" si="16"/>
        <v>0.49136169383427269</v>
      </c>
      <c r="M770" s="11">
        <f>GraphSalmonella!$B$10-(Salmonella!I770-GraphSalmonella!$B$6)/GraphSalmonella!$B$5</f>
        <v>0.57931100083447151</v>
      </c>
      <c r="N770" s="1" t="s">
        <v>586</v>
      </c>
      <c r="O770">
        <v>1970</v>
      </c>
      <c r="S770" s="10">
        <f>GraphSalmonella!$B$57*Salmonella!I770+GraphSalmonella!$B$58</f>
        <v>0.51813599117844245</v>
      </c>
      <c r="T770" s="10">
        <f>GraphSalmonella!$E$57*Salmonella!I770+GraphSalmonella!$E$58</f>
        <v>3.2744886177804045</v>
      </c>
      <c r="U770" s="10">
        <f>GraphSalmonella!$H$57*Salmonella!I770+GraphSalmonella!$H$58</f>
        <v>0.58010622333732087</v>
      </c>
      <c r="X770" s="10">
        <f>GraphSalmonella!$B$80*Salmonella!I770+GraphSalmonella!$B$81</f>
        <v>0.58208601784486369</v>
      </c>
      <c r="Y770" s="10">
        <f>GraphSalmonella!$E$80*Salmonella!I770+GraphSalmonella!$E$81</f>
        <v>0.59495409397555665</v>
      </c>
      <c r="Z770" s="10">
        <f>GraphSalmonella!$H$80*Salmonella!I770+GraphSalmonella!$H$81</f>
        <v>0.29719653009134195</v>
      </c>
    </row>
    <row r="771" spans="1:26" x14ac:dyDescent="0.2">
      <c r="A771" s="1" t="s">
        <v>66</v>
      </c>
      <c r="B771" s="1" t="s">
        <v>67</v>
      </c>
      <c r="C771" t="s">
        <v>312</v>
      </c>
      <c r="D771" t="s">
        <v>44</v>
      </c>
      <c r="E771" s="1" t="s">
        <v>584</v>
      </c>
      <c r="F771" s="19" t="s">
        <v>726</v>
      </c>
      <c r="G771" s="9">
        <v>0.9</v>
      </c>
      <c r="H771" s="4">
        <v>6.9</v>
      </c>
      <c r="I771" s="4">
        <v>57.2</v>
      </c>
      <c r="J771" s="11">
        <v>28</v>
      </c>
      <c r="L771" s="12">
        <f t="shared" si="16"/>
        <v>1.4471580313422192</v>
      </c>
      <c r="M771" s="11">
        <f>GraphSalmonella!$B$10-(Salmonella!I771-GraphSalmonella!$B$6)/GraphSalmonella!$B$5</f>
        <v>0.57931100083447151</v>
      </c>
      <c r="N771" s="1" t="s">
        <v>586</v>
      </c>
      <c r="O771">
        <v>1970</v>
      </c>
      <c r="S771" s="10">
        <f>GraphSalmonella!$B$57*Salmonella!I771+GraphSalmonella!$B$58</f>
        <v>0.51813599117844245</v>
      </c>
      <c r="T771" s="10">
        <f>GraphSalmonella!$E$57*Salmonella!I771+GraphSalmonella!$E$58</f>
        <v>3.2744886177804045</v>
      </c>
      <c r="U771" s="10">
        <f>GraphSalmonella!$H$57*Salmonella!I771+GraphSalmonella!$H$58</f>
        <v>0.58010622333732087</v>
      </c>
      <c r="X771" s="10">
        <f>GraphSalmonella!$B$80*Salmonella!I771+GraphSalmonella!$B$81</f>
        <v>0.58208601784486369</v>
      </c>
      <c r="Y771" s="10">
        <f>GraphSalmonella!$E$80*Salmonella!I771+GraphSalmonella!$E$81</f>
        <v>0.59495409397555665</v>
      </c>
      <c r="Z771" s="10">
        <f>GraphSalmonella!$H$80*Salmonella!I771+GraphSalmonella!$H$81</f>
        <v>0.29719653009134195</v>
      </c>
    </row>
    <row r="772" spans="1:26" x14ac:dyDescent="0.2">
      <c r="A772" s="1" t="s">
        <v>66</v>
      </c>
      <c r="B772" s="1" t="s">
        <v>67</v>
      </c>
      <c r="C772" t="s">
        <v>312</v>
      </c>
      <c r="D772" t="s">
        <v>44</v>
      </c>
      <c r="E772" s="1" t="s">
        <v>584</v>
      </c>
      <c r="F772" s="19" t="s">
        <v>726</v>
      </c>
      <c r="G772" s="9">
        <v>0.9</v>
      </c>
      <c r="H772" s="4">
        <v>6.9</v>
      </c>
      <c r="I772" s="4">
        <v>57.2</v>
      </c>
      <c r="J772" s="11">
        <v>35</v>
      </c>
      <c r="L772" s="12">
        <f t="shared" si="16"/>
        <v>1.5440680443502757</v>
      </c>
      <c r="M772" s="11">
        <f>GraphSalmonella!$B$10-(Salmonella!I772-GraphSalmonella!$B$6)/GraphSalmonella!$B$5</f>
        <v>0.57931100083447151</v>
      </c>
      <c r="N772" s="1" t="s">
        <v>586</v>
      </c>
      <c r="O772">
        <v>1970</v>
      </c>
      <c r="S772" s="10">
        <f>GraphSalmonella!$B$57*Salmonella!I772+GraphSalmonella!$B$58</f>
        <v>0.51813599117844245</v>
      </c>
      <c r="T772" s="10">
        <f>GraphSalmonella!$E$57*Salmonella!I772+GraphSalmonella!$E$58</f>
        <v>3.2744886177804045</v>
      </c>
      <c r="U772" s="10">
        <f>GraphSalmonella!$H$57*Salmonella!I772+GraphSalmonella!$H$58</f>
        <v>0.58010622333732087</v>
      </c>
      <c r="X772" s="10">
        <f>GraphSalmonella!$B$80*Salmonella!I772+GraphSalmonella!$B$81</f>
        <v>0.58208601784486369</v>
      </c>
      <c r="Y772" s="10">
        <f>GraphSalmonella!$E$80*Salmonella!I772+GraphSalmonella!$E$81</f>
        <v>0.59495409397555665</v>
      </c>
      <c r="Z772" s="10">
        <f>GraphSalmonella!$H$80*Salmonella!I772+GraphSalmonella!$H$81</f>
        <v>0.29719653009134195</v>
      </c>
    </row>
    <row r="773" spans="1:26" x14ac:dyDescent="0.2">
      <c r="A773" s="1" t="s">
        <v>66</v>
      </c>
      <c r="B773" s="1" t="s">
        <v>85</v>
      </c>
      <c r="D773" t="s">
        <v>44</v>
      </c>
      <c r="E773" s="1" t="s">
        <v>584</v>
      </c>
      <c r="F773" s="19" t="s">
        <v>726</v>
      </c>
      <c r="G773" s="9">
        <v>0.9</v>
      </c>
      <c r="H773" s="4">
        <v>6.9</v>
      </c>
      <c r="I773" s="4">
        <v>57.2</v>
      </c>
      <c r="J773" s="11">
        <v>1.3</v>
      </c>
      <c r="L773" s="12">
        <f t="shared" si="16"/>
        <v>0.11394335230683679</v>
      </c>
      <c r="M773" s="11">
        <f>GraphSalmonella!$B$10-(Salmonella!I773-GraphSalmonella!$B$6)/GraphSalmonella!$B$5</f>
        <v>0.57931100083447151</v>
      </c>
      <c r="N773" s="1" t="s">
        <v>586</v>
      </c>
      <c r="O773">
        <v>1970</v>
      </c>
      <c r="S773" s="10">
        <f>GraphSalmonella!$B$57*Salmonella!I773+GraphSalmonella!$B$58</f>
        <v>0.51813599117844245</v>
      </c>
      <c r="T773" s="10">
        <f>GraphSalmonella!$E$57*Salmonella!I773+GraphSalmonella!$E$58</f>
        <v>3.2744886177804045</v>
      </c>
      <c r="U773" s="10">
        <f>GraphSalmonella!$H$57*Salmonella!I773+GraphSalmonella!$H$58</f>
        <v>0.58010622333732087</v>
      </c>
      <c r="X773" s="10">
        <f>GraphSalmonella!$B$80*Salmonella!I773+GraphSalmonella!$B$81</f>
        <v>0.58208601784486369</v>
      </c>
      <c r="Y773" s="10">
        <f>GraphSalmonella!$E$80*Salmonella!I773+GraphSalmonella!$E$81</f>
        <v>0.59495409397555665</v>
      </c>
      <c r="Z773" s="10">
        <f>GraphSalmonella!$H$80*Salmonella!I773+GraphSalmonella!$H$81</f>
        <v>0.29719653009134195</v>
      </c>
    </row>
    <row r="774" spans="1:26" x14ac:dyDescent="0.2">
      <c r="A774" s="1" t="s">
        <v>66</v>
      </c>
      <c r="B774" s="1" t="s">
        <v>85</v>
      </c>
      <c r="D774" t="s">
        <v>44</v>
      </c>
      <c r="E774" s="1" t="s">
        <v>584</v>
      </c>
      <c r="F774" s="19" t="s">
        <v>726</v>
      </c>
      <c r="G774" s="9">
        <v>0.9</v>
      </c>
      <c r="H774" s="4">
        <v>6.9</v>
      </c>
      <c r="I774" s="4">
        <v>57.2</v>
      </c>
      <c r="J774" s="11">
        <v>2.2999999999999998</v>
      </c>
      <c r="L774" s="12">
        <f t="shared" si="16"/>
        <v>0.36172783601759284</v>
      </c>
      <c r="M774" s="11">
        <f>GraphSalmonella!$B$10-(Salmonella!I774-GraphSalmonella!$B$6)/GraphSalmonella!$B$5</f>
        <v>0.57931100083447151</v>
      </c>
      <c r="N774" s="1" t="s">
        <v>586</v>
      </c>
      <c r="O774">
        <v>1970</v>
      </c>
      <c r="S774" s="10">
        <f>GraphSalmonella!$B$57*Salmonella!I774+GraphSalmonella!$B$58</f>
        <v>0.51813599117844245</v>
      </c>
      <c r="T774" s="10">
        <f>GraphSalmonella!$E$57*Salmonella!I774+GraphSalmonella!$E$58</f>
        <v>3.2744886177804045</v>
      </c>
      <c r="U774" s="10">
        <f>GraphSalmonella!$H$57*Salmonella!I774+GraphSalmonella!$H$58</f>
        <v>0.58010622333732087</v>
      </c>
      <c r="X774" s="10">
        <f>GraphSalmonella!$B$80*Salmonella!I774+GraphSalmonella!$B$81</f>
        <v>0.58208601784486369</v>
      </c>
      <c r="Y774" s="10">
        <f>GraphSalmonella!$E$80*Salmonella!I774+GraphSalmonella!$E$81</f>
        <v>0.59495409397555665</v>
      </c>
      <c r="Z774" s="10">
        <f>GraphSalmonella!$H$80*Salmonella!I774+GraphSalmonella!$H$81</f>
        <v>0.29719653009134195</v>
      </c>
    </row>
    <row r="775" spans="1:26" x14ac:dyDescent="0.2">
      <c r="A775" s="1" t="s">
        <v>66</v>
      </c>
      <c r="B775" s="1" t="s">
        <v>70</v>
      </c>
      <c r="D775" t="s">
        <v>44</v>
      </c>
      <c r="E775" s="1" t="s">
        <v>584</v>
      </c>
      <c r="F775" s="19" t="s">
        <v>726</v>
      </c>
      <c r="G775" s="9">
        <v>0.9</v>
      </c>
      <c r="H775" s="4">
        <v>6.9</v>
      </c>
      <c r="I775" s="4">
        <v>57.2</v>
      </c>
      <c r="J775" s="11">
        <v>1.8</v>
      </c>
      <c r="L775" s="12">
        <f t="shared" si="16"/>
        <v>0.25527250510330607</v>
      </c>
      <c r="M775" s="11">
        <f>GraphSalmonella!$B$10-(Salmonella!I775-GraphSalmonella!$B$6)/GraphSalmonella!$B$5</f>
        <v>0.57931100083447151</v>
      </c>
      <c r="N775" s="1" t="s">
        <v>586</v>
      </c>
      <c r="O775">
        <v>1970</v>
      </c>
      <c r="S775" s="10">
        <f>GraphSalmonella!$B$57*Salmonella!I775+GraphSalmonella!$B$58</f>
        <v>0.51813599117844245</v>
      </c>
      <c r="T775" s="10">
        <f>GraphSalmonella!$E$57*Salmonella!I775+GraphSalmonella!$E$58</f>
        <v>3.2744886177804045</v>
      </c>
      <c r="U775" s="10">
        <f>GraphSalmonella!$H$57*Salmonella!I775+GraphSalmonella!$H$58</f>
        <v>0.58010622333732087</v>
      </c>
      <c r="X775" s="10">
        <f>GraphSalmonella!$B$80*Salmonella!I775+GraphSalmonella!$B$81</f>
        <v>0.58208601784486369</v>
      </c>
      <c r="Y775" s="10">
        <f>GraphSalmonella!$E$80*Salmonella!I775+GraphSalmonella!$E$81</f>
        <v>0.59495409397555665</v>
      </c>
      <c r="Z775" s="10">
        <f>GraphSalmonella!$H$80*Salmonella!I775+GraphSalmonella!$H$81</f>
        <v>0.29719653009134195</v>
      </c>
    </row>
    <row r="776" spans="1:26" x14ac:dyDescent="0.2">
      <c r="A776" s="1" t="s">
        <v>66</v>
      </c>
      <c r="B776" s="1" t="s">
        <v>70</v>
      </c>
      <c r="D776" t="s">
        <v>44</v>
      </c>
      <c r="E776" s="1" t="s">
        <v>584</v>
      </c>
      <c r="F776" s="19" t="s">
        <v>726</v>
      </c>
      <c r="G776" s="9">
        <v>0.9</v>
      </c>
      <c r="H776" s="4">
        <v>6.9</v>
      </c>
      <c r="I776" s="4">
        <v>57.2</v>
      </c>
      <c r="J776" s="11">
        <v>8.3000000000000007</v>
      </c>
      <c r="L776" s="12">
        <f t="shared" si="16"/>
        <v>0.91907809237607396</v>
      </c>
      <c r="M776" s="11">
        <f>GraphSalmonella!$B$10-(Salmonella!I776-GraphSalmonella!$B$6)/GraphSalmonella!$B$5</f>
        <v>0.57931100083447151</v>
      </c>
      <c r="N776" s="1" t="s">
        <v>586</v>
      </c>
      <c r="O776">
        <v>1970</v>
      </c>
      <c r="S776" s="10">
        <f>GraphSalmonella!$B$57*Salmonella!I776+GraphSalmonella!$B$58</f>
        <v>0.51813599117844245</v>
      </c>
      <c r="T776" s="10">
        <f>GraphSalmonella!$E$57*Salmonella!I776+GraphSalmonella!$E$58</f>
        <v>3.2744886177804045</v>
      </c>
      <c r="U776" s="10">
        <f>GraphSalmonella!$H$57*Salmonella!I776+GraphSalmonella!$H$58</f>
        <v>0.58010622333732087</v>
      </c>
      <c r="X776" s="10">
        <f>GraphSalmonella!$B$80*Salmonella!I776+GraphSalmonella!$B$81</f>
        <v>0.58208601784486369</v>
      </c>
      <c r="Y776" s="10">
        <f>GraphSalmonella!$E$80*Salmonella!I776+GraphSalmonella!$E$81</f>
        <v>0.59495409397555665</v>
      </c>
      <c r="Z776" s="10">
        <f>GraphSalmonella!$H$80*Salmonella!I776+GraphSalmonella!$H$81</f>
        <v>0.29719653009134195</v>
      </c>
    </row>
    <row r="777" spans="1:26" x14ac:dyDescent="0.2">
      <c r="A777" s="1" t="s">
        <v>66</v>
      </c>
      <c r="B777" s="1" t="s">
        <v>87</v>
      </c>
      <c r="D777" t="s">
        <v>44</v>
      </c>
      <c r="E777" s="1" t="s">
        <v>584</v>
      </c>
      <c r="F777" s="19" t="s">
        <v>727</v>
      </c>
      <c r="G777" s="9">
        <v>0.99</v>
      </c>
      <c r="H777" s="4">
        <v>6.9</v>
      </c>
      <c r="I777" s="4">
        <v>57.2</v>
      </c>
      <c r="J777" s="11">
        <v>0.9</v>
      </c>
      <c r="L777" s="12">
        <f t="shared" si="16"/>
        <v>-4.5757490560675115E-2</v>
      </c>
      <c r="M777" s="11">
        <f>GraphSalmonella!$B$10-(Salmonella!I777-GraphSalmonella!$B$6)/GraphSalmonella!$B$5</f>
        <v>0.57931100083447151</v>
      </c>
      <c r="N777" s="1" t="s">
        <v>586</v>
      </c>
      <c r="O777">
        <v>1970</v>
      </c>
      <c r="S777" s="10">
        <f>GraphSalmonella!$B$57*Salmonella!I777+GraphSalmonella!$B$58</f>
        <v>0.51813599117844245</v>
      </c>
      <c r="T777" s="10">
        <f>GraphSalmonella!$E$57*Salmonella!I777+GraphSalmonella!$E$58</f>
        <v>3.2744886177804045</v>
      </c>
      <c r="U777" s="10">
        <f>GraphSalmonella!$H$57*Salmonella!I777+GraphSalmonella!$H$58</f>
        <v>0.58010622333732087</v>
      </c>
      <c r="X777" s="10">
        <f>GraphSalmonella!$B$80*Salmonella!I777+GraphSalmonella!$B$81</f>
        <v>0.58208601784486369</v>
      </c>
      <c r="Y777" s="10">
        <f>GraphSalmonella!$E$80*Salmonella!I777+GraphSalmonella!$E$81</f>
        <v>0.59495409397555665</v>
      </c>
      <c r="Z777" s="10">
        <f>GraphSalmonella!$H$80*Salmonella!I777+GraphSalmonella!$H$81</f>
        <v>0.29719653009134195</v>
      </c>
    </row>
    <row r="778" spans="1:26" x14ac:dyDescent="0.2">
      <c r="A778" s="1" t="s">
        <v>66</v>
      </c>
      <c r="B778" s="1" t="s">
        <v>87</v>
      </c>
      <c r="D778" t="s">
        <v>44</v>
      </c>
      <c r="E778" s="1" t="s">
        <v>584</v>
      </c>
      <c r="F778" s="19" t="s">
        <v>727</v>
      </c>
      <c r="G778" s="9">
        <v>0.99</v>
      </c>
      <c r="H778" s="4">
        <v>6.9</v>
      </c>
      <c r="I778" s="4">
        <v>57.2</v>
      </c>
      <c r="J778" s="11">
        <v>1.5</v>
      </c>
      <c r="L778" s="12">
        <f t="shared" si="16"/>
        <v>0.17609125905568124</v>
      </c>
      <c r="M778" s="11">
        <f>GraphSalmonella!$B$10-(Salmonella!I778-GraphSalmonella!$B$6)/GraphSalmonella!$B$5</f>
        <v>0.57931100083447151</v>
      </c>
      <c r="N778" s="1" t="s">
        <v>586</v>
      </c>
      <c r="O778">
        <v>1970</v>
      </c>
      <c r="S778" s="10">
        <f>GraphSalmonella!$B$57*Salmonella!I778+GraphSalmonella!$B$58</f>
        <v>0.51813599117844245</v>
      </c>
      <c r="T778" s="10">
        <f>GraphSalmonella!$E$57*Salmonella!I778+GraphSalmonella!$E$58</f>
        <v>3.2744886177804045</v>
      </c>
      <c r="U778" s="10">
        <f>GraphSalmonella!$H$57*Salmonella!I778+GraphSalmonella!$H$58</f>
        <v>0.58010622333732087</v>
      </c>
      <c r="X778" s="10">
        <f>GraphSalmonella!$B$80*Salmonella!I778+GraphSalmonella!$B$81</f>
        <v>0.58208601784486369</v>
      </c>
      <c r="Y778" s="10">
        <f>GraphSalmonella!$E$80*Salmonella!I778+GraphSalmonella!$E$81</f>
        <v>0.59495409397555665</v>
      </c>
      <c r="Z778" s="10">
        <f>GraphSalmonella!$H$80*Salmonella!I778+GraphSalmonella!$H$81</f>
        <v>0.29719653009134195</v>
      </c>
    </row>
    <row r="779" spans="1:26" x14ac:dyDescent="0.2">
      <c r="A779" s="1" t="s">
        <v>66</v>
      </c>
      <c r="B779" s="1" t="s">
        <v>80</v>
      </c>
      <c r="C779" t="s">
        <v>585</v>
      </c>
      <c r="D779" t="s">
        <v>44</v>
      </c>
      <c r="E779" s="1" t="s">
        <v>584</v>
      </c>
      <c r="F779" s="19" t="s">
        <v>727</v>
      </c>
      <c r="G779" s="9">
        <v>0.99</v>
      </c>
      <c r="H779" s="4">
        <v>6.9</v>
      </c>
      <c r="I779" s="4">
        <v>57.2</v>
      </c>
      <c r="J779" s="11">
        <v>1</v>
      </c>
      <c r="L779" s="12">
        <f t="shared" si="16"/>
        <v>0</v>
      </c>
      <c r="M779" s="11">
        <f>GraphSalmonella!$B$10-(Salmonella!I779-GraphSalmonella!$B$6)/GraphSalmonella!$B$5</f>
        <v>0.57931100083447151</v>
      </c>
      <c r="N779" s="1" t="s">
        <v>586</v>
      </c>
      <c r="O779">
        <v>1970</v>
      </c>
      <c r="S779" s="10">
        <f>GraphSalmonella!$B$57*Salmonella!I779+GraphSalmonella!$B$58</f>
        <v>0.51813599117844245</v>
      </c>
      <c r="T779" s="10">
        <f>GraphSalmonella!$E$57*Salmonella!I779+GraphSalmonella!$E$58</f>
        <v>3.2744886177804045</v>
      </c>
      <c r="U779" s="10">
        <f>GraphSalmonella!$H$57*Salmonella!I779+GraphSalmonella!$H$58</f>
        <v>0.58010622333732087</v>
      </c>
      <c r="X779" s="10">
        <f>GraphSalmonella!$B$80*Salmonella!I779+GraphSalmonella!$B$81</f>
        <v>0.58208601784486369</v>
      </c>
      <c r="Y779" s="10">
        <f>GraphSalmonella!$E$80*Salmonella!I779+GraphSalmonella!$E$81</f>
        <v>0.59495409397555665</v>
      </c>
      <c r="Z779" s="10">
        <f>GraphSalmonella!$H$80*Salmonella!I779+GraphSalmonella!$H$81</f>
        <v>0.29719653009134195</v>
      </c>
    </row>
    <row r="780" spans="1:26" x14ac:dyDescent="0.2">
      <c r="A780" s="1" t="s">
        <v>66</v>
      </c>
      <c r="B780" s="1" t="s">
        <v>80</v>
      </c>
      <c r="C780" t="s">
        <v>585</v>
      </c>
      <c r="D780" t="s">
        <v>44</v>
      </c>
      <c r="E780" s="1" t="s">
        <v>584</v>
      </c>
      <c r="F780" s="19" t="s">
        <v>727</v>
      </c>
      <c r="G780" s="9">
        <v>0.99</v>
      </c>
      <c r="H780" s="4">
        <v>6.9</v>
      </c>
      <c r="I780" s="4">
        <v>57.2</v>
      </c>
      <c r="J780" s="11">
        <v>1.2</v>
      </c>
      <c r="L780" s="12">
        <f t="shared" si="16"/>
        <v>7.9181246047624818E-2</v>
      </c>
      <c r="M780" s="11">
        <f>GraphSalmonella!$B$10-(Salmonella!I780-GraphSalmonella!$B$6)/GraphSalmonella!$B$5</f>
        <v>0.57931100083447151</v>
      </c>
      <c r="N780" s="1" t="s">
        <v>586</v>
      </c>
      <c r="O780">
        <v>1970</v>
      </c>
      <c r="S780" s="10">
        <f>GraphSalmonella!$B$57*Salmonella!I780+GraphSalmonella!$B$58</f>
        <v>0.51813599117844245</v>
      </c>
      <c r="T780" s="10">
        <f>GraphSalmonella!$E$57*Salmonella!I780+GraphSalmonella!$E$58</f>
        <v>3.2744886177804045</v>
      </c>
      <c r="U780" s="10">
        <f>GraphSalmonella!$H$57*Salmonella!I780+GraphSalmonella!$H$58</f>
        <v>0.58010622333732087</v>
      </c>
      <c r="X780" s="10">
        <f>GraphSalmonella!$B$80*Salmonella!I780+GraphSalmonella!$B$81</f>
        <v>0.58208601784486369</v>
      </c>
      <c r="Y780" s="10">
        <f>GraphSalmonella!$E$80*Salmonella!I780+GraphSalmonella!$E$81</f>
        <v>0.59495409397555665</v>
      </c>
      <c r="Z780" s="10">
        <f>GraphSalmonella!$H$80*Salmonella!I780+GraphSalmonella!$H$81</f>
        <v>0.29719653009134195</v>
      </c>
    </row>
    <row r="781" spans="1:26" x14ac:dyDescent="0.2">
      <c r="A781" s="1" t="s">
        <v>66</v>
      </c>
      <c r="B781" s="1" t="s">
        <v>80</v>
      </c>
      <c r="D781" t="s">
        <v>44</v>
      </c>
      <c r="E781" s="1" t="s">
        <v>584</v>
      </c>
      <c r="F781" s="19" t="s">
        <v>727</v>
      </c>
      <c r="G781" s="9">
        <v>0.99</v>
      </c>
      <c r="H781" s="4">
        <v>6.9</v>
      </c>
      <c r="I781" s="4">
        <v>57.2</v>
      </c>
      <c r="J781" s="11">
        <v>0.8</v>
      </c>
      <c r="L781" s="12">
        <f t="shared" si="16"/>
        <v>-9.6910013008056392E-2</v>
      </c>
      <c r="M781" s="11">
        <f>GraphSalmonella!$B$10-(Salmonella!I781-GraphSalmonella!$B$6)/GraphSalmonella!$B$5</f>
        <v>0.57931100083447151</v>
      </c>
      <c r="N781" s="1" t="s">
        <v>586</v>
      </c>
      <c r="O781">
        <v>1970</v>
      </c>
      <c r="S781" s="10">
        <f>GraphSalmonella!$B$57*Salmonella!I781+GraphSalmonella!$B$58</f>
        <v>0.51813599117844245</v>
      </c>
      <c r="T781" s="10">
        <f>GraphSalmonella!$E$57*Salmonella!I781+GraphSalmonella!$E$58</f>
        <v>3.2744886177804045</v>
      </c>
      <c r="U781" s="10">
        <f>GraphSalmonella!$H$57*Salmonella!I781+GraphSalmonella!$H$58</f>
        <v>0.58010622333732087</v>
      </c>
      <c r="X781" s="10">
        <f>GraphSalmonella!$B$80*Salmonella!I781+GraphSalmonella!$B$81</f>
        <v>0.58208601784486369</v>
      </c>
      <c r="Y781" s="10">
        <f>GraphSalmonella!$E$80*Salmonella!I781+GraphSalmonella!$E$81</f>
        <v>0.59495409397555665</v>
      </c>
      <c r="Z781" s="10">
        <f>GraphSalmonella!$H$80*Salmonella!I781+GraphSalmonella!$H$81</f>
        <v>0.29719653009134195</v>
      </c>
    </row>
    <row r="782" spans="1:26" x14ac:dyDescent="0.2">
      <c r="A782" s="1" t="s">
        <v>66</v>
      </c>
      <c r="B782" s="1" t="s">
        <v>80</v>
      </c>
      <c r="D782" t="s">
        <v>44</v>
      </c>
      <c r="E782" s="1" t="s">
        <v>584</v>
      </c>
      <c r="F782" s="19" t="s">
        <v>727</v>
      </c>
      <c r="G782" s="9">
        <v>0.99</v>
      </c>
      <c r="H782" s="4">
        <v>6.9</v>
      </c>
      <c r="I782" s="4">
        <v>57.2</v>
      </c>
      <c r="J782" s="11">
        <v>1.1000000000000001</v>
      </c>
      <c r="L782" s="12">
        <f t="shared" si="16"/>
        <v>4.1392685158225077E-2</v>
      </c>
      <c r="M782" s="11">
        <f>GraphSalmonella!$B$10-(Salmonella!I782-GraphSalmonella!$B$6)/GraphSalmonella!$B$5</f>
        <v>0.57931100083447151</v>
      </c>
      <c r="N782" s="1" t="s">
        <v>586</v>
      </c>
      <c r="O782">
        <v>1970</v>
      </c>
      <c r="S782" s="10">
        <f>GraphSalmonella!$B$57*Salmonella!I782+GraphSalmonella!$B$58</f>
        <v>0.51813599117844245</v>
      </c>
      <c r="T782" s="10">
        <f>GraphSalmonella!$E$57*Salmonella!I782+GraphSalmonella!$E$58</f>
        <v>3.2744886177804045</v>
      </c>
      <c r="U782" s="10">
        <f>GraphSalmonella!$H$57*Salmonella!I782+GraphSalmonella!$H$58</f>
        <v>0.58010622333732087</v>
      </c>
      <c r="X782" s="10">
        <f>GraphSalmonella!$B$80*Salmonella!I782+GraphSalmonella!$B$81</f>
        <v>0.58208601784486369</v>
      </c>
      <c r="Y782" s="10">
        <f>GraphSalmonella!$E$80*Salmonella!I782+GraphSalmonella!$E$81</f>
        <v>0.59495409397555665</v>
      </c>
      <c r="Z782" s="10">
        <f>GraphSalmonella!$H$80*Salmonella!I782+GraphSalmonella!$H$81</f>
        <v>0.29719653009134195</v>
      </c>
    </row>
    <row r="783" spans="1:26" x14ac:dyDescent="0.2">
      <c r="A783" s="1" t="s">
        <v>66</v>
      </c>
      <c r="B783" s="1" t="s">
        <v>88</v>
      </c>
      <c r="D783" t="s">
        <v>44</v>
      </c>
      <c r="E783" s="1" t="s">
        <v>584</v>
      </c>
      <c r="F783" s="19" t="s">
        <v>727</v>
      </c>
      <c r="G783" s="9">
        <v>0.99</v>
      </c>
      <c r="H783" s="4">
        <v>6.9</v>
      </c>
      <c r="I783" s="4">
        <v>57.2</v>
      </c>
      <c r="J783" s="11">
        <v>1</v>
      </c>
      <c r="L783" s="12">
        <f t="shared" si="16"/>
        <v>0</v>
      </c>
      <c r="M783" s="11">
        <f>GraphSalmonella!$B$10-(Salmonella!I783-GraphSalmonella!$B$6)/GraphSalmonella!$B$5</f>
        <v>0.57931100083447151</v>
      </c>
      <c r="N783" s="1" t="s">
        <v>586</v>
      </c>
      <c r="O783">
        <v>1970</v>
      </c>
      <c r="S783" s="10">
        <f>GraphSalmonella!$B$57*Salmonella!I783+GraphSalmonella!$B$58</f>
        <v>0.51813599117844245</v>
      </c>
      <c r="T783" s="10">
        <f>GraphSalmonella!$E$57*Salmonella!I783+GraphSalmonella!$E$58</f>
        <v>3.2744886177804045</v>
      </c>
      <c r="U783" s="10">
        <f>GraphSalmonella!$H$57*Salmonella!I783+GraphSalmonella!$H$58</f>
        <v>0.58010622333732087</v>
      </c>
      <c r="X783" s="10">
        <f>GraphSalmonella!$B$80*Salmonella!I783+GraphSalmonella!$B$81</f>
        <v>0.58208601784486369</v>
      </c>
      <c r="Y783" s="10">
        <f>GraphSalmonella!$E$80*Salmonella!I783+GraphSalmonella!$E$81</f>
        <v>0.59495409397555665</v>
      </c>
      <c r="Z783" s="10">
        <f>GraphSalmonella!$H$80*Salmonella!I783+GraphSalmonella!$H$81</f>
        <v>0.29719653009134195</v>
      </c>
    </row>
    <row r="784" spans="1:26" x14ac:dyDescent="0.2">
      <c r="A784" s="1" t="s">
        <v>66</v>
      </c>
      <c r="B784" s="1" t="s">
        <v>88</v>
      </c>
      <c r="D784" t="s">
        <v>44</v>
      </c>
      <c r="E784" s="1" t="s">
        <v>584</v>
      </c>
      <c r="F784" s="19" t="s">
        <v>727</v>
      </c>
      <c r="G784" s="9">
        <v>0.99</v>
      </c>
      <c r="H784" s="4">
        <v>6.9</v>
      </c>
      <c r="I784" s="4">
        <v>57.2</v>
      </c>
      <c r="J784" s="11">
        <v>1.2</v>
      </c>
      <c r="L784" s="12">
        <f t="shared" si="16"/>
        <v>7.9181246047624818E-2</v>
      </c>
      <c r="M784" s="11">
        <f>GraphSalmonella!$B$10-(Salmonella!I784-GraphSalmonella!$B$6)/GraphSalmonella!$B$5</f>
        <v>0.57931100083447151</v>
      </c>
      <c r="N784" s="1" t="s">
        <v>586</v>
      </c>
      <c r="O784">
        <v>1970</v>
      </c>
      <c r="S784" s="10">
        <f>GraphSalmonella!$B$57*Salmonella!I784+GraphSalmonella!$B$58</f>
        <v>0.51813599117844245</v>
      </c>
      <c r="T784" s="10">
        <f>GraphSalmonella!$E$57*Salmonella!I784+GraphSalmonella!$E$58</f>
        <v>3.2744886177804045</v>
      </c>
      <c r="U784" s="10">
        <f>GraphSalmonella!$H$57*Salmonella!I784+GraphSalmonella!$H$58</f>
        <v>0.58010622333732087</v>
      </c>
      <c r="X784" s="10">
        <f>GraphSalmonella!$B$80*Salmonella!I784+GraphSalmonella!$B$81</f>
        <v>0.58208601784486369</v>
      </c>
      <c r="Y784" s="10">
        <f>GraphSalmonella!$E$80*Salmonella!I784+GraphSalmonella!$E$81</f>
        <v>0.59495409397555665</v>
      </c>
      <c r="Z784" s="10">
        <f>GraphSalmonella!$H$80*Salmonella!I784+GraphSalmonella!$H$81</f>
        <v>0.29719653009134195</v>
      </c>
    </row>
    <row r="785" spans="1:26" x14ac:dyDescent="0.2">
      <c r="A785" s="1" t="s">
        <v>66</v>
      </c>
      <c r="B785" s="1" t="s">
        <v>67</v>
      </c>
      <c r="C785" t="s">
        <v>312</v>
      </c>
      <c r="D785" t="s">
        <v>44</v>
      </c>
      <c r="E785" s="1" t="s">
        <v>584</v>
      </c>
      <c r="F785" s="19" t="s">
        <v>727</v>
      </c>
      <c r="G785" s="9">
        <v>0.99</v>
      </c>
      <c r="H785" s="4">
        <v>6.9</v>
      </c>
      <c r="I785" s="4">
        <v>57.2</v>
      </c>
      <c r="J785" s="11">
        <v>12.5</v>
      </c>
      <c r="L785" s="12">
        <f t="shared" si="16"/>
        <v>1.0969100130080565</v>
      </c>
      <c r="M785" s="11">
        <f>GraphSalmonella!$B$10-(Salmonella!I785-GraphSalmonella!$B$6)/GraphSalmonella!$B$5</f>
        <v>0.57931100083447151</v>
      </c>
      <c r="N785" s="1" t="s">
        <v>586</v>
      </c>
      <c r="O785">
        <v>1970</v>
      </c>
      <c r="S785" s="10">
        <f>GraphSalmonella!$B$57*Salmonella!I785+GraphSalmonella!$B$58</f>
        <v>0.51813599117844245</v>
      </c>
      <c r="T785" s="10">
        <f>GraphSalmonella!$E$57*Salmonella!I785+GraphSalmonella!$E$58</f>
        <v>3.2744886177804045</v>
      </c>
      <c r="U785" s="10">
        <f>GraphSalmonella!$H$57*Salmonella!I785+GraphSalmonella!$H$58</f>
        <v>0.58010622333732087</v>
      </c>
      <c r="X785" s="10">
        <f>GraphSalmonella!$B$80*Salmonella!I785+GraphSalmonella!$B$81</f>
        <v>0.58208601784486369</v>
      </c>
      <c r="Y785" s="10">
        <f>GraphSalmonella!$E$80*Salmonella!I785+GraphSalmonella!$E$81</f>
        <v>0.59495409397555665</v>
      </c>
      <c r="Z785" s="10">
        <f>GraphSalmonella!$H$80*Salmonella!I785+GraphSalmonella!$H$81</f>
        <v>0.29719653009134195</v>
      </c>
    </row>
    <row r="786" spans="1:26" x14ac:dyDescent="0.2">
      <c r="A786" s="1" t="s">
        <v>66</v>
      </c>
      <c r="B786" s="1" t="s">
        <v>67</v>
      </c>
      <c r="C786" t="s">
        <v>312</v>
      </c>
      <c r="D786" t="s">
        <v>44</v>
      </c>
      <c r="E786" s="1" t="s">
        <v>584</v>
      </c>
      <c r="F786" s="19" t="s">
        <v>727</v>
      </c>
      <c r="G786" s="9">
        <v>0.99</v>
      </c>
      <c r="H786" s="4">
        <v>6.9</v>
      </c>
      <c r="I786" s="4">
        <v>57.2</v>
      </c>
      <c r="J786" s="11">
        <v>14.5</v>
      </c>
      <c r="L786" s="12">
        <f t="shared" si="16"/>
        <v>1.1613680022349748</v>
      </c>
      <c r="M786" s="11">
        <f>GraphSalmonella!$B$10-(Salmonella!I786-GraphSalmonella!$B$6)/GraphSalmonella!$B$5</f>
        <v>0.57931100083447151</v>
      </c>
      <c r="N786" s="1" t="s">
        <v>586</v>
      </c>
      <c r="O786">
        <v>1970</v>
      </c>
      <c r="S786" s="10">
        <f>GraphSalmonella!$B$57*Salmonella!I786+GraphSalmonella!$B$58</f>
        <v>0.51813599117844245</v>
      </c>
      <c r="T786" s="10">
        <f>GraphSalmonella!$E$57*Salmonella!I786+GraphSalmonella!$E$58</f>
        <v>3.2744886177804045</v>
      </c>
      <c r="U786" s="10">
        <f>GraphSalmonella!$H$57*Salmonella!I786+GraphSalmonella!$H$58</f>
        <v>0.58010622333732087</v>
      </c>
      <c r="X786" s="10">
        <f>GraphSalmonella!$B$80*Salmonella!I786+GraphSalmonella!$B$81</f>
        <v>0.58208601784486369</v>
      </c>
      <c r="Y786" s="10">
        <f>GraphSalmonella!$E$80*Salmonella!I786+GraphSalmonella!$E$81</f>
        <v>0.59495409397555665</v>
      </c>
      <c r="Z786" s="10">
        <f>GraphSalmonella!$H$80*Salmonella!I786+GraphSalmonella!$H$81</f>
        <v>0.29719653009134195</v>
      </c>
    </row>
    <row r="787" spans="1:26" x14ac:dyDescent="0.2">
      <c r="A787" s="1" t="s">
        <v>66</v>
      </c>
      <c r="B787" s="1" t="s">
        <v>85</v>
      </c>
      <c r="D787" t="s">
        <v>44</v>
      </c>
      <c r="E787" s="1" t="s">
        <v>584</v>
      </c>
      <c r="F787" s="19" t="s">
        <v>727</v>
      </c>
      <c r="G787" s="9">
        <v>0.99</v>
      </c>
      <c r="H787" s="4">
        <v>6.9</v>
      </c>
      <c r="I787" s="4">
        <v>57.2</v>
      </c>
      <c r="J787" s="11">
        <v>0.7</v>
      </c>
      <c r="L787" s="12">
        <f t="shared" si="16"/>
        <v>-0.15490195998574319</v>
      </c>
      <c r="M787" s="11">
        <f>GraphSalmonella!$B$10-(Salmonella!I787-GraphSalmonella!$B$6)/GraphSalmonella!$B$5</f>
        <v>0.57931100083447151</v>
      </c>
      <c r="N787" s="1" t="s">
        <v>586</v>
      </c>
      <c r="O787">
        <v>1970</v>
      </c>
      <c r="S787" s="10">
        <f>GraphSalmonella!$B$57*Salmonella!I787+GraphSalmonella!$B$58</f>
        <v>0.51813599117844245</v>
      </c>
      <c r="T787" s="10">
        <f>GraphSalmonella!$E$57*Salmonella!I787+GraphSalmonella!$E$58</f>
        <v>3.2744886177804045</v>
      </c>
      <c r="U787" s="10">
        <f>GraphSalmonella!$H$57*Salmonella!I787+GraphSalmonella!$H$58</f>
        <v>0.58010622333732087</v>
      </c>
      <c r="X787" s="10">
        <f>GraphSalmonella!$B$80*Salmonella!I787+GraphSalmonella!$B$81</f>
        <v>0.58208601784486369</v>
      </c>
      <c r="Y787" s="10">
        <f>GraphSalmonella!$E$80*Salmonella!I787+GraphSalmonella!$E$81</f>
        <v>0.59495409397555665</v>
      </c>
      <c r="Z787" s="10">
        <f>GraphSalmonella!$H$80*Salmonella!I787+GraphSalmonella!$H$81</f>
        <v>0.29719653009134195</v>
      </c>
    </row>
    <row r="788" spans="1:26" x14ac:dyDescent="0.2">
      <c r="A788" s="1" t="s">
        <v>66</v>
      </c>
      <c r="B788" s="1" t="s">
        <v>85</v>
      </c>
      <c r="D788" t="s">
        <v>44</v>
      </c>
      <c r="E788" s="1" t="s">
        <v>584</v>
      </c>
      <c r="F788" s="19" t="s">
        <v>727</v>
      </c>
      <c r="G788" s="9">
        <v>0.99</v>
      </c>
      <c r="H788" s="4">
        <v>6.9</v>
      </c>
      <c r="I788" s="4">
        <v>57.2</v>
      </c>
      <c r="J788" s="11">
        <v>1.3</v>
      </c>
      <c r="L788" s="12">
        <f t="shared" si="16"/>
        <v>0.11394335230683679</v>
      </c>
      <c r="M788" s="11">
        <f>GraphSalmonella!$B$10-(Salmonella!I788-GraphSalmonella!$B$6)/GraphSalmonella!$B$5</f>
        <v>0.57931100083447151</v>
      </c>
      <c r="N788" s="1" t="s">
        <v>586</v>
      </c>
      <c r="O788">
        <v>1970</v>
      </c>
      <c r="S788" s="10">
        <f>GraphSalmonella!$B$57*Salmonella!I788+GraphSalmonella!$B$58</f>
        <v>0.51813599117844245</v>
      </c>
      <c r="T788" s="10">
        <f>GraphSalmonella!$E$57*Salmonella!I788+GraphSalmonella!$E$58</f>
        <v>3.2744886177804045</v>
      </c>
      <c r="U788" s="10">
        <f>GraphSalmonella!$H$57*Salmonella!I788+GraphSalmonella!$H$58</f>
        <v>0.58010622333732087</v>
      </c>
      <c r="X788" s="10">
        <f>GraphSalmonella!$B$80*Salmonella!I788+GraphSalmonella!$B$81</f>
        <v>0.58208601784486369</v>
      </c>
      <c r="Y788" s="10">
        <f>GraphSalmonella!$E$80*Salmonella!I788+GraphSalmonella!$E$81</f>
        <v>0.59495409397555665</v>
      </c>
      <c r="Z788" s="10">
        <f>GraphSalmonella!$H$80*Salmonella!I788+GraphSalmonella!$H$81</f>
        <v>0.29719653009134195</v>
      </c>
    </row>
    <row r="789" spans="1:26" x14ac:dyDescent="0.2">
      <c r="A789" s="1" t="s">
        <v>66</v>
      </c>
      <c r="B789" s="1" t="s">
        <v>70</v>
      </c>
      <c r="D789" t="s">
        <v>44</v>
      </c>
      <c r="E789" s="1" t="s">
        <v>584</v>
      </c>
      <c r="F789" s="19" t="s">
        <v>727</v>
      </c>
      <c r="G789" s="9">
        <v>0.99</v>
      </c>
      <c r="H789" s="4">
        <v>6.9</v>
      </c>
      <c r="I789" s="4">
        <v>57.2</v>
      </c>
      <c r="J789" s="11">
        <v>1.1000000000000001</v>
      </c>
      <c r="L789" s="12">
        <f t="shared" si="16"/>
        <v>4.1392685158225077E-2</v>
      </c>
      <c r="M789" s="11">
        <f>GraphSalmonella!$B$10-(Salmonella!I789-GraphSalmonella!$B$6)/GraphSalmonella!$B$5</f>
        <v>0.57931100083447151</v>
      </c>
      <c r="N789" s="1" t="s">
        <v>586</v>
      </c>
      <c r="O789">
        <v>1970</v>
      </c>
      <c r="S789" s="10">
        <f>GraphSalmonella!$B$57*Salmonella!I789+GraphSalmonella!$B$58</f>
        <v>0.51813599117844245</v>
      </c>
      <c r="T789" s="10">
        <f>GraphSalmonella!$E$57*Salmonella!I789+GraphSalmonella!$E$58</f>
        <v>3.2744886177804045</v>
      </c>
      <c r="U789" s="10">
        <f>GraphSalmonella!$H$57*Salmonella!I789+GraphSalmonella!$H$58</f>
        <v>0.58010622333732087</v>
      </c>
      <c r="X789" s="10">
        <f>GraphSalmonella!$B$80*Salmonella!I789+GraphSalmonella!$B$81</f>
        <v>0.58208601784486369</v>
      </c>
      <c r="Y789" s="10">
        <f>GraphSalmonella!$E$80*Salmonella!I789+GraphSalmonella!$E$81</f>
        <v>0.59495409397555665</v>
      </c>
      <c r="Z789" s="10">
        <f>GraphSalmonella!$H$80*Salmonella!I789+GraphSalmonella!$H$81</f>
        <v>0.29719653009134195</v>
      </c>
    </row>
    <row r="790" spans="1:26" x14ac:dyDescent="0.2">
      <c r="A790" s="1" t="s">
        <v>66</v>
      </c>
      <c r="B790" s="1" t="s">
        <v>87</v>
      </c>
      <c r="D790" t="s">
        <v>44</v>
      </c>
      <c r="E790" s="1" t="s">
        <v>584</v>
      </c>
      <c r="F790" s="19" t="s">
        <v>728</v>
      </c>
      <c r="G790" s="9">
        <v>0.75</v>
      </c>
      <c r="H790" s="4">
        <v>6.9</v>
      </c>
      <c r="I790" s="4">
        <v>57.2</v>
      </c>
      <c r="J790" s="11">
        <v>10.5</v>
      </c>
      <c r="L790" s="12">
        <f t="shared" si="16"/>
        <v>1.0211892990699381</v>
      </c>
      <c r="M790" s="11">
        <f>GraphSalmonella!$B$10-(Salmonella!I790-GraphSalmonella!$B$6)/GraphSalmonella!$B$5</f>
        <v>0.57931100083447151</v>
      </c>
      <c r="N790" s="1" t="s">
        <v>586</v>
      </c>
      <c r="O790">
        <v>1970</v>
      </c>
      <c r="S790" s="10">
        <f>GraphSalmonella!$B$57*Salmonella!I790+GraphSalmonella!$B$58</f>
        <v>0.51813599117844245</v>
      </c>
      <c r="T790" s="10">
        <f>GraphSalmonella!$E$57*Salmonella!I790+GraphSalmonella!$E$58</f>
        <v>3.2744886177804045</v>
      </c>
      <c r="U790" s="10">
        <f>GraphSalmonella!$H$57*Salmonella!I790+GraphSalmonella!$H$58</f>
        <v>0.58010622333732087</v>
      </c>
      <c r="X790" s="10">
        <f>GraphSalmonella!$B$80*Salmonella!I790+GraphSalmonella!$B$81</f>
        <v>0.58208601784486369</v>
      </c>
      <c r="Y790" s="10">
        <f>GraphSalmonella!$E$80*Salmonella!I790+GraphSalmonella!$E$81</f>
        <v>0.59495409397555665</v>
      </c>
      <c r="Z790" s="10">
        <f>GraphSalmonella!$H$80*Salmonella!I790+GraphSalmonella!$H$81</f>
        <v>0.29719653009134195</v>
      </c>
    </row>
    <row r="791" spans="1:26" x14ac:dyDescent="0.2">
      <c r="A791" s="1" t="s">
        <v>66</v>
      </c>
      <c r="B791" s="1" t="s">
        <v>87</v>
      </c>
      <c r="D791" t="s">
        <v>44</v>
      </c>
      <c r="E791" s="1" t="s">
        <v>584</v>
      </c>
      <c r="F791" s="19" t="s">
        <v>728</v>
      </c>
      <c r="G791" s="9">
        <v>0.75</v>
      </c>
      <c r="H791" s="4">
        <v>6.9</v>
      </c>
      <c r="I791" s="4">
        <v>57.2</v>
      </c>
      <c r="J791" s="11">
        <v>14</v>
      </c>
      <c r="L791" s="12">
        <f t="shared" si="16"/>
        <v>1.146128035678238</v>
      </c>
      <c r="M791" s="11">
        <f>GraphSalmonella!$B$10-(Salmonella!I791-GraphSalmonella!$B$6)/GraphSalmonella!$B$5</f>
        <v>0.57931100083447151</v>
      </c>
      <c r="N791" s="1" t="s">
        <v>586</v>
      </c>
      <c r="O791">
        <v>1970</v>
      </c>
      <c r="S791" s="10">
        <f>GraphSalmonella!$B$57*Salmonella!I791+GraphSalmonella!$B$58</f>
        <v>0.51813599117844245</v>
      </c>
      <c r="T791" s="10">
        <f>GraphSalmonella!$E$57*Salmonella!I791+GraphSalmonella!$E$58</f>
        <v>3.2744886177804045</v>
      </c>
      <c r="U791" s="10">
        <f>GraphSalmonella!$H$57*Salmonella!I791+GraphSalmonella!$H$58</f>
        <v>0.58010622333732087</v>
      </c>
      <c r="X791" s="10">
        <f>GraphSalmonella!$B$80*Salmonella!I791+GraphSalmonella!$B$81</f>
        <v>0.58208601784486369</v>
      </c>
      <c r="Y791" s="10">
        <f>GraphSalmonella!$E$80*Salmonella!I791+GraphSalmonella!$E$81</f>
        <v>0.59495409397555665</v>
      </c>
      <c r="Z791" s="10">
        <f>GraphSalmonella!$H$80*Salmonella!I791+GraphSalmonella!$H$81</f>
        <v>0.29719653009134195</v>
      </c>
    </row>
    <row r="792" spans="1:26" x14ac:dyDescent="0.2">
      <c r="A792" s="1" t="s">
        <v>66</v>
      </c>
      <c r="B792" s="1" t="s">
        <v>80</v>
      </c>
      <c r="C792" t="s">
        <v>585</v>
      </c>
      <c r="D792" t="s">
        <v>44</v>
      </c>
      <c r="E792" s="1" t="s">
        <v>584</v>
      </c>
      <c r="F792" s="19" t="s">
        <v>728</v>
      </c>
      <c r="G792" s="9">
        <v>0.75</v>
      </c>
      <c r="H792" s="4">
        <v>6.9</v>
      </c>
      <c r="I792" s="4">
        <v>57.2</v>
      </c>
      <c r="J792" s="11">
        <v>5</v>
      </c>
      <c r="L792" s="12">
        <f t="shared" si="16"/>
        <v>0.69897000433601886</v>
      </c>
      <c r="M792" s="11">
        <f>GraphSalmonella!$B$10-(Salmonella!I792-GraphSalmonella!$B$6)/GraphSalmonella!$B$5</f>
        <v>0.57931100083447151</v>
      </c>
      <c r="N792" s="1" t="s">
        <v>586</v>
      </c>
      <c r="O792">
        <v>1970</v>
      </c>
      <c r="S792" s="10">
        <f>GraphSalmonella!$B$57*Salmonella!I792+GraphSalmonella!$B$58</f>
        <v>0.51813599117844245</v>
      </c>
      <c r="T792" s="10">
        <f>GraphSalmonella!$E$57*Salmonella!I792+GraphSalmonella!$E$58</f>
        <v>3.2744886177804045</v>
      </c>
      <c r="U792" s="10">
        <f>GraphSalmonella!$H$57*Salmonella!I792+GraphSalmonella!$H$58</f>
        <v>0.58010622333732087</v>
      </c>
      <c r="X792" s="10">
        <f>GraphSalmonella!$B$80*Salmonella!I792+GraphSalmonella!$B$81</f>
        <v>0.58208601784486369</v>
      </c>
      <c r="Y792" s="10">
        <f>GraphSalmonella!$E$80*Salmonella!I792+GraphSalmonella!$E$81</f>
        <v>0.59495409397555665</v>
      </c>
      <c r="Z792" s="10">
        <f>GraphSalmonella!$H$80*Salmonella!I792+GraphSalmonella!$H$81</f>
        <v>0.29719653009134195</v>
      </c>
    </row>
    <row r="793" spans="1:26" x14ac:dyDescent="0.2">
      <c r="A793" s="1" t="s">
        <v>66</v>
      </c>
      <c r="B793" s="1" t="s">
        <v>80</v>
      </c>
      <c r="C793" t="s">
        <v>585</v>
      </c>
      <c r="D793" t="s">
        <v>44</v>
      </c>
      <c r="E793" s="1" t="s">
        <v>584</v>
      </c>
      <c r="F793" s="19" t="s">
        <v>728</v>
      </c>
      <c r="G793" s="9">
        <v>0.75</v>
      </c>
      <c r="H793" s="4">
        <v>6.9</v>
      </c>
      <c r="I793" s="4">
        <v>57.2</v>
      </c>
      <c r="J793" s="11">
        <v>6.5</v>
      </c>
      <c r="L793" s="12">
        <f t="shared" si="16"/>
        <v>0.81291335664285558</v>
      </c>
      <c r="M793" s="11">
        <f>GraphSalmonella!$B$10-(Salmonella!I793-GraphSalmonella!$B$6)/GraphSalmonella!$B$5</f>
        <v>0.57931100083447151</v>
      </c>
      <c r="N793" s="1" t="s">
        <v>586</v>
      </c>
      <c r="O793">
        <v>1970</v>
      </c>
      <c r="S793" s="10">
        <f>GraphSalmonella!$B$57*Salmonella!I793+GraphSalmonella!$B$58</f>
        <v>0.51813599117844245</v>
      </c>
      <c r="T793" s="10">
        <f>GraphSalmonella!$E$57*Salmonella!I793+GraphSalmonella!$E$58</f>
        <v>3.2744886177804045</v>
      </c>
      <c r="U793" s="10">
        <f>GraphSalmonella!$H$57*Salmonella!I793+GraphSalmonella!$H$58</f>
        <v>0.58010622333732087</v>
      </c>
      <c r="X793" s="10">
        <f>GraphSalmonella!$B$80*Salmonella!I793+GraphSalmonella!$B$81</f>
        <v>0.58208601784486369</v>
      </c>
      <c r="Y793" s="10">
        <f>GraphSalmonella!$E$80*Salmonella!I793+GraphSalmonella!$E$81</f>
        <v>0.59495409397555665</v>
      </c>
      <c r="Z793" s="10">
        <f>GraphSalmonella!$H$80*Salmonella!I793+GraphSalmonella!$H$81</f>
        <v>0.29719653009134195</v>
      </c>
    </row>
    <row r="794" spans="1:26" x14ac:dyDescent="0.2">
      <c r="A794" s="1" t="s">
        <v>66</v>
      </c>
      <c r="B794" s="1" t="s">
        <v>80</v>
      </c>
      <c r="D794" t="s">
        <v>44</v>
      </c>
      <c r="E794" s="1" t="s">
        <v>584</v>
      </c>
      <c r="F794" s="19" t="s">
        <v>728</v>
      </c>
      <c r="G794" s="9">
        <v>0.75</v>
      </c>
      <c r="H794" s="4">
        <v>6.9</v>
      </c>
      <c r="I794" s="4">
        <v>57.2</v>
      </c>
      <c r="J794" s="11">
        <v>5</v>
      </c>
      <c r="L794" s="12">
        <f t="shared" si="16"/>
        <v>0.69897000433601886</v>
      </c>
      <c r="M794" s="11">
        <f>GraphSalmonella!$B$10-(Salmonella!I794-GraphSalmonella!$B$6)/GraphSalmonella!$B$5</f>
        <v>0.57931100083447151</v>
      </c>
      <c r="N794" s="1" t="s">
        <v>586</v>
      </c>
      <c r="O794">
        <v>1970</v>
      </c>
      <c r="S794" s="10">
        <f>GraphSalmonella!$B$57*Salmonella!I794+GraphSalmonella!$B$58</f>
        <v>0.51813599117844245</v>
      </c>
      <c r="T794" s="10">
        <f>GraphSalmonella!$E$57*Salmonella!I794+GraphSalmonella!$E$58</f>
        <v>3.2744886177804045</v>
      </c>
      <c r="U794" s="10">
        <f>GraphSalmonella!$H$57*Salmonella!I794+GraphSalmonella!$H$58</f>
        <v>0.58010622333732087</v>
      </c>
      <c r="X794" s="10">
        <f>GraphSalmonella!$B$80*Salmonella!I794+GraphSalmonella!$B$81</f>
        <v>0.58208601784486369</v>
      </c>
      <c r="Y794" s="10">
        <f>GraphSalmonella!$E$80*Salmonella!I794+GraphSalmonella!$E$81</f>
        <v>0.59495409397555665</v>
      </c>
      <c r="Z794" s="10">
        <f>GraphSalmonella!$H$80*Salmonella!I794+GraphSalmonella!$H$81</f>
        <v>0.29719653009134195</v>
      </c>
    </row>
    <row r="795" spans="1:26" x14ac:dyDescent="0.2">
      <c r="A795" s="1" t="s">
        <v>66</v>
      </c>
      <c r="B795" s="1" t="s">
        <v>80</v>
      </c>
      <c r="D795" t="s">
        <v>44</v>
      </c>
      <c r="E795" s="1" t="s">
        <v>584</v>
      </c>
      <c r="F795" s="19" t="s">
        <v>728</v>
      </c>
      <c r="G795" s="9">
        <v>0.75</v>
      </c>
      <c r="H795" s="4">
        <v>6.9</v>
      </c>
      <c r="I795" s="4">
        <v>57.2</v>
      </c>
      <c r="J795" s="11">
        <v>8.5</v>
      </c>
      <c r="L795" s="12">
        <f t="shared" si="16"/>
        <v>0.92941892571429274</v>
      </c>
      <c r="M795" s="11">
        <f>GraphSalmonella!$B$10-(Salmonella!I795-GraphSalmonella!$B$6)/GraphSalmonella!$B$5</f>
        <v>0.57931100083447151</v>
      </c>
      <c r="N795" s="1" t="s">
        <v>586</v>
      </c>
      <c r="O795">
        <v>1970</v>
      </c>
      <c r="S795" s="10">
        <f>GraphSalmonella!$B$57*Salmonella!I795+GraphSalmonella!$B$58</f>
        <v>0.51813599117844245</v>
      </c>
      <c r="T795" s="10">
        <f>GraphSalmonella!$E$57*Salmonella!I795+GraphSalmonella!$E$58</f>
        <v>3.2744886177804045</v>
      </c>
      <c r="U795" s="10">
        <f>GraphSalmonella!$H$57*Salmonella!I795+GraphSalmonella!$H$58</f>
        <v>0.58010622333732087</v>
      </c>
      <c r="X795" s="10">
        <f>GraphSalmonella!$B$80*Salmonella!I795+GraphSalmonella!$B$81</f>
        <v>0.58208601784486369</v>
      </c>
      <c r="Y795" s="10">
        <f>GraphSalmonella!$E$80*Salmonella!I795+GraphSalmonella!$E$81</f>
        <v>0.59495409397555665</v>
      </c>
      <c r="Z795" s="10">
        <f>GraphSalmonella!$H$80*Salmonella!I795+GraphSalmonella!$H$81</f>
        <v>0.29719653009134195</v>
      </c>
    </row>
    <row r="796" spans="1:26" x14ac:dyDescent="0.2">
      <c r="A796" s="1" t="s">
        <v>66</v>
      </c>
      <c r="B796" s="1" t="s">
        <v>88</v>
      </c>
      <c r="D796" t="s">
        <v>44</v>
      </c>
      <c r="E796" s="1" t="s">
        <v>584</v>
      </c>
      <c r="F796" s="19" t="s">
        <v>728</v>
      </c>
      <c r="G796" s="9">
        <v>0.75</v>
      </c>
      <c r="H796" s="4">
        <v>6.9</v>
      </c>
      <c r="I796" s="4">
        <v>57.2</v>
      </c>
      <c r="J796" s="11">
        <v>6</v>
      </c>
      <c r="L796" s="12">
        <f t="shared" si="16"/>
        <v>0.77815125038364363</v>
      </c>
      <c r="M796" s="11">
        <f>GraphSalmonella!$B$10-(Salmonella!I796-GraphSalmonella!$B$6)/GraphSalmonella!$B$5</f>
        <v>0.57931100083447151</v>
      </c>
      <c r="N796" s="1" t="s">
        <v>586</v>
      </c>
      <c r="O796">
        <v>1970</v>
      </c>
      <c r="S796" s="10">
        <f>GraphSalmonella!$B$57*Salmonella!I796+GraphSalmonella!$B$58</f>
        <v>0.51813599117844245</v>
      </c>
      <c r="T796" s="10">
        <f>GraphSalmonella!$E$57*Salmonella!I796+GraphSalmonella!$E$58</f>
        <v>3.2744886177804045</v>
      </c>
      <c r="U796" s="10">
        <f>GraphSalmonella!$H$57*Salmonella!I796+GraphSalmonella!$H$58</f>
        <v>0.58010622333732087</v>
      </c>
      <c r="X796" s="10">
        <f>GraphSalmonella!$B$80*Salmonella!I796+GraphSalmonella!$B$81</f>
        <v>0.58208601784486369</v>
      </c>
      <c r="Y796" s="10">
        <f>GraphSalmonella!$E$80*Salmonella!I796+GraphSalmonella!$E$81</f>
        <v>0.59495409397555665</v>
      </c>
      <c r="Z796" s="10">
        <f>GraphSalmonella!$H$80*Salmonella!I796+GraphSalmonella!$H$81</f>
        <v>0.29719653009134195</v>
      </c>
    </row>
    <row r="797" spans="1:26" x14ac:dyDescent="0.2">
      <c r="A797" s="1" t="s">
        <v>66</v>
      </c>
      <c r="B797" s="1" t="s">
        <v>88</v>
      </c>
      <c r="D797" t="s">
        <v>44</v>
      </c>
      <c r="E797" s="1" t="s">
        <v>584</v>
      </c>
      <c r="F797" s="19" t="s">
        <v>728</v>
      </c>
      <c r="G797" s="9">
        <v>0.75</v>
      </c>
      <c r="H797" s="4">
        <v>6.9</v>
      </c>
      <c r="I797" s="4">
        <v>57.2</v>
      </c>
      <c r="J797" s="11">
        <v>10</v>
      </c>
      <c r="L797" s="12">
        <f t="shared" si="16"/>
        <v>1</v>
      </c>
      <c r="M797" s="11">
        <f>GraphSalmonella!$B$10-(Salmonella!I797-GraphSalmonella!$B$6)/GraphSalmonella!$B$5</f>
        <v>0.57931100083447151</v>
      </c>
      <c r="N797" s="1" t="s">
        <v>586</v>
      </c>
      <c r="O797">
        <v>1970</v>
      </c>
      <c r="S797" s="10">
        <f>GraphSalmonella!$B$57*Salmonella!I797+GraphSalmonella!$B$58</f>
        <v>0.51813599117844245</v>
      </c>
      <c r="T797" s="10">
        <f>GraphSalmonella!$E$57*Salmonella!I797+GraphSalmonella!$E$58</f>
        <v>3.2744886177804045</v>
      </c>
      <c r="U797" s="10">
        <f>GraphSalmonella!$H$57*Salmonella!I797+GraphSalmonella!$H$58</f>
        <v>0.58010622333732087</v>
      </c>
      <c r="X797" s="10">
        <f>GraphSalmonella!$B$80*Salmonella!I797+GraphSalmonella!$B$81</f>
        <v>0.58208601784486369</v>
      </c>
      <c r="Y797" s="10">
        <f>GraphSalmonella!$E$80*Salmonella!I797+GraphSalmonella!$E$81</f>
        <v>0.59495409397555665</v>
      </c>
      <c r="Z797" s="10">
        <f>GraphSalmonella!$H$80*Salmonella!I797+GraphSalmonella!$H$81</f>
        <v>0.29719653009134195</v>
      </c>
    </row>
    <row r="798" spans="1:26" x14ac:dyDescent="0.2">
      <c r="A798" s="1" t="s">
        <v>66</v>
      </c>
      <c r="B798" s="1" t="s">
        <v>67</v>
      </c>
      <c r="C798" t="s">
        <v>312</v>
      </c>
      <c r="D798" t="s">
        <v>44</v>
      </c>
      <c r="E798" s="1" t="s">
        <v>584</v>
      </c>
      <c r="F798" s="19" t="s">
        <v>728</v>
      </c>
      <c r="G798" s="9">
        <v>0.75</v>
      </c>
      <c r="H798" s="4">
        <v>6.9</v>
      </c>
      <c r="I798" s="4">
        <v>57.2</v>
      </c>
      <c r="J798" s="11">
        <v>40</v>
      </c>
      <c r="L798" s="12">
        <f t="shared" ref="L798:L861" si="17">LOG(J798)</f>
        <v>1.6020599913279623</v>
      </c>
      <c r="M798" s="11">
        <f>GraphSalmonella!$B$10-(Salmonella!I798-GraphSalmonella!$B$6)/GraphSalmonella!$B$5</f>
        <v>0.57931100083447151</v>
      </c>
      <c r="N798" s="1" t="s">
        <v>586</v>
      </c>
      <c r="O798">
        <v>1970</v>
      </c>
      <c r="S798" s="10">
        <f>GraphSalmonella!$B$57*Salmonella!I798+GraphSalmonella!$B$58</f>
        <v>0.51813599117844245</v>
      </c>
      <c r="T798" s="10">
        <f>GraphSalmonella!$E$57*Salmonella!I798+GraphSalmonella!$E$58</f>
        <v>3.2744886177804045</v>
      </c>
      <c r="U798" s="10">
        <f>GraphSalmonella!$H$57*Salmonella!I798+GraphSalmonella!$H$58</f>
        <v>0.58010622333732087</v>
      </c>
      <c r="X798" s="10">
        <f>GraphSalmonella!$B$80*Salmonella!I798+GraphSalmonella!$B$81</f>
        <v>0.58208601784486369</v>
      </c>
      <c r="Y798" s="10">
        <f>GraphSalmonella!$E$80*Salmonella!I798+GraphSalmonella!$E$81</f>
        <v>0.59495409397555665</v>
      </c>
      <c r="Z798" s="10">
        <f>GraphSalmonella!$H$80*Salmonella!I798+GraphSalmonella!$H$81</f>
        <v>0.29719653009134195</v>
      </c>
    </row>
    <row r="799" spans="1:26" x14ac:dyDescent="0.2">
      <c r="A799" s="1" t="s">
        <v>66</v>
      </c>
      <c r="B799" s="1" t="s">
        <v>67</v>
      </c>
      <c r="C799" t="s">
        <v>312</v>
      </c>
      <c r="D799" t="s">
        <v>44</v>
      </c>
      <c r="E799" s="1" t="s">
        <v>584</v>
      </c>
      <c r="F799" s="19" t="s">
        <v>728</v>
      </c>
      <c r="G799" s="9">
        <v>0.75</v>
      </c>
      <c r="H799" s="4">
        <v>6.9</v>
      </c>
      <c r="I799" s="4">
        <v>57.2</v>
      </c>
      <c r="J799" s="11">
        <v>43</v>
      </c>
      <c r="L799" s="12">
        <f t="shared" si="17"/>
        <v>1.6334684555795864</v>
      </c>
      <c r="M799" s="11">
        <f>GraphSalmonella!$B$10-(Salmonella!I799-GraphSalmonella!$B$6)/GraphSalmonella!$B$5</f>
        <v>0.57931100083447151</v>
      </c>
      <c r="N799" s="1" t="s">
        <v>586</v>
      </c>
      <c r="O799">
        <v>1970</v>
      </c>
      <c r="S799" s="10">
        <f>GraphSalmonella!$B$57*Salmonella!I799+GraphSalmonella!$B$58</f>
        <v>0.51813599117844245</v>
      </c>
      <c r="T799" s="10">
        <f>GraphSalmonella!$E$57*Salmonella!I799+GraphSalmonella!$E$58</f>
        <v>3.2744886177804045</v>
      </c>
      <c r="U799" s="10">
        <f>GraphSalmonella!$H$57*Salmonella!I799+GraphSalmonella!$H$58</f>
        <v>0.58010622333732087</v>
      </c>
      <c r="X799" s="10">
        <f>GraphSalmonella!$B$80*Salmonella!I799+GraphSalmonella!$B$81</f>
        <v>0.58208601784486369</v>
      </c>
      <c r="Y799" s="10">
        <f>GraphSalmonella!$E$80*Salmonella!I799+GraphSalmonella!$E$81</f>
        <v>0.59495409397555665</v>
      </c>
      <c r="Z799" s="10">
        <f>GraphSalmonella!$H$80*Salmonella!I799+GraphSalmonella!$H$81</f>
        <v>0.29719653009134195</v>
      </c>
    </row>
    <row r="800" spans="1:26" x14ac:dyDescent="0.2">
      <c r="A800" s="1" t="s">
        <v>66</v>
      </c>
      <c r="B800" s="1" t="s">
        <v>85</v>
      </c>
      <c r="D800" t="s">
        <v>44</v>
      </c>
      <c r="E800" s="1" t="s">
        <v>584</v>
      </c>
      <c r="F800" s="19" t="s">
        <v>728</v>
      </c>
      <c r="G800" s="9">
        <v>0.75</v>
      </c>
      <c r="H800" s="4">
        <v>6.9</v>
      </c>
      <c r="I800" s="4">
        <v>57.2</v>
      </c>
      <c r="J800" s="11">
        <v>5</v>
      </c>
      <c r="L800" s="12">
        <f t="shared" si="17"/>
        <v>0.69897000433601886</v>
      </c>
      <c r="M800" s="11">
        <f>GraphSalmonella!$B$10-(Salmonella!I800-GraphSalmonella!$B$6)/GraphSalmonella!$B$5</f>
        <v>0.57931100083447151</v>
      </c>
      <c r="N800" s="1" t="s">
        <v>586</v>
      </c>
      <c r="O800">
        <v>1970</v>
      </c>
      <c r="S800" s="10">
        <f>GraphSalmonella!$B$57*Salmonella!I800+GraphSalmonella!$B$58</f>
        <v>0.51813599117844245</v>
      </c>
      <c r="T800" s="10">
        <f>GraphSalmonella!$E$57*Salmonella!I800+GraphSalmonella!$E$58</f>
        <v>3.2744886177804045</v>
      </c>
      <c r="U800" s="10">
        <f>GraphSalmonella!$H$57*Salmonella!I800+GraphSalmonella!$H$58</f>
        <v>0.58010622333732087</v>
      </c>
      <c r="X800" s="10">
        <f>GraphSalmonella!$B$80*Salmonella!I800+GraphSalmonella!$B$81</f>
        <v>0.58208601784486369</v>
      </c>
      <c r="Y800" s="10">
        <f>GraphSalmonella!$E$80*Salmonella!I800+GraphSalmonella!$E$81</f>
        <v>0.59495409397555665</v>
      </c>
      <c r="Z800" s="10">
        <f>GraphSalmonella!$H$80*Salmonella!I800+GraphSalmonella!$H$81</f>
        <v>0.29719653009134195</v>
      </c>
    </row>
    <row r="801" spans="1:26" x14ac:dyDescent="0.2">
      <c r="A801" s="1" t="s">
        <v>66</v>
      </c>
      <c r="B801" s="1" t="s">
        <v>85</v>
      </c>
      <c r="D801" t="s">
        <v>44</v>
      </c>
      <c r="E801" s="1" t="s">
        <v>584</v>
      </c>
      <c r="F801" s="19" t="s">
        <v>728</v>
      </c>
      <c r="G801" s="9">
        <v>0.75</v>
      </c>
      <c r="H801" s="4">
        <v>6.9</v>
      </c>
      <c r="I801" s="4">
        <v>57.2</v>
      </c>
      <c r="J801" s="11">
        <v>7</v>
      </c>
      <c r="L801" s="12">
        <f t="shared" si="17"/>
        <v>0.84509804001425681</v>
      </c>
      <c r="M801" s="11">
        <f>GraphSalmonella!$B$10-(Salmonella!I801-GraphSalmonella!$B$6)/GraphSalmonella!$B$5</f>
        <v>0.57931100083447151</v>
      </c>
      <c r="N801" s="1" t="s">
        <v>586</v>
      </c>
      <c r="O801">
        <v>1970</v>
      </c>
      <c r="S801" s="10">
        <f>GraphSalmonella!$B$57*Salmonella!I801+GraphSalmonella!$B$58</f>
        <v>0.51813599117844245</v>
      </c>
      <c r="T801" s="10">
        <f>GraphSalmonella!$E$57*Salmonella!I801+GraphSalmonella!$E$58</f>
        <v>3.2744886177804045</v>
      </c>
      <c r="U801" s="10">
        <f>GraphSalmonella!$H$57*Salmonella!I801+GraphSalmonella!$H$58</f>
        <v>0.58010622333732087</v>
      </c>
      <c r="X801" s="10">
        <f>GraphSalmonella!$B$80*Salmonella!I801+GraphSalmonella!$B$81</f>
        <v>0.58208601784486369</v>
      </c>
      <c r="Y801" s="10">
        <f>GraphSalmonella!$E$80*Salmonella!I801+GraphSalmonella!$E$81</f>
        <v>0.59495409397555665</v>
      </c>
      <c r="Z801" s="10">
        <f>GraphSalmonella!$H$80*Salmonella!I801+GraphSalmonella!$H$81</f>
        <v>0.29719653009134195</v>
      </c>
    </row>
    <row r="802" spans="1:26" x14ac:dyDescent="0.2">
      <c r="A802" s="1" t="s">
        <v>66</v>
      </c>
      <c r="B802" s="1" t="s">
        <v>70</v>
      </c>
      <c r="D802" t="s">
        <v>44</v>
      </c>
      <c r="E802" s="1" t="s">
        <v>584</v>
      </c>
      <c r="F802" s="19" t="s">
        <v>728</v>
      </c>
      <c r="G802" s="9">
        <v>0.75</v>
      </c>
      <c r="H802" s="4">
        <v>6.9</v>
      </c>
      <c r="I802" s="4">
        <v>57.2</v>
      </c>
      <c r="J802" s="11">
        <v>8.5</v>
      </c>
      <c r="L802" s="12">
        <f t="shared" si="17"/>
        <v>0.92941892571429274</v>
      </c>
      <c r="M802" s="11">
        <f>GraphSalmonella!$B$10-(Salmonella!I802-GraphSalmonella!$B$6)/GraphSalmonella!$B$5</f>
        <v>0.57931100083447151</v>
      </c>
      <c r="N802" s="1" t="s">
        <v>586</v>
      </c>
      <c r="O802">
        <v>1970</v>
      </c>
      <c r="S802" s="10">
        <f>GraphSalmonella!$B$57*Salmonella!I802+GraphSalmonella!$B$58</f>
        <v>0.51813599117844245</v>
      </c>
      <c r="T802" s="10">
        <f>GraphSalmonella!$E$57*Salmonella!I802+GraphSalmonella!$E$58</f>
        <v>3.2744886177804045</v>
      </c>
      <c r="U802" s="10">
        <f>GraphSalmonella!$H$57*Salmonella!I802+GraphSalmonella!$H$58</f>
        <v>0.58010622333732087</v>
      </c>
      <c r="X802" s="10">
        <f>GraphSalmonella!$B$80*Salmonella!I802+GraphSalmonella!$B$81</f>
        <v>0.58208601784486369</v>
      </c>
      <c r="Y802" s="10">
        <f>GraphSalmonella!$E$80*Salmonella!I802+GraphSalmonella!$E$81</f>
        <v>0.59495409397555665</v>
      </c>
      <c r="Z802" s="10">
        <f>GraphSalmonella!$H$80*Salmonella!I802+GraphSalmonella!$H$81</f>
        <v>0.29719653009134195</v>
      </c>
    </row>
    <row r="803" spans="1:26" x14ac:dyDescent="0.2">
      <c r="A803" s="1" t="s">
        <v>66</v>
      </c>
      <c r="B803" s="1" t="s">
        <v>70</v>
      </c>
      <c r="D803" t="s">
        <v>44</v>
      </c>
      <c r="E803" s="1" t="s">
        <v>584</v>
      </c>
      <c r="F803" s="19" t="s">
        <v>728</v>
      </c>
      <c r="G803" s="9">
        <v>0.75</v>
      </c>
      <c r="H803" s="4">
        <v>6.9</v>
      </c>
      <c r="I803" s="4">
        <v>57.2</v>
      </c>
      <c r="J803" s="11">
        <v>9.5</v>
      </c>
      <c r="L803" s="12">
        <f t="shared" si="17"/>
        <v>0.97772360528884772</v>
      </c>
      <c r="M803" s="11">
        <f>GraphSalmonella!$B$10-(Salmonella!I803-GraphSalmonella!$B$6)/GraphSalmonella!$B$5</f>
        <v>0.57931100083447151</v>
      </c>
      <c r="N803" s="1" t="s">
        <v>586</v>
      </c>
      <c r="O803">
        <v>1970</v>
      </c>
      <c r="S803" s="10">
        <f>GraphSalmonella!$B$57*Salmonella!I803+GraphSalmonella!$B$58</f>
        <v>0.51813599117844245</v>
      </c>
      <c r="T803" s="10">
        <f>GraphSalmonella!$E$57*Salmonella!I803+GraphSalmonella!$E$58</f>
        <v>3.2744886177804045</v>
      </c>
      <c r="U803" s="10">
        <f>GraphSalmonella!$H$57*Salmonella!I803+GraphSalmonella!$H$58</f>
        <v>0.58010622333732087</v>
      </c>
      <c r="X803" s="10">
        <f>GraphSalmonella!$B$80*Salmonella!I803+GraphSalmonella!$B$81</f>
        <v>0.58208601784486369</v>
      </c>
      <c r="Y803" s="10">
        <f>GraphSalmonella!$E$80*Salmonella!I803+GraphSalmonella!$E$81</f>
        <v>0.59495409397555665</v>
      </c>
      <c r="Z803" s="10">
        <f>GraphSalmonella!$H$80*Salmonella!I803+GraphSalmonella!$H$81</f>
        <v>0.29719653009134195</v>
      </c>
    </row>
    <row r="804" spans="1:26" x14ac:dyDescent="0.2">
      <c r="A804" s="1" t="s">
        <v>66</v>
      </c>
      <c r="B804" s="1" t="s">
        <v>88</v>
      </c>
      <c r="D804" t="s">
        <v>44</v>
      </c>
      <c r="E804" s="1" t="s">
        <v>584</v>
      </c>
      <c r="F804" s="19" t="s">
        <v>730</v>
      </c>
      <c r="G804" s="9">
        <v>0.96</v>
      </c>
      <c r="H804" s="4">
        <v>6.9</v>
      </c>
      <c r="I804" s="4">
        <v>57.2</v>
      </c>
      <c r="J804" s="11">
        <v>5.5</v>
      </c>
      <c r="L804" s="12">
        <f t="shared" si="17"/>
        <v>0.74036268949424389</v>
      </c>
      <c r="M804" s="11">
        <f>GraphSalmonella!$B$10-(Salmonella!I804-GraphSalmonella!$B$6)/GraphSalmonella!$B$5</f>
        <v>0.57931100083447151</v>
      </c>
      <c r="N804" s="1" t="s">
        <v>586</v>
      </c>
      <c r="O804">
        <v>1970</v>
      </c>
      <c r="S804" s="10">
        <f>GraphSalmonella!$B$57*Salmonella!I804+GraphSalmonella!$B$58</f>
        <v>0.51813599117844245</v>
      </c>
      <c r="T804" s="10">
        <f>GraphSalmonella!$E$57*Salmonella!I804+GraphSalmonella!$E$58</f>
        <v>3.2744886177804045</v>
      </c>
      <c r="U804" s="10">
        <f>GraphSalmonella!$H$57*Salmonella!I804+GraphSalmonella!$H$58</f>
        <v>0.58010622333732087</v>
      </c>
      <c r="X804" s="10">
        <f>GraphSalmonella!$B$80*Salmonella!I804+GraphSalmonella!$B$81</f>
        <v>0.58208601784486369</v>
      </c>
      <c r="Y804" s="10">
        <f>GraphSalmonella!$E$80*Salmonella!I804+GraphSalmonella!$E$81</f>
        <v>0.59495409397555665</v>
      </c>
      <c r="Z804" s="10">
        <f>GraphSalmonella!$H$80*Salmonella!I804+GraphSalmonella!$H$81</f>
        <v>0.29719653009134195</v>
      </c>
    </row>
    <row r="805" spans="1:26" x14ac:dyDescent="0.2">
      <c r="A805" s="1" t="s">
        <v>66</v>
      </c>
      <c r="B805" s="1" t="s">
        <v>88</v>
      </c>
      <c r="D805" t="s">
        <v>44</v>
      </c>
      <c r="E805" s="1" t="s">
        <v>584</v>
      </c>
      <c r="F805" s="19" t="s">
        <v>53</v>
      </c>
      <c r="G805" s="9">
        <v>0.96</v>
      </c>
      <c r="H805" s="4">
        <v>6.9</v>
      </c>
      <c r="I805" s="4">
        <v>57.2</v>
      </c>
      <c r="J805" s="11">
        <v>16.5</v>
      </c>
      <c r="L805" s="12">
        <f t="shared" si="17"/>
        <v>1.2174839442139063</v>
      </c>
      <c r="M805" s="11">
        <f>GraphSalmonella!$B$10-(Salmonella!I805-GraphSalmonella!$B$6)/GraphSalmonella!$B$5</f>
        <v>0.57931100083447151</v>
      </c>
      <c r="N805" s="1" t="s">
        <v>586</v>
      </c>
      <c r="O805">
        <v>1970</v>
      </c>
      <c r="S805" s="10">
        <f>GraphSalmonella!$B$57*Salmonella!I805+GraphSalmonella!$B$58</f>
        <v>0.51813599117844245</v>
      </c>
      <c r="T805" s="10">
        <f>GraphSalmonella!$E$57*Salmonella!I805+GraphSalmonella!$E$58</f>
        <v>3.2744886177804045</v>
      </c>
      <c r="U805" s="10">
        <f>GraphSalmonella!$H$57*Salmonella!I805+GraphSalmonella!$H$58</f>
        <v>0.58010622333732087</v>
      </c>
      <c r="X805" s="10">
        <f>GraphSalmonella!$B$80*Salmonella!I805+GraphSalmonella!$B$81</f>
        <v>0.58208601784486369</v>
      </c>
      <c r="Y805" s="10">
        <f>GraphSalmonella!$E$80*Salmonella!I805+GraphSalmonella!$E$81</f>
        <v>0.59495409397555665</v>
      </c>
      <c r="Z805" s="10">
        <f>GraphSalmonella!$H$80*Salmonella!I805+GraphSalmonella!$H$81</f>
        <v>0.29719653009134195</v>
      </c>
    </row>
    <row r="806" spans="1:26" x14ac:dyDescent="0.2">
      <c r="A806" s="1" t="s">
        <v>66</v>
      </c>
      <c r="B806" s="1" t="s">
        <v>87</v>
      </c>
      <c r="D806" t="s">
        <v>44</v>
      </c>
      <c r="E806" s="1" t="s">
        <v>584</v>
      </c>
      <c r="F806" s="19" t="s">
        <v>718</v>
      </c>
      <c r="G806" s="9">
        <v>0.99</v>
      </c>
      <c r="H806" s="4">
        <v>6.9</v>
      </c>
      <c r="I806" s="4">
        <v>57.2</v>
      </c>
      <c r="J806" s="11">
        <v>1</v>
      </c>
      <c r="L806" s="12">
        <f t="shared" si="17"/>
        <v>0</v>
      </c>
      <c r="M806" s="11">
        <f>GraphSalmonella!$B$10-(Salmonella!I806-GraphSalmonella!$B$6)/GraphSalmonella!$B$5</f>
        <v>0.57931100083447151</v>
      </c>
      <c r="N806" s="1" t="s">
        <v>586</v>
      </c>
      <c r="O806">
        <v>1970</v>
      </c>
      <c r="S806" s="10">
        <f>GraphSalmonella!$B$57*Salmonella!I806+GraphSalmonella!$B$58</f>
        <v>0.51813599117844245</v>
      </c>
      <c r="T806" s="10">
        <f>GraphSalmonella!$E$57*Salmonella!I806+GraphSalmonella!$E$58</f>
        <v>3.2744886177804045</v>
      </c>
      <c r="U806" s="10">
        <f>GraphSalmonella!$H$57*Salmonella!I806+GraphSalmonella!$H$58</f>
        <v>0.58010622333732087</v>
      </c>
      <c r="X806" s="10">
        <f>GraphSalmonella!$B$80*Salmonella!I806+GraphSalmonella!$B$81</f>
        <v>0.58208601784486369</v>
      </c>
      <c r="Y806" s="10">
        <f>GraphSalmonella!$E$80*Salmonella!I806+GraphSalmonella!$E$81</f>
        <v>0.59495409397555665</v>
      </c>
      <c r="Z806" s="10">
        <f>GraphSalmonella!$H$80*Salmonella!I806+GraphSalmonella!$H$81</f>
        <v>0.29719653009134195</v>
      </c>
    </row>
    <row r="807" spans="1:26" x14ac:dyDescent="0.2">
      <c r="A807" s="1" t="s">
        <v>66</v>
      </c>
      <c r="B807" s="1" t="s">
        <v>87</v>
      </c>
      <c r="D807" t="s">
        <v>44</v>
      </c>
      <c r="E807" s="1" t="s">
        <v>584</v>
      </c>
      <c r="F807" s="19" t="s">
        <v>718</v>
      </c>
      <c r="G807" s="9">
        <v>0.99</v>
      </c>
      <c r="H807" s="4">
        <v>6.9</v>
      </c>
      <c r="I807" s="4">
        <v>57.2</v>
      </c>
      <c r="J807" s="11">
        <v>1.3</v>
      </c>
      <c r="L807" s="12">
        <f t="shared" si="17"/>
        <v>0.11394335230683679</v>
      </c>
      <c r="M807" s="11">
        <f>GraphSalmonella!$B$10-(Salmonella!I807-GraphSalmonella!$B$6)/GraphSalmonella!$B$5</f>
        <v>0.57931100083447151</v>
      </c>
      <c r="N807" s="1" t="s">
        <v>586</v>
      </c>
      <c r="O807">
        <v>1970</v>
      </c>
      <c r="S807" s="10">
        <f>GraphSalmonella!$B$57*Salmonella!I807+GraphSalmonella!$B$58</f>
        <v>0.51813599117844245</v>
      </c>
      <c r="T807" s="10">
        <f>GraphSalmonella!$E$57*Salmonella!I807+GraphSalmonella!$E$58</f>
        <v>3.2744886177804045</v>
      </c>
      <c r="U807" s="10">
        <f>GraphSalmonella!$H$57*Salmonella!I807+GraphSalmonella!$H$58</f>
        <v>0.58010622333732087</v>
      </c>
      <c r="X807" s="10">
        <f>GraphSalmonella!$B$80*Salmonella!I807+GraphSalmonella!$B$81</f>
        <v>0.58208601784486369</v>
      </c>
      <c r="Y807" s="10">
        <f>GraphSalmonella!$E$80*Salmonella!I807+GraphSalmonella!$E$81</f>
        <v>0.59495409397555665</v>
      </c>
      <c r="Z807" s="10">
        <f>GraphSalmonella!$H$80*Salmonella!I807+GraphSalmonella!$H$81</f>
        <v>0.29719653009134195</v>
      </c>
    </row>
    <row r="808" spans="1:26" x14ac:dyDescent="0.2">
      <c r="A808" s="1" t="s">
        <v>66</v>
      </c>
      <c r="B808" s="1" t="s">
        <v>80</v>
      </c>
      <c r="C808" t="s">
        <v>585</v>
      </c>
      <c r="D808" t="s">
        <v>44</v>
      </c>
      <c r="E808" s="1" t="s">
        <v>584</v>
      </c>
      <c r="F808" s="19" t="s">
        <v>718</v>
      </c>
      <c r="G808" s="9">
        <v>0.99</v>
      </c>
      <c r="H808" s="4">
        <v>6.9</v>
      </c>
      <c r="I808" s="4">
        <v>57.2</v>
      </c>
      <c r="J808" s="11">
        <v>1</v>
      </c>
      <c r="L808" s="12">
        <f t="shared" si="17"/>
        <v>0</v>
      </c>
      <c r="M808" s="11">
        <f>GraphSalmonella!$B$10-(Salmonella!I808-GraphSalmonella!$B$6)/GraphSalmonella!$B$5</f>
        <v>0.57931100083447151</v>
      </c>
      <c r="N808" s="1" t="s">
        <v>586</v>
      </c>
      <c r="O808">
        <v>1970</v>
      </c>
      <c r="S808" s="10">
        <f>GraphSalmonella!$B$57*Salmonella!I808+GraphSalmonella!$B$58</f>
        <v>0.51813599117844245</v>
      </c>
      <c r="T808" s="10">
        <f>GraphSalmonella!$E$57*Salmonella!I808+GraphSalmonella!$E$58</f>
        <v>3.2744886177804045</v>
      </c>
      <c r="U808" s="10">
        <f>GraphSalmonella!$H$57*Salmonella!I808+GraphSalmonella!$H$58</f>
        <v>0.58010622333732087</v>
      </c>
      <c r="X808" s="10">
        <f>GraphSalmonella!$B$80*Salmonella!I808+GraphSalmonella!$B$81</f>
        <v>0.58208601784486369</v>
      </c>
      <c r="Y808" s="10">
        <f>GraphSalmonella!$E$80*Salmonella!I808+GraphSalmonella!$E$81</f>
        <v>0.59495409397555665</v>
      </c>
      <c r="Z808" s="10">
        <f>GraphSalmonella!$H$80*Salmonella!I808+GraphSalmonella!$H$81</f>
        <v>0.29719653009134195</v>
      </c>
    </row>
    <row r="809" spans="1:26" x14ac:dyDescent="0.2">
      <c r="A809" s="1" t="s">
        <v>66</v>
      </c>
      <c r="B809" s="1" t="s">
        <v>80</v>
      </c>
      <c r="C809" t="s">
        <v>585</v>
      </c>
      <c r="D809" t="s">
        <v>44</v>
      </c>
      <c r="E809" s="1" t="s">
        <v>584</v>
      </c>
      <c r="F809" s="19" t="s">
        <v>718</v>
      </c>
      <c r="G809" s="9">
        <v>0.99</v>
      </c>
      <c r="H809" s="4">
        <v>6.9</v>
      </c>
      <c r="I809" s="4">
        <v>57.2</v>
      </c>
      <c r="J809" s="11">
        <v>1.2</v>
      </c>
      <c r="L809" s="12">
        <f t="shared" si="17"/>
        <v>7.9181246047624818E-2</v>
      </c>
      <c r="M809" s="11">
        <f>GraphSalmonella!$B$10-(Salmonella!I809-GraphSalmonella!$B$6)/GraphSalmonella!$B$5</f>
        <v>0.57931100083447151</v>
      </c>
      <c r="N809" s="1" t="s">
        <v>586</v>
      </c>
      <c r="O809">
        <v>1970</v>
      </c>
      <c r="S809" s="10">
        <f>GraphSalmonella!$B$57*Salmonella!I809+GraphSalmonella!$B$58</f>
        <v>0.51813599117844245</v>
      </c>
      <c r="T809" s="10">
        <f>GraphSalmonella!$E$57*Salmonella!I809+GraphSalmonella!$E$58</f>
        <v>3.2744886177804045</v>
      </c>
      <c r="U809" s="10">
        <f>GraphSalmonella!$H$57*Salmonella!I809+GraphSalmonella!$H$58</f>
        <v>0.58010622333732087</v>
      </c>
      <c r="X809" s="10">
        <f>GraphSalmonella!$B$80*Salmonella!I809+GraphSalmonella!$B$81</f>
        <v>0.58208601784486369</v>
      </c>
      <c r="Y809" s="10">
        <f>GraphSalmonella!$E$80*Salmonella!I809+GraphSalmonella!$E$81</f>
        <v>0.59495409397555665</v>
      </c>
      <c r="Z809" s="10">
        <f>GraphSalmonella!$H$80*Salmonella!I809+GraphSalmonella!$H$81</f>
        <v>0.29719653009134195</v>
      </c>
    </row>
    <row r="810" spans="1:26" x14ac:dyDescent="0.2">
      <c r="A810" s="1" t="s">
        <v>66</v>
      </c>
      <c r="B810" s="1" t="s">
        <v>80</v>
      </c>
      <c r="D810" t="s">
        <v>44</v>
      </c>
      <c r="E810" s="1" t="s">
        <v>584</v>
      </c>
      <c r="F810" s="19" t="s">
        <v>718</v>
      </c>
      <c r="G810" s="9">
        <v>0.99</v>
      </c>
      <c r="H810" s="4">
        <v>6.9</v>
      </c>
      <c r="I810" s="4">
        <v>57.2</v>
      </c>
      <c r="J810" s="11">
        <v>0.8</v>
      </c>
      <c r="L810" s="12">
        <f t="shared" si="17"/>
        <v>-9.6910013008056392E-2</v>
      </c>
      <c r="M810" s="11">
        <f>GraphSalmonella!$B$10-(Salmonella!I810-GraphSalmonella!$B$6)/GraphSalmonella!$B$5</f>
        <v>0.57931100083447151</v>
      </c>
      <c r="N810" s="1" t="s">
        <v>586</v>
      </c>
      <c r="O810">
        <v>1970</v>
      </c>
      <c r="S810" s="10">
        <f>GraphSalmonella!$B$57*Salmonella!I810+GraphSalmonella!$B$58</f>
        <v>0.51813599117844245</v>
      </c>
      <c r="T810" s="10">
        <f>GraphSalmonella!$E$57*Salmonella!I810+GraphSalmonella!$E$58</f>
        <v>3.2744886177804045</v>
      </c>
      <c r="U810" s="10">
        <f>GraphSalmonella!$H$57*Salmonella!I810+GraphSalmonella!$H$58</f>
        <v>0.58010622333732087</v>
      </c>
      <c r="X810" s="10">
        <f>GraphSalmonella!$B$80*Salmonella!I810+GraphSalmonella!$B$81</f>
        <v>0.58208601784486369</v>
      </c>
      <c r="Y810" s="10">
        <f>GraphSalmonella!$E$80*Salmonella!I810+GraphSalmonella!$E$81</f>
        <v>0.59495409397555665</v>
      </c>
      <c r="Z810" s="10">
        <f>GraphSalmonella!$H$80*Salmonella!I810+GraphSalmonella!$H$81</f>
        <v>0.29719653009134195</v>
      </c>
    </row>
    <row r="811" spans="1:26" x14ac:dyDescent="0.2">
      <c r="A811" s="1" t="s">
        <v>66</v>
      </c>
      <c r="B811" s="1" t="s">
        <v>80</v>
      </c>
      <c r="D811" t="s">
        <v>44</v>
      </c>
      <c r="E811" s="1" t="s">
        <v>584</v>
      </c>
      <c r="F811" s="19" t="s">
        <v>718</v>
      </c>
      <c r="G811" s="9">
        <v>0.99</v>
      </c>
      <c r="H811" s="4">
        <v>6.9</v>
      </c>
      <c r="I811" s="4">
        <v>57.2</v>
      </c>
      <c r="J811" s="11">
        <v>1.3</v>
      </c>
      <c r="L811" s="12">
        <f t="shared" si="17"/>
        <v>0.11394335230683679</v>
      </c>
      <c r="M811" s="11">
        <f>GraphSalmonella!$B$10-(Salmonella!I811-GraphSalmonella!$B$6)/GraphSalmonella!$B$5</f>
        <v>0.57931100083447151</v>
      </c>
      <c r="N811" s="1" t="s">
        <v>586</v>
      </c>
      <c r="O811">
        <v>1970</v>
      </c>
      <c r="S811" s="10">
        <f>GraphSalmonella!$B$57*Salmonella!I811+GraphSalmonella!$B$58</f>
        <v>0.51813599117844245</v>
      </c>
      <c r="T811" s="10">
        <f>GraphSalmonella!$E$57*Salmonella!I811+GraphSalmonella!$E$58</f>
        <v>3.2744886177804045</v>
      </c>
      <c r="U811" s="10">
        <f>GraphSalmonella!$H$57*Salmonella!I811+GraphSalmonella!$H$58</f>
        <v>0.58010622333732087</v>
      </c>
      <c r="X811" s="10">
        <f>GraphSalmonella!$B$80*Salmonella!I811+GraphSalmonella!$B$81</f>
        <v>0.58208601784486369</v>
      </c>
      <c r="Y811" s="10">
        <f>GraphSalmonella!$E$80*Salmonella!I811+GraphSalmonella!$E$81</f>
        <v>0.59495409397555665</v>
      </c>
      <c r="Z811" s="10">
        <f>GraphSalmonella!$H$80*Salmonella!I811+GraphSalmonella!$H$81</f>
        <v>0.29719653009134195</v>
      </c>
    </row>
    <row r="812" spans="1:26" x14ac:dyDescent="0.2">
      <c r="A812" s="1" t="s">
        <v>66</v>
      </c>
      <c r="B812" s="1" t="s">
        <v>90</v>
      </c>
      <c r="D812" t="s">
        <v>44</v>
      </c>
      <c r="E812" s="1" t="s">
        <v>584</v>
      </c>
      <c r="F812" s="19" t="s">
        <v>718</v>
      </c>
      <c r="G812" s="9">
        <v>0.99</v>
      </c>
      <c r="H812" s="4">
        <v>6.9</v>
      </c>
      <c r="I812" s="4">
        <v>57.2</v>
      </c>
      <c r="J812" s="11">
        <v>0.8</v>
      </c>
      <c r="L812" s="12">
        <f t="shared" si="17"/>
        <v>-9.6910013008056392E-2</v>
      </c>
      <c r="M812" s="11">
        <f>GraphSalmonella!$B$10-(Salmonella!I812-GraphSalmonella!$B$6)/GraphSalmonella!$B$5</f>
        <v>0.57931100083447151</v>
      </c>
      <c r="N812" s="1" t="s">
        <v>586</v>
      </c>
      <c r="O812">
        <v>1970</v>
      </c>
      <c r="S812" s="10">
        <f>GraphSalmonella!$B$57*Salmonella!I812+GraphSalmonella!$B$58</f>
        <v>0.51813599117844245</v>
      </c>
      <c r="T812" s="10">
        <f>GraphSalmonella!$E$57*Salmonella!I812+GraphSalmonella!$E$58</f>
        <v>3.2744886177804045</v>
      </c>
      <c r="U812" s="10">
        <f>GraphSalmonella!$H$57*Salmonella!I812+GraphSalmonella!$H$58</f>
        <v>0.58010622333732087</v>
      </c>
      <c r="X812" s="10">
        <f>GraphSalmonella!$B$80*Salmonella!I812+GraphSalmonella!$B$81</f>
        <v>0.58208601784486369</v>
      </c>
      <c r="Y812" s="10">
        <f>GraphSalmonella!$E$80*Salmonella!I812+GraphSalmonella!$E$81</f>
        <v>0.59495409397555665</v>
      </c>
      <c r="Z812" s="10">
        <f>GraphSalmonella!$H$80*Salmonella!I812+GraphSalmonella!$H$81</f>
        <v>0.29719653009134195</v>
      </c>
    </row>
    <row r="813" spans="1:26" x14ac:dyDescent="0.2">
      <c r="A813" s="1" t="s">
        <v>66</v>
      </c>
      <c r="B813" s="1" t="s">
        <v>90</v>
      </c>
      <c r="D813" t="s">
        <v>44</v>
      </c>
      <c r="E813" s="1" t="s">
        <v>584</v>
      </c>
      <c r="F813" s="19" t="s">
        <v>718</v>
      </c>
      <c r="G813" s="9">
        <v>0.99</v>
      </c>
      <c r="H813" s="4">
        <v>6.9</v>
      </c>
      <c r="I813" s="4">
        <v>57.2</v>
      </c>
      <c r="J813" s="11">
        <v>1</v>
      </c>
      <c r="L813" s="12">
        <f t="shared" si="17"/>
        <v>0</v>
      </c>
      <c r="M813" s="11">
        <f>GraphSalmonella!$B$10-(Salmonella!I813-GraphSalmonella!$B$6)/GraphSalmonella!$B$5</f>
        <v>0.57931100083447151</v>
      </c>
      <c r="N813" s="1" t="s">
        <v>586</v>
      </c>
      <c r="O813">
        <v>1970</v>
      </c>
      <c r="S813" s="10">
        <f>GraphSalmonella!$B$57*Salmonella!I813+GraphSalmonella!$B$58</f>
        <v>0.51813599117844245</v>
      </c>
      <c r="T813" s="10">
        <f>GraphSalmonella!$E$57*Salmonella!I813+GraphSalmonella!$E$58</f>
        <v>3.2744886177804045</v>
      </c>
      <c r="U813" s="10">
        <f>GraphSalmonella!$H$57*Salmonella!I813+GraphSalmonella!$H$58</f>
        <v>0.58010622333732087</v>
      </c>
      <c r="X813" s="10">
        <f>GraphSalmonella!$B$80*Salmonella!I813+GraphSalmonella!$B$81</f>
        <v>0.58208601784486369</v>
      </c>
      <c r="Y813" s="10">
        <f>GraphSalmonella!$E$80*Salmonella!I813+GraphSalmonella!$E$81</f>
        <v>0.59495409397555665</v>
      </c>
      <c r="Z813" s="10">
        <f>GraphSalmonella!$H$80*Salmonella!I813+GraphSalmonella!$H$81</f>
        <v>0.29719653009134195</v>
      </c>
    </row>
    <row r="814" spans="1:26" x14ac:dyDescent="0.2">
      <c r="A814" s="1" t="s">
        <v>66</v>
      </c>
      <c r="B814" s="1" t="s">
        <v>88</v>
      </c>
      <c r="D814" t="s">
        <v>44</v>
      </c>
      <c r="E814" s="1" t="s">
        <v>584</v>
      </c>
      <c r="F814" s="19" t="s">
        <v>718</v>
      </c>
      <c r="G814" s="9">
        <v>0.99</v>
      </c>
      <c r="H814" s="4">
        <v>6.9</v>
      </c>
      <c r="I814" s="4">
        <v>57.2</v>
      </c>
      <c r="J814" s="11">
        <v>0.7</v>
      </c>
      <c r="L814" s="12">
        <f t="shared" si="17"/>
        <v>-0.15490195998574319</v>
      </c>
      <c r="M814" s="11">
        <f>GraphSalmonella!$B$10-(Salmonella!I814-GraphSalmonella!$B$6)/GraphSalmonella!$B$5</f>
        <v>0.57931100083447151</v>
      </c>
      <c r="N814" s="1" t="s">
        <v>586</v>
      </c>
      <c r="O814">
        <v>1970</v>
      </c>
      <c r="S814" s="10">
        <f>GraphSalmonella!$B$57*Salmonella!I814+GraphSalmonella!$B$58</f>
        <v>0.51813599117844245</v>
      </c>
      <c r="T814" s="10">
        <f>GraphSalmonella!$E$57*Salmonella!I814+GraphSalmonella!$E$58</f>
        <v>3.2744886177804045</v>
      </c>
      <c r="U814" s="10">
        <f>GraphSalmonella!$H$57*Salmonella!I814+GraphSalmonella!$H$58</f>
        <v>0.58010622333732087</v>
      </c>
      <c r="X814" s="10">
        <f>GraphSalmonella!$B$80*Salmonella!I814+GraphSalmonella!$B$81</f>
        <v>0.58208601784486369</v>
      </c>
      <c r="Y814" s="10">
        <f>GraphSalmonella!$E$80*Salmonella!I814+GraphSalmonella!$E$81</f>
        <v>0.59495409397555665</v>
      </c>
      <c r="Z814" s="10">
        <f>GraphSalmonella!$H$80*Salmonella!I814+GraphSalmonella!$H$81</f>
        <v>0.29719653009134195</v>
      </c>
    </row>
    <row r="815" spans="1:26" x14ac:dyDescent="0.2">
      <c r="A815" s="1" t="s">
        <v>66</v>
      </c>
      <c r="B815" s="1" t="s">
        <v>88</v>
      </c>
      <c r="D815" t="s">
        <v>44</v>
      </c>
      <c r="E815" s="1" t="s">
        <v>584</v>
      </c>
      <c r="F815" s="19" t="s">
        <v>718</v>
      </c>
      <c r="G815" s="9">
        <v>0.99</v>
      </c>
      <c r="H815" s="4">
        <v>6.9</v>
      </c>
      <c r="I815" s="4">
        <v>57.2</v>
      </c>
      <c r="J815" s="11">
        <v>1.4</v>
      </c>
      <c r="L815" s="12">
        <f t="shared" si="17"/>
        <v>0.14612803567823801</v>
      </c>
      <c r="M815" s="11">
        <f>GraphSalmonella!$B$10-(Salmonella!I815-GraphSalmonella!$B$6)/GraphSalmonella!$B$5</f>
        <v>0.57931100083447151</v>
      </c>
      <c r="N815" s="1" t="s">
        <v>586</v>
      </c>
      <c r="O815">
        <v>1970</v>
      </c>
      <c r="S815" s="10">
        <f>GraphSalmonella!$B$57*Salmonella!I815+GraphSalmonella!$B$58</f>
        <v>0.51813599117844245</v>
      </c>
      <c r="T815" s="10">
        <f>GraphSalmonella!$E$57*Salmonella!I815+GraphSalmonella!$E$58</f>
        <v>3.2744886177804045</v>
      </c>
      <c r="U815" s="10">
        <f>GraphSalmonella!$H$57*Salmonella!I815+GraphSalmonella!$H$58</f>
        <v>0.58010622333732087</v>
      </c>
      <c r="X815" s="10">
        <f>GraphSalmonella!$B$80*Salmonella!I815+GraphSalmonella!$B$81</f>
        <v>0.58208601784486369</v>
      </c>
      <c r="Y815" s="10">
        <f>GraphSalmonella!$E$80*Salmonella!I815+GraphSalmonella!$E$81</f>
        <v>0.59495409397555665</v>
      </c>
      <c r="Z815" s="10">
        <f>GraphSalmonella!$H$80*Salmonella!I815+GraphSalmonella!$H$81</f>
        <v>0.29719653009134195</v>
      </c>
    </row>
    <row r="816" spans="1:26" x14ac:dyDescent="0.2">
      <c r="A816" s="1" t="s">
        <v>66</v>
      </c>
      <c r="B816" s="1" t="s">
        <v>67</v>
      </c>
      <c r="C816" t="s">
        <v>312</v>
      </c>
      <c r="D816" t="s">
        <v>44</v>
      </c>
      <c r="E816" s="1" t="s">
        <v>584</v>
      </c>
      <c r="F816" s="19" t="s">
        <v>718</v>
      </c>
      <c r="G816" s="9">
        <v>0.99</v>
      </c>
      <c r="H816" s="4">
        <v>6.9</v>
      </c>
      <c r="I816" s="4">
        <v>57.2</v>
      </c>
      <c r="J816" s="11">
        <v>13.5</v>
      </c>
      <c r="L816" s="12">
        <f t="shared" si="17"/>
        <v>1.1303337684950061</v>
      </c>
      <c r="M816" s="11">
        <f>GraphSalmonella!$B$10-(Salmonella!I816-GraphSalmonella!$B$6)/GraphSalmonella!$B$5</f>
        <v>0.57931100083447151</v>
      </c>
      <c r="N816" s="1" t="s">
        <v>586</v>
      </c>
      <c r="O816">
        <v>1970</v>
      </c>
      <c r="S816" s="10">
        <f>GraphSalmonella!$B$57*Salmonella!I816+GraphSalmonella!$B$58</f>
        <v>0.51813599117844245</v>
      </c>
      <c r="T816" s="10">
        <f>GraphSalmonella!$E$57*Salmonella!I816+GraphSalmonella!$E$58</f>
        <v>3.2744886177804045</v>
      </c>
      <c r="U816" s="10">
        <f>GraphSalmonella!$H$57*Salmonella!I816+GraphSalmonella!$H$58</f>
        <v>0.58010622333732087</v>
      </c>
      <c r="X816" s="10">
        <f>GraphSalmonella!$B$80*Salmonella!I816+GraphSalmonella!$B$81</f>
        <v>0.58208601784486369</v>
      </c>
      <c r="Y816" s="10">
        <f>GraphSalmonella!$E$80*Salmonella!I816+GraphSalmonella!$E$81</f>
        <v>0.59495409397555665</v>
      </c>
      <c r="Z816" s="10">
        <f>GraphSalmonella!$H$80*Salmonella!I816+GraphSalmonella!$H$81</f>
        <v>0.29719653009134195</v>
      </c>
    </row>
    <row r="817" spans="1:26" x14ac:dyDescent="0.2">
      <c r="A817" s="1" t="s">
        <v>66</v>
      </c>
      <c r="B817" s="1" t="s">
        <v>67</v>
      </c>
      <c r="C817" t="s">
        <v>312</v>
      </c>
      <c r="D817" t="s">
        <v>44</v>
      </c>
      <c r="E817" s="1" t="s">
        <v>584</v>
      </c>
      <c r="F817" s="19" t="s">
        <v>718</v>
      </c>
      <c r="G817" s="9">
        <v>0.99</v>
      </c>
      <c r="H817" s="4">
        <v>6.9</v>
      </c>
      <c r="I817" s="4">
        <v>57.2</v>
      </c>
      <c r="J817" s="11">
        <v>16</v>
      </c>
      <c r="L817" s="12">
        <f t="shared" si="17"/>
        <v>1.2041199826559248</v>
      </c>
      <c r="M817" s="11">
        <f>GraphSalmonella!$B$10-(Salmonella!I817-GraphSalmonella!$B$6)/GraphSalmonella!$B$5</f>
        <v>0.57931100083447151</v>
      </c>
      <c r="N817" s="1" t="s">
        <v>586</v>
      </c>
      <c r="O817">
        <v>1970</v>
      </c>
      <c r="S817" s="10">
        <f>GraphSalmonella!$B$57*Salmonella!I817+GraphSalmonella!$B$58</f>
        <v>0.51813599117844245</v>
      </c>
      <c r="T817" s="10">
        <f>GraphSalmonella!$E$57*Salmonella!I817+GraphSalmonella!$E$58</f>
        <v>3.2744886177804045</v>
      </c>
      <c r="U817" s="10">
        <f>GraphSalmonella!$H$57*Salmonella!I817+GraphSalmonella!$H$58</f>
        <v>0.58010622333732087</v>
      </c>
      <c r="X817" s="10">
        <f>GraphSalmonella!$B$80*Salmonella!I817+GraphSalmonella!$B$81</f>
        <v>0.58208601784486369</v>
      </c>
      <c r="Y817" s="10">
        <f>GraphSalmonella!$E$80*Salmonella!I817+GraphSalmonella!$E$81</f>
        <v>0.59495409397555665</v>
      </c>
      <c r="Z817" s="10">
        <f>GraphSalmonella!$H$80*Salmonella!I817+GraphSalmonella!$H$81</f>
        <v>0.29719653009134195</v>
      </c>
    </row>
    <row r="818" spans="1:26" x14ac:dyDescent="0.2">
      <c r="A818" s="1" t="s">
        <v>66</v>
      </c>
      <c r="B818" s="1" t="s">
        <v>85</v>
      </c>
      <c r="D818" t="s">
        <v>44</v>
      </c>
      <c r="E818" s="1" t="s">
        <v>584</v>
      </c>
      <c r="F818" s="19" t="s">
        <v>718</v>
      </c>
      <c r="G818" s="9">
        <v>0.99</v>
      </c>
      <c r="H818" s="4">
        <v>6.9</v>
      </c>
      <c r="I818" s="4">
        <v>57.2</v>
      </c>
      <c r="J818" s="11">
        <v>0.6</v>
      </c>
      <c r="L818" s="12">
        <f t="shared" si="17"/>
        <v>-0.22184874961635639</v>
      </c>
      <c r="M818" s="11">
        <f>GraphSalmonella!$B$10-(Salmonella!I818-GraphSalmonella!$B$6)/GraphSalmonella!$B$5</f>
        <v>0.57931100083447151</v>
      </c>
      <c r="N818" s="1" t="s">
        <v>586</v>
      </c>
      <c r="O818">
        <v>1970</v>
      </c>
      <c r="S818" s="10">
        <f>GraphSalmonella!$B$57*Salmonella!I818+GraphSalmonella!$B$58</f>
        <v>0.51813599117844245</v>
      </c>
      <c r="T818" s="10">
        <f>GraphSalmonella!$E$57*Salmonella!I818+GraphSalmonella!$E$58</f>
        <v>3.2744886177804045</v>
      </c>
      <c r="U818" s="10">
        <f>GraphSalmonella!$H$57*Salmonella!I818+GraphSalmonella!$H$58</f>
        <v>0.58010622333732087</v>
      </c>
      <c r="X818" s="10">
        <f>GraphSalmonella!$B$80*Salmonella!I818+GraphSalmonella!$B$81</f>
        <v>0.58208601784486369</v>
      </c>
      <c r="Y818" s="10">
        <f>GraphSalmonella!$E$80*Salmonella!I818+GraphSalmonella!$E$81</f>
        <v>0.59495409397555665</v>
      </c>
      <c r="Z818" s="10">
        <f>GraphSalmonella!$H$80*Salmonella!I818+GraphSalmonella!$H$81</f>
        <v>0.29719653009134195</v>
      </c>
    </row>
    <row r="819" spans="1:26" x14ac:dyDescent="0.2">
      <c r="A819" s="1" t="s">
        <v>66</v>
      </c>
      <c r="B819" s="1" t="s">
        <v>85</v>
      </c>
      <c r="D819" t="s">
        <v>44</v>
      </c>
      <c r="E819" s="1" t="s">
        <v>584</v>
      </c>
      <c r="F819" s="19" t="s">
        <v>718</v>
      </c>
      <c r="G819" s="9">
        <v>0.99</v>
      </c>
      <c r="H819" s="4">
        <v>6.9</v>
      </c>
      <c r="I819" s="4">
        <v>57.2</v>
      </c>
      <c r="J819" s="11">
        <v>0.9</v>
      </c>
      <c r="L819" s="12">
        <f t="shared" si="17"/>
        <v>-4.5757490560675115E-2</v>
      </c>
      <c r="M819" s="11">
        <f>GraphSalmonella!$B$10-(Salmonella!I819-GraphSalmonella!$B$6)/GraphSalmonella!$B$5</f>
        <v>0.57931100083447151</v>
      </c>
      <c r="N819" s="1" t="s">
        <v>586</v>
      </c>
      <c r="O819">
        <v>1970</v>
      </c>
      <c r="S819" s="10">
        <f>GraphSalmonella!$B$57*Salmonella!I819+GraphSalmonella!$B$58</f>
        <v>0.51813599117844245</v>
      </c>
      <c r="T819" s="10">
        <f>GraphSalmonella!$E$57*Salmonella!I819+GraphSalmonella!$E$58</f>
        <v>3.2744886177804045</v>
      </c>
      <c r="U819" s="10">
        <f>GraphSalmonella!$H$57*Salmonella!I819+GraphSalmonella!$H$58</f>
        <v>0.58010622333732087</v>
      </c>
      <c r="X819" s="10">
        <f>GraphSalmonella!$B$80*Salmonella!I819+GraphSalmonella!$B$81</f>
        <v>0.58208601784486369</v>
      </c>
      <c r="Y819" s="10">
        <f>GraphSalmonella!$E$80*Salmonella!I819+GraphSalmonella!$E$81</f>
        <v>0.59495409397555665</v>
      </c>
      <c r="Z819" s="10">
        <f>GraphSalmonella!$H$80*Salmonella!I819+GraphSalmonella!$H$81</f>
        <v>0.29719653009134195</v>
      </c>
    </row>
    <row r="820" spans="1:26" x14ac:dyDescent="0.2">
      <c r="A820" s="1" t="s">
        <v>66</v>
      </c>
      <c r="B820" s="1" t="s">
        <v>70</v>
      </c>
      <c r="D820" t="s">
        <v>44</v>
      </c>
      <c r="E820" s="1" t="s">
        <v>584</v>
      </c>
      <c r="F820" s="19" t="s">
        <v>718</v>
      </c>
      <c r="G820" s="9">
        <v>0.99</v>
      </c>
      <c r="H820" s="4">
        <v>6.9</v>
      </c>
      <c r="I820" s="4">
        <v>57.2</v>
      </c>
      <c r="J820" s="11">
        <v>0.7</v>
      </c>
      <c r="L820" s="12">
        <f t="shared" si="17"/>
        <v>-0.15490195998574319</v>
      </c>
      <c r="M820" s="11">
        <f>GraphSalmonella!$B$10-(Salmonella!I820-GraphSalmonella!$B$6)/GraphSalmonella!$B$5</f>
        <v>0.57931100083447151</v>
      </c>
      <c r="N820" s="1" t="s">
        <v>586</v>
      </c>
      <c r="O820">
        <v>1970</v>
      </c>
      <c r="S820" s="10">
        <f>GraphSalmonella!$B$57*Salmonella!I820+GraphSalmonella!$B$58</f>
        <v>0.51813599117844245</v>
      </c>
      <c r="T820" s="10">
        <f>GraphSalmonella!$E$57*Salmonella!I820+GraphSalmonella!$E$58</f>
        <v>3.2744886177804045</v>
      </c>
      <c r="U820" s="10">
        <f>GraphSalmonella!$H$57*Salmonella!I820+GraphSalmonella!$H$58</f>
        <v>0.58010622333732087</v>
      </c>
      <c r="X820" s="10">
        <f>GraphSalmonella!$B$80*Salmonella!I820+GraphSalmonella!$B$81</f>
        <v>0.58208601784486369</v>
      </c>
      <c r="Y820" s="10">
        <f>GraphSalmonella!$E$80*Salmonella!I820+GraphSalmonella!$E$81</f>
        <v>0.59495409397555665</v>
      </c>
      <c r="Z820" s="10">
        <f>GraphSalmonella!$H$80*Salmonella!I820+GraphSalmonella!$H$81</f>
        <v>0.29719653009134195</v>
      </c>
    </row>
    <row r="821" spans="1:26" x14ac:dyDescent="0.2">
      <c r="A821" s="1" t="s">
        <v>66</v>
      </c>
      <c r="B821" s="1" t="s">
        <v>70</v>
      </c>
      <c r="D821" t="s">
        <v>44</v>
      </c>
      <c r="E821" s="1" t="s">
        <v>584</v>
      </c>
      <c r="F821" s="19" t="s">
        <v>718</v>
      </c>
      <c r="G821" s="9">
        <v>0.99</v>
      </c>
      <c r="H821" s="4">
        <v>6.9</v>
      </c>
      <c r="I821" s="4">
        <v>57.2</v>
      </c>
      <c r="J821" s="11">
        <v>1.5</v>
      </c>
      <c r="L821" s="12">
        <f t="shared" si="17"/>
        <v>0.17609125905568124</v>
      </c>
      <c r="M821" s="11">
        <f>GraphSalmonella!$B$10-(Salmonella!I821-GraphSalmonella!$B$6)/GraphSalmonella!$B$5</f>
        <v>0.57931100083447151</v>
      </c>
      <c r="N821" s="1" t="s">
        <v>586</v>
      </c>
      <c r="O821">
        <v>1970</v>
      </c>
      <c r="S821" s="10">
        <f>GraphSalmonella!$B$57*Salmonella!I821+GraphSalmonella!$B$58</f>
        <v>0.51813599117844245</v>
      </c>
      <c r="T821" s="10">
        <f>GraphSalmonella!$E$57*Salmonella!I821+GraphSalmonella!$E$58</f>
        <v>3.2744886177804045</v>
      </c>
      <c r="U821" s="10">
        <f>GraphSalmonella!$H$57*Salmonella!I821+GraphSalmonella!$H$58</f>
        <v>0.58010622333732087</v>
      </c>
      <c r="X821" s="10">
        <f>GraphSalmonella!$B$80*Salmonella!I821+GraphSalmonella!$B$81</f>
        <v>0.58208601784486369</v>
      </c>
      <c r="Y821" s="10">
        <f>GraphSalmonella!$E$80*Salmonella!I821+GraphSalmonella!$E$81</f>
        <v>0.59495409397555665</v>
      </c>
      <c r="Z821" s="10">
        <f>GraphSalmonella!$H$80*Salmonella!I821+GraphSalmonella!$H$81</f>
        <v>0.29719653009134195</v>
      </c>
    </row>
    <row r="822" spans="1:26" x14ac:dyDescent="0.2">
      <c r="A822" s="1" t="s">
        <v>66</v>
      </c>
      <c r="B822" s="1" t="s">
        <v>87</v>
      </c>
      <c r="D822" t="s">
        <v>44</v>
      </c>
      <c r="E822" s="1" t="s">
        <v>584</v>
      </c>
      <c r="F822" s="19" t="s">
        <v>719</v>
      </c>
      <c r="G822" s="9">
        <v>0.96</v>
      </c>
      <c r="H822" s="4">
        <v>6.9</v>
      </c>
      <c r="I822" s="4">
        <v>57.2</v>
      </c>
      <c r="J822" s="11">
        <v>20</v>
      </c>
      <c r="L822" s="12">
        <f t="shared" si="17"/>
        <v>1.3010299956639813</v>
      </c>
      <c r="M822" s="11">
        <f>GraphSalmonella!$B$10-(Salmonella!I822-GraphSalmonella!$B$6)/GraphSalmonella!$B$5</f>
        <v>0.57931100083447151</v>
      </c>
      <c r="N822" s="1" t="s">
        <v>586</v>
      </c>
      <c r="O822">
        <v>1970</v>
      </c>
      <c r="S822" s="10">
        <f>GraphSalmonella!$B$57*Salmonella!I822+GraphSalmonella!$B$58</f>
        <v>0.51813599117844245</v>
      </c>
      <c r="T822" s="10">
        <f>GraphSalmonella!$E$57*Salmonella!I822+GraphSalmonella!$E$58</f>
        <v>3.2744886177804045</v>
      </c>
      <c r="U822" s="10">
        <f>GraphSalmonella!$H$57*Salmonella!I822+GraphSalmonella!$H$58</f>
        <v>0.58010622333732087</v>
      </c>
      <c r="X822" s="10">
        <f>GraphSalmonella!$B$80*Salmonella!I822+GraphSalmonella!$B$81</f>
        <v>0.58208601784486369</v>
      </c>
      <c r="Y822" s="10">
        <f>GraphSalmonella!$E$80*Salmonella!I822+GraphSalmonella!$E$81</f>
        <v>0.59495409397555665</v>
      </c>
      <c r="Z822" s="10">
        <f>GraphSalmonella!$H$80*Salmonella!I822+GraphSalmonella!$H$81</f>
        <v>0.29719653009134195</v>
      </c>
    </row>
    <row r="823" spans="1:26" x14ac:dyDescent="0.2">
      <c r="A823" s="1" t="s">
        <v>66</v>
      </c>
      <c r="B823" s="1" t="s">
        <v>87</v>
      </c>
      <c r="D823" t="s">
        <v>44</v>
      </c>
      <c r="E823" s="1" t="s">
        <v>584</v>
      </c>
      <c r="F823" s="19" t="s">
        <v>719</v>
      </c>
      <c r="G823" s="9">
        <v>0.96</v>
      </c>
      <c r="H823" s="4">
        <v>6.9</v>
      </c>
      <c r="I823" s="4">
        <v>57.2</v>
      </c>
      <c r="J823" s="11">
        <v>33</v>
      </c>
      <c r="L823" s="12">
        <f t="shared" si="17"/>
        <v>1.5185139398778875</v>
      </c>
      <c r="M823" s="11">
        <f>GraphSalmonella!$B$10-(Salmonella!I823-GraphSalmonella!$B$6)/GraphSalmonella!$B$5</f>
        <v>0.57931100083447151</v>
      </c>
      <c r="N823" s="1" t="s">
        <v>586</v>
      </c>
      <c r="O823">
        <v>1970</v>
      </c>
      <c r="S823" s="10">
        <f>GraphSalmonella!$B$57*Salmonella!I823+GraphSalmonella!$B$58</f>
        <v>0.51813599117844245</v>
      </c>
      <c r="T823" s="10">
        <f>GraphSalmonella!$E$57*Salmonella!I823+GraphSalmonella!$E$58</f>
        <v>3.2744886177804045</v>
      </c>
      <c r="U823" s="10">
        <f>GraphSalmonella!$H$57*Salmonella!I823+GraphSalmonella!$H$58</f>
        <v>0.58010622333732087</v>
      </c>
      <c r="X823" s="10">
        <f>GraphSalmonella!$B$80*Salmonella!I823+GraphSalmonella!$B$81</f>
        <v>0.58208601784486369</v>
      </c>
      <c r="Y823" s="10">
        <f>GraphSalmonella!$E$80*Salmonella!I823+GraphSalmonella!$E$81</f>
        <v>0.59495409397555665</v>
      </c>
      <c r="Z823" s="10">
        <f>GraphSalmonella!$H$80*Salmonella!I823+GraphSalmonella!$H$81</f>
        <v>0.29719653009134195</v>
      </c>
    </row>
    <row r="824" spans="1:26" x14ac:dyDescent="0.2">
      <c r="A824" s="1" t="s">
        <v>66</v>
      </c>
      <c r="B824" s="1" t="s">
        <v>80</v>
      </c>
      <c r="D824" t="s">
        <v>44</v>
      </c>
      <c r="E824" s="1" t="s">
        <v>584</v>
      </c>
      <c r="F824" s="19" t="s">
        <v>719</v>
      </c>
      <c r="G824" s="9">
        <v>0.96</v>
      </c>
      <c r="H824" s="4">
        <v>6.9</v>
      </c>
      <c r="I824" s="4">
        <v>57.2</v>
      </c>
      <c r="J824" s="11">
        <v>33</v>
      </c>
      <c r="L824" s="12">
        <f t="shared" si="17"/>
        <v>1.5185139398778875</v>
      </c>
      <c r="M824" s="11">
        <f>GraphSalmonella!$B$10-(Salmonella!I824-GraphSalmonella!$B$6)/GraphSalmonella!$B$5</f>
        <v>0.57931100083447151</v>
      </c>
      <c r="N824" s="1" t="s">
        <v>586</v>
      </c>
      <c r="O824">
        <v>1970</v>
      </c>
      <c r="S824" s="10">
        <f>GraphSalmonella!$B$57*Salmonella!I824+GraphSalmonella!$B$58</f>
        <v>0.51813599117844245</v>
      </c>
      <c r="T824" s="10">
        <f>GraphSalmonella!$E$57*Salmonella!I824+GraphSalmonella!$E$58</f>
        <v>3.2744886177804045</v>
      </c>
      <c r="U824" s="10">
        <f>GraphSalmonella!$H$57*Salmonella!I824+GraphSalmonella!$H$58</f>
        <v>0.58010622333732087</v>
      </c>
      <c r="X824" s="10">
        <f>GraphSalmonella!$B$80*Salmonella!I824+GraphSalmonella!$B$81</f>
        <v>0.58208601784486369</v>
      </c>
      <c r="Y824" s="10">
        <f>GraphSalmonella!$E$80*Salmonella!I824+GraphSalmonella!$E$81</f>
        <v>0.59495409397555665</v>
      </c>
      <c r="Z824" s="10">
        <f>GraphSalmonella!$H$80*Salmonella!I824+GraphSalmonella!$H$81</f>
        <v>0.29719653009134195</v>
      </c>
    </row>
    <row r="825" spans="1:26" x14ac:dyDescent="0.2">
      <c r="A825" s="1" t="s">
        <v>66</v>
      </c>
      <c r="B825" s="1" t="s">
        <v>80</v>
      </c>
      <c r="D825" t="s">
        <v>44</v>
      </c>
      <c r="E825" s="1" t="s">
        <v>584</v>
      </c>
      <c r="F825" s="19" t="s">
        <v>719</v>
      </c>
      <c r="G825" s="9">
        <v>0.96</v>
      </c>
      <c r="H825" s="4">
        <v>6.9</v>
      </c>
      <c r="I825" s="4">
        <v>57.2</v>
      </c>
      <c r="J825" s="11">
        <v>38</v>
      </c>
      <c r="L825" s="12">
        <f t="shared" si="17"/>
        <v>1.5797835966168101</v>
      </c>
      <c r="M825" s="11">
        <f>GraphSalmonella!$B$10-(Salmonella!I825-GraphSalmonella!$B$6)/GraphSalmonella!$B$5</f>
        <v>0.57931100083447151</v>
      </c>
      <c r="N825" s="1" t="s">
        <v>586</v>
      </c>
      <c r="O825">
        <v>1970</v>
      </c>
      <c r="S825" s="10">
        <f>GraphSalmonella!$B$57*Salmonella!I825+GraphSalmonella!$B$58</f>
        <v>0.51813599117844245</v>
      </c>
      <c r="T825" s="10">
        <f>GraphSalmonella!$E$57*Salmonella!I825+GraphSalmonella!$E$58</f>
        <v>3.2744886177804045</v>
      </c>
      <c r="U825" s="10">
        <f>GraphSalmonella!$H$57*Salmonella!I825+GraphSalmonella!$H$58</f>
        <v>0.58010622333732087</v>
      </c>
      <c r="X825" s="10">
        <f>GraphSalmonella!$B$80*Salmonella!I825+GraphSalmonella!$B$81</f>
        <v>0.58208601784486369</v>
      </c>
      <c r="Y825" s="10">
        <f>GraphSalmonella!$E$80*Salmonella!I825+GraphSalmonella!$E$81</f>
        <v>0.59495409397555665</v>
      </c>
      <c r="Z825" s="10">
        <f>GraphSalmonella!$H$80*Salmonella!I825+GraphSalmonella!$H$81</f>
        <v>0.29719653009134195</v>
      </c>
    </row>
    <row r="826" spans="1:26" x14ac:dyDescent="0.2">
      <c r="A826" s="1" t="s">
        <v>66</v>
      </c>
      <c r="B826" s="1" t="s">
        <v>90</v>
      </c>
      <c r="D826" t="s">
        <v>44</v>
      </c>
      <c r="E826" s="1" t="s">
        <v>584</v>
      </c>
      <c r="F826" s="19" t="s">
        <v>719</v>
      </c>
      <c r="G826" s="9">
        <v>0.96</v>
      </c>
      <c r="H826" s="4">
        <v>6.9</v>
      </c>
      <c r="I826" s="4">
        <v>57.2</v>
      </c>
      <c r="J826" s="11">
        <v>5</v>
      </c>
      <c r="L826" s="12">
        <f t="shared" si="17"/>
        <v>0.69897000433601886</v>
      </c>
      <c r="M826" s="11">
        <f>GraphSalmonella!$B$10-(Salmonella!I826-GraphSalmonella!$B$6)/GraphSalmonella!$B$5</f>
        <v>0.57931100083447151</v>
      </c>
      <c r="N826" s="1" t="s">
        <v>586</v>
      </c>
      <c r="O826">
        <v>1970</v>
      </c>
      <c r="S826" s="10">
        <f>GraphSalmonella!$B$57*Salmonella!I826+GraphSalmonella!$B$58</f>
        <v>0.51813599117844245</v>
      </c>
      <c r="T826" s="10">
        <f>GraphSalmonella!$E$57*Salmonella!I826+GraphSalmonella!$E$58</f>
        <v>3.2744886177804045</v>
      </c>
      <c r="U826" s="10">
        <f>GraphSalmonella!$H$57*Salmonella!I826+GraphSalmonella!$H$58</f>
        <v>0.58010622333732087</v>
      </c>
      <c r="X826" s="10">
        <f>GraphSalmonella!$B$80*Salmonella!I826+GraphSalmonella!$B$81</f>
        <v>0.58208601784486369</v>
      </c>
      <c r="Y826" s="10">
        <f>GraphSalmonella!$E$80*Salmonella!I826+GraphSalmonella!$E$81</f>
        <v>0.59495409397555665</v>
      </c>
      <c r="Z826" s="10">
        <f>GraphSalmonella!$H$80*Salmonella!I826+GraphSalmonella!$H$81</f>
        <v>0.29719653009134195</v>
      </c>
    </row>
    <row r="827" spans="1:26" x14ac:dyDescent="0.2">
      <c r="A827" s="1" t="s">
        <v>66</v>
      </c>
      <c r="B827" s="1" t="s">
        <v>90</v>
      </c>
      <c r="D827" t="s">
        <v>44</v>
      </c>
      <c r="E827" s="1" t="s">
        <v>584</v>
      </c>
      <c r="F827" s="19" t="s">
        <v>719</v>
      </c>
      <c r="G827" s="9">
        <v>0.96</v>
      </c>
      <c r="H827" s="4">
        <v>6.9</v>
      </c>
      <c r="I827" s="4">
        <v>57.2</v>
      </c>
      <c r="J827" s="11">
        <v>5.5</v>
      </c>
      <c r="L827" s="12">
        <f t="shared" si="17"/>
        <v>0.74036268949424389</v>
      </c>
      <c r="M827" s="11">
        <f>GraphSalmonella!$B$10-(Salmonella!I827-GraphSalmonella!$B$6)/GraphSalmonella!$B$5</f>
        <v>0.57931100083447151</v>
      </c>
      <c r="N827" s="1" t="s">
        <v>586</v>
      </c>
      <c r="O827">
        <v>1970</v>
      </c>
      <c r="S827" s="10">
        <f>GraphSalmonella!$B$57*Salmonella!I827+GraphSalmonella!$B$58</f>
        <v>0.51813599117844245</v>
      </c>
      <c r="T827" s="10">
        <f>GraphSalmonella!$E$57*Salmonella!I827+GraphSalmonella!$E$58</f>
        <v>3.2744886177804045</v>
      </c>
      <c r="U827" s="10">
        <f>GraphSalmonella!$H$57*Salmonella!I827+GraphSalmonella!$H$58</f>
        <v>0.58010622333732087</v>
      </c>
      <c r="X827" s="10">
        <f>GraphSalmonella!$B$80*Salmonella!I827+GraphSalmonella!$B$81</f>
        <v>0.58208601784486369</v>
      </c>
      <c r="Y827" s="10">
        <f>GraphSalmonella!$E$80*Salmonella!I827+GraphSalmonella!$E$81</f>
        <v>0.59495409397555665</v>
      </c>
      <c r="Z827" s="10">
        <f>GraphSalmonella!$H$80*Salmonella!I827+GraphSalmonella!$H$81</f>
        <v>0.29719653009134195</v>
      </c>
    </row>
    <row r="828" spans="1:26" x14ac:dyDescent="0.2">
      <c r="A828" s="1" t="s">
        <v>66</v>
      </c>
      <c r="B828" s="1" t="s">
        <v>88</v>
      </c>
      <c r="D828" t="s">
        <v>44</v>
      </c>
      <c r="E828" s="1" t="s">
        <v>584</v>
      </c>
      <c r="F828" s="19" t="s">
        <v>719</v>
      </c>
      <c r="G828" s="9">
        <v>0.96</v>
      </c>
      <c r="H828" s="4">
        <v>6.9</v>
      </c>
      <c r="I828" s="4">
        <v>57.2</v>
      </c>
      <c r="J828" s="11">
        <v>18.5</v>
      </c>
      <c r="L828" s="12">
        <f t="shared" si="17"/>
        <v>1.2671717284030137</v>
      </c>
      <c r="M828" s="11">
        <f>GraphSalmonella!$B$10-(Salmonella!I828-GraphSalmonella!$B$6)/GraphSalmonella!$B$5</f>
        <v>0.57931100083447151</v>
      </c>
      <c r="N828" s="1" t="s">
        <v>586</v>
      </c>
      <c r="O828">
        <v>1970</v>
      </c>
      <c r="S828" s="10">
        <f>GraphSalmonella!$B$57*Salmonella!I828+GraphSalmonella!$B$58</f>
        <v>0.51813599117844245</v>
      </c>
      <c r="T828" s="10">
        <f>GraphSalmonella!$E$57*Salmonella!I828+GraphSalmonella!$E$58</f>
        <v>3.2744886177804045</v>
      </c>
      <c r="U828" s="10">
        <f>GraphSalmonella!$H$57*Salmonella!I828+GraphSalmonella!$H$58</f>
        <v>0.58010622333732087</v>
      </c>
      <c r="X828" s="10">
        <f>GraphSalmonella!$B$80*Salmonella!I828+GraphSalmonella!$B$81</f>
        <v>0.58208601784486369</v>
      </c>
      <c r="Y828" s="10">
        <f>GraphSalmonella!$E$80*Salmonella!I828+GraphSalmonella!$E$81</f>
        <v>0.59495409397555665</v>
      </c>
      <c r="Z828" s="10">
        <f>GraphSalmonella!$H$80*Salmonella!I828+GraphSalmonella!$H$81</f>
        <v>0.29719653009134195</v>
      </c>
    </row>
    <row r="829" spans="1:26" x14ac:dyDescent="0.2">
      <c r="A829" s="1" t="s">
        <v>66</v>
      </c>
      <c r="B829" s="1" t="s">
        <v>88</v>
      </c>
      <c r="D829" t="s">
        <v>44</v>
      </c>
      <c r="E829" s="1" t="s">
        <v>584</v>
      </c>
      <c r="F829" s="19" t="s">
        <v>719</v>
      </c>
      <c r="G829" s="9">
        <v>0.96</v>
      </c>
      <c r="H829" s="4">
        <v>6.9</v>
      </c>
      <c r="I829" s="4">
        <v>57.2</v>
      </c>
      <c r="J829" s="11">
        <v>23</v>
      </c>
      <c r="L829" s="12">
        <f t="shared" si="17"/>
        <v>1.3617278360175928</v>
      </c>
      <c r="M829" s="11">
        <f>GraphSalmonella!$B$10-(Salmonella!I829-GraphSalmonella!$B$6)/GraphSalmonella!$B$5</f>
        <v>0.57931100083447151</v>
      </c>
      <c r="N829" s="1" t="s">
        <v>586</v>
      </c>
      <c r="O829">
        <v>1970</v>
      </c>
      <c r="S829" s="10">
        <f>GraphSalmonella!$B$57*Salmonella!I829+GraphSalmonella!$B$58</f>
        <v>0.51813599117844245</v>
      </c>
      <c r="T829" s="10">
        <f>GraphSalmonella!$E$57*Salmonella!I829+GraphSalmonella!$E$58</f>
        <v>3.2744886177804045</v>
      </c>
      <c r="U829" s="10">
        <f>GraphSalmonella!$H$57*Salmonella!I829+GraphSalmonella!$H$58</f>
        <v>0.58010622333732087</v>
      </c>
      <c r="X829" s="10">
        <f>GraphSalmonella!$B$80*Salmonella!I829+GraphSalmonella!$B$81</f>
        <v>0.58208601784486369</v>
      </c>
      <c r="Y829" s="10">
        <f>GraphSalmonella!$E$80*Salmonella!I829+GraphSalmonella!$E$81</f>
        <v>0.59495409397555665</v>
      </c>
      <c r="Z829" s="10">
        <f>GraphSalmonella!$H$80*Salmonella!I829+GraphSalmonella!$H$81</f>
        <v>0.29719653009134195</v>
      </c>
    </row>
    <row r="830" spans="1:26" x14ac:dyDescent="0.2">
      <c r="A830" s="1" t="s">
        <v>66</v>
      </c>
      <c r="B830" s="1" t="s">
        <v>67</v>
      </c>
      <c r="C830" t="s">
        <v>312</v>
      </c>
      <c r="D830" t="s">
        <v>44</v>
      </c>
      <c r="E830" s="1" t="s">
        <v>584</v>
      </c>
      <c r="F830" s="19" t="s">
        <v>719</v>
      </c>
      <c r="G830" s="9">
        <v>0.96</v>
      </c>
      <c r="H830" s="4">
        <v>6.9</v>
      </c>
      <c r="I830" s="4">
        <v>57.2</v>
      </c>
      <c r="J830" s="11">
        <v>43</v>
      </c>
      <c r="L830" s="12">
        <f t="shared" si="17"/>
        <v>1.6334684555795864</v>
      </c>
      <c r="M830" s="11">
        <f>GraphSalmonella!$B$10-(Salmonella!I830-GraphSalmonella!$B$6)/GraphSalmonella!$B$5</f>
        <v>0.57931100083447151</v>
      </c>
      <c r="N830" s="1" t="s">
        <v>586</v>
      </c>
      <c r="O830">
        <v>1970</v>
      </c>
      <c r="S830" s="10">
        <f>GraphSalmonella!$B$57*Salmonella!I830+GraphSalmonella!$B$58</f>
        <v>0.51813599117844245</v>
      </c>
      <c r="T830" s="10">
        <f>GraphSalmonella!$E$57*Salmonella!I830+GraphSalmonella!$E$58</f>
        <v>3.2744886177804045</v>
      </c>
      <c r="U830" s="10">
        <f>GraphSalmonella!$H$57*Salmonella!I830+GraphSalmonella!$H$58</f>
        <v>0.58010622333732087</v>
      </c>
      <c r="X830" s="10">
        <f>GraphSalmonella!$B$80*Salmonella!I830+GraphSalmonella!$B$81</f>
        <v>0.58208601784486369</v>
      </c>
      <c r="Y830" s="10">
        <f>GraphSalmonella!$E$80*Salmonella!I830+GraphSalmonella!$E$81</f>
        <v>0.59495409397555665</v>
      </c>
      <c r="Z830" s="10">
        <f>GraphSalmonella!$H$80*Salmonella!I830+GraphSalmonella!$H$81</f>
        <v>0.29719653009134195</v>
      </c>
    </row>
    <row r="831" spans="1:26" x14ac:dyDescent="0.2">
      <c r="A831" s="1" t="s">
        <v>66</v>
      </c>
      <c r="B831" s="1" t="s">
        <v>67</v>
      </c>
      <c r="C831" t="s">
        <v>312</v>
      </c>
      <c r="D831" t="s">
        <v>44</v>
      </c>
      <c r="E831" s="1" t="s">
        <v>584</v>
      </c>
      <c r="F831" s="19" t="s">
        <v>719</v>
      </c>
      <c r="G831" s="9">
        <v>0.96</v>
      </c>
      <c r="H831" s="4">
        <v>6.9</v>
      </c>
      <c r="I831" s="4">
        <v>57.2</v>
      </c>
      <c r="J831" s="11">
        <v>55</v>
      </c>
      <c r="L831" s="12">
        <f t="shared" si="17"/>
        <v>1.7403626894942439</v>
      </c>
      <c r="M831" s="11">
        <f>GraphSalmonella!$B$10-(Salmonella!I831-GraphSalmonella!$B$6)/GraphSalmonella!$B$5</f>
        <v>0.57931100083447151</v>
      </c>
      <c r="N831" s="1" t="s">
        <v>586</v>
      </c>
      <c r="O831">
        <v>1970</v>
      </c>
      <c r="S831" s="10">
        <f>GraphSalmonella!$B$57*Salmonella!I831+GraphSalmonella!$B$58</f>
        <v>0.51813599117844245</v>
      </c>
      <c r="T831" s="10">
        <f>GraphSalmonella!$E$57*Salmonella!I831+GraphSalmonella!$E$58</f>
        <v>3.2744886177804045</v>
      </c>
      <c r="U831" s="10">
        <f>GraphSalmonella!$H$57*Salmonella!I831+GraphSalmonella!$H$58</f>
        <v>0.58010622333732087</v>
      </c>
      <c r="X831" s="10">
        <f>GraphSalmonella!$B$80*Salmonella!I831+GraphSalmonella!$B$81</f>
        <v>0.58208601784486369</v>
      </c>
      <c r="Y831" s="10">
        <f>GraphSalmonella!$E$80*Salmonella!I831+GraphSalmonella!$E$81</f>
        <v>0.59495409397555665</v>
      </c>
      <c r="Z831" s="10">
        <f>GraphSalmonella!$H$80*Salmonella!I831+GraphSalmonella!$H$81</f>
        <v>0.29719653009134195</v>
      </c>
    </row>
    <row r="832" spans="1:26" x14ac:dyDescent="0.2">
      <c r="A832" s="1" t="s">
        <v>66</v>
      </c>
      <c r="B832" s="1" t="s">
        <v>85</v>
      </c>
      <c r="D832" t="s">
        <v>44</v>
      </c>
      <c r="E832" s="1" t="s">
        <v>584</v>
      </c>
      <c r="F832" s="19" t="s">
        <v>719</v>
      </c>
      <c r="G832" s="9">
        <v>0.96</v>
      </c>
      <c r="H832" s="4">
        <v>6.9</v>
      </c>
      <c r="I832" s="4">
        <v>57.2</v>
      </c>
      <c r="J832" s="11">
        <v>9</v>
      </c>
      <c r="L832" s="12">
        <f t="shared" si="17"/>
        <v>0.95424250943932487</v>
      </c>
      <c r="M832" s="11">
        <f>GraphSalmonella!$B$10-(Salmonella!I832-GraphSalmonella!$B$6)/GraphSalmonella!$B$5</f>
        <v>0.57931100083447151</v>
      </c>
      <c r="N832" s="1" t="s">
        <v>586</v>
      </c>
      <c r="O832">
        <v>1970</v>
      </c>
      <c r="S832" s="10">
        <f>GraphSalmonella!$B$57*Salmonella!I832+GraphSalmonella!$B$58</f>
        <v>0.51813599117844245</v>
      </c>
      <c r="T832" s="10">
        <f>GraphSalmonella!$E$57*Salmonella!I832+GraphSalmonella!$E$58</f>
        <v>3.2744886177804045</v>
      </c>
      <c r="U832" s="10">
        <f>GraphSalmonella!$H$57*Salmonella!I832+GraphSalmonella!$H$58</f>
        <v>0.58010622333732087</v>
      </c>
      <c r="X832" s="10">
        <f>GraphSalmonella!$B$80*Salmonella!I832+GraphSalmonella!$B$81</f>
        <v>0.58208601784486369</v>
      </c>
      <c r="Y832" s="10">
        <f>GraphSalmonella!$E$80*Salmonella!I832+GraphSalmonella!$E$81</f>
        <v>0.59495409397555665</v>
      </c>
      <c r="Z832" s="10">
        <f>GraphSalmonella!$H$80*Salmonella!I832+GraphSalmonella!$H$81</f>
        <v>0.29719653009134195</v>
      </c>
    </row>
    <row r="833" spans="1:26" x14ac:dyDescent="0.2">
      <c r="A833" s="1" t="s">
        <v>66</v>
      </c>
      <c r="B833" s="1" t="s">
        <v>85</v>
      </c>
      <c r="D833" t="s">
        <v>44</v>
      </c>
      <c r="E833" s="1" t="s">
        <v>584</v>
      </c>
      <c r="F833" s="19" t="s">
        <v>719</v>
      </c>
      <c r="G833" s="9">
        <v>0.96</v>
      </c>
      <c r="H833" s="4">
        <v>6.9</v>
      </c>
      <c r="I833" s="4">
        <v>57.2</v>
      </c>
      <c r="J833" s="11">
        <v>10</v>
      </c>
      <c r="L833" s="12">
        <f t="shared" si="17"/>
        <v>1</v>
      </c>
      <c r="M833" s="11">
        <f>GraphSalmonella!$B$10-(Salmonella!I833-GraphSalmonella!$B$6)/GraphSalmonella!$B$5</f>
        <v>0.57931100083447151</v>
      </c>
      <c r="N833" s="1" t="s">
        <v>586</v>
      </c>
      <c r="O833">
        <v>1970</v>
      </c>
      <c r="S833" s="10">
        <f>GraphSalmonella!$B$57*Salmonella!I833+GraphSalmonella!$B$58</f>
        <v>0.51813599117844245</v>
      </c>
      <c r="T833" s="10">
        <f>GraphSalmonella!$E$57*Salmonella!I833+GraphSalmonella!$E$58</f>
        <v>3.2744886177804045</v>
      </c>
      <c r="U833" s="10">
        <f>GraphSalmonella!$H$57*Salmonella!I833+GraphSalmonella!$H$58</f>
        <v>0.58010622333732087</v>
      </c>
      <c r="X833" s="10">
        <f>GraphSalmonella!$B$80*Salmonella!I833+GraphSalmonella!$B$81</f>
        <v>0.58208601784486369</v>
      </c>
      <c r="Y833" s="10">
        <f>GraphSalmonella!$E$80*Salmonella!I833+GraphSalmonella!$E$81</f>
        <v>0.59495409397555665</v>
      </c>
      <c r="Z833" s="10">
        <f>GraphSalmonella!$H$80*Salmonella!I833+GraphSalmonella!$H$81</f>
        <v>0.29719653009134195</v>
      </c>
    </row>
    <row r="834" spans="1:26" x14ac:dyDescent="0.2">
      <c r="A834" s="1" t="s">
        <v>66</v>
      </c>
      <c r="B834" s="1" t="s">
        <v>70</v>
      </c>
      <c r="D834" t="s">
        <v>44</v>
      </c>
      <c r="E834" s="1" t="s">
        <v>584</v>
      </c>
      <c r="F834" s="19" t="s">
        <v>719</v>
      </c>
      <c r="G834" s="9">
        <v>0.96</v>
      </c>
      <c r="H834" s="4">
        <v>6.9</v>
      </c>
      <c r="I834" s="4">
        <v>57.2</v>
      </c>
      <c r="J834" s="11">
        <v>11</v>
      </c>
      <c r="L834" s="12">
        <f t="shared" si="17"/>
        <v>1.0413926851582251</v>
      </c>
      <c r="M834" s="11">
        <f>GraphSalmonella!$B$10-(Salmonella!I834-GraphSalmonella!$B$6)/GraphSalmonella!$B$5</f>
        <v>0.57931100083447151</v>
      </c>
      <c r="N834" s="1" t="s">
        <v>586</v>
      </c>
      <c r="O834">
        <v>1970</v>
      </c>
      <c r="S834" s="10">
        <f>GraphSalmonella!$B$57*Salmonella!I834+GraphSalmonella!$B$58</f>
        <v>0.51813599117844245</v>
      </c>
      <c r="T834" s="10">
        <f>GraphSalmonella!$E$57*Salmonella!I834+GraphSalmonella!$E$58</f>
        <v>3.2744886177804045</v>
      </c>
      <c r="U834" s="10">
        <f>GraphSalmonella!$H$57*Salmonella!I834+GraphSalmonella!$H$58</f>
        <v>0.58010622333732087</v>
      </c>
      <c r="X834" s="10">
        <f>GraphSalmonella!$B$80*Salmonella!I834+GraphSalmonella!$B$81</f>
        <v>0.58208601784486369</v>
      </c>
      <c r="Y834" s="10">
        <f>GraphSalmonella!$E$80*Salmonella!I834+GraphSalmonella!$E$81</f>
        <v>0.59495409397555665</v>
      </c>
      <c r="Z834" s="10">
        <f>GraphSalmonella!$H$80*Salmonella!I834+GraphSalmonella!$H$81</f>
        <v>0.29719653009134195</v>
      </c>
    </row>
    <row r="835" spans="1:26" x14ac:dyDescent="0.2">
      <c r="A835" s="1" t="s">
        <v>66</v>
      </c>
      <c r="B835" s="1" t="s">
        <v>70</v>
      </c>
      <c r="D835" t="s">
        <v>44</v>
      </c>
      <c r="E835" s="1" t="s">
        <v>584</v>
      </c>
      <c r="F835" s="19" t="s">
        <v>719</v>
      </c>
      <c r="G835" s="9">
        <v>0.96</v>
      </c>
      <c r="H835" s="4">
        <v>6.9</v>
      </c>
      <c r="I835" s="4">
        <v>57.2</v>
      </c>
      <c r="J835" s="11">
        <v>19</v>
      </c>
      <c r="L835" s="12">
        <f t="shared" si="17"/>
        <v>1.2787536009528289</v>
      </c>
      <c r="M835" s="11">
        <f>GraphSalmonella!$B$10-(Salmonella!I835-GraphSalmonella!$B$6)/GraphSalmonella!$B$5</f>
        <v>0.57931100083447151</v>
      </c>
      <c r="N835" s="1" t="s">
        <v>586</v>
      </c>
      <c r="O835">
        <v>1970</v>
      </c>
      <c r="S835" s="10">
        <f>GraphSalmonella!$B$57*Salmonella!I835+GraphSalmonella!$B$58</f>
        <v>0.51813599117844245</v>
      </c>
      <c r="T835" s="10">
        <f>GraphSalmonella!$E$57*Salmonella!I835+GraphSalmonella!$E$58</f>
        <v>3.2744886177804045</v>
      </c>
      <c r="U835" s="10">
        <f>GraphSalmonella!$H$57*Salmonella!I835+GraphSalmonella!$H$58</f>
        <v>0.58010622333732087</v>
      </c>
      <c r="X835" s="10">
        <f>GraphSalmonella!$B$80*Salmonella!I835+GraphSalmonella!$B$81</f>
        <v>0.58208601784486369</v>
      </c>
      <c r="Y835" s="10">
        <f>GraphSalmonella!$E$80*Salmonella!I835+GraphSalmonella!$E$81</f>
        <v>0.59495409397555665</v>
      </c>
      <c r="Z835" s="10">
        <f>GraphSalmonella!$H$80*Salmonella!I835+GraphSalmonella!$H$81</f>
        <v>0.29719653009134195</v>
      </c>
    </row>
    <row r="836" spans="1:26" x14ac:dyDescent="0.2">
      <c r="A836" s="1" t="s">
        <v>66</v>
      </c>
      <c r="B836" s="1" t="s">
        <v>87</v>
      </c>
      <c r="D836" t="s">
        <v>44</v>
      </c>
      <c r="E836" s="1" t="s">
        <v>584</v>
      </c>
      <c r="F836" s="19" t="s">
        <v>720</v>
      </c>
      <c r="G836" s="9">
        <v>0.93</v>
      </c>
      <c r="H836" s="4">
        <v>6.9</v>
      </c>
      <c r="I836" s="4">
        <v>57.2</v>
      </c>
      <c r="J836" s="11">
        <v>58</v>
      </c>
      <c r="L836" s="12">
        <f t="shared" si="17"/>
        <v>1.7634279935629373</v>
      </c>
      <c r="M836" s="11">
        <f>GraphSalmonella!$B$10-(Salmonella!I836-GraphSalmonella!$B$6)/GraphSalmonella!$B$5</f>
        <v>0.57931100083447151</v>
      </c>
      <c r="N836" s="1" t="s">
        <v>586</v>
      </c>
      <c r="O836">
        <v>1970</v>
      </c>
      <c r="S836" s="10">
        <f>GraphSalmonella!$B$57*Salmonella!I836+GraphSalmonella!$B$58</f>
        <v>0.51813599117844245</v>
      </c>
      <c r="T836" s="10">
        <f>GraphSalmonella!$E$57*Salmonella!I836+GraphSalmonella!$E$58</f>
        <v>3.2744886177804045</v>
      </c>
      <c r="U836" s="10">
        <f>GraphSalmonella!$H$57*Salmonella!I836+GraphSalmonella!$H$58</f>
        <v>0.58010622333732087</v>
      </c>
      <c r="X836" s="10">
        <f>GraphSalmonella!$B$80*Salmonella!I836+GraphSalmonella!$B$81</f>
        <v>0.58208601784486369</v>
      </c>
      <c r="Y836" s="10">
        <f>GraphSalmonella!$E$80*Salmonella!I836+GraphSalmonella!$E$81</f>
        <v>0.59495409397555665</v>
      </c>
      <c r="Z836" s="10">
        <f>GraphSalmonella!$H$80*Salmonella!I836+GraphSalmonella!$H$81</f>
        <v>0.29719653009134195</v>
      </c>
    </row>
    <row r="837" spans="1:26" x14ac:dyDescent="0.2">
      <c r="A837" s="1" t="s">
        <v>66</v>
      </c>
      <c r="B837" s="1" t="s">
        <v>87</v>
      </c>
      <c r="D837" t="s">
        <v>44</v>
      </c>
      <c r="E837" s="1" t="s">
        <v>584</v>
      </c>
      <c r="F837" s="19" t="s">
        <v>720</v>
      </c>
      <c r="G837" s="9">
        <v>0.93</v>
      </c>
      <c r="H837" s="4">
        <v>6.9</v>
      </c>
      <c r="I837" s="4">
        <v>57.2</v>
      </c>
      <c r="J837" s="11">
        <v>62</v>
      </c>
      <c r="L837" s="12">
        <f t="shared" si="17"/>
        <v>1.7923916894982539</v>
      </c>
      <c r="M837" s="11">
        <f>GraphSalmonella!$B$10-(Salmonella!I837-GraphSalmonella!$B$6)/GraphSalmonella!$B$5</f>
        <v>0.57931100083447151</v>
      </c>
      <c r="N837" s="1" t="s">
        <v>586</v>
      </c>
      <c r="O837">
        <v>1970</v>
      </c>
      <c r="S837" s="10">
        <f>GraphSalmonella!$B$57*Salmonella!I837+GraphSalmonella!$B$58</f>
        <v>0.51813599117844245</v>
      </c>
      <c r="T837" s="10">
        <f>GraphSalmonella!$E$57*Salmonella!I837+GraphSalmonella!$E$58</f>
        <v>3.2744886177804045</v>
      </c>
      <c r="U837" s="10">
        <f>GraphSalmonella!$H$57*Salmonella!I837+GraphSalmonella!$H$58</f>
        <v>0.58010622333732087</v>
      </c>
      <c r="X837" s="10">
        <f>GraphSalmonella!$B$80*Salmonella!I837+GraphSalmonella!$B$81</f>
        <v>0.58208601784486369</v>
      </c>
      <c r="Y837" s="10">
        <f>GraphSalmonella!$E$80*Salmonella!I837+GraphSalmonella!$E$81</f>
        <v>0.59495409397555665</v>
      </c>
      <c r="Z837" s="10">
        <f>GraphSalmonella!$H$80*Salmonella!I837+GraphSalmonella!$H$81</f>
        <v>0.29719653009134195</v>
      </c>
    </row>
    <row r="838" spans="1:26" x14ac:dyDescent="0.2">
      <c r="A838" s="1" t="s">
        <v>66</v>
      </c>
      <c r="B838" s="1" t="s">
        <v>80</v>
      </c>
      <c r="C838" t="s">
        <v>585</v>
      </c>
      <c r="D838" t="s">
        <v>44</v>
      </c>
      <c r="E838" s="1" t="s">
        <v>584</v>
      </c>
      <c r="F838" s="19" t="s">
        <v>720</v>
      </c>
      <c r="G838" s="9">
        <v>0.93</v>
      </c>
      <c r="H838" s="4">
        <v>6.9</v>
      </c>
      <c r="I838" s="4">
        <v>57.2</v>
      </c>
      <c r="J838" s="11">
        <v>40</v>
      </c>
      <c r="L838" s="12">
        <f t="shared" si="17"/>
        <v>1.6020599913279623</v>
      </c>
      <c r="M838" s="11">
        <f>GraphSalmonella!$B$10-(Salmonella!I838-GraphSalmonella!$B$6)/GraphSalmonella!$B$5</f>
        <v>0.57931100083447151</v>
      </c>
      <c r="N838" s="1" t="s">
        <v>586</v>
      </c>
      <c r="O838">
        <v>1970</v>
      </c>
      <c r="S838" s="10">
        <f>GraphSalmonella!$B$57*Salmonella!I838+GraphSalmonella!$B$58</f>
        <v>0.51813599117844245</v>
      </c>
      <c r="T838" s="10">
        <f>GraphSalmonella!$E$57*Salmonella!I838+GraphSalmonella!$E$58</f>
        <v>3.2744886177804045</v>
      </c>
      <c r="U838" s="10">
        <f>GraphSalmonella!$H$57*Salmonella!I838+GraphSalmonella!$H$58</f>
        <v>0.58010622333732087</v>
      </c>
      <c r="X838" s="10">
        <f>GraphSalmonella!$B$80*Salmonella!I838+GraphSalmonella!$B$81</f>
        <v>0.58208601784486369</v>
      </c>
      <c r="Y838" s="10">
        <f>GraphSalmonella!$E$80*Salmonella!I838+GraphSalmonella!$E$81</f>
        <v>0.59495409397555665</v>
      </c>
      <c r="Z838" s="10">
        <f>GraphSalmonella!$H$80*Salmonella!I838+GraphSalmonella!$H$81</f>
        <v>0.29719653009134195</v>
      </c>
    </row>
    <row r="839" spans="1:26" x14ac:dyDescent="0.2">
      <c r="A839" s="1" t="s">
        <v>66</v>
      </c>
      <c r="B839" s="1" t="s">
        <v>80</v>
      </c>
      <c r="C839" t="s">
        <v>585</v>
      </c>
      <c r="D839" t="s">
        <v>44</v>
      </c>
      <c r="E839" s="1" t="s">
        <v>584</v>
      </c>
      <c r="F839" s="19" t="s">
        <v>720</v>
      </c>
      <c r="G839" s="9">
        <v>0.93</v>
      </c>
      <c r="H839" s="4">
        <v>6.9</v>
      </c>
      <c r="I839" s="4">
        <v>57.2</v>
      </c>
      <c r="J839" s="11">
        <v>70</v>
      </c>
      <c r="L839" s="12">
        <f t="shared" si="17"/>
        <v>1.8450980400142569</v>
      </c>
      <c r="M839" s="11">
        <f>GraphSalmonella!$B$10-(Salmonella!I839-GraphSalmonella!$B$6)/GraphSalmonella!$B$5</f>
        <v>0.57931100083447151</v>
      </c>
      <c r="N839" s="1" t="s">
        <v>586</v>
      </c>
      <c r="O839">
        <v>1970</v>
      </c>
      <c r="S839" s="10">
        <f>GraphSalmonella!$B$57*Salmonella!I839+GraphSalmonella!$B$58</f>
        <v>0.51813599117844245</v>
      </c>
      <c r="T839" s="10">
        <f>GraphSalmonella!$E$57*Salmonella!I839+GraphSalmonella!$E$58</f>
        <v>3.2744886177804045</v>
      </c>
      <c r="U839" s="10">
        <f>GraphSalmonella!$H$57*Salmonella!I839+GraphSalmonella!$H$58</f>
        <v>0.58010622333732087</v>
      </c>
      <c r="X839" s="10">
        <f>GraphSalmonella!$B$80*Salmonella!I839+GraphSalmonella!$B$81</f>
        <v>0.58208601784486369</v>
      </c>
      <c r="Y839" s="10">
        <f>GraphSalmonella!$E$80*Salmonella!I839+GraphSalmonella!$E$81</f>
        <v>0.59495409397555665</v>
      </c>
      <c r="Z839" s="10">
        <f>GraphSalmonella!$H$80*Salmonella!I839+GraphSalmonella!$H$81</f>
        <v>0.29719653009134195</v>
      </c>
    </row>
    <row r="840" spans="1:26" x14ac:dyDescent="0.2">
      <c r="A840" s="1" t="s">
        <v>66</v>
      </c>
      <c r="B840" s="1" t="s">
        <v>80</v>
      </c>
      <c r="D840" t="s">
        <v>44</v>
      </c>
      <c r="E840" s="1" t="s">
        <v>584</v>
      </c>
      <c r="F840" s="19" t="s">
        <v>720</v>
      </c>
      <c r="G840" s="9">
        <v>0.93</v>
      </c>
      <c r="H840" s="4">
        <v>6.9</v>
      </c>
      <c r="I840" s="4">
        <v>57.2</v>
      </c>
      <c r="J840" s="11">
        <v>65</v>
      </c>
      <c r="L840" s="12">
        <f t="shared" si="17"/>
        <v>1.8129133566428555</v>
      </c>
      <c r="M840" s="11">
        <f>GraphSalmonella!$B$10-(Salmonella!I840-GraphSalmonella!$B$6)/GraphSalmonella!$B$5</f>
        <v>0.57931100083447151</v>
      </c>
      <c r="N840" s="1" t="s">
        <v>586</v>
      </c>
      <c r="O840">
        <v>1970</v>
      </c>
      <c r="S840" s="10">
        <f>GraphSalmonella!$B$57*Salmonella!I840+GraphSalmonella!$B$58</f>
        <v>0.51813599117844245</v>
      </c>
      <c r="T840" s="10">
        <f>GraphSalmonella!$E$57*Salmonella!I840+GraphSalmonella!$E$58</f>
        <v>3.2744886177804045</v>
      </c>
      <c r="U840" s="10">
        <f>GraphSalmonella!$H$57*Salmonella!I840+GraphSalmonella!$H$58</f>
        <v>0.58010622333732087</v>
      </c>
      <c r="X840" s="10">
        <f>GraphSalmonella!$B$80*Salmonella!I840+GraphSalmonella!$B$81</f>
        <v>0.58208601784486369</v>
      </c>
      <c r="Y840" s="10">
        <f>GraphSalmonella!$E$80*Salmonella!I840+GraphSalmonella!$E$81</f>
        <v>0.59495409397555665</v>
      </c>
      <c r="Z840" s="10">
        <f>GraphSalmonella!$H$80*Salmonella!I840+GraphSalmonella!$H$81</f>
        <v>0.29719653009134195</v>
      </c>
    </row>
    <row r="841" spans="1:26" x14ac:dyDescent="0.2">
      <c r="A841" s="1" t="s">
        <v>66</v>
      </c>
      <c r="B841" s="1" t="s">
        <v>80</v>
      </c>
      <c r="D841" t="s">
        <v>44</v>
      </c>
      <c r="E841" s="1" t="s">
        <v>584</v>
      </c>
      <c r="F841" s="19" t="s">
        <v>720</v>
      </c>
      <c r="G841" s="9">
        <v>0.93</v>
      </c>
      <c r="H841" s="4">
        <v>6.9</v>
      </c>
      <c r="I841" s="4">
        <v>57.2</v>
      </c>
      <c r="J841" s="11">
        <v>75</v>
      </c>
      <c r="L841" s="12">
        <f t="shared" si="17"/>
        <v>1.8750612633917001</v>
      </c>
      <c r="M841" s="11">
        <f>GraphSalmonella!$B$10-(Salmonella!I841-GraphSalmonella!$B$6)/GraphSalmonella!$B$5</f>
        <v>0.57931100083447151</v>
      </c>
      <c r="N841" s="1" t="s">
        <v>586</v>
      </c>
      <c r="O841">
        <v>1970</v>
      </c>
      <c r="S841" s="10">
        <f>GraphSalmonella!$B$57*Salmonella!I841+GraphSalmonella!$B$58</f>
        <v>0.51813599117844245</v>
      </c>
      <c r="T841" s="10">
        <f>GraphSalmonella!$E$57*Salmonella!I841+GraphSalmonella!$E$58</f>
        <v>3.2744886177804045</v>
      </c>
      <c r="U841" s="10">
        <f>GraphSalmonella!$H$57*Salmonella!I841+GraphSalmonella!$H$58</f>
        <v>0.58010622333732087</v>
      </c>
      <c r="X841" s="10">
        <f>GraphSalmonella!$B$80*Salmonella!I841+GraphSalmonella!$B$81</f>
        <v>0.58208601784486369</v>
      </c>
      <c r="Y841" s="10">
        <f>GraphSalmonella!$E$80*Salmonella!I841+GraphSalmonella!$E$81</f>
        <v>0.59495409397555665</v>
      </c>
      <c r="Z841" s="10">
        <f>GraphSalmonella!$H$80*Salmonella!I841+GraphSalmonella!$H$81</f>
        <v>0.29719653009134195</v>
      </c>
    </row>
    <row r="842" spans="1:26" x14ac:dyDescent="0.2">
      <c r="A842" s="1" t="s">
        <v>66</v>
      </c>
      <c r="B842" s="1" t="s">
        <v>90</v>
      </c>
      <c r="D842" t="s">
        <v>44</v>
      </c>
      <c r="E842" s="1" t="s">
        <v>584</v>
      </c>
      <c r="F842" s="19" t="s">
        <v>720</v>
      </c>
      <c r="G842" s="9">
        <v>0.93</v>
      </c>
      <c r="H842" s="4">
        <v>6.9</v>
      </c>
      <c r="I842" s="4">
        <v>57.2</v>
      </c>
      <c r="J842" s="11">
        <v>12</v>
      </c>
      <c r="L842" s="12">
        <f t="shared" si="17"/>
        <v>1.0791812460476249</v>
      </c>
      <c r="M842" s="11">
        <f>GraphSalmonella!$B$10-(Salmonella!I842-GraphSalmonella!$B$6)/GraphSalmonella!$B$5</f>
        <v>0.57931100083447151</v>
      </c>
      <c r="N842" s="1" t="s">
        <v>586</v>
      </c>
      <c r="O842">
        <v>1970</v>
      </c>
      <c r="S842" s="10">
        <f>GraphSalmonella!$B$57*Salmonella!I842+GraphSalmonella!$B$58</f>
        <v>0.51813599117844245</v>
      </c>
      <c r="T842" s="10">
        <f>GraphSalmonella!$E$57*Salmonella!I842+GraphSalmonella!$E$58</f>
        <v>3.2744886177804045</v>
      </c>
      <c r="U842" s="10">
        <f>GraphSalmonella!$H$57*Salmonella!I842+GraphSalmonella!$H$58</f>
        <v>0.58010622333732087</v>
      </c>
      <c r="X842" s="10">
        <f>GraphSalmonella!$B$80*Salmonella!I842+GraphSalmonella!$B$81</f>
        <v>0.58208601784486369</v>
      </c>
      <c r="Y842" s="10">
        <f>GraphSalmonella!$E$80*Salmonella!I842+GraphSalmonella!$E$81</f>
        <v>0.59495409397555665</v>
      </c>
      <c r="Z842" s="10">
        <f>GraphSalmonella!$H$80*Salmonella!I842+GraphSalmonella!$H$81</f>
        <v>0.29719653009134195</v>
      </c>
    </row>
    <row r="843" spans="1:26" x14ac:dyDescent="0.2">
      <c r="A843" s="1" t="s">
        <v>66</v>
      </c>
      <c r="B843" s="1" t="s">
        <v>90</v>
      </c>
      <c r="D843" t="s">
        <v>44</v>
      </c>
      <c r="E843" s="1" t="s">
        <v>584</v>
      </c>
      <c r="F843" s="19" t="s">
        <v>720</v>
      </c>
      <c r="G843" s="9">
        <v>0.93</v>
      </c>
      <c r="H843" s="4">
        <v>6.9</v>
      </c>
      <c r="I843" s="4">
        <v>57.2</v>
      </c>
      <c r="J843" s="11">
        <v>15</v>
      </c>
      <c r="L843" s="12">
        <f t="shared" si="17"/>
        <v>1.1760912590556813</v>
      </c>
      <c r="M843" s="11">
        <f>GraphSalmonella!$B$10-(Salmonella!I843-GraphSalmonella!$B$6)/GraphSalmonella!$B$5</f>
        <v>0.57931100083447151</v>
      </c>
      <c r="N843" s="1" t="s">
        <v>586</v>
      </c>
      <c r="O843">
        <v>1970</v>
      </c>
      <c r="S843" s="10">
        <f>GraphSalmonella!$B$57*Salmonella!I843+GraphSalmonella!$B$58</f>
        <v>0.51813599117844245</v>
      </c>
      <c r="T843" s="10">
        <f>GraphSalmonella!$E$57*Salmonella!I843+GraphSalmonella!$E$58</f>
        <v>3.2744886177804045</v>
      </c>
      <c r="U843" s="10">
        <f>GraphSalmonella!$H$57*Salmonella!I843+GraphSalmonella!$H$58</f>
        <v>0.58010622333732087</v>
      </c>
      <c r="X843" s="10">
        <f>GraphSalmonella!$B$80*Salmonella!I843+GraphSalmonella!$B$81</f>
        <v>0.58208601784486369</v>
      </c>
      <c r="Y843" s="10">
        <f>GraphSalmonella!$E$80*Salmonella!I843+GraphSalmonella!$E$81</f>
        <v>0.59495409397555665</v>
      </c>
      <c r="Z843" s="10">
        <f>GraphSalmonella!$H$80*Salmonella!I843+GraphSalmonella!$H$81</f>
        <v>0.29719653009134195</v>
      </c>
    </row>
    <row r="844" spans="1:26" x14ac:dyDescent="0.2">
      <c r="A844" s="1" t="s">
        <v>66</v>
      </c>
      <c r="B844" s="1" t="s">
        <v>88</v>
      </c>
      <c r="D844" t="s">
        <v>44</v>
      </c>
      <c r="E844" s="1" t="s">
        <v>584</v>
      </c>
      <c r="F844" s="19" t="s">
        <v>720</v>
      </c>
      <c r="G844" s="9">
        <v>0.93</v>
      </c>
      <c r="H844" s="4">
        <v>6.9</v>
      </c>
      <c r="I844" s="4">
        <v>57.2</v>
      </c>
      <c r="J844" s="11">
        <v>50</v>
      </c>
      <c r="L844" s="12">
        <f t="shared" si="17"/>
        <v>1.6989700043360187</v>
      </c>
      <c r="M844" s="11">
        <f>GraphSalmonella!$B$10-(Salmonella!I844-GraphSalmonella!$B$6)/GraphSalmonella!$B$5</f>
        <v>0.57931100083447151</v>
      </c>
      <c r="N844" s="1" t="s">
        <v>586</v>
      </c>
      <c r="O844">
        <v>1970</v>
      </c>
      <c r="S844" s="10">
        <f>GraphSalmonella!$B$57*Salmonella!I844+GraphSalmonella!$B$58</f>
        <v>0.51813599117844245</v>
      </c>
      <c r="T844" s="10">
        <f>GraphSalmonella!$E$57*Salmonella!I844+GraphSalmonella!$E$58</f>
        <v>3.2744886177804045</v>
      </c>
      <c r="U844" s="10">
        <f>GraphSalmonella!$H$57*Salmonella!I844+GraphSalmonella!$H$58</f>
        <v>0.58010622333732087</v>
      </c>
      <c r="X844" s="10">
        <f>GraphSalmonella!$B$80*Salmonella!I844+GraphSalmonella!$B$81</f>
        <v>0.58208601784486369</v>
      </c>
      <c r="Y844" s="10">
        <f>GraphSalmonella!$E$80*Salmonella!I844+GraphSalmonella!$E$81</f>
        <v>0.59495409397555665</v>
      </c>
      <c r="Z844" s="10">
        <f>GraphSalmonella!$H$80*Salmonella!I844+GraphSalmonella!$H$81</f>
        <v>0.29719653009134195</v>
      </c>
    </row>
    <row r="845" spans="1:26" x14ac:dyDescent="0.2">
      <c r="A845" s="1" t="s">
        <v>66</v>
      </c>
      <c r="B845" s="1" t="s">
        <v>88</v>
      </c>
      <c r="D845" t="s">
        <v>44</v>
      </c>
      <c r="E845" s="1" t="s">
        <v>584</v>
      </c>
      <c r="F845" s="19" t="s">
        <v>720</v>
      </c>
      <c r="G845" s="9">
        <v>0.93</v>
      </c>
      <c r="H845" s="4">
        <v>6.9</v>
      </c>
      <c r="I845" s="4">
        <v>57.2</v>
      </c>
      <c r="J845" s="11">
        <v>75</v>
      </c>
      <c r="L845" s="12">
        <f t="shared" si="17"/>
        <v>1.8750612633917001</v>
      </c>
      <c r="M845" s="11">
        <f>GraphSalmonella!$B$10-(Salmonella!I845-GraphSalmonella!$B$6)/GraphSalmonella!$B$5</f>
        <v>0.57931100083447151</v>
      </c>
      <c r="N845" s="1" t="s">
        <v>586</v>
      </c>
      <c r="O845">
        <v>1970</v>
      </c>
      <c r="S845" s="10">
        <f>GraphSalmonella!$B$57*Salmonella!I845+GraphSalmonella!$B$58</f>
        <v>0.51813599117844245</v>
      </c>
      <c r="T845" s="10">
        <f>GraphSalmonella!$E$57*Salmonella!I845+GraphSalmonella!$E$58</f>
        <v>3.2744886177804045</v>
      </c>
      <c r="U845" s="10">
        <f>GraphSalmonella!$H$57*Salmonella!I845+GraphSalmonella!$H$58</f>
        <v>0.58010622333732087</v>
      </c>
      <c r="X845" s="10">
        <f>GraphSalmonella!$B$80*Salmonella!I845+GraphSalmonella!$B$81</f>
        <v>0.58208601784486369</v>
      </c>
      <c r="Y845" s="10">
        <f>GraphSalmonella!$E$80*Salmonella!I845+GraphSalmonella!$E$81</f>
        <v>0.59495409397555665</v>
      </c>
      <c r="Z845" s="10">
        <f>GraphSalmonella!$H$80*Salmonella!I845+GraphSalmonella!$H$81</f>
        <v>0.29719653009134195</v>
      </c>
    </row>
    <row r="846" spans="1:26" x14ac:dyDescent="0.2">
      <c r="A846" s="1" t="s">
        <v>66</v>
      </c>
      <c r="B846" s="1" t="s">
        <v>67</v>
      </c>
      <c r="C846" t="s">
        <v>312</v>
      </c>
      <c r="D846" t="s">
        <v>44</v>
      </c>
      <c r="E846" s="1" t="s">
        <v>584</v>
      </c>
      <c r="F846" s="19" t="s">
        <v>720</v>
      </c>
      <c r="G846" s="9">
        <v>0.93</v>
      </c>
      <c r="H846" s="4">
        <v>6.9</v>
      </c>
      <c r="I846" s="4">
        <v>57.2</v>
      </c>
      <c r="J846" s="11">
        <v>50</v>
      </c>
      <c r="L846" s="12">
        <f t="shared" si="17"/>
        <v>1.6989700043360187</v>
      </c>
      <c r="M846" s="11">
        <f>GraphSalmonella!$B$10-(Salmonella!I846-GraphSalmonella!$B$6)/GraphSalmonella!$B$5</f>
        <v>0.57931100083447151</v>
      </c>
      <c r="N846" s="1" t="s">
        <v>586</v>
      </c>
      <c r="O846">
        <v>1970</v>
      </c>
      <c r="S846" s="10">
        <f>GraphSalmonella!$B$57*Salmonella!I846+GraphSalmonella!$B$58</f>
        <v>0.51813599117844245</v>
      </c>
      <c r="T846" s="10">
        <f>GraphSalmonella!$E$57*Salmonella!I846+GraphSalmonella!$E$58</f>
        <v>3.2744886177804045</v>
      </c>
      <c r="U846" s="10">
        <f>GraphSalmonella!$H$57*Salmonella!I846+GraphSalmonella!$H$58</f>
        <v>0.58010622333732087</v>
      </c>
      <c r="X846" s="10">
        <f>GraphSalmonella!$B$80*Salmonella!I846+GraphSalmonella!$B$81</f>
        <v>0.58208601784486369</v>
      </c>
      <c r="Y846" s="10">
        <f>GraphSalmonella!$E$80*Salmonella!I846+GraphSalmonella!$E$81</f>
        <v>0.59495409397555665</v>
      </c>
      <c r="Z846" s="10">
        <f>GraphSalmonella!$H$80*Salmonella!I846+GraphSalmonella!$H$81</f>
        <v>0.29719653009134195</v>
      </c>
    </row>
    <row r="847" spans="1:26" x14ac:dyDescent="0.2">
      <c r="A847" s="1" t="s">
        <v>66</v>
      </c>
      <c r="B847" s="1" t="s">
        <v>67</v>
      </c>
      <c r="C847" t="s">
        <v>312</v>
      </c>
      <c r="D847" t="s">
        <v>44</v>
      </c>
      <c r="E847" s="1" t="s">
        <v>584</v>
      </c>
      <c r="F847" s="19" t="s">
        <v>720</v>
      </c>
      <c r="G847" s="9">
        <v>0.93</v>
      </c>
      <c r="H847" s="4">
        <v>6.9</v>
      </c>
      <c r="I847" s="4">
        <v>57.2</v>
      </c>
      <c r="J847" s="11">
        <v>60</v>
      </c>
      <c r="L847" s="12">
        <f t="shared" si="17"/>
        <v>1.7781512503836436</v>
      </c>
      <c r="M847" s="11">
        <f>GraphSalmonella!$B$10-(Salmonella!I847-GraphSalmonella!$B$6)/GraphSalmonella!$B$5</f>
        <v>0.57931100083447151</v>
      </c>
      <c r="N847" s="1" t="s">
        <v>586</v>
      </c>
      <c r="O847">
        <v>1970</v>
      </c>
      <c r="S847" s="10">
        <f>GraphSalmonella!$B$57*Salmonella!I847+GraphSalmonella!$B$58</f>
        <v>0.51813599117844245</v>
      </c>
      <c r="T847" s="10">
        <f>GraphSalmonella!$E$57*Salmonella!I847+GraphSalmonella!$E$58</f>
        <v>3.2744886177804045</v>
      </c>
      <c r="U847" s="10">
        <f>GraphSalmonella!$H$57*Salmonella!I847+GraphSalmonella!$H$58</f>
        <v>0.58010622333732087</v>
      </c>
      <c r="X847" s="10">
        <f>GraphSalmonella!$B$80*Salmonella!I847+GraphSalmonella!$B$81</f>
        <v>0.58208601784486369</v>
      </c>
      <c r="Y847" s="10">
        <f>GraphSalmonella!$E$80*Salmonella!I847+GraphSalmonella!$E$81</f>
        <v>0.59495409397555665</v>
      </c>
      <c r="Z847" s="10">
        <f>GraphSalmonella!$H$80*Salmonella!I847+GraphSalmonella!$H$81</f>
        <v>0.29719653009134195</v>
      </c>
    </row>
    <row r="848" spans="1:26" x14ac:dyDescent="0.2">
      <c r="A848" s="1" t="s">
        <v>66</v>
      </c>
      <c r="B848" s="1" t="s">
        <v>85</v>
      </c>
      <c r="D848" t="s">
        <v>44</v>
      </c>
      <c r="E848" s="1" t="s">
        <v>584</v>
      </c>
      <c r="F848" s="19" t="s">
        <v>720</v>
      </c>
      <c r="G848" s="9">
        <v>0.93</v>
      </c>
      <c r="H848" s="4">
        <v>6.9</v>
      </c>
      <c r="I848" s="4">
        <v>57.2</v>
      </c>
      <c r="J848" s="11">
        <v>20</v>
      </c>
      <c r="L848" s="12">
        <f t="shared" si="17"/>
        <v>1.3010299956639813</v>
      </c>
      <c r="M848" s="11">
        <f>GraphSalmonella!$B$10-(Salmonella!I848-GraphSalmonella!$B$6)/GraphSalmonella!$B$5</f>
        <v>0.57931100083447151</v>
      </c>
      <c r="N848" s="1" t="s">
        <v>586</v>
      </c>
      <c r="O848">
        <v>1970</v>
      </c>
      <c r="S848" s="10">
        <f>GraphSalmonella!$B$57*Salmonella!I848+GraphSalmonella!$B$58</f>
        <v>0.51813599117844245</v>
      </c>
      <c r="T848" s="10">
        <f>GraphSalmonella!$E$57*Salmonella!I848+GraphSalmonella!$E$58</f>
        <v>3.2744886177804045</v>
      </c>
      <c r="U848" s="10">
        <f>GraphSalmonella!$H$57*Salmonella!I848+GraphSalmonella!$H$58</f>
        <v>0.58010622333732087</v>
      </c>
      <c r="X848" s="10">
        <f>GraphSalmonella!$B$80*Salmonella!I848+GraphSalmonella!$B$81</f>
        <v>0.58208601784486369</v>
      </c>
      <c r="Y848" s="10">
        <f>GraphSalmonella!$E$80*Salmonella!I848+GraphSalmonella!$E$81</f>
        <v>0.59495409397555665</v>
      </c>
      <c r="Z848" s="10">
        <f>GraphSalmonella!$H$80*Salmonella!I848+GraphSalmonella!$H$81</f>
        <v>0.29719653009134195</v>
      </c>
    </row>
    <row r="849" spans="1:26" x14ac:dyDescent="0.2">
      <c r="A849" s="1" t="s">
        <v>66</v>
      </c>
      <c r="B849" s="1" t="s">
        <v>85</v>
      </c>
      <c r="D849" t="s">
        <v>44</v>
      </c>
      <c r="E849" s="1" t="s">
        <v>584</v>
      </c>
      <c r="F849" s="19" t="s">
        <v>720</v>
      </c>
      <c r="G849" s="9">
        <v>0.93</v>
      </c>
      <c r="H849" s="4">
        <v>6.9</v>
      </c>
      <c r="I849" s="4">
        <v>57.2</v>
      </c>
      <c r="J849" s="11">
        <v>25</v>
      </c>
      <c r="L849" s="12">
        <f t="shared" si="17"/>
        <v>1.3979400086720377</v>
      </c>
      <c r="M849" s="11">
        <f>GraphSalmonella!$B$10-(Salmonella!I849-GraphSalmonella!$B$6)/GraphSalmonella!$B$5</f>
        <v>0.57931100083447151</v>
      </c>
      <c r="N849" s="1" t="s">
        <v>586</v>
      </c>
      <c r="O849">
        <v>1970</v>
      </c>
      <c r="S849" s="10">
        <f>GraphSalmonella!$B$57*Salmonella!I849+GraphSalmonella!$B$58</f>
        <v>0.51813599117844245</v>
      </c>
      <c r="T849" s="10">
        <f>GraphSalmonella!$E$57*Salmonella!I849+GraphSalmonella!$E$58</f>
        <v>3.2744886177804045</v>
      </c>
      <c r="U849" s="10">
        <f>GraphSalmonella!$H$57*Salmonella!I849+GraphSalmonella!$H$58</f>
        <v>0.58010622333732087</v>
      </c>
      <c r="X849" s="10">
        <f>GraphSalmonella!$B$80*Salmonella!I849+GraphSalmonella!$B$81</f>
        <v>0.58208601784486369</v>
      </c>
      <c r="Y849" s="10">
        <f>GraphSalmonella!$E$80*Salmonella!I849+GraphSalmonella!$E$81</f>
        <v>0.59495409397555665</v>
      </c>
      <c r="Z849" s="10">
        <f>GraphSalmonella!$H$80*Salmonella!I849+GraphSalmonella!$H$81</f>
        <v>0.29719653009134195</v>
      </c>
    </row>
    <row r="850" spans="1:26" x14ac:dyDescent="0.2">
      <c r="A850" s="1" t="s">
        <v>66</v>
      </c>
      <c r="B850" s="1" t="s">
        <v>70</v>
      </c>
      <c r="D850" t="s">
        <v>44</v>
      </c>
      <c r="E850" s="1" t="s">
        <v>584</v>
      </c>
      <c r="F850" s="19" t="s">
        <v>720</v>
      </c>
      <c r="G850" s="9">
        <v>0.93</v>
      </c>
      <c r="H850" s="4">
        <v>6.9</v>
      </c>
      <c r="I850" s="4">
        <v>57.2</v>
      </c>
      <c r="J850" s="11">
        <v>15</v>
      </c>
      <c r="L850" s="12">
        <f t="shared" si="17"/>
        <v>1.1760912590556813</v>
      </c>
      <c r="M850" s="11">
        <f>GraphSalmonella!$B$10-(Salmonella!I850-GraphSalmonella!$B$6)/GraphSalmonella!$B$5</f>
        <v>0.57931100083447151</v>
      </c>
      <c r="N850" s="1" t="s">
        <v>586</v>
      </c>
      <c r="O850">
        <v>1970</v>
      </c>
      <c r="S850" s="10">
        <f>GraphSalmonella!$B$57*Salmonella!I850+GraphSalmonella!$B$58</f>
        <v>0.51813599117844245</v>
      </c>
      <c r="T850" s="10">
        <f>GraphSalmonella!$E$57*Salmonella!I850+GraphSalmonella!$E$58</f>
        <v>3.2744886177804045</v>
      </c>
      <c r="U850" s="10">
        <f>GraphSalmonella!$H$57*Salmonella!I850+GraphSalmonella!$H$58</f>
        <v>0.58010622333732087</v>
      </c>
      <c r="X850" s="10">
        <f>GraphSalmonella!$B$80*Salmonella!I850+GraphSalmonella!$B$81</f>
        <v>0.58208601784486369</v>
      </c>
      <c r="Y850" s="10">
        <f>GraphSalmonella!$E$80*Salmonella!I850+GraphSalmonella!$E$81</f>
        <v>0.59495409397555665</v>
      </c>
      <c r="Z850" s="10">
        <f>GraphSalmonella!$H$80*Salmonella!I850+GraphSalmonella!$H$81</f>
        <v>0.29719653009134195</v>
      </c>
    </row>
    <row r="851" spans="1:26" x14ac:dyDescent="0.2">
      <c r="A851" s="1" t="s">
        <v>66</v>
      </c>
      <c r="B851" s="1" t="s">
        <v>70</v>
      </c>
      <c r="D851" t="s">
        <v>44</v>
      </c>
      <c r="E851" s="1" t="s">
        <v>584</v>
      </c>
      <c r="F851" s="19" t="s">
        <v>720</v>
      </c>
      <c r="G851" s="9">
        <v>0.93</v>
      </c>
      <c r="H851" s="4">
        <v>6.9</v>
      </c>
      <c r="I851" s="4">
        <v>57.2</v>
      </c>
      <c r="J851" s="11">
        <v>41</v>
      </c>
      <c r="L851" s="12">
        <f t="shared" si="17"/>
        <v>1.6127838567197355</v>
      </c>
      <c r="M851" s="11">
        <f>GraphSalmonella!$B$10-(Salmonella!I851-GraphSalmonella!$B$6)/GraphSalmonella!$B$5</f>
        <v>0.57931100083447151</v>
      </c>
      <c r="N851" s="1" t="s">
        <v>586</v>
      </c>
      <c r="O851">
        <v>1970</v>
      </c>
      <c r="S851" s="10">
        <f>GraphSalmonella!$B$57*Salmonella!I851+GraphSalmonella!$B$58</f>
        <v>0.51813599117844245</v>
      </c>
      <c r="T851" s="10">
        <f>GraphSalmonella!$E$57*Salmonella!I851+GraphSalmonella!$E$58</f>
        <v>3.2744886177804045</v>
      </c>
      <c r="U851" s="10">
        <f>GraphSalmonella!$H$57*Salmonella!I851+GraphSalmonella!$H$58</f>
        <v>0.58010622333732087</v>
      </c>
      <c r="X851" s="10">
        <f>GraphSalmonella!$B$80*Salmonella!I851+GraphSalmonella!$B$81</f>
        <v>0.58208601784486369</v>
      </c>
      <c r="Y851" s="10">
        <f>GraphSalmonella!$E$80*Salmonella!I851+GraphSalmonella!$E$81</f>
        <v>0.59495409397555665</v>
      </c>
      <c r="Z851" s="10">
        <f>GraphSalmonella!$H$80*Salmonella!I851+GraphSalmonella!$H$81</f>
        <v>0.29719653009134195</v>
      </c>
    </row>
    <row r="852" spans="1:26" x14ac:dyDescent="0.2">
      <c r="A852" s="1" t="s">
        <v>66</v>
      </c>
      <c r="B852" s="1" t="s">
        <v>87</v>
      </c>
      <c r="D852" t="s">
        <v>44</v>
      </c>
      <c r="E852" s="1" t="s">
        <v>584</v>
      </c>
      <c r="F852" s="19" t="s">
        <v>721</v>
      </c>
      <c r="G852" s="9">
        <v>0.9</v>
      </c>
      <c r="H852" s="4">
        <v>6.9</v>
      </c>
      <c r="I852" s="4">
        <v>57.2</v>
      </c>
      <c r="J852" s="11">
        <v>70</v>
      </c>
      <c r="L852" s="12">
        <f t="shared" si="17"/>
        <v>1.8450980400142569</v>
      </c>
      <c r="M852" s="11">
        <f>GraphSalmonella!$B$10-(Salmonella!I852-GraphSalmonella!$B$6)/GraphSalmonella!$B$5</f>
        <v>0.57931100083447151</v>
      </c>
      <c r="N852" s="1" t="s">
        <v>586</v>
      </c>
      <c r="O852">
        <v>1970</v>
      </c>
      <c r="S852" s="10">
        <f>GraphSalmonella!$B$57*Salmonella!I852+GraphSalmonella!$B$58</f>
        <v>0.51813599117844245</v>
      </c>
      <c r="T852" s="10">
        <f>GraphSalmonella!$E$57*Salmonella!I852+GraphSalmonella!$E$58</f>
        <v>3.2744886177804045</v>
      </c>
      <c r="U852" s="10">
        <f>GraphSalmonella!$H$57*Salmonella!I852+GraphSalmonella!$H$58</f>
        <v>0.58010622333732087</v>
      </c>
      <c r="X852" s="10">
        <f>GraphSalmonella!$B$80*Salmonella!I852+GraphSalmonella!$B$81</f>
        <v>0.58208601784486369</v>
      </c>
      <c r="Y852" s="10">
        <f>GraphSalmonella!$E$80*Salmonella!I852+GraphSalmonella!$E$81</f>
        <v>0.59495409397555665</v>
      </c>
      <c r="Z852" s="10">
        <f>GraphSalmonella!$H$80*Salmonella!I852+GraphSalmonella!$H$81</f>
        <v>0.29719653009134195</v>
      </c>
    </row>
    <row r="853" spans="1:26" x14ac:dyDescent="0.2">
      <c r="A853" s="1" t="s">
        <v>66</v>
      </c>
      <c r="B853" s="1" t="s">
        <v>87</v>
      </c>
      <c r="D853" t="s">
        <v>44</v>
      </c>
      <c r="E853" s="1" t="s">
        <v>584</v>
      </c>
      <c r="F853" s="19" t="s">
        <v>721</v>
      </c>
      <c r="G853" s="9">
        <v>0.9</v>
      </c>
      <c r="H853" s="4">
        <v>6.9</v>
      </c>
      <c r="I853" s="4">
        <v>57.2</v>
      </c>
      <c r="J853" s="11">
        <v>110</v>
      </c>
      <c r="L853" s="12">
        <f t="shared" si="17"/>
        <v>2.0413926851582249</v>
      </c>
      <c r="M853" s="11">
        <f>GraphSalmonella!$B$10-(Salmonella!I853-GraphSalmonella!$B$6)/GraphSalmonella!$B$5</f>
        <v>0.57931100083447151</v>
      </c>
      <c r="N853" s="1" t="s">
        <v>586</v>
      </c>
      <c r="O853">
        <v>1970</v>
      </c>
      <c r="S853" s="10">
        <f>GraphSalmonella!$B$57*Salmonella!I853+GraphSalmonella!$B$58</f>
        <v>0.51813599117844245</v>
      </c>
      <c r="T853" s="10">
        <f>GraphSalmonella!$E$57*Salmonella!I853+GraphSalmonella!$E$58</f>
        <v>3.2744886177804045</v>
      </c>
      <c r="U853" s="10">
        <f>GraphSalmonella!$H$57*Salmonella!I853+GraphSalmonella!$H$58</f>
        <v>0.58010622333732087</v>
      </c>
      <c r="X853" s="10">
        <f>GraphSalmonella!$B$80*Salmonella!I853+GraphSalmonella!$B$81</f>
        <v>0.58208601784486369</v>
      </c>
      <c r="Y853" s="10">
        <f>GraphSalmonella!$E$80*Salmonella!I853+GraphSalmonella!$E$81</f>
        <v>0.59495409397555665</v>
      </c>
      <c r="Z853" s="10">
        <f>GraphSalmonella!$H$80*Salmonella!I853+GraphSalmonella!$H$81</f>
        <v>0.29719653009134195</v>
      </c>
    </row>
    <row r="854" spans="1:26" x14ac:dyDescent="0.2">
      <c r="A854" s="1" t="s">
        <v>66</v>
      </c>
      <c r="B854" s="1" t="s">
        <v>80</v>
      </c>
      <c r="C854" t="s">
        <v>585</v>
      </c>
      <c r="D854" t="s">
        <v>44</v>
      </c>
      <c r="E854" s="1" t="s">
        <v>584</v>
      </c>
      <c r="F854" s="19" t="s">
        <v>721</v>
      </c>
      <c r="G854" s="9">
        <v>0.9</v>
      </c>
      <c r="H854" s="4">
        <v>6.9</v>
      </c>
      <c r="I854" s="4">
        <v>57.2</v>
      </c>
      <c r="J854" s="11">
        <v>53</v>
      </c>
      <c r="L854" s="12">
        <f t="shared" si="17"/>
        <v>1.7242758696007889</v>
      </c>
      <c r="M854" s="11">
        <f>GraphSalmonella!$B$10-(Salmonella!I854-GraphSalmonella!$B$6)/GraphSalmonella!$B$5</f>
        <v>0.57931100083447151</v>
      </c>
      <c r="N854" s="1" t="s">
        <v>586</v>
      </c>
      <c r="O854">
        <v>1970</v>
      </c>
      <c r="S854" s="10">
        <f>GraphSalmonella!$B$57*Salmonella!I854+GraphSalmonella!$B$58</f>
        <v>0.51813599117844245</v>
      </c>
      <c r="T854" s="10">
        <f>GraphSalmonella!$E$57*Salmonella!I854+GraphSalmonella!$E$58</f>
        <v>3.2744886177804045</v>
      </c>
      <c r="U854" s="10">
        <f>GraphSalmonella!$H$57*Salmonella!I854+GraphSalmonella!$H$58</f>
        <v>0.58010622333732087</v>
      </c>
      <c r="X854" s="10">
        <f>GraphSalmonella!$B$80*Salmonella!I854+GraphSalmonella!$B$81</f>
        <v>0.58208601784486369</v>
      </c>
      <c r="Y854" s="10">
        <f>GraphSalmonella!$E$80*Salmonella!I854+GraphSalmonella!$E$81</f>
        <v>0.59495409397555665</v>
      </c>
      <c r="Z854" s="10">
        <f>GraphSalmonella!$H$80*Salmonella!I854+GraphSalmonella!$H$81</f>
        <v>0.29719653009134195</v>
      </c>
    </row>
    <row r="855" spans="1:26" x14ac:dyDescent="0.2">
      <c r="A855" s="1" t="s">
        <v>66</v>
      </c>
      <c r="B855" s="1" t="s">
        <v>80</v>
      </c>
      <c r="C855" t="s">
        <v>585</v>
      </c>
      <c r="D855" t="s">
        <v>44</v>
      </c>
      <c r="E855" s="1" t="s">
        <v>584</v>
      </c>
      <c r="F855" s="19" t="s">
        <v>721</v>
      </c>
      <c r="G855" s="9">
        <v>0.9</v>
      </c>
      <c r="H855" s="4">
        <v>6.9</v>
      </c>
      <c r="I855" s="4">
        <v>57.2</v>
      </c>
      <c r="J855" s="11">
        <v>65</v>
      </c>
      <c r="L855" s="12">
        <f t="shared" si="17"/>
        <v>1.8129133566428555</v>
      </c>
      <c r="M855" s="11">
        <f>GraphSalmonella!$B$10-(Salmonella!I855-GraphSalmonella!$B$6)/GraphSalmonella!$B$5</f>
        <v>0.57931100083447151</v>
      </c>
      <c r="N855" s="1" t="s">
        <v>586</v>
      </c>
      <c r="O855">
        <v>1970</v>
      </c>
      <c r="S855" s="10">
        <f>GraphSalmonella!$B$57*Salmonella!I855+GraphSalmonella!$B$58</f>
        <v>0.51813599117844245</v>
      </c>
      <c r="T855" s="10">
        <f>GraphSalmonella!$E$57*Salmonella!I855+GraphSalmonella!$E$58</f>
        <v>3.2744886177804045</v>
      </c>
      <c r="U855" s="10">
        <f>GraphSalmonella!$H$57*Salmonella!I855+GraphSalmonella!$H$58</f>
        <v>0.58010622333732087</v>
      </c>
      <c r="X855" s="10">
        <f>GraphSalmonella!$B$80*Salmonella!I855+GraphSalmonella!$B$81</f>
        <v>0.58208601784486369</v>
      </c>
      <c r="Y855" s="10">
        <f>GraphSalmonella!$E$80*Salmonella!I855+GraphSalmonella!$E$81</f>
        <v>0.59495409397555665</v>
      </c>
      <c r="Z855" s="10">
        <f>GraphSalmonella!$H$80*Salmonella!I855+GraphSalmonella!$H$81</f>
        <v>0.29719653009134195</v>
      </c>
    </row>
    <row r="856" spans="1:26" x14ac:dyDescent="0.2">
      <c r="A856" s="1" t="s">
        <v>66</v>
      </c>
      <c r="B856" s="1" t="s">
        <v>80</v>
      </c>
      <c r="D856" t="s">
        <v>44</v>
      </c>
      <c r="E856" s="1" t="s">
        <v>584</v>
      </c>
      <c r="F856" s="19" t="s">
        <v>721</v>
      </c>
      <c r="G856" s="9">
        <v>0.9</v>
      </c>
      <c r="H856" s="4">
        <v>6.9</v>
      </c>
      <c r="I856" s="4">
        <v>57.2</v>
      </c>
      <c r="J856" s="11">
        <v>60</v>
      </c>
      <c r="L856" s="12">
        <f t="shared" si="17"/>
        <v>1.7781512503836436</v>
      </c>
      <c r="M856" s="11">
        <f>GraphSalmonella!$B$10-(Salmonella!I856-GraphSalmonella!$B$6)/GraphSalmonella!$B$5</f>
        <v>0.57931100083447151</v>
      </c>
      <c r="N856" s="1" t="s">
        <v>586</v>
      </c>
      <c r="O856">
        <v>1970</v>
      </c>
      <c r="S856" s="10">
        <f>GraphSalmonella!$B$57*Salmonella!I856+GraphSalmonella!$B$58</f>
        <v>0.51813599117844245</v>
      </c>
      <c r="T856" s="10">
        <f>GraphSalmonella!$E$57*Salmonella!I856+GraphSalmonella!$E$58</f>
        <v>3.2744886177804045</v>
      </c>
      <c r="U856" s="10">
        <f>GraphSalmonella!$H$57*Salmonella!I856+GraphSalmonella!$H$58</f>
        <v>0.58010622333732087</v>
      </c>
      <c r="X856" s="10">
        <f>GraphSalmonella!$B$80*Salmonella!I856+GraphSalmonella!$B$81</f>
        <v>0.58208601784486369</v>
      </c>
      <c r="Y856" s="10">
        <f>GraphSalmonella!$E$80*Salmonella!I856+GraphSalmonella!$E$81</f>
        <v>0.59495409397555665</v>
      </c>
      <c r="Z856" s="10">
        <f>GraphSalmonella!$H$80*Salmonella!I856+GraphSalmonella!$H$81</f>
        <v>0.29719653009134195</v>
      </c>
    </row>
    <row r="857" spans="1:26" x14ac:dyDescent="0.2">
      <c r="A857" s="1" t="s">
        <v>66</v>
      </c>
      <c r="B857" s="1" t="s">
        <v>80</v>
      </c>
      <c r="D857" t="s">
        <v>44</v>
      </c>
      <c r="E857" s="1" t="s">
        <v>584</v>
      </c>
      <c r="F857" s="19" t="s">
        <v>721</v>
      </c>
      <c r="G857" s="9">
        <v>0.9</v>
      </c>
      <c r="H857" s="4">
        <v>6.9</v>
      </c>
      <c r="I857" s="4">
        <v>57.2</v>
      </c>
      <c r="J857" s="11">
        <v>65</v>
      </c>
      <c r="L857" s="12">
        <f t="shared" si="17"/>
        <v>1.8129133566428555</v>
      </c>
      <c r="M857" s="11">
        <f>GraphSalmonella!$B$10-(Salmonella!I857-GraphSalmonella!$B$6)/GraphSalmonella!$B$5</f>
        <v>0.57931100083447151</v>
      </c>
      <c r="N857" s="1" t="s">
        <v>586</v>
      </c>
      <c r="O857">
        <v>1970</v>
      </c>
      <c r="S857" s="10">
        <f>GraphSalmonella!$B$57*Salmonella!I857+GraphSalmonella!$B$58</f>
        <v>0.51813599117844245</v>
      </c>
      <c r="T857" s="10">
        <f>GraphSalmonella!$E$57*Salmonella!I857+GraphSalmonella!$E$58</f>
        <v>3.2744886177804045</v>
      </c>
      <c r="U857" s="10">
        <f>GraphSalmonella!$H$57*Salmonella!I857+GraphSalmonella!$H$58</f>
        <v>0.58010622333732087</v>
      </c>
      <c r="X857" s="10">
        <f>GraphSalmonella!$B$80*Salmonella!I857+GraphSalmonella!$B$81</f>
        <v>0.58208601784486369</v>
      </c>
      <c r="Y857" s="10">
        <f>GraphSalmonella!$E$80*Salmonella!I857+GraphSalmonella!$E$81</f>
        <v>0.59495409397555665</v>
      </c>
      <c r="Z857" s="10">
        <f>GraphSalmonella!$H$80*Salmonella!I857+GraphSalmonella!$H$81</f>
        <v>0.29719653009134195</v>
      </c>
    </row>
    <row r="858" spans="1:26" x14ac:dyDescent="0.2">
      <c r="A858" s="1" t="s">
        <v>66</v>
      </c>
      <c r="B858" s="1" t="s">
        <v>90</v>
      </c>
      <c r="D858" t="s">
        <v>44</v>
      </c>
      <c r="E858" s="1" t="s">
        <v>584</v>
      </c>
      <c r="F858" s="19" t="s">
        <v>721</v>
      </c>
      <c r="G858" s="9">
        <v>0.9</v>
      </c>
      <c r="H858" s="4">
        <v>6.9</v>
      </c>
      <c r="I858" s="4">
        <v>57.2</v>
      </c>
      <c r="J858" s="11">
        <v>17</v>
      </c>
      <c r="L858" s="12">
        <f t="shared" si="17"/>
        <v>1.2304489213782739</v>
      </c>
      <c r="M858" s="11">
        <f>GraphSalmonella!$B$10-(Salmonella!I858-GraphSalmonella!$B$6)/GraphSalmonella!$B$5</f>
        <v>0.57931100083447151</v>
      </c>
      <c r="N858" s="1" t="s">
        <v>586</v>
      </c>
      <c r="O858">
        <v>1970</v>
      </c>
      <c r="S858" s="10">
        <f>GraphSalmonella!$B$57*Salmonella!I858+GraphSalmonella!$B$58</f>
        <v>0.51813599117844245</v>
      </c>
      <c r="T858" s="10">
        <f>GraphSalmonella!$E$57*Salmonella!I858+GraphSalmonella!$E$58</f>
        <v>3.2744886177804045</v>
      </c>
      <c r="U858" s="10">
        <f>GraphSalmonella!$H$57*Salmonella!I858+GraphSalmonella!$H$58</f>
        <v>0.58010622333732087</v>
      </c>
      <c r="X858" s="10">
        <f>GraphSalmonella!$B$80*Salmonella!I858+GraphSalmonella!$B$81</f>
        <v>0.58208601784486369</v>
      </c>
      <c r="Y858" s="10">
        <f>GraphSalmonella!$E$80*Salmonella!I858+GraphSalmonella!$E$81</f>
        <v>0.59495409397555665</v>
      </c>
      <c r="Z858" s="10">
        <f>GraphSalmonella!$H$80*Salmonella!I858+GraphSalmonella!$H$81</f>
        <v>0.29719653009134195</v>
      </c>
    </row>
    <row r="859" spans="1:26" x14ac:dyDescent="0.2">
      <c r="A859" s="1" t="s">
        <v>66</v>
      </c>
      <c r="B859" s="1" t="s">
        <v>90</v>
      </c>
      <c r="D859" t="s">
        <v>44</v>
      </c>
      <c r="E859" s="1" t="s">
        <v>584</v>
      </c>
      <c r="F859" s="19" t="s">
        <v>721</v>
      </c>
      <c r="G859" s="9">
        <v>0.9</v>
      </c>
      <c r="H859" s="4">
        <v>6.9</v>
      </c>
      <c r="I859" s="4">
        <v>57.2</v>
      </c>
      <c r="J859" s="11">
        <v>28</v>
      </c>
      <c r="L859" s="12">
        <f t="shared" si="17"/>
        <v>1.4471580313422192</v>
      </c>
      <c r="M859" s="11">
        <f>GraphSalmonella!$B$10-(Salmonella!I859-GraphSalmonella!$B$6)/GraphSalmonella!$B$5</f>
        <v>0.57931100083447151</v>
      </c>
      <c r="N859" s="1" t="s">
        <v>586</v>
      </c>
      <c r="O859">
        <v>1970</v>
      </c>
      <c r="S859" s="10">
        <f>GraphSalmonella!$B$57*Salmonella!I859+GraphSalmonella!$B$58</f>
        <v>0.51813599117844245</v>
      </c>
      <c r="T859" s="10">
        <f>GraphSalmonella!$E$57*Salmonella!I859+GraphSalmonella!$E$58</f>
        <v>3.2744886177804045</v>
      </c>
      <c r="U859" s="10">
        <f>GraphSalmonella!$H$57*Salmonella!I859+GraphSalmonella!$H$58</f>
        <v>0.58010622333732087</v>
      </c>
      <c r="X859" s="10">
        <f>GraphSalmonella!$B$80*Salmonella!I859+GraphSalmonella!$B$81</f>
        <v>0.58208601784486369</v>
      </c>
      <c r="Y859" s="10">
        <f>GraphSalmonella!$E$80*Salmonella!I859+GraphSalmonella!$E$81</f>
        <v>0.59495409397555665</v>
      </c>
      <c r="Z859" s="10">
        <f>GraphSalmonella!$H$80*Salmonella!I859+GraphSalmonella!$H$81</f>
        <v>0.29719653009134195</v>
      </c>
    </row>
    <row r="860" spans="1:26" x14ac:dyDescent="0.2">
      <c r="A860" s="1" t="s">
        <v>66</v>
      </c>
      <c r="B860" s="1" t="s">
        <v>88</v>
      </c>
      <c r="D860" t="s">
        <v>44</v>
      </c>
      <c r="E860" s="1" t="s">
        <v>584</v>
      </c>
      <c r="F860" s="19" t="s">
        <v>721</v>
      </c>
      <c r="G860" s="9">
        <v>0.9</v>
      </c>
      <c r="H860" s="4">
        <v>6.9</v>
      </c>
      <c r="I860" s="4">
        <v>57.2</v>
      </c>
      <c r="J860" s="11">
        <v>65</v>
      </c>
      <c r="L860" s="12">
        <f t="shared" si="17"/>
        <v>1.8129133566428555</v>
      </c>
      <c r="M860" s="11">
        <f>GraphSalmonella!$B$10-(Salmonella!I860-GraphSalmonella!$B$6)/GraphSalmonella!$B$5</f>
        <v>0.57931100083447151</v>
      </c>
      <c r="N860" s="1" t="s">
        <v>586</v>
      </c>
      <c r="O860">
        <v>1970</v>
      </c>
      <c r="S860" s="10">
        <f>GraphSalmonella!$B$57*Salmonella!I860+GraphSalmonella!$B$58</f>
        <v>0.51813599117844245</v>
      </c>
      <c r="T860" s="10">
        <f>GraphSalmonella!$E$57*Salmonella!I860+GraphSalmonella!$E$58</f>
        <v>3.2744886177804045</v>
      </c>
      <c r="U860" s="10">
        <f>GraphSalmonella!$H$57*Salmonella!I860+GraphSalmonella!$H$58</f>
        <v>0.58010622333732087</v>
      </c>
      <c r="X860" s="10">
        <f>GraphSalmonella!$B$80*Salmonella!I860+GraphSalmonella!$B$81</f>
        <v>0.58208601784486369</v>
      </c>
      <c r="Y860" s="10">
        <f>GraphSalmonella!$E$80*Salmonella!I860+GraphSalmonella!$E$81</f>
        <v>0.59495409397555665</v>
      </c>
      <c r="Z860" s="10">
        <f>GraphSalmonella!$H$80*Salmonella!I860+GraphSalmonella!$H$81</f>
        <v>0.29719653009134195</v>
      </c>
    </row>
    <row r="861" spans="1:26" x14ac:dyDescent="0.2">
      <c r="A861" s="1" t="s">
        <v>66</v>
      </c>
      <c r="B861" s="1" t="s">
        <v>88</v>
      </c>
      <c r="D861" t="s">
        <v>44</v>
      </c>
      <c r="E861" s="1" t="s">
        <v>584</v>
      </c>
      <c r="F861" s="19" t="s">
        <v>721</v>
      </c>
      <c r="G861" s="9">
        <v>0.9</v>
      </c>
      <c r="H861" s="4">
        <v>6.9</v>
      </c>
      <c r="I861" s="4">
        <v>57.2</v>
      </c>
      <c r="J861" s="11">
        <v>80</v>
      </c>
      <c r="L861" s="12">
        <f t="shared" si="17"/>
        <v>1.9030899869919435</v>
      </c>
      <c r="M861" s="11">
        <f>GraphSalmonella!$B$10-(Salmonella!I861-GraphSalmonella!$B$6)/GraphSalmonella!$B$5</f>
        <v>0.57931100083447151</v>
      </c>
      <c r="N861" s="1" t="s">
        <v>586</v>
      </c>
      <c r="O861">
        <v>1970</v>
      </c>
      <c r="S861" s="10">
        <f>GraphSalmonella!$B$57*Salmonella!I861+GraphSalmonella!$B$58</f>
        <v>0.51813599117844245</v>
      </c>
      <c r="T861" s="10">
        <f>GraphSalmonella!$E$57*Salmonella!I861+GraphSalmonella!$E$58</f>
        <v>3.2744886177804045</v>
      </c>
      <c r="U861" s="10">
        <f>GraphSalmonella!$H$57*Salmonella!I861+GraphSalmonella!$H$58</f>
        <v>0.58010622333732087</v>
      </c>
      <c r="X861" s="10">
        <f>GraphSalmonella!$B$80*Salmonella!I861+GraphSalmonella!$B$81</f>
        <v>0.58208601784486369</v>
      </c>
      <c r="Y861" s="10">
        <f>GraphSalmonella!$E$80*Salmonella!I861+GraphSalmonella!$E$81</f>
        <v>0.59495409397555665</v>
      </c>
      <c r="Z861" s="10">
        <f>GraphSalmonella!$H$80*Salmonella!I861+GraphSalmonella!$H$81</f>
        <v>0.29719653009134195</v>
      </c>
    </row>
    <row r="862" spans="1:26" x14ac:dyDescent="0.2">
      <c r="A862" s="1" t="s">
        <v>66</v>
      </c>
      <c r="B862" s="1" t="s">
        <v>67</v>
      </c>
      <c r="C862" t="s">
        <v>312</v>
      </c>
      <c r="D862" t="s">
        <v>44</v>
      </c>
      <c r="E862" s="1" t="s">
        <v>584</v>
      </c>
      <c r="F862" s="19" t="s">
        <v>721</v>
      </c>
      <c r="G862" s="9">
        <v>0.9</v>
      </c>
      <c r="H862" s="4">
        <v>6.9</v>
      </c>
      <c r="I862" s="4">
        <v>57.2</v>
      </c>
      <c r="J862" s="11">
        <v>55</v>
      </c>
      <c r="L862" s="12">
        <f t="shared" ref="L862:L925" si="18">LOG(J862)</f>
        <v>1.7403626894942439</v>
      </c>
      <c r="M862" s="11">
        <f>GraphSalmonella!$B$10-(Salmonella!I862-GraphSalmonella!$B$6)/GraphSalmonella!$B$5</f>
        <v>0.57931100083447151</v>
      </c>
      <c r="N862" s="1" t="s">
        <v>586</v>
      </c>
      <c r="O862">
        <v>1970</v>
      </c>
      <c r="S862" s="10">
        <f>GraphSalmonella!$B$57*Salmonella!I862+GraphSalmonella!$B$58</f>
        <v>0.51813599117844245</v>
      </c>
      <c r="T862" s="10">
        <f>GraphSalmonella!$E$57*Salmonella!I862+GraphSalmonella!$E$58</f>
        <v>3.2744886177804045</v>
      </c>
      <c r="U862" s="10">
        <f>GraphSalmonella!$H$57*Salmonella!I862+GraphSalmonella!$H$58</f>
        <v>0.58010622333732087</v>
      </c>
      <c r="X862" s="10">
        <f>GraphSalmonella!$B$80*Salmonella!I862+GraphSalmonella!$B$81</f>
        <v>0.58208601784486369</v>
      </c>
      <c r="Y862" s="10">
        <f>GraphSalmonella!$E$80*Salmonella!I862+GraphSalmonella!$E$81</f>
        <v>0.59495409397555665</v>
      </c>
      <c r="Z862" s="10">
        <f>GraphSalmonella!$H$80*Salmonella!I862+GraphSalmonella!$H$81</f>
        <v>0.29719653009134195</v>
      </c>
    </row>
    <row r="863" spans="1:26" x14ac:dyDescent="0.2">
      <c r="A863" s="1" t="s">
        <v>66</v>
      </c>
      <c r="B863" s="1" t="s">
        <v>67</v>
      </c>
      <c r="C863" t="s">
        <v>312</v>
      </c>
      <c r="D863" t="s">
        <v>44</v>
      </c>
      <c r="E863" s="1" t="s">
        <v>584</v>
      </c>
      <c r="F863" s="19" t="s">
        <v>721</v>
      </c>
      <c r="G863" s="9">
        <v>0.9</v>
      </c>
      <c r="H863" s="4">
        <v>6.9</v>
      </c>
      <c r="I863" s="4">
        <v>57.2</v>
      </c>
      <c r="J863" s="11">
        <v>75</v>
      </c>
      <c r="L863" s="12">
        <f t="shared" si="18"/>
        <v>1.8750612633917001</v>
      </c>
      <c r="M863" s="11">
        <f>GraphSalmonella!$B$10-(Salmonella!I863-GraphSalmonella!$B$6)/GraphSalmonella!$B$5</f>
        <v>0.57931100083447151</v>
      </c>
      <c r="N863" s="1" t="s">
        <v>586</v>
      </c>
      <c r="O863">
        <v>1970</v>
      </c>
      <c r="S863" s="10">
        <f>GraphSalmonella!$B$57*Salmonella!I863+GraphSalmonella!$B$58</f>
        <v>0.51813599117844245</v>
      </c>
      <c r="T863" s="10">
        <f>GraphSalmonella!$E$57*Salmonella!I863+GraphSalmonella!$E$58</f>
        <v>3.2744886177804045</v>
      </c>
      <c r="U863" s="10">
        <f>GraphSalmonella!$H$57*Salmonella!I863+GraphSalmonella!$H$58</f>
        <v>0.58010622333732087</v>
      </c>
      <c r="X863" s="10">
        <f>GraphSalmonella!$B$80*Salmonella!I863+GraphSalmonella!$B$81</f>
        <v>0.58208601784486369</v>
      </c>
      <c r="Y863" s="10">
        <f>GraphSalmonella!$E$80*Salmonella!I863+GraphSalmonella!$E$81</f>
        <v>0.59495409397555665</v>
      </c>
      <c r="Z863" s="10">
        <f>GraphSalmonella!$H$80*Salmonella!I863+GraphSalmonella!$H$81</f>
        <v>0.29719653009134195</v>
      </c>
    </row>
    <row r="864" spans="1:26" x14ac:dyDescent="0.2">
      <c r="A864" s="1" t="s">
        <v>66</v>
      </c>
      <c r="B864" s="1" t="s">
        <v>85</v>
      </c>
      <c r="D864" t="s">
        <v>44</v>
      </c>
      <c r="E864" s="1" t="s">
        <v>584</v>
      </c>
      <c r="F864" s="19" t="s">
        <v>721</v>
      </c>
      <c r="G864" s="9">
        <v>0.9</v>
      </c>
      <c r="H864" s="4">
        <v>6.9</v>
      </c>
      <c r="I864" s="4">
        <v>57.2</v>
      </c>
      <c r="J864" s="11">
        <v>20</v>
      </c>
      <c r="L864" s="12">
        <f t="shared" si="18"/>
        <v>1.3010299956639813</v>
      </c>
      <c r="M864" s="11">
        <f>GraphSalmonella!$B$10-(Salmonella!I864-GraphSalmonella!$B$6)/GraphSalmonella!$B$5</f>
        <v>0.57931100083447151</v>
      </c>
      <c r="N864" s="1" t="s">
        <v>586</v>
      </c>
      <c r="O864">
        <v>1970</v>
      </c>
      <c r="S864" s="10">
        <f>GraphSalmonella!$B$57*Salmonella!I864+GraphSalmonella!$B$58</f>
        <v>0.51813599117844245</v>
      </c>
      <c r="T864" s="10">
        <f>GraphSalmonella!$E$57*Salmonella!I864+GraphSalmonella!$E$58</f>
        <v>3.2744886177804045</v>
      </c>
      <c r="U864" s="10">
        <f>GraphSalmonella!$H$57*Salmonella!I864+GraphSalmonella!$H$58</f>
        <v>0.58010622333732087</v>
      </c>
      <c r="X864" s="10">
        <f>GraphSalmonella!$B$80*Salmonella!I864+GraphSalmonella!$B$81</f>
        <v>0.58208601784486369</v>
      </c>
      <c r="Y864" s="10">
        <f>GraphSalmonella!$E$80*Salmonella!I864+GraphSalmonella!$E$81</f>
        <v>0.59495409397555665</v>
      </c>
      <c r="Z864" s="10">
        <f>GraphSalmonella!$H$80*Salmonella!I864+GraphSalmonella!$H$81</f>
        <v>0.29719653009134195</v>
      </c>
    </row>
    <row r="865" spans="1:26" x14ac:dyDescent="0.2">
      <c r="A865" s="1" t="s">
        <v>66</v>
      </c>
      <c r="B865" s="1" t="s">
        <v>85</v>
      </c>
      <c r="D865" t="s">
        <v>44</v>
      </c>
      <c r="E865" s="1" t="s">
        <v>584</v>
      </c>
      <c r="F865" s="19" t="s">
        <v>721</v>
      </c>
      <c r="G865" s="9">
        <v>0.9</v>
      </c>
      <c r="H865" s="4">
        <v>6.9</v>
      </c>
      <c r="I865" s="4">
        <v>57.2</v>
      </c>
      <c r="J865" s="11">
        <v>27</v>
      </c>
      <c r="L865" s="12">
        <f t="shared" si="18"/>
        <v>1.4313637641589874</v>
      </c>
      <c r="M865" s="11">
        <f>GraphSalmonella!$B$10-(Salmonella!I865-GraphSalmonella!$B$6)/GraphSalmonella!$B$5</f>
        <v>0.57931100083447151</v>
      </c>
      <c r="N865" s="1" t="s">
        <v>586</v>
      </c>
      <c r="O865">
        <v>1970</v>
      </c>
      <c r="S865" s="10">
        <f>GraphSalmonella!$B$57*Salmonella!I865+GraphSalmonella!$B$58</f>
        <v>0.51813599117844245</v>
      </c>
      <c r="T865" s="10">
        <f>GraphSalmonella!$E$57*Salmonella!I865+GraphSalmonella!$E$58</f>
        <v>3.2744886177804045</v>
      </c>
      <c r="U865" s="10">
        <f>GraphSalmonella!$H$57*Salmonella!I865+GraphSalmonella!$H$58</f>
        <v>0.58010622333732087</v>
      </c>
      <c r="X865" s="10">
        <f>GraphSalmonella!$B$80*Salmonella!I865+GraphSalmonella!$B$81</f>
        <v>0.58208601784486369</v>
      </c>
      <c r="Y865" s="10">
        <f>GraphSalmonella!$E$80*Salmonella!I865+GraphSalmonella!$E$81</f>
        <v>0.59495409397555665</v>
      </c>
      <c r="Z865" s="10">
        <f>GraphSalmonella!$H$80*Salmonella!I865+GraphSalmonella!$H$81</f>
        <v>0.29719653009134195</v>
      </c>
    </row>
    <row r="866" spans="1:26" x14ac:dyDescent="0.2">
      <c r="A866" s="1" t="s">
        <v>66</v>
      </c>
      <c r="B866" s="1" t="s">
        <v>70</v>
      </c>
      <c r="D866" t="s">
        <v>44</v>
      </c>
      <c r="E866" s="1" t="s">
        <v>584</v>
      </c>
      <c r="F866" s="19" t="s">
        <v>721</v>
      </c>
      <c r="G866" s="9">
        <v>0.9</v>
      </c>
      <c r="H866" s="4">
        <v>6.9</v>
      </c>
      <c r="I866" s="4">
        <v>57.2</v>
      </c>
      <c r="J866" s="11">
        <v>40</v>
      </c>
      <c r="L866" s="12">
        <f t="shared" si="18"/>
        <v>1.6020599913279623</v>
      </c>
      <c r="M866" s="11">
        <f>GraphSalmonella!$B$10-(Salmonella!I866-GraphSalmonella!$B$6)/GraphSalmonella!$B$5</f>
        <v>0.57931100083447151</v>
      </c>
      <c r="N866" s="1" t="s">
        <v>586</v>
      </c>
      <c r="O866">
        <v>1970</v>
      </c>
      <c r="S866" s="10">
        <f>GraphSalmonella!$B$57*Salmonella!I866+GraphSalmonella!$B$58</f>
        <v>0.51813599117844245</v>
      </c>
      <c r="T866" s="10">
        <f>GraphSalmonella!$E$57*Salmonella!I866+GraphSalmonella!$E$58</f>
        <v>3.2744886177804045</v>
      </c>
      <c r="U866" s="10">
        <f>GraphSalmonella!$H$57*Salmonella!I866+GraphSalmonella!$H$58</f>
        <v>0.58010622333732087</v>
      </c>
      <c r="X866" s="10">
        <f>GraphSalmonella!$B$80*Salmonella!I866+GraphSalmonella!$B$81</f>
        <v>0.58208601784486369</v>
      </c>
      <c r="Y866" s="10">
        <f>GraphSalmonella!$E$80*Salmonella!I866+GraphSalmonella!$E$81</f>
        <v>0.59495409397555665</v>
      </c>
      <c r="Z866" s="10">
        <f>GraphSalmonella!$H$80*Salmonella!I866+GraphSalmonella!$H$81</f>
        <v>0.29719653009134195</v>
      </c>
    </row>
    <row r="867" spans="1:26" x14ac:dyDescent="0.2">
      <c r="A867" s="1" t="s">
        <v>66</v>
      </c>
      <c r="B867" s="1" t="s">
        <v>70</v>
      </c>
      <c r="D867" t="s">
        <v>44</v>
      </c>
      <c r="E867" s="1" t="s">
        <v>584</v>
      </c>
      <c r="F867" s="19" t="s">
        <v>721</v>
      </c>
      <c r="G867" s="9">
        <v>0.9</v>
      </c>
      <c r="H867" s="4">
        <v>6.9</v>
      </c>
      <c r="I867" s="4">
        <v>57.2</v>
      </c>
      <c r="J867" s="11">
        <v>55</v>
      </c>
      <c r="L867" s="12">
        <f t="shared" si="18"/>
        <v>1.7403626894942439</v>
      </c>
      <c r="M867" s="11">
        <f>GraphSalmonella!$B$10-(Salmonella!I867-GraphSalmonella!$B$6)/GraphSalmonella!$B$5</f>
        <v>0.57931100083447151</v>
      </c>
      <c r="N867" s="1" t="s">
        <v>586</v>
      </c>
      <c r="O867">
        <v>1970</v>
      </c>
      <c r="S867" s="10">
        <f>GraphSalmonella!$B$57*Salmonella!I867+GraphSalmonella!$B$58</f>
        <v>0.51813599117844245</v>
      </c>
      <c r="T867" s="10">
        <f>GraphSalmonella!$E$57*Salmonella!I867+GraphSalmonella!$E$58</f>
        <v>3.2744886177804045</v>
      </c>
      <c r="U867" s="10">
        <f>GraphSalmonella!$H$57*Salmonella!I867+GraphSalmonella!$H$58</f>
        <v>0.58010622333732087</v>
      </c>
      <c r="X867" s="10">
        <f>GraphSalmonella!$B$80*Salmonella!I867+GraphSalmonella!$B$81</f>
        <v>0.58208601784486369</v>
      </c>
      <c r="Y867" s="10">
        <f>GraphSalmonella!$E$80*Salmonella!I867+GraphSalmonella!$E$81</f>
        <v>0.59495409397555665</v>
      </c>
      <c r="Z867" s="10">
        <f>GraphSalmonella!$H$80*Salmonella!I867+GraphSalmonella!$H$81</f>
        <v>0.29719653009134195</v>
      </c>
    </row>
    <row r="868" spans="1:26" x14ac:dyDescent="0.2">
      <c r="A868" s="1" t="s">
        <v>66</v>
      </c>
      <c r="B868" s="1" t="s">
        <v>87</v>
      </c>
      <c r="D868" t="s">
        <v>44</v>
      </c>
      <c r="E868" s="1" t="s">
        <v>584</v>
      </c>
      <c r="F868" s="19" t="s">
        <v>722</v>
      </c>
      <c r="G868" s="9">
        <v>0.87</v>
      </c>
      <c r="H868" s="4">
        <v>6.9</v>
      </c>
      <c r="I868" s="4">
        <v>57.2</v>
      </c>
      <c r="J868" s="11">
        <v>75</v>
      </c>
      <c r="L868" s="12">
        <f t="shared" si="18"/>
        <v>1.8750612633917001</v>
      </c>
      <c r="M868" s="11">
        <f>GraphSalmonella!$B$10-(Salmonella!I868-GraphSalmonella!$B$6)/GraphSalmonella!$B$5</f>
        <v>0.57931100083447151</v>
      </c>
      <c r="N868" s="1" t="s">
        <v>586</v>
      </c>
      <c r="O868">
        <v>1970</v>
      </c>
      <c r="S868" s="10">
        <f>GraphSalmonella!$B$57*Salmonella!I868+GraphSalmonella!$B$58</f>
        <v>0.51813599117844245</v>
      </c>
      <c r="T868" s="10">
        <f>GraphSalmonella!$E$57*Salmonella!I868+GraphSalmonella!$E$58</f>
        <v>3.2744886177804045</v>
      </c>
      <c r="U868" s="10">
        <f>GraphSalmonella!$H$57*Salmonella!I868+GraphSalmonella!$H$58</f>
        <v>0.58010622333732087</v>
      </c>
      <c r="X868" s="10">
        <f>GraphSalmonella!$B$80*Salmonella!I868+GraphSalmonella!$B$81</f>
        <v>0.58208601784486369</v>
      </c>
      <c r="Y868" s="10">
        <f>GraphSalmonella!$E$80*Salmonella!I868+GraphSalmonella!$E$81</f>
        <v>0.59495409397555665</v>
      </c>
      <c r="Z868" s="10">
        <f>GraphSalmonella!$H$80*Salmonella!I868+GraphSalmonella!$H$81</f>
        <v>0.29719653009134195</v>
      </c>
    </row>
    <row r="869" spans="1:26" x14ac:dyDescent="0.2">
      <c r="A869" s="1" t="s">
        <v>66</v>
      </c>
      <c r="B869" s="1" t="s">
        <v>87</v>
      </c>
      <c r="D869" t="s">
        <v>44</v>
      </c>
      <c r="E869" s="1" t="s">
        <v>584</v>
      </c>
      <c r="F869" s="19" t="s">
        <v>722</v>
      </c>
      <c r="G869" s="9">
        <v>0.87</v>
      </c>
      <c r="H869" s="4">
        <v>6.9</v>
      </c>
      <c r="I869" s="4">
        <v>57.2</v>
      </c>
      <c r="J869" s="11">
        <v>140</v>
      </c>
      <c r="L869" s="12">
        <f t="shared" si="18"/>
        <v>2.1461280356782382</v>
      </c>
      <c r="M869" s="11">
        <f>GraphSalmonella!$B$10-(Salmonella!I869-GraphSalmonella!$B$6)/GraphSalmonella!$B$5</f>
        <v>0.57931100083447151</v>
      </c>
      <c r="N869" s="1" t="s">
        <v>586</v>
      </c>
      <c r="O869">
        <v>1970</v>
      </c>
      <c r="S869" s="10">
        <f>GraphSalmonella!$B$57*Salmonella!I869+GraphSalmonella!$B$58</f>
        <v>0.51813599117844245</v>
      </c>
      <c r="T869" s="10">
        <f>GraphSalmonella!$E$57*Salmonella!I869+GraphSalmonella!$E$58</f>
        <v>3.2744886177804045</v>
      </c>
      <c r="U869" s="10">
        <f>GraphSalmonella!$H$57*Salmonella!I869+GraphSalmonella!$H$58</f>
        <v>0.58010622333732087</v>
      </c>
      <c r="X869" s="10">
        <f>GraphSalmonella!$B$80*Salmonella!I869+GraphSalmonella!$B$81</f>
        <v>0.58208601784486369</v>
      </c>
      <c r="Y869" s="10">
        <f>GraphSalmonella!$E$80*Salmonella!I869+GraphSalmonella!$E$81</f>
        <v>0.59495409397555665</v>
      </c>
      <c r="Z869" s="10">
        <f>GraphSalmonella!$H$80*Salmonella!I869+GraphSalmonella!$H$81</f>
        <v>0.29719653009134195</v>
      </c>
    </row>
    <row r="870" spans="1:26" x14ac:dyDescent="0.2">
      <c r="A870" s="1" t="s">
        <v>66</v>
      </c>
      <c r="B870" s="1" t="s">
        <v>80</v>
      </c>
      <c r="C870" t="s">
        <v>585</v>
      </c>
      <c r="D870" t="s">
        <v>44</v>
      </c>
      <c r="E870" s="1" t="s">
        <v>584</v>
      </c>
      <c r="F870" s="19" t="s">
        <v>722</v>
      </c>
      <c r="G870" s="9">
        <v>0.87</v>
      </c>
      <c r="H870" s="4">
        <v>6.9</v>
      </c>
      <c r="I870" s="4">
        <v>57.2</v>
      </c>
      <c r="J870" s="11">
        <v>75</v>
      </c>
      <c r="L870" s="12">
        <f t="shared" si="18"/>
        <v>1.8750612633917001</v>
      </c>
      <c r="M870" s="11">
        <f>GraphSalmonella!$B$10-(Salmonella!I870-GraphSalmonella!$B$6)/GraphSalmonella!$B$5</f>
        <v>0.57931100083447151</v>
      </c>
      <c r="N870" s="1" t="s">
        <v>586</v>
      </c>
      <c r="O870">
        <v>1970</v>
      </c>
      <c r="S870" s="10">
        <f>GraphSalmonella!$B$57*Salmonella!I870+GraphSalmonella!$B$58</f>
        <v>0.51813599117844245</v>
      </c>
      <c r="T870" s="10">
        <f>GraphSalmonella!$E$57*Salmonella!I870+GraphSalmonella!$E$58</f>
        <v>3.2744886177804045</v>
      </c>
      <c r="U870" s="10">
        <f>GraphSalmonella!$H$57*Salmonella!I870+GraphSalmonella!$H$58</f>
        <v>0.58010622333732087</v>
      </c>
      <c r="X870" s="10">
        <f>GraphSalmonella!$B$80*Salmonella!I870+GraphSalmonella!$B$81</f>
        <v>0.58208601784486369</v>
      </c>
      <c r="Y870" s="10">
        <f>GraphSalmonella!$E$80*Salmonella!I870+GraphSalmonella!$E$81</f>
        <v>0.59495409397555665</v>
      </c>
      <c r="Z870" s="10">
        <f>GraphSalmonella!$H$80*Salmonella!I870+GraphSalmonella!$H$81</f>
        <v>0.29719653009134195</v>
      </c>
    </row>
    <row r="871" spans="1:26" x14ac:dyDescent="0.2">
      <c r="A871" s="1" t="s">
        <v>66</v>
      </c>
      <c r="B871" s="1" t="s">
        <v>80</v>
      </c>
      <c r="C871" t="s">
        <v>585</v>
      </c>
      <c r="D871" t="s">
        <v>44</v>
      </c>
      <c r="E871" s="1" t="s">
        <v>584</v>
      </c>
      <c r="F871" s="19" t="s">
        <v>722</v>
      </c>
      <c r="G871" s="9">
        <v>0.87</v>
      </c>
      <c r="H871" s="4">
        <v>6.9</v>
      </c>
      <c r="I871" s="4">
        <v>57.2</v>
      </c>
      <c r="J871" s="11">
        <v>150</v>
      </c>
      <c r="L871" s="12">
        <f t="shared" si="18"/>
        <v>2.1760912590556813</v>
      </c>
      <c r="M871" s="11">
        <f>GraphSalmonella!$B$10-(Salmonella!I871-GraphSalmonella!$B$6)/GraphSalmonella!$B$5</f>
        <v>0.57931100083447151</v>
      </c>
      <c r="N871" s="1" t="s">
        <v>586</v>
      </c>
      <c r="O871">
        <v>1970</v>
      </c>
      <c r="S871" s="10">
        <f>GraphSalmonella!$B$57*Salmonella!I871+GraphSalmonella!$B$58</f>
        <v>0.51813599117844245</v>
      </c>
      <c r="T871" s="10">
        <f>GraphSalmonella!$E$57*Salmonella!I871+GraphSalmonella!$E$58</f>
        <v>3.2744886177804045</v>
      </c>
      <c r="U871" s="10">
        <f>GraphSalmonella!$H$57*Salmonella!I871+GraphSalmonella!$H$58</f>
        <v>0.58010622333732087</v>
      </c>
      <c r="X871" s="10">
        <f>GraphSalmonella!$B$80*Salmonella!I871+GraphSalmonella!$B$81</f>
        <v>0.58208601784486369</v>
      </c>
      <c r="Y871" s="10">
        <f>GraphSalmonella!$E$80*Salmonella!I871+GraphSalmonella!$E$81</f>
        <v>0.59495409397555665</v>
      </c>
      <c r="Z871" s="10">
        <f>GraphSalmonella!$H$80*Salmonella!I871+GraphSalmonella!$H$81</f>
        <v>0.29719653009134195</v>
      </c>
    </row>
    <row r="872" spans="1:26" x14ac:dyDescent="0.2">
      <c r="A872" s="1" t="s">
        <v>66</v>
      </c>
      <c r="B872" s="1" t="s">
        <v>80</v>
      </c>
      <c r="D872" t="s">
        <v>44</v>
      </c>
      <c r="E872" s="1" t="s">
        <v>584</v>
      </c>
      <c r="F872" s="19" t="s">
        <v>722</v>
      </c>
      <c r="G872" s="9">
        <v>0.87</v>
      </c>
      <c r="H872" s="4">
        <v>6.9</v>
      </c>
      <c r="I872" s="4">
        <v>57.2</v>
      </c>
      <c r="J872" s="11">
        <v>60</v>
      </c>
      <c r="L872" s="12">
        <f t="shared" si="18"/>
        <v>1.7781512503836436</v>
      </c>
      <c r="M872" s="11">
        <f>GraphSalmonella!$B$10-(Salmonella!I872-GraphSalmonella!$B$6)/GraphSalmonella!$B$5</f>
        <v>0.57931100083447151</v>
      </c>
      <c r="N872" s="1" t="s">
        <v>586</v>
      </c>
      <c r="O872">
        <v>1970</v>
      </c>
      <c r="S872" s="10">
        <f>GraphSalmonella!$B$57*Salmonella!I872+GraphSalmonella!$B$58</f>
        <v>0.51813599117844245</v>
      </c>
      <c r="T872" s="10">
        <f>GraphSalmonella!$E$57*Salmonella!I872+GraphSalmonella!$E$58</f>
        <v>3.2744886177804045</v>
      </c>
      <c r="U872" s="10">
        <f>GraphSalmonella!$H$57*Salmonella!I872+GraphSalmonella!$H$58</f>
        <v>0.58010622333732087</v>
      </c>
      <c r="X872" s="10">
        <f>GraphSalmonella!$B$80*Salmonella!I872+GraphSalmonella!$B$81</f>
        <v>0.58208601784486369</v>
      </c>
      <c r="Y872" s="10">
        <f>GraphSalmonella!$E$80*Salmonella!I872+GraphSalmonella!$E$81</f>
        <v>0.59495409397555665</v>
      </c>
      <c r="Z872" s="10">
        <f>GraphSalmonella!$H$80*Salmonella!I872+GraphSalmonella!$H$81</f>
        <v>0.29719653009134195</v>
      </c>
    </row>
    <row r="873" spans="1:26" x14ac:dyDescent="0.2">
      <c r="A873" s="1" t="s">
        <v>66</v>
      </c>
      <c r="B873" s="1" t="s">
        <v>80</v>
      </c>
      <c r="D873" t="s">
        <v>44</v>
      </c>
      <c r="E873" s="1" t="s">
        <v>584</v>
      </c>
      <c r="F873" s="19" t="s">
        <v>722</v>
      </c>
      <c r="G873" s="9">
        <v>0.87</v>
      </c>
      <c r="H873" s="4">
        <v>6.9</v>
      </c>
      <c r="I873" s="4">
        <v>57.2</v>
      </c>
      <c r="J873" s="11">
        <v>120</v>
      </c>
      <c r="L873" s="12">
        <f t="shared" si="18"/>
        <v>2.0791812460476247</v>
      </c>
      <c r="M873" s="11">
        <f>GraphSalmonella!$B$10-(Salmonella!I873-GraphSalmonella!$B$6)/GraphSalmonella!$B$5</f>
        <v>0.57931100083447151</v>
      </c>
      <c r="N873" s="1" t="s">
        <v>586</v>
      </c>
      <c r="O873">
        <v>1970</v>
      </c>
      <c r="S873" s="10">
        <f>GraphSalmonella!$B$57*Salmonella!I873+GraphSalmonella!$B$58</f>
        <v>0.51813599117844245</v>
      </c>
      <c r="T873" s="10">
        <f>GraphSalmonella!$E$57*Salmonella!I873+GraphSalmonella!$E$58</f>
        <v>3.2744886177804045</v>
      </c>
      <c r="U873" s="10">
        <f>GraphSalmonella!$H$57*Salmonella!I873+GraphSalmonella!$H$58</f>
        <v>0.58010622333732087</v>
      </c>
      <c r="X873" s="10">
        <f>GraphSalmonella!$B$80*Salmonella!I873+GraphSalmonella!$B$81</f>
        <v>0.58208601784486369</v>
      </c>
      <c r="Y873" s="10">
        <f>GraphSalmonella!$E$80*Salmonella!I873+GraphSalmonella!$E$81</f>
        <v>0.59495409397555665</v>
      </c>
      <c r="Z873" s="10">
        <f>GraphSalmonella!$H$80*Salmonella!I873+GraphSalmonella!$H$81</f>
        <v>0.29719653009134195</v>
      </c>
    </row>
    <row r="874" spans="1:26" x14ac:dyDescent="0.2">
      <c r="A874" s="1" t="s">
        <v>66</v>
      </c>
      <c r="B874" s="1" t="s">
        <v>90</v>
      </c>
      <c r="D874" t="s">
        <v>44</v>
      </c>
      <c r="E874" s="1" t="s">
        <v>584</v>
      </c>
      <c r="F874" s="19" t="s">
        <v>722</v>
      </c>
      <c r="G874" s="9">
        <v>0.87</v>
      </c>
      <c r="H874" s="4">
        <v>6.9</v>
      </c>
      <c r="I874" s="4">
        <v>57.2</v>
      </c>
      <c r="J874" s="11">
        <v>19</v>
      </c>
      <c r="L874" s="12">
        <f t="shared" si="18"/>
        <v>1.2787536009528289</v>
      </c>
      <c r="M874" s="11">
        <f>GraphSalmonella!$B$10-(Salmonella!I874-GraphSalmonella!$B$6)/GraphSalmonella!$B$5</f>
        <v>0.57931100083447151</v>
      </c>
      <c r="N874" s="1" t="s">
        <v>586</v>
      </c>
      <c r="O874">
        <v>1970</v>
      </c>
      <c r="S874" s="10">
        <f>GraphSalmonella!$B$57*Salmonella!I874+GraphSalmonella!$B$58</f>
        <v>0.51813599117844245</v>
      </c>
      <c r="T874" s="10">
        <f>GraphSalmonella!$E$57*Salmonella!I874+GraphSalmonella!$E$58</f>
        <v>3.2744886177804045</v>
      </c>
      <c r="U874" s="10">
        <f>GraphSalmonella!$H$57*Salmonella!I874+GraphSalmonella!$H$58</f>
        <v>0.58010622333732087</v>
      </c>
      <c r="X874" s="10">
        <f>GraphSalmonella!$B$80*Salmonella!I874+GraphSalmonella!$B$81</f>
        <v>0.58208601784486369</v>
      </c>
      <c r="Y874" s="10">
        <f>GraphSalmonella!$E$80*Salmonella!I874+GraphSalmonella!$E$81</f>
        <v>0.59495409397555665</v>
      </c>
      <c r="Z874" s="10">
        <f>GraphSalmonella!$H$80*Salmonella!I874+GraphSalmonella!$H$81</f>
        <v>0.29719653009134195</v>
      </c>
    </row>
    <row r="875" spans="1:26" x14ac:dyDescent="0.2">
      <c r="A875" s="1" t="s">
        <v>66</v>
      </c>
      <c r="B875" s="1" t="s">
        <v>90</v>
      </c>
      <c r="D875" t="s">
        <v>44</v>
      </c>
      <c r="E875" s="1" t="s">
        <v>584</v>
      </c>
      <c r="F875" s="19" t="s">
        <v>722</v>
      </c>
      <c r="G875" s="9">
        <v>0.87</v>
      </c>
      <c r="H875" s="4">
        <v>6.9</v>
      </c>
      <c r="I875" s="4">
        <v>57.2</v>
      </c>
      <c r="J875" s="11">
        <v>40</v>
      </c>
      <c r="L875" s="12">
        <f t="shared" si="18"/>
        <v>1.6020599913279623</v>
      </c>
      <c r="M875" s="11">
        <f>GraphSalmonella!$B$10-(Salmonella!I875-GraphSalmonella!$B$6)/GraphSalmonella!$B$5</f>
        <v>0.57931100083447151</v>
      </c>
      <c r="N875" s="1" t="s">
        <v>586</v>
      </c>
      <c r="O875">
        <v>1970</v>
      </c>
      <c r="S875" s="10">
        <f>GraphSalmonella!$B$57*Salmonella!I875+GraphSalmonella!$B$58</f>
        <v>0.51813599117844245</v>
      </c>
      <c r="T875" s="10">
        <f>GraphSalmonella!$E$57*Salmonella!I875+GraphSalmonella!$E$58</f>
        <v>3.2744886177804045</v>
      </c>
      <c r="U875" s="10">
        <f>GraphSalmonella!$H$57*Salmonella!I875+GraphSalmonella!$H$58</f>
        <v>0.58010622333732087</v>
      </c>
      <c r="X875" s="10">
        <f>GraphSalmonella!$B$80*Salmonella!I875+GraphSalmonella!$B$81</f>
        <v>0.58208601784486369</v>
      </c>
      <c r="Y875" s="10">
        <f>GraphSalmonella!$E$80*Salmonella!I875+GraphSalmonella!$E$81</f>
        <v>0.59495409397555665</v>
      </c>
      <c r="Z875" s="10">
        <f>GraphSalmonella!$H$80*Salmonella!I875+GraphSalmonella!$H$81</f>
        <v>0.29719653009134195</v>
      </c>
    </row>
    <row r="876" spans="1:26" x14ac:dyDescent="0.2">
      <c r="A876" s="1" t="s">
        <v>66</v>
      </c>
      <c r="B876" s="1" t="s">
        <v>88</v>
      </c>
      <c r="D876" t="s">
        <v>44</v>
      </c>
      <c r="E876" s="1" t="s">
        <v>584</v>
      </c>
      <c r="F876" s="19" t="s">
        <v>722</v>
      </c>
      <c r="G876" s="9">
        <v>0.87</v>
      </c>
      <c r="H876" s="4">
        <v>6.9</v>
      </c>
      <c r="I876" s="4">
        <v>57.2</v>
      </c>
      <c r="J876" s="11">
        <v>65</v>
      </c>
      <c r="L876" s="12">
        <f t="shared" si="18"/>
        <v>1.8129133566428555</v>
      </c>
      <c r="M876" s="11">
        <f>GraphSalmonella!$B$10-(Salmonella!I876-GraphSalmonella!$B$6)/GraphSalmonella!$B$5</f>
        <v>0.57931100083447151</v>
      </c>
      <c r="N876" s="1" t="s">
        <v>586</v>
      </c>
      <c r="O876">
        <v>1970</v>
      </c>
      <c r="S876" s="10">
        <f>GraphSalmonella!$B$57*Salmonella!I876+GraphSalmonella!$B$58</f>
        <v>0.51813599117844245</v>
      </c>
      <c r="T876" s="10">
        <f>GraphSalmonella!$E$57*Salmonella!I876+GraphSalmonella!$E$58</f>
        <v>3.2744886177804045</v>
      </c>
      <c r="U876" s="10">
        <f>GraphSalmonella!$H$57*Salmonella!I876+GraphSalmonella!$H$58</f>
        <v>0.58010622333732087</v>
      </c>
      <c r="X876" s="10">
        <f>GraphSalmonella!$B$80*Salmonella!I876+GraphSalmonella!$B$81</f>
        <v>0.58208601784486369</v>
      </c>
      <c r="Y876" s="10">
        <f>GraphSalmonella!$E$80*Salmonella!I876+GraphSalmonella!$E$81</f>
        <v>0.59495409397555665</v>
      </c>
      <c r="Z876" s="10">
        <f>GraphSalmonella!$H$80*Salmonella!I876+GraphSalmonella!$H$81</f>
        <v>0.29719653009134195</v>
      </c>
    </row>
    <row r="877" spans="1:26" x14ac:dyDescent="0.2">
      <c r="A877" s="1" t="s">
        <v>66</v>
      </c>
      <c r="B877" s="1" t="s">
        <v>88</v>
      </c>
      <c r="D877" t="s">
        <v>44</v>
      </c>
      <c r="E877" s="1" t="s">
        <v>584</v>
      </c>
      <c r="F877" s="19" t="s">
        <v>722</v>
      </c>
      <c r="G877" s="9">
        <v>0.87</v>
      </c>
      <c r="H877" s="4">
        <v>6.9</v>
      </c>
      <c r="I877" s="4">
        <v>57.2</v>
      </c>
      <c r="J877" s="11">
        <v>80</v>
      </c>
      <c r="L877" s="12">
        <f t="shared" si="18"/>
        <v>1.9030899869919435</v>
      </c>
      <c r="M877" s="11">
        <f>GraphSalmonella!$B$10-(Salmonella!I877-GraphSalmonella!$B$6)/GraphSalmonella!$B$5</f>
        <v>0.57931100083447151</v>
      </c>
      <c r="N877" s="1" t="s">
        <v>586</v>
      </c>
      <c r="O877">
        <v>1970</v>
      </c>
      <c r="S877" s="10">
        <f>GraphSalmonella!$B$57*Salmonella!I877+GraphSalmonella!$B$58</f>
        <v>0.51813599117844245</v>
      </c>
      <c r="T877" s="10">
        <f>GraphSalmonella!$E$57*Salmonella!I877+GraphSalmonella!$E$58</f>
        <v>3.2744886177804045</v>
      </c>
      <c r="U877" s="10">
        <f>GraphSalmonella!$H$57*Salmonella!I877+GraphSalmonella!$H$58</f>
        <v>0.58010622333732087</v>
      </c>
      <c r="X877" s="10">
        <f>GraphSalmonella!$B$80*Salmonella!I877+GraphSalmonella!$B$81</f>
        <v>0.58208601784486369</v>
      </c>
      <c r="Y877" s="10">
        <f>GraphSalmonella!$E$80*Salmonella!I877+GraphSalmonella!$E$81</f>
        <v>0.59495409397555665</v>
      </c>
      <c r="Z877" s="10">
        <f>GraphSalmonella!$H$80*Salmonella!I877+GraphSalmonella!$H$81</f>
        <v>0.29719653009134195</v>
      </c>
    </row>
    <row r="878" spans="1:26" x14ac:dyDescent="0.2">
      <c r="A878" s="1" t="s">
        <v>66</v>
      </c>
      <c r="B878" s="1" t="s">
        <v>85</v>
      </c>
      <c r="D878" t="s">
        <v>44</v>
      </c>
      <c r="E878" s="1" t="s">
        <v>584</v>
      </c>
      <c r="F878" s="19" t="s">
        <v>722</v>
      </c>
      <c r="G878" s="9">
        <v>0.87</v>
      </c>
      <c r="H878" s="4">
        <v>6.9</v>
      </c>
      <c r="I878" s="4">
        <v>57.2</v>
      </c>
      <c r="J878" s="11">
        <v>25</v>
      </c>
      <c r="L878" s="12">
        <f t="shared" si="18"/>
        <v>1.3979400086720377</v>
      </c>
      <c r="M878" s="11">
        <f>GraphSalmonella!$B$10-(Salmonella!I878-GraphSalmonella!$B$6)/GraphSalmonella!$B$5</f>
        <v>0.57931100083447151</v>
      </c>
      <c r="N878" s="1" t="s">
        <v>586</v>
      </c>
      <c r="O878">
        <v>1970</v>
      </c>
      <c r="S878" s="10">
        <f>GraphSalmonella!$B$57*Salmonella!I878+GraphSalmonella!$B$58</f>
        <v>0.51813599117844245</v>
      </c>
      <c r="T878" s="10">
        <f>GraphSalmonella!$E$57*Salmonella!I878+GraphSalmonella!$E$58</f>
        <v>3.2744886177804045</v>
      </c>
      <c r="U878" s="10">
        <f>GraphSalmonella!$H$57*Salmonella!I878+GraphSalmonella!$H$58</f>
        <v>0.58010622333732087</v>
      </c>
      <c r="X878" s="10">
        <f>GraphSalmonella!$B$80*Salmonella!I878+GraphSalmonella!$B$81</f>
        <v>0.58208601784486369</v>
      </c>
      <c r="Y878" s="10">
        <f>GraphSalmonella!$E$80*Salmonella!I878+GraphSalmonella!$E$81</f>
        <v>0.59495409397555665</v>
      </c>
      <c r="Z878" s="10">
        <f>GraphSalmonella!$H$80*Salmonella!I878+GraphSalmonella!$H$81</f>
        <v>0.29719653009134195</v>
      </c>
    </row>
    <row r="879" spans="1:26" x14ac:dyDescent="0.2">
      <c r="A879" s="1" t="s">
        <v>66</v>
      </c>
      <c r="B879" s="1" t="s">
        <v>85</v>
      </c>
      <c r="D879" t="s">
        <v>44</v>
      </c>
      <c r="E879" s="1" t="s">
        <v>584</v>
      </c>
      <c r="F879" s="19" t="s">
        <v>722</v>
      </c>
      <c r="G879" s="9">
        <v>0.87</v>
      </c>
      <c r="H879" s="4">
        <v>6.9</v>
      </c>
      <c r="I879" s="4">
        <v>57.2</v>
      </c>
      <c r="J879" s="11">
        <v>45</v>
      </c>
      <c r="L879" s="12">
        <f t="shared" si="18"/>
        <v>1.6532125137753437</v>
      </c>
      <c r="M879" s="11">
        <f>GraphSalmonella!$B$10-(Salmonella!I879-GraphSalmonella!$B$6)/GraphSalmonella!$B$5</f>
        <v>0.57931100083447151</v>
      </c>
      <c r="N879" s="1" t="s">
        <v>586</v>
      </c>
      <c r="O879">
        <v>1970</v>
      </c>
      <c r="S879" s="10">
        <f>GraphSalmonella!$B$57*Salmonella!I879+GraphSalmonella!$B$58</f>
        <v>0.51813599117844245</v>
      </c>
      <c r="T879" s="10">
        <f>GraphSalmonella!$E$57*Salmonella!I879+GraphSalmonella!$E$58</f>
        <v>3.2744886177804045</v>
      </c>
      <c r="U879" s="10">
        <f>GraphSalmonella!$H$57*Salmonella!I879+GraphSalmonella!$H$58</f>
        <v>0.58010622333732087</v>
      </c>
      <c r="X879" s="10">
        <f>GraphSalmonella!$B$80*Salmonella!I879+GraphSalmonella!$B$81</f>
        <v>0.58208601784486369</v>
      </c>
      <c r="Y879" s="10">
        <f>GraphSalmonella!$E$80*Salmonella!I879+GraphSalmonella!$E$81</f>
        <v>0.59495409397555665</v>
      </c>
      <c r="Z879" s="10">
        <f>GraphSalmonella!$H$80*Salmonella!I879+GraphSalmonella!$H$81</f>
        <v>0.29719653009134195</v>
      </c>
    </row>
    <row r="880" spans="1:26" x14ac:dyDescent="0.2">
      <c r="A880" s="1" t="s">
        <v>66</v>
      </c>
      <c r="B880" s="1" t="s">
        <v>70</v>
      </c>
      <c r="D880" t="s">
        <v>44</v>
      </c>
      <c r="E880" s="1" t="s">
        <v>584</v>
      </c>
      <c r="F880" s="19" t="s">
        <v>722</v>
      </c>
      <c r="G880" s="9">
        <v>0.87</v>
      </c>
      <c r="H880" s="4">
        <v>6.9</v>
      </c>
      <c r="I880" s="4">
        <v>57.2</v>
      </c>
      <c r="J880" s="11">
        <v>60</v>
      </c>
      <c r="L880" s="12">
        <f t="shared" si="18"/>
        <v>1.7781512503836436</v>
      </c>
      <c r="M880" s="11">
        <f>GraphSalmonella!$B$10-(Salmonella!I880-GraphSalmonella!$B$6)/GraphSalmonella!$B$5</f>
        <v>0.57931100083447151</v>
      </c>
      <c r="N880" s="1" t="s">
        <v>586</v>
      </c>
      <c r="O880">
        <v>1970</v>
      </c>
      <c r="S880" s="10">
        <f>GraphSalmonella!$B$57*Salmonella!I880+GraphSalmonella!$B$58</f>
        <v>0.51813599117844245</v>
      </c>
      <c r="T880" s="10">
        <f>GraphSalmonella!$E$57*Salmonella!I880+GraphSalmonella!$E$58</f>
        <v>3.2744886177804045</v>
      </c>
      <c r="U880" s="10">
        <f>GraphSalmonella!$H$57*Salmonella!I880+GraphSalmonella!$H$58</f>
        <v>0.58010622333732087</v>
      </c>
      <c r="X880" s="10">
        <f>GraphSalmonella!$B$80*Salmonella!I880+GraphSalmonella!$B$81</f>
        <v>0.58208601784486369</v>
      </c>
      <c r="Y880" s="10">
        <f>GraphSalmonella!$E$80*Salmonella!I880+GraphSalmonella!$E$81</f>
        <v>0.59495409397555665</v>
      </c>
      <c r="Z880" s="10">
        <f>GraphSalmonella!$H$80*Salmonella!I880+GraphSalmonella!$H$81</f>
        <v>0.29719653009134195</v>
      </c>
    </row>
    <row r="881" spans="1:26" x14ac:dyDescent="0.2">
      <c r="A881" s="1" t="s">
        <v>66</v>
      </c>
      <c r="B881" s="1" t="s">
        <v>70</v>
      </c>
      <c r="D881" t="s">
        <v>44</v>
      </c>
      <c r="E881" s="1" t="s">
        <v>584</v>
      </c>
      <c r="F881" s="19" t="s">
        <v>722</v>
      </c>
      <c r="G881" s="9">
        <v>0.87</v>
      </c>
      <c r="H881" s="4">
        <v>6.9</v>
      </c>
      <c r="I881" s="4">
        <v>57.2</v>
      </c>
      <c r="J881" s="11">
        <v>63</v>
      </c>
      <c r="L881" s="12">
        <f t="shared" si="18"/>
        <v>1.7993405494535817</v>
      </c>
      <c r="M881" s="11">
        <f>GraphSalmonella!$B$10-(Salmonella!I881-GraphSalmonella!$B$6)/GraphSalmonella!$B$5</f>
        <v>0.57931100083447151</v>
      </c>
      <c r="N881" s="1" t="s">
        <v>586</v>
      </c>
      <c r="O881">
        <v>1970</v>
      </c>
      <c r="S881" s="10">
        <f>GraphSalmonella!$B$57*Salmonella!I881+GraphSalmonella!$B$58</f>
        <v>0.51813599117844245</v>
      </c>
      <c r="T881" s="10">
        <f>GraphSalmonella!$E$57*Salmonella!I881+GraphSalmonella!$E$58</f>
        <v>3.2744886177804045</v>
      </c>
      <c r="U881" s="10">
        <f>GraphSalmonella!$H$57*Salmonella!I881+GraphSalmonella!$H$58</f>
        <v>0.58010622333732087</v>
      </c>
      <c r="X881" s="10">
        <f>GraphSalmonella!$B$80*Salmonella!I881+GraphSalmonella!$B$81</f>
        <v>0.58208601784486369</v>
      </c>
      <c r="Y881" s="10">
        <f>GraphSalmonella!$E$80*Salmonella!I881+GraphSalmonella!$E$81</f>
        <v>0.59495409397555665</v>
      </c>
      <c r="Z881" s="10">
        <f>GraphSalmonella!$H$80*Salmonella!I881+GraphSalmonella!$H$81</f>
        <v>0.29719653009134195</v>
      </c>
    </row>
    <row r="882" spans="1:26" x14ac:dyDescent="0.2">
      <c r="A882" s="1" t="s">
        <v>66</v>
      </c>
      <c r="B882" s="1" t="s">
        <v>67</v>
      </c>
      <c r="C882" t="s">
        <v>312</v>
      </c>
      <c r="D882" t="s">
        <v>44</v>
      </c>
      <c r="E882" s="1" t="s">
        <v>526</v>
      </c>
      <c r="F882" s="19" t="s">
        <v>749</v>
      </c>
      <c r="G882" s="9"/>
      <c r="H882" s="4">
        <v>6.5</v>
      </c>
      <c r="I882" s="4">
        <v>65</v>
      </c>
      <c r="J882" s="11">
        <v>1.1000000000000001</v>
      </c>
      <c r="L882" s="12">
        <f t="shared" si="18"/>
        <v>4.1392685158225077E-2</v>
      </c>
      <c r="M882" s="11">
        <f>GraphSalmonella!$B$10-(Salmonella!I882-GraphSalmonella!$B$6)/GraphSalmonella!$B$5</f>
        <v>-0.27893151599946164</v>
      </c>
      <c r="N882" s="1" t="s">
        <v>527</v>
      </c>
      <c r="O882">
        <v>1974</v>
      </c>
      <c r="S882" s="10">
        <f>GraphSalmonella!$B$57*Salmonella!I882+GraphSalmonella!$B$58</f>
        <v>5.1771876899869618E-2</v>
      </c>
      <c r="T882" s="10">
        <f>GraphSalmonella!$E$57*Salmonella!I882+GraphSalmonella!$E$58</f>
        <v>2.891551347357685</v>
      </c>
      <c r="U882" s="10">
        <f>GraphSalmonella!$H$57*Salmonella!I882+GraphSalmonella!$H$58</f>
        <v>-0.27794309585289145</v>
      </c>
      <c r="X882" s="10">
        <f>GraphSalmonella!$B$80*Salmonella!I882+GraphSalmonella!$B$81</f>
        <v>-0.27657214385392592</v>
      </c>
      <c r="Y882" s="10">
        <f>GraphSalmonella!$E$80*Salmonella!I882+GraphSalmonella!$E$81</f>
        <v>-0.27575457763551192</v>
      </c>
      <c r="Z882" s="10">
        <f>GraphSalmonella!$H$80*Salmonella!I882+GraphSalmonella!$H$81</f>
        <v>-0.71042200316020843</v>
      </c>
    </row>
    <row r="883" spans="1:26" x14ac:dyDescent="0.2">
      <c r="A883" s="1" t="s">
        <v>66</v>
      </c>
      <c r="B883" s="1" t="s">
        <v>70</v>
      </c>
      <c r="C883">
        <v>4987</v>
      </c>
      <c r="D883" t="s">
        <v>44</v>
      </c>
      <c r="E883" s="1" t="s">
        <v>526</v>
      </c>
      <c r="F883" s="19" t="s">
        <v>749</v>
      </c>
      <c r="G883" s="9"/>
      <c r="H883" s="4">
        <v>6.5</v>
      </c>
      <c r="I883" s="4">
        <v>65</v>
      </c>
      <c r="J883" s="11">
        <v>0.5</v>
      </c>
      <c r="L883" s="12">
        <f t="shared" si="18"/>
        <v>-0.3010299956639812</v>
      </c>
      <c r="M883" s="11">
        <f>GraphSalmonella!$B$10-(Salmonella!I883-GraphSalmonella!$B$6)/GraphSalmonella!$B$5</f>
        <v>-0.27893151599946164</v>
      </c>
      <c r="N883" s="1" t="s">
        <v>527</v>
      </c>
      <c r="O883">
        <v>1974</v>
      </c>
      <c r="S883" s="10">
        <f>GraphSalmonella!$B$57*Salmonella!I883+GraphSalmonella!$B$58</f>
        <v>5.1771876899869618E-2</v>
      </c>
      <c r="T883" s="10">
        <f>GraphSalmonella!$E$57*Salmonella!I883+GraphSalmonella!$E$58</f>
        <v>2.891551347357685</v>
      </c>
      <c r="U883" s="10">
        <f>GraphSalmonella!$H$57*Salmonella!I883+GraphSalmonella!$H$58</f>
        <v>-0.27794309585289145</v>
      </c>
      <c r="X883" s="10">
        <f>GraphSalmonella!$B$80*Salmonella!I883+GraphSalmonella!$B$81</f>
        <v>-0.27657214385392592</v>
      </c>
      <c r="Y883" s="10">
        <f>GraphSalmonella!$E$80*Salmonella!I883+GraphSalmonella!$E$81</f>
        <v>-0.27575457763551192</v>
      </c>
      <c r="Z883" s="10">
        <f>GraphSalmonella!$H$80*Salmonella!I883+GraphSalmonella!$H$81</f>
        <v>-0.71042200316020843</v>
      </c>
    </row>
    <row r="884" spans="1:26" x14ac:dyDescent="0.2">
      <c r="A884" s="1" t="s">
        <v>66</v>
      </c>
      <c r="B884" s="1" t="s">
        <v>67</v>
      </c>
      <c r="C884" t="s">
        <v>312</v>
      </c>
      <c r="D884" t="s">
        <v>44</v>
      </c>
      <c r="E884" s="1" t="s">
        <v>526</v>
      </c>
      <c r="F884" s="19" t="s">
        <v>741</v>
      </c>
      <c r="G884" s="9"/>
      <c r="H884" s="4">
        <v>6.5</v>
      </c>
      <c r="I884" s="4">
        <v>65</v>
      </c>
      <c r="J884" s="11">
        <v>8.5</v>
      </c>
      <c r="L884" s="12">
        <f t="shared" si="18"/>
        <v>0.92941892571429274</v>
      </c>
      <c r="M884" s="11">
        <f>GraphSalmonella!$B$10-(Salmonella!I884-GraphSalmonella!$B$6)/GraphSalmonella!$B$5</f>
        <v>-0.27893151599946164</v>
      </c>
      <c r="N884" s="1" t="s">
        <v>527</v>
      </c>
      <c r="O884">
        <v>1974</v>
      </c>
      <c r="S884" s="10">
        <f>GraphSalmonella!$B$57*Salmonella!I884+GraphSalmonella!$B$58</f>
        <v>5.1771876899869618E-2</v>
      </c>
      <c r="T884" s="10">
        <f>GraphSalmonella!$E$57*Salmonella!I884+GraphSalmonella!$E$58</f>
        <v>2.891551347357685</v>
      </c>
      <c r="U884" s="10">
        <f>GraphSalmonella!$H$57*Salmonella!I884+GraphSalmonella!$H$58</f>
        <v>-0.27794309585289145</v>
      </c>
      <c r="X884" s="10">
        <f>GraphSalmonella!$B$80*Salmonella!I884+GraphSalmonella!$B$81</f>
        <v>-0.27657214385392592</v>
      </c>
      <c r="Y884" s="10">
        <f>GraphSalmonella!$E$80*Salmonella!I884+GraphSalmonella!$E$81</f>
        <v>-0.27575457763551192</v>
      </c>
      <c r="Z884" s="10">
        <f>GraphSalmonella!$H$80*Salmonella!I884+GraphSalmonella!$H$81</f>
        <v>-0.71042200316020843</v>
      </c>
    </row>
    <row r="885" spans="1:26" x14ac:dyDescent="0.2">
      <c r="A885" s="1" t="s">
        <v>66</v>
      </c>
      <c r="B885" s="1" t="s">
        <v>70</v>
      </c>
      <c r="C885">
        <v>4987</v>
      </c>
      <c r="D885" t="s">
        <v>44</v>
      </c>
      <c r="E885" s="1" t="s">
        <v>526</v>
      </c>
      <c r="F885" s="19" t="s">
        <v>741</v>
      </c>
      <c r="G885" s="9"/>
      <c r="H885" s="4">
        <v>6.5</v>
      </c>
      <c r="I885" s="4">
        <v>65</v>
      </c>
      <c r="J885" s="11">
        <v>12</v>
      </c>
      <c r="L885" s="12">
        <f t="shared" si="18"/>
        <v>1.0791812460476249</v>
      </c>
      <c r="M885" s="11">
        <f>GraphSalmonella!$B$10-(Salmonella!I885-GraphSalmonella!$B$6)/GraphSalmonella!$B$5</f>
        <v>-0.27893151599946164</v>
      </c>
      <c r="N885" s="1" t="s">
        <v>527</v>
      </c>
      <c r="O885">
        <v>1974</v>
      </c>
      <c r="S885" s="10">
        <f>GraphSalmonella!$B$57*Salmonella!I885+GraphSalmonella!$B$58</f>
        <v>5.1771876899869618E-2</v>
      </c>
      <c r="T885" s="10">
        <f>GraphSalmonella!$E$57*Salmonella!I885+GraphSalmonella!$E$58</f>
        <v>2.891551347357685</v>
      </c>
      <c r="U885" s="10">
        <f>GraphSalmonella!$H$57*Salmonella!I885+GraphSalmonella!$H$58</f>
        <v>-0.27794309585289145</v>
      </c>
      <c r="X885" s="10">
        <f>GraphSalmonella!$B$80*Salmonella!I885+GraphSalmonella!$B$81</f>
        <v>-0.27657214385392592</v>
      </c>
      <c r="Y885" s="10">
        <f>GraphSalmonella!$E$80*Salmonella!I885+GraphSalmonella!$E$81</f>
        <v>-0.27575457763551192</v>
      </c>
      <c r="Z885" s="10">
        <f>GraphSalmonella!$H$80*Salmonella!I885+GraphSalmonella!$H$81</f>
        <v>-0.71042200316020843</v>
      </c>
    </row>
    <row r="886" spans="1:26" x14ac:dyDescent="0.2">
      <c r="A886" s="1" t="s">
        <v>66</v>
      </c>
      <c r="B886" s="1" t="s">
        <v>67</v>
      </c>
      <c r="C886" t="s">
        <v>312</v>
      </c>
      <c r="D886" t="s">
        <v>44</v>
      </c>
      <c r="E886" s="1" t="s">
        <v>526</v>
      </c>
      <c r="F886" s="19" t="s">
        <v>735</v>
      </c>
      <c r="G886" s="9"/>
      <c r="H886" s="4">
        <v>6.5</v>
      </c>
      <c r="I886" s="4">
        <v>65</v>
      </c>
      <c r="J886" s="11">
        <v>2</v>
      </c>
      <c r="L886" s="12">
        <f t="shared" si="18"/>
        <v>0.3010299956639812</v>
      </c>
      <c r="M886" s="11">
        <f>GraphSalmonella!$B$10-(Salmonella!I886-GraphSalmonella!$B$6)/GraphSalmonella!$B$5</f>
        <v>-0.27893151599946164</v>
      </c>
      <c r="N886" s="1" t="s">
        <v>527</v>
      </c>
      <c r="O886">
        <v>1974</v>
      </c>
      <c r="S886" s="10">
        <f>GraphSalmonella!$B$57*Salmonella!I886+GraphSalmonella!$B$58</f>
        <v>5.1771876899869618E-2</v>
      </c>
      <c r="T886" s="10">
        <f>GraphSalmonella!$E$57*Salmonella!I886+GraphSalmonella!$E$58</f>
        <v>2.891551347357685</v>
      </c>
      <c r="U886" s="10">
        <f>GraphSalmonella!$H$57*Salmonella!I886+GraphSalmonella!$H$58</f>
        <v>-0.27794309585289145</v>
      </c>
      <c r="X886" s="10">
        <f>GraphSalmonella!$B$80*Salmonella!I886+GraphSalmonella!$B$81</f>
        <v>-0.27657214385392592</v>
      </c>
      <c r="Y886" s="10">
        <f>GraphSalmonella!$E$80*Salmonella!I886+GraphSalmonella!$E$81</f>
        <v>-0.27575457763551192</v>
      </c>
      <c r="Z886" s="10">
        <f>GraphSalmonella!$H$80*Salmonella!I886+GraphSalmonella!$H$81</f>
        <v>-0.71042200316020843</v>
      </c>
    </row>
    <row r="887" spans="1:26" x14ac:dyDescent="0.2">
      <c r="A887" s="1" t="s">
        <v>66</v>
      </c>
      <c r="B887" s="1" t="s">
        <v>70</v>
      </c>
      <c r="C887">
        <v>4987</v>
      </c>
      <c r="D887" t="s">
        <v>44</v>
      </c>
      <c r="E887" s="1" t="s">
        <v>526</v>
      </c>
      <c r="F887" s="19" t="s">
        <v>735</v>
      </c>
      <c r="G887" s="9"/>
      <c r="H887" s="4">
        <v>6.5</v>
      </c>
      <c r="I887" s="4">
        <v>65</v>
      </c>
      <c r="J887" s="11">
        <v>0.9</v>
      </c>
      <c r="L887" s="12">
        <f t="shared" si="18"/>
        <v>-4.5757490560675115E-2</v>
      </c>
      <c r="M887" s="11">
        <f>GraphSalmonella!$B$10-(Salmonella!I887-GraphSalmonella!$B$6)/GraphSalmonella!$B$5</f>
        <v>-0.27893151599946164</v>
      </c>
      <c r="N887" s="1" t="s">
        <v>527</v>
      </c>
      <c r="O887">
        <v>1974</v>
      </c>
      <c r="S887" s="10">
        <f>GraphSalmonella!$B$57*Salmonella!I887+GraphSalmonella!$B$58</f>
        <v>5.1771876899869618E-2</v>
      </c>
      <c r="T887" s="10">
        <f>GraphSalmonella!$E$57*Salmonella!I887+GraphSalmonella!$E$58</f>
        <v>2.891551347357685</v>
      </c>
      <c r="U887" s="10">
        <f>GraphSalmonella!$H$57*Salmonella!I887+GraphSalmonella!$H$58</f>
        <v>-0.27794309585289145</v>
      </c>
      <c r="X887" s="10">
        <f>GraphSalmonella!$B$80*Salmonella!I887+GraphSalmonella!$B$81</f>
        <v>-0.27657214385392592</v>
      </c>
      <c r="Y887" s="10">
        <f>GraphSalmonella!$E$80*Salmonella!I887+GraphSalmonella!$E$81</f>
        <v>-0.27575457763551192</v>
      </c>
      <c r="Z887" s="10">
        <f>GraphSalmonella!$H$80*Salmonella!I887+GraphSalmonella!$H$81</f>
        <v>-0.71042200316020843</v>
      </c>
    </row>
    <row r="888" spans="1:26" x14ac:dyDescent="0.2">
      <c r="A888" s="1" t="s">
        <v>66</v>
      </c>
      <c r="B888" s="1" t="s">
        <v>70</v>
      </c>
      <c r="C888" t="s">
        <v>525</v>
      </c>
      <c r="D888" t="s">
        <v>44</v>
      </c>
      <c r="E888" s="1" t="s">
        <v>526</v>
      </c>
      <c r="F888" s="19" t="s">
        <v>735</v>
      </c>
      <c r="G888" s="9"/>
      <c r="H888" s="4">
        <v>6.5</v>
      </c>
      <c r="I888" s="4">
        <v>65</v>
      </c>
      <c r="J888" s="11">
        <v>1.1000000000000001</v>
      </c>
      <c r="L888" s="12">
        <f t="shared" si="18"/>
        <v>4.1392685158225077E-2</v>
      </c>
      <c r="M888" s="11">
        <f>GraphSalmonella!$B$10-(Salmonella!I888-GraphSalmonella!$B$6)/GraphSalmonella!$B$5</f>
        <v>-0.27893151599946164</v>
      </c>
      <c r="N888" s="1" t="s">
        <v>527</v>
      </c>
      <c r="O888">
        <v>1974</v>
      </c>
      <c r="S888" s="10">
        <f>GraphSalmonella!$B$57*Salmonella!I888+GraphSalmonella!$B$58</f>
        <v>5.1771876899869618E-2</v>
      </c>
      <c r="T888" s="10">
        <f>GraphSalmonella!$E$57*Salmonella!I888+GraphSalmonella!$E$58</f>
        <v>2.891551347357685</v>
      </c>
      <c r="U888" s="10">
        <f>GraphSalmonella!$H$57*Salmonella!I888+GraphSalmonella!$H$58</f>
        <v>-0.27794309585289145</v>
      </c>
      <c r="X888" s="10">
        <f>GraphSalmonella!$B$80*Salmonella!I888+GraphSalmonella!$B$81</f>
        <v>-0.27657214385392592</v>
      </c>
      <c r="Y888" s="10">
        <f>GraphSalmonella!$E$80*Salmonella!I888+GraphSalmonella!$E$81</f>
        <v>-0.27575457763551192</v>
      </c>
      <c r="Z888" s="10">
        <f>GraphSalmonella!$H$80*Salmonella!I888+GraphSalmonella!$H$81</f>
        <v>-0.71042200316020843</v>
      </c>
    </row>
    <row r="889" spans="1:26" x14ac:dyDescent="0.2">
      <c r="A889" s="1" t="s">
        <v>66</v>
      </c>
      <c r="B889" s="1" t="s">
        <v>70</v>
      </c>
      <c r="C889">
        <v>4987</v>
      </c>
      <c r="D889" t="s">
        <v>44</v>
      </c>
      <c r="E889" s="1" t="s">
        <v>526</v>
      </c>
      <c r="F889" s="19" t="s">
        <v>753</v>
      </c>
      <c r="G889" s="9">
        <v>0.95</v>
      </c>
      <c r="H889" s="4">
        <v>6.5</v>
      </c>
      <c r="I889" s="4">
        <v>65</v>
      </c>
      <c r="J889" s="11">
        <v>1.56</v>
      </c>
      <c r="L889" s="12">
        <f t="shared" si="18"/>
        <v>0.19312459835446161</v>
      </c>
      <c r="M889" s="11">
        <f>GraphSalmonella!$B$10-(Salmonella!I889-GraphSalmonella!$B$6)/GraphSalmonella!$B$5</f>
        <v>-0.27893151599946164</v>
      </c>
      <c r="N889" s="1" t="s">
        <v>527</v>
      </c>
      <c r="O889">
        <v>1974</v>
      </c>
      <c r="S889" s="10">
        <f>GraphSalmonella!$B$57*Salmonella!I889+GraphSalmonella!$B$58</f>
        <v>5.1771876899869618E-2</v>
      </c>
      <c r="T889" s="10">
        <f>GraphSalmonella!$E$57*Salmonella!I889+GraphSalmonella!$E$58</f>
        <v>2.891551347357685</v>
      </c>
      <c r="U889" s="10">
        <f>GraphSalmonella!$H$57*Salmonella!I889+GraphSalmonella!$H$58</f>
        <v>-0.27794309585289145</v>
      </c>
      <c r="X889" s="10">
        <f>GraphSalmonella!$B$80*Salmonella!I889+GraphSalmonella!$B$81</f>
        <v>-0.27657214385392592</v>
      </c>
      <c r="Y889" s="10">
        <f>GraphSalmonella!$E$80*Salmonella!I889+GraphSalmonella!$E$81</f>
        <v>-0.27575457763551192</v>
      </c>
      <c r="Z889" s="10">
        <f>GraphSalmonella!$H$80*Salmonella!I889+GraphSalmonella!$H$81</f>
        <v>-0.71042200316020843</v>
      </c>
    </row>
    <row r="890" spans="1:26" x14ac:dyDescent="0.2">
      <c r="A890" s="1" t="s">
        <v>66</v>
      </c>
      <c r="B890" s="1" t="s">
        <v>67</v>
      </c>
      <c r="C890" t="s">
        <v>312</v>
      </c>
      <c r="D890" t="s">
        <v>44</v>
      </c>
      <c r="E890" s="1" t="s">
        <v>526</v>
      </c>
      <c r="F890" s="19" t="s">
        <v>765</v>
      </c>
      <c r="G890" s="9"/>
      <c r="H890" s="4">
        <v>6.5</v>
      </c>
      <c r="I890" s="4">
        <v>65</v>
      </c>
      <c r="J890" s="11">
        <v>17</v>
      </c>
      <c r="L890" s="12">
        <f t="shared" si="18"/>
        <v>1.2304489213782739</v>
      </c>
      <c r="M890" s="11">
        <f>GraphSalmonella!$B$10-(Salmonella!I890-GraphSalmonella!$B$6)/GraphSalmonella!$B$5</f>
        <v>-0.27893151599946164</v>
      </c>
      <c r="N890" s="1" t="s">
        <v>527</v>
      </c>
      <c r="O890">
        <v>1974</v>
      </c>
      <c r="S890" s="10">
        <f>GraphSalmonella!$B$57*Salmonella!I890+GraphSalmonella!$B$58</f>
        <v>5.1771876899869618E-2</v>
      </c>
      <c r="T890" s="10">
        <f>GraphSalmonella!$E$57*Salmonella!I890+GraphSalmonella!$E$58</f>
        <v>2.891551347357685</v>
      </c>
      <c r="U890" s="10">
        <f>GraphSalmonella!$H$57*Salmonella!I890+GraphSalmonella!$H$58</f>
        <v>-0.27794309585289145</v>
      </c>
      <c r="X890" s="10">
        <f>GraphSalmonella!$B$80*Salmonella!I890+GraphSalmonella!$B$81</f>
        <v>-0.27657214385392592</v>
      </c>
      <c r="Y890" s="10">
        <f>GraphSalmonella!$E$80*Salmonella!I890+GraphSalmonella!$E$81</f>
        <v>-0.27575457763551192</v>
      </c>
      <c r="Z890" s="10">
        <f>GraphSalmonella!$H$80*Salmonella!I890+GraphSalmonella!$H$81</f>
        <v>-0.71042200316020843</v>
      </c>
    </row>
    <row r="891" spans="1:26" x14ac:dyDescent="0.2">
      <c r="A891" s="1" t="s">
        <v>66</v>
      </c>
      <c r="B891" s="1" t="s">
        <v>70</v>
      </c>
      <c r="C891">
        <v>4987</v>
      </c>
      <c r="D891" t="s">
        <v>44</v>
      </c>
      <c r="E891" s="1" t="s">
        <v>526</v>
      </c>
      <c r="F891" s="19" t="s">
        <v>765</v>
      </c>
      <c r="G891" s="9"/>
      <c r="H891" s="4">
        <v>6.5</v>
      </c>
      <c r="I891" s="4">
        <v>65</v>
      </c>
      <c r="J891" s="11">
        <v>42</v>
      </c>
      <c r="L891" s="12">
        <f t="shared" si="18"/>
        <v>1.6232492903979006</v>
      </c>
      <c r="M891" s="11">
        <f>GraphSalmonella!$B$10-(Salmonella!I891-GraphSalmonella!$B$6)/GraphSalmonella!$B$5</f>
        <v>-0.27893151599946164</v>
      </c>
      <c r="N891" s="1" t="s">
        <v>527</v>
      </c>
      <c r="O891">
        <v>1974</v>
      </c>
      <c r="S891" s="10">
        <f>GraphSalmonella!$B$57*Salmonella!I891+GraphSalmonella!$B$58</f>
        <v>5.1771876899869618E-2</v>
      </c>
      <c r="T891" s="10">
        <f>GraphSalmonella!$E$57*Salmonella!I891+GraphSalmonella!$E$58</f>
        <v>2.891551347357685</v>
      </c>
      <c r="U891" s="10">
        <f>GraphSalmonella!$H$57*Salmonella!I891+GraphSalmonella!$H$58</f>
        <v>-0.27794309585289145</v>
      </c>
      <c r="X891" s="10">
        <f>GraphSalmonella!$B$80*Salmonella!I891+GraphSalmonella!$B$81</f>
        <v>-0.27657214385392592</v>
      </c>
      <c r="Y891" s="10">
        <f>GraphSalmonella!$E$80*Salmonella!I891+GraphSalmonella!$E$81</f>
        <v>-0.27575457763551192</v>
      </c>
      <c r="Z891" s="10">
        <f>GraphSalmonella!$H$80*Salmonella!I891+GraphSalmonella!$H$81</f>
        <v>-0.71042200316020843</v>
      </c>
    </row>
    <row r="892" spans="1:26" x14ac:dyDescent="0.2">
      <c r="A892" s="1" t="s">
        <v>66</v>
      </c>
      <c r="B892" s="1" t="s">
        <v>70</v>
      </c>
      <c r="C892" t="s">
        <v>525</v>
      </c>
      <c r="D892" t="s">
        <v>44</v>
      </c>
      <c r="E892" s="1" t="s">
        <v>526</v>
      </c>
      <c r="F892" s="19" t="s">
        <v>765</v>
      </c>
      <c r="G892" s="9"/>
      <c r="H892" s="4">
        <v>6.5</v>
      </c>
      <c r="I892" s="4">
        <v>65</v>
      </c>
      <c r="J892" s="11">
        <v>48</v>
      </c>
      <c r="L892" s="12">
        <f t="shared" si="18"/>
        <v>1.6812412373755872</v>
      </c>
      <c r="M892" s="11">
        <f>GraphSalmonella!$B$10-(Salmonella!I892-GraphSalmonella!$B$6)/GraphSalmonella!$B$5</f>
        <v>-0.27893151599946164</v>
      </c>
      <c r="N892" s="1" t="s">
        <v>527</v>
      </c>
      <c r="O892">
        <v>1974</v>
      </c>
      <c r="S892" s="10">
        <f>GraphSalmonella!$B$57*Salmonella!I892+GraphSalmonella!$B$58</f>
        <v>5.1771876899869618E-2</v>
      </c>
      <c r="T892" s="10">
        <f>GraphSalmonella!$E$57*Salmonella!I892+GraphSalmonella!$E$58</f>
        <v>2.891551347357685</v>
      </c>
      <c r="U892" s="10">
        <f>GraphSalmonella!$H$57*Salmonella!I892+GraphSalmonella!$H$58</f>
        <v>-0.27794309585289145</v>
      </c>
      <c r="X892" s="10">
        <f>GraphSalmonella!$B$80*Salmonella!I892+GraphSalmonella!$B$81</f>
        <v>-0.27657214385392592</v>
      </c>
      <c r="Y892" s="10">
        <f>GraphSalmonella!$E$80*Salmonella!I892+GraphSalmonella!$E$81</f>
        <v>-0.27575457763551192</v>
      </c>
      <c r="Z892" s="10">
        <f>GraphSalmonella!$H$80*Salmonella!I892+GraphSalmonella!$H$81</f>
        <v>-0.71042200316020843</v>
      </c>
    </row>
    <row r="893" spans="1:26" x14ac:dyDescent="0.2">
      <c r="A893" s="1" t="s">
        <v>66</v>
      </c>
      <c r="B893" s="1" t="s">
        <v>70</v>
      </c>
      <c r="C893">
        <v>4987</v>
      </c>
      <c r="D893" t="s">
        <v>44</v>
      </c>
      <c r="E893" s="1" t="s">
        <v>526</v>
      </c>
      <c r="F893" s="19" t="s">
        <v>748</v>
      </c>
      <c r="G893" s="9">
        <v>0.95</v>
      </c>
      <c r="H893" s="4">
        <v>6.5</v>
      </c>
      <c r="I893" s="4">
        <v>65</v>
      </c>
      <c r="J893" s="11">
        <v>0.14000000000000001</v>
      </c>
      <c r="L893" s="12">
        <f t="shared" si="18"/>
        <v>-0.85387196432176193</v>
      </c>
      <c r="M893" s="11">
        <f>GraphSalmonella!$B$10-(Salmonella!I893-GraphSalmonella!$B$6)/GraphSalmonella!$B$5</f>
        <v>-0.27893151599946164</v>
      </c>
      <c r="N893" s="1" t="s">
        <v>527</v>
      </c>
      <c r="O893">
        <v>1974</v>
      </c>
      <c r="S893" s="10">
        <f>GraphSalmonella!$B$57*Salmonella!I893+GraphSalmonella!$B$58</f>
        <v>5.1771876899869618E-2</v>
      </c>
      <c r="T893" s="10">
        <f>GraphSalmonella!$E$57*Salmonella!I893+GraphSalmonella!$E$58</f>
        <v>2.891551347357685</v>
      </c>
      <c r="U893" s="10">
        <f>GraphSalmonella!$H$57*Salmonella!I893+GraphSalmonella!$H$58</f>
        <v>-0.27794309585289145</v>
      </c>
      <c r="X893" s="10">
        <f>GraphSalmonella!$B$80*Salmonella!I893+GraphSalmonella!$B$81</f>
        <v>-0.27657214385392592</v>
      </c>
      <c r="Y893" s="10">
        <f>GraphSalmonella!$E$80*Salmonella!I893+GraphSalmonella!$E$81</f>
        <v>-0.27575457763551192</v>
      </c>
      <c r="Z893" s="10">
        <f>GraphSalmonella!$H$80*Salmonella!I893+GraphSalmonella!$H$81</f>
        <v>-0.71042200316020843</v>
      </c>
    </row>
    <row r="894" spans="1:26" x14ac:dyDescent="0.2">
      <c r="A894" s="1" t="s">
        <v>66</v>
      </c>
      <c r="B894" s="1" t="s">
        <v>67</v>
      </c>
      <c r="C894" t="s">
        <v>312</v>
      </c>
      <c r="D894" t="s">
        <v>44</v>
      </c>
      <c r="E894" s="1" t="s">
        <v>526</v>
      </c>
      <c r="F894" s="19" t="s">
        <v>736</v>
      </c>
      <c r="G894" s="9"/>
      <c r="H894" s="4">
        <v>6.5</v>
      </c>
      <c r="I894" s="4">
        <v>65</v>
      </c>
      <c r="J894" s="11">
        <v>0.95</v>
      </c>
      <c r="L894" s="12">
        <f t="shared" si="18"/>
        <v>-2.2276394711152253E-2</v>
      </c>
      <c r="M894" s="11">
        <f>GraphSalmonella!$B$10-(Salmonella!I894-GraphSalmonella!$B$6)/GraphSalmonella!$B$5</f>
        <v>-0.27893151599946164</v>
      </c>
      <c r="N894" s="1" t="s">
        <v>527</v>
      </c>
      <c r="O894">
        <v>1974</v>
      </c>
      <c r="S894" s="10">
        <f>GraphSalmonella!$B$57*Salmonella!I894+GraphSalmonella!$B$58</f>
        <v>5.1771876899869618E-2</v>
      </c>
      <c r="T894" s="10">
        <f>GraphSalmonella!$E$57*Salmonella!I894+GraphSalmonella!$E$58</f>
        <v>2.891551347357685</v>
      </c>
      <c r="U894" s="10">
        <f>GraphSalmonella!$H$57*Salmonella!I894+GraphSalmonella!$H$58</f>
        <v>-0.27794309585289145</v>
      </c>
      <c r="X894" s="10">
        <f>GraphSalmonella!$B$80*Salmonella!I894+GraphSalmonella!$B$81</f>
        <v>-0.27657214385392592</v>
      </c>
      <c r="Y894" s="10">
        <f>GraphSalmonella!$E$80*Salmonella!I894+GraphSalmonella!$E$81</f>
        <v>-0.27575457763551192</v>
      </c>
      <c r="Z894" s="10">
        <f>GraphSalmonella!$H$80*Salmonella!I894+GraphSalmonella!$H$81</f>
        <v>-0.71042200316020843</v>
      </c>
    </row>
    <row r="895" spans="1:26" x14ac:dyDescent="0.2">
      <c r="A895" s="1" t="s">
        <v>66</v>
      </c>
      <c r="B895" s="1" t="s">
        <v>70</v>
      </c>
      <c r="C895">
        <v>4987</v>
      </c>
      <c r="D895" t="s">
        <v>44</v>
      </c>
      <c r="E895" s="1" t="s">
        <v>526</v>
      </c>
      <c r="F895" s="19" t="s">
        <v>736</v>
      </c>
      <c r="G895" s="9"/>
      <c r="H895" s="4">
        <v>6.5</v>
      </c>
      <c r="I895" s="4">
        <v>65</v>
      </c>
      <c r="J895" s="11">
        <v>0.2</v>
      </c>
      <c r="L895" s="12">
        <f t="shared" si="18"/>
        <v>-0.69897000433601875</v>
      </c>
      <c r="M895" s="11">
        <f>GraphSalmonella!$B$10-(Salmonella!I895-GraphSalmonella!$B$6)/GraphSalmonella!$B$5</f>
        <v>-0.27893151599946164</v>
      </c>
      <c r="N895" s="1" t="s">
        <v>527</v>
      </c>
      <c r="O895">
        <v>1974</v>
      </c>
      <c r="S895" s="10">
        <f>GraphSalmonella!$B$57*Salmonella!I895+GraphSalmonella!$B$58</f>
        <v>5.1771876899869618E-2</v>
      </c>
      <c r="T895" s="10">
        <f>GraphSalmonella!$E$57*Salmonella!I895+GraphSalmonella!$E$58</f>
        <v>2.891551347357685</v>
      </c>
      <c r="U895" s="10">
        <f>GraphSalmonella!$H$57*Salmonella!I895+GraphSalmonella!$H$58</f>
        <v>-0.27794309585289145</v>
      </c>
      <c r="X895" s="10">
        <f>GraphSalmonella!$B$80*Salmonella!I895+GraphSalmonella!$B$81</f>
        <v>-0.27657214385392592</v>
      </c>
      <c r="Y895" s="10">
        <f>GraphSalmonella!$E$80*Salmonella!I895+GraphSalmonella!$E$81</f>
        <v>-0.27575457763551192</v>
      </c>
      <c r="Z895" s="10">
        <f>GraphSalmonella!$H$80*Salmonella!I895+GraphSalmonella!$H$81</f>
        <v>-0.71042200316020843</v>
      </c>
    </row>
    <row r="896" spans="1:26" x14ac:dyDescent="0.2">
      <c r="A896" s="1" t="s">
        <v>66</v>
      </c>
      <c r="B896" s="1" t="s">
        <v>70</v>
      </c>
      <c r="C896" t="s">
        <v>525</v>
      </c>
      <c r="D896" t="s">
        <v>44</v>
      </c>
      <c r="E896" s="1" t="s">
        <v>526</v>
      </c>
      <c r="F896" s="19" t="s">
        <v>736</v>
      </c>
      <c r="G896" s="9"/>
      <c r="H896" s="4">
        <v>6.5</v>
      </c>
      <c r="I896" s="4">
        <v>65</v>
      </c>
      <c r="J896" s="11">
        <v>0.3</v>
      </c>
      <c r="L896" s="12">
        <f t="shared" si="18"/>
        <v>-0.52287874528033762</v>
      </c>
      <c r="M896" s="11">
        <f>GraphSalmonella!$B$10-(Salmonella!I896-GraphSalmonella!$B$6)/GraphSalmonella!$B$5</f>
        <v>-0.27893151599946164</v>
      </c>
      <c r="N896" s="1" t="s">
        <v>527</v>
      </c>
      <c r="O896">
        <v>1974</v>
      </c>
      <c r="S896" s="10">
        <f>GraphSalmonella!$B$57*Salmonella!I896+GraphSalmonella!$B$58</f>
        <v>5.1771876899869618E-2</v>
      </c>
      <c r="T896" s="10">
        <f>GraphSalmonella!$E$57*Salmonella!I896+GraphSalmonella!$E$58</f>
        <v>2.891551347357685</v>
      </c>
      <c r="U896" s="10">
        <f>GraphSalmonella!$H$57*Salmonella!I896+GraphSalmonella!$H$58</f>
        <v>-0.27794309585289145</v>
      </c>
      <c r="X896" s="10">
        <f>GraphSalmonella!$B$80*Salmonella!I896+GraphSalmonella!$B$81</f>
        <v>-0.27657214385392592</v>
      </c>
      <c r="Y896" s="10">
        <f>GraphSalmonella!$E$80*Salmonella!I896+GraphSalmonella!$E$81</f>
        <v>-0.27575457763551192</v>
      </c>
      <c r="Z896" s="10">
        <f>GraphSalmonella!$H$80*Salmonella!I896+GraphSalmonella!$H$81</f>
        <v>-0.71042200316020843</v>
      </c>
    </row>
    <row r="897" spans="1:26" x14ac:dyDescent="0.2">
      <c r="A897" s="1" t="s">
        <v>66</v>
      </c>
      <c r="B897" s="1" t="s">
        <v>70</v>
      </c>
      <c r="C897">
        <v>4987</v>
      </c>
      <c r="D897" t="s">
        <v>44</v>
      </c>
      <c r="E897" s="1" t="s">
        <v>526</v>
      </c>
      <c r="F897" s="19" t="s">
        <v>758</v>
      </c>
      <c r="G897" s="9">
        <v>0.85</v>
      </c>
      <c r="H897" s="4">
        <v>6.5</v>
      </c>
      <c r="I897" s="4">
        <v>65</v>
      </c>
      <c r="J897" s="11">
        <v>0.26</v>
      </c>
      <c r="L897" s="12">
        <f t="shared" si="18"/>
        <v>-0.58502665202918203</v>
      </c>
      <c r="M897" s="11">
        <f>GraphSalmonella!$B$10-(Salmonella!I897-GraphSalmonella!$B$6)/GraphSalmonella!$B$5</f>
        <v>-0.27893151599946164</v>
      </c>
      <c r="N897" s="1" t="s">
        <v>527</v>
      </c>
      <c r="O897">
        <v>1974</v>
      </c>
      <c r="S897" s="10">
        <f>GraphSalmonella!$B$57*Salmonella!I897+GraphSalmonella!$B$58</f>
        <v>5.1771876899869618E-2</v>
      </c>
      <c r="T897" s="10">
        <f>GraphSalmonella!$E$57*Salmonella!I897+GraphSalmonella!$E$58</f>
        <v>2.891551347357685</v>
      </c>
      <c r="U897" s="10">
        <f>GraphSalmonella!$H$57*Salmonella!I897+GraphSalmonella!$H$58</f>
        <v>-0.27794309585289145</v>
      </c>
      <c r="X897" s="10">
        <f>GraphSalmonella!$B$80*Salmonella!I897+GraphSalmonella!$B$81</f>
        <v>-0.27657214385392592</v>
      </c>
      <c r="Y897" s="10">
        <f>GraphSalmonella!$E$80*Salmonella!I897+GraphSalmonella!$E$81</f>
        <v>-0.27575457763551192</v>
      </c>
      <c r="Z897" s="10">
        <f>GraphSalmonella!$H$80*Salmonella!I897+GraphSalmonella!$H$81</f>
        <v>-0.71042200316020843</v>
      </c>
    </row>
    <row r="898" spans="1:26" x14ac:dyDescent="0.2">
      <c r="A898" s="1" t="s">
        <v>66</v>
      </c>
      <c r="B898" s="1" t="s">
        <v>67</v>
      </c>
      <c r="C898" t="s">
        <v>312</v>
      </c>
      <c r="D898" t="s">
        <v>44</v>
      </c>
      <c r="E898" s="1" t="s">
        <v>526</v>
      </c>
      <c r="F898" s="19" t="s">
        <v>766</v>
      </c>
      <c r="G898" s="9"/>
      <c r="H898" s="4">
        <v>6.5</v>
      </c>
      <c r="I898" s="4">
        <v>65</v>
      </c>
      <c r="J898" s="11">
        <v>0.7</v>
      </c>
      <c r="L898" s="12">
        <f t="shared" si="18"/>
        <v>-0.15490195998574319</v>
      </c>
      <c r="M898" s="11">
        <f>GraphSalmonella!$B$10-(Salmonella!I898-GraphSalmonella!$B$6)/GraphSalmonella!$B$5</f>
        <v>-0.27893151599946164</v>
      </c>
      <c r="N898" s="1" t="s">
        <v>527</v>
      </c>
      <c r="O898">
        <v>1974</v>
      </c>
      <c r="S898" s="10">
        <f>GraphSalmonella!$B$57*Salmonella!I898+GraphSalmonella!$B$58</f>
        <v>5.1771876899869618E-2</v>
      </c>
      <c r="T898" s="10">
        <f>GraphSalmonella!$E$57*Salmonella!I898+GraphSalmonella!$E$58</f>
        <v>2.891551347357685</v>
      </c>
      <c r="U898" s="10">
        <f>GraphSalmonella!$H$57*Salmonella!I898+GraphSalmonella!$H$58</f>
        <v>-0.27794309585289145</v>
      </c>
      <c r="X898" s="10">
        <f>GraphSalmonella!$B$80*Salmonella!I898+GraphSalmonella!$B$81</f>
        <v>-0.27657214385392592</v>
      </c>
      <c r="Y898" s="10">
        <f>GraphSalmonella!$E$80*Salmonella!I898+GraphSalmonella!$E$81</f>
        <v>-0.27575457763551192</v>
      </c>
      <c r="Z898" s="10">
        <f>GraphSalmonella!$H$80*Salmonella!I898+GraphSalmonella!$H$81</f>
        <v>-0.71042200316020843</v>
      </c>
    </row>
    <row r="899" spans="1:26" x14ac:dyDescent="0.2">
      <c r="A899" s="1" t="s">
        <v>66</v>
      </c>
      <c r="B899" s="1" t="s">
        <v>70</v>
      </c>
      <c r="C899">
        <v>4987</v>
      </c>
      <c r="D899" t="s">
        <v>44</v>
      </c>
      <c r="E899" s="1" t="s">
        <v>526</v>
      </c>
      <c r="F899" s="19" t="s">
        <v>766</v>
      </c>
      <c r="G899" s="9"/>
      <c r="H899" s="4">
        <v>6.5</v>
      </c>
      <c r="I899" s="4">
        <v>65</v>
      </c>
      <c r="J899" s="11">
        <v>0.9</v>
      </c>
      <c r="L899" s="12">
        <f t="shared" si="18"/>
        <v>-4.5757490560675115E-2</v>
      </c>
      <c r="M899" s="11">
        <f>GraphSalmonella!$B$10-(Salmonella!I899-GraphSalmonella!$B$6)/GraphSalmonella!$B$5</f>
        <v>-0.27893151599946164</v>
      </c>
      <c r="N899" s="1" t="s">
        <v>527</v>
      </c>
      <c r="O899">
        <v>1974</v>
      </c>
      <c r="S899" s="10">
        <f>GraphSalmonella!$B$57*Salmonella!I899+GraphSalmonella!$B$58</f>
        <v>5.1771876899869618E-2</v>
      </c>
      <c r="T899" s="10">
        <f>GraphSalmonella!$E$57*Salmonella!I899+GraphSalmonella!$E$58</f>
        <v>2.891551347357685</v>
      </c>
      <c r="U899" s="10">
        <f>GraphSalmonella!$H$57*Salmonella!I899+GraphSalmonella!$H$58</f>
        <v>-0.27794309585289145</v>
      </c>
      <c r="X899" s="10">
        <f>GraphSalmonella!$B$80*Salmonella!I899+GraphSalmonella!$B$81</f>
        <v>-0.27657214385392592</v>
      </c>
      <c r="Y899" s="10">
        <f>GraphSalmonella!$E$80*Salmonella!I899+GraphSalmonella!$E$81</f>
        <v>-0.27575457763551192</v>
      </c>
      <c r="Z899" s="10">
        <f>GraphSalmonella!$H$80*Salmonella!I899+GraphSalmonella!$H$81</f>
        <v>-0.71042200316020843</v>
      </c>
    </row>
    <row r="900" spans="1:26" x14ac:dyDescent="0.2">
      <c r="A900" s="1" t="s">
        <v>66</v>
      </c>
      <c r="B900" s="1" t="s">
        <v>70</v>
      </c>
      <c r="C900" t="s">
        <v>525</v>
      </c>
      <c r="D900" t="s">
        <v>44</v>
      </c>
      <c r="E900" s="1" t="s">
        <v>526</v>
      </c>
      <c r="F900" s="19" t="s">
        <v>766</v>
      </c>
      <c r="G900" s="9"/>
      <c r="H900" s="4">
        <v>6.5</v>
      </c>
      <c r="I900" s="4">
        <v>65</v>
      </c>
      <c r="J900" s="11">
        <v>1</v>
      </c>
      <c r="L900" s="12">
        <f t="shared" si="18"/>
        <v>0</v>
      </c>
      <c r="M900" s="11">
        <f>GraphSalmonella!$B$10-(Salmonella!I900-GraphSalmonella!$B$6)/GraphSalmonella!$B$5</f>
        <v>-0.27893151599946164</v>
      </c>
      <c r="N900" s="1" t="s">
        <v>527</v>
      </c>
      <c r="O900">
        <v>1974</v>
      </c>
      <c r="S900" s="10">
        <f>GraphSalmonella!$B$57*Salmonella!I900+GraphSalmonella!$B$58</f>
        <v>5.1771876899869618E-2</v>
      </c>
      <c r="T900" s="10">
        <f>GraphSalmonella!$E$57*Salmonella!I900+GraphSalmonella!$E$58</f>
        <v>2.891551347357685</v>
      </c>
      <c r="U900" s="10">
        <f>GraphSalmonella!$H$57*Salmonella!I900+GraphSalmonella!$H$58</f>
        <v>-0.27794309585289145</v>
      </c>
      <c r="X900" s="10">
        <f>GraphSalmonella!$B$80*Salmonella!I900+GraphSalmonella!$B$81</f>
        <v>-0.27657214385392592</v>
      </c>
      <c r="Y900" s="10">
        <f>GraphSalmonella!$E$80*Salmonella!I900+GraphSalmonella!$E$81</f>
        <v>-0.27575457763551192</v>
      </c>
      <c r="Z900" s="10">
        <f>GraphSalmonella!$H$80*Salmonella!I900+GraphSalmonella!$H$81</f>
        <v>-0.71042200316020843</v>
      </c>
    </row>
    <row r="901" spans="1:26" x14ac:dyDescent="0.2">
      <c r="A901" s="1" t="s">
        <v>66</v>
      </c>
      <c r="B901" s="1" t="s">
        <v>67</v>
      </c>
      <c r="C901" t="s">
        <v>312</v>
      </c>
      <c r="D901" t="s">
        <v>44</v>
      </c>
      <c r="E901" s="1" t="s">
        <v>526</v>
      </c>
      <c r="F901" s="19" t="s">
        <v>737</v>
      </c>
      <c r="G901" s="9"/>
      <c r="H901" s="4">
        <v>6.5</v>
      </c>
      <c r="I901" s="4">
        <v>65</v>
      </c>
      <c r="J901" s="11">
        <v>2.1</v>
      </c>
      <c r="L901" s="12">
        <f t="shared" si="18"/>
        <v>0.3222192947339193</v>
      </c>
      <c r="M901" s="11">
        <f>GraphSalmonella!$B$10-(Salmonella!I901-GraphSalmonella!$B$6)/GraphSalmonella!$B$5</f>
        <v>-0.27893151599946164</v>
      </c>
      <c r="N901" s="1" t="s">
        <v>527</v>
      </c>
      <c r="O901">
        <v>1974</v>
      </c>
      <c r="S901" s="10">
        <f>GraphSalmonella!$B$57*Salmonella!I901+GraphSalmonella!$B$58</f>
        <v>5.1771876899869618E-2</v>
      </c>
      <c r="T901" s="10">
        <f>GraphSalmonella!$E$57*Salmonella!I901+GraphSalmonella!$E$58</f>
        <v>2.891551347357685</v>
      </c>
      <c r="U901" s="10">
        <f>GraphSalmonella!$H$57*Salmonella!I901+GraphSalmonella!$H$58</f>
        <v>-0.27794309585289145</v>
      </c>
      <c r="X901" s="10">
        <f>GraphSalmonella!$B$80*Salmonella!I901+GraphSalmonella!$B$81</f>
        <v>-0.27657214385392592</v>
      </c>
      <c r="Y901" s="10">
        <f>GraphSalmonella!$E$80*Salmonella!I901+GraphSalmonella!$E$81</f>
        <v>-0.27575457763551192</v>
      </c>
      <c r="Z901" s="10">
        <f>GraphSalmonella!$H$80*Salmonella!I901+GraphSalmonella!$H$81</f>
        <v>-0.71042200316020843</v>
      </c>
    </row>
    <row r="902" spans="1:26" x14ac:dyDescent="0.2">
      <c r="A902" s="1" t="s">
        <v>66</v>
      </c>
      <c r="B902" s="1" t="s">
        <v>70</v>
      </c>
      <c r="C902">
        <v>4987</v>
      </c>
      <c r="D902" t="s">
        <v>44</v>
      </c>
      <c r="E902" s="1" t="s">
        <v>526</v>
      </c>
      <c r="F902" s="19" t="s">
        <v>737</v>
      </c>
      <c r="G902" s="9"/>
      <c r="H902" s="4">
        <v>6.5</v>
      </c>
      <c r="I902" s="4">
        <v>65</v>
      </c>
      <c r="J902" s="11">
        <v>0.7</v>
      </c>
      <c r="L902" s="12">
        <f t="shared" si="18"/>
        <v>-0.15490195998574319</v>
      </c>
      <c r="M902" s="11">
        <f>GraphSalmonella!$B$10-(Salmonella!I902-GraphSalmonella!$B$6)/GraphSalmonella!$B$5</f>
        <v>-0.27893151599946164</v>
      </c>
      <c r="N902" s="1" t="s">
        <v>527</v>
      </c>
      <c r="O902">
        <v>1974</v>
      </c>
      <c r="S902" s="10">
        <f>GraphSalmonella!$B$57*Salmonella!I902+GraphSalmonella!$B$58</f>
        <v>5.1771876899869618E-2</v>
      </c>
      <c r="T902" s="10">
        <f>GraphSalmonella!$E$57*Salmonella!I902+GraphSalmonella!$E$58</f>
        <v>2.891551347357685</v>
      </c>
      <c r="U902" s="10">
        <f>GraphSalmonella!$H$57*Salmonella!I902+GraphSalmonella!$H$58</f>
        <v>-0.27794309585289145</v>
      </c>
      <c r="X902" s="10">
        <f>GraphSalmonella!$B$80*Salmonella!I902+GraphSalmonella!$B$81</f>
        <v>-0.27657214385392592</v>
      </c>
      <c r="Y902" s="10">
        <f>GraphSalmonella!$E$80*Salmonella!I902+GraphSalmonella!$E$81</f>
        <v>-0.27575457763551192</v>
      </c>
      <c r="Z902" s="10">
        <f>GraphSalmonella!$H$80*Salmonella!I902+GraphSalmonella!$H$81</f>
        <v>-0.71042200316020843</v>
      </c>
    </row>
    <row r="903" spans="1:26" x14ac:dyDescent="0.2">
      <c r="A903" s="1" t="s">
        <v>66</v>
      </c>
      <c r="B903" s="1" t="s">
        <v>70</v>
      </c>
      <c r="C903">
        <v>4987</v>
      </c>
      <c r="D903" t="s">
        <v>44</v>
      </c>
      <c r="E903" s="1" t="s">
        <v>526</v>
      </c>
      <c r="F903" s="19" t="s">
        <v>737</v>
      </c>
      <c r="G903" s="9"/>
      <c r="H903" s="4">
        <v>6.5</v>
      </c>
      <c r="I903" s="4">
        <v>65</v>
      </c>
      <c r="J903" s="11">
        <v>0.7</v>
      </c>
      <c r="L903" s="12">
        <f t="shared" si="18"/>
        <v>-0.15490195998574319</v>
      </c>
      <c r="M903" s="11">
        <f>GraphSalmonella!$B$10-(Salmonella!I903-GraphSalmonella!$B$6)/GraphSalmonella!$B$5</f>
        <v>-0.27893151599946164</v>
      </c>
      <c r="N903" s="1" t="s">
        <v>527</v>
      </c>
      <c r="O903">
        <v>1974</v>
      </c>
      <c r="S903" s="10">
        <f>GraphSalmonella!$B$57*Salmonella!I903+GraphSalmonella!$B$58</f>
        <v>5.1771876899869618E-2</v>
      </c>
      <c r="T903" s="10">
        <f>GraphSalmonella!$E$57*Salmonella!I903+GraphSalmonella!$E$58</f>
        <v>2.891551347357685</v>
      </c>
      <c r="U903" s="10">
        <f>GraphSalmonella!$H$57*Salmonella!I903+GraphSalmonella!$H$58</f>
        <v>-0.27794309585289145</v>
      </c>
      <c r="X903" s="10">
        <f>GraphSalmonella!$B$80*Salmonella!I903+GraphSalmonella!$B$81</f>
        <v>-0.27657214385392592</v>
      </c>
      <c r="Y903" s="10">
        <f>GraphSalmonella!$E$80*Salmonella!I903+GraphSalmonella!$E$81</f>
        <v>-0.27575457763551192</v>
      </c>
      <c r="Z903" s="10">
        <f>GraphSalmonella!$H$80*Salmonella!I903+GraphSalmonella!$H$81</f>
        <v>-0.71042200316020843</v>
      </c>
    </row>
    <row r="904" spans="1:26" x14ac:dyDescent="0.2">
      <c r="A904" s="1" t="s">
        <v>66</v>
      </c>
      <c r="B904" s="1" t="s">
        <v>67</v>
      </c>
      <c r="C904" t="s">
        <v>312</v>
      </c>
      <c r="D904" t="s">
        <v>44</v>
      </c>
      <c r="E904" s="1" t="s">
        <v>526</v>
      </c>
      <c r="F904" s="19" t="s">
        <v>742</v>
      </c>
      <c r="G904" s="9"/>
      <c r="H904" s="4">
        <v>6.5</v>
      </c>
      <c r="I904" s="4">
        <v>65</v>
      </c>
      <c r="J904" s="11">
        <v>17</v>
      </c>
      <c r="L904" s="12">
        <f t="shared" si="18"/>
        <v>1.2304489213782739</v>
      </c>
      <c r="M904" s="11">
        <f>GraphSalmonella!$B$10-(Salmonella!I904-GraphSalmonella!$B$6)/GraphSalmonella!$B$5</f>
        <v>-0.27893151599946164</v>
      </c>
      <c r="N904" s="1" t="s">
        <v>527</v>
      </c>
      <c r="O904">
        <v>1974</v>
      </c>
      <c r="S904" s="10">
        <f>GraphSalmonella!$B$57*Salmonella!I904+GraphSalmonella!$B$58</f>
        <v>5.1771876899869618E-2</v>
      </c>
      <c r="T904" s="10">
        <f>GraphSalmonella!$E$57*Salmonella!I904+GraphSalmonella!$E$58</f>
        <v>2.891551347357685</v>
      </c>
      <c r="U904" s="10">
        <f>GraphSalmonella!$H$57*Salmonella!I904+GraphSalmonella!$H$58</f>
        <v>-0.27794309585289145</v>
      </c>
      <c r="X904" s="10">
        <f>GraphSalmonella!$B$80*Salmonella!I904+GraphSalmonella!$B$81</f>
        <v>-0.27657214385392592</v>
      </c>
      <c r="Y904" s="10">
        <f>GraphSalmonella!$E$80*Salmonella!I904+GraphSalmonella!$E$81</f>
        <v>-0.27575457763551192</v>
      </c>
      <c r="Z904" s="10">
        <f>GraphSalmonella!$H$80*Salmonella!I904+GraphSalmonella!$H$81</f>
        <v>-0.71042200316020843</v>
      </c>
    </row>
    <row r="905" spans="1:26" x14ac:dyDescent="0.2">
      <c r="A905" s="1" t="s">
        <v>66</v>
      </c>
      <c r="B905" s="1" t="s">
        <v>70</v>
      </c>
      <c r="C905">
        <v>4987</v>
      </c>
      <c r="D905" t="s">
        <v>44</v>
      </c>
      <c r="E905" s="1" t="s">
        <v>526</v>
      </c>
      <c r="F905" s="19" t="s">
        <v>742</v>
      </c>
      <c r="G905" s="9"/>
      <c r="H905" s="4">
        <v>6.5</v>
      </c>
      <c r="I905" s="4">
        <v>65</v>
      </c>
      <c r="J905" s="11">
        <v>20</v>
      </c>
      <c r="L905" s="12">
        <f t="shared" si="18"/>
        <v>1.3010299956639813</v>
      </c>
      <c r="M905" s="11">
        <f>GraphSalmonella!$B$10-(Salmonella!I905-GraphSalmonella!$B$6)/GraphSalmonella!$B$5</f>
        <v>-0.27893151599946164</v>
      </c>
      <c r="N905" s="1" t="s">
        <v>527</v>
      </c>
      <c r="O905">
        <v>1974</v>
      </c>
      <c r="S905" s="10">
        <f>GraphSalmonella!$B$57*Salmonella!I905+GraphSalmonella!$B$58</f>
        <v>5.1771876899869618E-2</v>
      </c>
      <c r="T905" s="10">
        <f>GraphSalmonella!$E$57*Salmonella!I905+GraphSalmonella!$E$58</f>
        <v>2.891551347357685</v>
      </c>
      <c r="U905" s="10">
        <f>GraphSalmonella!$H$57*Salmonella!I905+GraphSalmonella!$H$58</f>
        <v>-0.27794309585289145</v>
      </c>
      <c r="X905" s="10">
        <f>GraphSalmonella!$B$80*Salmonella!I905+GraphSalmonella!$B$81</f>
        <v>-0.27657214385392592</v>
      </c>
      <c r="Y905" s="10">
        <f>GraphSalmonella!$E$80*Salmonella!I905+GraphSalmonella!$E$81</f>
        <v>-0.27575457763551192</v>
      </c>
      <c r="Z905" s="10">
        <f>GraphSalmonella!$H$80*Salmonella!I905+GraphSalmonella!$H$81</f>
        <v>-0.71042200316020843</v>
      </c>
    </row>
    <row r="906" spans="1:26" x14ac:dyDescent="0.2">
      <c r="A906" s="1" t="s">
        <v>66</v>
      </c>
      <c r="B906" s="1" t="s">
        <v>70</v>
      </c>
      <c r="C906">
        <v>4987</v>
      </c>
      <c r="D906" t="s">
        <v>44</v>
      </c>
      <c r="E906" s="1" t="s">
        <v>526</v>
      </c>
      <c r="F906" s="19" t="s">
        <v>744</v>
      </c>
      <c r="G906" s="9">
        <v>0.95</v>
      </c>
      <c r="H906" s="4">
        <v>6.5</v>
      </c>
      <c r="I906" s="4">
        <v>65</v>
      </c>
      <c r="J906" s="11">
        <v>1.7</v>
      </c>
      <c r="L906" s="12">
        <f t="shared" si="18"/>
        <v>0.23044892137827391</v>
      </c>
      <c r="M906" s="11">
        <f>GraphSalmonella!$B$10-(Salmonella!I906-GraphSalmonella!$B$6)/GraphSalmonella!$B$5</f>
        <v>-0.27893151599946164</v>
      </c>
      <c r="N906" s="1" t="s">
        <v>527</v>
      </c>
      <c r="O906">
        <v>1974</v>
      </c>
      <c r="S906" s="10">
        <f>GraphSalmonella!$B$57*Salmonella!I906+GraphSalmonella!$B$58</f>
        <v>5.1771876899869618E-2</v>
      </c>
      <c r="T906" s="10">
        <f>GraphSalmonella!$E$57*Salmonella!I906+GraphSalmonella!$E$58</f>
        <v>2.891551347357685</v>
      </c>
      <c r="U906" s="10">
        <f>GraphSalmonella!$H$57*Salmonella!I906+GraphSalmonella!$H$58</f>
        <v>-0.27794309585289145</v>
      </c>
      <c r="X906" s="10">
        <f>GraphSalmonella!$B$80*Salmonella!I906+GraphSalmonella!$B$81</f>
        <v>-0.27657214385392592</v>
      </c>
      <c r="Y906" s="10">
        <f>GraphSalmonella!$E$80*Salmonella!I906+GraphSalmonella!$E$81</f>
        <v>-0.27575457763551192</v>
      </c>
      <c r="Z906" s="10">
        <f>GraphSalmonella!$H$80*Salmonella!I906+GraphSalmonella!$H$81</f>
        <v>-0.71042200316020843</v>
      </c>
    </row>
    <row r="907" spans="1:26" x14ac:dyDescent="0.2">
      <c r="A907" s="1" t="s">
        <v>66</v>
      </c>
      <c r="B907" s="1" t="s">
        <v>70</v>
      </c>
      <c r="C907">
        <v>4987</v>
      </c>
      <c r="D907" t="s">
        <v>44</v>
      </c>
      <c r="E907" s="1" t="s">
        <v>526</v>
      </c>
      <c r="F907" s="19" t="s">
        <v>745</v>
      </c>
      <c r="G907" s="9">
        <v>0.85</v>
      </c>
      <c r="H907" s="4">
        <v>6.5</v>
      </c>
      <c r="I907" s="4">
        <v>65</v>
      </c>
      <c r="J907" s="11">
        <v>1.59</v>
      </c>
      <c r="L907" s="12">
        <f t="shared" si="18"/>
        <v>0.20139712432045151</v>
      </c>
      <c r="M907" s="11">
        <f>GraphSalmonella!$B$10-(Salmonella!I907-GraphSalmonella!$B$6)/GraphSalmonella!$B$5</f>
        <v>-0.27893151599946164</v>
      </c>
      <c r="N907" s="1" t="s">
        <v>527</v>
      </c>
      <c r="O907">
        <v>1974</v>
      </c>
      <c r="S907" s="10">
        <f>GraphSalmonella!$B$57*Salmonella!I907+GraphSalmonella!$B$58</f>
        <v>5.1771876899869618E-2</v>
      </c>
      <c r="T907" s="10">
        <f>GraphSalmonella!$E$57*Salmonella!I907+GraphSalmonella!$E$58</f>
        <v>2.891551347357685</v>
      </c>
      <c r="U907" s="10">
        <f>GraphSalmonella!$H$57*Salmonella!I907+GraphSalmonella!$H$58</f>
        <v>-0.27794309585289145</v>
      </c>
      <c r="X907" s="10">
        <f>GraphSalmonella!$B$80*Salmonella!I907+GraphSalmonella!$B$81</f>
        <v>-0.27657214385392592</v>
      </c>
      <c r="Y907" s="10">
        <f>GraphSalmonella!$E$80*Salmonella!I907+GraphSalmonella!$E$81</f>
        <v>-0.27575457763551192</v>
      </c>
      <c r="Z907" s="10">
        <f>GraphSalmonella!$H$80*Salmonella!I907+GraphSalmonella!$H$81</f>
        <v>-0.71042200316020843</v>
      </c>
    </row>
    <row r="908" spans="1:26" x14ac:dyDescent="0.2">
      <c r="A908" s="1" t="s">
        <v>66</v>
      </c>
      <c r="B908" s="1" t="s">
        <v>70</v>
      </c>
      <c r="C908">
        <v>4987</v>
      </c>
      <c r="D908" t="s">
        <v>44</v>
      </c>
      <c r="E908" s="1" t="s">
        <v>526</v>
      </c>
      <c r="F908" s="19" t="s">
        <v>746</v>
      </c>
      <c r="G908" s="9">
        <v>0.95</v>
      </c>
      <c r="H908" s="4">
        <v>6.5</v>
      </c>
      <c r="I908" s="4">
        <v>65</v>
      </c>
      <c r="J908" s="11">
        <v>1.62</v>
      </c>
      <c r="L908" s="12">
        <f t="shared" si="18"/>
        <v>0.20951501454263097</v>
      </c>
      <c r="M908" s="11">
        <f>GraphSalmonella!$B$10-(Salmonella!I908-GraphSalmonella!$B$6)/GraphSalmonella!$B$5</f>
        <v>-0.27893151599946164</v>
      </c>
      <c r="N908" s="1" t="s">
        <v>527</v>
      </c>
      <c r="O908">
        <v>1974</v>
      </c>
      <c r="S908" s="10">
        <f>GraphSalmonella!$B$57*Salmonella!I908+GraphSalmonella!$B$58</f>
        <v>5.1771876899869618E-2</v>
      </c>
      <c r="T908" s="10">
        <f>GraphSalmonella!$E$57*Salmonella!I908+GraphSalmonella!$E$58</f>
        <v>2.891551347357685</v>
      </c>
      <c r="U908" s="10">
        <f>GraphSalmonella!$H$57*Salmonella!I908+GraphSalmonella!$H$58</f>
        <v>-0.27794309585289145</v>
      </c>
      <c r="X908" s="10">
        <f>GraphSalmonella!$B$80*Salmonella!I908+GraphSalmonella!$B$81</f>
        <v>-0.27657214385392592</v>
      </c>
      <c r="Y908" s="10">
        <f>GraphSalmonella!$E$80*Salmonella!I908+GraphSalmonella!$E$81</f>
        <v>-0.27575457763551192</v>
      </c>
      <c r="Z908" s="10">
        <f>GraphSalmonella!$H$80*Salmonella!I908+GraphSalmonella!$H$81</f>
        <v>-0.71042200316020843</v>
      </c>
    </row>
    <row r="909" spans="1:26" x14ac:dyDescent="0.2">
      <c r="A909" s="1" t="s">
        <v>66</v>
      </c>
      <c r="B909" s="1" t="s">
        <v>70</v>
      </c>
      <c r="C909">
        <v>4987</v>
      </c>
      <c r="D909" t="s">
        <v>44</v>
      </c>
      <c r="E909" s="1" t="s">
        <v>526</v>
      </c>
      <c r="F909" s="19" t="s">
        <v>747</v>
      </c>
      <c r="G909" s="9">
        <v>0.95</v>
      </c>
      <c r="H909" s="4">
        <v>6.5</v>
      </c>
      <c r="I909" s="4">
        <v>65</v>
      </c>
      <c r="J909" s="11">
        <v>0.39</v>
      </c>
      <c r="L909" s="12">
        <f t="shared" si="18"/>
        <v>-0.40893539297350079</v>
      </c>
      <c r="M909" s="11">
        <f>GraphSalmonella!$B$10-(Salmonella!I909-GraphSalmonella!$B$6)/GraphSalmonella!$B$5</f>
        <v>-0.27893151599946164</v>
      </c>
      <c r="N909" s="1" t="s">
        <v>527</v>
      </c>
      <c r="O909">
        <v>1974</v>
      </c>
      <c r="S909" s="10">
        <f>GraphSalmonella!$B$57*Salmonella!I909+GraphSalmonella!$B$58</f>
        <v>5.1771876899869618E-2</v>
      </c>
      <c r="T909" s="10">
        <f>GraphSalmonella!$E$57*Salmonella!I909+GraphSalmonella!$E$58</f>
        <v>2.891551347357685</v>
      </c>
      <c r="U909" s="10">
        <f>GraphSalmonella!$H$57*Salmonella!I909+GraphSalmonella!$H$58</f>
        <v>-0.27794309585289145</v>
      </c>
      <c r="X909" s="10">
        <f>GraphSalmonella!$B$80*Salmonella!I909+GraphSalmonella!$B$81</f>
        <v>-0.27657214385392592</v>
      </c>
      <c r="Y909" s="10">
        <f>GraphSalmonella!$E$80*Salmonella!I909+GraphSalmonella!$E$81</f>
        <v>-0.27575457763551192</v>
      </c>
      <c r="Z909" s="10">
        <f>GraphSalmonella!$H$80*Salmonella!I909+GraphSalmonella!$H$81</f>
        <v>-0.71042200316020843</v>
      </c>
    </row>
    <row r="910" spans="1:26" x14ac:dyDescent="0.2">
      <c r="A910" s="1" t="s">
        <v>66</v>
      </c>
      <c r="B910" s="1" t="s">
        <v>67</v>
      </c>
      <c r="C910" t="s">
        <v>312</v>
      </c>
      <c r="D910" t="s">
        <v>44</v>
      </c>
      <c r="E910" s="1" t="s">
        <v>526</v>
      </c>
      <c r="F910" s="19" t="s">
        <v>738</v>
      </c>
      <c r="G910" s="9"/>
      <c r="H910" s="4">
        <v>6.5</v>
      </c>
      <c r="I910" s="4">
        <v>65</v>
      </c>
      <c r="J910" s="11">
        <v>1.4</v>
      </c>
      <c r="L910" s="12">
        <f t="shared" si="18"/>
        <v>0.14612803567823801</v>
      </c>
      <c r="M910" s="11">
        <f>GraphSalmonella!$B$10-(Salmonella!I910-GraphSalmonella!$B$6)/GraphSalmonella!$B$5</f>
        <v>-0.27893151599946164</v>
      </c>
      <c r="N910" s="1" t="s">
        <v>527</v>
      </c>
      <c r="O910">
        <v>1974</v>
      </c>
      <c r="S910" s="10">
        <f>GraphSalmonella!$B$57*Salmonella!I910+GraphSalmonella!$B$58</f>
        <v>5.1771876899869618E-2</v>
      </c>
      <c r="T910" s="10">
        <f>GraphSalmonella!$E$57*Salmonella!I910+GraphSalmonella!$E$58</f>
        <v>2.891551347357685</v>
      </c>
      <c r="U910" s="10">
        <f>GraphSalmonella!$H$57*Salmonella!I910+GraphSalmonella!$H$58</f>
        <v>-0.27794309585289145</v>
      </c>
      <c r="X910" s="10">
        <f>GraphSalmonella!$B$80*Salmonella!I910+GraphSalmonella!$B$81</f>
        <v>-0.27657214385392592</v>
      </c>
      <c r="Y910" s="10">
        <f>GraphSalmonella!$E$80*Salmonella!I910+GraphSalmonella!$E$81</f>
        <v>-0.27575457763551192</v>
      </c>
      <c r="Z910" s="10">
        <f>GraphSalmonella!$H$80*Salmonella!I910+GraphSalmonella!$H$81</f>
        <v>-0.71042200316020843</v>
      </c>
    </row>
    <row r="911" spans="1:26" x14ac:dyDescent="0.2">
      <c r="A911" s="1" t="s">
        <v>66</v>
      </c>
      <c r="B911" s="1" t="s">
        <v>70</v>
      </c>
      <c r="C911" t="s">
        <v>525</v>
      </c>
      <c r="D911" t="s">
        <v>44</v>
      </c>
      <c r="E911" s="1" t="s">
        <v>526</v>
      </c>
      <c r="F911" s="19" t="s">
        <v>738</v>
      </c>
      <c r="G911" s="9"/>
      <c r="H911" s="4">
        <v>6.5</v>
      </c>
      <c r="I911" s="4">
        <v>65</v>
      </c>
      <c r="J911" s="11">
        <v>0.8</v>
      </c>
      <c r="L911" s="12">
        <f t="shared" si="18"/>
        <v>-9.6910013008056392E-2</v>
      </c>
      <c r="M911" s="11">
        <f>GraphSalmonella!$B$10-(Salmonella!I911-GraphSalmonella!$B$6)/GraphSalmonella!$B$5</f>
        <v>-0.27893151599946164</v>
      </c>
      <c r="N911" s="1" t="s">
        <v>527</v>
      </c>
      <c r="O911">
        <v>1974</v>
      </c>
      <c r="S911" s="10">
        <f>GraphSalmonella!$B$57*Salmonella!I911+GraphSalmonella!$B$58</f>
        <v>5.1771876899869618E-2</v>
      </c>
      <c r="T911" s="10">
        <f>GraphSalmonella!$E$57*Salmonella!I911+GraphSalmonella!$E$58</f>
        <v>2.891551347357685</v>
      </c>
      <c r="U911" s="10">
        <f>GraphSalmonella!$H$57*Salmonella!I911+GraphSalmonella!$H$58</f>
        <v>-0.27794309585289145</v>
      </c>
      <c r="X911" s="10">
        <f>GraphSalmonella!$B$80*Salmonella!I911+GraphSalmonella!$B$81</f>
        <v>-0.27657214385392592</v>
      </c>
      <c r="Y911" s="10">
        <f>GraphSalmonella!$E$80*Salmonella!I911+GraphSalmonella!$E$81</f>
        <v>-0.27575457763551192</v>
      </c>
      <c r="Z911" s="10">
        <f>GraphSalmonella!$H$80*Salmonella!I911+GraphSalmonella!$H$81</f>
        <v>-0.71042200316020843</v>
      </c>
    </row>
    <row r="912" spans="1:26" x14ac:dyDescent="0.2">
      <c r="A912" s="1" t="s">
        <v>66</v>
      </c>
      <c r="B912" s="1" t="s">
        <v>70</v>
      </c>
      <c r="C912">
        <v>4987</v>
      </c>
      <c r="D912" t="s">
        <v>44</v>
      </c>
      <c r="E912" s="1" t="s">
        <v>526</v>
      </c>
      <c r="F912" s="19" t="s">
        <v>750</v>
      </c>
      <c r="G912" s="9">
        <v>0.95</v>
      </c>
      <c r="H912" s="4">
        <v>6.5</v>
      </c>
      <c r="I912" s="4">
        <v>65</v>
      </c>
      <c r="J912" s="11">
        <v>1.1499999999999999</v>
      </c>
      <c r="L912" s="12">
        <f t="shared" si="18"/>
        <v>6.069784035361165E-2</v>
      </c>
      <c r="M912" s="11">
        <f>GraphSalmonella!$B$10-(Salmonella!I912-GraphSalmonella!$B$6)/GraphSalmonella!$B$5</f>
        <v>-0.27893151599946164</v>
      </c>
      <c r="N912" s="1" t="s">
        <v>527</v>
      </c>
      <c r="O912">
        <v>1974</v>
      </c>
      <c r="S912" s="10">
        <f>GraphSalmonella!$B$57*Salmonella!I912+GraphSalmonella!$B$58</f>
        <v>5.1771876899869618E-2</v>
      </c>
      <c r="T912" s="10">
        <f>GraphSalmonella!$E$57*Salmonella!I912+GraphSalmonella!$E$58</f>
        <v>2.891551347357685</v>
      </c>
      <c r="U912" s="10">
        <f>GraphSalmonella!$H$57*Salmonella!I912+GraphSalmonella!$H$58</f>
        <v>-0.27794309585289145</v>
      </c>
      <c r="X912" s="10">
        <f>GraphSalmonella!$B$80*Salmonella!I912+GraphSalmonella!$B$81</f>
        <v>-0.27657214385392592</v>
      </c>
      <c r="Y912" s="10">
        <f>GraphSalmonella!$E$80*Salmonella!I912+GraphSalmonella!$E$81</f>
        <v>-0.27575457763551192</v>
      </c>
      <c r="Z912" s="10">
        <f>GraphSalmonella!$H$80*Salmonella!I912+GraphSalmonella!$H$81</f>
        <v>-0.71042200316020843</v>
      </c>
    </row>
    <row r="913" spans="1:26" x14ac:dyDescent="0.2">
      <c r="A913" s="1" t="s">
        <v>66</v>
      </c>
      <c r="B913" s="1" t="s">
        <v>70</v>
      </c>
      <c r="C913">
        <v>4987</v>
      </c>
      <c r="D913" t="s">
        <v>44</v>
      </c>
      <c r="E913" s="1" t="s">
        <v>526</v>
      </c>
      <c r="F913" s="19" t="s">
        <v>751</v>
      </c>
      <c r="G913" s="9">
        <v>0.85</v>
      </c>
      <c r="H913" s="4">
        <v>6.5</v>
      </c>
      <c r="I913" s="4">
        <v>65</v>
      </c>
      <c r="J913" s="11">
        <v>13.8</v>
      </c>
      <c r="L913" s="12">
        <f t="shared" si="18"/>
        <v>1.1398790864012365</v>
      </c>
      <c r="M913" s="11">
        <f>GraphSalmonella!$B$10-(Salmonella!I913-GraphSalmonella!$B$6)/GraphSalmonella!$B$5</f>
        <v>-0.27893151599946164</v>
      </c>
      <c r="N913" s="1" t="s">
        <v>527</v>
      </c>
      <c r="O913">
        <v>1974</v>
      </c>
      <c r="S913" s="10">
        <f>GraphSalmonella!$B$57*Salmonella!I913+GraphSalmonella!$B$58</f>
        <v>5.1771876899869618E-2</v>
      </c>
      <c r="T913" s="10">
        <f>GraphSalmonella!$E$57*Salmonella!I913+GraphSalmonella!$E$58</f>
        <v>2.891551347357685</v>
      </c>
      <c r="U913" s="10">
        <f>GraphSalmonella!$H$57*Salmonella!I913+GraphSalmonella!$H$58</f>
        <v>-0.27794309585289145</v>
      </c>
      <c r="X913" s="10">
        <f>GraphSalmonella!$B$80*Salmonella!I913+GraphSalmonella!$B$81</f>
        <v>-0.27657214385392592</v>
      </c>
      <c r="Y913" s="10">
        <f>GraphSalmonella!$E$80*Salmonella!I913+GraphSalmonella!$E$81</f>
        <v>-0.27575457763551192</v>
      </c>
      <c r="Z913" s="10">
        <f>GraphSalmonella!$H$80*Salmonella!I913+GraphSalmonella!$H$81</f>
        <v>-0.71042200316020843</v>
      </c>
    </row>
    <row r="914" spans="1:26" x14ac:dyDescent="0.2">
      <c r="A914" s="1" t="s">
        <v>66</v>
      </c>
      <c r="B914" s="1" t="s">
        <v>70</v>
      </c>
      <c r="C914">
        <v>4987</v>
      </c>
      <c r="D914" t="s">
        <v>44</v>
      </c>
      <c r="E914" s="1" t="s">
        <v>526</v>
      </c>
      <c r="F914" s="19" t="s">
        <v>752</v>
      </c>
      <c r="G914" s="9">
        <v>0.95</v>
      </c>
      <c r="H914" s="4">
        <v>6.5</v>
      </c>
      <c r="I914" s="4">
        <v>65</v>
      </c>
      <c r="J914" s="11">
        <v>3.15</v>
      </c>
      <c r="L914" s="12">
        <f t="shared" si="18"/>
        <v>0.49831055378960049</v>
      </c>
      <c r="M914" s="11">
        <f>GraphSalmonella!$B$10-(Salmonella!I914-GraphSalmonella!$B$6)/GraphSalmonella!$B$5</f>
        <v>-0.27893151599946164</v>
      </c>
      <c r="N914" s="1" t="s">
        <v>527</v>
      </c>
      <c r="O914">
        <v>1974</v>
      </c>
      <c r="S914" s="10">
        <f>GraphSalmonella!$B$57*Salmonella!I914+GraphSalmonella!$B$58</f>
        <v>5.1771876899869618E-2</v>
      </c>
      <c r="T914" s="10">
        <f>GraphSalmonella!$E$57*Salmonella!I914+GraphSalmonella!$E$58</f>
        <v>2.891551347357685</v>
      </c>
      <c r="U914" s="10">
        <f>GraphSalmonella!$H$57*Salmonella!I914+GraphSalmonella!$H$58</f>
        <v>-0.27794309585289145</v>
      </c>
      <c r="X914" s="10">
        <f>GraphSalmonella!$B$80*Salmonella!I914+GraphSalmonella!$B$81</f>
        <v>-0.27657214385392592</v>
      </c>
      <c r="Y914" s="10">
        <f>GraphSalmonella!$E$80*Salmonella!I914+GraphSalmonella!$E$81</f>
        <v>-0.27575457763551192</v>
      </c>
      <c r="Z914" s="10">
        <f>GraphSalmonella!$H$80*Salmonella!I914+GraphSalmonella!$H$81</f>
        <v>-0.71042200316020843</v>
      </c>
    </row>
    <row r="915" spans="1:26" x14ac:dyDescent="0.2">
      <c r="A915" s="1" t="s">
        <v>66</v>
      </c>
      <c r="B915" s="1" t="s">
        <v>70</v>
      </c>
      <c r="C915">
        <v>4987</v>
      </c>
      <c r="D915" t="s">
        <v>44</v>
      </c>
      <c r="E915" s="1" t="s">
        <v>526</v>
      </c>
      <c r="F915" s="19" t="s">
        <v>754</v>
      </c>
      <c r="G915" s="9">
        <v>0.95</v>
      </c>
      <c r="H915" s="4">
        <v>6.5</v>
      </c>
      <c r="I915" s="4">
        <v>65</v>
      </c>
      <c r="J915" s="11">
        <v>1.82</v>
      </c>
      <c r="L915" s="12">
        <f t="shared" si="18"/>
        <v>0.26007138798507479</v>
      </c>
      <c r="M915" s="11">
        <f>GraphSalmonella!$B$10-(Salmonella!I915-GraphSalmonella!$B$6)/GraphSalmonella!$B$5</f>
        <v>-0.27893151599946164</v>
      </c>
      <c r="N915" s="1" t="s">
        <v>527</v>
      </c>
      <c r="O915">
        <v>1974</v>
      </c>
      <c r="S915" s="10">
        <f>GraphSalmonella!$B$57*Salmonella!I915+GraphSalmonella!$B$58</f>
        <v>5.1771876899869618E-2</v>
      </c>
      <c r="T915" s="10">
        <f>GraphSalmonella!$E$57*Salmonella!I915+GraphSalmonella!$E$58</f>
        <v>2.891551347357685</v>
      </c>
      <c r="U915" s="10">
        <f>GraphSalmonella!$H$57*Salmonella!I915+GraphSalmonella!$H$58</f>
        <v>-0.27794309585289145</v>
      </c>
      <c r="X915" s="10">
        <f>GraphSalmonella!$B$80*Salmonella!I915+GraphSalmonella!$B$81</f>
        <v>-0.27657214385392592</v>
      </c>
      <c r="Y915" s="10">
        <f>GraphSalmonella!$E$80*Salmonella!I915+GraphSalmonella!$E$81</f>
        <v>-0.27575457763551192</v>
      </c>
      <c r="Z915" s="10">
        <f>GraphSalmonella!$H$80*Salmonella!I915+GraphSalmonella!$H$81</f>
        <v>-0.71042200316020843</v>
      </c>
    </row>
    <row r="916" spans="1:26" x14ac:dyDescent="0.2">
      <c r="A916" s="1" t="s">
        <v>66</v>
      </c>
      <c r="B916" s="1" t="s">
        <v>70</v>
      </c>
      <c r="C916">
        <v>4987</v>
      </c>
      <c r="D916" t="s">
        <v>44</v>
      </c>
      <c r="E916" s="1" t="s">
        <v>526</v>
      </c>
      <c r="F916" s="19" t="s">
        <v>755</v>
      </c>
      <c r="G916" s="9">
        <v>0.85</v>
      </c>
      <c r="H916" s="4">
        <v>6.5</v>
      </c>
      <c r="I916" s="4">
        <v>65</v>
      </c>
      <c r="J916" s="11">
        <v>5.0599999999999996</v>
      </c>
      <c r="L916" s="12">
        <f t="shared" si="18"/>
        <v>0.70415051683979912</v>
      </c>
      <c r="M916" s="11">
        <f>GraphSalmonella!$B$10-(Salmonella!I916-GraphSalmonella!$B$6)/GraphSalmonella!$B$5</f>
        <v>-0.27893151599946164</v>
      </c>
      <c r="N916" s="1" t="s">
        <v>527</v>
      </c>
      <c r="O916">
        <v>1974</v>
      </c>
      <c r="S916" s="10">
        <f>GraphSalmonella!$B$57*Salmonella!I916+GraphSalmonella!$B$58</f>
        <v>5.1771876899869618E-2</v>
      </c>
      <c r="T916" s="10">
        <f>GraphSalmonella!$E$57*Salmonella!I916+GraphSalmonella!$E$58</f>
        <v>2.891551347357685</v>
      </c>
      <c r="U916" s="10">
        <f>GraphSalmonella!$H$57*Salmonella!I916+GraphSalmonella!$H$58</f>
        <v>-0.27794309585289145</v>
      </c>
      <c r="X916" s="10">
        <f>GraphSalmonella!$B$80*Salmonella!I916+GraphSalmonella!$B$81</f>
        <v>-0.27657214385392592</v>
      </c>
      <c r="Y916" s="10">
        <f>GraphSalmonella!$E$80*Salmonella!I916+GraphSalmonella!$E$81</f>
        <v>-0.27575457763551192</v>
      </c>
      <c r="Z916" s="10">
        <f>GraphSalmonella!$H$80*Salmonella!I916+GraphSalmonella!$H$81</f>
        <v>-0.71042200316020843</v>
      </c>
    </row>
    <row r="917" spans="1:26" x14ac:dyDescent="0.2">
      <c r="A917" s="1" t="s">
        <v>66</v>
      </c>
      <c r="B917" s="1" t="s">
        <v>70</v>
      </c>
      <c r="C917">
        <v>4987</v>
      </c>
      <c r="D917" t="s">
        <v>44</v>
      </c>
      <c r="E917" s="1" t="s">
        <v>526</v>
      </c>
      <c r="F917" s="19" t="s">
        <v>756</v>
      </c>
      <c r="G917" s="9">
        <v>0.94</v>
      </c>
      <c r="H917" s="4">
        <v>6.5</v>
      </c>
      <c r="I917" s="4">
        <v>65</v>
      </c>
      <c r="J917" s="11">
        <v>0.11</v>
      </c>
      <c r="L917" s="12">
        <f t="shared" si="18"/>
        <v>-0.95860731484177497</v>
      </c>
      <c r="M917" s="11">
        <f>GraphSalmonella!$B$10-(Salmonella!I917-GraphSalmonella!$B$6)/GraphSalmonella!$B$5</f>
        <v>-0.27893151599946164</v>
      </c>
      <c r="N917" s="1" t="s">
        <v>527</v>
      </c>
      <c r="O917">
        <v>1974</v>
      </c>
      <c r="S917" s="10">
        <f>GraphSalmonella!$B$57*Salmonella!I917+GraphSalmonella!$B$58</f>
        <v>5.1771876899869618E-2</v>
      </c>
      <c r="T917" s="10">
        <f>GraphSalmonella!$E$57*Salmonella!I917+GraphSalmonella!$E$58</f>
        <v>2.891551347357685</v>
      </c>
      <c r="U917" s="10">
        <f>GraphSalmonella!$H$57*Salmonella!I917+GraphSalmonella!$H$58</f>
        <v>-0.27794309585289145</v>
      </c>
      <c r="X917" s="10">
        <f>GraphSalmonella!$B$80*Salmonella!I917+GraphSalmonella!$B$81</f>
        <v>-0.27657214385392592</v>
      </c>
      <c r="Y917" s="10">
        <f>GraphSalmonella!$E$80*Salmonella!I917+GraphSalmonella!$E$81</f>
        <v>-0.27575457763551192</v>
      </c>
      <c r="Z917" s="10">
        <f>GraphSalmonella!$H$80*Salmonella!I917+GraphSalmonella!$H$81</f>
        <v>-0.71042200316020843</v>
      </c>
    </row>
    <row r="918" spans="1:26" x14ac:dyDescent="0.2">
      <c r="A918" s="1" t="s">
        <v>66</v>
      </c>
      <c r="B918" s="1" t="s">
        <v>70</v>
      </c>
      <c r="C918">
        <v>4987</v>
      </c>
      <c r="D918" t="s">
        <v>44</v>
      </c>
      <c r="E918" s="1" t="s">
        <v>526</v>
      </c>
      <c r="F918" s="19" t="s">
        <v>739</v>
      </c>
      <c r="G918" s="9">
        <v>0.95</v>
      </c>
      <c r="H918" s="4">
        <v>6.5</v>
      </c>
      <c r="I918" s="4">
        <v>65</v>
      </c>
      <c r="J918" s="11">
        <v>3.49</v>
      </c>
      <c r="L918" s="12">
        <f t="shared" si="18"/>
        <v>0.5428254269591799</v>
      </c>
      <c r="M918" s="11">
        <f>GraphSalmonella!$B$10-(Salmonella!I918-GraphSalmonella!$B$6)/GraphSalmonella!$B$5</f>
        <v>-0.27893151599946164</v>
      </c>
      <c r="N918" s="1" t="s">
        <v>527</v>
      </c>
      <c r="O918">
        <v>1974</v>
      </c>
      <c r="S918" s="10">
        <f>GraphSalmonella!$B$57*Salmonella!I918+GraphSalmonella!$B$58</f>
        <v>5.1771876899869618E-2</v>
      </c>
      <c r="T918" s="10">
        <f>GraphSalmonella!$E$57*Salmonella!I918+GraphSalmonella!$E$58</f>
        <v>2.891551347357685</v>
      </c>
      <c r="U918" s="10">
        <f>GraphSalmonella!$H$57*Salmonella!I918+GraphSalmonella!$H$58</f>
        <v>-0.27794309585289145</v>
      </c>
      <c r="X918" s="10">
        <f>GraphSalmonella!$B$80*Salmonella!I918+GraphSalmonella!$B$81</f>
        <v>-0.27657214385392592</v>
      </c>
      <c r="Y918" s="10">
        <f>GraphSalmonella!$E$80*Salmonella!I918+GraphSalmonella!$E$81</f>
        <v>-0.27575457763551192</v>
      </c>
      <c r="Z918" s="10">
        <f>GraphSalmonella!$H$80*Salmonella!I918+GraphSalmonella!$H$81</f>
        <v>-0.71042200316020843</v>
      </c>
    </row>
    <row r="919" spans="1:26" x14ac:dyDescent="0.2">
      <c r="A919" s="1" t="s">
        <v>66</v>
      </c>
      <c r="B919" s="1" t="s">
        <v>70</v>
      </c>
      <c r="C919">
        <v>4987</v>
      </c>
      <c r="D919" t="s">
        <v>44</v>
      </c>
      <c r="E919" s="1" t="s">
        <v>526</v>
      </c>
      <c r="F919" s="19" t="s">
        <v>757</v>
      </c>
      <c r="G919" s="9">
        <v>0.95</v>
      </c>
      <c r="H919" s="4">
        <v>6.5</v>
      </c>
      <c r="I919" s="4">
        <v>65</v>
      </c>
      <c r="J919" s="11">
        <v>2.76</v>
      </c>
      <c r="L919" s="12">
        <f t="shared" si="18"/>
        <v>0.44090908206521767</v>
      </c>
      <c r="M919" s="11">
        <f>GraphSalmonella!$B$10-(Salmonella!I919-GraphSalmonella!$B$6)/GraphSalmonella!$B$5</f>
        <v>-0.27893151599946164</v>
      </c>
      <c r="N919" s="1" t="s">
        <v>527</v>
      </c>
      <c r="O919">
        <v>1974</v>
      </c>
      <c r="S919" s="10">
        <f>GraphSalmonella!$B$57*Salmonella!I919+GraphSalmonella!$B$58</f>
        <v>5.1771876899869618E-2</v>
      </c>
      <c r="T919" s="10">
        <f>GraphSalmonella!$E$57*Salmonella!I919+GraphSalmonella!$E$58</f>
        <v>2.891551347357685</v>
      </c>
      <c r="U919" s="10">
        <f>GraphSalmonella!$H$57*Salmonella!I919+GraphSalmonella!$H$58</f>
        <v>-0.27794309585289145</v>
      </c>
      <c r="X919" s="10">
        <f>GraphSalmonella!$B$80*Salmonella!I919+GraphSalmonella!$B$81</f>
        <v>-0.27657214385392592</v>
      </c>
      <c r="Y919" s="10">
        <f>GraphSalmonella!$E$80*Salmonella!I919+GraphSalmonella!$E$81</f>
        <v>-0.27575457763551192</v>
      </c>
      <c r="Z919" s="10">
        <f>GraphSalmonella!$H$80*Salmonella!I919+GraphSalmonella!$H$81</f>
        <v>-0.71042200316020843</v>
      </c>
    </row>
    <row r="920" spans="1:26" x14ac:dyDescent="0.2">
      <c r="A920" s="1" t="s">
        <v>66</v>
      </c>
      <c r="B920" s="1" t="s">
        <v>70</v>
      </c>
      <c r="C920">
        <v>4987</v>
      </c>
      <c r="D920" t="s">
        <v>44</v>
      </c>
      <c r="E920" s="1" t="s">
        <v>526</v>
      </c>
      <c r="F920" s="19" t="s">
        <v>740</v>
      </c>
      <c r="G920" s="9">
        <v>0.95</v>
      </c>
      <c r="H920" s="4">
        <v>6.5</v>
      </c>
      <c r="I920" s="4">
        <v>65</v>
      </c>
      <c r="J920" s="11">
        <v>6.95</v>
      </c>
      <c r="L920" s="12">
        <f t="shared" si="18"/>
        <v>0.84198480459011393</v>
      </c>
      <c r="M920" s="11">
        <f>GraphSalmonella!$B$10-(Salmonella!I920-GraphSalmonella!$B$6)/GraphSalmonella!$B$5</f>
        <v>-0.27893151599946164</v>
      </c>
      <c r="N920" s="1" t="s">
        <v>527</v>
      </c>
      <c r="O920">
        <v>1974</v>
      </c>
      <c r="S920" s="10">
        <f>GraphSalmonella!$B$57*Salmonella!I920+GraphSalmonella!$B$58</f>
        <v>5.1771876899869618E-2</v>
      </c>
      <c r="T920" s="10">
        <f>GraphSalmonella!$E$57*Salmonella!I920+GraphSalmonella!$E$58</f>
        <v>2.891551347357685</v>
      </c>
      <c r="U920" s="10">
        <f>GraphSalmonella!$H$57*Salmonella!I920+GraphSalmonella!$H$58</f>
        <v>-0.27794309585289145</v>
      </c>
      <c r="X920" s="10">
        <f>GraphSalmonella!$B$80*Salmonella!I920+GraphSalmonella!$B$81</f>
        <v>-0.27657214385392592</v>
      </c>
      <c r="Y920" s="10">
        <f>GraphSalmonella!$E$80*Salmonella!I920+GraphSalmonella!$E$81</f>
        <v>-0.27575457763551192</v>
      </c>
      <c r="Z920" s="10">
        <f>GraphSalmonella!$H$80*Salmonella!I920+GraphSalmonella!$H$81</f>
        <v>-0.71042200316020843</v>
      </c>
    </row>
    <row r="921" spans="1:26" x14ac:dyDescent="0.2">
      <c r="A921" s="1" t="s">
        <v>66</v>
      </c>
      <c r="B921" s="1" t="s">
        <v>70</v>
      </c>
      <c r="C921">
        <v>4987</v>
      </c>
      <c r="D921" t="s">
        <v>44</v>
      </c>
      <c r="E921" s="1" t="s">
        <v>526</v>
      </c>
      <c r="F921" s="19" t="s">
        <v>759</v>
      </c>
      <c r="G921" s="9">
        <v>0.85</v>
      </c>
      <c r="H921" s="4">
        <v>6.5</v>
      </c>
      <c r="I921" s="4">
        <v>65</v>
      </c>
      <c r="J921" s="11">
        <v>16</v>
      </c>
      <c r="L921" s="12">
        <f t="shared" si="18"/>
        <v>1.2041199826559248</v>
      </c>
      <c r="M921" s="11">
        <f>GraphSalmonella!$B$10-(Salmonella!I921-GraphSalmonella!$B$6)/GraphSalmonella!$B$5</f>
        <v>-0.27893151599946164</v>
      </c>
      <c r="N921" s="1" t="s">
        <v>527</v>
      </c>
      <c r="O921">
        <v>1974</v>
      </c>
      <c r="S921" s="10">
        <f>GraphSalmonella!$B$57*Salmonella!I921+GraphSalmonella!$B$58</f>
        <v>5.1771876899869618E-2</v>
      </c>
      <c r="T921" s="10">
        <f>GraphSalmonella!$E$57*Salmonella!I921+GraphSalmonella!$E$58</f>
        <v>2.891551347357685</v>
      </c>
      <c r="U921" s="10">
        <f>GraphSalmonella!$H$57*Salmonella!I921+GraphSalmonella!$H$58</f>
        <v>-0.27794309585289145</v>
      </c>
      <c r="X921" s="10">
        <f>GraphSalmonella!$B$80*Salmonella!I921+GraphSalmonella!$B$81</f>
        <v>-0.27657214385392592</v>
      </c>
      <c r="Y921" s="10">
        <f>GraphSalmonella!$E$80*Salmonella!I921+GraphSalmonella!$E$81</f>
        <v>-0.27575457763551192</v>
      </c>
      <c r="Z921" s="10">
        <f>GraphSalmonella!$H$80*Salmonella!I921+GraphSalmonella!$H$81</f>
        <v>-0.71042200316020843</v>
      </c>
    </row>
    <row r="922" spans="1:26" x14ac:dyDescent="0.2">
      <c r="A922" s="1" t="s">
        <v>66</v>
      </c>
      <c r="B922" s="1" t="s">
        <v>70</v>
      </c>
      <c r="C922">
        <v>4987</v>
      </c>
      <c r="D922" t="s">
        <v>44</v>
      </c>
      <c r="E922" s="1" t="s">
        <v>526</v>
      </c>
      <c r="F922" s="19" t="s">
        <v>760</v>
      </c>
      <c r="G922" s="9">
        <v>0.85</v>
      </c>
      <c r="H922" s="4">
        <v>6.5</v>
      </c>
      <c r="I922" s="4">
        <v>65</v>
      </c>
      <c r="J922" s="11">
        <v>11</v>
      </c>
      <c r="L922" s="12">
        <f t="shared" si="18"/>
        <v>1.0413926851582251</v>
      </c>
      <c r="M922" s="11">
        <f>GraphSalmonella!$B$10-(Salmonella!I922-GraphSalmonella!$B$6)/GraphSalmonella!$B$5</f>
        <v>-0.27893151599946164</v>
      </c>
      <c r="N922" s="1" t="s">
        <v>527</v>
      </c>
      <c r="O922">
        <v>1974</v>
      </c>
      <c r="S922" s="10">
        <f>GraphSalmonella!$B$57*Salmonella!I922+GraphSalmonella!$B$58</f>
        <v>5.1771876899869618E-2</v>
      </c>
      <c r="T922" s="10">
        <f>GraphSalmonella!$E$57*Salmonella!I922+GraphSalmonella!$E$58</f>
        <v>2.891551347357685</v>
      </c>
      <c r="U922" s="10">
        <f>GraphSalmonella!$H$57*Salmonella!I922+GraphSalmonella!$H$58</f>
        <v>-0.27794309585289145</v>
      </c>
      <c r="X922" s="10">
        <f>GraphSalmonella!$B$80*Salmonella!I922+GraphSalmonella!$B$81</f>
        <v>-0.27657214385392592</v>
      </c>
      <c r="Y922" s="10">
        <f>GraphSalmonella!$E$80*Salmonella!I922+GraphSalmonella!$E$81</f>
        <v>-0.27575457763551192</v>
      </c>
      <c r="Z922" s="10">
        <f>GraphSalmonella!$H$80*Salmonella!I922+GraphSalmonella!$H$81</f>
        <v>-0.71042200316020843</v>
      </c>
    </row>
    <row r="923" spans="1:26" x14ac:dyDescent="0.2">
      <c r="A923" s="1" t="s">
        <v>66</v>
      </c>
      <c r="B923" s="1" t="s">
        <v>70</v>
      </c>
      <c r="C923">
        <v>4987</v>
      </c>
      <c r="D923" t="s">
        <v>44</v>
      </c>
      <c r="E923" s="1" t="s">
        <v>526</v>
      </c>
      <c r="F923" s="19" t="s">
        <v>761</v>
      </c>
      <c r="G923" s="9">
        <v>0.95</v>
      </c>
      <c r="H923" s="4">
        <v>6.5</v>
      </c>
      <c r="I923" s="4">
        <v>65</v>
      </c>
      <c r="J923" s="11">
        <v>1.38</v>
      </c>
      <c r="L923" s="12">
        <f t="shared" si="18"/>
        <v>0.13987908640123647</v>
      </c>
      <c r="M923" s="11">
        <f>GraphSalmonella!$B$10-(Salmonella!I923-GraphSalmonella!$B$6)/GraphSalmonella!$B$5</f>
        <v>-0.27893151599946164</v>
      </c>
      <c r="N923" s="1" t="s">
        <v>527</v>
      </c>
      <c r="O923">
        <v>1974</v>
      </c>
      <c r="S923" s="10">
        <f>GraphSalmonella!$B$57*Salmonella!I923+GraphSalmonella!$B$58</f>
        <v>5.1771876899869618E-2</v>
      </c>
      <c r="T923" s="10">
        <f>GraphSalmonella!$E$57*Salmonella!I923+GraphSalmonella!$E$58</f>
        <v>2.891551347357685</v>
      </c>
      <c r="U923" s="10">
        <f>GraphSalmonella!$H$57*Salmonella!I923+GraphSalmonella!$H$58</f>
        <v>-0.27794309585289145</v>
      </c>
      <c r="X923" s="10">
        <f>GraphSalmonella!$B$80*Salmonella!I923+GraphSalmonella!$B$81</f>
        <v>-0.27657214385392592</v>
      </c>
      <c r="Y923" s="10">
        <f>GraphSalmonella!$E$80*Salmonella!I923+GraphSalmonella!$E$81</f>
        <v>-0.27575457763551192</v>
      </c>
      <c r="Z923" s="10">
        <f>GraphSalmonella!$H$80*Salmonella!I923+GraphSalmonella!$H$81</f>
        <v>-0.71042200316020843</v>
      </c>
    </row>
    <row r="924" spans="1:26" x14ac:dyDescent="0.2">
      <c r="A924" s="1" t="s">
        <v>66</v>
      </c>
      <c r="B924" s="1" t="s">
        <v>70</v>
      </c>
      <c r="C924">
        <v>4987</v>
      </c>
      <c r="D924" t="s">
        <v>44</v>
      </c>
      <c r="E924" s="1" t="s">
        <v>526</v>
      </c>
      <c r="F924" s="19" t="s">
        <v>762</v>
      </c>
      <c r="G924" s="9">
        <v>0.85</v>
      </c>
      <c r="H924" s="4">
        <v>6.5</v>
      </c>
      <c r="I924" s="4">
        <v>65</v>
      </c>
      <c r="J924" s="11">
        <v>18</v>
      </c>
      <c r="L924" s="12">
        <f t="shared" si="18"/>
        <v>1.255272505103306</v>
      </c>
      <c r="M924" s="11">
        <f>GraphSalmonella!$B$10-(Salmonella!I924-GraphSalmonella!$B$6)/GraphSalmonella!$B$5</f>
        <v>-0.27893151599946164</v>
      </c>
      <c r="N924" s="1" t="s">
        <v>527</v>
      </c>
      <c r="O924">
        <v>1974</v>
      </c>
      <c r="S924" s="10">
        <f>GraphSalmonella!$B$57*Salmonella!I924+GraphSalmonella!$B$58</f>
        <v>5.1771876899869618E-2</v>
      </c>
      <c r="T924" s="10">
        <f>GraphSalmonella!$E$57*Salmonella!I924+GraphSalmonella!$E$58</f>
        <v>2.891551347357685</v>
      </c>
      <c r="U924" s="10">
        <f>GraphSalmonella!$H$57*Salmonella!I924+GraphSalmonella!$H$58</f>
        <v>-0.27794309585289145</v>
      </c>
      <c r="X924" s="10">
        <f>GraphSalmonella!$B$80*Salmonella!I924+GraphSalmonella!$B$81</f>
        <v>-0.27657214385392592</v>
      </c>
      <c r="Y924" s="10">
        <f>GraphSalmonella!$E$80*Salmonella!I924+GraphSalmonella!$E$81</f>
        <v>-0.27575457763551192</v>
      </c>
      <c r="Z924" s="10">
        <f>GraphSalmonella!$H$80*Salmonella!I924+GraphSalmonella!$H$81</f>
        <v>-0.71042200316020843</v>
      </c>
    </row>
    <row r="925" spans="1:26" x14ac:dyDescent="0.2">
      <c r="A925" s="1" t="s">
        <v>66</v>
      </c>
      <c r="B925" s="1" t="s">
        <v>70</v>
      </c>
      <c r="C925">
        <v>4987</v>
      </c>
      <c r="D925" t="s">
        <v>44</v>
      </c>
      <c r="E925" s="1" t="s">
        <v>526</v>
      </c>
      <c r="F925" s="19" t="s">
        <v>763</v>
      </c>
      <c r="G925" s="9">
        <v>0.86</v>
      </c>
      <c r="H925" s="4">
        <v>6.5</v>
      </c>
      <c r="I925" s="4">
        <v>65</v>
      </c>
      <c r="J925" s="11">
        <v>18.5</v>
      </c>
      <c r="L925" s="12">
        <f t="shared" si="18"/>
        <v>1.2671717284030137</v>
      </c>
      <c r="M925" s="11">
        <f>GraphSalmonella!$B$10-(Salmonella!I925-GraphSalmonella!$B$6)/GraphSalmonella!$B$5</f>
        <v>-0.27893151599946164</v>
      </c>
      <c r="N925" s="1" t="s">
        <v>527</v>
      </c>
      <c r="O925">
        <v>1974</v>
      </c>
      <c r="S925" s="10">
        <f>GraphSalmonella!$B$57*Salmonella!I925+GraphSalmonella!$B$58</f>
        <v>5.1771876899869618E-2</v>
      </c>
      <c r="T925" s="10">
        <f>GraphSalmonella!$E$57*Salmonella!I925+GraphSalmonella!$E$58</f>
        <v>2.891551347357685</v>
      </c>
      <c r="U925" s="10">
        <f>GraphSalmonella!$H$57*Salmonella!I925+GraphSalmonella!$H$58</f>
        <v>-0.27794309585289145</v>
      </c>
      <c r="X925" s="10">
        <f>GraphSalmonella!$B$80*Salmonella!I925+GraphSalmonella!$B$81</f>
        <v>-0.27657214385392592</v>
      </c>
      <c r="Y925" s="10">
        <f>GraphSalmonella!$E$80*Salmonella!I925+GraphSalmonella!$E$81</f>
        <v>-0.27575457763551192</v>
      </c>
      <c r="Z925" s="10">
        <f>GraphSalmonella!$H$80*Salmonella!I925+GraphSalmonella!$H$81</f>
        <v>-0.71042200316020843</v>
      </c>
    </row>
    <row r="926" spans="1:26" x14ac:dyDescent="0.2">
      <c r="A926" s="1" t="s">
        <v>66</v>
      </c>
      <c r="B926" s="1" t="s">
        <v>70</v>
      </c>
      <c r="C926">
        <v>4987</v>
      </c>
      <c r="D926" t="s">
        <v>44</v>
      </c>
      <c r="E926" s="1" t="s">
        <v>526</v>
      </c>
      <c r="F926" s="19" t="s">
        <v>764</v>
      </c>
      <c r="G926" s="9">
        <v>0.85</v>
      </c>
      <c r="H926" s="4">
        <v>6.5</v>
      </c>
      <c r="I926" s="4">
        <v>65</v>
      </c>
      <c r="J926" s="11">
        <v>31.5</v>
      </c>
      <c r="L926" s="12">
        <f t="shared" ref="L926:L989" si="19">LOG(J926)</f>
        <v>1.4983105537896004</v>
      </c>
      <c r="M926" s="11">
        <f>GraphSalmonella!$B$10-(Salmonella!I926-GraphSalmonella!$B$6)/GraphSalmonella!$B$5</f>
        <v>-0.27893151599946164</v>
      </c>
      <c r="N926" s="1" t="s">
        <v>527</v>
      </c>
      <c r="O926">
        <v>1974</v>
      </c>
      <c r="S926" s="10">
        <f>GraphSalmonella!$B$57*Salmonella!I926+GraphSalmonella!$B$58</f>
        <v>5.1771876899869618E-2</v>
      </c>
      <c r="T926" s="10">
        <f>GraphSalmonella!$E$57*Salmonella!I926+GraphSalmonella!$E$58</f>
        <v>2.891551347357685</v>
      </c>
      <c r="U926" s="10">
        <f>GraphSalmonella!$H$57*Salmonella!I926+GraphSalmonella!$H$58</f>
        <v>-0.27794309585289145</v>
      </c>
      <c r="X926" s="10">
        <f>GraphSalmonella!$B$80*Salmonella!I926+GraphSalmonella!$B$81</f>
        <v>-0.27657214385392592</v>
      </c>
      <c r="Y926" s="10">
        <f>GraphSalmonella!$E$80*Salmonella!I926+GraphSalmonella!$E$81</f>
        <v>-0.27575457763551192</v>
      </c>
      <c r="Z926" s="10">
        <f>GraphSalmonella!$H$80*Salmonella!I926+GraphSalmonella!$H$81</f>
        <v>-0.71042200316020843</v>
      </c>
    </row>
    <row r="927" spans="1:26" x14ac:dyDescent="0.2">
      <c r="A927" s="1" t="s">
        <v>66</v>
      </c>
      <c r="B927" s="1" t="s">
        <v>67</v>
      </c>
      <c r="C927" t="s">
        <v>312</v>
      </c>
      <c r="D927" t="s">
        <v>44</v>
      </c>
      <c r="E927" s="1" t="s">
        <v>526</v>
      </c>
      <c r="F927" s="19" t="s">
        <v>743</v>
      </c>
      <c r="G927" s="9"/>
      <c r="H927" s="4">
        <v>6.5</v>
      </c>
      <c r="I927" s="4">
        <v>65</v>
      </c>
      <c r="J927" s="11">
        <v>43</v>
      </c>
      <c r="L927" s="12">
        <f t="shared" si="19"/>
        <v>1.6334684555795864</v>
      </c>
      <c r="M927" s="11">
        <f>GraphSalmonella!$B$10-(Salmonella!I927-GraphSalmonella!$B$6)/GraphSalmonella!$B$5</f>
        <v>-0.27893151599946164</v>
      </c>
      <c r="N927" s="1" t="s">
        <v>527</v>
      </c>
      <c r="O927">
        <v>1974</v>
      </c>
      <c r="S927" s="10">
        <f>GraphSalmonella!$B$57*Salmonella!I927+GraphSalmonella!$B$58</f>
        <v>5.1771876899869618E-2</v>
      </c>
      <c r="T927" s="10">
        <f>GraphSalmonella!$E$57*Salmonella!I927+GraphSalmonella!$E$58</f>
        <v>2.891551347357685</v>
      </c>
      <c r="U927" s="10">
        <f>GraphSalmonella!$H$57*Salmonella!I927+GraphSalmonella!$H$58</f>
        <v>-0.27794309585289145</v>
      </c>
      <c r="X927" s="10">
        <f>GraphSalmonella!$B$80*Salmonella!I927+GraphSalmonella!$B$81</f>
        <v>-0.27657214385392592</v>
      </c>
      <c r="Y927" s="10">
        <f>GraphSalmonella!$E$80*Salmonella!I927+GraphSalmonella!$E$81</f>
        <v>-0.27575457763551192</v>
      </c>
      <c r="Z927" s="10">
        <f>GraphSalmonella!$H$80*Salmonella!I927+GraphSalmonella!$H$81</f>
        <v>-0.71042200316020843</v>
      </c>
    </row>
    <row r="928" spans="1:26" x14ac:dyDescent="0.2">
      <c r="A928" s="1" t="s">
        <v>66</v>
      </c>
      <c r="B928" s="1" t="s">
        <v>70</v>
      </c>
      <c r="C928">
        <v>4987</v>
      </c>
      <c r="D928" t="s">
        <v>44</v>
      </c>
      <c r="E928" s="1" t="s">
        <v>526</v>
      </c>
      <c r="F928" s="19" t="s">
        <v>743</v>
      </c>
      <c r="G928" s="9"/>
      <c r="H928" s="4">
        <v>6.5</v>
      </c>
      <c r="I928" s="4">
        <v>65</v>
      </c>
      <c r="J928" s="11">
        <v>53</v>
      </c>
      <c r="L928" s="12">
        <f t="shared" si="19"/>
        <v>1.7242758696007889</v>
      </c>
      <c r="M928" s="11">
        <f>GraphSalmonella!$B$10-(Salmonella!I928-GraphSalmonella!$B$6)/GraphSalmonella!$B$5</f>
        <v>-0.27893151599946164</v>
      </c>
      <c r="N928" s="1" t="s">
        <v>527</v>
      </c>
      <c r="O928">
        <v>1974</v>
      </c>
      <c r="S928" s="10">
        <f>GraphSalmonella!$B$57*Salmonella!I928+GraphSalmonella!$B$58</f>
        <v>5.1771876899869618E-2</v>
      </c>
      <c r="T928" s="10">
        <f>GraphSalmonella!$E$57*Salmonella!I928+GraphSalmonella!$E$58</f>
        <v>2.891551347357685</v>
      </c>
      <c r="U928" s="10">
        <f>GraphSalmonella!$H$57*Salmonella!I928+GraphSalmonella!$H$58</f>
        <v>-0.27794309585289145</v>
      </c>
      <c r="X928" s="10">
        <f>GraphSalmonella!$B$80*Salmonella!I928+GraphSalmonella!$B$81</f>
        <v>-0.27657214385392592</v>
      </c>
      <c r="Y928" s="10">
        <f>GraphSalmonella!$E$80*Salmonella!I928+GraphSalmonella!$E$81</f>
        <v>-0.27575457763551192</v>
      </c>
      <c r="Z928" s="10">
        <f>GraphSalmonella!$H$80*Salmonella!I928+GraphSalmonella!$H$81</f>
        <v>-0.71042200316020843</v>
      </c>
    </row>
    <row r="929" spans="1:26" x14ac:dyDescent="0.2">
      <c r="A929" s="1" t="s">
        <v>66</v>
      </c>
      <c r="B929" s="1" t="s">
        <v>70</v>
      </c>
      <c r="C929" t="s">
        <v>525</v>
      </c>
      <c r="D929" t="s">
        <v>44</v>
      </c>
      <c r="E929" s="1" t="s">
        <v>526</v>
      </c>
      <c r="F929" s="19" t="s">
        <v>743</v>
      </c>
      <c r="G929" s="9"/>
      <c r="H929" s="4">
        <v>6.5</v>
      </c>
      <c r="I929" s="4">
        <v>65</v>
      </c>
      <c r="J929" s="11">
        <v>54</v>
      </c>
      <c r="L929" s="12">
        <f t="shared" si="19"/>
        <v>1.7323937598229686</v>
      </c>
      <c r="M929" s="11">
        <f>GraphSalmonella!$B$10-(Salmonella!I929-GraphSalmonella!$B$6)/GraphSalmonella!$B$5</f>
        <v>-0.27893151599946164</v>
      </c>
      <c r="N929" s="1" t="s">
        <v>527</v>
      </c>
      <c r="O929">
        <v>1974</v>
      </c>
      <c r="S929" s="10">
        <f>GraphSalmonella!$B$57*Salmonella!I929+GraphSalmonella!$B$58</f>
        <v>5.1771876899869618E-2</v>
      </c>
      <c r="T929" s="10">
        <f>GraphSalmonella!$E$57*Salmonella!I929+GraphSalmonella!$E$58</f>
        <v>2.891551347357685</v>
      </c>
      <c r="U929" s="10">
        <f>GraphSalmonella!$H$57*Salmonella!I929+GraphSalmonella!$H$58</f>
        <v>-0.27794309585289145</v>
      </c>
      <c r="X929" s="10">
        <f>GraphSalmonella!$B$80*Salmonella!I929+GraphSalmonella!$B$81</f>
        <v>-0.27657214385392592</v>
      </c>
      <c r="Y929" s="10">
        <f>GraphSalmonella!$E$80*Salmonella!I929+GraphSalmonella!$E$81</f>
        <v>-0.27575457763551192</v>
      </c>
      <c r="Z929" s="10">
        <f>GraphSalmonella!$H$80*Salmonella!I929+GraphSalmonella!$H$81</f>
        <v>-0.71042200316020843</v>
      </c>
    </row>
    <row r="930" spans="1:26" x14ac:dyDescent="0.2">
      <c r="A930" s="1" t="s">
        <v>66</v>
      </c>
      <c r="B930" s="1" t="s">
        <v>70</v>
      </c>
      <c r="C930">
        <v>4987</v>
      </c>
      <c r="D930" t="s">
        <v>44</v>
      </c>
      <c r="E930" s="1" t="s">
        <v>526</v>
      </c>
      <c r="F930" s="19" t="s">
        <v>767</v>
      </c>
      <c r="G930" s="9">
        <v>0.85</v>
      </c>
      <c r="H930" s="4">
        <v>6.5</v>
      </c>
      <c r="I930" s="4">
        <v>65</v>
      </c>
      <c r="J930" s="11">
        <v>0.41</v>
      </c>
      <c r="L930" s="12">
        <f t="shared" si="19"/>
        <v>-0.38721614328026455</v>
      </c>
      <c r="M930" s="11">
        <f>GraphSalmonella!$B$10-(Salmonella!I930-GraphSalmonella!$B$6)/GraphSalmonella!$B$5</f>
        <v>-0.27893151599946164</v>
      </c>
      <c r="N930" s="1" t="s">
        <v>527</v>
      </c>
      <c r="O930">
        <v>1974</v>
      </c>
      <c r="S930" s="10">
        <f>GraphSalmonella!$B$57*Salmonella!I930+GraphSalmonella!$B$58</f>
        <v>5.1771876899869618E-2</v>
      </c>
      <c r="T930" s="10">
        <f>GraphSalmonella!$E$57*Salmonella!I930+GraphSalmonella!$E$58</f>
        <v>2.891551347357685</v>
      </c>
      <c r="U930" s="10">
        <f>GraphSalmonella!$H$57*Salmonella!I930+GraphSalmonella!$H$58</f>
        <v>-0.27794309585289145</v>
      </c>
      <c r="X930" s="10">
        <f>GraphSalmonella!$B$80*Salmonella!I930+GraphSalmonella!$B$81</f>
        <v>-0.27657214385392592</v>
      </c>
      <c r="Y930" s="10">
        <f>GraphSalmonella!$E$80*Salmonella!I930+GraphSalmonella!$E$81</f>
        <v>-0.27575457763551192</v>
      </c>
      <c r="Z930" s="10">
        <f>GraphSalmonella!$H$80*Salmonella!I930+GraphSalmonella!$H$81</f>
        <v>-0.71042200316020843</v>
      </c>
    </row>
    <row r="931" spans="1:26" x14ac:dyDescent="0.2">
      <c r="A931" s="1" t="s">
        <v>66</v>
      </c>
      <c r="B931" s="1" t="s">
        <v>70</v>
      </c>
      <c r="C931">
        <v>4987</v>
      </c>
      <c r="D931" t="s">
        <v>44</v>
      </c>
      <c r="E931" s="1" t="s">
        <v>526</v>
      </c>
      <c r="F931" s="19" t="s">
        <v>768</v>
      </c>
      <c r="G931" s="9">
        <v>0.95</v>
      </c>
      <c r="H931" s="4">
        <v>6.5</v>
      </c>
      <c r="I931" s="4">
        <v>65</v>
      </c>
      <c r="J931" s="11">
        <v>0.16</v>
      </c>
      <c r="L931" s="12">
        <f t="shared" si="19"/>
        <v>-0.79588001734407521</v>
      </c>
      <c r="M931" s="11">
        <f>GraphSalmonella!$B$10-(Salmonella!I931-GraphSalmonella!$B$6)/GraphSalmonella!$B$5</f>
        <v>-0.27893151599946164</v>
      </c>
      <c r="N931" s="1" t="s">
        <v>527</v>
      </c>
      <c r="O931">
        <v>1974</v>
      </c>
      <c r="S931" s="10">
        <f>GraphSalmonella!$B$57*Salmonella!I931+GraphSalmonella!$B$58</f>
        <v>5.1771876899869618E-2</v>
      </c>
      <c r="T931" s="10">
        <f>GraphSalmonella!$E$57*Salmonella!I931+GraphSalmonella!$E$58</f>
        <v>2.891551347357685</v>
      </c>
      <c r="U931" s="10">
        <f>GraphSalmonella!$H$57*Salmonella!I931+GraphSalmonella!$H$58</f>
        <v>-0.27794309585289145</v>
      </c>
      <c r="X931" s="10">
        <f>GraphSalmonella!$B$80*Salmonella!I931+GraphSalmonella!$B$81</f>
        <v>-0.27657214385392592</v>
      </c>
      <c r="Y931" s="10">
        <f>GraphSalmonella!$E$80*Salmonella!I931+GraphSalmonella!$E$81</f>
        <v>-0.27575457763551192</v>
      </c>
      <c r="Z931" s="10">
        <f>GraphSalmonella!$H$80*Salmonella!I931+GraphSalmonella!$H$81</f>
        <v>-0.71042200316020843</v>
      </c>
    </row>
    <row r="932" spans="1:26" x14ac:dyDescent="0.2">
      <c r="A932" s="1" t="s">
        <v>66</v>
      </c>
      <c r="B932" s="1" t="s">
        <v>67</v>
      </c>
      <c r="C932" t="s">
        <v>312</v>
      </c>
      <c r="D932" t="s">
        <v>44</v>
      </c>
      <c r="E932" s="1" t="s">
        <v>526</v>
      </c>
      <c r="F932" s="1"/>
      <c r="G932" s="9"/>
      <c r="H932" s="4">
        <v>6.5</v>
      </c>
      <c r="I932" s="4">
        <v>65</v>
      </c>
      <c r="J932" s="11">
        <v>0.28999999999999998</v>
      </c>
      <c r="L932" s="12">
        <f t="shared" si="19"/>
        <v>-0.53760200210104392</v>
      </c>
      <c r="M932" s="11">
        <f>GraphSalmonella!$B$10-(Salmonella!I932-GraphSalmonella!$B$6)/GraphSalmonella!$B$5</f>
        <v>-0.27893151599946164</v>
      </c>
      <c r="N932" s="1" t="s">
        <v>527</v>
      </c>
      <c r="O932">
        <v>1974</v>
      </c>
      <c r="S932" s="10">
        <f>GraphSalmonella!$B$57*Salmonella!I932+GraphSalmonella!$B$58</f>
        <v>5.1771876899869618E-2</v>
      </c>
      <c r="T932" s="10">
        <f>GraphSalmonella!$E$57*Salmonella!I932+GraphSalmonella!$E$58</f>
        <v>2.891551347357685</v>
      </c>
      <c r="U932" s="10">
        <f>GraphSalmonella!$H$57*Salmonella!I932+GraphSalmonella!$H$58</f>
        <v>-0.27794309585289145</v>
      </c>
      <c r="X932" s="10">
        <f>GraphSalmonella!$B$80*Salmonella!I932+GraphSalmonella!$B$81</f>
        <v>-0.27657214385392592</v>
      </c>
      <c r="Y932" s="10">
        <f>GraphSalmonella!$E$80*Salmonella!I932+GraphSalmonella!$E$81</f>
        <v>-0.27575457763551192</v>
      </c>
      <c r="Z932" s="10">
        <f>GraphSalmonella!$H$80*Salmonella!I932+GraphSalmonella!$H$81</f>
        <v>-0.71042200316020843</v>
      </c>
    </row>
    <row r="933" spans="1:26" x14ac:dyDescent="0.2">
      <c r="A933" s="1" t="s">
        <v>66</v>
      </c>
      <c r="B933" s="1" t="s">
        <v>70</v>
      </c>
      <c r="C933">
        <v>4987</v>
      </c>
      <c r="D933" t="s">
        <v>44</v>
      </c>
      <c r="E933" s="1" t="s">
        <v>526</v>
      </c>
      <c r="F933" s="1"/>
      <c r="G933" s="9"/>
      <c r="H933" s="4">
        <v>6.5</v>
      </c>
      <c r="I933" s="4">
        <v>65</v>
      </c>
      <c r="J933" s="11">
        <v>5.6000000000000001E-2</v>
      </c>
      <c r="L933" s="12">
        <f t="shared" si="19"/>
        <v>-1.2518119729937995</v>
      </c>
      <c r="M933" s="11">
        <f>GraphSalmonella!$B$10-(Salmonella!I933-GraphSalmonella!$B$6)/GraphSalmonella!$B$5</f>
        <v>-0.27893151599946164</v>
      </c>
      <c r="N933" s="1" t="s">
        <v>527</v>
      </c>
      <c r="O933">
        <v>1974</v>
      </c>
      <c r="S933" s="10">
        <f>GraphSalmonella!$B$57*Salmonella!I933+GraphSalmonella!$B$58</f>
        <v>5.1771876899869618E-2</v>
      </c>
      <c r="T933" s="10">
        <f>GraphSalmonella!$E$57*Salmonella!I933+GraphSalmonella!$E$58</f>
        <v>2.891551347357685</v>
      </c>
      <c r="U933" s="10">
        <f>GraphSalmonella!$H$57*Salmonella!I933+GraphSalmonella!$H$58</f>
        <v>-0.27794309585289145</v>
      </c>
      <c r="X933" s="10">
        <f>GraphSalmonella!$B$80*Salmonella!I933+GraphSalmonella!$B$81</f>
        <v>-0.27657214385392592</v>
      </c>
      <c r="Y933" s="10">
        <f>GraphSalmonella!$E$80*Salmonella!I933+GraphSalmonella!$E$81</f>
        <v>-0.27575457763551192</v>
      </c>
      <c r="Z933" s="10">
        <f>GraphSalmonella!$H$80*Salmonella!I933+GraphSalmonella!$H$81</f>
        <v>-0.71042200316020843</v>
      </c>
    </row>
    <row r="934" spans="1:26" x14ac:dyDescent="0.2">
      <c r="A934" s="1" t="s">
        <v>66</v>
      </c>
      <c r="B934" s="1" t="s">
        <v>70</v>
      </c>
      <c r="C934">
        <v>4987</v>
      </c>
      <c r="D934" t="s">
        <v>44</v>
      </c>
      <c r="E934" s="1" t="s">
        <v>526</v>
      </c>
      <c r="F934" s="1"/>
      <c r="G934" s="9"/>
      <c r="H934" s="4">
        <v>6.5</v>
      </c>
      <c r="I934" s="4">
        <v>65</v>
      </c>
      <c r="J934" s="11">
        <v>7.8899999999999998E-2</v>
      </c>
      <c r="L934" s="12">
        <f t="shared" si="19"/>
        <v>-1.1029229967905798</v>
      </c>
      <c r="M934" s="11">
        <f>GraphSalmonella!$B$10-(Salmonella!I934-GraphSalmonella!$B$6)/GraphSalmonella!$B$5</f>
        <v>-0.27893151599946164</v>
      </c>
      <c r="N934" s="1" t="s">
        <v>527</v>
      </c>
      <c r="O934">
        <v>1974</v>
      </c>
      <c r="S934" s="10">
        <f>GraphSalmonella!$B$57*Salmonella!I934+GraphSalmonella!$B$58</f>
        <v>5.1771876899869618E-2</v>
      </c>
      <c r="T934" s="10">
        <f>GraphSalmonella!$E$57*Salmonella!I934+GraphSalmonella!$E$58</f>
        <v>2.891551347357685</v>
      </c>
      <c r="U934" s="10">
        <f>GraphSalmonella!$H$57*Salmonella!I934+GraphSalmonella!$H$58</f>
        <v>-0.27794309585289145</v>
      </c>
      <c r="X934" s="10">
        <f>GraphSalmonella!$B$80*Salmonella!I934+GraphSalmonella!$B$81</f>
        <v>-0.27657214385392592</v>
      </c>
      <c r="Y934" s="10">
        <f>GraphSalmonella!$E$80*Salmonella!I934+GraphSalmonella!$E$81</f>
        <v>-0.27575457763551192</v>
      </c>
      <c r="Z934" s="10">
        <f>GraphSalmonella!$H$80*Salmonella!I934+GraphSalmonella!$H$81</f>
        <v>-0.71042200316020843</v>
      </c>
    </row>
    <row r="935" spans="1:26" x14ac:dyDescent="0.2">
      <c r="A935" s="1" t="s">
        <v>66</v>
      </c>
      <c r="B935" s="1" t="s">
        <v>70</v>
      </c>
      <c r="C935" t="s">
        <v>525</v>
      </c>
      <c r="D935" t="s">
        <v>44</v>
      </c>
      <c r="E935" s="1" t="s">
        <v>526</v>
      </c>
      <c r="F935" s="1"/>
      <c r="G935" s="9"/>
      <c r="H935" s="4">
        <v>6.5</v>
      </c>
      <c r="I935" s="4">
        <v>65</v>
      </c>
      <c r="J935" s="11">
        <v>0.108</v>
      </c>
      <c r="L935" s="12">
        <f t="shared" si="19"/>
        <v>-0.96657624451305035</v>
      </c>
      <c r="M935" s="11">
        <f>GraphSalmonella!$B$10-(Salmonella!I935-GraphSalmonella!$B$6)/GraphSalmonella!$B$5</f>
        <v>-0.27893151599946164</v>
      </c>
      <c r="N935" s="1" t="s">
        <v>527</v>
      </c>
      <c r="O935">
        <v>1974</v>
      </c>
      <c r="S935" s="10">
        <f>GraphSalmonella!$B$57*Salmonella!I935+GraphSalmonella!$B$58</f>
        <v>5.1771876899869618E-2</v>
      </c>
      <c r="T935" s="10">
        <f>GraphSalmonella!$E$57*Salmonella!I935+GraphSalmonella!$E$58</f>
        <v>2.891551347357685</v>
      </c>
      <c r="U935" s="10">
        <f>GraphSalmonella!$H$57*Salmonella!I935+GraphSalmonella!$H$58</f>
        <v>-0.27794309585289145</v>
      </c>
      <c r="X935" s="10">
        <f>GraphSalmonella!$B$80*Salmonella!I935+GraphSalmonella!$B$81</f>
        <v>-0.27657214385392592</v>
      </c>
      <c r="Y935" s="10">
        <f>GraphSalmonella!$E$80*Salmonella!I935+GraphSalmonella!$E$81</f>
        <v>-0.27575457763551192</v>
      </c>
      <c r="Z935" s="10">
        <f>GraphSalmonella!$H$80*Salmonella!I935+GraphSalmonella!$H$81</f>
        <v>-0.71042200316020843</v>
      </c>
    </row>
    <row r="936" spans="1:26" x14ac:dyDescent="0.2">
      <c r="A936" s="1" t="s">
        <v>66</v>
      </c>
      <c r="B936" s="1" t="s">
        <v>67</v>
      </c>
      <c r="C936" t="s">
        <v>373</v>
      </c>
      <c r="D936" t="s">
        <v>44</v>
      </c>
      <c r="E936" s="1" t="s">
        <v>371</v>
      </c>
      <c r="F936" s="1"/>
      <c r="G936" s="9"/>
      <c r="I936" s="4">
        <v>54.4</v>
      </c>
      <c r="J936" s="11">
        <v>19.32</v>
      </c>
      <c r="K936" s="4">
        <v>6.9</v>
      </c>
      <c r="L936" s="12">
        <f t="shared" si="19"/>
        <v>1.2860071220794747</v>
      </c>
      <c r="M936" s="11">
        <f>GraphSalmonella!$B$10-(Salmonella!I936-GraphSalmonella!$B$6)/GraphSalmonella!$B$5</f>
        <v>0.88739805815947381</v>
      </c>
      <c r="N936" s="1" t="s">
        <v>319</v>
      </c>
      <c r="O936">
        <v>2000</v>
      </c>
      <c r="P936" t="s">
        <v>358</v>
      </c>
      <c r="S936" s="10">
        <f>GraphSalmonella!$B$57*Salmonella!I936+GraphSalmonella!$B$58</f>
        <v>0.68554875015023775</v>
      </c>
      <c r="T936" s="10">
        <f>GraphSalmonella!$E$57*Salmonella!I936+GraphSalmonella!$E$58</f>
        <v>3.4119532789577915</v>
      </c>
      <c r="U936" s="10">
        <f>GraphSalmonella!$H$57*Salmonella!I936+GraphSalmonella!$H$58</f>
        <v>0.88812392766201231</v>
      </c>
      <c r="X936" s="10">
        <f>GraphSalmonella!$B$80*Salmonella!I936+GraphSalmonella!$B$81</f>
        <v>0.89032228101878808</v>
      </c>
      <c r="Y936" s="10">
        <f>GraphSalmonella!$E$80*Salmonella!I936+GraphSalmonella!$E$81</f>
        <v>0.90751618122055611</v>
      </c>
      <c r="Z936" s="10">
        <f>GraphSalmonella!$H$80*Salmonella!I936+GraphSalmonella!$H$81</f>
        <v>0.65890574715600181</v>
      </c>
    </row>
    <row r="937" spans="1:26" x14ac:dyDescent="0.2">
      <c r="A937" s="1" t="s">
        <v>66</v>
      </c>
      <c r="B937" s="1" t="s">
        <v>67</v>
      </c>
      <c r="C937" t="s">
        <v>373</v>
      </c>
      <c r="D937" t="s">
        <v>44</v>
      </c>
      <c r="E937" s="1" t="s">
        <v>371</v>
      </c>
      <c r="F937" s="1"/>
      <c r="G937" s="9"/>
      <c r="I937" s="4">
        <v>57.2</v>
      </c>
      <c r="J937" s="11">
        <v>3.72</v>
      </c>
      <c r="K937" s="4">
        <v>6.9</v>
      </c>
      <c r="L937" s="12">
        <f t="shared" si="19"/>
        <v>0.57054293988189753</v>
      </c>
      <c r="M937" s="11">
        <f>GraphSalmonella!$B$10-(Salmonella!I937-GraphSalmonella!$B$6)/GraphSalmonella!$B$5</f>
        <v>0.57931100083447151</v>
      </c>
      <c r="N937" s="1" t="s">
        <v>319</v>
      </c>
      <c r="O937">
        <v>2000</v>
      </c>
      <c r="P937" t="s">
        <v>358</v>
      </c>
      <c r="S937" s="10">
        <f>GraphSalmonella!$B$57*Salmonella!I937+GraphSalmonella!$B$58</f>
        <v>0.51813599117844245</v>
      </c>
      <c r="T937" s="10">
        <f>GraphSalmonella!$E$57*Salmonella!I937+GraphSalmonella!$E$58</f>
        <v>3.2744886177804045</v>
      </c>
      <c r="U937" s="10">
        <f>GraphSalmonella!$H$57*Salmonella!I937+GraphSalmonella!$H$58</f>
        <v>0.58010622333732087</v>
      </c>
      <c r="X937" s="10">
        <f>GraphSalmonella!$B$80*Salmonella!I937+GraphSalmonella!$B$81</f>
        <v>0.58208601784486369</v>
      </c>
      <c r="Y937" s="10">
        <f>GraphSalmonella!$E$80*Salmonella!I937+GraphSalmonella!$E$81</f>
        <v>0.59495409397555665</v>
      </c>
      <c r="Z937" s="10">
        <f>GraphSalmonella!$H$80*Salmonella!I937+GraphSalmonella!$H$81</f>
        <v>0.29719653009134195</v>
      </c>
    </row>
    <row r="938" spans="1:26" x14ac:dyDescent="0.2">
      <c r="A938" s="1" t="s">
        <v>66</v>
      </c>
      <c r="B938" s="1" t="s">
        <v>67</v>
      </c>
      <c r="C938" t="s">
        <v>373</v>
      </c>
      <c r="D938" t="s">
        <v>44</v>
      </c>
      <c r="E938" s="1" t="s">
        <v>371</v>
      </c>
      <c r="F938" s="1"/>
      <c r="G938" s="9"/>
      <c r="I938" s="4">
        <v>60</v>
      </c>
      <c r="J938" s="11">
        <v>3.06</v>
      </c>
      <c r="K938" s="4">
        <v>6.9</v>
      </c>
      <c r="L938" s="12">
        <f t="shared" si="19"/>
        <v>0.48572142648158001</v>
      </c>
      <c r="M938" s="11">
        <f>GraphSalmonella!$B$10-(Salmonella!I938-GraphSalmonella!$B$6)/GraphSalmonella!$B$5</f>
        <v>0.2712239435094701</v>
      </c>
      <c r="N938" s="1" t="s">
        <v>319</v>
      </c>
      <c r="O938">
        <v>2000</v>
      </c>
      <c r="P938" t="s">
        <v>358</v>
      </c>
      <c r="S938" s="10">
        <f>GraphSalmonella!$B$57*Salmonella!I938+GraphSalmonella!$B$58</f>
        <v>0.35072323220664714</v>
      </c>
      <c r="T938" s="10">
        <f>GraphSalmonella!$E$57*Salmonella!I938+GraphSalmonella!$E$58</f>
        <v>3.1370239566030182</v>
      </c>
      <c r="U938" s="10">
        <f>GraphSalmonella!$H$57*Salmonella!I938+GraphSalmonella!$H$58</f>
        <v>0.27208851901262943</v>
      </c>
      <c r="X938" s="10">
        <f>GraphSalmonella!$B$80*Salmonella!I938+GraphSalmonella!$B$81</f>
        <v>0.2738497546709393</v>
      </c>
      <c r="Y938" s="10">
        <f>GraphSalmonella!$E$80*Salmonella!I938+GraphSalmonella!$E$81</f>
        <v>0.2823920067305572</v>
      </c>
      <c r="Z938" s="10">
        <f>GraphSalmonella!$H$80*Salmonella!I938+GraphSalmonella!$H$81</f>
        <v>-6.4512686973317024E-2</v>
      </c>
    </row>
    <row r="939" spans="1:26" x14ac:dyDescent="0.2">
      <c r="A939" s="1" t="s">
        <v>66</v>
      </c>
      <c r="B939" s="1" t="s">
        <v>67</v>
      </c>
      <c r="C939" t="s">
        <v>374</v>
      </c>
      <c r="D939" t="s">
        <v>44</v>
      </c>
      <c r="E939" s="1" t="s">
        <v>371</v>
      </c>
      <c r="F939" s="1"/>
      <c r="G939" s="9"/>
      <c r="I939" s="4">
        <v>54.4</v>
      </c>
      <c r="J939" s="11">
        <v>12.77</v>
      </c>
      <c r="K939" s="4">
        <v>7.5</v>
      </c>
      <c r="L939" s="12">
        <f t="shared" si="19"/>
        <v>1.1061908972634154</v>
      </c>
      <c r="M939" s="11">
        <f>GraphSalmonella!$B$10-(Salmonella!I939-GraphSalmonella!$B$6)/GraphSalmonella!$B$5</f>
        <v>0.88739805815947381</v>
      </c>
      <c r="N939" s="1" t="s">
        <v>319</v>
      </c>
      <c r="O939">
        <v>2000</v>
      </c>
      <c r="P939" t="s">
        <v>358</v>
      </c>
      <c r="S939" s="10">
        <f>GraphSalmonella!$B$57*Salmonella!I939+GraphSalmonella!$B$58</f>
        <v>0.68554875015023775</v>
      </c>
      <c r="T939" s="10">
        <f>GraphSalmonella!$E$57*Salmonella!I939+GraphSalmonella!$E$58</f>
        <v>3.4119532789577915</v>
      </c>
      <c r="U939" s="10">
        <f>GraphSalmonella!$H$57*Salmonella!I939+GraphSalmonella!$H$58</f>
        <v>0.88812392766201231</v>
      </c>
      <c r="X939" s="10">
        <f>GraphSalmonella!$B$80*Salmonella!I939+GraphSalmonella!$B$81</f>
        <v>0.89032228101878808</v>
      </c>
      <c r="Y939" s="10">
        <f>GraphSalmonella!$E$80*Salmonella!I939+GraphSalmonella!$E$81</f>
        <v>0.90751618122055611</v>
      </c>
      <c r="Z939" s="10">
        <f>GraphSalmonella!$H$80*Salmonella!I939+GraphSalmonella!$H$81</f>
        <v>0.65890574715600181</v>
      </c>
    </row>
    <row r="940" spans="1:26" x14ac:dyDescent="0.2">
      <c r="A940" s="1" t="s">
        <v>66</v>
      </c>
      <c r="B940" s="1" t="s">
        <v>67</v>
      </c>
      <c r="C940" t="s">
        <v>374</v>
      </c>
      <c r="D940" t="s">
        <v>44</v>
      </c>
      <c r="E940" s="1" t="s">
        <v>371</v>
      </c>
      <c r="F940" s="1"/>
      <c r="G940" s="9"/>
      <c r="I940" s="4">
        <v>57.2</v>
      </c>
      <c r="J940" s="11">
        <v>5.39</v>
      </c>
      <c r="K940" s="4">
        <v>7.5</v>
      </c>
      <c r="L940" s="12">
        <f t="shared" si="19"/>
        <v>0.73158876518673865</v>
      </c>
      <c r="M940" s="11">
        <f>GraphSalmonella!$B$10-(Salmonella!I940-GraphSalmonella!$B$6)/GraphSalmonella!$B$5</f>
        <v>0.57931100083447151</v>
      </c>
      <c r="N940" s="1" t="s">
        <v>319</v>
      </c>
      <c r="O940">
        <v>2000</v>
      </c>
      <c r="P940" t="s">
        <v>358</v>
      </c>
      <c r="S940" s="10">
        <f>GraphSalmonella!$B$57*Salmonella!I940+GraphSalmonella!$B$58</f>
        <v>0.51813599117844245</v>
      </c>
      <c r="T940" s="10">
        <f>GraphSalmonella!$E$57*Salmonella!I940+GraphSalmonella!$E$58</f>
        <v>3.2744886177804045</v>
      </c>
      <c r="U940" s="10">
        <f>GraphSalmonella!$H$57*Salmonella!I940+GraphSalmonella!$H$58</f>
        <v>0.58010622333732087</v>
      </c>
      <c r="X940" s="10">
        <f>GraphSalmonella!$B$80*Salmonella!I940+GraphSalmonella!$B$81</f>
        <v>0.58208601784486369</v>
      </c>
      <c r="Y940" s="10">
        <f>GraphSalmonella!$E$80*Salmonella!I940+GraphSalmonella!$E$81</f>
        <v>0.59495409397555665</v>
      </c>
      <c r="Z940" s="10">
        <f>GraphSalmonella!$H$80*Salmonella!I940+GraphSalmonella!$H$81</f>
        <v>0.29719653009134195</v>
      </c>
    </row>
    <row r="941" spans="1:26" x14ac:dyDescent="0.2">
      <c r="A941" s="1" t="s">
        <v>66</v>
      </c>
      <c r="B941" s="1" t="s">
        <v>67</v>
      </c>
      <c r="C941" t="s">
        <v>374</v>
      </c>
      <c r="D941" t="s">
        <v>44</v>
      </c>
      <c r="E941" s="1" t="s">
        <v>371</v>
      </c>
      <c r="F941" s="1"/>
      <c r="G941" s="9"/>
      <c r="I941" s="4">
        <v>60</v>
      </c>
      <c r="J941" s="11">
        <v>2.31</v>
      </c>
      <c r="K941" s="4">
        <v>7.5</v>
      </c>
      <c r="L941" s="12">
        <f t="shared" si="19"/>
        <v>0.36361197989214433</v>
      </c>
      <c r="M941" s="11">
        <f>GraphSalmonella!$B$10-(Salmonella!I941-GraphSalmonella!$B$6)/GraphSalmonella!$B$5</f>
        <v>0.2712239435094701</v>
      </c>
      <c r="N941" s="1" t="s">
        <v>319</v>
      </c>
      <c r="O941">
        <v>2000</v>
      </c>
      <c r="P941" t="s">
        <v>358</v>
      </c>
      <c r="S941" s="10">
        <f>GraphSalmonella!$B$57*Salmonella!I941+GraphSalmonella!$B$58</f>
        <v>0.35072323220664714</v>
      </c>
      <c r="T941" s="10">
        <f>GraphSalmonella!$E$57*Salmonella!I941+GraphSalmonella!$E$58</f>
        <v>3.1370239566030182</v>
      </c>
      <c r="U941" s="10">
        <f>GraphSalmonella!$H$57*Salmonella!I941+GraphSalmonella!$H$58</f>
        <v>0.27208851901262943</v>
      </c>
      <c r="X941" s="10">
        <f>GraphSalmonella!$B$80*Salmonella!I941+GraphSalmonella!$B$81</f>
        <v>0.2738497546709393</v>
      </c>
      <c r="Y941" s="10">
        <f>GraphSalmonella!$E$80*Salmonella!I941+GraphSalmonella!$E$81</f>
        <v>0.2823920067305572</v>
      </c>
      <c r="Z941" s="10">
        <f>GraphSalmonella!$H$80*Salmonella!I941+GraphSalmonella!$H$81</f>
        <v>-6.4512686973317024E-2</v>
      </c>
    </row>
    <row r="942" spans="1:26" x14ac:dyDescent="0.2">
      <c r="A942" s="1" t="s">
        <v>66</v>
      </c>
      <c r="B942" s="1" t="s">
        <v>67</v>
      </c>
      <c r="C942" t="s">
        <v>375</v>
      </c>
      <c r="D942" t="s">
        <v>44</v>
      </c>
      <c r="E942" s="1" t="s">
        <v>371</v>
      </c>
      <c r="F942" s="1"/>
      <c r="G942" s="9"/>
      <c r="I942" s="4">
        <v>54.4</v>
      </c>
      <c r="J942" s="11">
        <v>13.14</v>
      </c>
      <c r="K942" s="4">
        <v>6.7</v>
      </c>
      <c r="L942" s="12">
        <f t="shared" si="19"/>
        <v>1.1185953652237619</v>
      </c>
      <c r="M942" s="11">
        <f>GraphSalmonella!$B$10-(Salmonella!I942-GraphSalmonella!$B$6)/GraphSalmonella!$B$5</f>
        <v>0.88739805815947381</v>
      </c>
      <c r="N942" s="1" t="s">
        <v>319</v>
      </c>
      <c r="O942">
        <v>2000</v>
      </c>
      <c r="P942" t="s">
        <v>358</v>
      </c>
      <c r="S942" s="10">
        <f>GraphSalmonella!$B$57*Salmonella!I942+GraphSalmonella!$B$58</f>
        <v>0.68554875015023775</v>
      </c>
      <c r="T942" s="10">
        <f>GraphSalmonella!$E$57*Salmonella!I942+GraphSalmonella!$E$58</f>
        <v>3.4119532789577915</v>
      </c>
      <c r="U942" s="10">
        <f>GraphSalmonella!$H$57*Salmonella!I942+GraphSalmonella!$H$58</f>
        <v>0.88812392766201231</v>
      </c>
      <c r="X942" s="10">
        <f>GraphSalmonella!$B$80*Salmonella!I942+GraphSalmonella!$B$81</f>
        <v>0.89032228101878808</v>
      </c>
      <c r="Y942" s="10">
        <f>GraphSalmonella!$E$80*Salmonella!I942+GraphSalmonella!$E$81</f>
        <v>0.90751618122055611</v>
      </c>
      <c r="Z942" s="10">
        <f>GraphSalmonella!$H$80*Salmonella!I942+GraphSalmonella!$H$81</f>
        <v>0.65890574715600181</v>
      </c>
    </row>
    <row r="943" spans="1:26" x14ac:dyDescent="0.2">
      <c r="A943" s="1" t="s">
        <v>66</v>
      </c>
      <c r="B943" s="1" t="s">
        <v>67</v>
      </c>
      <c r="C943" t="s">
        <v>375</v>
      </c>
      <c r="D943" t="s">
        <v>44</v>
      </c>
      <c r="E943" s="1" t="s">
        <v>371</v>
      </c>
      <c r="F943" s="1"/>
      <c r="G943" s="9"/>
      <c r="I943" s="4">
        <v>57.2</v>
      </c>
      <c r="J943" s="11">
        <v>5.56</v>
      </c>
      <c r="K943" s="4">
        <v>6.7</v>
      </c>
      <c r="L943" s="12">
        <f t="shared" si="19"/>
        <v>0.74507479158205747</v>
      </c>
      <c r="M943" s="11">
        <f>GraphSalmonella!$B$10-(Salmonella!I943-GraphSalmonella!$B$6)/GraphSalmonella!$B$5</f>
        <v>0.57931100083447151</v>
      </c>
      <c r="N943" s="1" t="s">
        <v>319</v>
      </c>
      <c r="O943">
        <v>2000</v>
      </c>
      <c r="P943" t="s">
        <v>358</v>
      </c>
      <c r="S943" s="10">
        <f>GraphSalmonella!$B$57*Salmonella!I943+GraphSalmonella!$B$58</f>
        <v>0.51813599117844245</v>
      </c>
      <c r="T943" s="10">
        <f>GraphSalmonella!$E$57*Salmonella!I943+GraphSalmonella!$E$58</f>
        <v>3.2744886177804045</v>
      </c>
      <c r="U943" s="10">
        <f>GraphSalmonella!$H$57*Salmonella!I943+GraphSalmonella!$H$58</f>
        <v>0.58010622333732087</v>
      </c>
      <c r="X943" s="10">
        <f>GraphSalmonella!$B$80*Salmonella!I943+GraphSalmonella!$B$81</f>
        <v>0.58208601784486369</v>
      </c>
      <c r="Y943" s="10">
        <f>GraphSalmonella!$E$80*Salmonella!I943+GraphSalmonella!$E$81</f>
        <v>0.59495409397555665</v>
      </c>
      <c r="Z943" s="10">
        <f>GraphSalmonella!$H$80*Salmonella!I943+GraphSalmonella!$H$81</f>
        <v>0.29719653009134195</v>
      </c>
    </row>
    <row r="944" spans="1:26" x14ac:dyDescent="0.2">
      <c r="A944" s="1" t="s">
        <v>66</v>
      </c>
      <c r="B944" s="1" t="s">
        <v>67</v>
      </c>
      <c r="C944" t="s">
        <v>375</v>
      </c>
      <c r="D944" t="s">
        <v>44</v>
      </c>
      <c r="E944" s="1" t="s">
        <v>371</v>
      </c>
      <c r="F944" s="1"/>
      <c r="G944" s="9"/>
      <c r="I944" s="4">
        <v>60</v>
      </c>
      <c r="J944" s="11">
        <v>1.92</v>
      </c>
      <c r="K944" s="4">
        <v>6.7</v>
      </c>
      <c r="L944" s="12">
        <f t="shared" si="19"/>
        <v>0.28330122870354957</v>
      </c>
      <c r="M944" s="11">
        <f>GraphSalmonella!$B$10-(Salmonella!I944-GraphSalmonella!$B$6)/GraphSalmonella!$B$5</f>
        <v>0.2712239435094701</v>
      </c>
      <c r="N944" s="1" t="s">
        <v>319</v>
      </c>
      <c r="O944">
        <v>2000</v>
      </c>
      <c r="P944" t="s">
        <v>358</v>
      </c>
      <c r="S944" s="10">
        <f>GraphSalmonella!$B$57*Salmonella!I944+GraphSalmonella!$B$58</f>
        <v>0.35072323220664714</v>
      </c>
      <c r="T944" s="10">
        <f>GraphSalmonella!$E$57*Salmonella!I944+GraphSalmonella!$E$58</f>
        <v>3.1370239566030182</v>
      </c>
      <c r="U944" s="10">
        <f>GraphSalmonella!$H$57*Salmonella!I944+GraphSalmonella!$H$58</f>
        <v>0.27208851901262943</v>
      </c>
      <c r="X944" s="10">
        <f>GraphSalmonella!$B$80*Salmonella!I944+GraphSalmonella!$B$81</f>
        <v>0.2738497546709393</v>
      </c>
      <c r="Y944" s="10">
        <f>GraphSalmonella!$E$80*Salmonella!I944+GraphSalmonella!$E$81</f>
        <v>0.2823920067305572</v>
      </c>
      <c r="Z944" s="10">
        <f>GraphSalmonella!$H$80*Salmonella!I944+GraphSalmonella!$H$81</f>
        <v>-6.4512686973317024E-2</v>
      </c>
    </row>
    <row r="945" spans="1:26" x14ac:dyDescent="0.2">
      <c r="A945" s="1" t="s">
        <v>66</v>
      </c>
      <c r="B945" s="1" t="s">
        <v>67</v>
      </c>
      <c r="C945" t="s">
        <v>372</v>
      </c>
      <c r="D945" t="s">
        <v>44</v>
      </c>
      <c r="E945" s="1" t="s">
        <v>371</v>
      </c>
      <c r="F945" s="1"/>
      <c r="G945" s="9"/>
      <c r="I945" s="4">
        <v>54.4</v>
      </c>
      <c r="J945" s="11">
        <v>17.13</v>
      </c>
      <c r="K945" s="4">
        <v>7.2</v>
      </c>
      <c r="L945" s="12">
        <f t="shared" si="19"/>
        <v>1.2337573629655105</v>
      </c>
      <c r="M945" s="11">
        <f>GraphSalmonella!$B$10-(Salmonella!I945-GraphSalmonella!$B$6)/GraphSalmonella!$B$5</f>
        <v>0.88739805815947381</v>
      </c>
      <c r="N945" s="1" t="s">
        <v>319</v>
      </c>
      <c r="O945">
        <v>2000</v>
      </c>
      <c r="P945" t="s">
        <v>358</v>
      </c>
      <c r="S945" s="10">
        <f>GraphSalmonella!$B$57*Salmonella!I945+GraphSalmonella!$B$58</f>
        <v>0.68554875015023775</v>
      </c>
      <c r="T945" s="10">
        <f>GraphSalmonella!$E$57*Salmonella!I945+GraphSalmonella!$E$58</f>
        <v>3.4119532789577915</v>
      </c>
      <c r="U945" s="10">
        <f>GraphSalmonella!$H$57*Salmonella!I945+GraphSalmonella!$H$58</f>
        <v>0.88812392766201231</v>
      </c>
      <c r="X945" s="10">
        <f>GraphSalmonella!$B$80*Salmonella!I945+GraphSalmonella!$B$81</f>
        <v>0.89032228101878808</v>
      </c>
      <c r="Y945" s="10">
        <f>GraphSalmonella!$E$80*Salmonella!I945+GraphSalmonella!$E$81</f>
        <v>0.90751618122055611</v>
      </c>
      <c r="Z945" s="10">
        <f>GraphSalmonella!$H$80*Salmonella!I945+GraphSalmonella!$H$81</f>
        <v>0.65890574715600181</v>
      </c>
    </row>
    <row r="946" spans="1:26" x14ac:dyDescent="0.2">
      <c r="A946" s="1" t="s">
        <v>66</v>
      </c>
      <c r="B946" s="1" t="s">
        <v>67</v>
      </c>
      <c r="C946" t="s">
        <v>372</v>
      </c>
      <c r="D946" t="s">
        <v>44</v>
      </c>
      <c r="E946" s="1" t="s">
        <v>371</v>
      </c>
      <c r="F946" s="1"/>
      <c r="G946" s="9"/>
      <c r="I946" s="4">
        <v>57.2</v>
      </c>
      <c r="J946" s="11">
        <v>7.14</v>
      </c>
      <c r="K946" s="4">
        <v>7.2</v>
      </c>
      <c r="L946" s="12">
        <f t="shared" si="19"/>
        <v>0.85369821177617433</v>
      </c>
      <c r="M946" s="11">
        <f>GraphSalmonella!$B$10-(Salmonella!I946-GraphSalmonella!$B$6)/GraphSalmonella!$B$5</f>
        <v>0.57931100083447151</v>
      </c>
      <c r="N946" s="1" t="s">
        <v>319</v>
      </c>
      <c r="O946">
        <v>2000</v>
      </c>
      <c r="P946" t="s">
        <v>358</v>
      </c>
      <c r="S946" s="10">
        <f>GraphSalmonella!$B$57*Salmonella!I946+GraphSalmonella!$B$58</f>
        <v>0.51813599117844245</v>
      </c>
      <c r="T946" s="10">
        <f>GraphSalmonella!$E$57*Salmonella!I946+GraphSalmonella!$E$58</f>
        <v>3.2744886177804045</v>
      </c>
      <c r="U946" s="10">
        <f>GraphSalmonella!$H$57*Salmonella!I946+GraphSalmonella!$H$58</f>
        <v>0.58010622333732087</v>
      </c>
      <c r="X946" s="10">
        <f>GraphSalmonella!$B$80*Salmonella!I946+GraphSalmonella!$B$81</f>
        <v>0.58208601784486369</v>
      </c>
      <c r="Y946" s="10">
        <f>GraphSalmonella!$E$80*Salmonella!I946+GraphSalmonella!$E$81</f>
        <v>0.59495409397555665</v>
      </c>
      <c r="Z946" s="10">
        <f>GraphSalmonella!$H$80*Salmonella!I946+GraphSalmonella!$H$81</f>
        <v>0.29719653009134195</v>
      </c>
    </row>
    <row r="947" spans="1:26" x14ac:dyDescent="0.2">
      <c r="A947" s="1" t="s">
        <v>66</v>
      </c>
      <c r="B947" s="1" t="s">
        <v>67</v>
      </c>
      <c r="C947" t="s">
        <v>372</v>
      </c>
      <c r="D947" t="s">
        <v>44</v>
      </c>
      <c r="E947" s="1" t="s">
        <v>371</v>
      </c>
      <c r="F947" s="1"/>
      <c r="G947" s="9"/>
      <c r="I947" s="4">
        <v>60</v>
      </c>
      <c r="J947" s="11">
        <v>2.88</v>
      </c>
      <c r="K947" s="4">
        <v>7.2</v>
      </c>
      <c r="L947" s="12">
        <f t="shared" si="19"/>
        <v>0.45939248775923086</v>
      </c>
      <c r="M947" s="11">
        <f>GraphSalmonella!$B$10-(Salmonella!I947-GraphSalmonella!$B$6)/GraphSalmonella!$B$5</f>
        <v>0.2712239435094701</v>
      </c>
      <c r="N947" s="1" t="s">
        <v>319</v>
      </c>
      <c r="O947">
        <v>2000</v>
      </c>
      <c r="P947" t="s">
        <v>358</v>
      </c>
      <c r="S947" s="10">
        <f>GraphSalmonella!$B$57*Salmonella!I947+GraphSalmonella!$B$58</f>
        <v>0.35072323220664714</v>
      </c>
      <c r="T947" s="10">
        <f>GraphSalmonella!$E$57*Salmonella!I947+GraphSalmonella!$E$58</f>
        <v>3.1370239566030182</v>
      </c>
      <c r="U947" s="10">
        <f>GraphSalmonella!$H$57*Salmonella!I947+GraphSalmonella!$H$58</f>
        <v>0.27208851901262943</v>
      </c>
      <c r="X947" s="10">
        <f>GraphSalmonella!$B$80*Salmonella!I947+GraphSalmonella!$B$81</f>
        <v>0.2738497546709393</v>
      </c>
      <c r="Y947" s="10">
        <f>GraphSalmonella!$E$80*Salmonella!I947+GraphSalmonella!$E$81</f>
        <v>0.2823920067305572</v>
      </c>
      <c r="Z947" s="10">
        <f>GraphSalmonella!$H$80*Salmonella!I947+GraphSalmonella!$H$81</f>
        <v>-6.4512686973317024E-2</v>
      </c>
    </row>
    <row r="948" spans="1:26" x14ac:dyDescent="0.2">
      <c r="A948" s="1" t="s">
        <v>66</v>
      </c>
      <c r="B948" s="1" t="s">
        <v>67</v>
      </c>
      <c r="D948" t="s">
        <v>44</v>
      </c>
      <c r="E948" s="1" t="s">
        <v>371</v>
      </c>
      <c r="F948" s="1"/>
      <c r="G948" s="9"/>
      <c r="I948" s="4">
        <v>54.4</v>
      </c>
      <c r="J948" s="11">
        <v>14.23</v>
      </c>
      <c r="K948" s="4">
        <v>7.7</v>
      </c>
      <c r="L948" s="12">
        <f t="shared" si="19"/>
        <v>1.1532049000842843</v>
      </c>
      <c r="M948" s="11">
        <f>GraphSalmonella!$B$10-(Salmonella!I948-GraphSalmonella!$B$6)/GraphSalmonella!$B$5</f>
        <v>0.88739805815947381</v>
      </c>
      <c r="N948" s="1" t="s">
        <v>319</v>
      </c>
      <c r="O948">
        <v>2000</v>
      </c>
      <c r="P948" t="s">
        <v>358</v>
      </c>
      <c r="S948" s="10">
        <f>GraphSalmonella!$B$57*Salmonella!I948+GraphSalmonella!$B$58</f>
        <v>0.68554875015023775</v>
      </c>
      <c r="T948" s="10">
        <f>GraphSalmonella!$E$57*Salmonella!I948+GraphSalmonella!$E$58</f>
        <v>3.4119532789577915</v>
      </c>
      <c r="U948" s="10">
        <f>GraphSalmonella!$H$57*Salmonella!I948+GraphSalmonella!$H$58</f>
        <v>0.88812392766201231</v>
      </c>
      <c r="X948" s="10">
        <f>GraphSalmonella!$B$80*Salmonella!I948+GraphSalmonella!$B$81</f>
        <v>0.89032228101878808</v>
      </c>
      <c r="Y948" s="10">
        <f>GraphSalmonella!$E$80*Salmonella!I948+GraphSalmonella!$E$81</f>
        <v>0.90751618122055611</v>
      </c>
      <c r="Z948" s="10">
        <f>GraphSalmonella!$H$80*Salmonella!I948+GraphSalmonella!$H$81</f>
        <v>0.65890574715600181</v>
      </c>
    </row>
    <row r="949" spans="1:26" x14ac:dyDescent="0.2">
      <c r="A949" s="1" t="s">
        <v>66</v>
      </c>
      <c r="B949" s="1" t="s">
        <v>67</v>
      </c>
      <c r="D949" t="s">
        <v>44</v>
      </c>
      <c r="E949" s="1" t="s">
        <v>371</v>
      </c>
      <c r="F949" s="1"/>
      <c r="G949" s="9"/>
      <c r="I949" s="4">
        <v>55</v>
      </c>
      <c r="J949" s="11">
        <v>13</v>
      </c>
      <c r="L949" s="12">
        <f t="shared" si="19"/>
        <v>1.1139433523068367</v>
      </c>
      <c r="M949" s="11">
        <f>GraphSalmonella!$B$10-(Salmonella!I949-GraphSalmonella!$B$6)/GraphSalmonella!$B$5</f>
        <v>0.82137940301840184</v>
      </c>
      <c r="N949" s="1" t="s">
        <v>319</v>
      </c>
      <c r="O949">
        <v>2000</v>
      </c>
      <c r="P949" t="s">
        <v>358</v>
      </c>
      <c r="S949" s="10">
        <f>GraphSalmonella!$B$57*Salmonella!I949+GraphSalmonella!$B$58</f>
        <v>0.64967458751342466</v>
      </c>
      <c r="T949" s="10">
        <f>GraphSalmonella!$E$57*Salmonella!I949+GraphSalmonella!$E$58</f>
        <v>3.3824965658483515</v>
      </c>
      <c r="U949" s="10">
        <f>GraphSalmonella!$H$57*Salmonella!I949+GraphSalmonella!$H$58</f>
        <v>0.82212013387815031</v>
      </c>
      <c r="X949" s="10">
        <f>GraphSalmonella!$B$80*Salmonella!I949+GraphSalmonella!$B$81</f>
        <v>0.82427165319580453</v>
      </c>
      <c r="Y949" s="10">
        <f>GraphSalmonella!$E$80*Salmonella!I949+GraphSalmonella!$E$81</f>
        <v>0.84053859109662721</v>
      </c>
      <c r="Z949" s="10">
        <f>GraphSalmonella!$H$80*Salmonella!I949+GraphSalmonella!$H$81</f>
        <v>0.58139662921357438</v>
      </c>
    </row>
    <row r="950" spans="1:26" x14ac:dyDescent="0.2">
      <c r="A950" s="1" t="s">
        <v>66</v>
      </c>
      <c r="B950" s="1" t="s">
        <v>67</v>
      </c>
      <c r="D950" t="s">
        <v>44</v>
      </c>
      <c r="E950" s="1" t="s">
        <v>371</v>
      </c>
      <c r="F950" s="1"/>
      <c r="G950" s="9"/>
      <c r="I950" s="4">
        <v>57.2</v>
      </c>
      <c r="J950" s="11">
        <v>6.23</v>
      </c>
      <c r="K950" s="4">
        <v>7.7</v>
      </c>
      <c r="L950" s="12">
        <f t="shared" si="19"/>
        <v>0.79448804665916961</v>
      </c>
      <c r="M950" s="11">
        <f>GraphSalmonella!$B$10-(Salmonella!I950-GraphSalmonella!$B$6)/GraphSalmonella!$B$5</f>
        <v>0.57931100083447151</v>
      </c>
      <c r="N950" s="1" t="s">
        <v>319</v>
      </c>
      <c r="O950">
        <v>2000</v>
      </c>
      <c r="P950" t="s">
        <v>358</v>
      </c>
      <c r="S950" s="10">
        <f>GraphSalmonella!$B$57*Salmonella!I950+GraphSalmonella!$B$58</f>
        <v>0.51813599117844245</v>
      </c>
      <c r="T950" s="10">
        <f>GraphSalmonella!$E$57*Salmonella!I950+GraphSalmonella!$E$58</f>
        <v>3.2744886177804045</v>
      </c>
      <c r="U950" s="10">
        <f>GraphSalmonella!$H$57*Salmonella!I950+GraphSalmonella!$H$58</f>
        <v>0.58010622333732087</v>
      </c>
      <c r="X950" s="10">
        <f>GraphSalmonella!$B$80*Salmonella!I950+GraphSalmonella!$B$81</f>
        <v>0.58208601784486369</v>
      </c>
      <c r="Y950" s="10">
        <f>GraphSalmonella!$E$80*Salmonella!I950+GraphSalmonella!$E$81</f>
        <v>0.59495409397555665</v>
      </c>
      <c r="Z950" s="10">
        <f>GraphSalmonella!$H$80*Salmonella!I950+GraphSalmonella!$H$81</f>
        <v>0.29719653009134195</v>
      </c>
    </row>
    <row r="951" spans="1:26" x14ac:dyDescent="0.2">
      <c r="A951" s="1" t="s">
        <v>66</v>
      </c>
      <c r="B951" s="1" t="s">
        <v>67</v>
      </c>
      <c r="D951" t="s">
        <v>44</v>
      </c>
      <c r="E951" s="1" t="s">
        <v>371</v>
      </c>
      <c r="F951" s="1"/>
      <c r="G951" s="9"/>
      <c r="I951" s="4">
        <v>60</v>
      </c>
      <c r="J951" s="11">
        <v>2.69</v>
      </c>
      <c r="K951" s="4">
        <v>7.7</v>
      </c>
      <c r="L951" s="12">
        <f t="shared" si="19"/>
        <v>0.42975228000240795</v>
      </c>
      <c r="M951" s="11">
        <f>GraphSalmonella!$B$10-(Salmonella!I951-GraphSalmonella!$B$6)/GraphSalmonella!$B$5</f>
        <v>0.2712239435094701</v>
      </c>
      <c r="N951" s="1" t="s">
        <v>319</v>
      </c>
      <c r="O951">
        <v>2000</v>
      </c>
      <c r="P951" t="s">
        <v>358</v>
      </c>
      <c r="S951" s="10">
        <f>GraphSalmonella!$B$57*Salmonella!I951+GraphSalmonella!$B$58</f>
        <v>0.35072323220664714</v>
      </c>
      <c r="T951" s="10">
        <f>GraphSalmonella!$E$57*Salmonella!I951+GraphSalmonella!$E$58</f>
        <v>3.1370239566030182</v>
      </c>
      <c r="U951" s="10">
        <f>GraphSalmonella!$H$57*Salmonella!I951+GraphSalmonella!$H$58</f>
        <v>0.27208851901262943</v>
      </c>
      <c r="X951" s="10">
        <f>GraphSalmonella!$B$80*Salmonella!I951+GraphSalmonella!$B$81</f>
        <v>0.2738497546709393</v>
      </c>
      <c r="Y951" s="10">
        <f>GraphSalmonella!$E$80*Salmonella!I951+GraphSalmonella!$E$81</f>
        <v>0.2823920067305572</v>
      </c>
      <c r="Z951" s="10">
        <f>GraphSalmonella!$H$80*Salmonella!I951+GraphSalmonella!$H$81</f>
        <v>-6.4512686973317024E-2</v>
      </c>
    </row>
    <row r="952" spans="1:26" x14ac:dyDescent="0.2">
      <c r="A952" s="1" t="s">
        <v>66</v>
      </c>
      <c r="B952" s="1" t="s">
        <v>70</v>
      </c>
      <c r="D952" t="s">
        <v>44</v>
      </c>
      <c r="E952" s="1" t="s">
        <v>371</v>
      </c>
      <c r="F952" s="1"/>
      <c r="G952" s="9"/>
      <c r="I952" s="4">
        <v>55</v>
      </c>
      <c r="J952" s="11">
        <v>3.7</v>
      </c>
      <c r="L952" s="12">
        <f t="shared" si="19"/>
        <v>0.56820172406699498</v>
      </c>
      <c r="M952" s="11">
        <f>GraphSalmonella!$B$10-(Salmonella!I952-GraphSalmonella!$B$6)/GraphSalmonella!$B$5</f>
        <v>0.82137940301840184</v>
      </c>
      <c r="N952" s="1" t="s">
        <v>319</v>
      </c>
      <c r="O952">
        <v>2000</v>
      </c>
      <c r="P952" t="s">
        <v>358</v>
      </c>
      <c r="S952" s="10">
        <f>GraphSalmonella!$B$57*Salmonella!I952+GraphSalmonella!$B$58</f>
        <v>0.64967458751342466</v>
      </c>
      <c r="T952" s="10">
        <f>GraphSalmonella!$E$57*Salmonella!I952+GraphSalmonella!$E$58</f>
        <v>3.3824965658483515</v>
      </c>
      <c r="U952" s="10">
        <f>GraphSalmonella!$H$57*Salmonella!I952+GraphSalmonella!$H$58</f>
        <v>0.82212013387815031</v>
      </c>
      <c r="X952" s="10">
        <f>GraphSalmonella!$B$80*Salmonella!I952+GraphSalmonella!$B$81</f>
        <v>0.82427165319580453</v>
      </c>
      <c r="Y952" s="10">
        <f>GraphSalmonella!$E$80*Salmonella!I952+GraphSalmonella!$E$81</f>
        <v>0.84053859109662721</v>
      </c>
      <c r="Z952" s="10">
        <f>GraphSalmonella!$H$80*Salmonella!I952+GraphSalmonella!$H$81</f>
        <v>0.58139662921357438</v>
      </c>
    </row>
    <row r="953" spans="1:26" x14ac:dyDescent="0.2">
      <c r="A953" s="1" t="s">
        <v>66</v>
      </c>
      <c r="B953" s="1" t="s">
        <v>70</v>
      </c>
      <c r="D953" t="s">
        <v>44</v>
      </c>
      <c r="E953" s="1" t="s">
        <v>119</v>
      </c>
      <c r="H953" s="4">
        <v>10</v>
      </c>
      <c r="I953" s="4">
        <v>52</v>
      </c>
      <c r="J953" s="11">
        <v>0.17499999999999999</v>
      </c>
      <c r="L953" s="12">
        <f t="shared" si="19"/>
        <v>-0.75696195131370558</v>
      </c>
      <c r="M953" s="11">
        <f>GraphSalmonella!$B$10-(Salmonella!I953-GraphSalmonella!$B$6)/GraphSalmonella!$B$5</f>
        <v>1.1514726787237608</v>
      </c>
      <c r="N953" s="2" t="s">
        <v>1226</v>
      </c>
      <c r="O953">
        <v>1996</v>
      </c>
      <c r="S953" s="10">
        <f>GraphSalmonella!$B$57*Salmonella!I953+GraphSalmonella!$B$58</f>
        <v>0.829045400697491</v>
      </c>
      <c r="T953" s="10">
        <f>GraphSalmonella!$E$57*Salmonella!I953+GraphSalmonella!$E$58</f>
        <v>3.529780131395551</v>
      </c>
      <c r="U953" s="10">
        <f>GraphSalmonella!$H$57*Salmonella!I953+GraphSalmonella!$H$58</f>
        <v>1.1521391027974621</v>
      </c>
      <c r="X953" s="10">
        <f>GraphSalmonella!$B$80*Salmonella!I953+GraphSalmonella!$B$81</f>
        <v>1.154524792310724</v>
      </c>
      <c r="Y953" s="10">
        <f>GraphSalmonella!$E$80*Salmonella!I953+GraphSalmonella!$E$81</f>
        <v>1.175426541716269</v>
      </c>
      <c r="Z953" s="10">
        <f>GraphSalmonella!$H$80*Salmonella!I953+GraphSalmonella!$H$81</f>
        <v>0.96894221892570975</v>
      </c>
    </row>
    <row r="954" spans="1:26" x14ac:dyDescent="0.2">
      <c r="A954" s="1" t="s">
        <v>66</v>
      </c>
      <c r="B954" s="1" t="s">
        <v>70</v>
      </c>
      <c r="D954" t="s">
        <v>44</v>
      </c>
      <c r="E954" s="1" t="s">
        <v>119</v>
      </c>
      <c r="H954" s="4">
        <v>9.5</v>
      </c>
      <c r="I954" s="4">
        <v>52</v>
      </c>
      <c r="J954" s="11">
        <v>0.75</v>
      </c>
      <c r="L954" s="12">
        <f t="shared" si="19"/>
        <v>-0.12493873660829995</v>
      </c>
      <c r="M954" s="11">
        <f>GraphSalmonella!$B$10-(Salmonella!I954-GraphSalmonella!$B$6)/GraphSalmonella!$B$5</f>
        <v>1.1514726787237608</v>
      </c>
      <c r="N954" s="2" t="s">
        <v>1226</v>
      </c>
      <c r="O954">
        <v>1996</v>
      </c>
      <c r="S954" s="10">
        <f>GraphSalmonella!$B$57*Salmonella!I954+GraphSalmonella!$B$58</f>
        <v>0.829045400697491</v>
      </c>
      <c r="T954" s="10">
        <f>GraphSalmonella!$E$57*Salmonella!I954+GraphSalmonella!$E$58</f>
        <v>3.529780131395551</v>
      </c>
      <c r="U954" s="10">
        <f>GraphSalmonella!$H$57*Salmonella!I954+GraphSalmonella!$H$58</f>
        <v>1.1521391027974621</v>
      </c>
      <c r="X954" s="10">
        <f>GraphSalmonella!$B$80*Salmonella!I954+GraphSalmonella!$B$81</f>
        <v>1.154524792310724</v>
      </c>
      <c r="Y954" s="10">
        <f>GraphSalmonella!$E$80*Salmonella!I954+GraphSalmonella!$E$81</f>
        <v>1.175426541716269</v>
      </c>
      <c r="Z954" s="10">
        <f>GraphSalmonella!$H$80*Salmonella!I954+GraphSalmonella!$H$81</f>
        <v>0.96894221892570975</v>
      </c>
    </row>
    <row r="955" spans="1:26" x14ac:dyDescent="0.2">
      <c r="A955" s="1" t="s">
        <v>66</v>
      </c>
      <c r="B955" s="1" t="s">
        <v>70</v>
      </c>
      <c r="D955" t="s">
        <v>44</v>
      </c>
      <c r="E955" s="1" t="s">
        <v>119</v>
      </c>
      <c r="H955" s="4">
        <v>4</v>
      </c>
      <c r="I955" s="4">
        <v>52</v>
      </c>
      <c r="J955" s="11">
        <v>0.75</v>
      </c>
      <c r="L955" s="12">
        <f t="shared" si="19"/>
        <v>-0.12493873660829995</v>
      </c>
      <c r="M955" s="11">
        <f>GraphSalmonella!$B$10-(Salmonella!I955-GraphSalmonella!$B$6)/GraphSalmonella!$B$5</f>
        <v>1.1514726787237608</v>
      </c>
      <c r="N955" s="2" t="s">
        <v>1226</v>
      </c>
      <c r="O955">
        <v>1996</v>
      </c>
      <c r="S955" s="10">
        <f>GraphSalmonella!$B$57*Salmonella!I955+GraphSalmonella!$B$58</f>
        <v>0.829045400697491</v>
      </c>
      <c r="T955" s="10">
        <f>GraphSalmonella!$E$57*Salmonella!I955+GraphSalmonella!$E$58</f>
        <v>3.529780131395551</v>
      </c>
      <c r="U955" s="10">
        <f>GraphSalmonella!$H$57*Salmonella!I955+GraphSalmonella!$H$58</f>
        <v>1.1521391027974621</v>
      </c>
      <c r="X955" s="10">
        <f>GraphSalmonella!$B$80*Salmonella!I955+GraphSalmonella!$B$81</f>
        <v>1.154524792310724</v>
      </c>
      <c r="Y955" s="10">
        <f>GraphSalmonella!$E$80*Salmonella!I955+GraphSalmonella!$E$81</f>
        <v>1.175426541716269</v>
      </c>
      <c r="Z955" s="10">
        <f>GraphSalmonella!$H$80*Salmonella!I955+GraphSalmonella!$H$81</f>
        <v>0.96894221892570975</v>
      </c>
    </row>
    <row r="956" spans="1:26" x14ac:dyDescent="0.2">
      <c r="A956" s="1" t="s">
        <v>66</v>
      </c>
      <c r="B956" s="1" t="s">
        <v>70</v>
      </c>
      <c r="D956" t="s">
        <v>44</v>
      </c>
      <c r="E956" s="1" t="s">
        <v>119</v>
      </c>
      <c r="H956" s="4">
        <v>9</v>
      </c>
      <c r="I956" s="4">
        <v>52</v>
      </c>
      <c r="J956" s="11">
        <v>1.25</v>
      </c>
      <c r="L956" s="12">
        <f t="shared" si="19"/>
        <v>9.691001300805642E-2</v>
      </c>
      <c r="M956" s="11">
        <f>GraphSalmonella!$B$10-(Salmonella!I956-GraphSalmonella!$B$6)/GraphSalmonella!$B$5</f>
        <v>1.1514726787237608</v>
      </c>
      <c r="N956" s="2" t="s">
        <v>1226</v>
      </c>
      <c r="O956">
        <v>1996</v>
      </c>
      <c r="S956" s="10">
        <f>GraphSalmonella!$B$57*Salmonella!I956+GraphSalmonella!$B$58</f>
        <v>0.829045400697491</v>
      </c>
      <c r="T956" s="10">
        <f>GraphSalmonella!$E$57*Salmonella!I956+GraphSalmonella!$E$58</f>
        <v>3.529780131395551</v>
      </c>
      <c r="U956" s="10">
        <f>GraphSalmonella!$H$57*Salmonella!I956+GraphSalmonella!$H$58</f>
        <v>1.1521391027974621</v>
      </c>
      <c r="X956" s="10">
        <f>GraphSalmonella!$B$80*Salmonella!I956+GraphSalmonella!$B$81</f>
        <v>1.154524792310724</v>
      </c>
      <c r="Y956" s="10">
        <f>GraphSalmonella!$E$80*Salmonella!I956+GraphSalmonella!$E$81</f>
        <v>1.175426541716269</v>
      </c>
      <c r="Z956" s="10">
        <f>GraphSalmonella!$H$80*Salmonella!I956+GraphSalmonella!$H$81</f>
        <v>0.96894221892570975</v>
      </c>
    </row>
    <row r="957" spans="1:26" x14ac:dyDescent="0.2">
      <c r="A957" s="1" t="s">
        <v>66</v>
      </c>
      <c r="B957" s="1" t="s">
        <v>70</v>
      </c>
      <c r="D957" t="s">
        <v>44</v>
      </c>
      <c r="E957" s="1" t="s">
        <v>119</v>
      </c>
      <c r="H957" s="4">
        <v>11.6</v>
      </c>
      <c r="I957" s="4">
        <v>52</v>
      </c>
      <c r="J957" s="11">
        <v>1.53</v>
      </c>
      <c r="L957" s="12">
        <f t="shared" si="19"/>
        <v>0.18469143081759881</v>
      </c>
      <c r="M957" s="11">
        <f>GraphSalmonella!$B$10-(Salmonella!I957-GraphSalmonella!$B$6)/GraphSalmonella!$B$5</f>
        <v>1.1514726787237608</v>
      </c>
      <c r="N957" s="2" t="s">
        <v>1226</v>
      </c>
      <c r="O957">
        <v>1996</v>
      </c>
      <c r="S957" s="10">
        <f>GraphSalmonella!$B$57*Salmonella!I957+GraphSalmonella!$B$58</f>
        <v>0.829045400697491</v>
      </c>
      <c r="T957" s="10">
        <f>GraphSalmonella!$E$57*Salmonella!I957+GraphSalmonella!$E$58</f>
        <v>3.529780131395551</v>
      </c>
      <c r="U957" s="10">
        <f>GraphSalmonella!$H$57*Salmonella!I957+GraphSalmonella!$H$58</f>
        <v>1.1521391027974621</v>
      </c>
      <c r="X957" s="10">
        <f>GraphSalmonella!$B$80*Salmonella!I957+GraphSalmonella!$B$81</f>
        <v>1.154524792310724</v>
      </c>
      <c r="Y957" s="10">
        <f>GraphSalmonella!$E$80*Salmonella!I957+GraphSalmonella!$E$81</f>
        <v>1.175426541716269</v>
      </c>
      <c r="Z957" s="10">
        <f>GraphSalmonella!$H$80*Salmonella!I957+GraphSalmonella!$H$81</f>
        <v>0.96894221892570975</v>
      </c>
    </row>
    <row r="958" spans="1:26" x14ac:dyDescent="0.2">
      <c r="A958" s="1" t="s">
        <v>66</v>
      </c>
      <c r="B958" s="1" t="s">
        <v>70</v>
      </c>
      <c r="D958" t="s">
        <v>44</v>
      </c>
      <c r="E958" s="1" t="s">
        <v>119</v>
      </c>
      <c r="H958" s="4">
        <v>13</v>
      </c>
      <c r="I958" s="4">
        <v>52</v>
      </c>
      <c r="J958" s="11">
        <v>1.65</v>
      </c>
      <c r="L958" s="12">
        <f t="shared" si="19"/>
        <v>0.21748394421390627</v>
      </c>
      <c r="M958" s="11">
        <f>GraphSalmonella!$B$10-(Salmonella!I958-GraphSalmonella!$B$6)/GraphSalmonella!$B$5</f>
        <v>1.1514726787237608</v>
      </c>
      <c r="N958" s="2" t="s">
        <v>1226</v>
      </c>
      <c r="O958">
        <v>1996</v>
      </c>
      <c r="S958" s="10">
        <f>GraphSalmonella!$B$57*Salmonella!I958+GraphSalmonella!$B$58</f>
        <v>0.829045400697491</v>
      </c>
      <c r="T958" s="10">
        <f>GraphSalmonella!$E$57*Salmonella!I958+GraphSalmonella!$E$58</f>
        <v>3.529780131395551</v>
      </c>
      <c r="U958" s="10">
        <f>GraphSalmonella!$H$57*Salmonella!I958+GraphSalmonella!$H$58</f>
        <v>1.1521391027974621</v>
      </c>
      <c r="X958" s="10">
        <f>GraphSalmonella!$B$80*Salmonella!I958+GraphSalmonella!$B$81</f>
        <v>1.154524792310724</v>
      </c>
      <c r="Y958" s="10">
        <f>GraphSalmonella!$E$80*Salmonella!I958+GraphSalmonella!$E$81</f>
        <v>1.175426541716269</v>
      </c>
      <c r="Z958" s="10">
        <f>GraphSalmonella!$H$80*Salmonella!I958+GraphSalmonella!$H$81</f>
        <v>0.96894221892570975</v>
      </c>
    </row>
    <row r="959" spans="1:26" x14ac:dyDescent="0.2">
      <c r="A959" s="1" t="s">
        <v>66</v>
      </c>
      <c r="B959" s="1" t="s">
        <v>70</v>
      </c>
      <c r="D959" t="s">
        <v>44</v>
      </c>
      <c r="E959" s="1" t="s">
        <v>119</v>
      </c>
      <c r="H959" s="4">
        <v>13</v>
      </c>
      <c r="I959" s="4">
        <v>52</v>
      </c>
      <c r="J959" s="11">
        <v>1.81</v>
      </c>
      <c r="L959" s="12">
        <f t="shared" si="19"/>
        <v>0.2576785748691845</v>
      </c>
      <c r="M959" s="11">
        <f>GraphSalmonella!$B$10-(Salmonella!I959-GraphSalmonella!$B$6)/GraphSalmonella!$B$5</f>
        <v>1.1514726787237608</v>
      </c>
      <c r="N959" s="2" t="s">
        <v>1226</v>
      </c>
      <c r="O959">
        <v>1996</v>
      </c>
      <c r="S959" s="10">
        <f>GraphSalmonella!$B$57*Salmonella!I959+GraphSalmonella!$B$58</f>
        <v>0.829045400697491</v>
      </c>
      <c r="T959" s="10">
        <f>GraphSalmonella!$E$57*Salmonella!I959+GraphSalmonella!$E$58</f>
        <v>3.529780131395551</v>
      </c>
      <c r="U959" s="10">
        <f>GraphSalmonella!$H$57*Salmonella!I959+GraphSalmonella!$H$58</f>
        <v>1.1521391027974621</v>
      </c>
      <c r="X959" s="10">
        <f>GraphSalmonella!$B$80*Salmonella!I959+GraphSalmonella!$B$81</f>
        <v>1.154524792310724</v>
      </c>
      <c r="Y959" s="10">
        <f>GraphSalmonella!$E$80*Salmonella!I959+GraphSalmonella!$E$81</f>
        <v>1.175426541716269</v>
      </c>
      <c r="Z959" s="10">
        <f>GraphSalmonella!$H$80*Salmonella!I959+GraphSalmonella!$H$81</f>
        <v>0.96894221892570975</v>
      </c>
    </row>
    <row r="960" spans="1:26" x14ac:dyDescent="0.2">
      <c r="A960" s="1" t="s">
        <v>66</v>
      </c>
      <c r="B960" s="1" t="s">
        <v>70</v>
      </c>
      <c r="D960" t="s">
        <v>44</v>
      </c>
      <c r="E960" s="1" t="s">
        <v>119</v>
      </c>
      <c r="H960" s="4">
        <v>4.5</v>
      </c>
      <c r="I960" s="4">
        <v>52</v>
      </c>
      <c r="J960" s="11">
        <v>2.25</v>
      </c>
      <c r="L960" s="12">
        <f t="shared" si="19"/>
        <v>0.35218251811136247</v>
      </c>
      <c r="M960" s="11">
        <f>GraphSalmonella!$B$10-(Salmonella!I960-GraphSalmonella!$B$6)/GraphSalmonella!$B$5</f>
        <v>1.1514726787237608</v>
      </c>
      <c r="N960" s="2" t="s">
        <v>1226</v>
      </c>
      <c r="O960">
        <v>1996</v>
      </c>
      <c r="S960" s="10">
        <f>GraphSalmonella!$B$57*Salmonella!I960+GraphSalmonella!$B$58</f>
        <v>0.829045400697491</v>
      </c>
      <c r="T960" s="10">
        <f>GraphSalmonella!$E$57*Salmonella!I960+GraphSalmonella!$E$58</f>
        <v>3.529780131395551</v>
      </c>
      <c r="U960" s="10">
        <f>GraphSalmonella!$H$57*Salmonella!I960+GraphSalmonella!$H$58</f>
        <v>1.1521391027974621</v>
      </c>
      <c r="X960" s="10">
        <f>GraphSalmonella!$B$80*Salmonella!I960+GraphSalmonella!$B$81</f>
        <v>1.154524792310724</v>
      </c>
      <c r="Y960" s="10">
        <f>GraphSalmonella!$E$80*Salmonella!I960+GraphSalmonella!$E$81</f>
        <v>1.175426541716269</v>
      </c>
      <c r="Z960" s="10">
        <f>GraphSalmonella!$H$80*Salmonella!I960+GraphSalmonella!$H$81</f>
        <v>0.96894221892570975</v>
      </c>
    </row>
    <row r="961" spans="1:26" x14ac:dyDescent="0.2">
      <c r="A961" s="1" t="s">
        <v>66</v>
      </c>
      <c r="B961" s="1" t="s">
        <v>70</v>
      </c>
      <c r="D961" t="s">
        <v>44</v>
      </c>
      <c r="E961" s="1" t="s">
        <v>119</v>
      </c>
      <c r="H961" s="4">
        <v>8.5</v>
      </c>
      <c r="I961" s="4">
        <v>52</v>
      </c>
      <c r="J961" s="11">
        <v>2.5</v>
      </c>
      <c r="L961" s="12">
        <f t="shared" si="19"/>
        <v>0.3979400086720376</v>
      </c>
      <c r="M961" s="11">
        <f>GraphSalmonella!$B$10-(Salmonella!I961-GraphSalmonella!$B$6)/GraphSalmonella!$B$5</f>
        <v>1.1514726787237608</v>
      </c>
      <c r="N961" s="2" t="s">
        <v>1226</v>
      </c>
      <c r="O961">
        <v>1996</v>
      </c>
      <c r="S961" s="10">
        <f>GraphSalmonella!$B$57*Salmonella!I961+GraphSalmonella!$B$58</f>
        <v>0.829045400697491</v>
      </c>
      <c r="T961" s="10">
        <f>GraphSalmonella!$E$57*Salmonella!I961+GraphSalmonella!$E$58</f>
        <v>3.529780131395551</v>
      </c>
      <c r="U961" s="10">
        <f>GraphSalmonella!$H$57*Salmonella!I961+GraphSalmonella!$H$58</f>
        <v>1.1521391027974621</v>
      </c>
      <c r="X961" s="10">
        <f>GraphSalmonella!$B$80*Salmonella!I961+GraphSalmonella!$B$81</f>
        <v>1.154524792310724</v>
      </c>
      <c r="Y961" s="10">
        <f>GraphSalmonella!$E$80*Salmonella!I961+GraphSalmonella!$E$81</f>
        <v>1.175426541716269</v>
      </c>
      <c r="Z961" s="10">
        <f>GraphSalmonella!$H$80*Salmonella!I961+GraphSalmonella!$H$81</f>
        <v>0.96894221892570975</v>
      </c>
    </row>
    <row r="962" spans="1:26" x14ac:dyDescent="0.2">
      <c r="A962" s="1" t="s">
        <v>66</v>
      </c>
      <c r="B962" s="1" t="s">
        <v>70</v>
      </c>
      <c r="D962" t="s">
        <v>44</v>
      </c>
      <c r="E962" s="1" t="s">
        <v>119</v>
      </c>
      <c r="H962" s="4">
        <v>8</v>
      </c>
      <c r="I962" s="4">
        <v>52</v>
      </c>
      <c r="J962" s="11">
        <v>2.85</v>
      </c>
      <c r="L962" s="12">
        <f t="shared" si="19"/>
        <v>0.45484486000851021</v>
      </c>
      <c r="M962" s="11">
        <f>GraphSalmonella!$B$10-(Salmonella!I962-GraphSalmonella!$B$6)/GraphSalmonella!$B$5</f>
        <v>1.1514726787237608</v>
      </c>
      <c r="N962" s="2" t="s">
        <v>1226</v>
      </c>
      <c r="O962">
        <v>1996</v>
      </c>
      <c r="S962" s="10">
        <f>GraphSalmonella!$B$57*Salmonella!I962+GraphSalmonella!$B$58</f>
        <v>0.829045400697491</v>
      </c>
      <c r="T962" s="10">
        <f>GraphSalmonella!$E$57*Salmonella!I962+GraphSalmonella!$E$58</f>
        <v>3.529780131395551</v>
      </c>
      <c r="U962" s="10">
        <f>GraphSalmonella!$H$57*Salmonella!I962+GraphSalmonella!$H$58</f>
        <v>1.1521391027974621</v>
      </c>
      <c r="X962" s="10">
        <f>GraphSalmonella!$B$80*Salmonella!I962+GraphSalmonella!$B$81</f>
        <v>1.154524792310724</v>
      </c>
      <c r="Y962" s="10">
        <f>GraphSalmonella!$E$80*Salmonella!I962+GraphSalmonella!$E$81</f>
        <v>1.175426541716269</v>
      </c>
      <c r="Z962" s="10">
        <f>GraphSalmonella!$H$80*Salmonella!I962+GraphSalmonella!$H$81</f>
        <v>0.96894221892570975</v>
      </c>
    </row>
    <row r="963" spans="1:26" x14ac:dyDescent="0.2">
      <c r="A963" s="1" t="s">
        <v>66</v>
      </c>
      <c r="B963" s="1" t="s">
        <v>70</v>
      </c>
      <c r="D963" t="s">
        <v>44</v>
      </c>
      <c r="E963" s="1" t="s">
        <v>119</v>
      </c>
      <c r="H963" s="4">
        <v>12</v>
      </c>
      <c r="I963" s="4">
        <v>52</v>
      </c>
      <c r="J963" s="11">
        <v>3</v>
      </c>
      <c r="L963" s="12">
        <f t="shared" si="19"/>
        <v>0.47712125471966244</v>
      </c>
      <c r="M963" s="11">
        <f>GraphSalmonella!$B$10-(Salmonella!I963-GraphSalmonella!$B$6)/GraphSalmonella!$B$5</f>
        <v>1.1514726787237608</v>
      </c>
      <c r="N963" s="2" t="s">
        <v>1226</v>
      </c>
      <c r="O963">
        <v>1996</v>
      </c>
      <c r="S963" s="10">
        <f>GraphSalmonella!$B$57*Salmonella!I963+GraphSalmonella!$B$58</f>
        <v>0.829045400697491</v>
      </c>
      <c r="T963" s="10">
        <f>GraphSalmonella!$E$57*Salmonella!I963+GraphSalmonella!$E$58</f>
        <v>3.529780131395551</v>
      </c>
      <c r="U963" s="10">
        <f>GraphSalmonella!$H$57*Salmonella!I963+GraphSalmonella!$H$58</f>
        <v>1.1521391027974621</v>
      </c>
      <c r="X963" s="10">
        <f>GraphSalmonella!$B$80*Salmonella!I963+GraphSalmonella!$B$81</f>
        <v>1.154524792310724</v>
      </c>
      <c r="Y963" s="10">
        <f>GraphSalmonella!$E$80*Salmonella!I963+GraphSalmonella!$E$81</f>
        <v>1.175426541716269</v>
      </c>
      <c r="Z963" s="10">
        <f>GraphSalmonella!$H$80*Salmonella!I963+GraphSalmonella!$H$81</f>
        <v>0.96894221892570975</v>
      </c>
    </row>
    <row r="964" spans="1:26" x14ac:dyDescent="0.2">
      <c r="A964" s="1" t="s">
        <v>66</v>
      </c>
      <c r="B964" s="1" t="s">
        <v>70</v>
      </c>
      <c r="D964" t="s">
        <v>44</v>
      </c>
      <c r="E964" s="1" t="s">
        <v>119</v>
      </c>
      <c r="H964" s="4">
        <v>5</v>
      </c>
      <c r="I964" s="4">
        <v>52</v>
      </c>
      <c r="J964" s="11">
        <v>4.5999999999999996</v>
      </c>
      <c r="L964" s="12">
        <f t="shared" si="19"/>
        <v>0.66275783168157409</v>
      </c>
      <c r="M964" s="11">
        <f>GraphSalmonella!$B$10-(Salmonella!I964-GraphSalmonella!$B$6)/GraphSalmonella!$B$5</f>
        <v>1.1514726787237608</v>
      </c>
      <c r="N964" s="2" t="s">
        <v>1226</v>
      </c>
      <c r="O964">
        <v>1996</v>
      </c>
      <c r="S964" s="10">
        <f>GraphSalmonella!$B$57*Salmonella!I964+GraphSalmonella!$B$58</f>
        <v>0.829045400697491</v>
      </c>
      <c r="T964" s="10">
        <f>GraphSalmonella!$E$57*Salmonella!I964+GraphSalmonella!$E$58</f>
        <v>3.529780131395551</v>
      </c>
      <c r="U964" s="10">
        <f>GraphSalmonella!$H$57*Salmonella!I964+GraphSalmonella!$H$58</f>
        <v>1.1521391027974621</v>
      </c>
      <c r="X964" s="10">
        <f>GraphSalmonella!$B$80*Salmonella!I964+GraphSalmonella!$B$81</f>
        <v>1.154524792310724</v>
      </c>
      <c r="Y964" s="10">
        <f>GraphSalmonella!$E$80*Salmonella!I964+GraphSalmonella!$E$81</f>
        <v>1.175426541716269</v>
      </c>
      <c r="Z964" s="10">
        <f>GraphSalmonella!$H$80*Salmonella!I964+GraphSalmonella!$H$81</f>
        <v>0.96894221892570975</v>
      </c>
    </row>
    <row r="965" spans="1:26" x14ac:dyDescent="0.2">
      <c r="A965" s="1" t="s">
        <v>66</v>
      </c>
      <c r="B965" s="1" t="s">
        <v>70</v>
      </c>
      <c r="D965" t="s">
        <v>44</v>
      </c>
      <c r="E965" s="1" t="s">
        <v>119</v>
      </c>
      <c r="H965" s="4">
        <v>7.6</v>
      </c>
      <c r="I965" s="4">
        <v>52</v>
      </c>
      <c r="J965" s="11">
        <v>6.1</v>
      </c>
      <c r="L965" s="12">
        <f t="shared" si="19"/>
        <v>0.78532983501076703</v>
      </c>
      <c r="M965" s="11">
        <f>GraphSalmonella!$B$10-(Salmonella!I965-GraphSalmonella!$B$6)/GraphSalmonella!$B$5</f>
        <v>1.1514726787237608</v>
      </c>
      <c r="N965" s="2" t="s">
        <v>1226</v>
      </c>
      <c r="O965">
        <v>1996</v>
      </c>
      <c r="S965" s="10">
        <f>GraphSalmonella!$B$57*Salmonella!I965+GraphSalmonella!$B$58</f>
        <v>0.829045400697491</v>
      </c>
      <c r="T965" s="10">
        <f>GraphSalmonella!$E$57*Salmonella!I965+GraphSalmonella!$E$58</f>
        <v>3.529780131395551</v>
      </c>
      <c r="U965" s="10">
        <f>GraphSalmonella!$H$57*Salmonella!I965+GraphSalmonella!$H$58</f>
        <v>1.1521391027974621</v>
      </c>
      <c r="X965" s="10">
        <f>GraphSalmonella!$B$80*Salmonella!I965+GraphSalmonella!$B$81</f>
        <v>1.154524792310724</v>
      </c>
      <c r="Y965" s="10">
        <f>GraphSalmonella!$E$80*Salmonella!I965+GraphSalmonella!$E$81</f>
        <v>1.175426541716269</v>
      </c>
      <c r="Z965" s="10">
        <f>GraphSalmonella!$H$80*Salmonella!I965+GraphSalmonella!$H$81</f>
        <v>0.96894221892570975</v>
      </c>
    </row>
    <row r="966" spans="1:26" x14ac:dyDescent="0.2">
      <c r="A966" s="1" t="s">
        <v>66</v>
      </c>
      <c r="B966" s="1" t="s">
        <v>70</v>
      </c>
      <c r="D966" t="s">
        <v>44</v>
      </c>
      <c r="E966" s="1" t="s">
        <v>119</v>
      </c>
      <c r="H966" s="4">
        <v>5.5</v>
      </c>
      <c r="I966" s="4">
        <v>52</v>
      </c>
      <c r="J966" s="11">
        <v>21.6</v>
      </c>
      <c r="L966" s="12">
        <f t="shared" si="19"/>
        <v>1.3344537511509309</v>
      </c>
      <c r="M966" s="11">
        <f>GraphSalmonella!$B$10-(Salmonella!I966-GraphSalmonella!$B$6)/GraphSalmonella!$B$5</f>
        <v>1.1514726787237608</v>
      </c>
      <c r="N966" s="2" t="s">
        <v>1226</v>
      </c>
      <c r="O966">
        <v>1996</v>
      </c>
      <c r="S966" s="10">
        <f>GraphSalmonella!$B$57*Salmonella!I966+GraphSalmonella!$B$58</f>
        <v>0.829045400697491</v>
      </c>
      <c r="T966" s="10">
        <f>GraphSalmonella!$E$57*Salmonella!I966+GraphSalmonella!$E$58</f>
        <v>3.529780131395551</v>
      </c>
      <c r="U966" s="10">
        <f>GraphSalmonella!$H$57*Salmonella!I966+GraphSalmonella!$H$58</f>
        <v>1.1521391027974621</v>
      </c>
      <c r="X966" s="10">
        <f>GraphSalmonella!$B$80*Salmonella!I966+GraphSalmonella!$B$81</f>
        <v>1.154524792310724</v>
      </c>
      <c r="Y966" s="10">
        <f>GraphSalmonella!$E$80*Salmonella!I966+GraphSalmonella!$E$81</f>
        <v>1.175426541716269</v>
      </c>
      <c r="Z966" s="10">
        <f>GraphSalmonella!$H$80*Salmonella!I966+GraphSalmonella!$H$81</f>
        <v>0.96894221892570975</v>
      </c>
    </row>
    <row r="967" spans="1:26" x14ac:dyDescent="0.2">
      <c r="A967" s="1" t="s">
        <v>66</v>
      </c>
      <c r="B967" s="1" t="s">
        <v>70</v>
      </c>
      <c r="D967" t="s">
        <v>44</v>
      </c>
      <c r="E967" s="1" t="s">
        <v>119</v>
      </c>
      <c r="H967" s="4">
        <v>5.9</v>
      </c>
      <c r="I967" s="4">
        <v>52</v>
      </c>
      <c r="J967" s="11">
        <v>34.5</v>
      </c>
      <c r="L967" s="12">
        <f t="shared" si="19"/>
        <v>1.5378190950732742</v>
      </c>
      <c r="M967" s="11">
        <f>GraphSalmonella!$B$10-(Salmonella!I967-GraphSalmonella!$B$6)/GraphSalmonella!$B$5</f>
        <v>1.1514726787237608</v>
      </c>
      <c r="N967" s="2" t="s">
        <v>1226</v>
      </c>
      <c r="O967">
        <v>1996</v>
      </c>
      <c r="S967" s="10">
        <f>GraphSalmonella!$B$57*Salmonella!I967+GraphSalmonella!$B$58</f>
        <v>0.829045400697491</v>
      </c>
      <c r="T967" s="10">
        <f>GraphSalmonella!$E$57*Salmonella!I967+GraphSalmonella!$E$58</f>
        <v>3.529780131395551</v>
      </c>
      <c r="U967" s="10">
        <f>GraphSalmonella!$H$57*Salmonella!I967+GraphSalmonella!$H$58</f>
        <v>1.1521391027974621</v>
      </c>
      <c r="X967" s="10">
        <f>GraphSalmonella!$B$80*Salmonella!I967+GraphSalmonella!$B$81</f>
        <v>1.154524792310724</v>
      </c>
      <c r="Y967" s="10">
        <f>GraphSalmonella!$E$80*Salmonella!I967+GraphSalmonella!$E$81</f>
        <v>1.175426541716269</v>
      </c>
      <c r="Z967" s="10">
        <f>GraphSalmonella!$H$80*Salmonella!I967+GraphSalmonella!$H$81</f>
        <v>0.96894221892570975</v>
      </c>
    </row>
    <row r="968" spans="1:26" x14ac:dyDescent="0.2">
      <c r="A968" s="1" t="s">
        <v>66</v>
      </c>
      <c r="B968" s="1" t="s">
        <v>70</v>
      </c>
      <c r="D968" t="s">
        <v>44</v>
      </c>
      <c r="E968" s="1" t="s">
        <v>119</v>
      </c>
      <c r="H968" s="4">
        <v>5.9</v>
      </c>
      <c r="I968" s="4">
        <v>52</v>
      </c>
      <c r="J968" s="11">
        <v>34.799999999999997</v>
      </c>
      <c r="L968" s="12">
        <f t="shared" si="19"/>
        <v>1.541579243946581</v>
      </c>
      <c r="M968" s="11">
        <f>GraphSalmonella!$B$10-(Salmonella!I968-GraphSalmonella!$B$6)/GraphSalmonella!$B$5</f>
        <v>1.1514726787237608</v>
      </c>
      <c r="N968" s="2" t="s">
        <v>1226</v>
      </c>
      <c r="O968">
        <v>1996</v>
      </c>
      <c r="S968" s="10">
        <f>GraphSalmonella!$B$57*Salmonella!I968+GraphSalmonella!$B$58</f>
        <v>0.829045400697491</v>
      </c>
      <c r="T968" s="10">
        <f>GraphSalmonella!$E$57*Salmonella!I968+GraphSalmonella!$E$58</f>
        <v>3.529780131395551</v>
      </c>
      <c r="U968" s="10">
        <f>GraphSalmonella!$H$57*Salmonella!I968+GraphSalmonella!$H$58</f>
        <v>1.1521391027974621</v>
      </c>
      <c r="X968" s="10">
        <f>GraphSalmonella!$B$80*Salmonella!I968+GraphSalmonella!$B$81</f>
        <v>1.154524792310724</v>
      </c>
      <c r="Y968" s="10">
        <f>GraphSalmonella!$E$80*Salmonella!I968+GraphSalmonella!$E$81</f>
        <v>1.175426541716269</v>
      </c>
      <c r="Z968" s="10">
        <f>GraphSalmonella!$H$80*Salmonella!I968+GraphSalmonella!$H$81</f>
        <v>0.96894221892570975</v>
      </c>
    </row>
    <row r="969" spans="1:26" x14ac:dyDescent="0.2">
      <c r="A969" s="1" t="s">
        <v>66</v>
      </c>
      <c r="B969" s="1" t="s">
        <v>70</v>
      </c>
      <c r="D969" t="s">
        <v>44</v>
      </c>
      <c r="E969" s="1" t="s">
        <v>119</v>
      </c>
      <c r="H969" s="4">
        <v>5.9</v>
      </c>
      <c r="I969" s="4">
        <v>54</v>
      </c>
      <c r="J969" s="11">
        <v>8.16</v>
      </c>
      <c r="L969" s="12">
        <f t="shared" si="19"/>
        <v>0.91169015875386117</v>
      </c>
      <c r="M969" s="11">
        <f>GraphSalmonella!$B$10-(Salmonella!I969-GraphSalmonella!$B$6)/GraphSalmonella!$B$5</f>
        <v>0.93141049492018801</v>
      </c>
      <c r="N969" s="2" t="s">
        <v>1226</v>
      </c>
      <c r="O969">
        <v>1996</v>
      </c>
      <c r="S969" s="10">
        <f>GraphSalmonella!$B$57*Salmonella!I969+GraphSalmonella!$B$58</f>
        <v>0.70946485857477981</v>
      </c>
      <c r="T969" s="10">
        <f>GraphSalmonella!$E$57*Salmonella!I969+GraphSalmonella!$E$58</f>
        <v>3.4315910876974178</v>
      </c>
      <c r="U969" s="10">
        <f>GraphSalmonella!$H$57*Salmonella!I969+GraphSalmonella!$H$58</f>
        <v>0.93212645685125395</v>
      </c>
      <c r="X969" s="10">
        <f>GraphSalmonella!$B$80*Salmonella!I969+GraphSalmonella!$B$81</f>
        <v>0.9343560329007774</v>
      </c>
      <c r="Y969" s="10">
        <f>GraphSalmonella!$E$80*Salmonella!I969+GraphSalmonella!$E$81</f>
        <v>0.95216790796984174</v>
      </c>
      <c r="Z969" s="10">
        <f>GraphSalmonella!$H$80*Salmonella!I969+GraphSalmonella!$H$81</f>
        <v>0.71057849245095284</v>
      </c>
    </row>
    <row r="970" spans="1:26" x14ac:dyDescent="0.2">
      <c r="A970" s="1" t="s">
        <v>66</v>
      </c>
      <c r="B970" s="1" t="s">
        <v>70</v>
      </c>
      <c r="D970" t="s">
        <v>44</v>
      </c>
      <c r="E970" s="1" t="s">
        <v>119</v>
      </c>
      <c r="H970" s="4">
        <v>5.9</v>
      </c>
      <c r="I970" s="4">
        <v>56</v>
      </c>
      <c r="J970" s="11">
        <v>2.34</v>
      </c>
      <c r="L970" s="12">
        <f t="shared" si="19"/>
        <v>0.36921585741014279</v>
      </c>
      <c r="M970" s="11">
        <f>GraphSalmonella!$B$10-(Salmonella!I970-GraphSalmonella!$B$6)/GraphSalmonella!$B$5</f>
        <v>0.71134831111661545</v>
      </c>
      <c r="N970" s="2" t="s">
        <v>1226</v>
      </c>
      <c r="O970">
        <v>1996</v>
      </c>
      <c r="S970" s="10">
        <f>GraphSalmonella!$B$57*Salmonella!I970+GraphSalmonella!$B$58</f>
        <v>0.58988431645206907</v>
      </c>
      <c r="T970" s="10">
        <f>GraphSalmonella!$E$57*Salmonella!I970+GraphSalmonella!$E$58</f>
        <v>3.3334020439992846</v>
      </c>
      <c r="U970" s="10">
        <f>GraphSalmonella!$H$57*Salmonella!I970+GraphSalmonella!$H$58</f>
        <v>0.71211381090504577</v>
      </c>
      <c r="X970" s="10">
        <f>GraphSalmonella!$B$80*Salmonella!I970+GraphSalmonella!$B$81</f>
        <v>0.71418727349083166</v>
      </c>
      <c r="Y970" s="10">
        <f>GraphSalmonella!$E$80*Salmonella!I970+GraphSalmonella!$E$81</f>
        <v>0.72890927422341356</v>
      </c>
      <c r="Z970" s="10">
        <f>GraphSalmonella!$H$80*Salmonella!I970+GraphSalmonella!$H$81</f>
        <v>0.45221476597619681</v>
      </c>
    </row>
    <row r="971" spans="1:26" x14ac:dyDescent="0.2">
      <c r="A971" s="1" t="s">
        <v>66</v>
      </c>
      <c r="B971" s="1" t="s">
        <v>70</v>
      </c>
      <c r="D971" t="s">
        <v>44</v>
      </c>
      <c r="E971" s="1" t="s">
        <v>119</v>
      </c>
      <c r="H971" s="4">
        <v>5.9</v>
      </c>
      <c r="I971" s="4">
        <v>58</v>
      </c>
      <c r="J971" s="11">
        <v>0.63</v>
      </c>
      <c r="L971" s="12">
        <f t="shared" si="19"/>
        <v>-0.20065945054641829</v>
      </c>
      <c r="M971" s="11">
        <f>GraphSalmonella!$B$10-(Salmonella!I971-GraphSalmonella!$B$6)/GraphSalmonella!$B$5</f>
        <v>0.49128612731304266</v>
      </c>
      <c r="N971" s="2" t="s">
        <v>1226</v>
      </c>
      <c r="O971">
        <v>1996</v>
      </c>
      <c r="S971" s="10">
        <f>GraphSalmonella!$B$57*Salmonella!I971+GraphSalmonella!$B$58</f>
        <v>0.47030377432935788</v>
      </c>
      <c r="T971" s="10">
        <f>GraphSalmonella!$E$57*Salmonella!I971+GraphSalmonella!$E$58</f>
        <v>3.2352130003011514</v>
      </c>
      <c r="U971" s="10">
        <f>GraphSalmonella!$H$57*Salmonella!I971+GraphSalmonella!$H$58</f>
        <v>0.4921011649588376</v>
      </c>
      <c r="X971" s="10">
        <f>GraphSalmonella!$B$80*Salmonella!I971+GraphSalmonella!$B$81</f>
        <v>0.49401851408088504</v>
      </c>
      <c r="Y971" s="10">
        <f>GraphSalmonella!$E$80*Salmonella!I971+GraphSalmonella!$E$81</f>
        <v>0.50565064047698538</v>
      </c>
      <c r="Z971" s="10">
        <f>GraphSalmonella!$H$80*Salmonella!I971+GraphSalmonella!$H$81</f>
        <v>0.19385103950143989</v>
      </c>
    </row>
    <row r="972" spans="1:26" x14ac:dyDescent="0.2">
      <c r="A972" s="1" t="s">
        <v>66</v>
      </c>
      <c r="B972" s="1" t="s">
        <v>67</v>
      </c>
      <c r="D972" t="s">
        <v>44</v>
      </c>
      <c r="E972" s="1" t="s">
        <v>376</v>
      </c>
      <c r="G972" s="11" t="s">
        <v>514</v>
      </c>
      <c r="I972" s="4">
        <v>60</v>
      </c>
      <c r="J972" s="11">
        <v>11.4</v>
      </c>
      <c r="L972" s="12">
        <f t="shared" si="19"/>
        <v>1.0569048513364727</v>
      </c>
      <c r="M972" s="11">
        <f>GraphSalmonella!$B$10-(Salmonella!I972-GraphSalmonella!$B$6)/GraphSalmonella!$B$5</f>
        <v>0.2712239435094701</v>
      </c>
      <c r="N972" s="1" t="s">
        <v>319</v>
      </c>
      <c r="O972">
        <v>2000</v>
      </c>
      <c r="P972" t="s">
        <v>366</v>
      </c>
      <c r="S972" s="10">
        <f>GraphSalmonella!$B$57*Salmonella!I972+GraphSalmonella!$B$58</f>
        <v>0.35072323220664714</v>
      </c>
      <c r="T972" s="10">
        <f>GraphSalmonella!$E$57*Salmonella!I972+GraphSalmonella!$E$58</f>
        <v>3.1370239566030182</v>
      </c>
      <c r="U972" s="10">
        <f>GraphSalmonella!$H$57*Salmonella!I972+GraphSalmonella!$H$58</f>
        <v>0.27208851901262943</v>
      </c>
      <c r="X972" s="10">
        <f>GraphSalmonella!$B$80*Salmonella!I972+GraphSalmonella!$B$81</f>
        <v>0.2738497546709393</v>
      </c>
      <c r="Y972" s="10">
        <f>GraphSalmonella!$E$80*Salmonella!I972+GraphSalmonella!$E$81</f>
        <v>0.2823920067305572</v>
      </c>
      <c r="Z972" s="10">
        <f>GraphSalmonella!$H$80*Salmonella!I972+GraphSalmonella!$H$81</f>
        <v>-6.4512686973317024E-2</v>
      </c>
    </row>
    <row r="973" spans="1:26" x14ac:dyDescent="0.2">
      <c r="A973" s="1" t="s">
        <v>66</v>
      </c>
      <c r="B973" s="1" t="s">
        <v>67</v>
      </c>
      <c r="D973" t="s">
        <v>44</v>
      </c>
      <c r="E973" s="1" t="s">
        <v>376</v>
      </c>
      <c r="G973" s="11" t="s">
        <v>522</v>
      </c>
      <c r="I973" s="4">
        <v>60</v>
      </c>
      <c r="J973" s="11">
        <v>10</v>
      </c>
      <c r="L973" s="12">
        <f t="shared" si="19"/>
        <v>1</v>
      </c>
      <c r="M973" s="11">
        <f>GraphSalmonella!$B$10-(Salmonella!I973-GraphSalmonella!$B$6)/GraphSalmonella!$B$5</f>
        <v>0.2712239435094701</v>
      </c>
      <c r="N973" s="1" t="s">
        <v>319</v>
      </c>
      <c r="O973">
        <v>2000</v>
      </c>
      <c r="P973" t="s">
        <v>366</v>
      </c>
      <c r="S973" s="10">
        <f>GraphSalmonella!$B$57*Salmonella!I973+GraphSalmonella!$B$58</f>
        <v>0.35072323220664714</v>
      </c>
      <c r="T973" s="10">
        <f>GraphSalmonella!$E$57*Salmonella!I973+GraphSalmonella!$E$58</f>
        <v>3.1370239566030182</v>
      </c>
      <c r="U973" s="10">
        <f>GraphSalmonella!$H$57*Salmonella!I973+GraphSalmonella!$H$58</f>
        <v>0.27208851901262943</v>
      </c>
      <c r="X973" s="10">
        <f>GraphSalmonella!$B$80*Salmonella!I973+GraphSalmonella!$B$81</f>
        <v>0.2738497546709393</v>
      </c>
      <c r="Y973" s="10">
        <f>GraphSalmonella!$E$80*Salmonella!I973+GraphSalmonella!$E$81</f>
        <v>0.2823920067305572</v>
      </c>
      <c r="Z973" s="10">
        <f>GraphSalmonella!$H$80*Salmonella!I973+GraphSalmonella!$H$81</f>
        <v>-6.4512686973317024E-2</v>
      </c>
    </row>
    <row r="974" spans="1:26" x14ac:dyDescent="0.2">
      <c r="A974" s="1" t="s">
        <v>66</v>
      </c>
      <c r="B974" s="1" t="s">
        <v>67</v>
      </c>
      <c r="D974" t="s">
        <v>44</v>
      </c>
      <c r="E974" s="1" t="s">
        <v>376</v>
      </c>
      <c r="G974" s="11" t="s">
        <v>511</v>
      </c>
      <c r="I974" s="4">
        <v>60</v>
      </c>
      <c r="J974" s="11">
        <v>7.2</v>
      </c>
      <c r="L974" s="12">
        <f t="shared" si="19"/>
        <v>0.85733249643126852</v>
      </c>
      <c r="M974" s="11">
        <f>GraphSalmonella!$B$10-(Salmonella!I974-GraphSalmonella!$B$6)/GraphSalmonella!$B$5</f>
        <v>0.2712239435094701</v>
      </c>
      <c r="N974" s="1" t="s">
        <v>319</v>
      </c>
      <c r="O974">
        <v>2000</v>
      </c>
      <c r="P974" t="s">
        <v>366</v>
      </c>
      <c r="S974" s="10">
        <f>GraphSalmonella!$B$57*Salmonella!I974+GraphSalmonella!$B$58</f>
        <v>0.35072323220664714</v>
      </c>
      <c r="T974" s="10">
        <f>GraphSalmonella!$E$57*Salmonella!I974+GraphSalmonella!$E$58</f>
        <v>3.1370239566030182</v>
      </c>
      <c r="U974" s="10">
        <f>GraphSalmonella!$H$57*Salmonella!I974+GraphSalmonella!$H$58</f>
        <v>0.27208851901262943</v>
      </c>
      <c r="X974" s="10">
        <f>GraphSalmonella!$B$80*Salmonella!I974+GraphSalmonella!$B$81</f>
        <v>0.2738497546709393</v>
      </c>
      <c r="Y974" s="10">
        <f>GraphSalmonella!$E$80*Salmonella!I974+GraphSalmonella!$E$81</f>
        <v>0.2823920067305572</v>
      </c>
      <c r="Z974" s="10">
        <f>GraphSalmonella!$H$80*Salmonella!I974+GraphSalmonella!$H$81</f>
        <v>-6.4512686973317024E-2</v>
      </c>
    </row>
    <row r="975" spans="1:26" x14ac:dyDescent="0.2">
      <c r="A975" s="1" t="s">
        <v>66</v>
      </c>
      <c r="B975" s="1" t="s">
        <v>67</v>
      </c>
      <c r="D975" t="s">
        <v>44</v>
      </c>
      <c r="E975" s="1" t="s">
        <v>376</v>
      </c>
      <c r="G975" s="11" t="s">
        <v>522</v>
      </c>
      <c r="I975" s="4">
        <v>65.5</v>
      </c>
      <c r="J975" s="11">
        <v>3.8</v>
      </c>
      <c r="L975" s="12">
        <f t="shared" si="19"/>
        <v>0.57978359661681012</v>
      </c>
      <c r="M975" s="11">
        <f>GraphSalmonella!$B$10-(Salmonella!I975-GraphSalmonella!$B$6)/GraphSalmonella!$B$5</f>
        <v>-0.33394706195035484</v>
      </c>
      <c r="N975" s="1" t="s">
        <v>319</v>
      </c>
      <c r="O975">
        <v>2000</v>
      </c>
      <c r="P975" t="s">
        <v>366</v>
      </c>
      <c r="S975" s="10">
        <f>GraphSalmonella!$B$57*Salmonella!I975+GraphSalmonella!$B$58</f>
        <v>2.1876741369192043E-2</v>
      </c>
      <c r="T975" s="10">
        <f>GraphSalmonella!$E$57*Salmonella!I975+GraphSalmonella!$E$58</f>
        <v>2.8670040864331519</v>
      </c>
      <c r="U975" s="10">
        <f>GraphSalmonella!$H$57*Salmonella!I975+GraphSalmonella!$H$58</f>
        <v>-0.33294625733944283</v>
      </c>
      <c r="X975" s="10">
        <f>GraphSalmonella!$B$80*Salmonella!I975+GraphSalmonella!$B$81</f>
        <v>-0.3316143337064128</v>
      </c>
      <c r="Y975" s="10">
        <f>GraphSalmonella!$E$80*Salmonella!I975+GraphSalmonella!$E$81</f>
        <v>-0.33156923607211919</v>
      </c>
      <c r="Z975" s="10">
        <f>GraphSalmonella!$H$80*Salmonella!I975+GraphSalmonella!$H$81</f>
        <v>-0.77501293477889899</v>
      </c>
    </row>
    <row r="976" spans="1:26" x14ac:dyDescent="0.2">
      <c r="A976" s="1" t="s">
        <v>66</v>
      </c>
      <c r="B976" s="1" t="s">
        <v>67</v>
      </c>
      <c r="D976" t="s">
        <v>44</v>
      </c>
      <c r="E976" s="1" t="s">
        <v>376</v>
      </c>
      <c r="G976" s="11" t="s">
        <v>511</v>
      </c>
      <c r="I976" s="4">
        <v>65.5</v>
      </c>
      <c r="J976" s="11">
        <v>1.1000000000000001</v>
      </c>
      <c r="L976" s="12">
        <f t="shared" si="19"/>
        <v>4.1392685158225077E-2</v>
      </c>
      <c r="M976" s="11">
        <f>GraphSalmonella!$B$10-(Salmonella!I976-GraphSalmonella!$B$6)/GraphSalmonella!$B$5</f>
        <v>-0.33394706195035484</v>
      </c>
      <c r="N976" s="1" t="s">
        <v>319</v>
      </c>
      <c r="O976">
        <v>2000</v>
      </c>
      <c r="P976" t="s">
        <v>366</v>
      </c>
      <c r="S976" s="10">
        <f>GraphSalmonella!$B$57*Salmonella!I976+GraphSalmonella!$B$58</f>
        <v>2.1876741369192043E-2</v>
      </c>
      <c r="T976" s="10">
        <f>GraphSalmonella!$E$57*Salmonella!I976+GraphSalmonella!$E$58</f>
        <v>2.8670040864331519</v>
      </c>
      <c r="U976" s="10">
        <f>GraphSalmonella!$H$57*Salmonella!I976+GraphSalmonella!$H$58</f>
        <v>-0.33294625733944283</v>
      </c>
      <c r="X976" s="10">
        <f>GraphSalmonella!$B$80*Salmonella!I976+GraphSalmonella!$B$81</f>
        <v>-0.3316143337064128</v>
      </c>
      <c r="Y976" s="10">
        <f>GraphSalmonella!$E$80*Salmonella!I976+GraphSalmonella!$E$81</f>
        <v>-0.33156923607211919</v>
      </c>
      <c r="Z976" s="10">
        <f>GraphSalmonella!$H$80*Salmonella!I976+GraphSalmonella!$H$81</f>
        <v>-0.77501293477889899</v>
      </c>
    </row>
    <row r="977" spans="1:26" x14ac:dyDescent="0.2">
      <c r="A977" s="1" t="s">
        <v>66</v>
      </c>
      <c r="B977" s="1" t="s">
        <v>70</v>
      </c>
      <c r="D977" t="s">
        <v>44</v>
      </c>
      <c r="E977" s="1" t="s">
        <v>376</v>
      </c>
      <c r="G977" s="11" t="s">
        <v>522</v>
      </c>
      <c r="I977" s="4">
        <v>60</v>
      </c>
      <c r="J977" s="11">
        <v>4.83</v>
      </c>
      <c r="L977" s="12">
        <f t="shared" si="19"/>
        <v>0.68394713075151214</v>
      </c>
      <c r="M977" s="11">
        <f>GraphSalmonella!$B$10-(Salmonella!I977-GraphSalmonella!$B$6)/GraphSalmonella!$B$5</f>
        <v>0.2712239435094701</v>
      </c>
      <c r="N977" s="1" t="s">
        <v>319</v>
      </c>
      <c r="O977">
        <v>2000</v>
      </c>
      <c r="P977" t="s">
        <v>366</v>
      </c>
      <c r="S977" s="10">
        <f>GraphSalmonella!$B$57*Salmonella!I977+GraphSalmonella!$B$58</f>
        <v>0.35072323220664714</v>
      </c>
      <c r="T977" s="10">
        <f>GraphSalmonella!$E$57*Salmonella!I977+GraphSalmonella!$E$58</f>
        <v>3.1370239566030182</v>
      </c>
      <c r="U977" s="10">
        <f>GraphSalmonella!$H$57*Salmonella!I977+GraphSalmonella!$H$58</f>
        <v>0.27208851901262943</v>
      </c>
      <c r="X977" s="10">
        <f>GraphSalmonella!$B$80*Salmonella!I977+GraphSalmonella!$B$81</f>
        <v>0.2738497546709393</v>
      </c>
      <c r="Y977" s="10">
        <f>GraphSalmonella!$E$80*Salmonella!I977+GraphSalmonella!$E$81</f>
        <v>0.2823920067305572</v>
      </c>
      <c r="Z977" s="10">
        <f>GraphSalmonella!$H$80*Salmonella!I977+GraphSalmonella!$H$81</f>
        <v>-6.4512686973317024E-2</v>
      </c>
    </row>
    <row r="978" spans="1:26" x14ac:dyDescent="0.2">
      <c r="A978" s="1" t="s">
        <v>66</v>
      </c>
      <c r="B978" s="1" t="s">
        <v>70</v>
      </c>
      <c r="D978" t="s">
        <v>44</v>
      </c>
      <c r="E978" s="1" t="s">
        <v>376</v>
      </c>
      <c r="G978" s="11" t="s">
        <v>512</v>
      </c>
      <c r="I978" s="4">
        <v>60</v>
      </c>
      <c r="J978" s="11">
        <v>4.3</v>
      </c>
      <c r="L978" s="12">
        <f t="shared" si="19"/>
        <v>0.63346845557958653</v>
      </c>
      <c r="M978" s="11">
        <f>GraphSalmonella!$B$10-(Salmonella!I978-GraphSalmonella!$B$6)/GraphSalmonella!$B$5</f>
        <v>0.2712239435094701</v>
      </c>
      <c r="N978" s="1" t="s">
        <v>319</v>
      </c>
      <c r="O978">
        <v>2000</v>
      </c>
      <c r="P978" t="s">
        <v>366</v>
      </c>
      <c r="S978" s="10">
        <f>GraphSalmonella!$B$57*Salmonella!I978+GraphSalmonella!$B$58</f>
        <v>0.35072323220664714</v>
      </c>
      <c r="T978" s="10">
        <f>GraphSalmonella!$E$57*Salmonella!I978+GraphSalmonella!$E$58</f>
        <v>3.1370239566030182</v>
      </c>
      <c r="U978" s="10">
        <f>GraphSalmonella!$H$57*Salmonella!I978+GraphSalmonella!$H$58</f>
        <v>0.27208851901262943</v>
      </c>
      <c r="X978" s="10">
        <f>GraphSalmonella!$B$80*Salmonella!I978+GraphSalmonella!$B$81</f>
        <v>0.2738497546709393</v>
      </c>
      <c r="Y978" s="10">
        <f>GraphSalmonella!$E$80*Salmonella!I978+GraphSalmonella!$E$81</f>
        <v>0.2823920067305572</v>
      </c>
      <c r="Z978" s="10">
        <f>GraphSalmonella!$H$80*Salmonella!I978+GraphSalmonella!$H$81</f>
        <v>-6.4512686973317024E-2</v>
      </c>
    </row>
    <row r="979" spans="1:26" x14ac:dyDescent="0.2">
      <c r="A979" s="1" t="s">
        <v>66</v>
      </c>
      <c r="B979" s="1" t="s">
        <v>70</v>
      </c>
      <c r="D979" t="s">
        <v>44</v>
      </c>
      <c r="E979" s="1" t="s">
        <v>376</v>
      </c>
      <c r="G979" s="11" t="s">
        <v>511</v>
      </c>
      <c r="I979" s="4">
        <v>60</v>
      </c>
      <c r="J979" s="11">
        <v>0.6</v>
      </c>
      <c r="L979" s="12">
        <f t="shared" si="19"/>
        <v>-0.22184874961635639</v>
      </c>
      <c r="M979" s="11">
        <f>GraphSalmonella!$B$10-(Salmonella!I979-GraphSalmonella!$B$6)/GraphSalmonella!$B$5</f>
        <v>0.2712239435094701</v>
      </c>
      <c r="N979" s="1" t="s">
        <v>319</v>
      </c>
      <c r="O979">
        <v>2000</v>
      </c>
      <c r="P979" t="s">
        <v>366</v>
      </c>
      <c r="S979" s="10">
        <f>GraphSalmonella!$B$57*Salmonella!I979+GraphSalmonella!$B$58</f>
        <v>0.35072323220664714</v>
      </c>
      <c r="T979" s="10">
        <f>GraphSalmonella!$E$57*Salmonella!I979+GraphSalmonella!$E$58</f>
        <v>3.1370239566030182</v>
      </c>
      <c r="U979" s="10">
        <f>GraphSalmonella!$H$57*Salmonella!I979+GraphSalmonella!$H$58</f>
        <v>0.27208851901262943</v>
      </c>
      <c r="X979" s="10">
        <f>GraphSalmonella!$B$80*Salmonella!I979+GraphSalmonella!$B$81</f>
        <v>0.2738497546709393</v>
      </c>
      <c r="Y979" s="10">
        <f>GraphSalmonella!$E$80*Salmonella!I979+GraphSalmonella!$E$81</f>
        <v>0.2823920067305572</v>
      </c>
      <c r="Z979" s="10">
        <f>GraphSalmonella!$H$80*Salmonella!I979+GraphSalmonella!$H$81</f>
        <v>-6.4512686973317024E-2</v>
      </c>
    </row>
    <row r="980" spans="1:26" x14ac:dyDescent="0.2">
      <c r="A980" s="1" t="s">
        <v>66</v>
      </c>
      <c r="B980" s="1" t="s">
        <v>70</v>
      </c>
      <c r="D980" t="s">
        <v>44</v>
      </c>
      <c r="E980" s="1" t="s">
        <v>376</v>
      </c>
      <c r="G980" s="11" t="s">
        <v>524</v>
      </c>
      <c r="I980" s="4">
        <v>65.55</v>
      </c>
      <c r="J980" s="11">
        <v>40.200000000000003</v>
      </c>
      <c r="L980" s="12">
        <f t="shared" si="19"/>
        <v>1.6042260530844701</v>
      </c>
      <c r="M980" s="11">
        <f>GraphSalmonella!$B$10-(Salmonella!I980-GraphSalmonella!$B$6)/GraphSalmonella!$B$5</f>
        <v>-0.33944861654544384</v>
      </c>
      <c r="N980" s="1" t="s">
        <v>319</v>
      </c>
      <c r="O980">
        <v>2000</v>
      </c>
      <c r="P980" t="s">
        <v>366</v>
      </c>
      <c r="S980" s="10">
        <f>GraphSalmonella!$B$57*Salmonella!I980+GraphSalmonella!$B$58</f>
        <v>1.8887227816124508E-2</v>
      </c>
      <c r="T980" s="10">
        <f>GraphSalmonella!$E$57*Salmonella!I980+GraphSalmonella!$E$58</f>
        <v>2.8645493603406988</v>
      </c>
      <c r="U980" s="10">
        <f>GraphSalmonella!$H$57*Salmonella!I980+GraphSalmonella!$H$58</f>
        <v>-0.33844657348809815</v>
      </c>
      <c r="X980" s="10">
        <f>GraphSalmonella!$B$80*Salmonella!I980+GraphSalmonella!$B$81</f>
        <v>-0.33711855269166069</v>
      </c>
      <c r="Y980" s="10">
        <f>GraphSalmonella!$E$80*Salmonella!I980+GraphSalmonella!$E$81</f>
        <v>-0.33715070191578</v>
      </c>
      <c r="Z980" s="10">
        <f>GraphSalmonella!$H$80*Salmonella!I980+GraphSalmonella!$H$81</f>
        <v>-0.78147202794076787</v>
      </c>
    </row>
    <row r="981" spans="1:26" x14ac:dyDescent="0.2">
      <c r="A981" s="1" t="s">
        <v>66</v>
      </c>
      <c r="B981" s="1" t="s">
        <v>70</v>
      </c>
      <c r="D981" t="s">
        <v>44</v>
      </c>
      <c r="E981" s="1" t="s">
        <v>376</v>
      </c>
      <c r="G981" s="11" t="s">
        <v>514</v>
      </c>
      <c r="I981" s="4">
        <v>65.55</v>
      </c>
      <c r="J981" s="11">
        <v>3.53</v>
      </c>
      <c r="L981" s="12">
        <f t="shared" si="19"/>
        <v>0.54777470538782258</v>
      </c>
      <c r="M981" s="11">
        <f>GraphSalmonella!$B$10-(Salmonella!I981-GraphSalmonella!$B$6)/GraphSalmonella!$B$5</f>
        <v>-0.33944861654544384</v>
      </c>
      <c r="N981" s="1" t="s">
        <v>319</v>
      </c>
      <c r="O981">
        <v>2000</v>
      </c>
      <c r="P981" t="s">
        <v>366</v>
      </c>
      <c r="S981" s="10">
        <f>GraphSalmonella!$B$57*Salmonella!I981+GraphSalmonella!$B$58</f>
        <v>1.8887227816124508E-2</v>
      </c>
      <c r="T981" s="10">
        <f>GraphSalmonella!$E$57*Salmonella!I981+GraphSalmonella!$E$58</f>
        <v>2.8645493603406988</v>
      </c>
      <c r="U981" s="10">
        <f>GraphSalmonella!$H$57*Salmonella!I981+GraphSalmonella!$H$58</f>
        <v>-0.33844657348809815</v>
      </c>
      <c r="X981" s="10">
        <f>GraphSalmonella!$B$80*Salmonella!I981+GraphSalmonella!$B$81</f>
        <v>-0.33711855269166069</v>
      </c>
      <c r="Y981" s="10">
        <f>GraphSalmonella!$E$80*Salmonella!I981+GraphSalmonella!$E$81</f>
        <v>-0.33715070191578</v>
      </c>
      <c r="Z981" s="10">
        <f>GraphSalmonella!$H$80*Salmonella!I981+GraphSalmonella!$H$81</f>
        <v>-0.78147202794076787</v>
      </c>
    </row>
    <row r="982" spans="1:26" x14ac:dyDescent="0.2">
      <c r="A982" s="1" t="s">
        <v>66</v>
      </c>
      <c r="B982" s="1" t="s">
        <v>70</v>
      </c>
      <c r="D982" t="s">
        <v>44</v>
      </c>
      <c r="E982" s="1" t="s">
        <v>376</v>
      </c>
      <c r="G982" s="11" t="s">
        <v>514</v>
      </c>
      <c r="I982" s="4">
        <v>65.55</v>
      </c>
      <c r="J982" s="11">
        <v>19.2</v>
      </c>
      <c r="L982" s="12">
        <f t="shared" si="19"/>
        <v>1.2833012287035497</v>
      </c>
      <c r="M982" s="11">
        <f>GraphSalmonella!$B$10-(Salmonella!I982-GraphSalmonella!$B$6)/GraphSalmonella!$B$5</f>
        <v>-0.33944861654544384</v>
      </c>
      <c r="N982" s="1" t="s">
        <v>319</v>
      </c>
      <c r="O982">
        <v>2000</v>
      </c>
      <c r="P982" t="s">
        <v>366</v>
      </c>
      <c r="S982" s="10">
        <f>GraphSalmonella!$B$57*Salmonella!I982+GraphSalmonella!$B$58</f>
        <v>1.8887227816124508E-2</v>
      </c>
      <c r="T982" s="10">
        <f>GraphSalmonella!$E$57*Salmonella!I982+GraphSalmonella!$E$58</f>
        <v>2.8645493603406988</v>
      </c>
      <c r="U982" s="10">
        <f>GraphSalmonella!$H$57*Salmonella!I982+GraphSalmonella!$H$58</f>
        <v>-0.33844657348809815</v>
      </c>
      <c r="X982" s="10">
        <f>GraphSalmonella!$B$80*Salmonella!I982+GraphSalmonella!$B$81</f>
        <v>-0.33711855269166069</v>
      </c>
      <c r="Y982" s="10">
        <f>GraphSalmonella!$E$80*Salmonella!I982+GraphSalmonella!$E$81</f>
        <v>-0.33715070191578</v>
      </c>
      <c r="Z982" s="10">
        <f>GraphSalmonella!$H$80*Salmonella!I982+GraphSalmonella!$H$81</f>
        <v>-0.78147202794076787</v>
      </c>
    </row>
    <row r="983" spans="1:26" x14ac:dyDescent="0.2">
      <c r="A983" s="1" t="s">
        <v>66</v>
      </c>
      <c r="B983" s="1" t="s">
        <v>70</v>
      </c>
      <c r="D983" t="s">
        <v>44</v>
      </c>
      <c r="E983" s="1" t="s">
        <v>376</v>
      </c>
      <c r="G983" s="11" t="s">
        <v>523</v>
      </c>
      <c r="I983" s="4">
        <v>65.55</v>
      </c>
      <c r="J983" s="11">
        <v>2.0499999999999998</v>
      </c>
      <c r="L983" s="12">
        <f t="shared" si="19"/>
        <v>0.31175386105575426</v>
      </c>
      <c r="M983" s="11">
        <f>GraphSalmonella!$B$10-(Salmonella!I983-GraphSalmonella!$B$6)/GraphSalmonella!$B$5</f>
        <v>-0.33944861654544384</v>
      </c>
      <c r="N983" s="1" t="s">
        <v>319</v>
      </c>
      <c r="O983">
        <v>2000</v>
      </c>
      <c r="P983" t="s">
        <v>366</v>
      </c>
      <c r="S983" s="10">
        <f>GraphSalmonella!$B$57*Salmonella!I983+GraphSalmonella!$B$58</f>
        <v>1.8887227816124508E-2</v>
      </c>
      <c r="T983" s="10">
        <f>GraphSalmonella!$E$57*Salmonella!I983+GraphSalmonella!$E$58</f>
        <v>2.8645493603406988</v>
      </c>
      <c r="U983" s="10">
        <f>GraphSalmonella!$H$57*Salmonella!I983+GraphSalmonella!$H$58</f>
        <v>-0.33844657348809815</v>
      </c>
      <c r="X983" s="10">
        <f>GraphSalmonella!$B$80*Salmonella!I983+GraphSalmonella!$B$81</f>
        <v>-0.33711855269166069</v>
      </c>
      <c r="Y983" s="10">
        <f>GraphSalmonella!$E$80*Salmonella!I983+GraphSalmonella!$E$81</f>
        <v>-0.33715070191578</v>
      </c>
      <c r="Z983" s="10">
        <f>GraphSalmonella!$H$80*Salmonella!I983+GraphSalmonella!$H$81</f>
        <v>-0.78147202794076787</v>
      </c>
    </row>
    <row r="984" spans="1:26" x14ac:dyDescent="0.2">
      <c r="A984" s="1" t="s">
        <v>66</v>
      </c>
      <c r="B984" s="1" t="s">
        <v>70</v>
      </c>
      <c r="D984" t="s">
        <v>44</v>
      </c>
      <c r="E984" s="1" t="s">
        <v>376</v>
      </c>
      <c r="G984" s="11" t="s">
        <v>523</v>
      </c>
      <c r="I984" s="4">
        <v>65.55</v>
      </c>
      <c r="J984" s="11">
        <v>4.8</v>
      </c>
      <c r="L984" s="12">
        <f t="shared" si="19"/>
        <v>0.68124123737558717</v>
      </c>
      <c r="M984" s="11">
        <f>GraphSalmonella!$B$10-(Salmonella!I984-GraphSalmonella!$B$6)/GraphSalmonella!$B$5</f>
        <v>-0.33944861654544384</v>
      </c>
      <c r="N984" s="1" t="s">
        <v>319</v>
      </c>
      <c r="O984">
        <v>2000</v>
      </c>
      <c r="P984" t="s">
        <v>366</v>
      </c>
      <c r="S984" s="10">
        <f>GraphSalmonella!$B$57*Salmonella!I984+GraphSalmonella!$B$58</f>
        <v>1.8887227816124508E-2</v>
      </c>
      <c r="T984" s="10">
        <f>GraphSalmonella!$E$57*Salmonella!I984+GraphSalmonella!$E$58</f>
        <v>2.8645493603406988</v>
      </c>
      <c r="U984" s="10">
        <f>GraphSalmonella!$H$57*Salmonella!I984+GraphSalmonella!$H$58</f>
        <v>-0.33844657348809815</v>
      </c>
      <c r="X984" s="10">
        <f>GraphSalmonella!$B$80*Salmonella!I984+GraphSalmonella!$B$81</f>
        <v>-0.33711855269166069</v>
      </c>
      <c r="Y984" s="10">
        <f>GraphSalmonella!$E$80*Salmonella!I984+GraphSalmonella!$E$81</f>
        <v>-0.33715070191578</v>
      </c>
      <c r="Z984" s="10">
        <f>GraphSalmonella!$H$80*Salmonella!I984+GraphSalmonella!$H$81</f>
        <v>-0.78147202794076787</v>
      </c>
    </row>
    <row r="985" spans="1:26" x14ac:dyDescent="0.2">
      <c r="A985" s="1" t="s">
        <v>66</v>
      </c>
      <c r="B985" s="1" t="s">
        <v>70</v>
      </c>
      <c r="D985" t="s">
        <v>44</v>
      </c>
      <c r="E985" s="1" t="s">
        <v>376</v>
      </c>
      <c r="G985" s="11" t="s">
        <v>522</v>
      </c>
      <c r="I985" s="4">
        <v>65.55</v>
      </c>
      <c r="J985" s="11">
        <v>2.66</v>
      </c>
      <c r="L985" s="12">
        <f t="shared" si="19"/>
        <v>0.42488163663106698</v>
      </c>
      <c r="M985" s="11">
        <f>GraphSalmonella!$B$10-(Salmonella!I985-GraphSalmonella!$B$6)/GraphSalmonella!$B$5</f>
        <v>-0.33944861654544384</v>
      </c>
      <c r="N985" s="1" t="s">
        <v>319</v>
      </c>
      <c r="O985">
        <v>2000</v>
      </c>
      <c r="P985" t="s">
        <v>366</v>
      </c>
      <c r="S985" s="10">
        <f>GraphSalmonella!$B$57*Salmonella!I985+GraphSalmonella!$B$58</f>
        <v>1.8887227816124508E-2</v>
      </c>
      <c r="T985" s="10">
        <f>GraphSalmonella!$E$57*Salmonella!I985+GraphSalmonella!$E$58</f>
        <v>2.8645493603406988</v>
      </c>
      <c r="U985" s="10">
        <f>GraphSalmonella!$H$57*Salmonella!I985+GraphSalmonella!$H$58</f>
        <v>-0.33844657348809815</v>
      </c>
      <c r="X985" s="10">
        <f>GraphSalmonella!$B$80*Salmonella!I985+GraphSalmonella!$B$81</f>
        <v>-0.33711855269166069</v>
      </c>
      <c r="Y985" s="10">
        <f>GraphSalmonella!$E$80*Salmonella!I985+GraphSalmonella!$E$81</f>
        <v>-0.33715070191578</v>
      </c>
      <c r="Z985" s="10">
        <f>GraphSalmonella!$H$80*Salmonella!I985+GraphSalmonella!$H$81</f>
        <v>-0.78147202794076787</v>
      </c>
    </row>
    <row r="986" spans="1:26" x14ac:dyDescent="0.2">
      <c r="A986" s="1" t="s">
        <v>66</v>
      </c>
      <c r="B986" s="1" t="s">
        <v>70</v>
      </c>
      <c r="D986" t="s">
        <v>44</v>
      </c>
      <c r="E986" s="1" t="s">
        <v>376</v>
      </c>
      <c r="G986" s="11" t="s">
        <v>512</v>
      </c>
      <c r="I986" s="4">
        <v>65.55</v>
      </c>
      <c r="J986" s="11">
        <v>0.83</v>
      </c>
      <c r="L986" s="12">
        <f t="shared" si="19"/>
        <v>-8.092190762392612E-2</v>
      </c>
      <c r="M986" s="11">
        <f>GraphSalmonella!$B$10-(Salmonella!I986-GraphSalmonella!$B$6)/GraphSalmonella!$B$5</f>
        <v>-0.33944861654544384</v>
      </c>
      <c r="N986" s="1" t="s">
        <v>319</v>
      </c>
      <c r="O986">
        <v>2000</v>
      </c>
      <c r="P986" t="s">
        <v>366</v>
      </c>
      <c r="S986" s="10">
        <f>GraphSalmonella!$B$57*Salmonella!I986+GraphSalmonella!$B$58</f>
        <v>1.8887227816124508E-2</v>
      </c>
      <c r="T986" s="10">
        <f>GraphSalmonella!$E$57*Salmonella!I986+GraphSalmonella!$E$58</f>
        <v>2.8645493603406988</v>
      </c>
      <c r="U986" s="10">
        <f>GraphSalmonella!$H$57*Salmonella!I986+GraphSalmonella!$H$58</f>
        <v>-0.33844657348809815</v>
      </c>
      <c r="X986" s="10">
        <f>GraphSalmonella!$B$80*Salmonella!I986+GraphSalmonella!$B$81</f>
        <v>-0.33711855269166069</v>
      </c>
      <c r="Y986" s="10">
        <f>GraphSalmonella!$E$80*Salmonella!I986+GraphSalmonella!$E$81</f>
        <v>-0.33715070191578</v>
      </c>
      <c r="Z986" s="10">
        <f>GraphSalmonella!$H$80*Salmonella!I986+GraphSalmonella!$H$81</f>
        <v>-0.78147202794076787</v>
      </c>
    </row>
    <row r="987" spans="1:26" x14ac:dyDescent="0.2">
      <c r="A987" s="1" t="s">
        <v>66</v>
      </c>
      <c r="B987" s="1" t="s">
        <v>70</v>
      </c>
      <c r="D987" t="s">
        <v>44</v>
      </c>
      <c r="E987" s="1" t="s">
        <v>376</v>
      </c>
      <c r="G987" s="11" t="s">
        <v>512</v>
      </c>
      <c r="I987" s="4">
        <v>65.55</v>
      </c>
      <c r="J987" s="11">
        <v>1.4</v>
      </c>
      <c r="L987" s="12">
        <f t="shared" si="19"/>
        <v>0.14612803567823801</v>
      </c>
      <c r="M987" s="11">
        <f>GraphSalmonella!$B$10-(Salmonella!I987-GraphSalmonella!$B$6)/GraphSalmonella!$B$5</f>
        <v>-0.33944861654544384</v>
      </c>
      <c r="N987" s="1" t="s">
        <v>319</v>
      </c>
      <c r="O987">
        <v>2000</v>
      </c>
      <c r="P987" t="s">
        <v>366</v>
      </c>
      <c r="S987" s="10">
        <f>GraphSalmonella!$B$57*Salmonella!I987+GraphSalmonella!$B$58</f>
        <v>1.8887227816124508E-2</v>
      </c>
      <c r="T987" s="10">
        <f>GraphSalmonella!$E$57*Salmonella!I987+GraphSalmonella!$E$58</f>
        <v>2.8645493603406988</v>
      </c>
      <c r="U987" s="10">
        <f>GraphSalmonella!$H$57*Salmonella!I987+GraphSalmonella!$H$58</f>
        <v>-0.33844657348809815</v>
      </c>
      <c r="X987" s="10">
        <f>GraphSalmonella!$B$80*Salmonella!I987+GraphSalmonella!$B$81</f>
        <v>-0.33711855269166069</v>
      </c>
      <c r="Y987" s="10">
        <f>GraphSalmonella!$E$80*Salmonella!I987+GraphSalmonella!$E$81</f>
        <v>-0.33715070191578</v>
      </c>
      <c r="Z987" s="10">
        <f>GraphSalmonella!$H$80*Salmonella!I987+GraphSalmonella!$H$81</f>
        <v>-0.78147202794076787</v>
      </c>
    </row>
    <row r="988" spans="1:26" x14ac:dyDescent="0.2">
      <c r="A988" s="1" t="s">
        <v>66</v>
      </c>
      <c r="B988" s="1" t="s">
        <v>70</v>
      </c>
      <c r="D988" t="s">
        <v>44</v>
      </c>
      <c r="E988" s="1" t="s">
        <v>376</v>
      </c>
      <c r="G988" s="11" t="s">
        <v>511</v>
      </c>
      <c r="I988" s="4">
        <v>65.55</v>
      </c>
      <c r="J988" s="11">
        <v>6.6000000000000003E-2</v>
      </c>
      <c r="L988" s="12">
        <f t="shared" si="19"/>
        <v>-1.1804560644581312</v>
      </c>
      <c r="M988" s="11">
        <f>GraphSalmonella!$B$10-(Salmonella!I988-GraphSalmonella!$B$6)/GraphSalmonella!$B$5</f>
        <v>-0.33944861654544384</v>
      </c>
      <c r="N988" s="1" t="s">
        <v>319</v>
      </c>
      <c r="O988">
        <v>2000</v>
      </c>
      <c r="P988" t="s">
        <v>366</v>
      </c>
      <c r="S988" s="10">
        <f>GraphSalmonella!$B$57*Salmonella!I988+GraphSalmonella!$B$58</f>
        <v>1.8887227816124508E-2</v>
      </c>
      <c r="T988" s="10">
        <f>GraphSalmonella!$E$57*Salmonella!I988+GraphSalmonella!$E$58</f>
        <v>2.8645493603406988</v>
      </c>
      <c r="U988" s="10">
        <f>GraphSalmonella!$H$57*Salmonella!I988+GraphSalmonella!$H$58</f>
        <v>-0.33844657348809815</v>
      </c>
      <c r="X988" s="10">
        <f>GraphSalmonella!$B$80*Salmonella!I988+GraphSalmonella!$B$81</f>
        <v>-0.33711855269166069</v>
      </c>
      <c r="Y988" s="10">
        <f>GraphSalmonella!$E$80*Salmonella!I988+GraphSalmonella!$E$81</f>
        <v>-0.33715070191578</v>
      </c>
      <c r="Z988" s="10">
        <f>GraphSalmonella!$H$80*Salmonella!I988+GraphSalmonella!$H$81</f>
        <v>-0.78147202794076787</v>
      </c>
    </row>
    <row r="989" spans="1:26" x14ac:dyDescent="0.2">
      <c r="A989" s="1" t="s">
        <v>66</v>
      </c>
      <c r="B989" s="1" t="s">
        <v>70</v>
      </c>
      <c r="D989" t="s">
        <v>44</v>
      </c>
      <c r="E989" s="1" t="s">
        <v>376</v>
      </c>
      <c r="G989" s="11" t="s">
        <v>511</v>
      </c>
      <c r="I989" s="4">
        <v>65.55</v>
      </c>
      <c r="J989" s="11">
        <v>0.28999999999999998</v>
      </c>
      <c r="L989" s="12">
        <f t="shared" si="19"/>
        <v>-0.53760200210104392</v>
      </c>
      <c r="M989" s="11">
        <f>GraphSalmonella!$B$10-(Salmonella!I989-GraphSalmonella!$B$6)/GraphSalmonella!$B$5</f>
        <v>-0.33944861654544384</v>
      </c>
      <c r="N989" s="1" t="s">
        <v>319</v>
      </c>
      <c r="O989">
        <v>2000</v>
      </c>
      <c r="P989" t="s">
        <v>366</v>
      </c>
      <c r="S989" s="10">
        <f>GraphSalmonella!$B$57*Salmonella!I989+GraphSalmonella!$B$58</f>
        <v>1.8887227816124508E-2</v>
      </c>
      <c r="T989" s="10">
        <f>GraphSalmonella!$E$57*Salmonella!I989+GraphSalmonella!$E$58</f>
        <v>2.8645493603406988</v>
      </c>
      <c r="U989" s="10">
        <f>GraphSalmonella!$H$57*Salmonella!I989+GraphSalmonella!$H$58</f>
        <v>-0.33844657348809815</v>
      </c>
      <c r="X989" s="10">
        <f>GraphSalmonella!$B$80*Salmonella!I989+GraphSalmonella!$B$81</f>
        <v>-0.33711855269166069</v>
      </c>
      <c r="Y989" s="10">
        <f>GraphSalmonella!$E$80*Salmonella!I989+GraphSalmonella!$E$81</f>
        <v>-0.33715070191578</v>
      </c>
      <c r="Z989" s="10">
        <f>GraphSalmonella!$H$80*Salmonella!I989+GraphSalmonella!$H$81</f>
        <v>-0.78147202794076787</v>
      </c>
    </row>
    <row r="990" spans="1:26" x14ac:dyDescent="0.2">
      <c r="A990" s="1" t="s">
        <v>66</v>
      </c>
      <c r="B990" s="1" t="s">
        <v>70</v>
      </c>
      <c r="D990" t="s">
        <v>44</v>
      </c>
      <c r="E990" s="1" t="s">
        <v>376</v>
      </c>
      <c r="G990" s="11" t="s">
        <v>524</v>
      </c>
      <c r="I990" s="4">
        <v>68.3</v>
      </c>
      <c r="J990" s="11">
        <v>17.399999999999999</v>
      </c>
      <c r="L990" s="12">
        <f t="shared" ref="L990:L1053" si="20">LOG(J990)</f>
        <v>1.2405492482825997</v>
      </c>
      <c r="M990" s="11">
        <f>GraphSalmonella!$B$10-(Salmonella!I990-GraphSalmonella!$B$6)/GraphSalmonella!$B$5</f>
        <v>-0.64203411927535625</v>
      </c>
      <c r="N990" s="1" t="s">
        <v>319</v>
      </c>
      <c r="O990">
        <v>2000</v>
      </c>
      <c r="P990" t="s">
        <v>366</v>
      </c>
      <c r="S990" s="10">
        <f>GraphSalmonella!$B$57*Salmonella!I990+GraphSalmonella!$B$58</f>
        <v>-0.14553601760260282</v>
      </c>
      <c r="T990" s="10">
        <f>GraphSalmonella!$E$57*Salmonella!I990+GraphSalmonella!$E$58</f>
        <v>2.7295394252557657</v>
      </c>
      <c r="U990" s="10">
        <f>GraphSalmonella!$H$57*Salmonella!I990+GraphSalmonella!$H$58</f>
        <v>-0.64096396166413427</v>
      </c>
      <c r="X990" s="10">
        <f>GraphSalmonella!$B$80*Salmonella!I990+GraphSalmonella!$B$81</f>
        <v>-0.63985059688033719</v>
      </c>
      <c r="Y990" s="10">
        <f>GraphSalmonella!$E$80*Salmonella!I990+GraphSalmonella!$E$81</f>
        <v>-0.64413132331711775</v>
      </c>
      <c r="Z990" s="10">
        <f>GraphSalmonella!$H$80*Salmonella!I990+GraphSalmonella!$H$81</f>
        <v>-1.136722151843558</v>
      </c>
    </row>
    <row r="991" spans="1:26" x14ac:dyDescent="0.2">
      <c r="A991" s="1" t="s">
        <v>66</v>
      </c>
      <c r="B991" s="1" t="s">
        <v>70</v>
      </c>
      <c r="D991" t="s">
        <v>44</v>
      </c>
      <c r="E991" s="1" t="s">
        <v>376</v>
      </c>
      <c r="G991" s="11" t="s">
        <v>514</v>
      </c>
      <c r="I991" s="4">
        <v>68.3</v>
      </c>
      <c r="J991" s="11">
        <v>7.3</v>
      </c>
      <c r="L991" s="12">
        <f t="shared" si="20"/>
        <v>0.86332286012045589</v>
      </c>
      <c r="M991" s="11">
        <f>GraphSalmonella!$B$10-(Salmonella!I991-GraphSalmonella!$B$6)/GraphSalmonella!$B$5</f>
        <v>-0.64203411927535625</v>
      </c>
      <c r="N991" s="1" t="s">
        <v>319</v>
      </c>
      <c r="O991">
        <v>2000</v>
      </c>
      <c r="P991" t="s">
        <v>366</v>
      </c>
      <c r="S991" s="10">
        <f>GraphSalmonella!$B$57*Salmonella!I991+GraphSalmonella!$B$58</f>
        <v>-0.14553601760260282</v>
      </c>
      <c r="T991" s="10">
        <f>GraphSalmonella!$E$57*Salmonella!I991+GraphSalmonella!$E$58</f>
        <v>2.7295394252557657</v>
      </c>
      <c r="U991" s="10">
        <f>GraphSalmonella!$H$57*Salmonella!I991+GraphSalmonella!$H$58</f>
        <v>-0.64096396166413427</v>
      </c>
      <c r="X991" s="10">
        <f>GraphSalmonella!$B$80*Salmonella!I991+GraphSalmonella!$B$81</f>
        <v>-0.63985059688033719</v>
      </c>
      <c r="Y991" s="10">
        <f>GraphSalmonella!$E$80*Salmonella!I991+GraphSalmonella!$E$81</f>
        <v>-0.64413132331711775</v>
      </c>
      <c r="Z991" s="10">
        <f>GraphSalmonella!$H$80*Salmonella!I991+GraphSalmonella!$H$81</f>
        <v>-1.136722151843558</v>
      </c>
    </row>
    <row r="992" spans="1:26" x14ac:dyDescent="0.2">
      <c r="A992" s="1" t="s">
        <v>66</v>
      </c>
      <c r="B992" s="1" t="s">
        <v>70</v>
      </c>
      <c r="D992" t="s">
        <v>44</v>
      </c>
      <c r="E992" s="1" t="s">
        <v>376</v>
      </c>
      <c r="G992" s="11" t="s">
        <v>523</v>
      </c>
      <c r="I992" s="4">
        <v>68.3</v>
      </c>
      <c r="J992" s="11">
        <v>1.9</v>
      </c>
      <c r="L992" s="12">
        <f t="shared" si="20"/>
        <v>0.27875360095282892</v>
      </c>
      <c r="M992" s="11">
        <f>GraphSalmonella!$B$10-(Salmonella!I992-GraphSalmonella!$B$6)/GraphSalmonella!$B$5</f>
        <v>-0.64203411927535625</v>
      </c>
      <c r="N992" s="1" t="s">
        <v>319</v>
      </c>
      <c r="O992">
        <v>2000</v>
      </c>
      <c r="P992" t="s">
        <v>366</v>
      </c>
      <c r="S992" s="10">
        <f>GraphSalmonella!$B$57*Salmonella!I992+GraphSalmonella!$B$58</f>
        <v>-0.14553601760260282</v>
      </c>
      <c r="T992" s="10">
        <f>GraphSalmonella!$E$57*Salmonella!I992+GraphSalmonella!$E$58</f>
        <v>2.7295394252557657</v>
      </c>
      <c r="U992" s="10">
        <f>GraphSalmonella!$H$57*Salmonella!I992+GraphSalmonella!$H$58</f>
        <v>-0.64096396166413427</v>
      </c>
      <c r="X992" s="10">
        <f>GraphSalmonella!$B$80*Salmonella!I992+GraphSalmonella!$B$81</f>
        <v>-0.63985059688033719</v>
      </c>
      <c r="Y992" s="10">
        <f>GraphSalmonella!$E$80*Salmonella!I992+GraphSalmonella!$E$81</f>
        <v>-0.64413132331711775</v>
      </c>
      <c r="Z992" s="10">
        <f>GraphSalmonella!$H$80*Salmonella!I992+GraphSalmonella!$H$81</f>
        <v>-1.136722151843558</v>
      </c>
    </row>
    <row r="993" spans="1:26" x14ac:dyDescent="0.2">
      <c r="A993" s="1" t="s">
        <v>66</v>
      </c>
      <c r="B993" s="1" t="s">
        <v>70</v>
      </c>
      <c r="D993" t="s">
        <v>44</v>
      </c>
      <c r="E993" s="1" t="s">
        <v>376</v>
      </c>
      <c r="G993" s="11" t="s">
        <v>512</v>
      </c>
      <c r="I993" s="4">
        <v>68.3</v>
      </c>
      <c r="J993" s="11">
        <v>0.61</v>
      </c>
      <c r="L993" s="12">
        <f t="shared" si="20"/>
        <v>-0.21467016498923297</v>
      </c>
      <c r="M993" s="11">
        <f>GraphSalmonella!$B$10-(Salmonella!I993-GraphSalmonella!$B$6)/GraphSalmonella!$B$5</f>
        <v>-0.64203411927535625</v>
      </c>
      <c r="N993" s="1" t="s">
        <v>319</v>
      </c>
      <c r="O993">
        <v>2000</v>
      </c>
      <c r="P993" t="s">
        <v>366</v>
      </c>
      <c r="S993" s="10">
        <f>GraphSalmonella!$B$57*Salmonella!I993+GraphSalmonella!$B$58</f>
        <v>-0.14553601760260282</v>
      </c>
      <c r="T993" s="10">
        <f>GraphSalmonella!$E$57*Salmonella!I993+GraphSalmonella!$E$58</f>
        <v>2.7295394252557657</v>
      </c>
      <c r="U993" s="10">
        <f>GraphSalmonella!$H$57*Salmonella!I993+GraphSalmonella!$H$58</f>
        <v>-0.64096396166413427</v>
      </c>
      <c r="X993" s="10">
        <f>GraphSalmonella!$B$80*Salmonella!I993+GraphSalmonella!$B$81</f>
        <v>-0.63985059688033719</v>
      </c>
      <c r="Y993" s="10">
        <f>GraphSalmonella!$E$80*Salmonella!I993+GraphSalmonella!$E$81</f>
        <v>-0.64413132331711775</v>
      </c>
      <c r="Z993" s="10">
        <f>GraphSalmonella!$H$80*Salmonella!I993+GraphSalmonella!$H$81</f>
        <v>-1.136722151843558</v>
      </c>
    </row>
    <row r="994" spans="1:26" x14ac:dyDescent="0.2">
      <c r="A994" s="1" t="s">
        <v>66</v>
      </c>
      <c r="B994" s="1" t="s">
        <v>70</v>
      </c>
      <c r="D994" t="s">
        <v>44</v>
      </c>
      <c r="E994" s="1" t="s">
        <v>376</v>
      </c>
      <c r="G994" s="11" t="s">
        <v>511</v>
      </c>
      <c r="I994" s="4">
        <v>68.3</v>
      </c>
      <c r="J994" s="11">
        <v>0.12</v>
      </c>
      <c r="L994" s="12">
        <f t="shared" si="20"/>
        <v>-0.92081875395237522</v>
      </c>
      <c r="M994" s="11">
        <f>GraphSalmonella!$B$10-(Salmonella!I994-GraphSalmonella!$B$6)/GraphSalmonella!$B$5</f>
        <v>-0.64203411927535625</v>
      </c>
      <c r="N994" s="1" t="s">
        <v>319</v>
      </c>
      <c r="O994">
        <v>2000</v>
      </c>
      <c r="P994" t="s">
        <v>366</v>
      </c>
      <c r="S994" s="10">
        <f>GraphSalmonella!$B$57*Salmonella!I994+GraphSalmonella!$B$58</f>
        <v>-0.14553601760260282</v>
      </c>
      <c r="T994" s="10">
        <f>GraphSalmonella!$E$57*Salmonella!I994+GraphSalmonella!$E$58</f>
        <v>2.7295394252557657</v>
      </c>
      <c r="U994" s="10">
        <f>GraphSalmonella!$H$57*Salmonella!I994+GraphSalmonella!$H$58</f>
        <v>-0.64096396166413427</v>
      </c>
      <c r="X994" s="10">
        <f>GraphSalmonella!$B$80*Salmonella!I994+GraphSalmonella!$B$81</f>
        <v>-0.63985059688033719</v>
      </c>
      <c r="Y994" s="10">
        <f>GraphSalmonella!$E$80*Salmonella!I994+GraphSalmonella!$E$81</f>
        <v>-0.64413132331711775</v>
      </c>
      <c r="Z994" s="10">
        <f>GraphSalmonella!$H$80*Salmonella!I994+GraphSalmonella!$H$81</f>
        <v>-1.136722151843558</v>
      </c>
    </row>
    <row r="995" spans="1:26" x14ac:dyDescent="0.2">
      <c r="A995" s="1" t="s">
        <v>66</v>
      </c>
      <c r="B995" s="1" t="s">
        <v>70</v>
      </c>
      <c r="D995" t="s">
        <v>44</v>
      </c>
      <c r="E995" s="1" t="s">
        <v>376</v>
      </c>
      <c r="G995" s="11" t="s">
        <v>514</v>
      </c>
      <c r="I995" s="4">
        <v>70</v>
      </c>
      <c r="J995" s="11">
        <v>2.8</v>
      </c>
      <c r="L995" s="12">
        <f t="shared" si="20"/>
        <v>0.44715803134221921</v>
      </c>
      <c r="M995" s="11">
        <f>GraphSalmonella!$B$10-(Salmonella!I995-GraphSalmonella!$B$6)/GraphSalmonella!$B$5</f>
        <v>-0.82908697550839339</v>
      </c>
      <c r="N995" s="1" t="s">
        <v>319</v>
      </c>
      <c r="O995">
        <v>2000</v>
      </c>
      <c r="P995" t="s">
        <v>366</v>
      </c>
      <c r="S995" s="10">
        <f>GraphSalmonella!$B$57*Salmonella!I995+GraphSalmonella!$B$58</f>
        <v>-0.2471794784069079</v>
      </c>
      <c r="T995" s="10">
        <f>GraphSalmonella!$E$57*Salmonella!I995+GraphSalmonella!$E$58</f>
        <v>2.6460787381123523</v>
      </c>
      <c r="U995" s="10">
        <f>GraphSalmonella!$H$57*Salmonella!I995+GraphSalmonella!$H$58</f>
        <v>-0.82797471071841144</v>
      </c>
      <c r="X995" s="10">
        <f>GraphSalmonella!$B$80*Salmonella!I995+GraphSalmonella!$B$81</f>
        <v>-0.82699404237879115</v>
      </c>
      <c r="Y995" s="10">
        <f>GraphSalmonella!$E$80*Salmonella!I995+GraphSalmonella!$E$81</f>
        <v>-0.83390116200158193</v>
      </c>
      <c r="Z995" s="10">
        <f>GraphSalmonella!$H$80*Salmonella!I995+GraphSalmonella!$H$81</f>
        <v>-1.3563313193471016</v>
      </c>
    </row>
    <row r="996" spans="1:26" x14ac:dyDescent="0.2">
      <c r="A996" s="1" t="s">
        <v>66</v>
      </c>
      <c r="B996" s="1" t="s">
        <v>70</v>
      </c>
      <c r="D996" t="s">
        <v>44</v>
      </c>
      <c r="E996" s="1" t="s">
        <v>376</v>
      </c>
      <c r="G996" s="11" t="s">
        <v>523</v>
      </c>
      <c r="I996" s="4">
        <v>70</v>
      </c>
      <c r="J996" s="11">
        <v>0.99</v>
      </c>
      <c r="L996" s="12">
        <f t="shared" si="20"/>
        <v>-4.3648054024500883E-3</v>
      </c>
      <c r="M996" s="11">
        <f>GraphSalmonella!$B$10-(Salmonella!I996-GraphSalmonella!$B$6)/GraphSalmonella!$B$5</f>
        <v>-0.82908697550839339</v>
      </c>
      <c r="N996" s="1" t="s">
        <v>319</v>
      </c>
      <c r="O996">
        <v>2000</v>
      </c>
      <c r="P996" t="s">
        <v>366</v>
      </c>
      <c r="S996" s="10">
        <f>GraphSalmonella!$B$57*Salmonella!I996+GraphSalmonella!$B$58</f>
        <v>-0.2471794784069079</v>
      </c>
      <c r="T996" s="10">
        <f>GraphSalmonella!$E$57*Salmonella!I996+GraphSalmonella!$E$58</f>
        <v>2.6460787381123523</v>
      </c>
      <c r="U996" s="10">
        <f>GraphSalmonella!$H$57*Salmonella!I996+GraphSalmonella!$H$58</f>
        <v>-0.82797471071841144</v>
      </c>
      <c r="X996" s="10">
        <f>GraphSalmonella!$B$80*Salmonella!I996+GraphSalmonella!$B$81</f>
        <v>-0.82699404237879115</v>
      </c>
      <c r="Y996" s="10">
        <f>GraphSalmonella!$E$80*Salmonella!I996+GraphSalmonella!$E$81</f>
        <v>-0.83390116200158193</v>
      </c>
      <c r="Z996" s="10">
        <f>GraphSalmonella!$H$80*Salmonella!I996+GraphSalmonella!$H$81</f>
        <v>-1.3563313193471016</v>
      </c>
    </row>
    <row r="997" spans="1:26" x14ac:dyDescent="0.2">
      <c r="A997" s="1" t="s">
        <v>66</v>
      </c>
      <c r="B997" s="1" t="s">
        <v>70</v>
      </c>
      <c r="D997" t="s">
        <v>44</v>
      </c>
      <c r="E997" s="1" t="s">
        <v>376</v>
      </c>
      <c r="G997" s="11" t="s">
        <v>522</v>
      </c>
      <c r="I997" s="4">
        <v>70</v>
      </c>
      <c r="J997" s="11">
        <v>0.6</v>
      </c>
      <c r="L997" s="12">
        <f t="shared" si="20"/>
        <v>-0.22184874961635639</v>
      </c>
      <c r="M997" s="11">
        <f>GraphSalmonella!$B$10-(Salmonella!I997-GraphSalmonella!$B$6)/GraphSalmonella!$B$5</f>
        <v>-0.82908697550839339</v>
      </c>
      <c r="N997" s="1" t="s">
        <v>319</v>
      </c>
      <c r="O997">
        <v>2000</v>
      </c>
      <c r="P997" t="s">
        <v>366</v>
      </c>
      <c r="S997" s="10">
        <f>GraphSalmonella!$B$57*Salmonella!I997+GraphSalmonella!$B$58</f>
        <v>-0.2471794784069079</v>
      </c>
      <c r="T997" s="10">
        <f>GraphSalmonella!$E$57*Salmonella!I997+GraphSalmonella!$E$58</f>
        <v>2.6460787381123523</v>
      </c>
      <c r="U997" s="10">
        <f>GraphSalmonella!$H$57*Salmonella!I997+GraphSalmonella!$H$58</f>
        <v>-0.82797471071841144</v>
      </c>
      <c r="X997" s="10">
        <f>GraphSalmonella!$B$80*Salmonella!I997+GraphSalmonella!$B$81</f>
        <v>-0.82699404237879115</v>
      </c>
      <c r="Y997" s="10">
        <f>GraphSalmonella!$E$80*Salmonella!I997+GraphSalmonella!$E$81</f>
        <v>-0.83390116200158193</v>
      </c>
      <c r="Z997" s="10">
        <f>GraphSalmonella!$H$80*Salmonella!I997+GraphSalmonella!$H$81</f>
        <v>-1.3563313193471016</v>
      </c>
    </row>
    <row r="998" spans="1:26" x14ac:dyDescent="0.2">
      <c r="A998" s="1" t="s">
        <v>66</v>
      </c>
      <c r="B998" s="1" t="s">
        <v>70</v>
      </c>
      <c r="D998" t="s">
        <v>44</v>
      </c>
      <c r="E998" s="1" t="s">
        <v>376</v>
      </c>
      <c r="G998" s="11" t="s">
        <v>512</v>
      </c>
      <c r="I998" s="4">
        <v>70</v>
      </c>
      <c r="J998" s="11">
        <v>0.3</v>
      </c>
      <c r="L998" s="12">
        <f t="shared" si="20"/>
        <v>-0.52287874528033762</v>
      </c>
      <c r="M998" s="11">
        <f>GraphSalmonella!$B$10-(Salmonella!I998-GraphSalmonella!$B$6)/GraphSalmonella!$B$5</f>
        <v>-0.82908697550839339</v>
      </c>
      <c r="N998" s="1" t="s">
        <v>319</v>
      </c>
      <c r="O998">
        <v>2000</v>
      </c>
      <c r="P998" t="s">
        <v>366</v>
      </c>
      <c r="S998" s="10">
        <f>GraphSalmonella!$B$57*Salmonella!I998+GraphSalmonella!$B$58</f>
        <v>-0.2471794784069079</v>
      </c>
      <c r="T998" s="10">
        <f>GraphSalmonella!$E$57*Salmonella!I998+GraphSalmonella!$E$58</f>
        <v>2.6460787381123523</v>
      </c>
      <c r="U998" s="10">
        <f>GraphSalmonella!$H$57*Salmonella!I998+GraphSalmonella!$H$58</f>
        <v>-0.82797471071841144</v>
      </c>
      <c r="X998" s="10">
        <f>GraphSalmonella!$B$80*Salmonella!I998+GraphSalmonella!$B$81</f>
        <v>-0.82699404237879115</v>
      </c>
      <c r="Y998" s="10">
        <f>GraphSalmonella!$E$80*Salmonella!I998+GraphSalmonella!$E$81</f>
        <v>-0.83390116200158193</v>
      </c>
      <c r="Z998" s="10">
        <f>GraphSalmonella!$H$80*Salmonella!I998+GraphSalmonella!$H$81</f>
        <v>-1.3563313193471016</v>
      </c>
    </row>
    <row r="999" spans="1:26" x14ac:dyDescent="0.2">
      <c r="A999" s="1" t="s">
        <v>66</v>
      </c>
      <c r="B999" s="1" t="s">
        <v>70</v>
      </c>
      <c r="D999" t="s">
        <v>44</v>
      </c>
      <c r="E999" s="1" t="s">
        <v>376</v>
      </c>
      <c r="G999" s="11" t="s">
        <v>524</v>
      </c>
      <c r="I999" s="4">
        <v>71.099999999999994</v>
      </c>
      <c r="J999" s="11">
        <v>7.5</v>
      </c>
      <c r="L999" s="12">
        <f t="shared" si="20"/>
        <v>0.87506126339170009</v>
      </c>
      <c r="M999" s="11">
        <f>GraphSalmonella!$B$10-(Salmonella!I999-GraphSalmonella!$B$6)/GraphSalmonella!$B$5</f>
        <v>-0.95012117660035778</v>
      </c>
      <c r="N999" s="1" t="s">
        <v>319</v>
      </c>
      <c r="O999">
        <v>2000</v>
      </c>
      <c r="P999" t="s">
        <v>366</v>
      </c>
      <c r="S999" s="10">
        <f>GraphSalmonella!$B$57*Salmonella!I999+GraphSalmonella!$B$58</f>
        <v>-0.31294877657439812</v>
      </c>
      <c r="T999" s="10">
        <f>GraphSalmonella!$E$57*Salmonella!I999+GraphSalmonella!$E$58</f>
        <v>2.592074764078379</v>
      </c>
      <c r="U999" s="10">
        <f>GraphSalmonella!$H$57*Salmonella!I999+GraphSalmonella!$H$58</f>
        <v>-0.94898166598882572</v>
      </c>
      <c r="X999" s="10">
        <f>GraphSalmonella!$B$80*Salmonella!I999+GraphSalmonella!$B$81</f>
        <v>-0.94808686005426157</v>
      </c>
      <c r="Y999" s="10">
        <f>GraphSalmonella!$E$80*Salmonella!I999+GraphSalmonella!$E$81</f>
        <v>-0.95669341056211721</v>
      </c>
      <c r="Z999" s="10">
        <f>GraphSalmonella!$H$80*Salmonella!I999+GraphSalmonella!$H$81</f>
        <v>-1.4984313689082169</v>
      </c>
    </row>
    <row r="1000" spans="1:26" x14ac:dyDescent="0.2">
      <c r="A1000" s="1" t="s">
        <v>66</v>
      </c>
      <c r="B1000" s="1" t="s">
        <v>70</v>
      </c>
      <c r="D1000" t="s">
        <v>44</v>
      </c>
      <c r="E1000" s="1" t="s">
        <v>376</v>
      </c>
      <c r="G1000" s="11" t="s">
        <v>514</v>
      </c>
      <c r="I1000" s="4">
        <v>71.099999999999994</v>
      </c>
      <c r="J1000" s="11">
        <v>2.8</v>
      </c>
      <c r="L1000" s="12">
        <f t="shared" si="20"/>
        <v>0.44715803134221921</v>
      </c>
      <c r="M1000" s="11">
        <f>GraphSalmonella!$B$10-(Salmonella!I1000-GraphSalmonella!$B$6)/GraphSalmonella!$B$5</f>
        <v>-0.95012117660035778</v>
      </c>
      <c r="N1000" s="1" t="s">
        <v>319</v>
      </c>
      <c r="O1000">
        <v>2000</v>
      </c>
      <c r="P1000" t="s">
        <v>366</v>
      </c>
      <c r="S1000" s="10">
        <f>GraphSalmonella!$B$57*Salmonella!I1000+GraphSalmonella!$B$58</f>
        <v>-0.31294877657439812</v>
      </c>
      <c r="T1000" s="10">
        <f>GraphSalmonella!$E$57*Salmonella!I1000+GraphSalmonella!$E$58</f>
        <v>2.592074764078379</v>
      </c>
      <c r="U1000" s="10">
        <f>GraphSalmonella!$H$57*Salmonella!I1000+GraphSalmonella!$H$58</f>
        <v>-0.94898166598882572</v>
      </c>
      <c r="X1000" s="10">
        <f>GraphSalmonella!$B$80*Salmonella!I1000+GraphSalmonella!$B$81</f>
        <v>-0.94808686005426157</v>
      </c>
      <c r="Y1000" s="10">
        <f>GraphSalmonella!$E$80*Salmonella!I1000+GraphSalmonella!$E$81</f>
        <v>-0.95669341056211721</v>
      </c>
      <c r="Z1000" s="10">
        <f>GraphSalmonella!$H$80*Salmonella!I1000+GraphSalmonella!$H$81</f>
        <v>-1.4984313689082169</v>
      </c>
    </row>
    <row r="1001" spans="1:26" x14ac:dyDescent="0.2">
      <c r="A1001" s="1" t="s">
        <v>66</v>
      </c>
      <c r="B1001" s="1" t="s">
        <v>70</v>
      </c>
      <c r="D1001" t="s">
        <v>44</v>
      </c>
      <c r="E1001" s="1" t="s">
        <v>376</v>
      </c>
      <c r="G1001" s="11" t="s">
        <v>523</v>
      </c>
      <c r="I1001" s="4">
        <v>71.099999999999994</v>
      </c>
      <c r="J1001" s="11">
        <v>0.74</v>
      </c>
      <c r="L1001" s="12">
        <f t="shared" si="20"/>
        <v>-0.13076828026902382</v>
      </c>
      <c r="M1001" s="11">
        <f>GraphSalmonella!$B$10-(Salmonella!I1001-GraphSalmonella!$B$6)/GraphSalmonella!$B$5</f>
        <v>-0.95012117660035778</v>
      </c>
      <c r="N1001" s="1" t="s">
        <v>319</v>
      </c>
      <c r="O1001">
        <v>2000</v>
      </c>
      <c r="P1001" t="s">
        <v>366</v>
      </c>
      <c r="S1001" s="10">
        <f>GraphSalmonella!$B$57*Salmonella!I1001+GraphSalmonella!$B$58</f>
        <v>-0.31294877657439812</v>
      </c>
      <c r="T1001" s="10">
        <f>GraphSalmonella!$E$57*Salmonella!I1001+GraphSalmonella!$E$58</f>
        <v>2.592074764078379</v>
      </c>
      <c r="U1001" s="10">
        <f>GraphSalmonella!$H$57*Salmonella!I1001+GraphSalmonella!$H$58</f>
        <v>-0.94898166598882572</v>
      </c>
      <c r="X1001" s="10">
        <f>GraphSalmonella!$B$80*Salmonella!I1001+GraphSalmonella!$B$81</f>
        <v>-0.94808686005426157</v>
      </c>
      <c r="Y1001" s="10">
        <f>GraphSalmonella!$E$80*Salmonella!I1001+GraphSalmonella!$E$81</f>
        <v>-0.95669341056211721</v>
      </c>
      <c r="Z1001" s="10">
        <f>GraphSalmonella!$H$80*Salmonella!I1001+GraphSalmonella!$H$81</f>
        <v>-1.4984313689082169</v>
      </c>
    </row>
    <row r="1002" spans="1:26" x14ac:dyDescent="0.2">
      <c r="A1002" s="1" t="s">
        <v>66</v>
      </c>
      <c r="B1002" s="1" t="s">
        <v>70</v>
      </c>
      <c r="D1002" t="s">
        <v>44</v>
      </c>
      <c r="E1002" s="1" t="s">
        <v>376</v>
      </c>
      <c r="G1002" s="11" t="s">
        <v>512</v>
      </c>
      <c r="I1002" s="4">
        <v>71.099999999999994</v>
      </c>
      <c r="J1002" s="11">
        <v>0.27</v>
      </c>
      <c r="L1002" s="12">
        <f t="shared" si="20"/>
        <v>-0.56863623584101264</v>
      </c>
      <c r="M1002" s="11">
        <f>GraphSalmonella!$B$10-(Salmonella!I1002-GraphSalmonella!$B$6)/GraphSalmonella!$B$5</f>
        <v>-0.95012117660035778</v>
      </c>
      <c r="N1002" s="1" t="s">
        <v>319</v>
      </c>
      <c r="O1002">
        <v>2000</v>
      </c>
      <c r="P1002" t="s">
        <v>366</v>
      </c>
      <c r="S1002" s="10">
        <f>GraphSalmonella!$B$57*Salmonella!I1002+GraphSalmonella!$B$58</f>
        <v>-0.31294877657439812</v>
      </c>
      <c r="T1002" s="10">
        <f>GraphSalmonella!$E$57*Salmonella!I1002+GraphSalmonella!$E$58</f>
        <v>2.592074764078379</v>
      </c>
      <c r="U1002" s="10">
        <f>GraphSalmonella!$H$57*Salmonella!I1002+GraphSalmonella!$H$58</f>
        <v>-0.94898166598882572</v>
      </c>
      <c r="X1002" s="10">
        <f>GraphSalmonella!$B$80*Salmonella!I1002+GraphSalmonella!$B$81</f>
        <v>-0.94808686005426157</v>
      </c>
      <c r="Y1002" s="10">
        <f>GraphSalmonella!$E$80*Salmonella!I1002+GraphSalmonella!$E$81</f>
        <v>-0.95669341056211721</v>
      </c>
      <c r="Z1002" s="10">
        <f>GraphSalmonella!$H$80*Salmonella!I1002+GraphSalmonella!$H$81</f>
        <v>-1.4984313689082169</v>
      </c>
    </row>
    <row r="1003" spans="1:26" x14ac:dyDescent="0.2">
      <c r="A1003" s="1" t="s">
        <v>66</v>
      </c>
      <c r="B1003" s="1" t="s">
        <v>70</v>
      </c>
      <c r="D1003" t="s">
        <v>44</v>
      </c>
      <c r="E1003" s="1" t="s">
        <v>376</v>
      </c>
      <c r="G1003" s="11" t="s">
        <v>511</v>
      </c>
      <c r="I1003" s="4">
        <v>71.099999999999994</v>
      </c>
      <c r="J1003" s="11">
        <v>0.05</v>
      </c>
      <c r="L1003" s="12">
        <f t="shared" si="20"/>
        <v>-1.3010299956639813</v>
      </c>
      <c r="M1003" s="11">
        <f>GraphSalmonella!$B$10-(Salmonella!I1003-GraphSalmonella!$B$6)/GraphSalmonella!$B$5</f>
        <v>-0.95012117660035778</v>
      </c>
      <c r="N1003" s="1" t="s">
        <v>319</v>
      </c>
      <c r="O1003">
        <v>2000</v>
      </c>
      <c r="P1003" t="s">
        <v>366</v>
      </c>
      <c r="S1003" s="10">
        <f>GraphSalmonella!$B$57*Salmonella!I1003+GraphSalmonella!$B$58</f>
        <v>-0.31294877657439812</v>
      </c>
      <c r="T1003" s="10">
        <f>GraphSalmonella!$E$57*Salmonella!I1003+GraphSalmonella!$E$58</f>
        <v>2.592074764078379</v>
      </c>
      <c r="U1003" s="10">
        <f>GraphSalmonella!$H$57*Salmonella!I1003+GraphSalmonella!$H$58</f>
        <v>-0.94898166598882572</v>
      </c>
      <c r="X1003" s="10">
        <f>GraphSalmonella!$B$80*Salmonella!I1003+GraphSalmonella!$B$81</f>
        <v>-0.94808686005426157</v>
      </c>
      <c r="Y1003" s="10">
        <f>GraphSalmonella!$E$80*Salmonella!I1003+GraphSalmonella!$E$81</f>
        <v>-0.95669341056211721</v>
      </c>
      <c r="Z1003" s="10">
        <f>GraphSalmonella!$H$80*Salmonella!I1003+GraphSalmonella!$H$81</f>
        <v>-1.4984313689082169</v>
      </c>
    </row>
    <row r="1004" spans="1:26" x14ac:dyDescent="0.2">
      <c r="A1004" s="1" t="s">
        <v>66</v>
      </c>
      <c r="B1004" s="1" t="s">
        <v>70</v>
      </c>
      <c r="D1004" t="s">
        <v>44</v>
      </c>
      <c r="E1004" s="1" t="s">
        <v>376</v>
      </c>
      <c r="G1004" s="11" t="s">
        <v>524</v>
      </c>
      <c r="I1004" s="4">
        <v>73.900000000000006</v>
      </c>
      <c r="J1004" s="11">
        <v>3.3</v>
      </c>
      <c r="L1004" s="12">
        <f t="shared" si="20"/>
        <v>0.51851393987788741</v>
      </c>
      <c r="M1004" s="11">
        <f>GraphSalmonella!$B$10-(Salmonella!I1004-GraphSalmonella!$B$6)/GraphSalmonella!$B$5</f>
        <v>-1.2582082339253606</v>
      </c>
      <c r="N1004" s="1" t="s">
        <v>319</v>
      </c>
      <c r="O1004">
        <v>2000</v>
      </c>
      <c r="P1004" t="s">
        <v>366</v>
      </c>
      <c r="S1004" s="10">
        <f>GraphSalmonella!$B$57*Salmonella!I1004+GraphSalmonella!$B$58</f>
        <v>-0.48036153554619432</v>
      </c>
      <c r="T1004" s="10">
        <f>GraphSalmonella!$E$57*Salmonella!I1004+GraphSalmonella!$E$58</f>
        <v>2.4546101029009924</v>
      </c>
      <c r="U1004" s="10">
        <f>GraphSalmonella!$H$57*Salmonella!I1004+GraphSalmonella!$H$58</f>
        <v>-1.2569993703135189</v>
      </c>
      <c r="X1004" s="10">
        <f>GraphSalmonella!$B$80*Salmonella!I1004+GraphSalmonella!$B$81</f>
        <v>-1.2563231232281877</v>
      </c>
      <c r="Y1004" s="10">
        <f>GraphSalmonella!$E$80*Salmonella!I1004+GraphSalmonella!$E$81</f>
        <v>-1.2692554978071175</v>
      </c>
      <c r="Z1004" s="10">
        <f>GraphSalmonella!$H$80*Salmonella!I1004+GraphSalmonella!$H$81</f>
        <v>-1.8601405859728777</v>
      </c>
    </row>
    <row r="1005" spans="1:26" x14ac:dyDescent="0.2">
      <c r="A1005" s="1" t="s">
        <v>66</v>
      </c>
      <c r="B1005" s="1" t="s">
        <v>70</v>
      </c>
      <c r="D1005" t="s">
        <v>44</v>
      </c>
      <c r="E1005" s="1" t="s">
        <v>376</v>
      </c>
      <c r="G1005" s="11" t="s">
        <v>514</v>
      </c>
      <c r="I1005" s="4">
        <v>73.900000000000006</v>
      </c>
      <c r="J1005" s="11">
        <v>1.1000000000000001</v>
      </c>
      <c r="L1005" s="12">
        <f t="shared" si="20"/>
        <v>4.1392685158225077E-2</v>
      </c>
      <c r="M1005" s="11">
        <f>GraphSalmonella!$B$10-(Salmonella!I1005-GraphSalmonella!$B$6)/GraphSalmonella!$B$5</f>
        <v>-1.2582082339253606</v>
      </c>
      <c r="N1005" s="1" t="s">
        <v>319</v>
      </c>
      <c r="O1005">
        <v>2000</v>
      </c>
      <c r="P1005" t="s">
        <v>366</v>
      </c>
      <c r="S1005" s="10">
        <f>GraphSalmonella!$B$57*Salmonella!I1005+GraphSalmonella!$B$58</f>
        <v>-0.48036153554619432</v>
      </c>
      <c r="T1005" s="10">
        <f>GraphSalmonella!$E$57*Salmonella!I1005+GraphSalmonella!$E$58</f>
        <v>2.4546101029009924</v>
      </c>
      <c r="U1005" s="10">
        <f>GraphSalmonella!$H$57*Salmonella!I1005+GraphSalmonella!$H$58</f>
        <v>-1.2569993703135189</v>
      </c>
      <c r="X1005" s="10">
        <f>GraphSalmonella!$B$80*Salmonella!I1005+GraphSalmonella!$B$81</f>
        <v>-1.2563231232281877</v>
      </c>
      <c r="Y1005" s="10">
        <f>GraphSalmonella!$E$80*Salmonella!I1005+GraphSalmonella!$E$81</f>
        <v>-1.2692554978071175</v>
      </c>
      <c r="Z1005" s="10">
        <f>GraphSalmonella!$H$80*Salmonella!I1005+GraphSalmonella!$H$81</f>
        <v>-1.8601405859728777</v>
      </c>
    </row>
    <row r="1006" spans="1:26" x14ac:dyDescent="0.2">
      <c r="A1006" s="1" t="s">
        <v>66</v>
      </c>
      <c r="B1006" s="1" t="s">
        <v>70</v>
      </c>
      <c r="D1006" t="s">
        <v>44</v>
      </c>
      <c r="E1006" s="1" t="s">
        <v>376</v>
      </c>
      <c r="G1006" s="11" t="s">
        <v>523</v>
      </c>
      <c r="I1006" s="4">
        <v>73.900000000000006</v>
      </c>
      <c r="J1006" s="11">
        <v>0.28999999999999998</v>
      </c>
      <c r="L1006" s="12">
        <f t="shared" si="20"/>
        <v>-0.53760200210104392</v>
      </c>
      <c r="M1006" s="11">
        <f>GraphSalmonella!$B$10-(Salmonella!I1006-GraphSalmonella!$B$6)/GraphSalmonella!$B$5</f>
        <v>-1.2582082339253606</v>
      </c>
      <c r="N1006" s="1" t="s">
        <v>319</v>
      </c>
      <c r="O1006">
        <v>2000</v>
      </c>
      <c r="P1006" t="s">
        <v>366</v>
      </c>
      <c r="S1006" s="10">
        <f>GraphSalmonella!$B$57*Salmonella!I1006+GraphSalmonella!$B$58</f>
        <v>-0.48036153554619432</v>
      </c>
      <c r="T1006" s="10">
        <f>GraphSalmonella!$E$57*Salmonella!I1006+GraphSalmonella!$E$58</f>
        <v>2.4546101029009924</v>
      </c>
      <c r="U1006" s="10">
        <f>GraphSalmonella!$H$57*Salmonella!I1006+GraphSalmonella!$H$58</f>
        <v>-1.2569993703135189</v>
      </c>
      <c r="X1006" s="10">
        <f>GraphSalmonella!$B$80*Salmonella!I1006+GraphSalmonella!$B$81</f>
        <v>-1.2563231232281877</v>
      </c>
      <c r="Y1006" s="10">
        <f>GraphSalmonella!$E$80*Salmonella!I1006+GraphSalmonella!$E$81</f>
        <v>-1.2692554978071175</v>
      </c>
      <c r="Z1006" s="10">
        <f>GraphSalmonella!$H$80*Salmonella!I1006+GraphSalmonella!$H$81</f>
        <v>-1.8601405859728777</v>
      </c>
    </row>
    <row r="1007" spans="1:26" x14ac:dyDescent="0.2">
      <c r="A1007" s="1" t="s">
        <v>66</v>
      </c>
      <c r="B1007" s="1" t="s">
        <v>70</v>
      </c>
      <c r="D1007" t="s">
        <v>44</v>
      </c>
      <c r="E1007" s="1" t="s">
        <v>376</v>
      </c>
      <c r="G1007" s="11" t="s">
        <v>512</v>
      </c>
      <c r="I1007" s="4">
        <v>73.900000000000006</v>
      </c>
      <c r="J1007" s="11">
        <v>0.12</v>
      </c>
      <c r="L1007" s="12">
        <f t="shared" si="20"/>
        <v>-0.92081875395237522</v>
      </c>
      <c r="M1007" s="11">
        <f>GraphSalmonella!$B$10-(Salmonella!I1007-GraphSalmonella!$B$6)/GraphSalmonella!$B$5</f>
        <v>-1.2582082339253606</v>
      </c>
      <c r="N1007" s="1" t="s">
        <v>319</v>
      </c>
      <c r="O1007">
        <v>2000</v>
      </c>
      <c r="P1007" t="s">
        <v>366</v>
      </c>
      <c r="S1007" s="10">
        <f>GraphSalmonella!$B$57*Salmonella!I1007+GraphSalmonella!$B$58</f>
        <v>-0.48036153554619432</v>
      </c>
      <c r="T1007" s="10">
        <f>GraphSalmonella!$E$57*Salmonella!I1007+GraphSalmonella!$E$58</f>
        <v>2.4546101029009924</v>
      </c>
      <c r="U1007" s="10">
        <f>GraphSalmonella!$H$57*Salmonella!I1007+GraphSalmonella!$H$58</f>
        <v>-1.2569993703135189</v>
      </c>
      <c r="X1007" s="10">
        <f>GraphSalmonella!$B$80*Salmonella!I1007+GraphSalmonella!$B$81</f>
        <v>-1.2563231232281877</v>
      </c>
      <c r="Y1007" s="10">
        <f>GraphSalmonella!$E$80*Salmonella!I1007+GraphSalmonella!$E$81</f>
        <v>-1.2692554978071175</v>
      </c>
      <c r="Z1007" s="10">
        <f>GraphSalmonella!$H$80*Salmonella!I1007+GraphSalmonella!$H$81</f>
        <v>-1.8601405859728777</v>
      </c>
    </row>
    <row r="1008" spans="1:26" x14ac:dyDescent="0.2">
      <c r="A1008" s="1" t="s">
        <v>66</v>
      </c>
      <c r="B1008" s="1" t="s">
        <v>70</v>
      </c>
      <c r="D1008" t="s">
        <v>44</v>
      </c>
      <c r="E1008" s="1" t="s">
        <v>376</v>
      </c>
      <c r="G1008" s="11" t="s">
        <v>511</v>
      </c>
      <c r="I1008" s="4">
        <v>73.900000000000006</v>
      </c>
      <c r="J1008" s="11">
        <v>0.02</v>
      </c>
      <c r="L1008" s="12">
        <f t="shared" si="20"/>
        <v>-1.6989700043360187</v>
      </c>
      <c r="M1008" s="11">
        <f>GraphSalmonella!$B$10-(Salmonella!I1008-GraphSalmonella!$B$6)/GraphSalmonella!$B$5</f>
        <v>-1.2582082339253606</v>
      </c>
      <c r="N1008" s="1" t="s">
        <v>319</v>
      </c>
      <c r="O1008">
        <v>2000</v>
      </c>
      <c r="P1008" t="s">
        <v>366</v>
      </c>
      <c r="S1008" s="10">
        <f>GraphSalmonella!$B$57*Salmonella!I1008+GraphSalmonella!$B$58</f>
        <v>-0.48036153554619432</v>
      </c>
      <c r="T1008" s="10">
        <f>GraphSalmonella!$E$57*Salmonella!I1008+GraphSalmonella!$E$58</f>
        <v>2.4546101029009924</v>
      </c>
      <c r="U1008" s="10">
        <f>GraphSalmonella!$H$57*Salmonella!I1008+GraphSalmonella!$H$58</f>
        <v>-1.2569993703135189</v>
      </c>
      <c r="X1008" s="10">
        <f>GraphSalmonella!$B$80*Salmonella!I1008+GraphSalmonella!$B$81</f>
        <v>-1.2563231232281877</v>
      </c>
      <c r="Y1008" s="10">
        <f>GraphSalmonella!$E$80*Salmonella!I1008+GraphSalmonella!$E$81</f>
        <v>-1.2692554978071175</v>
      </c>
      <c r="Z1008" s="10">
        <f>GraphSalmonella!$H$80*Salmonella!I1008+GraphSalmonella!$H$81</f>
        <v>-1.8601405859728777</v>
      </c>
    </row>
    <row r="1009" spans="1:26" x14ac:dyDescent="0.2">
      <c r="A1009" s="1" t="s">
        <v>66</v>
      </c>
      <c r="B1009" s="1" t="s">
        <v>70</v>
      </c>
      <c r="D1009" t="s">
        <v>44</v>
      </c>
      <c r="E1009" s="1" t="s">
        <v>376</v>
      </c>
      <c r="G1009" s="11" t="s">
        <v>524</v>
      </c>
      <c r="I1009" s="4">
        <v>76.7</v>
      </c>
      <c r="J1009" s="11">
        <v>1.4</v>
      </c>
      <c r="L1009" s="12">
        <f t="shared" si="20"/>
        <v>0.14612803567823801</v>
      </c>
      <c r="M1009" s="11">
        <f>GraphSalmonella!$B$10-(Salmonella!I1009-GraphSalmonella!$B$6)/GraphSalmonella!$B$5</f>
        <v>-1.5662952912503623</v>
      </c>
      <c r="N1009" s="1" t="s">
        <v>319</v>
      </c>
      <c r="O1009">
        <v>2000</v>
      </c>
      <c r="P1009" t="s">
        <v>366</v>
      </c>
      <c r="S1009" s="10">
        <f>GraphSalmonella!$B$57*Salmonella!I1009+GraphSalmonella!$B$58</f>
        <v>-0.64777429451798962</v>
      </c>
      <c r="T1009" s="10">
        <f>GraphSalmonella!$E$57*Salmonella!I1009+GraphSalmonella!$E$58</f>
        <v>2.3171454417236057</v>
      </c>
      <c r="U1009" s="10">
        <f>GraphSalmonella!$H$57*Salmonella!I1009+GraphSalmonella!$H$58</f>
        <v>-1.5650170746382095</v>
      </c>
      <c r="X1009" s="10">
        <f>GraphSalmonella!$B$80*Salmonella!I1009+GraphSalmonella!$B$81</f>
        <v>-1.5645593864021121</v>
      </c>
      <c r="Y1009" s="10">
        <f>GraphSalmonella!$E$80*Salmonella!I1009+GraphSalmonella!$E$81</f>
        <v>-1.5818175850521161</v>
      </c>
      <c r="Z1009" s="10">
        <f>GraphSalmonella!$H$80*Salmonella!I1009+GraphSalmonella!$H$81</f>
        <v>-2.2218498030375367</v>
      </c>
    </row>
    <row r="1010" spans="1:26" x14ac:dyDescent="0.2">
      <c r="A1010" s="1" t="s">
        <v>66</v>
      </c>
      <c r="B1010" s="1" t="s">
        <v>70</v>
      </c>
      <c r="D1010" t="s">
        <v>44</v>
      </c>
      <c r="E1010" s="1" t="s">
        <v>376</v>
      </c>
      <c r="G1010" s="11" t="s">
        <v>514</v>
      </c>
      <c r="I1010" s="4">
        <v>76.7</v>
      </c>
      <c r="J1010" s="11">
        <v>0.4</v>
      </c>
      <c r="L1010" s="12">
        <f t="shared" si="20"/>
        <v>-0.3979400086720376</v>
      </c>
      <c r="M1010" s="11">
        <f>GraphSalmonella!$B$10-(Salmonella!I1010-GraphSalmonella!$B$6)/GraphSalmonella!$B$5</f>
        <v>-1.5662952912503623</v>
      </c>
      <c r="N1010" s="1" t="s">
        <v>319</v>
      </c>
      <c r="O1010">
        <v>2000</v>
      </c>
      <c r="P1010" t="s">
        <v>366</v>
      </c>
      <c r="S1010" s="10">
        <f>GraphSalmonella!$B$57*Salmonella!I1010+GraphSalmonella!$B$58</f>
        <v>-0.64777429451798962</v>
      </c>
      <c r="T1010" s="10">
        <f>GraphSalmonella!$E$57*Salmonella!I1010+GraphSalmonella!$E$58</f>
        <v>2.3171454417236057</v>
      </c>
      <c r="U1010" s="10">
        <f>GraphSalmonella!$H$57*Salmonella!I1010+GraphSalmonella!$H$58</f>
        <v>-1.5650170746382095</v>
      </c>
      <c r="X1010" s="10">
        <f>GraphSalmonella!$B$80*Salmonella!I1010+GraphSalmonella!$B$81</f>
        <v>-1.5645593864021121</v>
      </c>
      <c r="Y1010" s="10">
        <f>GraphSalmonella!$E$80*Salmonella!I1010+GraphSalmonella!$E$81</f>
        <v>-1.5818175850521161</v>
      </c>
      <c r="Z1010" s="10">
        <f>GraphSalmonella!$H$80*Salmonella!I1010+GraphSalmonella!$H$81</f>
        <v>-2.2218498030375367</v>
      </c>
    </row>
    <row r="1011" spans="1:26" x14ac:dyDescent="0.2">
      <c r="A1011" s="1" t="s">
        <v>66</v>
      </c>
      <c r="B1011" s="1" t="s">
        <v>70</v>
      </c>
      <c r="D1011" t="s">
        <v>44</v>
      </c>
      <c r="E1011" s="1" t="s">
        <v>376</v>
      </c>
      <c r="G1011" s="11" t="s">
        <v>523</v>
      </c>
      <c r="I1011" s="4">
        <v>76.7</v>
      </c>
      <c r="J1011" s="11">
        <v>0.12</v>
      </c>
      <c r="L1011" s="12">
        <f t="shared" si="20"/>
        <v>-0.92081875395237522</v>
      </c>
      <c r="M1011" s="11">
        <f>GraphSalmonella!$B$10-(Salmonella!I1011-GraphSalmonella!$B$6)/GraphSalmonella!$B$5</f>
        <v>-1.5662952912503623</v>
      </c>
      <c r="N1011" s="1" t="s">
        <v>319</v>
      </c>
      <c r="O1011">
        <v>2000</v>
      </c>
      <c r="P1011" t="s">
        <v>366</v>
      </c>
      <c r="S1011" s="10">
        <f>GraphSalmonella!$B$57*Salmonella!I1011+GraphSalmonella!$B$58</f>
        <v>-0.64777429451798962</v>
      </c>
      <c r="T1011" s="10">
        <f>GraphSalmonella!$E$57*Salmonella!I1011+GraphSalmonella!$E$58</f>
        <v>2.3171454417236057</v>
      </c>
      <c r="U1011" s="10">
        <f>GraphSalmonella!$H$57*Salmonella!I1011+GraphSalmonella!$H$58</f>
        <v>-1.5650170746382095</v>
      </c>
      <c r="X1011" s="10">
        <f>GraphSalmonella!$B$80*Salmonella!I1011+GraphSalmonella!$B$81</f>
        <v>-1.5645593864021121</v>
      </c>
      <c r="Y1011" s="10">
        <f>GraphSalmonella!$E$80*Salmonella!I1011+GraphSalmonella!$E$81</f>
        <v>-1.5818175850521161</v>
      </c>
      <c r="Z1011" s="10">
        <f>GraphSalmonella!$H$80*Salmonella!I1011+GraphSalmonella!$H$81</f>
        <v>-2.2218498030375367</v>
      </c>
    </row>
    <row r="1012" spans="1:26" x14ac:dyDescent="0.2">
      <c r="A1012" s="1" t="s">
        <v>66</v>
      </c>
      <c r="B1012" s="1" t="s">
        <v>70</v>
      </c>
      <c r="D1012" t="s">
        <v>44</v>
      </c>
      <c r="E1012" s="1" t="s">
        <v>376</v>
      </c>
      <c r="G1012" s="11" t="s">
        <v>512</v>
      </c>
      <c r="I1012" s="4">
        <v>76.7</v>
      </c>
      <c r="J1012" s="11">
        <v>0.05</v>
      </c>
      <c r="L1012" s="12">
        <f t="shared" si="20"/>
        <v>-1.3010299956639813</v>
      </c>
      <c r="M1012" s="11">
        <f>GraphSalmonella!$B$10-(Salmonella!I1012-GraphSalmonella!$B$6)/GraphSalmonella!$B$5</f>
        <v>-1.5662952912503623</v>
      </c>
      <c r="N1012" s="1" t="s">
        <v>319</v>
      </c>
      <c r="O1012">
        <v>2000</v>
      </c>
      <c r="P1012" t="s">
        <v>366</v>
      </c>
      <c r="S1012" s="10">
        <f>GraphSalmonella!$B$57*Salmonella!I1012+GraphSalmonella!$B$58</f>
        <v>-0.64777429451798962</v>
      </c>
      <c r="T1012" s="10">
        <f>GraphSalmonella!$E$57*Salmonella!I1012+GraphSalmonella!$E$58</f>
        <v>2.3171454417236057</v>
      </c>
      <c r="U1012" s="10">
        <f>GraphSalmonella!$H$57*Salmonella!I1012+GraphSalmonella!$H$58</f>
        <v>-1.5650170746382095</v>
      </c>
      <c r="X1012" s="10">
        <f>GraphSalmonella!$B$80*Salmonella!I1012+GraphSalmonella!$B$81</f>
        <v>-1.5645593864021121</v>
      </c>
      <c r="Y1012" s="10">
        <f>GraphSalmonella!$E$80*Salmonella!I1012+GraphSalmonella!$E$81</f>
        <v>-1.5818175850521161</v>
      </c>
      <c r="Z1012" s="10">
        <f>GraphSalmonella!$H$80*Salmonella!I1012+GraphSalmonella!$H$81</f>
        <v>-2.2218498030375367</v>
      </c>
    </row>
    <row r="1013" spans="1:26" x14ac:dyDescent="0.2">
      <c r="A1013" s="1" t="s">
        <v>66</v>
      </c>
      <c r="B1013" s="1" t="s">
        <v>70</v>
      </c>
      <c r="D1013" t="s">
        <v>44</v>
      </c>
      <c r="E1013" s="1" t="s">
        <v>376</v>
      </c>
      <c r="G1013" s="11" t="s">
        <v>511</v>
      </c>
      <c r="I1013" s="4">
        <v>76.7</v>
      </c>
      <c r="J1013" s="11">
        <v>0.01</v>
      </c>
      <c r="L1013" s="12">
        <f t="shared" si="20"/>
        <v>-2</v>
      </c>
      <c r="M1013" s="11">
        <f>GraphSalmonella!$B$10-(Salmonella!I1013-GraphSalmonella!$B$6)/GraphSalmonella!$B$5</f>
        <v>-1.5662952912503623</v>
      </c>
      <c r="N1013" s="1" t="s">
        <v>319</v>
      </c>
      <c r="O1013">
        <v>2000</v>
      </c>
      <c r="P1013" t="s">
        <v>366</v>
      </c>
      <c r="S1013" s="10">
        <f>GraphSalmonella!$B$57*Salmonella!I1013+GraphSalmonella!$B$58</f>
        <v>-0.64777429451798962</v>
      </c>
      <c r="T1013" s="10">
        <f>GraphSalmonella!$E$57*Salmonella!I1013+GraphSalmonella!$E$58</f>
        <v>2.3171454417236057</v>
      </c>
      <c r="U1013" s="10">
        <f>GraphSalmonella!$H$57*Salmonella!I1013+GraphSalmonella!$H$58</f>
        <v>-1.5650170746382095</v>
      </c>
      <c r="X1013" s="10">
        <f>GraphSalmonella!$B$80*Salmonella!I1013+GraphSalmonella!$B$81</f>
        <v>-1.5645593864021121</v>
      </c>
      <c r="Y1013" s="10">
        <f>GraphSalmonella!$E$80*Salmonella!I1013+GraphSalmonella!$E$81</f>
        <v>-1.5818175850521161</v>
      </c>
      <c r="Z1013" s="10">
        <f>GraphSalmonella!$H$80*Salmonella!I1013+GraphSalmonella!$H$81</f>
        <v>-2.2218498030375367</v>
      </c>
    </row>
    <row r="1014" spans="1:26" x14ac:dyDescent="0.2">
      <c r="A1014" s="1" t="s">
        <v>66</v>
      </c>
      <c r="B1014" s="1" t="s">
        <v>87</v>
      </c>
      <c r="D1014" t="s">
        <v>44</v>
      </c>
      <c r="E1014" s="1" t="s">
        <v>800</v>
      </c>
      <c r="I1014" s="4">
        <v>57</v>
      </c>
      <c r="J1014" s="11">
        <v>11.7</v>
      </c>
      <c r="L1014" s="12">
        <f t="shared" si="20"/>
        <v>1.0681858617461617</v>
      </c>
      <c r="M1014" s="11">
        <f>GraphSalmonella!$B$10-(Salmonella!I1014-GraphSalmonella!$B$6)/GraphSalmonella!$B$5</f>
        <v>0.60131721921482906</v>
      </c>
      <c r="N1014" s="1" t="s">
        <v>801</v>
      </c>
      <c r="O1014">
        <v>1989</v>
      </c>
      <c r="S1014" s="10">
        <f>GraphSalmonella!$B$57*Salmonella!I1014+GraphSalmonella!$B$58</f>
        <v>0.53009404539071348</v>
      </c>
      <c r="T1014" s="10">
        <f>GraphSalmonella!$E$57*Salmonella!I1014+GraphSalmonella!$E$58</f>
        <v>3.2843075221502183</v>
      </c>
      <c r="U1014" s="10">
        <f>GraphSalmonella!$H$57*Salmonella!I1014+GraphSalmonella!$H$58</f>
        <v>0.60210748793194213</v>
      </c>
      <c r="X1014" s="10">
        <f>GraphSalmonella!$B$80*Salmonella!I1014+GraphSalmonella!$B$81</f>
        <v>0.6041028937858588</v>
      </c>
      <c r="Y1014" s="10">
        <f>GraphSalmonella!$E$80*Salmonella!I1014+GraphSalmonella!$E$81</f>
        <v>0.61727995735019991</v>
      </c>
      <c r="Z1014" s="10">
        <f>GraphSalmonella!$H$80*Salmonella!I1014+GraphSalmonella!$H$81</f>
        <v>0.32303290273881835</v>
      </c>
    </row>
    <row r="1015" spans="1:26" x14ac:dyDescent="0.2">
      <c r="A1015" s="1" t="s">
        <v>66</v>
      </c>
      <c r="B1015" s="1" t="s">
        <v>80</v>
      </c>
      <c r="D1015" t="s">
        <v>44</v>
      </c>
      <c r="E1015" s="1" t="s">
        <v>800</v>
      </c>
      <c r="I1015" s="4">
        <v>57</v>
      </c>
      <c r="J1015" s="11">
        <v>6.7</v>
      </c>
      <c r="L1015" s="12">
        <f t="shared" si="20"/>
        <v>0.82607480270082645</v>
      </c>
      <c r="M1015" s="11">
        <f>GraphSalmonella!$B$10-(Salmonella!I1015-GraphSalmonella!$B$6)/GraphSalmonella!$B$5</f>
        <v>0.60131721921482906</v>
      </c>
      <c r="N1015" s="1" t="s">
        <v>801</v>
      </c>
      <c r="O1015">
        <v>1989</v>
      </c>
      <c r="S1015" s="10">
        <f>GraphSalmonella!$B$57*Salmonella!I1015+GraphSalmonella!$B$58</f>
        <v>0.53009404539071348</v>
      </c>
      <c r="T1015" s="10">
        <f>GraphSalmonella!$E$57*Salmonella!I1015+GraphSalmonella!$E$58</f>
        <v>3.2843075221502183</v>
      </c>
      <c r="U1015" s="10">
        <f>GraphSalmonella!$H$57*Salmonella!I1015+GraphSalmonella!$H$58</f>
        <v>0.60210748793194213</v>
      </c>
      <c r="X1015" s="10">
        <f>GraphSalmonella!$B$80*Salmonella!I1015+GraphSalmonella!$B$81</f>
        <v>0.6041028937858588</v>
      </c>
      <c r="Y1015" s="10">
        <f>GraphSalmonella!$E$80*Salmonella!I1015+GraphSalmonella!$E$81</f>
        <v>0.61727995735019991</v>
      </c>
      <c r="Z1015" s="10">
        <f>GraphSalmonella!$H$80*Salmonella!I1015+GraphSalmonella!$H$81</f>
        <v>0.32303290273881835</v>
      </c>
    </row>
    <row r="1016" spans="1:26" x14ac:dyDescent="0.2">
      <c r="A1016" s="1" t="s">
        <v>66</v>
      </c>
      <c r="B1016" s="1" t="s">
        <v>95</v>
      </c>
      <c r="D1016" t="s">
        <v>44</v>
      </c>
      <c r="E1016" s="1" t="s">
        <v>800</v>
      </c>
      <c r="I1016" s="4">
        <v>57</v>
      </c>
      <c r="J1016" s="11">
        <v>6.2</v>
      </c>
      <c r="L1016" s="12">
        <f t="shared" si="20"/>
        <v>0.79239168949825389</v>
      </c>
      <c r="M1016" s="11">
        <f>GraphSalmonella!$B$10-(Salmonella!I1016-GraphSalmonella!$B$6)/GraphSalmonella!$B$5</f>
        <v>0.60131721921482906</v>
      </c>
      <c r="N1016" s="1" t="s">
        <v>801</v>
      </c>
      <c r="O1016">
        <v>1989</v>
      </c>
      <c r="S1016" s="10">
        <f>GraphSalmonella!$B$57*Salmonella!I1016+GraphSalmonella!$B$58</f>
        <v>0.53009404539071348</v>
      </c>
      <c r="T1016" s="10">
        <f>GraphSalmonella!$E$57*Salmonella!I1016+GraphSalmonella!$E$58</f>
        <v>3.2843075221502183</v>
      </c>
      <c r="U1016" s="10">
        <f>GraphSalmonella!$H$57*Salmonella!I1016+GraphSalmonella!$H$58</f>
        <v>0.60210748793194213</v>
      </c>
      <c r="X1016" s="10">
        <f>GraphSalmonella!$B$80*Salmonella!I1016+GraphSalmonella!$B$81</f>
        <v>0.6041028937858588</v>
      </c>
      <c r="Y1016" s="10">
        <f>GraphSalmonella!$E$80*Salmonella!I1016+GraphSalmonella!$E$81</f>
        <v>0.61727995735019991</v>
      </c>
      <c r="Z1016" s="10">
        <f>GraphSalmonella!$H$80*Salmonella!I1016+GraphSalmonella!$H$81</f>
        <v>0.32303290273881835</v>
      </c>
    </row>
    <row r="1017" spans="1:26" x14ac:dyDescent="0.2">
      <c r="A1017" s="1" t="s">
        <v>66</v>
      </c>
      <c r="B1017" s="1" t="s">
        <v>90</v>
      </c>
      <c r="D1017" t="s">
        <v>44</v>
      </c>
      <c r="E1017" s="1" t="s">
        <v>800</v>
      </c>
      <c r="I1017" s="4">
        <v>57</v>
      </c>
      <c r="J1017" s="11">
        <v>7.3</v>
      </c>
      <c r="L1017" s="12">
        <f t="shared" si="20"/>
        <v>0.86332286012045589</v>
      </c>
      <c r="M1017" s="11">
        <f>GraphSalmonella!$B$10-(Salmonella!I1017-GraphSalmonella!$B$6)/GraphSalmonella!$B$5</f>
        <v>0.60131721921482906</v>
      </c>
      <c r="N1017" s="1" t="s">
        <v>801</v>
      </c>
      <c r="O1017">
        <v>1989</v>
      </c>
      <c r="S1017" s="10">
        <f>GraphSalmonella!$B$57*Salmonella!I1017+GraphSalmonella!$B$58</f>
        <v>0.53009404539071348</v>
      </c>
      <c r="T1017" s="10">
        <f>GraphSalmonella!$E$57*Salmonella!I1017+GraphSalmonella!$E$58</f>
        <v>3.2843075221502183</v>
      </c>
      <c r="U1017" s="10">
        <f>GraphSalmonella!$H$57*Salmonella!I1017+GraphSalmonella!$H$58</f>
        <v>0.60210748793194213</v>
      </c>
      <c r="X1017" s="10">
        <f>GraphSalmonella!$B$80*Salmonella!I1017+GraphSalmonella!$B$81</f>
        <v>0.6041028937858588</v>
      </c>
      <c r="Y1017" s="10">
        <f>GraphSalmonella!$E$80*Salmonella!I1017+GraphSalmonella!$E$81</f>
        <v>0.61727995735019991</v>
      </c>
      <c r="Z1017" s="10">
        <f>GraphSalmonella!$H$80*Salmonella!I1017+GraphSalmonella!$H$81</f>
        <v>0.32303290273881835</v>
      </c>
    </row>
    <row r="1018" spans="1:26" x14ac:dyDescent="0.2">
      <c r="A1018" s="1" t="s">
        <v>66</v>
      </c>
      <c r="B1018" s="1" t="s">
        <v>88</v>
      </c>
      <c r="D1018" t="s">
        <v>44</v>
      </c>
      <c r="E1018" s="1" t="s">
        <v>800</v>
      </c>
      <c r="I1018" s="4">
        <v>57</v>
      </c>
      <c r="J1018" s="11">
        <v>16.5</v>
      </c>
      <c r="L1018" s="12">
        <f t="shared" si="20"/>
        <v>1.2174839442139063</v>
      </c>
      <c r="M1018" s="11">
        <f>GraphSalmonella!$B$10-(Salmonella!I1018-GraphSalmonella!$B$6)/GraphSalmonella!$B$5</f>
        <v>0.60131721921482906</v>
      </c>
      <c r="N1018" s="1" t="s">
        <v>801</v>
      </c>
      <c r="O1018">
        <v>1989</v>
      </c>
      <c r="S1018" s="10">
        <f>GraphSalmonella!$B$57*Salmonella!I1018+GraphSalmonella!$B$58</f>
        <v>0.53009404539071348</v>
      </c>
      <c r="T1018" s="10">
        <f>GraphSalmonella!$E$57*Salmonella!I1018+GraphSalmonella!$E$58</f>
        <v>3.2843075221502183</v>
      </c>
      <c r="U1018" s="10">
        <f>GraphSalmonella!$H$57*Salmonella!I1018+GraphSalmonella!$H$58</f>
        <v>0.60210748793194213</v>
      </c>
      <c r="X1018" s="10">
        <f>GraphSalmonella!$B$80*Salmonella!I1018+GraphSalmonella!$B$81</f>
        <v>0.6041028937858588</v>
      </c>
      <c r="Y1018" s="10">
        <f>GraphSalmonella!$E$80*Salmonella!I1018+GraphSalmonella!$E$81</f>
        <v>0.61727995735019991</v>
      </c>
      <c r="Z1018" s="10">
        <f>GraphSalmonella!$H$80*Salmonella!I1018+GraphSalmonella!$H$81</f>
        <v>0.32303290273881835</v>
      </c>
    </row>
    <row r="1019" spans="1:26" x14ac:dyDescent="0.2">
      <c r="A1019" s="1" t="s">
        <v>66</v>
      </c>
      <c r="B1019" s="1" t="s">
        <v>67</v>
      </c>
      <c r="D1019" t="s">
        <v>44</v>
      </c>
      <c r="E1019" s="1" t="s">
        <v>800</v>
      </c>
      <c r="I1019" s="4">
        <v>57</v>
      </c>
      <c r="J1019" s="11">
        <v>35</v>
      </c>
      <c r="L1019" s="12">
        <f t="shared" si="20"/>
        <v>1.5440680443502757</v>
      </c>
      <c r="M1019" s="11">
        <f>GraphSalmonella!$B$10-(Salmonella!I1019-GraphSalmonella!$B$6)/GraphSalmonella!$B$5</f>
        <v>0.60131721921482906</v>
      </c>
      <c r="N1019" s="1" t="s">
        <v>801</v>
      </c>
      <c r="O1019">
        <v>1989</v>
      </c>
      <c r="S1019" s="10">
        <f>GraphSalmonella!$B$57*Salmonella!I1019+GraphSalmonella!$B$58</f>
        <v>0.53009404539071348</v>
      </c>
      <c r="T1019" s="10">
        <f>GraphSalmonella!$E$57*Salmonella!I1019+GraphSalmonella!$E$58</f>
        <v>3.2843075221502183</v>
      </c>
      <c r="U1019" s="10">
        <f>GraphSalmonella!$H$57*Salmonella!I1019+GraphSalmonella!$H$58</f>
        <v>0.60210748793194213</v>
      </c>
      <c r="X1019" s="10">
        <f>GraphSalmonella!$B$80*Salmonella!I1019+GraphSalmonella!$B$81</f>
        <v>0.6041028937858588</v>
      </c>
      <c r="Y1019" s="10">
        <f>GraphSalmonella!$E$80*Salmonella!I1019+GraphSalmonella!$E$81</f>
        <v>0.61727995735019991</v>
      </c>
      <c r="Z1019" s="10">
        <f>GraphSalmonella!$H$80*Salmonella!I1019+GraphSalmonella!$H$81</f>
        <v>0.32303290273881835</v>
      </c>
    </row>
    <row r="1020" spans="1:26" x14ac:dyDescent="0.2">
      <c r="A1020" s="1" t="s">
        <v>66</v>
      </c>
      <c r="B1020" s="1" t="s">
        <v>85</v>
      </c>
      <c r="D1020" t="s">
        <v>44</v>
      </c>
      <c r="E1020" s="1" t="s">
        <v>800</v>
      </c>
      <c r="I1020" s="4">
        <v>57</v>
      </c>
      <c r="J1020" s="11">
        <v>17</v>
      </c>
      <c r="L1020" s="12">
        <f t="shared" si="20"/>
        <v>1.2304489213782739</v>
      </c>
      <c r="M1020" s="11">
        <f>GraphSalmonella!$B$10-(Salmonella!I1020-GraphSalmonella!$B$6)/GraphSalmonella!$B$5</f>
        <v>0.60131721921482906</v>
      </c>
      <c r="N1020" s="1" t="s">
        <v>801</v>
      </c>
      <c r="O1020">
        <v>1989</v>
      </c>
      <c r="S1020" s="10">
        <f>GraphSalmonella!$B$57*Salmonella!I1020+GraphSalmonella!$B$58</f>
        <v>0.53009404539071348</v>
      </c>
      <c r="T1020" s="10">
        <f>GraphSalmonella!$E$57*Salmonella!I1020+GraphSalmonella!$E$58</f>
        <v>3.2843075221502183</v>
      </c>
      <c r="U1020" s="10">
        <f>GraphSalmonella!$H$57*Salmonella!I1020+GraphSalmonella!$H$58</f>
        <v>0.60210748793194213</v>
      </c>
      <c r="X1020" s="10">
        <f>GraphSalmonella!$B$80*Salmonella!I1020+GraphSalmonella!$B$81</f>
        <v>0.6041028937858588</v>
      </c>
      <c r="Y1020" s="10">
        <f>GraphSalmonella!$E$80*Salmonella!I1020+GraphSalmonella!$E$81</f>
        <v>0.61727995735019991</v>
      </c>
      <c r="Z1020" s="10">
        <f>GraphSalmonella!$H$80*Salmonella!I1020+GraphSalmonella!$H$81</f>
        <v>0.32303290273881835</v>
      </c>
    </row>
    <row r="1021" spans="1:26" x14ac:dyDescent="0.2">
      <c r="A1021" s="1" t="s">
        <v>66</v>
      </c>
      <c r="B1021" s="1" t="s">
        <v>70</v>
      </c>
      <c r="D1021" t="s">
        <v>44</v>
      </c>
      <c r="E1021" s="1" t="s">
        <v>800</v>
      </c>
      <c r="I1021" s="4">
        <v>57</v>
      </c>
      <c r="J1021" s="11">
        <v>12</v>
      </c>
      <c r="L1021" s="12">
        <f t="shared" si="20"/>
        <v>1.0791812460476249</v>
      </c>
      <c r="M1021" s="11">
        <f>GraphSalmonella!$B$10-(Salmonella!I1021-GraphSalmonella!$B$6)/GraphSalmonella!$B$5</f>
        <v>0.60131721921482906</v>
      </c>
      <c r="N1021" s="1" t="s">
        <v>801</v>
      </c>
      <c r="O1021">
        <v>1989</v>
      </c>
      <c r="S1021" s="10">
        <f>GraphSalmonella!$B$57*Salmonella!I1021+GraphSalmonella!$B$58</f>
        <v>0.53009404539071348</v>
      </c>
      <c r="T1021" s="10">
        <f>GraphSalmonella!$E$57*Salmonella!I1021+GraphSalmonella!$E$58</f>
        <v>3.2843075221502183</v>
      </c>
      <c r="U1021" s="10">
        <f>GraphSalmonella!$H$57*Salmonella!I1021+GraphSalmonella!$H$58</f>
        <v>0.60210748793194213</v>
      </c>
      <c r="X1021" s="10">
        <f>GraphSalmonella!$B$80*Salmonella!I1021+GraphSalmonella!$B$81</f>
        <v>0.6041028937858588</v>
      </c>
      <c r="Y1021" s="10">
        <f>GraphSalmonella!$E$80*Salmonella!I1021+GraphSalmonella!$E$81</f>
        <v>0.61727995735019991</v>
      </c>
      <c r="Z1021" s="10">
        <f>GraphSalmonella!$H$80*Salmonella!I1021+GraphSalmonella!$H$81</f>
        <v>0.32303290273881835</v>
      </c>
    </row>
    <row r="1022" spans="1:26" x14ac:dyDescent="0.2">
      <c r="A1022" s="1" t="s">
        <v>66</v>
      </c>
      <c r="B1022" s="1" t="s">
        <v>109</v>
      </c>
      <c r="C1022" t="s">
        <v>1092</v>
      </c>
      <c r="D1022" t="s">
        <v>44</v>
      </c>
      <c r="E1022" s="1" t="s">
        <v>69</v>
      </c>
      <c r="F1022" s="19" t="s">
        <v>1091</v>
      </c>
      <c r="G1022" s="9"/>
      <c r="H1022" s="4">
        <v>7.3</v>
      </c>
      <c r="I1022" s="4">
        <v>62.5</v>
      </c>
      <c r="J1022" s="11">
        <f>8.4/60</f>
        <v>0.14000000000000001</v>
      </c>
      <c r="L1022" s="12">
        <f t="shared" si="20"/>
        <v>-0.85387196432176193</v>
      </c>
      <c r="M1022" s="11">
        <f>GraphSalmonella!$B$10-(Salmonella!I1022-GraphSalmonella!$B$6)/GraphSalmonella!$B$5</f>
        <v>-3.8537862449957716E-3</v>
      </c>
      <c r="N1022" s="1" t="s">
        <v>1093</v>
      </c>
      <c r="O1022">
        <v>1997</v>
      </c>
      <c r="S1022" s="10">
        <f>GraphSalmonella!$B$57*Salmonella!I1022+GraphSalmonella!$B$58</f>
        <v>0.20124755455325838</v>
      </c>
      <c r="T1022" s="10">
        <f>GraphSalmonella!$E$57*Salmonella!I1022+GraphSalmonella!$E$58</f>
        <v>3.0142876519803519</v>
      </c>
      <c r="U1022" s="10">
        <f>GraphSalmonella!$H$57*Salmonella!I1022+GraphSalmonella!$H$58</f>
        <v>-2.9272884201310134E-3</v>
      </c>
      <c r="X1022" s="10">
        <f>GraphSalmonella!$B$80*Salmonella!I1022+GraphSalmonella!$B$81</f>
        <v>-1.3611945914933088E-3</v>
      </c>
      <c r="Y1022" s="10">
        <f>GraphSalmonella!$E$80*Salmonella!I1022+GraphSalmonella!$E$81</f>
        <v>3.3187145475226387E-3</v>
      </c>
      <c r="Z1022" s="10">
        <f>GraphSalmonella!$H$80*Salmonella!I1022+GraphSalmonella!$H$81</f>
        <v>-0.38746734506676273</v>
      </c>
    </row>
    <row r="1023" spans="1:26" x14ac:dyDescent="0.2">
      <c r="A1023" s="1" t="s">
        <v>66</v>
      </c>
      <c r="B1023" s="1" t="s">
        <v>109</v>
      </c>
      <c r="C1023" t="s">
        <v>1092</v>
      </c>
      <c r="D1023" t="s">
        <v>44</v>
      </c>
      <c r="E1023" s="1" t="s">
        <v>69</v>
      </c>
      <c r="F1023" s="19" t="s">
        <v>1091</v>
      </c>
      <c r="G1023" s="9"/>
      <c r="H1023" s="4">
        <v>9.6</v>
      </c>
      <c r="I1023" s="4">
        <v>62.5</v>
      </c>
      <c r="J1023" s="11">
        <f>1.1/60</f>
        <v>1.8333333333333333E-2</v>
      </c>
      <c r="L1023" s="12">
        <f t="shared" si="20"/>
        <v>-1.7367585652254185</v>
      </c>
      <c r="M1023" s="11">
        <f>GraphSalmonella!$B$10-(Salmonella!I1023-GraphSalmonella!$B$6)/GraphSalmonella!$B$5</f>
        <v>-3.8537862449957716E-3</v>
      </c>
      <c r="N1023" s="1" t="s">
        <v>1093</v>
      </c>
      <c r="O1023">
        <v>1997</v>
      </c>
      <c r="S1023" s="10">
        <f>GraphSalmonella!$B$57*Salmonella!I1023+GraphSalmonella!$B$58</f>
        <v>0.20124755455325838</v>
      </c>
      <c r="T1023" s="10">
        <f>GraphSalmonella!$E$57*Salmonella!I1023+GraphSalmonella!$E$58</f>
        <v>3.0142876519803519</v>
      </c>
      <c r="U1023" s="10">
        <f>GraphSalmonella!$H$57*Salmonella!I1023+GraphSalmonella!$H$58</f>
        <v>-2.9272884201310134E-3</v>
      </c>
      <c r="X1023" s="10">
        <f>GraphSalmonella!$B$80*Salmonella!I1023+GraphSalmonella!$B$81</f>
        <v>-1.3611945914933088E-3</v>
      </c>
      <c r="Y1023" s="10">
        <f>GraphSalmonella!$E$80*Salmonella!I1023+GraphSalmonella!$E$81</f>
        <v>3.3187145475226387E-3</v>
      </c>
      <c r="Z1023" s="10">
        <f>GraphSalmonella!$H$80*Salmonella!I1023+GraphSalmonella!$H$81</f>
        <v>-0.38746734506676273</v>
      </c>
    </row>
    <row r="1024" spans="1:26" x14ac:dyDescent="0.2">
      <c r="A1024" s="1" t="s">
        <v>66</v>
      </c>
      <c r="B1024" s="1" t="s">
        <v>109</v>
      </c>
      <c r="D1024" t="s">
        <v>44</v>
      </c>
      <c r="E1024" s="1" t="s">
        <v>69</v>
      </c>
      <c r="F1024" s="19" t="s">
        <v>1091</v>
      </c>
      <c r="G1024" s="9"/>
      <c r="H1024" s="4">
        <v>6.9</v>
      </c>
      <c r="I1024" s="4">
        <v>62.5</v>
      </c>
      <c r="J1024" s="11">
        <f>20/60</f>
        <v>0.33333333333333331</v>
      </c>
      <c r="L1024" s="12">
        <f t="shared" si="20"/>
        <v>-0.47712125471966244</v>
      </c>
      <c r="M1024" s="11">
        <f>GraphSalmonella!$B$10-(Salmonella!I1024-GraphSalmonella!$B$6)/GraphSalmonella!$B$5</f>
        <v>-3.8537862449957716E-3</v>
      </c>
      <c r="N1024" s="1" t="s">
        <v>1093</v>
      </c>
      <c r="O1024">
        <v>1997</v>
      </c>
      <c r="P1024" t="s">
        <v>1106</v>
      </c>
      <c r="S1024" s="10">
        <f>GraphSalmonella!$B$57*Salmonella!I1024+GraphSalmonella!$B$58</f>
        <v>0.20124755455325838</v>
      </c>
      <c r="T1024" s="10">
        <f>GraphSalmonella!$E$57*Salmonella!I1024+GraphSalmonella!$E$58</f>
        <v>3.0142876519803519</v>
      </c>
      <c r="U1024" s="10">
        <f>GraphSalmonella!$H$57*Salmonella!I1024+GraphSalmonella!$H$58</f>
        <v>-2.9272884201310134E-3</v>
      </c>
      <c r="X1024" s="10">
        <f>GraphSalmonella!$B$80*Salmonella!I1024+GraphSalmonella!$B$81</f>
        <v>-1.3611945914933088E-3</v>
      </c>
      <c r="Y1024" s="10">
        <f>GraphSalmonella!$E$80*Salmonella!I1024+GraphSalmonella!$E$81</f>
        <v>3.3187145475226387E-3</v>
      </c>
      <c r="Z1024" s="10">
        <f>GraphSalmonella!$H$80*Salmonella!I1024+GraphSalmonella!$H$81</f>
        <v>-0.38746734506676273</v>
      </c>
    </row>
    <row r="1025" spans="1:26" x14ac:dyDescent="0.2">
      <c r="A1025" s="1" t="s">
        <v>66</v>
      </c>
      <c r="B1025" s="1" t="s">
        <v>109</v>
      </c>
      <c r="D1025" t="s">
        <v>44</v>
      </c>
      <c r="E1025" s="1" t="s">
        <v>69</v>
      </c>
      <c r="F1025" s="19" t="s">
        <v>1091</v>
      </c>
      <c r="G1025" s="9"/>
      <c r="H1025" s="4">
        <v>6.8</v>
      </c>
      <c r="I1025" s="4">
        <v>59.5</v>
      </c>
      <c r="J1025" s="11">
        <f>160/60</f>
        <v>2.6666666666666665</v>
      </c>
      <c r="L1025" s="12">
        <f t="shared" si="20"/>
        <v>0.4259687322722811</v>
      </c>
      <c r="M1025" s="11">
        <f>GraphSalmonella!$B$10-(Salmonella!I1025-GraphSalmonella!$B$6)/GraphSalmonella!$B$5</f>
        <v>0.3262394894603633</v>
      </c>
      <c r="N1025" s="1" t="s">
        <v>1093</v>
      </c>
      <c r="O1025">
        <v>1997</v>
      </c>
      <c r="P1025" t="s">
        <v>1106</v>
      </c>
      <c r="S1025" s="10">
        <f>GraphSalmonella!$B$57*Salmonella!I1025+GraphSalmonella!$B$58</f>
        <v>0.38061836773732471</v>
      </c>
      <c r="T1025" s="10">
        <f>GraphSalmonella!$E$57*Salmonella!I1025+GraphSalmonella!$E$58</f>
        <v>3.1615712175275514</v>
      </c>
      <c r="U1025" s="10">
        <f>GraphSalmonella!$H$57*Salmonella!I1025+GraphSalmonella!$H$58</f>
        <v>0.32709168049918169</v>
      </c>
      <c r="X1025" s="10">
        <f>GraphSalmonella!$B$80*Salmonella!I1025+GraphSalmonella!$B$81</f>
        <v>0.32889194452342529</v>
      </c>
      <c r="Y1025" s="10">
        <f>GraphSalmonella!$E$80*Salmonella!I1025+GraphSalmonella!$E$81</f>
        <v>0.33820666516716447</v>
      </c>
      <c r="Z1025" s="10">
        <f>GraphSalmonella!$H$80*Salmonella!I1025+GraphSalmonella!$H$81</f>
        <v>7.8244645371761123E-5</v>
      </c>
    </row>
    <row r="1026" spans="1:26" x14ac:dyDescent="0.2">
      <c r="A1026" s="1" t="s">
        <v>66</v>
      </c>
      <c r="B1026" s="1" t="s">
        <v>109</v>
      </c>
      <c r="D1026" t="s">
        <v>44</v>
      </c>
      <c r="E1026" s="1" t="s">
        <v>69</v>
      </c>
      <c r="F1026" s="19" t="s">
        <v>1091</v>
      </c>
      <c r="G1026" s="9"/>
      <c r="H1026" s="4">
        <v>6.9</v>
      </c>
      <c r="I1026" s="4">
        <v>62.5</v>
      </c>
      <c r="J1026" s="11">
        <f>25/60</f>
        <v>0.41666666666666669</v>
      </c>
      <c r="L1026" s="12">
        <f t="shared" si="20"/>
        <v>-0.38021124171160603</v>
      </c>
      <c r="M1026" s="11">
        <f>GraphSalmonella!$B$10-(Salmonella!I1026-GraphSalmonella!$B$6)/GraphSalmonella!$B$5</f>
        <v>-3.8537862449957716E-3</v>
      </c>
      <c r="N1026" s="1" t="s">
        <v>1093</v>
      </c>
      <c r="O1026">
        <v>1997</v>
      </c>
      <c r="P1026" t="s">
        <v>1107</v>
      </c>
      <c r="S1026" s="10">
        <f>GraphSalmonella!$B$57*Salmonella!I1026+GraphSalmonella!$B$58</f>
        <v>0.20124755455325838</v>
      </c>
      <c r="T1026" s="10">
        <f>GraphSalmonella!$E$57*Salmonella!I1026+GraphSalmonella!$E$58</f>
        <v>3.0142876519803519</v>
      </c>
      <c r="U1026" s="10">
        <f>GraphSalmonella!$H$57*Salmonella!I1026+GraphSalmonella!$H$58</f>
        <v>-2.9272884201310134E-3</v>
      </c>
      <c r="X1026" s="10">
        <f>GraphSalmonella!$B$80*Salmonella!I1026+GraphSalmonella!$B$81</f>
        <v>-1.3611945914933088E-3</v>
      </c>
      <c r="Y1026" s="10">
        <f>GraphSalmonella!$E$80*Salmonella!I1026+GraphSalmonella!$E$81</f>
        <v>3.3187145475226387E-3</v>
      </c>
      <c r="Z1026" s="10">
        <f>GraphSalmonella!$H$80*Salmonella!I1026+GraphSalmonella!$H$81</f>
        <v>-0.38746734506676273</v>
      </c>
    </row>
    <row r="1027" spans="1:26" x14ac:dyDescent="0.2">
      <c r="A1027" s="1" t="s">
        <v>66</v>
      </c>
      <c r="B1027" s="1" t="s">
        <v>109</v>
      </c>
      <c r="D1027" t="s">
        <v>44</v>
      </c>
      <c r="E1027" s="1" t="s">
        <v>69</v>
      </c>
      <c r="F1027" s="19" t="s">
        <v>1091</v>
      </c>
      <c r="G1027" s="9"/>
      <c r="H1027" s="4">
        <v>6.8</v>
      </c>
      <c r="I1027" s="4">
        <v>59.5</v>
      </c>
      <c r="J1027" s="11">
        <f>211/60</f>
        <v>3.5166666666666666</v>
      </c>
      <c r="L1027" s="12">
        <f t="shared" si="20"/>
        <v>0.54613120491404898</v>
      </c>
      <c r="M1027" s="11">
        <f>GraphSalmonella!$B$10-(Salmonella!I1027-GraphSalmonella!$B$6)/GraphSalmonella!$B$5</f>
        <v>0.3262394894603633</v>
      </c>
      <c r="N1027" s="1" t="s">
        <v>1093</v>
      </c>
      <c r="O1027">
        <v>1997</v>
      </c>
      <c r="P1027" t="s">
        <v>1107</v>
      </c>
      <c r="S1027" s="10">
        <f>GraphSalmonella!$B$57*Salmonella!I1027+GraphSalmonella!$B$58</f>
        <v>0.38061836773732471</v>
      </c>
      <c r="T1027" s="10">
        <f>GraphSalmonella!$E$57*Salmonella!I1027+GraphSalmonella!$E$58</f>
        <v>3.1615712175275514</v>
      </c>
      <c r="U1027" s="10">
        <f>GraphSalmonella!$H$57*Salmonella!I1027+GraphSalmonella!$H$58</f>
        <v>0.32709168049918169</v>
      </c>
      <c r="X1027" s="10">
        <f>GraphSalmonella!$B$80*Salmonella!I1027+GraphSalmonella!$B$81</f>
        <v>0.32889194452342529</v>
      </c>
      <c r="Y1027" s="10">
        <f>GraphSalmonella!$E$80*Salmonella!I1027+GraphSalmonella!$E$81</f>
        <v>0.33820666516716447</v>
      </c>
      <c r="Z1027" s="10">
        <f>GraphSalmonella!$H$80*Salmonella!I1027+GraphSalmonella!$H$81</f>
        <v>7.8244645371761123E-5</v>
      </c>
    </row>
    <row r="1028" spans="1:26" x14ac:dyDescent="0.2">
      <c r="A1028" s="1" t="s">
        <v>66</v>
      </c>
      <c r="B1028" s="1" t="s">
        <v>67</v>
      </c>
      <c r="D1028" t="s">
        <v>44</v>
      </c>
      <c r="E1028" s="1" t="s">
        <v>69</v>
      </c>
      <c r="F1028" s="19" t="s">
        <v>1091</v>
      </c>
      <c r="G1028" s="9"/>
      <c r="H1028" s="4">
        <v>7.3</v>
      </c>
      <c r="I1028" s="4">
        <v>62.5</v>
      </c>
      <c r="J1028" s="11">
        <f>39/60</f>
        <v>0.65</v>
      </c>
      <c r="L1028" s="12">
        <f t="shared" si="20"/>
        <v>-0.18708664335714442</v>
      </c>
      <c r="M1028" s="11">
        <f>GraphSalmonella!$B$10-(Salmonella!I1028-GraphSalmonella!$B$6)/GraphSalmonella!$B$5</f>
        <v>-3.8537862449957716E-3</v>
      </c>
      <c r="N1028" s="1" t="s">
        <v>1093</v>
      </c>
      <c r="O1028">
        <v>1997</v>
      </c>
      <c r="S1028" s="10">
        <f>GraphSalmonella!$B$57*Salmonella!I1028+GraphSalmonella!$B$58</f>
        <v>0.20124755455325838</v>
      </c>
      <c r="T1028" s="10">
        <f>GraphSalmonella!$E$57*Salmonella!I1028+GraphSalmonella!$E$58</f>
        <v>3.0142876519803519</v>
      </c>
      <c r="U1028" s="10">
        <f>GraphSalmonella!$H$57*Salmonella!I1028+GraphSalmonella!$H$58</f>
        <v>-2.9272884201310134E-3</v>
      </c>
      <c r="X1028" s="10">
        <f>GraphSalmonella!$B$80*Salmonella!I1028+GraphSalmonella!$B$81</f>
        <v>-1.3611945914933088E-3</v>
      </c>
      <c r="Y1028" s="10">
        <f>GraphSalmonella!$E$80*Salmonella!I1028+GraphSalmonella!$E$81</f>
        <v>3.3187145475226387E-3</v>
      </c>
      <c r="Z1028" s="10">
        <f>GraphSalmonella!$H$80*Salmonella!I1028+GraphSalmonella!$H$81</f>
        <v>-0.38746734506676273</v>
      </c>
    </row>
    <row r="1029" spans="1:26" x14ac:dyDescent="0.2">
      <c r="A1029" s="1" t="s">
        <v>66</v>
      </c>
      <c r="B1029" s="1" t="s">
        <v>67</v>
      </c>
      <c r="D1029" t="s">
        <v>44</v>
      </c>
      <c r="E1029" s="1" t="s">
        <v>69</v>
      </c>
      <c r="F1029" s="19" t="s">
        <v>1091</v>
      </c>
      <c r="G1029" s="9"/>
      <c r="H1029" s="4">
        <v>9.6</v>
      </c>
      <c r="I1029" s="4">
        <v>62.5</v>
      </c>
      <c r="J1029" s="11">
        <f>2.1/60</f>
        <v>3.5000000000000003E-2</v>
      </c>
      <c r="L1029" s="12">
        <f t="shared" si="20"/>
        <v>-1.4559319556497243</v>
      </c>
      <c r="M1029" s="11">
        <f>GraphSalmonella!$B$10-(Salmonella!I1029-GraphSalmonella!$B$6)/GraphSalmonella!$B$5</f>
        <v>-3.8537862449957716E-3</v>
      </c>
      <c r="N1029" s="1" t="s">
        <v>1093</v>
      </c>
      <c r="O1029">
        <v>1997</v>
      </c>
      <c r="S1029" s="10">
        <f>GraphSalmonella!$B$57*Salmonella!I1029+GraphSalmonella!$B$58</f>
        <v>0.20124755455325838</v>
      </c>
      <c r="T1029" s="10">
        <f>GraphSalmonella!$E$57*Salmonella!I1029+GraphSalmonella!$E$58</f>
        <v>3.0142876519803519</v>
      </c>
      <c r="U1029" s="10">
        <f>GraphSalmonella!$H$57*Salmonella!I1029+GraphSalmonella!$H$58</f>
        <v>-2.9272884201310134E-3</v>
      </c>
      <c r="X1029" s="10">
        <f>GraphSalmonella!$B$80*Salmonella!I1029+GraphSalmonella!$B$81</f>
        <v>-1.3611945914933088E-3</v>
      </c>
      <c r="Y1029" s="10">
        <f>GraphSalmonella!$E$80*Salmonella!I1029+GraphSalmonella!$E$81</f>
        <v>3.3187145475226387E-3</v>
      </c>
      <c r="Z1029" s="10">
        <f>GraphSalmonella!$H$80*Salmonella!I1029+GraphSalmonella!$H$81</f>
        <v>-0.38746734506676273</v>
      </c>
    </row>
    <row r="1030" spans="1:26" x14ac:dyDescent="0.2">
      <c r="A1030" s="1" t="s">
        <v>66</v>
      </c>
      <c r="B1030" s="1" t="s">
        <v>109</v>
      </c>
      <c r="D1030" t="s">
        <v>44</v>
      </c>
      <c r="E1030" s="1" t="s">
        <v>69</v>
      </c>
      <c r="F1030" s="19" t="s">
        <v>1205</v>
      </c>
      <c r="G1030" s="9"/>
      <c r="H1030" s="4">
        <v>4.8</v>
      </c>
      <c r="I1030" s="4">
        <v>62.5</v>
      </c>
      <c r="J1030" s="11">
        <f>13.9/60</f>
        <v>0.23166666666666666</v>
      </c>
      <c r="L1030" s="12">
        <f t="shared" si="20"/>
        <v>-0.63513645012954856</v>
      </c>
      <c r="M1030" s="11">
        <f>GraphSalmonella!$B$10-(Salmonella!I1030-GraphSalmonella!$B$6)/GraphSalmonella!$B$5</f>
        <v>-3.8537862449957716E-3</v>
      </c>
      <c r="N1030" s="1" t="s">
        <v>1093</v>
      </c>
      <c r="O1030">
        <v>1997</v>
      </c>
      <c r="S1030" s="10">
        <f>GraphSalmonella!$B$57*Salmonella!I1030+GraphSalmonella!$B$58</f>
        <v>0.20124755455325838</v>
      </c>
      <c r="T1030" s="10">
        <f>GraphSalmonella!$E$57*Salmonella!I1030+GraphSalmonella!$E$58</f>
        <v>3.0142876519803519</v>
      </c>
      <c r="U1030" s="10">
        <f>GraphSalmonella!$H$57*Salmonella!I1030+GraphSalmonella!$H$58</f>
        <v>-2.9272884201310134E-3</v>
      </c>
      <c r="X1030" s="10">
        <f>GraphSalmonella!$B$80*Salmonella!I1030+GraphSalmonella!$B$81</f>
        <v>-1.3611945914933088E-3</v>
      </c>
      <c r="Y1030" s="10">
        <f>GraphSalmonella!$E$80*Salmonella!I1030+GraphSalmonella!$E$81</f>
        <v>3.3187145475226387E-3</v>
      </c>
      <c r="Z1030" s="10">
        <f>GraphSalmonella!$H$80*Salmonella!I1030+GraphSalmonella!$H$81</f>
        <v>-0.38746734506676273</v>
      </c>
    </row>
    <row r="1031" spans="1:26" x14ac:dyDescent="0.2">
      <c r="A1031" s="1" t="s">
        <v>66</v>
      </c>
      <c r="B1031" s="1" t="s">
        <v>109</v>
      </c>
      <c r="D1031" t="s">
        <v>44</v>
      </c>
      <c r="E1031" s="1" t="s">
        <v>69</v>
      </c>
      <c r="F1031" s="19" t="s">
        <v>1207</v>
      </c>
      <c r="G1031" s="9"/>
      <c r="H1031" s="4">
        <v>4.8</v>
      </c>
      <c r="I1031" s="4">
        <v>62.5</v>
      </c>
      <c r="J1031" s="11">
        <f>13.3/60</f>
        <v>0.22166666666666668</v>
      </c>
      <c r="L1031" s="12">
        <f t="shared" si="20"/>
        <v>-0.65429960941655785</v>
      </c>
      <c r="M1031" s="11">
        <f>GraphSalmonella!$B$10-(Salmonella!I1031-GraphSalmonella!$B$6)/GraphSalmonella!$B$5</f>
        <v>-3.8537862449957716E-3</v>
      </c>
      <c r="N1031" s="1" t="s">
        <v>1093</v>
      </c>
      <c r="O1031">
        <v>1997</v>
      </c>
      <c r="S1031" s="10">
        <f>GraphSalmonella!$B$57*Salmonella!I1031+GraphSalmonella!$B$58</f>
        <v>0.20124755455325838</v>
      </c>
      <c r="T1031" s="10">
        <f>GraphSalmonella!$E$57*Salmonella!I1031+GraphSalmonella!$E$58</f>
        <v>3.0142876519803519</v>
      </c>
      <c r="U1031" s="10">
        <f>GraphSalmonella!$H$57*Salmonella!I1031+GraphSalmonella!$H$58</f>
        <v>-2.9272884201310134E-3</v>
      </c>
      <c r="X1031" s="10">
        <f>GraphSalmonella!$B$80*Salmonella!I1031+GraphSalmonella!$B$81</f>
        <v>-1.3611945914933088E-3</v>
      </c>
      <c r="Y1031" s="10">
        <f>GraphSalmonella!$E$80*Salmonella!I1031+GraphSalmonella!$E$81</f>
        <v>3.3187145475226387E-3</v>
      </c>
      <c r="Z1031" s="10">
        <f>GraphSalmonella!$H$80*Salmonella!I1031+GraphSalmonella!$H$81</f>
        <v>-0.38746734506676273</v>
      </c>
    </row>
    <row r="1032" spans="1:26" x14ac:dyDescent="0.2">
      <c r="A1032" s="1" t="s">
        <v>66</v>
      </c>
      <c r="B1032" s="1" t="s">
        <v>109</v>
      </c>
      <c r="D1032" t="s">
        <v>44</v>
      </c>
      <c r="E1032" s="1" t="s">
        <v>69</v>
      </c>
      <c r="F1032" s="19" t="s">
        <v>1210</v>
      </c>
      <c r="G1032" s="9"/>
      <c r="H1032" s="4">
        <v>4.8</v>
      </c>
      <c r="I1032" s="4">
        <v>62.5</v>
      </c>
      <c r="J1032" s="11">
        <f>4.8/60</f>
        <v>0.08</v>
      </c>
      <c r="L1032" s="12">
        <f t="shared" si="20"/>
        <v>-1.0969100130080565</v>
      </c>
      <c r="M1032" s="11">
        <f>GraphSalmonella!$B$10-(Salmonella!I1032-GraphSalmonella!$B$6)/GraphSalmonella!$B$5</f>
        <v>-3.8537862449957716E-3</v>
      </c>
      <c r="N1032" s="1" t="s">
        <v>1093</v>
      </c>
      <c r="O1032">
        <v>1997</v>
      </c>
      <c r="S1032" s="10">
        <f>GraphSalmonella!$B$57*Salmonella!I1032+GraphSalmonella!$B$58</f>
        <v>0.20124755455325838</v>
      </c>
      <c r="T1032" s="10">
        <f>GraphSalmonella!$E$57*Salmonella!I1032+GraphSalmonella!$E$58</f>
        <v>3.0142876519803519</v>
      </c>
      <c r="U1032" s="10">
        <f>GraphSalmonella!$H$57*Salmonella!I1032+GraphSalmonella!$H$58</f>
        <v>-2.9272884201310134E-3</v>
      </c>
      <c r="X1032" s="10">
        <f>GraphSalmonella!$B$80*Salmonella!I1032+GraphSalmonella!$B$81</f>
        <v>-1.3611945914933088E-3</v>
      </c>
      <c r="Y1032" s="10">
        <f>GraphSalmonella!$E$80*Salmonella!I1032+GraphSalmonella!$E$81</f>
        <v>3.3187145475226387E-3</v>
      </c>
      <c r="Z1032" s="10">
        <f>GraphSalmonella!$H$80*Salmonella!I1032+GraphSalmonella!$H$81</f>
        <v>-0.38746734506676273</v>
      </c>
    </row>
    <row r="1033" spans="1:26" x14ac:dyDescent="0.2">
      <c r="A1033" s="1" t="s">
        <v>66</v>
      </c>
      <c r="B1033" s="1" t="s">
        <v>109</v>
      </c>
      <c r="D1033" t="s">
        <v>44</v>
      </c>
      <c r="E1033" s="1" t="s">
        <v>69</v>
      </c>
      <c r="F1033" s="19" t="s">
        <v>1206</v>
      </c>
      <c r="G1033" s="9"/>
      <c r="H1033" s="4">
        <v>4.8</v>
      </c>
      <c r="I1033" s="4">
        <v>62.5</v>
      </c>
      <c r="J1033" s="11">
        <f>27.5/60</f>
        <v>0.45833333333333331</v>
      </c>
      <c r="L1033" s="12">
        <f t="shared" si="20"/>
        <v>-0.338818556553381</v>
      </c>
      <c r="M1033" s="11">
        <f>GraphSalmonella!$B$10-(Salmonella!I1033-GraphSalmonella!$B$6)/GraphSalmonella!$B$5</f>
        <v>-3.8537862449957716E-3</v>
      </c>
      <c r="N1033" s="1" t="s">
        <v>1093</v>
      </c>
      <c r="O1033">
        <v>1997</v>
      </c>
      <c r="S1033" s="10">
        <f>GraphSalmonella!$B$57*Salmonella!I1033+GraphSalmonella!$B$58</f>
        <v>0.20124755455325838</v>
      </c>
      <c r="T1033" s="10">
        <f>GraphSalmonella!$E$57*Salmonella!I1033+GraphSalmonella!$E$58</f>
        <v>3.0142876519803519</v>
      </c>
      <c r="U1033" s="10">
        <f>GraphSalmonella!$H$57*Salmonella!I1033+GraphSalmonella!$H$58</f>
        <v>-2.9272884201310134E-3</v>
      </c>
      <c r="X1033" s="10">
        <f>GraphSalmonella!$B$80*Salmonella!I1033+GraphSalmonella!$B$81</f>
        <v>-1.3611945914933088E-3</v>
      </c>
      <c r="Y1033" s="10">
        <f>GraphSalmonella!$E$80*Salmonella!I1033+GraphSalmonella!$E$81</f>
        <v>3.3187145475226387E-3</v>
      </c>
      <c r="Z1033" s="10">
        <f>GraphSalmonella!$H$80*Salmonella!I1033+GraphSalmonella!$H$81</f>
        <v>-0.38746734506676273</v>
      </c>
    </row>
    <row r="1034" spans="1:26" x14ac:dyDescent="0.2">
      <c r="A1034" s="1" t="s">
        <v>66</v>
      </c>
      <c r="B1034" s="1" t="s">
        <v>109</v>
      </c>
      <c r="D1034" t="s">
        <v>44</v>
      </c>
      <c r="E1034" s="1" t="s">
        <v>69</v>
      </c>
      <c r="F1034" s="19" t="s">
        <v>1208</v>
      </c>
      <c r="G1034" s="9"/>
      <c r="H1034" s="4">
        <v>4.8</v>
      </c>
      <c r="I1034" s="4">
        <v>62.5</v>
      </c>
      <c r="J1034" s="11">
        <f>43.8/60</f>
        <v>0.73</v>
      </c>
      <c r="L1034" s="12">
        <f t="shared" si="20"/>
        <v>-0.13667713987954411</v>
      </c>
      <c r="M1034" s="11">
        <f>GraphSalmonella!$B$10-(Salmonella!I1034-GraphSalmonella!$B$6)/GraphSalmonella!$B$5</f>
        <v>-3.8537862449957716E-3</v>
      </c>
      <c r="N1034" s="1" t="s">
        <v>1093</v>
      </c>
      <c r="O1034">
        <v>1997</v>
      </c>
      <c r="S1034" s="10">
        <f>GraphSalmonella!$B$57*Salmonella!I1034+GraphSalmonella!$B$58</f>
        <v>0.20124755455325838</v>
      </c>
      <c r="T1034" s="10">
        <f>GraphSalmonella!$E$57*Salmonella!I1034+GraphSalmonella!$E$58</f>
        <v>3.0142876519803519</v>
      </c>
      <c r="U1034" s="10">
        <f>GraphSalmonella!$H$57*Salmonella!I1034+GraphSalmonella!$H$58</f>
        <v>-2.9272884201310134E-3</v>
      </c>
      <c r="X1034" s="10">
        <f>GraphSalmonella!$B$80*Salmonella!I1034+GraphSalmonella!$B$81</f>
        <v>-1.3611945914933088E-3</v>
      </c>
      <c r="Y1034" s="10">
        <f>GraphSalmonella!$E$80*Salmonella!I1034+GraphSalmonella!$E$81</f>
        <v>3.3187145475226387E-3</v>
      </c>
      <c r="Z1034" s="10">
        <f>GraphSalmonella!$H$80*Salmonella!I1034+GraphSalmonella!$H$81</f>
        <v>-0.38746734506676273</v>
      </c>
    </row>
    <row r="1035" spans="1:26" x14ac:dyDescent="0.2">
      <c r="A1035" s="1" t="s">
        <v>66</v>
      </c>
      <c r="B1035" s="1" t="s">
        <v>109</v>
      </c>
      <c r="D1035" t="s">
        <v>44</v>
      </c>
      <c r="E1035" s="1" t="s">
        <v>69</v>
      </c>
      <c r="F1035" s="19" t="s">
        <v>1209</v>
      </c>
      <c r="G1035" s="9"/>
      <c r="H1035" s="4">
        <v>4.8</v>
      </c>
      <c r="I1035" s="4">
        <v>62.5</v>
      </c>
      <c r="J1035" s="11">
        <f>39.4/60</f>
        <v>0.65666666666666662</v>
      </c>
      <c r="L1035" s="12">
        <f t="shared" si="20"/>
        <v>-0.18265502855806953</v>
      </c>
      <c r="M1035" s="11">
        <f>GraphSalmonella!$B$10-(Salmonella!I1035-GraphSalmonella!$B$6)/GraphSalmonella!$B$5</f>
        <v>-3.8537862449957716E-3</v>
      </c>
      <c r="N1035" s="1" t="s">
        <v>1093</v>
      </c>
      <c r="O1035">
        <v>1997</v>
      </c>
      <c r="S1035" s="10">
        <f>GraphSalmonella!$B$57*Salmonella!I1035+GraphSalmonella!$B$58</f>
        <v>0.20124755455325838</v>
      </c>
      <c r="T1035" s="10">
        <f>GraphSalmonella!$E$57*Salmonella!I1035+GraphSalmonella!$E$58</f>
        <v>3.0142876519803519</v>
      </c>
      <c r="U1035" s="10">
        <f>GraphSalmonella!$H$57*Salmonella!I1035+GraphSalmonella!$H$58</f>
        <v>-2.9272884201310134E-3</v>
      </c>
      <c r="X1035" s="10">
        <f>GraphSalmonella!$B$80*Salmonella!I1035+GraphSalmonella!$B$81</f>
        <v>-1.3611945914933088E-3</v>
      </c>
      <c r="Y1035" s="10">
        <f>GraphSalmonella!$E$80*Salmonella!I1035+GraphSalmonella!$E$81</f>
        <v>3.3187145475226387E-3</v>
      </c>
      <c r="Z1035" s="10">
        <f>GraphSalmonella!$H$80*Salmonella!I1035+GraphSalmonella!$H$81</f>
        <v>-0.38746734506676273</v>
      </c>
    </row>
    <row r="1036" spans="1:26" x14ac:dyDescent="0.2">
      <c r="A1036" s="1" t="s">
        <v>66</v>
      </c>
      <c r="B1036" s="1" t="s">
        <v>109</v>
      </c>
      <c r="D1036" t="s">
        <v>44</v>
      </c>
      <c r="E1036" s="1" t="s">
        <v>69</v>
      </c>
      <c r="F1036" s="19" t="s">
        <v>1108</v>
      </c>
      <c r="G1036" s="9"/>
      <c r="H1036" s="4">
        <v>4.5999999999999996</v>
      </c>
      <c r="I1036" s="4">
        <v>62.5</v>
      </c>
      <c r="J1036" s="11">
        <f>15.4/60</f>
        <v>0.25666666666666665</v>
      </c>
      <c r="L1036" s="12">
        <f t="shared" si="20"/>
        <v>-0.59063052954718054</v>
      </c>
      <c r="M1036" s="11">
        <f>GraphSalmonella!$B$10-(Salmonella!I1036-GraphSalmonella!$B$6)/GraphSalmonella!$B$5</f>
        <v>-3.8537862449957716E-3</v>
      </c>
      <c r="N1036" s="1" t="s">
        <v>1093</v>
      </c>
      <c r="O1036">
        <v>1997</v>
      </c>
      <c r="S1036" s="10">
        <f>GraphSalmonella!$B$57*Salmonella!I1036+GraphSalmonella!$B$58</f>
        <v>0.20124755455325838</v>
      </c>
      <c r="T1036" s="10">
        <f>GraphSalmonella!$E$57*Salmonella!I1036+GraphSalmonella!$E$58</f>
        <v>3.0142876519803519</v>
      </c>
      <c r="U1036" s="10">
        <f>GraphSalmonella!$H$57*Salmonella!I1036+GraphSalmonella!$H$58</f>
        <v>-2.9272884201310134E-3</v>
      </c>
      <c r="X1036" s="10">
        <f>GraphSalmonella!$B$80*Salmonella!I1036+GraphSalmonella!$B$81</f>
        <v>-1.3611945914933088E-3</v>
      </c>
      <c r="Y1036" s="10">
        <f>GraphSalmonella!$E$80*Salmonella!I1036+GraphSalmonella!$E$81</f>
        <v>3.3187145475226387E-3</v>
      </c>
      <c r="Z1036" s="10">
        <f>GraphSalmonella!$H$80*Salmonella!I1036+GraphSalmonella!$H$81</f>
        <v>-0.38746734506676273</v>
      </c>
    </row>
    <row r="1037" spans="1:26" x14ac:dyDescent="0.2">
      <c r="A1037" s="1" t="s">
        <v>66</v>
      </c>
      <c r="B1037" s="1" t="s">
        <v>109</v>
      </c>
      <c r="D1037" t="s">
        <v>44</v>
      </c>
      <c r="E1037" s="1" t="s">
        <v>69</v>
      </c>
      <c r="F1037" s="19" t="s">
        <v>1109</v>
      </c>
      <c r="G1037" s="9"/>
      <c r="H1037" s="4">
        <v>4.5</v>
      </c>
      <c r="I1037" s="4">
        <v>62.5</v>
      </c>
      <c r="J1037" s="11">
        <f>14.8/60</f>
        <v>0.24666666666666667</v>
      </c>
      <c r="L1037" s="12">
        <f t="shared" si="20"/>
        <v>-0.60788953498868625</v>
      </c>
      <c r="M1037" s="11">
        <f>GraphSalmonella!$B$10-(Salmonella!I1037-GraphSalmonella!$B$6)/GraphSalmonella!$B$5</f>
        <v>-3.8537862449957716E-3</v>
      </c>
      <c r="N1037" s="1" t="s">
        <v>1093</v>
      </c>
      <c r="O1037">
        <v>1997</v>
      </c>
      <c r="S1037" s="10">
        <f>GraphSalmonella!$B$57*Salmonella!I1037+GraphSalmonella!$B$58</f>
        <v>0.20124755455325838</v>
      </c>
      <c r="T1037" s="10">
        <f>GraphSalmonella!$E$57*Salmonella!I1037+GraphSalmonella!$E$58</f>
        <v>3.0142876519803519</v>
      </c>
      <c r="U1037" s="10">
        <f>GraphSalmonella!$H$57*Salmonella!I1037+GraphSalmonella!$H$58</f>
        <v>-2.9272884201310134E-3</v>
      </c>
      <c r="X1037" s="10">
        <f>GraphSalmonella!$B$80*Salmonella!I1037+GraphSalmonella!$B$81</f>
        <v>-1.3611945914933088E-3</v>
      </c>
      <c r="Y1037" s="10">
        <f>GraphSalmonella!$E$80*Salmonella!I1037+GraphSalmonella!$E$81</f>
        <v>3.3187145475226387E-3</v>
      </c>
      <c r="Z1037" s="10">
        <f>GraphSalmonella!$H$80*Salmonella!I1037+GraphSalmonella!$H$81</f>
        <v>-0.38746734506676273</v>
      </c>
    </row>
    <row r="1038" spans="1:26" x14ac:dyDescent="0.2">
      <c r="A1038" s="1" t="s">
        <v>66</v>
      </c>
      <c r="B1038" s="1" t="s">
        <v>109</v>
      </c>
      <c r="D1038" t="s">
        <v>44</v>
      </c>
      <c r="E1038" s="1" t="s">
        <v>69</v>
      </c>
      <c r="F1038" s="19" t="s">
        <v>1201</v>
      </c>
      <c r="G1038" s="9"/>
      <c r="H1038" s="4">
        <v>4.4000000000000004</v>
      </c>
      <c r="I1038" s="4">
        <v>62.5</v>
      </c>
      <c r="J1038" s="11">
        <f>1.7/60</f>
        <v>2.8333333333333332E-2</v>
      </c>
      <c r="L1038" s="12">
        <f t="shared" si="20"/>
        <v>-1.5477023290053697</v>
      </c>
      <c r="M1038" s="11">
        <f>GraphSalmonella!$B$10-(Salmonella!I1038-GraphSalmonella!$B$6)/GraphSalmonella!$B$5</f>
        <v>-3.8537862449957716E-3</v>
      </c>
      <c r="N1038" s="1" t="s">
        <v>1093</v>
      </c>
      <c r="O1038">
        <v>1997</v>
      </c>
      <c r="S1038" s="10">
        <f>GraphSalmonella!$B$57*Salmonella!I1038+GraphSalmonella!$B$58</f>
        <v>0.20124755455325838</v>
      </c>
      <c r="T1038" s="10">
        <f>GraphSalmonella!$E$57*Salmonella!I1038+GraphSalmonella!$E$58</f>
        <v>3.0142876519803519</v>
      </c>
      <c r="U1038" s="10">
        <f>GraphSalmonella!$H$57*Salmonella!I1038+GraphSalmonella!$H$58</f>
        <v>-2.9272884201310134E-3</v>
      </c>
      <c r="X1038" s="10">
        <f>GraphSalmonella!$B$80*Salmonella!I1038+GraphSalmonella!$B$81</f>
        <v>-1.3611945914933088E-3</v>
      </c>
      <c r="Y1038" s="10">
        <f>GraphSalmonella!$E$80*Salmonella!I1038+GraphSalmonella!$E$81</f>
        <v>3.3187145475226387E-3</v>
      </c>
      <c r="Z1038" s="10">
        <f>GraphSalmonella!$H$80*Salmonella!I1038+GraphSalmonella!$H$81</f>
        <v>-0.38746734506676273</v>
      </c>
    </row>
    <row r="1039" spans="1:26" x14ac:dyDescent="0.2">
      <c r="A1039" s="1" t="s">
        <v>66</v>
      </c>
      <c r="B1039" s="1" t="s">
        <v>67</v>
      </c>
      <c r="D1039" t="s">
        <v>44</v>
      </c>
      <c r="E1039" s="1" t="s">
        <v>69</v>
      </c>
      <c r="F1039" s="1"/>
      <c r="G1039" s="9"/>
      <c r="I1039" s="4">
        <v>55</v>
      </c>
      <c r="J1039" s="11">
        <v>24</v>
      </c>
      <c r="L1039" s="12">
        <f t="shared" si="20"/>
        <v>1.3802112417116059</v>
      </c>
      <c r="M1039" s="11">
        <f>GraphSalmonella!$B$10-(Salmonella!I1039-GraphSalmonella!$B$6)/GraphSalmonella!$B$5</f>
        <v>0.82137940301840184</v>
      </c>
      <c r="N1039" s="2" t="s">
        <v>1226</v>
      </c>
      <c r="O1039">
        <v>1996</v>
      </c>
      <c r="S1039" s="10">
        <f>GraphSalmonella!$B$57*Salmonella!I1039+GraphSalmonella!$B$58</f>
        <v>0.64967458751342466</v>
      </c>
      <c r="T1039" s="10">
        <f>GraphSalmonella!$E$57*Salmonella!I1039+GraphSalmonella!$E$58</f>
        <v>3.3824965658483515</v>
      </c>
      <c r="U1039" s="10">
        <f>GraphSalmonella!$H$57*Salmonella!I1039+GraphSalmonella!$H$58</f>
        <v>0.82212013387815031</v>
      </c>
      <c r="X1039" s="10">
        <f>GraphSalmonella!$B$80*Salmonella!I1039+GraphSalmonella!$B$81</f>
        <v>0.82427165319580453</v>
      </c>
      <c r="Y1039" s="10">
        <f>GraphSalmonella!$E$80*Salmonella!I1039+GraphSalmonella!$E$81</f>
        <v>0.84053859109662721</v>
      </c>
      <c r="Z1039" s="10">
        <f>GraphSalmonella!$H$80*Salmonella!I1039+GraphSalmonella!$H$81</f>
        <v>0.58139662921357438</v>
      </c>
    </row>
    <row r="1040" spans="1:26" x14ac:dyDescent="0.2">
      <c r="A1040" s="1" t="s">
        <v>66</v>
      </c>
      <c r="B1040" s="1" t="s">
        <v>70</v>
      </c>
      <c r="D1040" t="s">
        <v>44</v>
      </c>
      <c r="E1040" s="1" t="s">
        <v>69</v>
      </c>
      <c r="F1040" s="1"/>
      <c r="G1040" s="9"/>
      <c r="I1040" s="4">
        <v>52</v>
      </c>
      <c r="J1040" s="11">
        <v>20</v>
      </c>
      <c r="K1040" s="4">
        <v>7.3</v>
      </c>
      <c r="L1040" s="12">
        <f t="shared" si="20"/>
        <v>1.3010299956639813</v>
      </c>
      <c r="M1040" s="11">
        <f>GraphSalmonella!$B$10-(Salmonella!I1040-GraphSalmonella!$B$6)/GraphSalmonella!$B$5</f>
        <v>1.1514726787237608</v>
      </c>
      <c r="N1040" s="1" t="s">
        <v>319</v>
      </c>
      <c r="O1040">
        <v>2000</v>
      </c>
      <c r="P1040" t="s">
        <v>366</v>
      </c>
      <c r="S1040" s="10">
        <f>GraphSalmonella!$B$57*Salmonella!I1040+GraphSalmonella!$B$58</f>
        <v>0.829045400697491</v>
      </c>
      <c r="T1040" s="10">
        <f>GraphSalmonella!$E$57*Salmonella!I1040+GraphSalmonella!$E$58</f>
        <v>3.529780131395551</v>
      </c>
      <c r="U1040" s="10">
        <f>GraphSalmonella!$H$57*Salmonella!I1040+GraphSalmonella!$H$58</f>
        <v>1.1521391027974621</v>
      </c>
      <c r="X1040" s="10">
        <f>GraphSalmonella!$B$80*Salmonella!I1040+GraphSalmonella!$B$81</f>
        <v>1.154524792310724</v>
      </c>
      <c r="Y1040" s="10">
        <f>GraphSalmonella!$E$80*Salmonella!I1040+GraphSalmonella!$E$81</f>
        <v>1.175426541716269</v>
      </c>
      <c r="Z1040" s="10">
        <f>GraphSalmonella!$H$80*Salmonella!I1040+GraphSalmonella!$H$81</f>
        <v>0.96894221892570975</v>
      </c>
    </row>
    <row r="1041" spans="1:26" x14ac:dyDescent="0.2">
      <c r="A1041" s="1" t="s">
        <v>66</v>
      </c>
      <c r="B1041" s="1" t="s">
        <v>70</v>
      </c>
      <c r="D1041" t="s">
        <v>44</v>
      </c>
      <c r="E1041" s="1" t="s">
        <v>69</v>
      </c>
      <c r="F1041" s="1"/>
      <c r="G1041" s="9"/>
      <c r="I1041" s="4">
        <v>55</v>
      </c>
      <c r="J1041" s="11">
        <v>8.5</v>
      </c>
      <c r="L1041" s="12">
        <f t="shared" si="20"/>
        <v>0.92941892571429274</v>
      </c>
      <c r="M1041" s="11">
        <f>GraphSalmonella!$B$10-(Salmonella!I1041-GraphSalmonella!$B$6)/GraphSalmonella!$B$5</f>
        <v>0.82137940301840184</v>
      </c>
      <c r="N1041" s="2" t="s">
        <v>1226</v>
      </c>
      <c r="O1041">
        <v>1996</v>
      </c>
      <c r="S1041" s="10">
        <f>GraphSalmonella!$B$57*Salmonella!I1041+GraphSalmonella!$B$58</f>
        <v>0.64967458751342466</v>
      </c>
      <c r="T1041" s="10">
        <f>GraphSalmonella!$E$57*Salmonella!I1041+GraphSalmonella!$E$58</f>
        <v>3.3824965658483515</v>
      </c>
      <c r="U1041" s="10">
        <f>GraphSalmonella!$H$57*Salmonella!I1041+GraphSalmonella!$H$58</f>
        <v>0.82212013387815031</v>
      </c>
      <c r="X1041" s="10">
        <f>GraphSalmonella!$B$80*Salmonella!I1041+GraphSalmonella!$B$81</f>
        <v>0.82427165319580453</v>
      </c>
      <c r="Y1041" s="10">
        <f>GraphSalmonella!$E$80*Salmonella!I1041+GraphSalmonella!$E$81</f>
        <v>0.84053859109662721</v>
      </c>
      <c r="Z1041" s="10">
        <f>GraphSalmonella!$H$80*Salmonella!I1041+GraphSalmonella!$H$81</f>
        <v>0.58139662921357438</v>
      </c>
    </row>
    <row r="1042" spans="1:26" x14ac:dyDescent="0.2">
      <c r="A1042" s="1" t="s">
        <v>66</v>
      </c>
      <c r="B1042" s="1" t="s">
        <v>70</v>
      </c>
      <c r="D1042" t="s">
        <v>44</v>
      </c>
      <c r="E1042" s="1" t="s">
        <v>69</v>
      </c>
      <c r="F1042" s="1"/>
      <c r="G1042" s="9"/>
      <c r="I1042" s="4">
        <v>55</v>
      </c>
      <c r="J1042" s="11">
        <v>14</v>
      </c>
      <c r="K1042" s="4">
        <v>7.3</v>
      </c>
      <c r="L1042" s="12">
        <f t="shared" si="20"/>
        <v>1.146128035678238</v>
      </c>
      <c r="M1042" s="11">
        <f>GraphSalmonella!$B$10-(Salmonella!I1042-GraphSalmonella!$B$6)/GraphSalmonella!$B$5</f>
        <v>0.82137940301840184</v>
      </c>
      <c r="N1042" s="1" t="s">
        <v>319</v>
      </c>
      <c r="O1042">
        <v>2000</v>
      </c>
      <c r="P1042" t="s">
        <v>366</v>
      </c>
      <c r="S1042" s="10">
        <f>GraphSalmonella!$B$57*Salmonella!I1042+GraphSalmonella!$B$58</f>
        <v>0.64967458751342466</v>
      </c>
      <c r="T1042" s="10">
        <f>GraphSalmonella!$E$57*Salmonella!I1042+GraphSalmonella!$E$58</f>
        <v>3.3824965658483515</v>
      </c>
      <c r="U1042" s="10">
        <f>GraphSalmonella!$H$57*Salmonella!I1042+GraphSalmonella!$H$58</f>
        <v>0.82212013387815031</v>
      </c>
      <c r="X1042" s="10">
        <f>GraphSalmonella!$B$80*Salmonella!I1042+GraphSalmonella!$B$81</f>
        <v>0.82427165319580453</v>
      </c>
      <c r="Y1042" s="10">
        <f>GraphSalmonella!$E$80*Salmonella!I1042+GraphSalmonella!$E$81</f>
        <v>0.84053859109662721</v>
      </c>
      <c r="Z1042" s="10">
        <f>GraphSalmonella!$H$80*Salmonella!I1042+GraphSalmonella!$H$81</f>
        <v>0.58139662921357438</v>
      </c>
    </row>
    <row r="1043" spans="1:26" x14ac:dyDescent="0.2">
      <c r="A1043" s="1" t="s">
        <v>66</v>
      </c>
      <c r="B1043" s="1" t="s">
        <v>70</v>
      </c>
      <c r="D1043" t="s">
        <v>44</v>
      </c>
      <c r="E1043" s="1" t="s">
        <v>69</v>
      </c>
      <c r="F1043" s="1"/>
      <c r="G1043" s="9"/>
      <c r="I1043" s="4">
        <v>58</v>
      </c>
      <c r="J1043" s="11">
        <v>5</v>
      </c>
      <c r="K1043" s="4">
        <v>7.3</v>
      </c>
      <c r="L1043" s="12">
        <f t="shared" si="20"/>
        <v>0.69897000433601886</v>
      </c>
      <c r="M1043" s="11">
        <f>GraphSalmonella!$B$10-(Salmonella!I1043-GraphSalmonella!$B$6)/GraphSalmonella!$B$5</f>
        <v>0.49128612731304266</v>
      </c>
      <c r="N1043" s="1" t="s">
        <v>319</v>
      </c>
      <c r="O1043">
        <v>2000</v>
      </c>
      <c r="P1043" t="s">
        <v>366</v>
      </c>
      <c r="S1043" s="10">
        <f>GraphSalmonella!$B$57*Salmonella!I1043+GraphSalmonella!$B$58</f>
        <v>0.47030377432935788</v>
      </c>
      <c r="T1043" s="10">
        <f>GraphSalmonella!$E$57*Salmonella!I1043+GraphSalmonella!$E$58</f>
        <v>3.2352130003011514</v>
      </c>
      <c r="U1043" s="10">
        <f>GraphSalmonella!$H$57*Salmonella!I1043+GraphSalmonella!$H$58</f>
        <v>0.4921011649588376</v>
      </c>
      <c r="X1043" s="10">
        <f>GraphSalmonella!$B$80*Salmonella!I1043+GraphSalmonella!$B$81</f>
        <v>0.49401851408088504</v>
      </c>
      <c r="Y1043" s="10">
        <f>GraphSalmonella!$E$80*Salmonella!I1043+GraphSalmonella!$E$81</f>
        <v>0.50565064047698538</v>
      </c>
      <c r="Z1043" s="10">
        <f>GraphSalmonella!$H$80*Salmonella!I1043+GraphSalmonella!$H$81</f>
        <v>0.19385103950143989</v>
      </c>
    </row>
    <row r="1044" spans="1:26" x14ac:dyDescent="0.2">
      <c r="A1044" s="1" t="s">
        <v>66</v>
      </c>
      <c r="B1044" s="1" t="s">
        <v>70</v>
      </c>
      <c r="D1044" t="s">
        <v>44</v>
      </c>
      <c r="E1044" s="1" t="s">
        <v>69</v>
      </c>
      <c r="F1044" s="1"/>
      <c r="G1044" s="9"/>
      <c r="I1044" s="4">
        <v>60</v>
      </c>
      <c r="J1044" s="11">
        <v>0.3</v>
      </c>
      <c r="K1044" s="4">
        <v>7.3</v>
      </c>
      <c r="L1044" s="12">
        <f t="shared" si="20"/>
        <v>-0.52287874528033762</v>
      </c>
      <c r="M1044" s="11">
        <f>GraphSalmonella!$B$10-(Salmonella!I1044-GraphSalmonella!$B$6)/GraphSalmonella!$B$5</f>
        <v>0.2712239435094701</v>
      </c>
      <c r="N1044" s="1" t="s">
        <v>319</v>
      </c>
      <c r="O1044">
        <v>2000</v>
      </c>
      <c r="P1044" t="s">
        <v>366</v>
      </c>
      <c r="S1044" s="10">
        <f>GraphSalmonella!$B$57*Salmonella!I1044+GraphSalmonella!$B$58</f>
        <v>0.35072323220664714</v>
      </c>
      <c r="T1044" s="10">
        <f>GraphSalmonella!$E$57*Salmonella!I1044+GraphSalmonella!$E$58</f>
        <v>3.1370239566030182</v>
      </c>
      <c r="U1044" s="10">
        <f>GraphSalmonella!$H$57*Salmonella!I1044+GraphSalmonella!$H$58</f>
        <v>0.27208851901262943</v>
      </c>
      <c r="X1044" s="10">
        <f>GraphSalmonella!$B$80*Salmonella!I1044+GraphSalmonella!$B$81</f>
        <v>0.2738497546709393</v>
      </c>
      <c r="Y1044" s="10">
        <f>GraphSalmonella!$E$80*Salmonella!I1044+GraphSalmonella!$E$81</f>
        <v>0.2823920067305572</v>
      </c>
      <c r="Z1044" s="10">
        <f>GraphSalmonella!$H$80*Salmonella!I1044+GraphSalmonella!$H$81</f>
        <v>-6.4512686973317024E-2</v>
      </c>
    </row>
    <row r="1045" spans="1:26" x14ac:dyDescent="0.2">
      <c r="A1045" s="1" t="s">
        <v>66</v>
      </c>
      <c r="B1045" s="1" t="s">
        <v>70</v>
      </c>
      <c r="D1045" t="s">
        <v>44</v>
      </c>
      <c r="E1045" s="1" t="s">
        <v>91</v>
      </c>
      <c r="F1045" s="1"/>
      <c r="G1045" s="9"/>
      <c r="I1045" s="4">
        <v>51.4</v>
      </c>
      <c r="J1045" s="11">
        <v>49</v>
      </c>
      <c r="L1045" s="12">
        <f t="shared" si="20"/>
        <v>1.6901960800285136</v>
      </c>
      <c r="M1045" s="11">
        <f>GraphSalmonella!$B$10-(Salmonella!I1045-GraphSalmonella!$B$6)/GraphSalmonella!$B$5</f>
        <v>1.217491333864833</v>
      </c>
      <c r="N1045" s="2" t="s">
        <v>1226</v>
      </c>
      <c r="O1045">
        <v>1996</v>
      </c>
      <c r="S1045" s="10">
        <f>GraphSalmonella!$B$57*Salmonella!I1045+GraphSalmonella!$B$58</f>
        <v>0.86491956333430409</v>
      </c>
      <c r="T1045" s="10">
        <f>GraphSalmonella!$E$57*Salmonella!I1045+GraphSalmonella!$E$58</f>
        <v>3.5592368445049911</v>
      </c>
      <c r="U1045" s="10">
        <f>GraphSalmonella!$H$57*Salmonella!I1045+GraphSalmonella!$H$58</f>
        <v>1.218142896581325</v>
      </c>
      <c r="X1045" s="10">
        <f>GraphSalmonella!$B$80*Salmonella!I1045+GraphSalmonella!$B$81</f>
        <v>1.2205754201337076</v>
      </c>
      <c r="Y1045" s="10">
        <f>GraphSalmonella!$E$80*Salmonella!I1045+GraphSalmonella!$E$81</f>
        <v>1.2424041318401979</v>
      </c>
      <c r="Z1045" s="10">
        <f>GraphSalmonella!$H$80*Salmonella!I1045+GraphSalmonella!$H$81</f>
        <v>1.0464513368681372</v>
      </c>
    </row>
    <row r="1046" spans="1:26" x14ac:dyDescent="0.2">
      <c r="A1046" s="1" t="s">
        <v>66</v>
      </c>
      <c r="B1046" s="1" t="s">
        <v>70</v>
      </c>
      <c r="D1046" t="s">
        <v>44</v>
      </c>
      <c r="E1046" s="1" t="s">
        <v>91</v>
      </c>
      <c r="F1046" s="1"/>
      <c r="G1046" s="9"/>
      <c r="I1046" s="4">
        <v>52.5</v>
      </c>
      <c r="J1046" s="11">
        <v>22.5</v>
      </c>
      <c r="L1046" s="12">
        <f t="shared" si="20"/>
        <v>1.3521825181113625</v>
      </c>
      <c r="M1046" s="11">
        <f>GraphSalmonella!$B$10-(Salmonella!I1046-GraphSalmonella!$B$6)/GraphSalmonella!$B$5</f>
        <v>1.0964571327728676</v>
      </c>
      <c r="N1046" s="2" t="s">
        <v>1226</v>
      </c>
      <c r="O1046">
        <v>1996</v>
      </c>
      <c r="S1046" s="10">
        <f>GraphSalmonella!$B$57*Salmonella!I1046+GraphSalmonella!$B$58</f>
        <v>0.79915026516681298</v>
      </c>
      <c r="T1046" s="10">
        <f>GraphSalmonella!$E$57*Salmonella!I1046+GraphSalmonella!$E$58</f>
        <v>3.5052328704710178</v>
      </c>
      <c r="U1046" s="10">
        <f>GraphSalmonella!$H$57*Salmonella!I1046+GraphSalmonella!$H$58</f>
        <v>1.0971359413109099</v>
      </c>
      <c r="X1046" s="10">
        <f>GraphSalmonella!$B$80*Salmonella!I1046+GraphSalmonella!$B$81</f>
        <v>1.0994826024582371</v>
      </c>
      <c r="Y1046" s="10">
        <f>GraphSalmonella!$E$80*Salmonella!I1046+GraphSalmonella!$E$81</f>
        <v>1.1196118832796627</v>
      </c>
      <c r="Z1046" s="10">
        <f>GraphSalmonella!$H$80*Salmonella!I1046+GraphSalmonella!$H$81</f>
        <v>0.90435128730702097</v>
      </c>
    </row>
    <row r="1047" spans="1:26" x14ac:dyDescent="0.2">
      <c r="A1047" s="1" t="s">
        <v>66</v>
      </c>
      <c r="B1047" s="1" t="s">
        <v>70</v>
      </c>
      <c r="D1047" t="s">
        <v>44</v>
      </c>
      <c r="E1047" s="1" t="s">
        <v>91</v>
      </c>
      <c r="F1047" s="1"/>
      <c r="G1047" s="9"/>
      <c r="I1047" s="4">
        <v>52.9</v>
      </c>
      <c r="J1047" s="11">
        <v>20</v>
      </c>
      <c r="L1047" s="12">
        <f t="shared" si="20"/>
        <v>1.3010299956639813</v>
      </c>
      <c r="M1047" s="11">
        <f>GraphSalmonella!$B$10-(Salmonella!I1047-GraphSalmonella!$B$6)/GraphSalmonella!$B$5</f>
        <v>1.0524446960121532</v>
      </c>
      <c r="N1047" s="2" t="s">
        <v>1226</v>
      </c>
      <c r="O1047">
        <v>1996</v>
      </c>
      <c r="S1047" s="10">
        <f>GraphSalmonella!$B$57*Salmonella!I1047+GraphSalmonella!$B$58</f>
        <v>0.77523415674227092</v>
      </c>
      <c r="T1047" s="10">
        <f>GraphSalmonella!$E$57*Salmonella!I1047+GraphSalmonella!$E$58</f>
        <v>3.4855950617313911</v>
      </c>
      <c r="U1047" s="10">
        <f>GraphSalmonella!$H$57*Salmonella!I1047+GraphSalmonella!$H$58</f>
        <v>1.0531334121216691</v>
      </c>
      <c r="X1047" s="10">
        <f>GraphSalmonella!$B$80*Salmonella!I1047+GraphSalmonella!$B$81</f>
        <v>1.0554488505762478</v>
      </c>
      <c r="Y1047" s="10">
        <f>GraphSalmonella!$E$80*Salmonella!I1047+GraphSalmonella!$E$81</f>
        <v>1.074960156530377</v>
      </c>
      <c r="Z1047" s="10">
        <f>GraphSalmonella!$H$80*Salmonella!I1047+GraphSalmonella!$H$81</f>
        <v>0.85267854201206994</v>
      </c>
    </row>
    <row r="1048" spans="1:26" x14ac:dyDescent="0.2">
      <c r="A1048" s="1" t="s">
        <v>66</v>
      </c>
      <c r="B1048" s="1" t="s">
        <v>70</v>
      </c>
      <c r="D1048" t="s">
        <v>44</v>
      </c>
      <c r="E1048" s="1" t="s">
        <v>91</v>
      </c>
      <c r="F1048" s="1"/>
      <c r="G1048" s="9"/>
      <c r="I1048" s="4">
        <v>53.9</v>
      </c>
      <c r="J1048" s="11">
        <v>10.8</v>
      </c>
      <c r="L1048" s="12">
        <f t="shared" si="20"/>
        <v>1.0334237554869496</v>
      </c>
      <c r="M1048" s="11">
        <f>GraphSalmonella!$B$10-(Salmonella!I1048-GraphSalmonella!$B$6)/GraphSalmonella!$B$5</f>
        <v>0.94241360411036701</v>
      </c>
      <c r="N1048" s="2" t="s">
        <v>1226</v>
      </c>
      <c r="O1048">
        <v>1996</v>
      </c>
      <c r="S1048" s="10">
        <f>GraphSalmonella!$B$57*Salmonella!I1048+GraphSalmonella!$B$58</f>
        <v>0.71544388568091577</v>
      </c>
      <c r="T1048" s="10">
        <f>GraphSalmonella!$E$57*Salmonella!I1048+GraphSalmonella!$E$58</f>
        <v>3.4365005398823247</v>
      </c>
      <c r="U1048" s="10">
        <f>GraphSalmonella!$H$57*Salmonella!I1048+GraphSalmonella!$H$58</f>
        <v>0.94312708914856458</v>
      </c>
      <c r="X1048" s="10">
        <f>GraphSalmonella!$B$80*Salmonella!I1048+GraphSalmonella!$B$81</f>
        <v>0.94536447087127495</v>
      </c>
      <c r="Y1048" s="10">
        <f>GraphSalmonella!$E$80*Salmonella!I1048+GraphSalmonella!$E$81</f>
        <v>0.96333083965716337</v>
      </c>
      <c r="Z1048" s="10">
        <f>GraphSalmonella!$H$80*Salmonella!I1048+GraphSalmonella!$H$81</f>
        <v>0.72349667877469148</v>
      </c>
    </row>
    <row r="1049" spans="1:26" x14ac:dyDescent="0.2">
      <c r="A1049" s="1" t="s">
        <v>66</v>
      </c>
      <c r="B1049" s="1" t="s">
        <v>70</v>
      </c>
      <c r="D1049" t="s">
        <v>44</v>
      </c>
      <c r="E1049" s="1" t="s">
        <v>91</v>
      </c>
      <c r="F1049" s="1"/>
      <c r="G1049" s="9"/>
      <c r="I1049" s="4">
        <v>54.7</v>
      </c>
      <c r="J1049" s="11">
        <v>7.5</v>
      </c>
      <c r="L1049" s="12">
        <f t="shared" si="20"/>
        <v>0.87506126339170009</v>
      </c>
      <c r="M1049" s="11">
        <f>GraphSalmonella!$B$10-(Salmonella!I1049-GraphSalmonella!$B$6)/GraphSalmonella!$B$5</f>
        <v>0.85438873058893727</v>
      </c>
      <c r="N1049" s="2" t="s">
        <v>1226</v>
      </c>
      <c r="O1049">
        <v>1996</v>
      </c>
      <c r="S1049" s="10">
        <f>GraphSalmonella!$B$57*Salmonella!I1049+GraphSalmonella!$B$58</f>
        <v>0.66761166883183076</v>
      </c>
      <c r="T1049" s="10">
        <f>GraphSalmonella!$E$57*Salmonella!I1049+GraphSalmonella!$E$58</f>
        <v>3.3972249224030713</v>
      </c>
      <c r="U1049" s="10">
        <f>GraphSalmonella!$H$57*Salmonella!I1049+GraphSalmonella!$H$58</f>
        <v>0.85512203077008131</v>
      </c>
      <c r="X1049" s="10">
        <f>GraphSalmonella!$B$80*Salmonella!I1049+GraphSalmonella!$B$81</f>
        <v>0.8572969671072963</v>
      </c>
      <c r="Y1049" s="10">
        <f>GraphSalmonella!$E$80*Salmonella!I1049+GraphSalmonella!$E$81</f>
        <v>0.87402738615859121</v>
      </c>
      <c r="Z1049" s="10">
        <f>GraphSalmonella!$H$80*Salmonella!I1049+GraphSalmonella!$H$81</f>
        <v>0.62015118818478765</v>
      </c>
    </row>
    <row r="1050" spans="1:26" x14ac:dyDescent="0.2">
      <c r="A1050" s="1" t="s">
        <v>66</v>
      </c>
      <c r="B1050" s="1" t="s">
        <v>70</v>
      </c>
      <c r="D1050" t="s">
        <v>44</v>
      </c>
      <c r="E1050" s="1" t="s">
        <v>91</v>
      </c>
      <c r="F1050" s="1"/>
      <c r="G1050" s="9"/>
      <c r="I1050" s="4">
        <v>55.2</v>
      </c>
      <c r="J1050" s="11">
        <v>4.7</v>
      </c>
      <c r="L1050" s="12">
        <f t="shared" si="20"/>
        <v>0.67209785793571752</v>
      </c>
      <c r="M1050" s="11">
        <f>GraphSalmonella!$B$10-(Salmonella!I1050-GraphSalmonella!$B$6)/GraphSalmonella!$B$5</f>
        <v>0.7993731846380443</v>
      </c>
      <c r="N1050" s="2" t="s">
        <v>1226</v>
      </c>
      <c r="O1050">
        <v>1996</v>
      </c>
      <c r="S1050" s="10">
        <f>GraphSalmonella!$B$57*Salmonella!I1050+GraphSalmonella!$B$58</f>
        <v>0.63771653330115319</v>
      </c>
      <c r="T1050" s="10">
        <f>GraphSalmonella!$E$57*Salmonella!I1050+GraphSalmonella!$E$58</f>
        <v>3.3726776614785381</v>
      </c>
      <c r="U1050" s="10">
        <f>GraphSalmonella!$H$57*Salmonella!I1050+GraphSalmonella!$H$58</f>
        <v>0.80011886928352904</v>
      </c>
      <c r="X1050" s="10">
        <f>GraphSalmonella!$B$80*Salmonella!I1050+GraphSalmonella!$B$81</f>
        <v>0.80225477725480943</v>
      </c>
      <c r="Y1050" s="10">
        <f>GraphSalmonella!$E$80*Salmonella!I1050+GraphSalmonella!$E$81</f>
        <v>0.81821272772198395</v>
      </c>
      <c r="Z1050" s="10">
        <f>GraphSalmonella!$H$80*Salmonella!I1050+GraphSalmonella!$H$81</f>
        <v>0.55556025656609886</v>
      </c>
    </row>
    <row r="1051" spans="1:26" x14ac:dyDescent="0.2">
      <c r="A1051" s="1" t="s">
        <v>66</v>
      </c>
      <c r="B1051" s="1" t="s">
        <v>70</v>
      </c>
      <c r="D1051" t="s">
        <v>44</v>
      </c>
      <c r="E1051" s="1" t="s">
        <v>91</v>
      </c>
      <c r="F1051" s="1"/>
      <c r="G1051" s="9"/>
      <c r="I1051" s="4">
        <v>55.7</v>
      </c>
      <c r="J1051" s="11">
        <v>3.2</v>
      </c>
      <c r="L1051" s="12">
        <f t="shared" si="20"/>
        <v>0.50514997831990605</v>
      </c>
      <c r="M1051" s="11">
        <f>GraphSalmonella!$B$10-(Salmonella!I1051-GraphSalmonella!$B$6)/GraphSalmonella!$B$5</f>
        <v>0.7443576386871511</v>
      </c>
      <c r="N1051" s="2" t="s">
        <v>1226</v>
      </c>
      <c r="O1051">
        <v>1996</v>
      </c>
      <c r="S1051" s="10">
        <f>GraphSalmonella!$B$57*Salmonella!I1051+GraphSalmonella!$B$58</f>
        <v>0.60782139777047561</v>
      </c>
      <c r="T1051" s="10">
        <f>GraphSalmonella!$E$57*Salmonella!I1051+GraphSalmonella!$E$58</f>
        <v>3.3481304005540045</v>
      </c>
      <c r="U1051" s="10">
        <f>GraphSalmonella!$H$57*Salmonella!I1051+GraphSalmonella!$H$58</f>
        <v>0.74511570779697678</v>
      </c>
      <c r="X1051" s="10">
        <f>GraphSalmonella!$B$80*Salmonella!I1051+GraphSalmonella!$B$81</f>
        <v>0.74721258740232344</v>
      </c>
      <c r="Y1051" s="10">
        <f>GraphSalmonella!$E$80*Salmonella!I1051+GraphSalmonella!$E$81</f>
        <v>0.76239806928537757</v>
      </c>
      <c r="Z1051" s="10">
        <f>GraphSalmonella!$H$80*Salmonella!I1051+GraphSalmonella!$H$81</f>
        <v>0.49096932494740919</v>
      </c>
    </row>
    <row r="1052" spans="1:26" x14ac:dyDescent="0.2">
      <c r="A1052" s="1" t="s">
        <v>66</v>
      </c>
      <c r="B1052" s="1" t="s">
        <v>70</v>
      </c>
      <c r="D1052" t="s">
        <v>44</v>
      </c>
      <c r="E1052" s="1" t="s">
        <v>91</v>
      </c>
      <c r="F1052" s="1"/>
      <c r="G1052" s="9"/>
      <c r="I1052" s="4">
        <v>56.8</v>
      </c>
      <c r="J1052" s="11">
        <v>2</v>
      </c>
      <c r="L1052" s="12">
        <f t="shared" si="20"/>
        <v>0.3010299956639812</v>
      </c>
      <c r="M1052" s="11">
        <f>GraphSalmonella!$B$10-(Salmonella!I1052-GraphSalmonella!$B$6)/GraphSalmonella!$B$5</f>
        <v>0.6233234375951866</v>
      </c>
      <c r="N1052" s="2" t="s">
        <v>1226</v>
      </c>
      <c r="O1052">
        <v>1996</v>
      </c>
      <c r="S1052" s="10">
        <f>GraphSalmonella!$B$57*Salmonella!I1052+GraphSalmonella!$B$58</f>
        <v>0.54205209960298495</v>
      </c>
      <c r="T1052" s="10">
        <f>GraphSalmonella!$E$57*Salmonella!I1052+GraphSalmonella!$E$58</f>
        <v>3.2941264265200316</v>
      </c>
      <c r="U1052" s="10">
        <f>GraphSalmonella!$H$57*Salmonella!I1052+GraphSalmonella!$H$58</f>
        <v>0.6241087525265625</v>
      </c>
      <c r="X1052" s="10">
        <f>GraphSalmonella!$B$80*Salmonella!I1052+GraphSalmonella!$B$81</f>
        <v>0.62611976972685301</v>
      </c>
      <c r="Y1052" s="10">
        <f>GraphSalmonella!$E$80*Salmonella!I1052+GraphSalmonella!$E$81</f>
        <v>0.63960582072484229</v>
      </c>
      <c r="Z1052" s="10">
        <f>GraphSalmonella!$H$80*Salmonella!I1052+GraphSalmonella!$H$81</f>
        <v>0.34886927538629386</v>
      </c>
    </row>
    <row r="1053" spans="1:26" x14ac:dyDescent="0.2">
      <c r="A1053" s="1" t="s">
        <v>66</v>
      </c>
      <c r="B1053" s="1" t="s">
        <v>70</v>
      </c>
      <c r="D1053" t="s">
        <v>44</v>
      </c>
      <c r="E1053" s="1" t="s">
        <v>91</v>
      </c>
      <c r="F1053" s="1"/>
      <c r="G1053" s="9"/>
      <c r="I1053" s="4">
        <v>57.1</v>
      </c>
      <c r="J1053" s="11">
        <v>1.4</v>
      </c>
      <c r="L1053" s="12">
        <f t="shared" si="20"/>
        <v>0.14612803567823801</v>
      </c>
      <c r="M1053" s="11">
        <f>GraphSalmonella!$B$10-(Salmonella!I1053-GraphSalmonella!$B$6)/GraphSalmonella!$B$5</f>
        <v>0.59031411002465028</v>
      </c>
      <c r="N1053" s="2" t="s">
        <v>1226</v>
      </c>
      <c r="O1053">
        <v>1996</v>
      </c>
      <c r="S1053" s="10">
        <f>GraphSalmonella!$B$57*Salmonella!I1053+GraphSalmonella!$B$58</f>
        <v>0.52411501828457796</v>
      </c>
      <c r="T1053" s="10">
        <f>GraphSalmonella!$E$57*Salmonella!I1053+GraphSalmonella!$E$58</f>
        <v>3.2793980699653114</v>
      </c>
      <c r="U1053" s="10">
        <f>GraphSalmonella!$H$57*Salmonella!I1053+GraphSalmonella!$H$58</f>
        <v>0.5911068556346315</v>
      </c>
      <c r="X1053" s="10">
        <f>GraphSalmonella!$B$80*Salmonella!I1053+GraphSalmonella!$B$81</f>
        <v>0.59309445581536124</v>
      </c>
      <c r="Y1053" s="10">
        <f>GraphSalmonella!$E$80*Salmonella!I1053+GraphSalmonella!$E$81</f>
        <v>0.60611702566287828</v>
      </c>
      <c r="Z1053" s="10">
        <f>GraphSalmonella!$H$80*Salmonella!I1053+GraphSalmonella!$H$81</f>
        <v>0.31011471641507971</v>
      </c>
    </row>
    <row r="1054" spans="1:26" x14ac:dyDescent="0.2">
      <c r="A1054" s="1" t="s">
        <v>66</v>
      </c>
      <c r="B1054" s="1" t="s">
        <v>67</v>
      </c>
      <c r="D1054" t="s">
        <v>44</v>
      </c>
      <c r="E1054" s="1" t="s">
        <v>68</v>
      </c>
      <c r="I1054" s="4">
        <v>55</v>
      </c>
      <c r="J1054" s="11">
        <v>2.4</v>
      </c>
      <c r="L1054" s="12">
        <f t="shared" ref="L1054:L1070" si="21">LOG(J1054)</f>
        <v>0.38021124171160603</v>
      </c>
      <c r="M1054" s="11">
        <f>GraphSalmonella!$B$10-(Salmonella!I1054-GraphSalmonella!$B$6)/GraphSalmonella!$B$5</f>
        <v>0.82137940301840184</v>
      </c>
      <c r="N1054" s="2" t="s">
        <v>1226</v>
      </c>
      <c r="O1054">
        <v>1996</v>
      </c>
      <c r="S1054" s="10">
        <f>GraphSalmonella!$B$57*Salmonella!I1054+GraphSalmonella!$B$58</f>
        <v>0.64967458751342466</v>
      </c>
      <c r="T1054" s="10">
        <f>GraphSalmonella!$E$57*Salmonella!I1054+GraphSalmonella!$E$58</f>
        <v>3.3824965658483515</v>
      </c>
      <c r="U1054" s="10">
        <f>GraphSalmonella!$H$57*Salmonella!I1054+GraphSalmonella!$H$58</f>
        <v>0.82212013387815031</v>
      </c>
      <c r="X1054" s="10">
        <f>GraphSalmonella!$B$80*Salmonella!I1054+GraphSalmonella!$B$81</f>
        <v>0.82427165319580453</v>
      </c>
      <c r="Y1054" s="10">
        <f>GraphSalmonella!$E$80*Salmonella!I1054+GraphSalmonella!$E$81</f>
        <v>0.84053859109662721</v>
      </c>
      <c r="Z1054" s="10">
        <f>GraphSalmonella!$H$80*Salmonella!I1054+GraphSalmonella!$H$81</f>
        <v>0.58139662921357438</v>
      </c>
    </row>
    <row r="1055" spans="1:26" x14ac:dyDescent="0.2">
      <c r="A1055" s="1" t="s">
        <v>66</v>
      </c>
      <c r="B1055" s="1" t="s">
        <v>67</v>
      </c>
      <c r="D1055" t="s">
        <v>44</v>
      </c>
      <c r="E1055" s="1" t="s">
        <v>68</v>
      </c>
      <c r="I1055" s="4">
        <v>55</v>
      </c>
      <c r="J1055" s="11">
        <v>4.8</v>
      </c>
      <c r="L1055" s="12">
        <f t="shared" si="21"/>
        <v>0.68124123737558717</v>
      </c>
      <c r="M1055" s="11">
        <f>GraphSalmonella!$B$10-(Salmonella!I1055-GraphSalmonella!$B$6)/GraphSalmonella!$B$5</f>
        <v>0.82137940301840184</v>
      </c>
      <c r="N1055" s="2" t="s">
        <v>1226</v>
      </c>
      <c r="O1055">
        <v>1996</v>
      </c>
      <c r="S1055" s="10">
        <f>GraphSalmonella!$B$57*Salmonella!I1055+GraphSalmonella!$B$58</f>
        <v>0.64967458751342466</v>
      </c>
      <c r="T1055" s="10">
        <f>GraphSalmonella!$E$57*Salmonella!I1055+GraphSalmonella!$E$58</f>
        <v>3.3824965658483515</v>
      </c>
      <c r="U1055" s="10">
        <f>GraphSalmonella!$H$57*Salmonella!I1055+GraphSalmonella!$H$58</f>
        <v>0.82212013387815031</v>
      </c>
      <c r="X1055" s="10">
        <f>GraphSalmonella!$B$80*Salmonella!I1055+GraphSalmonella!$B$81</f>
        <v>0.82427165319580453</v>
      </c>
      <c r="Y1055" s="10">
        <f>GraphSalmonella!$E$80*Salmonella!I1055+GraphSalmonella!$E$81</f>
        <v>0.84053859109662721</v>
      </c>
      <c r="Z1055" s="10">
        <f>GraphSalmonella!$H$80*Salmonella!I1055+GraphSalmonella!$H$81</f>
        <v>0.58139662921357438</v>
      </c>
    </row>
    <row r="1056" spans="1:26" x14ac:dyDescent="0.2">
      <c r="A1056" s="1" t="s">
        <v>66</v>
      </c>
      <c r="B1056" s="1" t="s">
        <v>67</v>
      </c>
      <c r="D1056" t="s">
        <v>44</v>
      </c>
      <c r="E1056" s="1" t="s">
        <v>68</v>
      </c>
      <c r="I1056" s="4">
        <v>55</v>
      </c>
      <c r="J1056" s="11">
        <v>12.5</v>
      </c>
      <c r="L1056" s="12">
        <f t="shared" si="21"/>
        <v>1.0969100130080565</v>
      </c>
      <c r="M1056" s="11">
        <f>GraphSalmonella!$B$10-(Salmonella!I1056-GraphSalmonella!$B$6)/GraphSalmonella!$B$5</f>
        <v>0.82137940301840184</v>
      </c>
      <c r="N1056" s="2" t="s">
        <v>1226</v>
      </c>
      <c r="O1056">
        <v>1996</v>
      </c>
      <c r="S1056" s="10">
        <f>GraphSalmonella!$B$57*Salmonella!I1056+GraphSalmonella!$B$58</f>
        <v>0.64967458751342466</v>
      </c>
      <c r="T1056" s="10">
        <f>GraphSalmonella!$E$57*Salmonella!I1056+GraphSalmonella!$E$58</f>
        <v>3.3824965658483515</v>
      </c>
      <c r="U1056" s="10">
        <f>GraphSalmonella!$H$57*Salmonella!I1056+GraphSalmonella!$H$58</f>
        <v>0.82212013387815031</v>
      </c>
      <c r="X1056" s="10">
        <f>GraphSalmonella!$B$80*Salmonella!I1056+GraphSalmonella!$B$81</f>
        <v>0.82427165319580453</v>
      </c>
      <c r="Y1056" s="10">
        <f>GraphSalmonella!$E$80*Salmonella!I1056+GraphSalmonella!$E$81</f>
        <v>0.84053859109662721</v>
      </c>
      <c r="Z1056" s="10">
        <f>GraphSalmonella!$H$80*Salmonella!I1056+GraphSalmonella!$H$81</f>
        <v>0.58139662921357438</v>
      </c>
    </row>
    <row r="1057" spans="1:26" x14ac:dyDescent="0.2">
      <c r="A1057" s="1" t="s">
        <v>66</v>
      </c>
      <c r="B1057" s="1" t="s">
        <v>67</v>
      </c>
      <c r="D1057" t="s">
        <v>44</v>
      </c>
      <c r="E1057" s="1" t="s">
        <v>68</v>
      </c>
      <c r="I1057" s="4">
        <v>55</v>
      </c>
      <c r="J1057" s="11">
        <v>14.6</v>
      </c>
      <c r="L1057" s="12">
        <f t="shared" si="21"/>
        <v>1.1643528557844371</v>
      </c>
      <c r="M1057" s="11">
        <f>GraphSalmonella!$B$10-(Salmonella!I1057-GraphSalmonella!$B$6)/GraphSalmonella!$B$5</f>
        <v>0.82137940301840184</v>
      </c>
      <c r="N1057" s="2" t="s">
        <v>1226</v>
      </c>
      <c r="O1057">
        <v>1996</v>
      </c>
      <c r="S1057" s="10">
        <f>GraphSalmonella!$B$57*Salmonella!I1057+GraphSalmonella!$B$58</f>
        <v>0.64967458751342466</v>
      </c>
      <c r="T1057" s="10">
        <f>GraphSalmonella!$E$57*Salmonella!I1057+GraphSalmonella!$E$58</f>
        <v>3.3824965658483515</v>
      </c>
      <c r="U1057" s="10">
        <f>GraphSalmonella!$H$57*Salmonella!I1057+GraphSalmonella!$H$58</f>
        <v>0.82212013387815031</v>
      </c>
      <c r="X1057" s="10">
        <f>GraphSalmonella!$B$80*Salmonella!I1057+GraphSalmonella!$B$81</f>
        <v>0.82427165319580453</v>
      </c>
      <c r="Y1057" s="10">
        <f>GraphSalmonella!$E$80*Salmonella!I1057+GraphSalmonella!$E$81</f>
        <v>0.84053859109662721</v>
      </c>
      <c r="Z1057" s="10">
        <f>GraphSalmonella!$H$80*Salmonella!I1057+GraphSalmonella!$H$81</f>
        <v>0.58139662921357438</v>
      </c>
    </row>
    <row r="1058" spans="1:26" x14ac:dyDescent="0.2">
      <c r="A1058" s="1" t="s">
        <v>66</v>
      </c>
      <c r="B1058" s="1" t="s">
        <v>67</v>
      </c>
      <c r="D1058" t="s">
        <v>44</v>
      </c>
      <c r="E1058" s="1" t="s">
        <v>68</v>
      </c>
      <c r="I1058" s="4">
        <v>55</v>
      </c>
      <c r="J1058" s="11">
        <v>22</v>
      </c>
      <c r="L1058" s="12">
        <f t="shared" si="21"/>
        <v>1.3424226808222062</v>
      </c>
      <c r="M1058" s="11">
        <f>GraphSalmonella!$B$10-(Salmonella!I1058-GraphSalmonella!$B$6)/GraphSalmonella!$B$5</f>
        <v>0.82137940301840184</v>
      </c>
      <c r="N1058" s="2" t="s">
        <v>1226</v>
      </c>
      <c r="O1058">
        <v>1996</v>
      </c>
      <c r="S1058" s="10">
        <f>GraphSalmonella!$B$57*Salmonella!I1058+GraphSalmonella!$B$58</f>
        <v>0.64967458751342466</v>
      </c>
      <c r="T1058" s="10">
        <f>GraphSalmonella!$E$57*Salmonella!I1058+GraphSalmonella!$E$58</f>
        <v>3.3824965658483515</v>
      </c>
      <c r="U1058" s="10">
        <f>GraphSalmonella!$H$57*Salmonella!I1058+GraphSalmonella!$H$58</f>
        <v>0.82212013387815031</v>
      </c>
      <c r="X1058" s="10">
        <f>GraphSalmonella!$B$80*Salmonella!I1058+GraphSalmonella!$B$81</f>
        <v>0.82427165319580453</v>
      </c>
      <c r="Y1058" s="10">
        <f>GraphSalmonella!$E$80*Salmonella!I1058+GraphSalmonella!$E$81</f>
        <v>0.84053859109662721</v>
      </c>
      <c r="Z1058" s="10">
        <f>GraphSalmonella!$H$80*Salmonella!I1058+GraphSalmonella!$H$81</f>
        <v>0.58139662921357438</v>
      </c>
    </row>
    <row r="1059" spans="1:26" x14ac:dyDescent="0.2">
      <c r="A1059" s="1" t="s">
        <v>66</v>
      </c>
      <c r="B1059" s="1" t="s">
        <v>67</v>
      </c>
      <c r="D1059" t="s">
        <v>44</v>
      </c>
      <c r="E1059" s="1" t="s">
        <v>68</v>
      </c>
      <c r="I1059" s="4">
        <v>55</v>
      </c>
      <c r="J1059" s="11">
        <v>42</v>
      </c>
      <c r="L1059" s="12">
        <f t="shared" si="21"/>
        <v>1.6232492903979006</v>
      </c>
      <c r="M1059" s="11">
        <f>GraphSalmonella!$B$10-(Salmonella!I1059-GraphSalmonella!$B$6)/GraphSalmonella!$B$5</f>
        <v>0.82137940301840184</v>
      </c>
      <c r="N1059" s="2" t="s">
        <v>1226</v>
      </c>
      <c r="O1059">
        <v>1996</v>
      </c>
      <c r="S1059" s="10">
        <f>GraphSalmonella!$B$57*Salmonella!I1059+GraphSalmonella!$B$58</f>
        <v>0.64967458751342466</v>
      </c>
      <c r="T1059" s="10">
        <f>GraphSalmonella!$E$57*Salmonella!I1059+GraphSalmonella!$E$58</f>
        <v>3.3824965658483515</v>
      </c>
      <c r="U1059" s="10">
        <f>GraphSalmonella!$H$57*Salmonella!I1059+GraphSalmonella!$H$58</f>
        <v>0.82212013387815031</v>
      </c>
      <c r="X1059" s="10">
        <f>GraphSalmonella!$B$80*Salmonella!I1059+GraphSalmonella!$B$81</f>
        <v>0.82427165319580453</v>
      </c>
      <c r="Y1059" s="10">
        <f>GraphSalmonella!$E$80*Salmonella!I1059+GraphSalmonella!$E$81</f>
        <v>0.84053859109662721</v>
      </c>
      <c r="Z1059" s="10">
        <f>GraphSalmonella!$H$80*Salmonella!I1059+GraphSalmonella!$H$81</f>
        <v>0.58139662921357438</v>
      </c>
    </row>
    <row r="1060" spans="1:26" x14ac:dyDescent="0.2">
      <c r="A1060" s="1" t="s">
        <v>66</v>
      </c>
      <c r="B1060" s="1" t="s">
        <v>70</v>
      </c>
      <c r="D1060" t="s">
        <v>44</v>
      </c>
      <c r="E1060" s="1" t="s">
        <v>92</v>
      </c>
      <c r="F1060" s="1"/>
      <c r="G1060" s="9"/>
      <c r="I1060" s="4">
        <v>51.7</v>
      </c>
      <c r="J1060" s="11">
        <v>59.8</v>
      </c>
      <c r="L1060" s="12">
        <f t="shared" si="21"/>
        <v>1.7767011839884108</v>
      </c>
      <c r="M1060" s="11">
        <f>GraphSalmonella!$B$10-(Salmonella!I1060-GraphSalmonella!$B$6)/GraphSalmonella!$B$5</f>
        <v>1.1844820062942962</v>
      </c>
      <c r="N1060" s="2" t="s">
        <v>1226</v>
      </c>
      <c r="O1060">
        <v>1996</v>
      </c>
      <c r="S1060" s="10">
        <f>GraphSalmonella!$B$57*Salmonella!I1060+GraphSalmonella!$B$58</f>
        <v>0.84698248201589754</v>
      </c>
      <c r="T1060" s="10">
        <f>GraphSalmonella!$E$57*Salmonella!I1060+GraphSalmonella!$E$58</f>
        <v>3.5445084879502708</v>
      </c>
      <c r="U1060" s="10">
        <f>GraphSalmonella!$H$57*Salmonella!I1060+GraphSalmonella!$H$58</f>
        <v>1.1851409996893931</v>
      </c>
      <c r="X1060" s="10">
        <f>GraphSalmonella!$B$80*Salmonella!I1060+GraphSalmonella!$B$81</f>
        <v>1.1875501062222149</v>
      </c>
      <c r="Y1060" s="10">
        <f>GraphSalmonella!$E$80*Salmonella!I1060+GraphSalmonella!$E$81</f>
        <v>1.208915336778233</v>
      </c>
      <c r="Z1060" s="10">
        <f>GraphSalmonella!$H$80*Salmonella!I1060+GraphSalmonella!$H$81</f>
        <v>1.007696777896923</v>
      </c>
    </row>
    <row r="1061" spans="1:26" x14ac:dyDescent="0.2">
      <c r="A1061" s="1" t="s">
        <v>66</v>
      </c>
      <c r="B1061" s="1" t="s">
        <v>70</v>
      </c>
      <c r="D1061" t="s">
        <v>44</v>
      </c>
      <c r="E1061" s="1" t="s">
        <v>92</v>
      </c>
      <c r="F1061" s="1"/>
      <c r="G1061" s="9"/>
      <c r="I1061" s="4">
        <v>55</v>
      </c>
      <c r="J1061" s="11">
        <v>11</v>
      </c>
      <c r="L1061" s="12">
        <f t="shared" si="21"/>
        <v>1.0413926851582251</v>
      </c>
      <c r="M1061" s="11">
        <f>GraphSalmonella!$B$10-(Salmonella!I1061-GraphSalmonella!$B$6)/GraphSalmonella!$B$5</f>
        <v>0.82137940301840184</v>
      </c>
      <c r="N1061" s="2" t="s">
        <v>1226</v>
      </c>
      <c r="O1061">
        <v>1996</v>
      </c>
      <c r="S1061" s="10">
        <f>GraphSalmonella!$B$57*Salmonella!I1061+GraphSalmonella!$B$58</f>
        <v>0.64967458751342466</v>
      </c>
      <c r="T1061" s="10">
        <f>GraphSalmonella!$E$57*Salmonella!I1061+GraphSalmonella!$E$58</f>
        <v>3.3824965658483515</v>
      </c>
      <c r="U1061" s="10">
        <f>GraphSalmonella!$H$57*Salmonella!I1061+GraphSalmonella!$H$58</f>
        <v>0.82212013387815031</v>
      </c>
      <c r="X1061" s="10">
        <f>GraphSalmonella!$B$80*Salmonella!I1061+GraphSalmonella!$B$81</f>
        <v>0.82427165319580453</v>
      </c>
      <c r="Y1061" s="10">
        <f>GraphSalmonella!$E$80*Salmonella!I1061+GraphSalmonella!$E$81</f>
        <v>0.84053859109662721</v>
      </c>
      <c r="Z1061" s="10">
        <f>GraphSalmonella!$H$80*Salmonella!I1061+GraphSalmonella!$H$81</f>
        <v>0.58139662921357438</v>
      </c>
    </row>
    <row r="1062" spans="1:26" x14ac:dyDescent="0.2">
      <c r="A1062" s="1" t="s">
        <v>66</v>
      </c>
      <c r="B1062" s="1" t="s">
        <v>70</v>
      </c>
      <c r="D1062" t="s">
        <v>44</v>
      </c>
      <c r="E1062" s="1" t="s">
        <v>92</v>
      </c>
      <c r="F1062" s="1"/>
      <c r="G1062" s="9"/>
      <c r="I1062" s="4">
        <v>58</v>
      </c>
      <c r="J1062" s="11">
        <v>2.5</v>
      </c>
      <c r="L1062" s="12">
        <f t="shared" si="21"/>
        <v>0.3979400086720376</v>
      </c>
      <c r="M1062" s="11">
        <f>GraphSalmonella!$B$10-(Salmonella!I1062-GraphSalmonella!$B$6)/GraphSalmonella!$B$5</f>
        <v>0.49128612731304266</v>
      </c>
      <c r="N1062" s="2" t="s">
        <v>1226</v>
      </c>
      <c r="O1062">
        <v>1996</v>
      </c>
      <c r="S1062" s="10">
        <f>GraphSalmonella!$B$57*Salmonella!I1062+GraphSalmonella!$B$58</f>
        <v>0.47030377432935788</v>
      </c>
      <c r="T1062" s="10">
        <f>GraphSalmonella!$E$57*Salmonella!I1062+GraphSalmonella!$E$58</f>
        <v>3.2352130003011514</v>
      </c>
      <c r="U1062" s="10">
        <f>GraphSalmonella!$H$57*Salmonella!I1062+GraphSalmonella!$H$58</f>
        <v>0.4921011649588376</v>
      </c>
      <c r="X1062" s="10">
        <f>GraphSalmonella!$B$80*Salmonella!I1062+GraphSalmonella!$B$81</f>
        <v>0.49401851408088504</v>
      </c>
      <c r="Y1062" s="10">
        <f>GraphSalmonella!$E$80*Salmonella!I1062+GraphSalmonella!$E$81</f>
        <v>0.50565064047698538</v>
      </c>
      <c r="Z1062" s="10">
        <f>GraphSalmonella!$H$80*Salmonella!I1062+GraphSalmonella!$H$81</f>
        <v>0.19385103950143989</v>
      </c>
    </row>
    <row r="1063" spans="1:26" x14ac:dyDescent="0.2">
      <c r="A1063" s="1" t="s">
        <v>66</v>
      </c>
      <c r="B1063" s="1" t="s">
        <v>70</v>
      </c>
      <c r="D1063" t="s">
        <v>44</v>
      </c>
      <c r="E1063" s="1" t="s">
        <v>93</v>
      </c>
      <c r="F1063" s="1"/>
      <c r="G1063" s="9"/>
      <c r="I1063" s="4">
        <v>52.8</v>
      </c>
      <c r="J1063" s="11">
        <v>48.5</v>
      </c>
      <c r="L1063" s="12">
        <f t="shared" si="21"/>
        <v>1.6857417386022637</v>
      </c>
      <c r="M1063" s="11">
        <f>GraphSalmonella!$B$10-(Salmonella!I1063-GraphSalmonella!$B$6)/GraphSalmonella!$B$5</f>
        <v>1.063447805202332</v>
      </c>
      <c r="N1063" s="2" t="s">
        <v>1226</v>
      </c>
      <c r="O1063">
        <v>1996</v>
      </c>
      <c r="S1063" s="10">
        <f>GraphSalmonella!$B$57*Salmonella!I1063+GraphSalmonella!$B$58</f>
        <v>0.78121318384840688</v>
      </c>
      <c r="T1063" s="10">
        <f>GraphSalmonella!$E$57*Salmonella!I1063+GraphSalmonella!$E$58</f>
        <v>3.490504513916298</v>
      </c>
      <c r="U1063" s="10">
        <f>GraphSalmonella!$H$57*Salmonella!I1063+GraphSalmonella!$H$58</f>
        <v>1.0641340444189797</v>
      </c>
      <c r="X1063" s="10">
        <f>GraphSalmonella!$B$80*Salmonella!I1063+GraphSalmonella!$B$81</f>
        <v>1.0664572885467454</v>
      </c>
      <c r="Y1063" s="10">
        <f>GraphSalmonella!$E$80*Salmonella!I1063+GraphSalmonella!$E$81</f>
        <v>1.0861230882176987</v>
      </c>
      <c r="Z1063" s="10">
        <f>GraphSalmonella!$H$80*Salmonella!I1063+GraphSalmonella!$H$81</f>
        <v>0.8655967283358077</v>
      </c>
    </row>
    <row r="1064" spans="1:26" x14ac:dyDescent="0.2">
      <c r="A1064" s="1" t="s">
        <v>66</v>
      </c>
      <c r="B1064" s="1" t="s">
        <v>70</v>
      </c>
      <c r="D1064" t="s">
        <v>44</v>
      </c>
      <c r="E1064" s="1" t="s">
        <v>93</v>
      </c>
      <c r="F1064" s="1"/>
      <c r="G1064" s="9"/>
      <c r="I1064" s="4">
        <v>53.8</v>
      </c>
      <c r="J1064" s="11">
        <v>40</v>
      </c>
      <c r="L1064" s="12">
        <f t="shared" si="21"/>
        <v>1.6020599913279623</v>
      </c>
      <c r="M1064" s="11">
        <f>GraphSalmonella!$B$10-(Salmonella!I1064-GraphSalmonella!$B$6)/GraphSalmonella!$B$5</f>
        <v>0.95341671330054578</v>
      </c>
      <c r="N1064" s="2" t="s">
        <v>1226</v>
      </c>
      <c r="O1064">
        <v>1996</v>
      </c>
      <c r="S1064" s="10">
        <f>GraphSalmonella!$B$57*Salmonella!I1064+GraphSalmonella!$B$58</f>
        <v>0.72142291278705128</v>
      </c>
      <c r="T1064" s="10">
        <f>GraphSalmonella!$E$57*Salmonella!I1064+GraphSalmonella!$E$58</f>
        <v>3.4414099920672316</v>
      </c>
      <c r="U1064" s="10">
        <f>GraphSalmonella!$H$57*Salmonella!I1064+GraphSalmonella!$H$58</f>
        <v>0.95412772144587521</v>
      </c>
      <c r="X1064" s="10">
        <f>GraphSalmonella!$B$80*Salmonella!I1064+GraphSalmonella!$B$81</f>
        <v>0.95637290884177251</v>
      </c>
      <c r="Y1064" s="10">
        <f>GraphSalmonella!$E$80*Salmonella!I1064+GraphSalmonella!$E$81</f>
        <v>0.97449377134448412</v>
      </c>
      <c r="Z1064" s="10">
        <f>GraphSalmonella!$H$80*Salmonella!I1064+GraphSalmonella!$H$81</f>
        <v>0.73641486509842924</v>
      </c>
    </row>
    <row r="1065" spans="1:26" x14ac:dyDescent="0.2">
      <c r="A1065" s="1" t="s">
        <v>66</v>
      </c>
      <c r="B1065" s="1" t="s">
        <v>70</v>
      </c>
      <c r="D1065" t="s">
        <v>44</v>
      </c>
      <c r="E1065" s="1" t="s">
        <v>93</v>
      </c>
      <c r="F1065" s="1"/>
      <c r="G1065" s="9"/>
      <c r="I1065" s="4">
        <v>55.1</v>
      </c>
      <c r="J1065" s="11">
        <v>18.3</v>
      </c>
      <c r="L1065" s="12">
        <f t="shared" si="21"/>
        <v>1.2624510897304295</v>
      </c>
      <c r="M1065" s="11">
        <f>GraphSalmonella!$B$10-(Salmonella!I1065-GraphSalmonella!$B$6)/GraphSalmonella!$B$5</f>
        <v>0.81037629382822307</v>
      </c>
      <c r="N1065" s="2" t="s">
        <v>1226</v>
      </c>
      <c r="O1065">
        <v>1996</v>
      </c>
      <c r="S1065" s="10">
        <f>GraphSalmonella!$B$57*Salmonella!I1065+GraphSalmonella!$B$58</f>
        <v>0.6436955604072887</v>
      </c>
      <c r="T1065" s="10">
        <f>GraphSalmonella!$E$57*Salmonella!I1065+GraphSalmonella!$E$58</f>
        <v>3.3775871136634446</v>
      </c>
      <c r="U1065" s="10">
        <f>GraphSalmonella!$H$57*Salmonella!I1065+GraphSalmonella!$H$58</f>
        <v>0.81111950158083967</v>
      </c>
      <c r="X1065" s="10">
        <f>GraphSalmonella!$B$80*Salmonella!I1065+GraphSalmonella!$B$81</f>
        <v>0.81326321522530698</v>
      </c>
      <c r="Y1065" s="10">
        <f>GraphSalmonella!$E$80*Salmonella!I1065+GraphSalmonella!$E$81</f>
        <v>0.82937565940930558</v>
      </c>
      <c r="Z1065" s="10">
        <f>GraphSalmonella!$H$80*Salmonella!I1065+GraphSalmonella!$H$81</f>
        <v>0.56847844288983662</v>
      </c>
    </row>
    <row r="1066" spans="1:26" x14ac:dyDescent="0.2">
      <c r="A1066" s="1" t="s">
        <v>66</v>
      </c>
      <c r="B1066" s="1" t="s">
        <v>70</v>
      </c>
      <c r="D1066" t="s">
        <v>44</v>
      </c>
      <c r="E1066" s="1" t="s">
        <v>93</v>
      </c>
      <c r="F1066" s="1"/>
      <c r="G1066" s="9"/>
      <c r="I1066" s="4">
        <v>57</v>
      </c>
      <c r="J1066" s="11">
        <v>9.9</v>
      </c>
      <c r="L1066" s="12">
        <f t="shared" si="21"/>
        <v>0.9956351945975499</v>
      </c>
      <c r="M1066" s="11">
        <f>GraphSalmonella!$B$10-(Salmonella!I1066-GraphSalmonella!$B$6)/GraphSalmonella!$B$5</f>
        <v>0.60131721921482906</v>
      </c>
      <c r="N1066" s="2" t="s">
        <v>1226</v>
      </c>
      <c r="O1066">
        <v>1996</v>
      </c>
      <c r="S1066" s="10">
        <f>GraphSalmonella!$B$57*Salmonella!I1066+GraphSalmonella!$B$58</f>
        <v>0.53009404539071348</v>
      </c>
      <c r="T1066" s="10">
        <f>GraphSalmonella!$E$57*Salmonella!I1066+GraphSalmonella!$E$58</f>
        <v>3.2843075221502183</v>
      </c>
      <c r="U1066" s="10">
        <f>GraphSalmonella!$H$57*Salmonella!I1066+GraphSalmonella!$H$58</f>
        <v>0.60210748793194213</v>
      </c>
      <c r="X1066" s="10">
        <f>GraphSalmonella!$B$80*Salmonella!I1066+GraphSalmonella!$B$81</f>
        <v>0.6041028937858588</v>
      </c>
      <c r="Y1066" s="10">
        <f>GraphSalmonella!$E$80*Salmonella!I1066+GraphSalmonella!$E$81</f>
        <v>0.61727995735019991</v>
      </c>
      <c r="Z1066" s="10">
        <f>GraphSalmonella!$H$80*Salmonella!I1066+GraphSalmonella!$H$81</f>
        <v>0.32303290273881835</v>
      </c>
    </row>
    <row r="1067" spans="1:26" x14ac:dyDescent="0.2">
      <c r="A1067" s="1" t="s">
        <v>66</v>
      </c>
      <c r="B1067" s="1" t="s">
        <v>70</v>
      </c>
      <c r="D1067" t="s">
        <v>44</v>
      </c>
      <c r="E1067" s="1" t="s">
        <v>93</v>
      </c>
      <c r="F1067" s="1"/>
      <c r="G1067" s="9"/>
      <c r="I1067" s="4">
        <v>58.5</v>
      </c>
      <c r="J1067" s="11">
        <v>5.9</v>
      </c>
      <c r="L1067" s="12">
        <f t="shared" si="21"/>
        <v>0.77085201164214423</v>
      </c>
      <c r="M1067" s="11">
        <f>GraphSalmonella!$B$10-(Salmonella!I1067-GraphSalmonella!$B$6)/GraphSalmonella!$B$5</f>
        <v>0.43627058136214947</v>
      </c>
      <c r="N1067" s="2" t="s">
        <v>1226</v>
      </c>
      <c r="O1067">
        <v>1996</v>
      </c>
      <c r="S1067" s="10">
        <f>GraphSalmonella!$B$57*Salmonella!I1067+GraphSalmonella!$B$58</f>
        <v>0.44040863879868031</v>
      </c>
      <c r="T1067" s="10">
        <f>GraphSalmonella!$E$57*Salmonella!I1067+GraphSalmonella!$E$58</f>
        <v>3.2106657393766183</v>
      </c>
      <c r="U1067" s="10">
        <f>GraphSalmonella!$H$57*Salmonella!I1067+GraphSalmonella!$H$58</f>
        <v>0.43709800347228533</v>
      </c>
      <c r="X1067" s="10">
        <f>GraphSalmonella!$B$80*Salmonella!I1067+GraphSalmonella!$B$81</f>
        <v>0.43897632422839905</v>
      </c>
      <c r="Y1067" s="10">
        <f>GraphSalmonella!$E$80*Salmonella!I1067+GraphSalmonella!$E$81</f>
        <v>0.44983598204037811</v>
      </c>
      <c r="Z1067" s="10">
        <f>GraphSalmonella!$H$80*Salmonella!I1067+GraphSalmonella!$H$81</f>
        <v>0.12926010788275022</v>
      </c>
    </row>
    <row r="1068" spans="1:26" x14ac:dyDescent="0.2">
      <c r="A1068" s="1" t="s">
        <v>66</v>
      </c>
      <c r="B1068" s="1" t="s">
        <v>70</v>
      </c>
      <c r="D1068" t="s">
        <v>44</v>
      </c>
      <c r="E1068" s="1" t="s">
        <v>93</v>
      </c>
      <c r="F1068" s="1"/>
      <c r="G1068" s="9"/>
      <c r="I1068" s="4">
        <v>58.8</v>
      </c>
      <c r="J1068" s="11">
        <v>5.4</v>
      </c>
      <c r="L1068" s="12">
        <f t="shared" si="21"/>
        <v>0.7323937598229685</v>
      </c>
      <c r="M1068" s="11">
        <f>GraphSalmonella!$B$10-(Salmonella!I1068-GraphSalmonella!$B$6)/GraphSalmonella!$B$5</f>
        <v>0.40326125379161404</v>
      </c>
      <c r="N1068" s="2" t="s">
        <v>1226</v>
      </c>
      <c r="O1068">
        <v>1996</v>
      </c>
      <c r="S1068" s="10">
        <f>GraphSalmonella!$B$57*Salmonella!I1068+GraphSalmonella!$B$58</f>
        <v>0.42247155748027376</v>
      </c>
      <c r="T1068" s="10">
        <f>GraphSalmonella!$E$57*Salmonella!I1068+GraphSalmonella!$E$58</f>
        <v>3.1959373828218984</v>
      </c>
      <c r="U1068" s="10">
        <f>GraphSalmonella!$H$57*Salmonella!I1068+GraphSalmonella!$H$58</f>
        <v>0.40409610658035433</v>
      </c>
      <c r="X1068" s="10">
        <f>GraphSalmonella!$B$80*Salmonella!I1068+GraphSalmonella!$B$81</f>
        <v>0.40595101031690728</v>
      </c>
      <c r="Y1068" s="10">
        <f>GraphSalmonella!$E$80*Salmonella!I1068+GraphSalmonella!$E$81</f>
        <v>0.416347186978415</v>
      </c>
      <c r="Z1068" s="10">
        <f>GraphSalmonella!$H$80*Salmonella!I1068+GraphSalmonella!$H$81</f>
        <v>9.0505548911536948E-2</v>
      </c>
    </row>
    <row r="1069" spans="1:26" x14ac:dyDescent="0.2">
      <c r="A1069" s="1" t="s">
        <v>66</v>
      </c>
      <c r="B1069" s="1" t="s">
        <v>70</v>
      </c>
      <c r="D1069" t="s">
        <v>44</v>
      </c>
      <c r="E1069" s="1" t="s">
        <v>93</v>
      </c>
      <c r="F1069" s="1"/>
      <c r="G1069" s="9"/>
      <c r="I1069" s="4">
        <v>59.6</v>
      </c>
      <c r="J1069" s="11">
        <v>4.0999999999999996</v>
      </c>
      <c r="L1069" s="12">
        <f t="shared" si="21"/>
        <v>0.61278385671973545</v>
      </c>
      <c r="M1069" s="11">
        <f>GraphSalmonella!$B$10-(Salmonella!I1069-GraphSalmonella!$B$6)/GraphSalmonella!$B$5</f>
        <v>0.31523638027018452</v>
      </c>
      <c r="N1069" s="2" t="s">
        <v>1226</v>
      </c>
      <c r="O1069">
        <v>1996</v>
      </c>
      <c r="S1069" s="10">
        <f>GraphSalmonella!$B$57*Salmonella!I1069+GraphSalmonella!$B$58</f>
        <v>0.3746393406311892</v>
      </c>
      <c r="T1069" s="10">
        <f>GraphSalmonella!$E$57*Salmonella!I1069+GraphSalmonella!$E$58</f>
        <v>3.156661765342645</v>
      </c>
      <c r="U1069" s="10">
        <f>GraphSalmonella!$H$57*Salmonella!I1069+GraphSalmonella!$H$58</f>
        <v>0.31609104820187106</v>
      </c>
      <c r="X1069" s="10">
        <f>GraphSalmonella!$B$80*Salmonella!I1069+GraphSalmonella!$B$81</f>
        <v>0.31788350655292863</v>
      </c>
      <c r="Y1069" s="10">
        <f>GraphSalmonella!$E$80*Salmonella!I1069+GraphSalmonella!$E$81</f>
        <v>0.32704373347984284</v>
      </c>
      <c r="Z1069" s="10">
        <f>GraphSalmonella!$H$80*Salmonella!I1069+GraphSalmonella!$H$81</f>
        <v>-1.2839941678365996E-2</v>
      </c>
    </row>
    <row r="1070" spans="1:26" x14ac:dyDescent="0.2">
      <c r="A1070" s="1" t="s">
        <v>66</v>
      </c>
      <c r="B1070" s="1" t="s">
        <v>70</v>
      </c>
      <c r="D1070" t="s">
        <v>44</v>
      </c>
      <c r="E1070" s="1" t="s">
        <v>93</v>
      </c>
      <c r="F1070" s="1"/>
      <c r="G1070" s="9"/>
      <c r="I1070" s="4">
        <v>60.8</v>
      </c>
      <c r="J1070" s="11">
        <v>2.9</v>
      </c>
      <c r="L1070" s="12">
        <f t="shared" si="21"/>
        <v>0.46239799789895608</v>
      </c>
      <c r="M1070" s="11">
        <f>GraphSalmonella!$B$10-(Salmonella!I1070-GraphSalmonella!$B$6)/GraphSalmonella!$B$5</f>
        <v>0.18319906998804125</v>
      </c>
      <c r="N1070" s="2" t="s">
        <v>1226</v>
      </c>
      <c r="O1070">
        <v>1996</v>
      </c>
      <c r="S1070" s="10">
        <f>GraphSalmonella!$B$57*Salmonella!I1070+GraphSalmonella!$B$58</f>
        <v>0.30289101535756302</v>
      </c>
      <c r="T1070" s="10">
        <f>GraphSalmonella!$E$57*Salmonella!I1070+GraphSalmonella!$E$58</f>
        <v>3.0977483391237652</v>
      </c>
      <c r="U1070" s="10">
        <f>GraphSalmonella!$H$57*Salmonella!I1070+GraphSalmonella!$H$58</f>
        <v>0.18408346063414616</v>
      </c>
      <c r="X1070" s="10">
        <f>GraphSalmonella!$B$80*Salmonella!I1070+GraphSalmonella!$B$81</f>
        <v>0.18578225090696066</v>
      </c>
      <c r="Y1070" s="10">
        <f>GraphSalmonella!$E$80*Salmonella!I1070+GraphSalmonella!$E$81</f>
        <v>0.19308855323198681</v>
      </c>
      <c r="Z1070" s="10">
        <f>GraphSalmonella!$H$80*Salmonella!I1070+GraphSalmonella!$H$81</f>
        <v>-0.16785817756321997</v>
      </c>
    </row>
    <row r="1071" spans="1:26" x14ac:dyDescent="0.2">
      <c r="A1071" s="1" t="s">
        <v>66</v>
      </c>
      <c r="B1071" s="1" t="s">
        <v>70</v>
      </c>
      <c r="D1071" t="s">
        <v>44</v>
      </c>
      <c r="E1071" s="1" t="s">
        <v>94</v>
      </c>
      <c r="F1071" s="1"/>
      <c r="G1071" s="9"/>
      <c r="I1071" s="11">
        <v>57</v>
      </c>
      <c r="J1071" s="4">
        <v>26.6</v>
      </c>
      <c r="L1071" s="12">
        <f>LOG(I1071)</f>
        <v>1.7558748556724915</v>
      </c>
      <c r="M1071" s="11">
        <f>GraphSalmonella!$B$10-(Salmonella!I1071-GraphSalmonella!$B$6)/GraphSalmonella!$B$5</f>
        <v>0.60131721921482906</v>
      </c>
      <c r="N1071" s="2" t="s">
        <v>1226</v>
      </c>
      <c r="O1071">
        <v>1996</v>
      </c>
      <c r="S1071" s="10">
        <f>GraphSalmonella!$B$57*Salmonella!I1071+GraphSalmonella!$B$58</f>
        <v>0.53009404539071348</v>
      </c>
      <c r="T1071" s="10">
        <f>GraphSalmonella!$E$57*Salmonella!I1071+GraphSalmonella!$E$58</f>
        <v>3.2843075221502183</v>
      </c>
      <c r="U1071" s="10">
        <f>GraphSalmonella!$H$57*Salmonella!I1071+GraphSalmonella!$H$58</f>
        <v>0.60210748793194213</v>
      </c>
      <c r="X1071" s="10">
        <f>GraphSalmonella!$B$80*Salmonella!I1071+GraphSalmonella!$B$81</f>
        <v>0.6041028937858588</v>
      </c>
      <c r="Y1071" s="10">
        <f>GraphSalmonella!$E$80*Salmonella!I1071+GraphSalmonella!$E$81</f>
        <v>0.61727995735019991</v>
      </c>
      <c r="Z1071" s="10">
        <f>GraphSalmonella!$H$80*Salmonella!I1071+GraphSalmonella!$H$81</f>
        <v>0.32303290273881835</v>
      </c>
    </row>
    <row r="1072" spans="1:26" x14ac:dyDescent="0.2">
      <c r="A1072" s="1" t="s">
        <v>66</v>
      </c>
      <c r="B1072" s="1" t="s">
        <v>70</v>
      </c>
      <c r="D1072" t="s">
        <v>44</v>
      </c>
      <c r="E1072" s="1" t="s">
        <v>94</v>
      </c>
      <c r="F1072" s="1"/>
      <c r="G1072" s="9"/>
      <c r="I1072" s="4">
        <v>59.2</v>
      </c>
      <c r="J1072" s="11">
        <v>10.4</v>
      </c>
      <c r="L1072" s="12">
        <f t="shared" ref="L1072:L1103" si="22">LOG(J1072)</f>
        <v>1.0170333392987803</v>
      </c>
      <c r="M1072" s="11">
        <f>GraphSalmonella!$B$10-(Salmonella!I1072-GraphSalmonella!$B$6)/GraphSalmonella!$B$5</f>
        <v>0.35924881703089873</v>
      </c>
      <c r="N1072" s="2" t="s">
        <v>1226</v>
      </c>
      <c r="O1072">
        <v>1996</v>
      </c>
      <c r="S1072" s="10">
        <f>GraphSalmonella!$B$57*Salmonella!I1072+GraphSalmonella!$B$58</f>
        <v>0.39855544905573126</v>
      </c>
      <c r="T1072" s="10">
        <f>GraphSalmonella!$E$57*Salmonella!I1072+GraphSalmonella!$E$58</f>
        <v>3.1762995740822713</v>
      </c>
      <c r="U1072" s="10">
        <f>GraphSalmonella!$H$57*Salmonella!I1072+GraphSalmonella!$H$58</f>
        <v>0.3600935773911127</v>
      </c>
      <c r="X1072" s="10">
        <f>GraphSalmonella!$B$80*Salmonella!I1072+GraphSalmonella!$B$81</f>
        <v>0.36191725843491707</v>
      </c>
      <c r="Y1072" s="10">
        <f>GraphSalmonella!$E$80*Salmonella!I1072+GraphSalmonella!$E$81</f>
        <v>0.37169546022912847</v>
      </c>
      <c r="Z1072" s="10">
        <f>GraphSalmonella!$H$80*Salmonella!I1072+GraphSalmonella!$H$81</f>
        <v>3.8832803616585032E-2</v>
      </c>
    </row>
    <row r="1073" spans="1:26" x14ac:dyDescent="0.2">
      <c r="A1073" s="1" t="s">
        <v>66</v>
      </c>
      <c r="B1073" s="1" t="s">
        <v>70</v>
      </c>
      <c r="D1073" t="s">
        <v>44</v>
      </c>
      <c r="E1073" s="1" t="s">
        <v>94</v>
      </c>
      <c r="F1073" s="1"/>
      <c r="G1073" s="9"/>
      <c r="I1073" s="4">
        <v>61</v>
      </c>
      <c r="J1073" s="11">
        <v>6.7</v>
      </c>
      <c r="L1073" s="12">
        <f t="shared" si="22"/>
        <v>0.82607480270082645</v>
      </c>
      <c r="M1073" s="11">
        <f>GraphSalmonella!$B$10-(Salmonella!I1073-GraphSalmonella!$B$6)/GraphSalmonella!$B$5</f>
        <v>0.16119285160768371</v>
      </c>
      <c r="N1073" s="2" t="s">
        <v>1226</v>
      </c>
      <c r="O1073">
        <v>1996</v>
      </c>
      <c r="S1073" s="10">
        <f>GraphSalmonella!$B$57*Salmonella!I1073+GraphSalmonella!$B$58</f>
        <v>0.29093296114529155</v>
      </c>
      <c r="T1073" s="10">
        <f>GraphSalmonella!$E$57*Salmonella!I1073+GraphSalmonella!$E$58</f>
        <v>3.0879294347539519</v>
      </c>
      <c r="U1073" s="10">
        <f>GraphSalmonella!$H$57*Salmonella!I1073+GraphSalmonella!$H$58</f>
        <v>0.16208219603952578</v>
      </c>
      <c r="X1073" s="10">
        <f>GraphSalmonella!$B$80*Salmonella!I1073+GraphSalmonella!$B$81</f>
        <v>0.16376537496596644</v>
      </c>
      <c r="Y1073" s="10">
        <f>GraphSalmonella!$E$80*Salmonella!I1073+GraphSalmonella!$E$81</f>
        <v>0.17076268985734355</v>
      </c>
      <c r="Z1073" s="10">
        <f>GraphSalmonella!$H$80*Salmonella!I1073+GraphSalmonella!$H$81</f>
        <v>-0.19369455021069548</v>
      </c>
    </row>
    <row r="1074" spans="1:26" x14ac:dyDescent="0.2">
      <c r="A1074" s="1" t="s">
        <v>66</v>
      </c>
      <c r="B1074" s="1" t="s">
        <v>70</v>
      </c>
      <c r="D1074" t="s">
        <v>44</v>
      </c>
      <c r="E1074" s="1" t="s">
        <v>94</v>
      </c>
      <c r="F1074" s="1"/>
      <c r="G1074" s="9"/>
      <c r="I1074" s="4">
        <v>62.3</v>
      </c>
      <c r="J1074" s="11">
        <v>4.5</v>
      </c>
      <c r="L1074" s="12">
        <f t="shared" si="22"/>
        <v>0.65321251377534373</v>
      </c>
      <c r="M1074" s="11">
        <f>GraphSalmonella!$B$10-(Salmonella!I1074-GraphSalmonella!$B$6)/GraphSalmonella!$B$5</f>
        <v>1.8152432135361773E-2</v>
      </c>
      <c r="N1074" s="2" t="s">
        <v>1226</v>
      </c>
      <c r="O1074">
        <v>1996</v>
      </c>
      <c r="S1074" s="10">
        <f>GraphSalmonella!$B$57*Salmonella!I1074+GraphSalmonella!$B$58</f>
        <v>0.21320560876552985</v>
      </c>
      <c r="T1074" s="10">
        <f>GraphSalmonella!$E$57*Salmonella!I1074+GraphSalmonella!$E$58</f>
        <v>3.0241065563501652</v>
      </c>
      <c r="U1074" s="10">
        <f>GraphSalmonella!$H$57*Salmonella!I1074+GraphSalmonella!$H$58</f>
        <v>1.9073976174490248E-2</v>
      </c>
      <c r="X1074" s="10">
        <f>GraphSalmonella!$B$80*Salmonella!I1074+GraphSalmonella!$B$81</f>
        <v>2.0655681349501798E-2</v>
      </c>
      <c r="Y1074" s="10">
        <f>GraphSalmonella!$E$80*Salmonella!I1074+GraphSalmonella!$E$81</f>
        <v>2.5644577922165901E-2</v>
      </c>
      <c r="Z1074" s="10">
        <f>GraphSalmonella!$H$80*Salmonella!I1074+GraphSalmonella!$H$81</f>
        <v>-0.36163097241928721</v>
      </c>
    </row>
    <row r="1075" spans="1:26" x14ac:dyDescent="0.2">
      <c r="A1075" s="1" t="s">
        <v>66</v>
      </c>
      <c r="B1075" s="1" t="s">
        <v>70</v>
      </c>
      <c r="D1075" t="s">
        <v>44</v>
      </c>
      <c r="E1075" s="1" t="s">
        <v>94</v>
      </c>
      <c r="F1075" s="1"/>
      <c r="G1075" s="9"/>
      <c r="I1075" s="4">
        <v>62.8</v>
      </c>
      <c r="J1075" s="11">
        <v>3.8</v>
      </c>
      <c r="L1075" s="12">
        <f t="shared" si="22"/>
        <v>0.57978359661681012</v>
      </c>
      <c r="M1075" s="11">
        <f>GraphSalmonella!$B$10-(Salmonella!I1075-GraphSalmonella!$B$6)/GraphSalmonella!$B$5</f>
        <v>-3.6863113815531423E-2</v>
      </c>
      <c r="N1075" s="2" t="s">
        <v>1226</v>
      </c>
      <c r="O1075">
        <v>1996</v>
      </c>
      <c r="S1075" s="10">
        <f>GraphSalmonella!$B$57*Salmonella!I1075+GraphSalmonella!$B$58</f>
        <v>0.18331047323485183</v>
      </c>
      <c r="T1075" s="10">
        <f>GraphSalmonella!$E$57*Salmonella!I1075+GraphSalmonella!$E$58</f>
        <v>2.999559295425632</v>
      </c>
      <c r="U1075" s="10">
        <f>GraphSalmonella!$H$57*Salmonella!I1075+GraphSalmonella!$H$58</f>
        <v>-3.5929185312062017E-2</v>
      </c>
      <c r="X1075" s="10">
        <f>GraphSalmonella!$B$80*Salmonella!I1075+GraphSalmonella!$B$81</f>
        <v>-3.438650850298508E-2</v>
      </c>
      <c r="Y1075" s="10">
        <f>GraphSalmonella!$E$80*Salmonella!I1075+GraphSalmonella!$E$81</f>
        <v>-3.0170080514441366E-2</v>
      </c>
      <c r="Z1075" s="10">
        <f>GraphSalmonella!$H$80*Salmonella!I1075+GraphSalmonella!$H$81</f>
        <v>-0.426221904037976</v>
      </c>
    </row>
    <row r="1076" spans="1:26" x14ac:dyDescent="0.2">
      <c r="A1076" s="1" t="s">
        <v>66</v>
      </c>
      <c r="B1076" s="1" t="s">
        <v>70</v>
      </c>
      <c r="D1076" t="s">
        <v>44</v>
      </c>
      <c r="E1076" s="1" t="s">
        <v>94</v>
      </c>
      <c r="F1076" s="1"/>
      <c r="G1076" s="9"/>
      <c r="I1076" s="4">
        <v>65</v>
      </c>
      <c r="J1076" s="11">
        <v>1.7</v>
      </c>
      <c r="L1076" s="12">
        <f t="shared" si="22"/>
        <v>0.23044892137827391</v>
      </c>
      <c r="M1076" s="11">
        <f>GraphSalmonella!$B$10-(Salmonella!I1076-GraphSalmonella!$B$6)/GraphSalmonella!$B$5</f>
        <v>-0.27893151599946164</v>
      </c>
      <c r="N1076" s="2" t="s">
        <v>1226</v>
      </c>
      <c r="O1076">
        <v>1996</v>
      </c>
      <c r="S1076" s="10">
        <f>GraphSalmonella!$B$57*Salmonella!I1076+GraphSalmonella!$B$58</f>
        <v>5.1771876899869618E-2</v>
      </c>
      <c r="T1076" s="10">
        <f>GraphSalmonella!$E$57*Salmonella!I1076+GraphSalmonella!$E$58</f>
        <v>2.891551347357685</v>
      </c>
      <c r="U1076" s="10">
        <f>GraphSalmonella!$H$57*Salmonella!I1076+GraphSalmonella!$H$58</f>
        <v>-0.27794309585289145</v>
      </c>
      <c r="X1076" s="10">
        <f>GraphSalmonella!$B$80*Salmonella!I1076+GraphSalmonella!$B$81</f>
        <v>-0.27657214385392592</v>
      </c>
      <c r="Y1076" s="10">
        <f>GraphSalmonella!$E$80*Salmonella!I1076+GraphSalmonella!$E$81</f>
        <v>-0.27575457763551192</v>
      </c>
      <c r="Z1076" s="10">
        <f>GraphSalmonella!$H$80*Salmonella!I1076+GraphSalmonella!$H$81</f>
        <v>-0.71042200316020843</v>
      </c>
    </row>
    <row r="1077" spans="1:26" x14ac:dyDescent="0.2">
      <c r="A1077" s="1" t="s">
        <v>66</v>
      </c>
      <c r="B1077" s="1" t="s">
        <v>109</v>
      </c>
      <c r="D1077" t="s">
        <v>44</v>
      </c>
      <c r="E1077" s="1" t="s">
        <v>365</v>
      </c>
      <c r="F1077" s="1"/>
      <c r="G1077" s="9"/>
      <c r="I1077" s="4">
        <v>54.4</v>
      </c>
      <c r="J1077" s="11">
        <v>9.98</v>
      </c>
      <c r="K1077" s="4">
        <v>3.7</v>
      </c>
      <c r="L1077" s="12">
        <f t="shared" si="22"/>
        <v>0.99913054128737111</v>
      </c>
      <c r="M1077" s="11">
        <f>GraphSalmonella!$B$10-(Salmonella!I1077-GraphSalmonella!$B$6)/GraphSalmonella!$B$5</f>
        <v>0.88739805815947381</v>
      </c>
      <c r="N1077" s="1" t="s">
        <v>319</v>
      </c>
      <c r="O1077">
        <v>2000</v>
      </c>
      <c r="S1077" s="10">
        <f>GraphSalmonella!$B$57*Salmonella!I1077+GraphSalmonella!$B$58</f>
        <v>0.68554875015023775</v>
      </c>
      <c r="T1077" s="10">
        <f>GraphSalmonella!$E$57*Salmonella!I1077+GraphSalmonella!$E$58</f>
        <v>3.4119532789577915</v>
      </c>
      <c r="U1077" s="10">
        <f>GraphSalmonella!$H$57*Salmonella!I1077+GraphSalmonella!$H$58</f>
        <v>0.88812392766201231</v>
      </c>
      <c r="X1077" s="10">
        <f>GraphSalmonella!$B$80*Salmonella!I1077+GraphSalmonella!$B$81</f>
        <v>0.89032228101878808</v>
      </c>
      <c r="Y1077" s="10">
        <f>GraphSalmonella!$E$80*Salmonella!I1077+GraphSalmonella!$E$81</f>
        <v>0.90751618122055611</v>
      </c>
      <c r="Z1077" s="10">
        <f>GraphSalmonella!$H$80*Salmonella!I1077+GraphSalmonella!$H$81</f>
        <v>0.65890574715600181</v>
      </c>
    </row>
    <row r="1078" spans="1:26" x14ac:dyDescent="0.2">
      <c r="A1078" s="1" t="s">
        <v>66</v>
      </c>
      <c r="B1078" s="1" t="s">
        <v>109</v>
      </c>
      <c r="D1078" t="s">
        <v>44</v>
      </c>
      <c r="E1078" s="1" t="s">
        <v>365</v>
      </c>
      <c r="F1078" s="1"/>
      <c r="G1078" s="9"/>
      <c r="I1078" s="4">
        <v>57.2</v>
      </c>
      <c r="J1078" s="11">
        <v>2</v>
      </c>
      <c r="K1078" s="4">
        <v>3.7</v>
      </c>
      <c r="L1078" s="12">
        <f t="shared" si="22"/>
        <v>0.3010299956639812</v>
      </c>
      <c r="M1078" s="11">
        <f>GraphSalmonella!$B$10-(Salmonella!I1078-GraphSalmonella!$B$6)/GraphSalmonella!$B$5</f>
        <v>0.57931100083447151</v>
      </c>
      <c r="N1078" s="1" t="s">
        <v>319</v>
      </c>
      <c r="O1078">
        <v>2000</v>
      </c>
      <c r="S1078" s="10">
        <f>GraphSalmonella!$B$57*Salmonella!I1078+GraphSalmonella!$B$58</f>
        <v>0.51813599117844245</v>
      </c>
      <c r="T1078" s="10">
        <f>GraphSalmonella!$E$57*Salmonella!I1078+GraphSalmonella!$E$58</f>
        <v>3.2744886177804045</v>
      </c>
      <c r="U1078" s="10">
        <f>GraphSalmonella!$H$57*Salmonella!I1078+GraphSalmonella!$H$58</f>
        <v>0.58010622333732087</v>
      </c>
      <c r="X1078" s="10">
        <f>GraphSalmonella!$B$80*Salmonella!I1078+GraphSalmonella!$B$81</f>
        <v>0.58208601784486369</v>
      </c>
      <c r="Y1078" s="10">
        <f>GraphSalmonella!$E$80*Salmonella!I1078+GraphSalmonella!$E$81</f>
        <v>0.59495409397555665</v>
      </c>
      <c r="Z1078" s="10">
        <f>GraphSalmonella!$H$80*Salmonella!I1078+GraphSalmonella!$H$81</f>
        <v>0.29719653009134195</v>
      </c>
    </row>
    <row r="1079" spans="1:26" x14ac:dyDescent="0.2">
      <c r="A1079" s="1" t="s">
        <v>66</v>
      </c>
      <c r="B1079" s="1" t="s">
        <v>109</v>
      </c>
      <c r="D1079" t="s">
        <v>44</v>
      </c>
      <c r="E1079" s="1" t="s">
        <v>365</v>
      </c>
      <c r="F1079" s="1"/>
      <c r="G1079" s="9"/>
      <c r="I1079" s="4">
        <v>58</v>
      </c>
      <c r="J1079" s="11">
        <v>0.77</v>
      </c>
      <c r="K1079" s="4">
        <v>3.7</v>
      </c>
      <c r="L1079" s="12">
        <f t="shared" si="22"/>
        <v>-0.11350927482751812</v>
      </c>
      <c r="M1079" s="11">
        <f>GraphSalmonella!$B$10-(Salmonella!I1079-GraphSalmonella!$B$6)/GraphSalmonella!$B$5</f>
        <v>0.49128612731304266</v>
      </c>
      <c r="N1079" s="1" t="s">
        <v>319</v>
      </c>
      <c r="O1079">
        <v>2000</v>
      </c>
      <c r="P1079" t="s">
        <v>363</v>
      </c>
      <c r="S1079" s="10">
        <f>GraphSalmonella!$B$57*Salmonella!I1079+GraphSalmonella!$B$58</f>
        <v>0.47030377432935788</v>
      </c>
      <c r="T1079" s="10">
        <f>GraphSalmonella!$E$57*Salmonella!I1079+GraphSalmonella!$E$58</f>
        <v>3.2352130003011514</v>
      </c>
      <c r="U1079" s="10">
        <f>GraphSalmonella!$H$57*Salmonella!I1079+GraphSalmonella!$H$58</f>
        <v>0.4921011649588376</v>
      </c>
      <c r="X1079" s="10">
        <f>GraphSalmonella!$B$80*Salmonella!I1079+GraphSalmonella!$B$81</f>
        <v>0.49401851408088504</v>
      </c>
      <c r="Y1079" s="10">
        <f>GraphSalmonella!$E$80*Salmonella!I1079+GraphSalmonella!$E$81</f>
        <v>0.50565064047698538</v>
      </c>
      <c r="Z1079" s="10">
        <f>GraphSalmonella!$H$80*Salmonella!I1079+GraphSalmonella!$H$81</f>
        <v>0.19385103950143989</v>
      </c>
    </row>
    <row r="1080" spans="1:26" x14ac:dyDescent="0.2">
      <c r="A1080" s="1" t="s">
        <v>66</v>
      </c>
      <c r="B1080" s="1" t="s">
        <v>109</v>
      </c>
      <c r="D1080" t="s">
        <v>44</v>
      </c>
      <c r="E1080" s="1" t="s">
        <v>365</v>
      </c>
      <c r="F1080" s="1"/>
      <c r="G1080" s="9"/>
      <c r="I1080" s="4">
        <v>58</v>
      </c>
      <c r="J1080" s="11">
        <v>3.18</v>
      </c>
      <c r="K1080" s="4">
        <v>3.7</v>
      </c>
      <c r="L1080" s="12">
        <f t="shared" si="22"/>
        <v>0.50242711998443268</v>
      </c>
      <c r="M1080" s="11">
        <f>GraphSalmonella!$B$10-(Salmonella!I1080-GraphSalmonella!$B$6)/GraphSalmonella!$B$5</f>
        <v>0.49128612731304266</v>
      </c>
      <c r="N1080" s="1" t="s">
        <v>319</v>
      </c>
      <c r="O1080">
        <v>2000</v>
      </c>
      <c r="P1080" t="s">
        <v>364</v>
      </c>
      <c r="S1080" s="10">
        <f>GraphSalmonella!$B$57*Salmonella!I1080+GraphSalmonella!$B$58</f>
        <v>0.47030377432935788</v>
      </c>
      <c r="T1080" s="10">
        <f>GraphSalmonella!$E$57*Salmonella!I1080+GraphSalmonella!$E$58</f>
        <v>3.2352130003011514</v>
      </c>
      <c r="U1080" s="10">
        <f>GraphSalmonella!$H$57*Salmonella!I1080+GraphSalmonella!$H$58</f>
        <v>0.4921011649588376</v>
      </c>
      <c r="X1080" s="10">
        <f>GraphSalmonella!$B$80*Salmonella!I1080+GraphSalmonella!$B$81</f>
        <v>0.49401851408088504</v>
      </c>
      <c r="Y1080" s="10">
        <f>GraphSalmonella!$E$80*Salmonella!I1080+GraphSalmonella!$E$81</f>
        <v>0.50565064047698538</v>
      </c>
      <c r="Z1080" s="10">
        <f>GraphSalmonella!$H$80*Salmonella!I1080+GraphSalmonella!$H$81</f>
        <v>0.19385103950143989</v>
      </c>
    </row>
    <row r="1081" spans="1:26" x14ac:dyDescent="0.2">
      <c r="A1081" s="1" t="s">
        <v>66</v>
      </c>
      <c r="B1081" s="1" t="s">
        <v>109</v>
      </c>
      <c r="D1081" t="s">
        <v>44</v>
      </c>
      <c r="E1081" s="1" t="s">
        <v>365</v>
      </c>
      <c r="F1081" s="1"/>
      <c r="G1081" s="9"/>
      <c r="I1081" s="4">
        <v>59</v>
      </c>
      <c r="J1081" s="11">
        <v>0.38</v>
      </c>
      <c r="K1081" s="4">
        <v>3.7</v>
      </c>
      <c r="L1081" s="12">
        <f t="shared" si="22"/>
        <v>-0.42021640338318983</v>
      </c>
      <c r="M1081" s="11">
        <f>GraphSalmonella!$B$10-(Salmonella!I1081-GraphSalmonella!$B$6)/GraphSalmonella!$B$5</f>
        <v>0.38125503541125649</v>
      </c>
      <c r="N1081" s="1" t="s">
        <v>319</v>
      </c>
      <c r="O1081">
        <v>2000</v>
      </c>
      <c r="P1081" t="s">
        <v>363</v>
      </c>
      <c r="S1081" s="10">
        <f>GraphSalmonella!$B$57*Salmonella!I1081+GraphSalmonella!$B$58</f>
        <v>0.41051350326800273</v>
      </c>
      <c r="T1081" s="10">
        <f>GraphSalmonella!$E$57*Salmonella!I1081+GraphSalmonella!$E$58</f>
        <v>3.1861184784520851</v>
      </c>
      <c r="U1081" s="10">
        <f>GraphSalmonella!$H$57*Salmonella!I1081+GraphSalmonella!$H$58</f>
        <v>0.38209484198573396</v>
      </c>
      <c r="X1081" s="10">
        <f>GraphSalmonella!$B$80*Salmonella!I1081+GraphSalmonella!$B$81</f>
        <v>0.38393413437591217</v>
      </c>
      <c r="Y1081" s="10">
        <f>GraphSalmonella!$E$80*Salmonella!I1081+GraphSalmonella!$E$81</f>
        <v>0.39402132360377173</v>
      </c>
      <c r="Z1081" s="10">
        <f>GraphSalmonella!$H$80*Salmonella!I1081+GraphSalmonella!$H$81</f>
        <v>6.4669176264061434E-2</v>
      </c>
    </row>
    <row r="1082" spans="1:26" x14ac:dyDescent="0.2">
      <c r="A1082" s="1" t="s">
        <v>66</v>
      </c>
      <c r="B1082" s="1" t="s">
        <v>109</v>
      </c>
      <c r="D1082" t="s">
        <v>44</v>
      </c>
      <c r="E1082" s="1" t="s">
        <v>365</v>
      </c>
      <c r="F1082" s="1"/>
      <c r="G1082" s="9"/>
      <c r="I1082" s="4">
        <v>59</v>
      </c>
      <c r="J1082" s="11">
        <v>1.49</v>
      </c>
      <c r="K1082" s="4">
        <v>3.7</v>
      </c>
      <c r="L1082" s="12">
        <f t="shared" si="22"/>
        <v>0.17318626841227402</v>
      </c>
      <c r="M1082" s="11">
        <f>GraphSalmonella!$B$10-(Salmonella!I1082-GraphSalmonella!$B$6)/GraphSalmonella!$B$5</f>
        <v>0.38125503541125649</v>
      </c>
      <c r="N1082" s="1" t="s">
        <v>319</v>
      </c>
      <c r="O1082">
        <v>2000</v>
      </c>
      <c r="P1082" t="s">
        <v>364</v>
      </c>
      <c r="S1082" s="10">
        <f>GraphSalmonella!$B$57*Salmonella!I1082+GraphSalmonella!$B$58</f>
        <v>0.41051350326800273</v>
      </c>
      <c r="T1082" s="10">
        <f>GraphSalmonella!$E$57*Salmonella!I1082+GraphSalmonella!$E$58</f>
        <v>3.1861184784520851</v>
      </c>
      <c r="U1082" s="10">
        <f>GraphSalmonella!$H$57*Salmonella!I1082+GraphSalmonella!$H$58</f>
        <v>0.38209484198573396</v>
      </c>
      <c r="X1082" s="10">
        <f>GraphSalmonella!$B$80*Salmonella!I1082+GraphSalmonella!$B$81</f>
        <v>0.38393413437591217</v>
      </c>
      <c r="Y1082" s="10">
        <f>GraphSalmonella!$E$80*Salmonella!I1082+GraphSalmonella!$E$81</f>
        <v>0.39402132360377173</v>
      </c>
      <c r="Z1082" s="10">
        <f>GraphSalmonella!$H$80*Salmonella!I1082+GraphSalmonella!$H$81</f>
        <v>6.4669176264061434E-2</v>
      </c>
    </row>
    <row r="1083" spans="1:26" x14ac:dyDescent="0.2">
      <c r="A1083" s="1" t="s">
        <v>66</v>
      </c>
      <c r="B1083" s="1" t="s">
        <v>109</v>
      </c>
      <c r="D1083" t="s">
        <v>44</v>
      </c>
      <c r="E1083" s="1" t="s">
        <v>365</v>
      </c>
      <c r="F1083" s="1"/>
      <c r="G1083" s="9"/>
      <c r="I1083" s="4">
        <v>60</v>
      </c>
      <c r="J1083" s="11">
        <v>0.22</v>
      </c>
      <c r="K1083" s="4">
        <v>3.7</v>
      </c>
      <c r="L1083" s="12">
        <f t="shared" si="22"/>
        <v>-0.65757731917779372</v>
      </c>
      <c r="M1083" s="11">
        <f>GraphSalmonella!$B$10-(Salmonella!I1083-GraphSalmonella!$B$6)/GraphSalmonella!$B$5</f>
        <v>0.2712239435094701</v>
      </c>
      <c r="N1083" s="1" t="s">
        <v>319</v>
      </c>
      <c r="O1083">
        <v>2000</v>
      </c>
      <c r="P1083" t="s">
        <v>363</v>
      </c>
      <c r="S1083" s="10">
        <f>GraphSalmonella!$B$57*Salmonella!I1083+GraphSalmonella!$B$58</f>
        <v>0.35072323220664714</v>
      </c>
      <c r="T1083" s="10">
        <f>GraphSalmonella!$E$57*Salmonella!I1083+GraphSalmonella!$E$58</f>
        <v>3.1370239566030182</v>
      </c>
      <c r="U1083" s="10">
        <f>GraphSalmonella!$H$57*Salmonella!I1083+GraphSalmonella!$H$58</f>
        <v>0.27208851901262943</v>
      </c>
      <c r="X1083" s="10">
        <f>GraphSalmonella!$B$80*Salmonella!I1083+GraphSalmonella!$B$81</f>
        <v>0.2738497546709393</v>
      </c>
      <c r="Y1083" s="10">
        <f>GraphSalmonella!$E$80*Salmonella!I1083+GraphSalmonella!$E$81</f>
        <v>0.2823920067305572</v>
      </c>
      <c r="Z1083" s="10">
        <f>GraphSalmonella!$H$80*Salmonella!I1083+GraphSalmonella!$H$81</f>
        <v>-6.4512686973317024E-2</v>
      </c>
    </row>
    <row r="1084" spans="1:26" x14ac:dyDescent="0.2">
      <c r="A1084" s="1" t="s">
        <v>66</v>
      </c>
      <c r="B1084" s="1" t="s">
        <v>109</v>
      </c>
      <c r="D1084" t="s">
        <v>44</v>
      </c>
      <c r="E1084" s="1" t="s">
        <v>365</v>
      </c>
      <c r="F1084" s="1"/>
      <c r="G1084" s="9"/>
      <c r="I1084" s="4">
        <v>60</v>
      </c>
      <c r="J1084" s="11">
        <v>0.39</v>
      </c>
      <c r="L1084" s="12">
        <f t="shared" si="22"/>
        <v>-0.40893539297350079</v>
      </c>
      <c r="M1084" s="11">
        <f>GraphSalmonella!$B$10-(Salmonella!I1084-GraphSalmonella!$B$6)/GraphSalmonella!$B$5</f>
        <v>0.2712239435094701</v>
      </c>
      <c r="N1084" s="1" t="s">
        <v>319</v>
      </c>
      <c r="O1084">
        <v>2000</v>
      </c>
      <c r="S1084" s="10">
        <f>GraphSalmonella!$B$57*Salmonella!I1084+GraphSalmonella!$B$58</f>
        <v>0.35072323220664714</v>
      </c>
      <c r="T1084" s="10">
        <f>GraphSalmonella!$E$57*Salmonella!I1084+GraphSalmonella!$E$58</f>
        <v>3.1370239566030182</v>
      </c>
      <c r="U1084" s="10">
        <f>GraphSalmonella!$H$57*Salmonella!I1084+GraphSalmonella!$H$58</f>
        <v>0.27208851901262943</v>
      </c>
      <c r="X1084" s="10">
        <f>GraphSalmonella!$B$80*Salmonella!I1084+GraphSalmonella!$B$81</f>
        <v>0.2738497546709393</v>
      </c>
      <c r="Y1084" s="10">
        <f>GraphSalmonella!$E$80*Salmonella!I1084+GraphSalmonella!$E$81</f>
        <v>0.2823920067305572</v>
      </c>
      <c r="Z1084" s="10">
        <f>GraphSalmonella!$H$80*Salmonella!I1084+GraphSalmonella!$H$81</f>
        <v>-6.4512686973317024E-2</v>
      </c>
    </row>
    <row r="1085" spans="1:26" x14ac:dyDescent="0.2">
      <c r="A1085" s="1" t="s">
        <v>66</v>
      </c>
      <c r="B1085" s="1" t="s">
        <v>109</v>
      </c>
      <c r="D1085" t="s">
        <v>44</v>
      </c>
      <c r="E1085" s="1" t="s">
        <v>365</v>
      </c>
      <c r="F1085" s="1"/>
      <c r="G1085" s="9"/>
      <c r="I1085" s="4">
        <v>60</v>
      </c>
      <c r="J1085" s="11">
        <v>0.91</v>
      </c>
      <c r="K1085" s="4">
        <v>3.7</v>
      </c>
      <c r="L1085" s="12">
        <f t="shared" si="22"/>
        <v>-4.0958607678906384E-2</v>
      </c>
      <c r="M1085" s="11">
        <f>GraphSalmonella!$B$10-(Salmonella!I1085-GraphSalmonella!$B$6)/GraphSalmonella!$B$5</f>
        <v>0.2712239435094701</v>
      </c>
      <c r="N1085" s="1" t="s">
        <v>319</v>
      </c>
      <c r="O1085">
        <v>2000</v>
      </c>
      <c r="P1085" t="s">
        <v>364</v>
      </c>
      <c r="S1085" s="10">
        <f>GraphSalmonella!$B$57*Salmonella!I1085+GraphSalmonella!$B$58</f>
        <v>0.35072323220664714</v>
      </c>
      <c r="T1085" s="10">
        <f>GraphSalmonella!$E$57*Salmonella!I1085+GraphSalmonella!$E$58</f>
        <v>3.1370239566030182</v>
      </c>
      <c r="U1085" s="10">
        <f>GraphSalmonella!$H$57*Salmonella!I1085+GraphSalmonella!$H$58</f>
        <v>0.27208851901262943</v>
      </c>
      <c r="X1085" s="10">
        <f>GraphSalmonella!$B$80*Salmonella!I1085+GraphSalmonella!$B$81</f>
        <v>0.2738497546709393</v>
      </c>
      <c r="Y1085" s="10">
        <f>GraphSalmonella!$E$80*Salmonella!I1085+GraphSalmonella!$E$81</f>
        <v>0.2823920067305572</v>
      </c>
      <c r="Z1085" s="10">
        <f>GraphSalmonella!$H$80*Salmonella!I1085+GraphSalmonella!$H$81</f>
        <v>-6.4512686973317024E-2</v>
      </c>
    </row>
    <row r="1086" spans="1:26" x14ac:dyDescent="0.2">
      <c r="A1086" s="1" t="s">
        <v>66</v>
      </c>
      <c r="B1086" s="1" t="s">
        <v>109</v>
      </c>
      <c r="D1086" t="s">
        <v>44</v>
      </c>
      <c r="E1086" s="1" t="s">
        <v>365</v>
      </c>
      <c r="F1086" s="1"/>
      <c r="G1086" s="9"/>
      <c r="I1086" s="4">
        <v>62.8</v>
      </c>
      <c r="J1086" s="11">
        <v>0.05</v>
      </c>
      <c r="K1086" s="4">
        <v>3.7</v>
      </c>
      <c r="L1086" s="12">
        <f t="shared" si="22"/>
        <v>-1.3010299956639813</v>
      </c>
      <c r="M1086" s="11">
        <f>GraphSalmonella!$B$10-(Salmonella!I1086-GraphSalmonella!$B$6)/GraphSalmonella!$B$5</f>
        <v>-3.6863113815531423E-2</v>
      </c>
      <c r="N1086" s="1" t="s">
        <v>319</v>
      </c>
      <c r="O1086">
        <v>2000</v>
      </c>
      <c r="S1086" s="10">
        <f>GraphSalmonella!$B$57*Salmonella!I1086+GraphSalmonella!$B$58</f>
        <v>0.18331047323485183</v>
      </c>
      <c r="T1086" s="10">
        <f>GraphSalmonella!$E$57*Salmonella!I1086+GraphSalmonella!$E$58</f>
        <v>2.999559295425632</v>
      </c>
      <c r="U1086" s="10">
        <f>GraphSalmonella!$H$57*Salmonella!I1086+GraphSalmonella!$H$58</f>
        <v>-3.5929185312062017E-2</v>
      </c>
      <c r="X1086" s="10">
        <f>GraphSalmonella!$B$80*Salmonella!I1086+GraphSalmonella!$B$81</f>
        <v>-3.438650850298508E-2</v>
      </c>
      <c r="Y1086" s="10">
        <f>GraphSalmonella!$E$80*Salmonella!I1086+GraphSalmonella!$E$81</f>
        <v>-3.0170080514441366E-2</v>
      </c>
      <c r="Z1086" s="10">
        <f>GraphSalmonella!$H$80*Salmonella!I1086+GraphSalmonella!$H$81</f>
        <v>-0.426221904037976</v>
      </c>
    </row>
    <row r="1087" spans="1:26" x14ac:dyDescent="0.2">
      <c r="A1087" s="1" t="s">
        <v>66</v>
      </c>
      <c r="B1087" s="1" t="s">
        <v>67</v>
      </c>
      <c r="C1087" t="s">
        <v>71</v>
      </c>
      <c r="D1087" t="s">
        <v>43</v>
      </c>
      <c r="E1087" s="1" t="s">
        <v>75</v>
      </c>
      <c r="F1087" s="1" t="s">
        <v>76</v>
      </c>
      <c r="G1087" s="9"/>
      <c r="I1087" s="4">
        <v>60</v>
      </c>
      <c r="J1087" s="11">
        <v>10.64</v>
      </c>
      <c r="L1087" s="12">
        <f t="shared" si="22"/>
        <v>1.0269416279590293</v>
      </c>
      <c r="M1087" s="11">
        <f>GraphSalmonella!$B$10-(Salmonella!I1087-GraphSalmonella!$B$6)/GraphSalmonella!$B$5</f>
        <v>0.2712239435094701</v>
      </c>
      <c r="N1087" s="2" t="s">
        <v>121</v>
      </c>
      <c r="O1087">
        <v>1966</v>
      </c>
      <c r="S1087" s="10">
        <f>GraphSalmonella!$B$57*Salmonella!I1087+GraphSalmonella!$B$58</f>
        <v>0.35072323220664714</v>
      </c>
      <c r="T1087" s="10">
        <f>GraphSalmonella!$E$57*Salmonella!I1087+GraphSalmonella!$E$58</f>
        <v>3.1370239566030182</v>
      </c>
      <c r="U1087" s="10">
        <f>GraphSalmonella!$H$57*Salmonella!I1087+GraphSalmonella!$H$58</f>
        <v>0.27208851901262943</v>
      </c>
      <c r="X1087" s="10">
        <f>GraphSalmonella!$B$80*Salmonella!I1087+GraphSalmonella!$B$81</f>
        <v>0.2738497546709393</v>
      </c>
      <c r="Y1087" s="10">
        <f>GraphSalmonella!$E$80*Salmonella!I1087+GraphSalmonella!$E$81</f>
        <v>0.2823920067305572</v>
      </c>
      <c r="Z1087" s="10">
        <f>GraphSalmonella!$H$80*Salmonella!I1087+GraphSalmonella!$H$81</f>
        <v>-6.4512686973317024E-2</v>
      </c>
    </row>
    <row r="1088" spans="1:26" x14ac:dyDescent="0.2">
      <c r="A1088" s="1" t="s">
        <v>66</v>
      </c>
      <c r="B1088" s="1" t="s">
        <v>67</v>
      </c>
      <c r="C1088" t="s">
        <v>71</v>
      </c>
      <c r="D1088" t="s">
        <v>43</v>
      </c>
      <c r="E1088" s="1" t="s">
        <v>75</v>
      </c>
      <c r="F1088" s="1" t="s">
        <v>76</v>
      </c>
      <c r="G1088" s="9"/>
      <c r="I1088" s="4">
        <v>65.5</v>
      </c>
      <c r="J1088" s="11">
        <v>1.1140000000000001</v>
      </c>
      <c r="L1088" s="12">
        <f t="shared" si="22"/>
        <v>4.6885190837710138E-2</v>
      </c>
      <c r="M1088" s="11">
        <f>GraphSalmonella!$B$10-(Salmonella!I1088-GraphSalmonella!$B$6)/GraphSalmonella!$B$5</f>
        <v>-0.33394706195035484</v>
      </c>
      <c r="N1088" s="2" t="s">
        <v>121</v>
      </c>
      <c r="O1088">
        <v>1966</v>
      </c>
      <c r="S1088" s="10">
        <f>GraphSalmonella!$B$57*Salmonella!I1088+GraphSalmonella!$B$58</f>
        <v>2.1876741369192043E-2</v>
      </c>
      <c r="T1088" s="10">
        <f>GraphSalmonella!$E$57*Salmonella!I1088+GraphSalmonella!$E$58</f>
        <v>2.8670040864331519</v>
      </c>
      <c r="U1088" s="10">
        <f>GraphSalmonella!$H$57*Salmonella!I1088+GraphSalmonella!$H$58</f>
        <v>-0.33294625733944283</v>
      </c>
      <c r="X1088" s="10">
        <f>GraphSalmonella!$B$80*Salmonella!I1088+GraphSalmonella!$B$81</f>
        <v>-0.3316143337064128</v>
      </c>
      <c r="Y1088" s="10">
        <f>GraphSalmonella!$E$80*Salmonella!I1088+GraphSalmonella!$E$81</f>
        <v>-0.33156923607211919</v>
      </c>
      <c r="Z1088" s="10">
        <f>GraphSalmonella!$H$80*Salmonella!I1088+GraphSalmonella!$H$81</f>
        <v>-0.77501293477889899</v>
      </c>
    </row>
    <row r="1089" spans="1:26" x14ac:dyDescent="0.2">
      <c r="A1089" s="1" t="s">
        <v>66</v>
      </c>
      <c r="B1089" s="1" t="s">
        <v>67</v>
      </c>
      <c r="C1089" t="s">
        <v>72</v>
      </c>
      <c r="D1089" t="s">
        <v>43</v>
      </c>
      <c r="E1089" s="1" t="s">
        <v>75</v>
      </c>
      <c r="F1089" s="1" t="s">
        <v>76</v>
      </c>
      <c r="G1089" s="9"/>
      <c r="I1089" s="4">
        <v>60</v>
      </c>
      <c r="J1089" s="11">
        <v>5.42</v>
      </c>
      <c r="L1089" s="12">
        <f t="shared" si="22"/>
        <v>0.73399928653838686</v>
      </c>
      <c r="M1089" s="11">
        <f>GraphSalmonella!$B$10-(Salmonella!I1089-GraphSalmonella!$B$6)/GraphSalmonella!$B$5</f>
        <v>0.2712239435094701</v>
      </c>
      <c r="N1089" s="2" t="s">
        <v>121</v>
      </c>
      <c r="O1089">
        <v>1966</v>
      </c>
      <c r="S1089" s="10">
        <f>GraphSalmonella!$B$57*Salmonella!I1089+GraphSalmonella!$B$58</f>
        <v>0.35072323220664714</v>
      </c>
      <c r="T1089" s="10">
        <f>GraphSalmonella!$E$57*Salmonella!I1089+GraphSalmonella!$E$58</f>
        <v>3.1370239566030182</v>
      </c>
      <c r="U1089" s="10">
        <f>GraphSalmonella!$H$57*Salmonella!I1089+GraphSalmonella!$H$58</f>
        <v>0.27208851901262943</v>
      </c>
      <c r="X1089" s="10">
        <f>GraphSalmonella!$B$80*Salmonella!I1089+GraphSalmonella!$B$81</f>
        <v>0.2738497546709393</v>
      </c>
      <c r="Y1089" s="10">
        <f>GraphSalmonella!$E$80*Salmonella!I1089+GraphSalmonella!$E$81</f>
        <v>0.2823920067305572</v>
      </c>
      <c r="Z1089" s="10">
        <f>GraphSalmonella!$H$80*Salmonella!I1089+GraphSalmonella!$H$81</f>
        <v>-6.4512686973317024E-2</v>
      </c>
    </row>
    <row r="1090" spans="1:26" x14ac:dyDescent="0.2">
      <c r="A1090" s="1" t="s">
        <v>66</v>
      </c>
      <c r="B1090" s="1" t="s">
        <v>67</v>
      </c>
      <c r="C1090" t="s">
        <v>72</v>
      </c>
      <c r="D1090" t="s">
        <v>43</v>
      </c>
      <c r="E1090" s="1" t="s">
        <v>75</v>
      </c>
      <c r="F1090" s="1" t="s">
        <v>76</v>
      </c>
      <c r="G1090" s="9"/>
      <c r="I1090" s="4">
        <v>65.5</v>
      </c>
      <c r="J1090" s="11">
        <v>0.63700000000000001</v>
      </c>
      <c r="L1090" s="12">
        <f t="shared" si="22"/>
        <v>-0.19586056766464957</v>
      </c>
      <c r="M1090" s="11">
        <f>GraphSalmonella!$B$10-(Salmonella!I1090-GraphSalmonella!$B$6)/GraphSalmonella!$B$5</f>
        <v>-0.33394706195035484</v>
      </c>
      <c r="N1090" s="2" t="s">
        <v>121</v>
      </c>
      <c r="O1090">
        <v>1966</v>
      </c>
      <c r="S1090" s="10">
        <f>GraphSalmonella!$B$57*Salmonella!I1090+GraphSalmonella!$B$58</f>
        <v>2.1876741369192043E-2</v>
      </c>
      <c r="T1090" s="10">
        <f>GraphSalmonella!$E$57*Salmonella!I1090+GraphSalmonella!$E$58</f>
        <v>2.8670040864331519</v>
      </c>
      <c r="U1090" s="10">
        <f>GraphSalmonella!$H$57*Salmonella!I1090+GraphSalmonella!$H$58</f>
        <v>-0.33294625733944283</v>
      </c>
      <c r="X1090" s="10">
        <f>GraphSalmonella!$B$80*Salmonella!I1090+GraphSalmonella!$B$81</f>
        <v>-0.3316143337064128</v>
      </c>
      <c r="Y1090" s="10">
        <f>GraphSalmonella!$E$80*Salmonella!I1090+GraphSalmonella!$E$81</f>
        <v>-0.33156923607211919</v>
      </c>
      <c r="Z1090" s="10">
        <f>GraphSalmonella!$H$80*Salmonella!I1090+GraphSalmonella!$H$81</f>
        <v>-0.77501293477889899</v>
      </c>
    </row>
    <row r="1091" spans="1:26" x14ac:dyDescent="0.2">
      <c r="A1091" s="1" t="s">
        <v>66</v>
      </c>
      <c r="B1091" s="1" t="s">
        <v>109</v>
      </c>
      <c r="E1091" s="1" t="s">
        <v>293</v>
      </c>
      <c r="F1091" s="19" t="s">
        <v>390</v>
      </c>
      <c r="G1091" s="30"/>
      <c r="I1091" s="4">
        <v>55</v>
      </c>
      <c r="J1091" s="11">
        <v>5</v>
      </c>
      <c r="L1091" s="12">
        <f t="shared" si="22"/>
        <v>0.69897000433601886</v>
      </c>
      <c r="M1091" s="11">
        <f>GraphSalmonella!$B$10-(Salmonella!I1091-GraphSalmonella!$B$6)/GraphSalmonella!$B$5</f>
        <v>0.82137940301840184</v>
      </c>
      <c r="N1091" s="1" t="s">
        <v>319</v>
      </c>
      <c r="O1091">
        <v>2000</v>
      </c>
      <c r="P1091" t="s">
        <v>387</v>
      </c>
      <c r="S1091" s="10">
        <f>GraphSalmonella!$B$57*Salmonella!I1091+GraphSalmonella!$B$58</f>
        <v>0.64967458751342466</v>
      </c>
      <c r="T1091" s="10">
        <f>GraphSalmonella!$E$57*Salmonella!I1091+GraphSalmonella!$E$58</f>
        <v>3.3824965658483515</v>
      </c>
      <c r="U1091" s="10">
        <f>GraphSalmonella!$H$57*Salmonella!I1091+GraphSalmonella!$H$58</f>
        <v>0.82212013387815031</v>
      </c>
      <c r="X1091" s="10">
        <f>GraphSalmonella!$B$80*Salmonella!I1091+GraphSalmonella!$B$81</f>
        <v>0.82427165319580453</v>
      </c>
      <c r="Y1091" s="10">
        <f>GraphSalmonella!$E$80*Salmonella!I1091+GraphSalmonella!$E$81</f>
        <v>0.84053859109662721</v>
      </c>
      <c r="Z1091" s="10">
        <f>GraphSalmonella!$H$80*Salmonella!I1091+GraphSalmonella!$H$81</f>
        <v>0.58139662921357438</v>
      </c>
    </row>
    <row r="1092" spans="1:26" x14ac:dyDescent="0.2">
      <c r="A1092" s="1" t="s">
        <v>66</v>
      </c>
      <c r="B1092" s="1" t="s">
        <v>109</v>
      </c>
      <c r="E1092" s="1" t="s">
        <v>293</v>
      </c>
      <c r="F1092" s="19" t="s">
        <v>390</v>
      </c>
      <c r="G1092" s="30"/>
      <c r="I1092" s="4">
        <v>55</v>
      </c>
      <c r="J1092" s="11">
        <v>2.5</v>
      </c>
      <c r="L1092" s="12">
        <f t="shared" si="22"/>
        <v>0.3979400086720376</v>
      </c>
      <c r="M1092" s="11">
        <f>GraphSalmonella!$B$10-(Salmonella!I1092-GraphSalmonella!$B$6)/GraphSalmonella!$B$5</f>
        <v>0.82137940301840184</v>
      </c>
      <c r="N1092" s="1" t="s">
        <v>319</v>
      </c>
      <c r="O1092">
        <v>2000</v>
      </c>
      <c r="P1092" t="s">
        <v>388</v>
      </c>
      <c r="S1092" s="10">
        <f>GraphSalmonella!$B$57*Salmonella!I1092+GraphSalmonella!$B$58</f>
        <v>0.64967458751342466</v>
      </c>
      <c r="T1092" s="10">
        <f>GraphSalmonella!$E$57*Salmonella!I1092+GraphSalmonella!$E$58</f>
        <v>3.3824965658483515</v>
      </c>
      <c r="U1092" s="10">
        <f>GraphSalmonella!$H$57*Salmonella!I1092+GraphSalmonella!$H$58</f>
        <v>0.82212013387815031</v>
      </c>
      <c r="X1092" s="10">
        <f>GraphSalmonella!$B$80*Salmonella!I1092+GraphSalmonella!$B$81</f>
        <v>0.82427165319580453</v>
      </c>
      <c r="Y1092" s="10">
        <f>GraphSalmonella!$E$80*Salmonella!I1092+GraphSalmonella!$E$81</f>
        <v>0.84053859109662721</v>
      </c>
      <c r="Z1092" s="10">
        <f>GraphSalmonella!$H$80*Salmonella!I1092+GraphSalmonella!$H$81</f>
        <v>0.58139662921357438</v>
      </c>
    </row>
    <row r="1093" spans="1:26" x14ac:dyDescent="0.2">
      <c r="A1093" s="1" t="s">
        <v>66</v>
      </c>
      <c r="B1093" s="1" t="s">
        <v>109</v>
      </c>
      <c r="E1093" s="1" t="s">
        <v>293</v>
      </c>
      <c r="F1093" s="19" t="s">
        <v>391</v>
      </c>
      <c r="G1093" s="30"/>
      <c r="I1093" s="4">
        <v>55</v>
      </c>
      <c r="J1093" s="11">
        <v>4.3</v>
      </c>
      <c r="L1093" s="12">
        <f t="shared" si="22"/>
        <v>0.63346845557958653</v>
      </c>
      <c r="M1093" s="11">
        <f>GraphSalmonella!$B$10-(Salmonella!I1093-GraphSalmonella!$B$6)/GraphSalmonella!$B$5</f>
        <v>0.82137940301840184</v>
      </c>
      <c r="N1093" s="1" t="s">
        <v>319</v>
      </c>
      <c r="O1093">
        <v>2000</v>
      </c>
      <c r="P1093" t="s">
        <v>387</v>
      </c>
      <c r="S1093" s="10">
        <f>GraphSalmonella!$B$57*Salmonella!I1093+GraphSalmonella!$B$58</f>
        <v>0.64967458751342466</v>
      </c>
      <c r="T1093" s="10">
        <f>GraphSalmonella!$E$57*Salmonella!I1093+GraphSalmonella!$E$58</f>
        <v>3.3824965658483515</v>
      </c>
      <c r="U1093" s="10">
        <f>GraphSalmonella!$H$57*Salmonella!I1093+GraphSalmonella!$H$58</f>
        <v>0.82212013387815031</v>
      </c>
      <c r="X1093" s="10">
        <f>GraphSalmonella!$B$80*Salmonella!I1093+GraphSalmonella!$B$81</f>
        <v>0.82427165319580453</v>
      </c>
      <c r="Y1093" s="10">
        <f>GraphSalmonella!$E$80*Salmonella!I1093+GraphSalmonella!$E$81</f>
        <v>0.84053859109662721</v>
      </c>
      <c r="Z1093" s="10">
        <f>GraphSalmonella!$H$80*Salmonella!I1093+GraphSalmonella!$H$81</f>
        <v>0.58139662921357438</v>
      </c>
    </row>
    <row r="1094" spans="1:26" x14ac:dyDescent="0.2">
      <c r="A1094" s="1" t="s">
        <v>66</v>
      </c>
      <c r="B1094" s="1" t="s">
        <v>109</v>
      </c>
      <c r="E1094" s="1" t="s">
        <v>293</v>
      </c>
      <c r="F1094" s="19" t="s">
        <v>391</v>
      </c>
      <c r="G1094" s="30"/>
      <c r="I1094" s="4">
        <v>55</v>
      </c>
      <c r="J1094" s="11">
        <v>2.4</v>
      </c>
      <c r="L1094" s="12">
        <f t="shared" si="22"/>
        <v>0.38021124171160603</v>
      </c>
      <c r="M1094" s="11">
        <f>GraphSalmonella!$B$10-(Salmonella!I1094-GraphSalmonella!$B$6)/GraphSalmonella!$B$5</f>
        <v>0.82137940301840184</v>
      </c>
      <c r="N1094" s="1" t="s">
        <v>319</v>
      </c>
      <c r="O1094">
        <v>2000</v>
      </c>
      <c r="P1094" t="s">
        <v>388</v>
      </c>
      <c r="S1094" s="10">
        <f>GraphSalmonella!$B$57*Salmonella!I1094+GraphSalmonella!$B$58</f>
        <v>0.64967458751342466</v>
      </c>
      <c r="T1094" s="10">
        <f>GraphSalmonella!$E$57*Salmonella!I1094+GraphSalmonella!$E$58</f>
        <v>3.3824965658483515</v>
      </c>
      <c r="U1094" s="10">
        <f>GraphSalmonella!$H$57*Salmonella!I1094+GraphSalmonella!$H$58</f>
        <v>0.82212013387815031</v>
      </c>
      <c r="X1094" s="10">
        <f>GraphSalmonella!$B$80*Salmonella!I1094+GraphSalmonella!$B$81</f>
        <v>0.82427165319580453</v>
      </c>
      <c r="Y1094" s="10">
        <f>GraphSalmonella!$E$80*Salmonella!I1094+GraphSalmonella!$E$81</f>
        <v>0.84053859109662721</v>
      </c>
      <c r="Z1094" s="10">
        <f>GraphSalmonella!$H$80*Salmonella!I1094+GraphSalmonella!$H$81</f>
        <v>0.58139662921357438</v>
      </c>
    </row>
    <row r="1095" spans="1:26" x14ac:dyDescent="0.2">
      <c r="A1095" s="1" t="s">
        <v>66</v>
      </c>
      <c r="B1095" s="1" t="s">
        <v>109</v>
      </c>
      <c r="E1095" s="1" t="s">
        <v>293</v>
      </c>
      <c r="F1095" s="19" t="s">
        <v>389</v>
      </c>
      <c r="G1095" s="30"/>
      <c r="I1095" s="4">
        <v>55</v>
      </c>
      <c r="J1095" s="11">
        <v>5.4</v>
      </c>
      <c r="L1095" s="12">
        <f t="shared" si="22"/>
        <v>0.7323937598229685</v>
      </c>
      <c r="M1095" s="11">
        <f>GraphSalmonella!$B$10-(Salmonella!I1095-GraphSalmonella!$B$6)/GraphSalmonella!$B$5</f>
        <v>0.82137940301840184</v>
      </c>
      <c r="N1095" s="1" t="s">
        <v>319</v>
      </c>
      <c r="O1095">
        <v>2000</v>
      </c>
      <c r="P1095" t="s">
        <v>387</v>
      </c>
      <c r="S1095" s="10">
        <f>GraphSalmonella!$B$57*Salmonella!I1095+GraphSalmonella!$B$58</f>
        <v>0.64967458751342466</v>
      </c>
      <c r="T1095" s="10">
        <f>GraphSalmonella!$E$57*Salmonella!I1095+GraphSalmonella!$E$58</f>
        <v>3.3824965658483515</v>
      </c>
      <c r="U1095" s="10">
        <f>GraphSalmonella!$H$57*Salmonella!I1095+GraphSalmonella!$H$58</f>
        <v>0.82212013387815031</v>
      </c>
      <c r="X1095" s="10">
        <f>GraphSalmonella!$B$80*Salmonella!I1095+GraphSalmonella!$B$81</f>
        <v>0.82427165319580453</v>
      </c>
      <c r="Y1095" s="10">
        <f>GraphSalmonella!$E$80*Salmonella!I1095+GraphSalmonella!$E$81</f>
        <v>0.84053859109662721</v>
      </c>
      <c r="Z1095" s="10">
        <f>GraphSalmonella!$H$80*Salmonella!I1095+GraphSalmonella!$H$81</f>
        <v>0.58139662921357438</v>
      </c>
    </row>
    <row r="1096" spans="1:26" x14ac:dyDescent="0.2">
      <c r="A1096" s="1" t="s">
        <v>66</v>
      </c>
      <c r="B1096" s="1" t="s">
        <v>109</v>
      </c>
      <c r="E1096" s="1" t="s">
        <v>293</v>
      </c>
      <c r="F1096" s="19" t="s">
        <v>389</v>
      </c>
      <c r="G1096" s="30"/>
      <c r="I1096" s="4">
        <v>55</v>
      </c>
      <c r="J1096" s="11">
        <v>2.5</v>
      </c>
      <c r="L1096" s="12">
        <f t="shared" si="22"/>
        <v>0.3979400086720376</v>
      </c>
      <c r="M1096" s="11">
        <f>GraphSalmonella!$B$10-(Salmonella!I1096-GraphSalmonella!$B$6)/GraphSalmonella!$B$5</f>
        <v>0.82137940301840184</v>
      </c>
      <c r="N1096" s="1" t="s">
        <v>319</v>
      </c>
      <c r="O1096">
        <v>2000</v>
      </c>
      <c r="P1096" t="s">
        <v>388</v>
      </c>
      <c r="S1096" s="10">
        <f>GraphSalmonella!$B$57*Salmonella!I1096+GraphSalmonella!$B$58</f>
        <v>0.64967458751342466</v>
      </c>
      <c r="T1096" s="10">
        <f>GraphSalmonella!$E$57*Salmonella!I1096+GraphSalmonella!$E$58</f>
        <v>3.3824965658483515</v>
      </c>
      <c r="U1096" s="10">
        <f>GraphSalmonella!$H$57*Salmonella!I1096+GraphSalmonella!$H$58</f>
        <v>0.82212013387815031</v>
      </c>
      <c r="X1096" s="10">
        <f>GraphSalmonella!$B$80*Salmonella!I1096+GraphSalmonella!$B$81</f>
        <v>0.82427165319580453</v>
      </c>
      <c r="Y1096" s="10">
        <f>GraphSalmonella!$E$80*Salmonella!I1096+GraphSalmonella!$E$81</f>
        <v>0.84053859109662721</v>
      </c>
      <c r="Z1096" s="10">
        <f>GraphSalmonella!$H$80*Salmonella!I1096+GraphSalmonella!$H$81</f>
        <v>0.58139662921357438</v>
      </c>
    </row>
    <row r="1097" spans="1:26" x14ac:dyDescent="0.2">
      <c r="A1097" s="1" t="s">
        <v>66</v>
      </c>
      <c r="B1097" s="1" t="s">
        <v>109</v>
      </c>
      <c r="E1097" s="1" t="s">
        <v>293</v>
      </c>
      <c r="F1097" s="1"/>
      <c r="G1097" s="9"/>
      <c r="I1097" s="4">
        <v>52</v>
      </c>
      <c r="J1097" s="11">
        <v>5.3</v>
      </c>
      <c r="L1097" s="12">
        <f t="shared" si="22"/>
        <v>0.72427586960078905</v>
      </c>
      <c r="M1097" s="11">
        <f>GraphSalmonella!$B$10-(Salmonella!I1097-GraphSalmonella!$B$6)/GraphSalmonella!$B$5</f>
        <v>1.1514726787237608</v>
      </c>
      <c r="N1097" s="1" t="s">
        <v>319</v>
      </c>
      <c r="O1097">
        <v>2000</v>
      </c>
      <c r="S1097" s="10">
        <f>GraphSalmonella!$B$57*Salmonella!I1097+GraphSalmonella!$B$58</f>
        <v>0.829045400697491</v>
      </c>
      <c r="T1097" s="10">
        <f>GraphSalmonella!$E$57*Salmonella!I1097+GraphSalmonella!$E$58</f>
        <v>3.529780131395551</v>
      </c>
      <c r="U1097" s="10">
        <f>GraphSalmonella!$H$57*Salmonella!I1097+GraphSalmonella!$H$58</f>
        <v>1.1521391027974621</v>
      </c>
      <c r="X1097" s="10">
        <f>GraphSalmonella!$B$80*Salmonella!I1097+GraphSalmonella!$B$81</f>
        <v>1.154524792310724</v>
      </c>
      <c r="Y1097" s="10">
        <f>GraphSalmonella!$E$80*Salmonella!I1097+GraphSalmonella!$E$81</f>
        <v>1.175426541716269</v>
      </c>
      <c r="Z1097" s="10">
        <f>GraphSalmonella!$H$80*Salmonella!I1097+GraphSalmonella!$H$81</f>
        <v>0.96894221892570975</v>
      </c>
    </row>
    <row r="1098" spans="1:26" x14ac:dyDescent="0.2">
      <c r="A1098" s="1" t="s">
        <v>66</v>
      </c>
      <c r="B1098" s="1" t="s">
        <v>109</v>
      </c>
      <c r="E1098" s="1" t="s">
        <v>293</v>
      </c>
      <c r="F1098" s="1"/>
      <c r="G1098" s="9"/>
      <c r="I1098" s="4">
        <v>52</v>
      </c>
      <c r="J1098" s="11">
        <v>16.899999999999999</v>
      </c>
      <c r="L1098" s="12">
        <f t="shared" si="22"/>
        <v>1.2278867046136734</v>
      </c>
      <c r="M1098" s="11">
        <f>GraphSalmonella!$B$10-(Salmonella!I1098-GraphSalmonella!$B$6)/GraphSalmonella!$B$5</f>
        <v>1.1514726787237608</v>
      </c>
      <c r="N1098" s="1" t="s">
        <v>319</v>
      </c>
      <c r="O1098">
        <v>2000</v>
      </c>
      <c r="P1098" t="s">
        <v>380</v>
      </c>
      <c r="S1098" s="10">
        <f>GraphSalmonella!$B$57*Salmonella!I1098+GraphSalmonella!$B$58</f>
        <v>0.829045400697491</v>
      </c>
      <c r="T1098" s="10">
        <f>GraphSalmonella!$E$57*Salmonella!I1098+GraphSalmonella!$E$58</f>
        <v>3.529780131395551</v>
      </c>
      <c r="U1098" s="10">
        <f>GraphSalmonella!$H$57*Salmonella!I1098+GraphSalmonella!$H$58</f>
        <v>1.1521391027974621</v>
      </c>
      <c r="X1098" s="10">
        <f>GraphSalmonella!$B$80*Salmonella!I1098+GraphSalmonella!$B$81</f>
        <v>1.154524792310724</v>
      </c>
      <c r="Y1098" s="10">
        <f>GraphSalmonella!$E$80*Salmonella!I1098+GraphSalmonella!$E$81</f>
        <v>1.175426541716269</v>
      </c>
      <c r="Z1098" s="10">
        <f>GraphSalmonella!$H$80*Salmonella!I1098+GraphSalmonella!$H$81</f>
        <v>0.96894221892570975</v>
      </c>
    </row>
    <row r="1099" spans="1:26" x14ac:dyDescent="0.2">
      <c r="A1099" s="1" t="s">
        <v>66</v>
      </c>
      <c r="B1099" s="1" t="s">
        <v>109</v>
      </c>
      <c r="E1099" s="1" t="s">
        <v>293</v>
      </c>
      <c r="F1099" s="1"/>
      <c r="G1099" s="9"/>
      <c r="I1099" s="4">
        <v>52</v>
      </c>
      <c r="J1099" s="11">
        <v>20</v>
      </c>
      <c r="L1099" s="12">
        <f t="shared" si="22"/>
        <v>1.3010299956639813</v>
      </c>
      <c r="M1099" s="11">
        <f>GraphSalmonella!$B$10-(Salmonella!I1099-GraphSalmonella!$B$6)/GraphSalmonella!$B$5</f>
        <v>1.1514726787237608</v>
      </c>
      <c r="N1099" s="1" t="s">
        <v>319</v>
      </c>
      <c r="O1099">
        <v>2000</v>
      </c>
      <c r="P1099" t="s">
        <v>381</v>
      </c>
      <c r="S1099" s="10">
        <f>GraphSalmonella!$B$57*Salmonella!I1099+GraphSalmonella!$B$58</f>
        <v>0.829045400697491</v>
      </c>
      <c r="T1099" s="10">
        <f>GraphSalmonella!$E$57*Salmonella!I1099+GraphSalmonella!$E$58</f>
        <v>3.529780131395551</v>
      </c>
      <c r="U1099" s="10">
        <f>GraphSalmonella!$H$57*Salmonella!I1099+GraphSalmonella!$H$58</f>
        <v>1.1521391027974621</v>
      </c>
      <c r="X1099" s="10">
        <f>GraphSalmonella!$B$80*Salmonella!I1099+GraphSalmonella!$B$81</f>
        <v>1.154524792310724</v>
      </c>
      <c r="Y1099" s="10">
        <f>GraphSalmonella!$E$80*Salmonella!I1099+GraphSalmonella!$E$81</f>
        <v>1.175426541716269</v>
      </c>
      <c r="Z1099" s="10">
        <f>GraphSalmonella!$H$80*Salmonella!I1099+GraphSalmonella!$H$81</f>
        <v>0.96894221892570975</v>
      </c>
    </row>
    <row r="1100" spans="1:26" x14ac:dyDescent="0.2">
      <c r="A1100" s="1" t="s">
        <v>66</v>
      </c>
      <c r="B1100" s="1" t="s">
        <v>109</v>
      </c>
      <c r="E1100" s="1" t="s">
        <v>293</v>
      </c>
      <c r="F1100" s="1"/>
      <c r="G1100" s="9"/>
      <c r="I1100" s="4">
        <v>52</v>
      </c>
      <c r="J1100" s="11">
        <v>4.78</v>
      </c>
      <c r="L1100" s="12">
        <f t="shared" si="22"/>
        <v>0.67942789661211889</v>
      </c>
      <c r="M1100" s="11">
        <f>GraphSalmonella!$B$10-(Salmonella!I1100-GraphSalmonella!$B$6)/GraphSalmonella!$B$5</f>
        <v>1.1514726787237608</v>
      </c>
      <c r="N1100" s="1" t="s">
        <v>319</v>
      </c>
      <c r="O1100">
        <v>2000</v>
      </c>
      <c r="P1100" t="s">
        <v>392</v>
      </c>
      <c r="S1100" s="10">
        <f>GraphSalmonella!$B$57*Salmonella!I1100+GraphSalmonella!$B$58</f>
        <v>0.829045400697491</v>
      </c>
      <c r="T1100" s="10">
        <f>GraphSalmonella!$E$57*Salmonella!I1100+GraphSalmonella!$E$58</f>
        <v>3.529780131395551</v>
      </c>
      <c r="U1100" s="10">
        <f>GraphSalmonella!$H$57*Salmonella!I1100+GraphSalmonella!$H$58</f>
        <v>1.1521391027974621</v>
      </c>
      <c r="X1100" s="10">
        <f>GraphSalmonella!$B$80*Salmonella!I1100+GraphSalmonella!$B$81</f>
        <v>1.154524792310724</v>
      </c>
      <c r="Y1100" s="10">
        <f>GraphSalmonella!$E$80*Salmonella!I1100+GraphSalmonella!$E$81</f>
        <v>1.175426541716269</v>
      </c>
      <c r="Z1100" s="10">
        <f>GraphSalmonella!$H$80*Salmonella!I1100+GraphSalmonella!$H$81</f>
        <v>0.96894221892570975</v>
      </c>
    </row>
    <row r="1101" spans="1:26" x14ac:dyDescent="0.2">
      <c r="A1101" s="1" t="s">
        <v>66</v>
      </c>
      <c r="B1101" s="1" t="s">
        <v>109</v>
      </c>
      <c r="E1101" s="1" t="s">
        <v>293</v>
      </c>
      <c r="F1101" s="1"/>
      <c r="G1101" s="9"/>
      <c r="I1101" s="4">
        <v>52</v>
      </c>
      <c r="J1101" s="11">
        <v>10.8</v>
      </c>
      <c r="L1101" s="12">
        <f t="shared" si="22"/>
        <v>1.0334237554869496</v>
      </c>
      <c r="M1101" s="11">
        <f>GraphSalmonella!$B$10-(Salmonella!I1101-GraphSalmonella!$B$6)/GraphSalmonella!$B$5</f>
        <v>1.1514726787237608</v>
      </c>
      <c r="N1101" s="1" t="s">
        <v>319</v>
      </c>
      <c r="O1101">
        <v>2000</v>
      </c>
      <c r="P1101" t="s">
        <v>393</v>
      </c>
      <c r="S1101" s="10">
        <f>GraphSalmonella!$B$57*Salmonella!I1101+GraphSalmonella!$B$58</f>
        <v>0.829045400697491</v>
      </c>
      <c r="T1101" s="10">
        <f>GraphSalmonella!$E$57*Salmonella!I1101+GraphSalmonella!$E$58</f>
        <v>3.529780131395551</v>
      </c>
      <c r="U1101" s="10">
        <f>GraphSalmonella!$H$57*Salmonella!I1101+GraphSalmonella!$H$58</f>
        <v>1.1521391027974621</v>
      </c>
      <c r="X1101" s="10">
        <f>GraphSalmonella!$B$80*Salmonella!I1101+GraphSalmonella!$B$81</f>
        <v>1.154524792310724</v>
      </c>
      <c r="Y1101" s="10">
        <f>GraphSalmonella!$E$80*Salmonella!I1101+GraphSalmonella!$E$81</f>
        <v>1.175426541716269</v>
      </c>
      <c r="Z1101" s="10">
        <f>GraphSalmonella!$H$80*Salmonella!I1101+GraphSalmonella!$H$81</f>
        <v>0.96894221892570975</v>
      </c>
    </row>
    <row r="1102" spans="1:26" x14ac:dyDescent="0.2">
      <c r="A1102" s="1" t="s">
        <v>66</v>
      </c>
      <c r="B1102" s="1" t="s">
        <v>109</v>
      </c>
      <c r="E1102" s="1" t="s">
        <v>293</v>
      </c>
      <c r="F1102" s="1"/>
      <c r="G1102" s="9"/>
      <c r="I1102" s="4">
        <v>52</v>
      </c>
      <c r="J1102" s="11">
        <v>9.7899999999999991</v>
      </c>
      <c r="L1102" s="12">
        <f t="shared" si="22"/>
        <v>0.99078269180313783</v>
      </c>
      <c r="M1102" s="11">
        <f>GraphSalmonella!$B$10-(Salmonella!I1102-GraphSalmonella!$B$6)/GraphSalmonella!$B$5</f>
        <v>1.1514726787237608</v>
      </c>
      <c r="N1102" s="1" t="s">
        <v>319</v>
      </c>
      <c r="O1102">
        <v>2000</v>
      </c>
      <c r="P1102" t="s">
        <v>394</v>
      </c>
      <c r="S1102" s="10">
        <f>GraphSalmonella!$B$57*Salmonella!I1102+GraphSalmonella!$B$58</f>
        <v>0.829045400697491</v>
      </c>
      <c r="T1102" s="10">
        <f>GraphSalmonella!$E$57*Salmonella!I1102+GraphSalmonella!$E$58</f>
        <v>3.529780131395551</v>
      </c>
      <c r="U1102" s="10">
        <f>GraphSalmonella!$H$57*Salmonella!I1102+GraphSalmonella!$H$58</f>
        <v>1.1521391027974621</v>
      </c>
      <c r="X1102" s="10">
        <f>GraphSalmonella!$B$80*Salmonella!I1102+GraphSalmonella!$B$81</f>
        <v>1.154524792310724</v>
      </c>
      <c r="Y1102" s="10">
        <f>GraphSalmonella!$E$80*Salmonella!I1102+GraphSalmonella!$E$81</f>
        <v>1.175426541716269</v>
      </c>
      <c r="Z1102" s="10">
        <f>GraphSalmonella!$H$80*Salmonella!I1102+GraphSalmonella!$H$81</f>
        <v>0.96894221892570975</v>
      </c>
    </row>
    <row r="1103" spans="1:26" x14ac:dyDescent="0.2">
      <c r="A1103" s="1" t="s">
        <v>66</v>
      </c>
      <c r="B1103" s="1" t="s">
        <v>109</v>
      </c>
      <c r="E1103" s="1" t="s">
        <v>293</v>
      </c>
      <c r="F1103" s="1"/>
      <c r="G1103" s="9"/>
      <c r="I1103" s="4">
        <v>52</v>
      </c>
      <c r="J1103" s="11">
        <v>3.75</v>
      </c>
      <c r="L1103" s="12">
        <f t="shared" si="22"/>
        <v>0.57403126772771884</v>
      </c>
      <c r="M1103" s="11">
        <f>GraphSalmonella!$B$10-(Salmonella!I1103-GraphSalmonella!$B$6)/GraphSalmonella!$B$5</f>
        <v>1.1514726787237608</v>
      </c>
      <c r="N1103" s="1" t="s">
        <v>319</v>
      </c>
      <c r="O1103">
        <v>2000</v>
      </c>
      <c r="P1103" t="s">
        <v>395</v>
      </c>
      <c r="S1103" s="10">
        <f>GraphSalmonella!$B$57*Salmonella!I1103+GraphSalmonella!$B$58</f>
        <v>0.829045400697491</v>
      </c>
      <c r="T1103" s="10">
        <f>GraphSalmonella!$E$57*Salmonella!I1103+GraphSalmonella!$E$58</f>
        <v>3.529780131395551</v>
      </c>
      <c r="U1103" s="10">
        <f>GraphSalmonella!$H$57*Salmonella!I1103+GraphSalmonella!$H$58</f>
        <v>1.1521391027974621</v>
      </c>
      <c r="X1103" s="10">
        <f>GraphSalmonella!$B$80*Salmonella!I1103+GraphSalmonella!$B$81</f>
        <v>1.154524792310724</v>
      </c>
      <c r="Y1103" s="10">
        <f>GraphSalmonella!$E$80*Salmonella!I1103+GraphSalmonella!$E$81</f>
        <v>1.175426541716269</v>
      </c>
      <c r="Z1103" s="10">
        <f>GraphSalmonella!$H$80*Salmonella!I1103+GraphSalmonella!$H$81</f>
        <v>0.96894221892570975</v>
      </c>
    </row>
    <row r="1104" spans="1:26" x14ac:dyDescent="0.2">
      <c r="A1104" s="1" t="s">
        <v>66</v>
      </c>
      <c r="B1104" s="1" t="s">
        <v>109</v>
      </c>
      <c r="E1104" s="1" t="s">
        <v>293</v>
      </c>
      <c r="F1104" s="1"/>
      <c r="G1104" s="9"/>
      <c r="I1104" s="4">
        <v>52</v>
      </c>
      <c r="J1104" s="11">
        <v>9.17</v>
      </c>
      <c r="L1104" s="12">
        <f t="shared" ref="L1104:L1135" si="23">LOG(J1104)</f>
        <v>0.96236933567002114</v>
      </c>
      <c r="M1104" s="11">
        <f>GraphSalmonella!$B$10-(Salmonella!I1104-GraphSalmonella!$B$6)/GraphSalmonella!$B$5</f>
        <v>1.1514726787237608</v>
      </c>
      <c r="N1104" s="1" t="s">
        <v>319</v>
      </c>
      <c r="O1104">
        <v>2000</v>
      </c>
      <c r="P1104" t="s">
        <v>396</v>
      </c>
      <c r="S1104" s="10">
        <f>GraphSalmonella!$B$57*Salmonella!I1104+GraphSalmonella!$B$58</f>
        <v>0.829045400697491</v>
      </c>
      <c r="T1104" s="10">
        <f>GraphSalmonella!$E$57*Salmonella!I1104+GraphSalmonella!$E$58</f>
        <v>3.529780131395551</v>
      </c>
      <c r="U1104" s="10">
        <f>GraphSalmonella!$H$57*Salmonella!I1104+GraphSalmonella!$H$58</f>
        <v>1.1521391027974621</v>
      </c>
      <c r="X1104" s="10">
        <f>GraphSalmonella!$B$80*Salmonella!I1104+GraphSalmonella!$B$81</f>
        <v>1.154524792310724</v>
      </c>
      <c r="Y1104" s="10">
        <f>GraphSalmonella!$E$80*Salmonella!I1104+GraphSalmonella!$E$81</f>
        <v>1.175426541716269</v>
      </c>
      <c r="Z1104" s="10">
        <f>GraphSalmonella!$H$80*Salmonella!I1104+GraphSalmonella!$H$81</f>
        <v>0.96894221892570975</v>
      </c>
    </row>
    <row r="1105" spans="1:26" x14ac:dyDescent="0.2">
      <c r="A1105" s="1" t="s">
        <v>66</v>
      </c>
      <c r="B1105" s="1" t="s">
        <v>109</v>
      </c>
      <c r="E1105" s="1" t="s">
        <v>293</v>
      </c>
      <c r="F1105" s="1"/>
      <c r="G1105" s="9"/>
      <c r="I1105" s="4">
        <v>52</v>
      </c>
      <c r="J1105" s="11">
        <v>8.33</v>
      </c>
      <c r="L1105" s="12">
        <f t="shared" si="23"/>
        <v>0.92064500140678762</v>
      </c>
      <c r="M1105" s="11">
        <f>GraphSalmonella!$B$10-(Salmonella!I1105-GraphSalmonella!$B$6)/GraphSalmonella!$B$5</f>
        <v>1.1514726787237608</v>
      </c>
      <c r="N1105" s="1" t="s">
        <v>319</v>
      </c>
      <c r="O1105">
        <v>2000</v>
      </c>
      <c r="P1105" t="s">
        <v>397</v>
      </c>
      <c r="S1105" s="10">
        <f>GraphSalmonella!$B$57*Salmonella!I1105+GraphSalmonella!$B$58</f>
        <v>0.829045400697491</v>
      </c>
      <c r="T1105" s="10">
        <f>GraphSalmonella!$E$57*Salmonella!I1105+GraphSalmonella!$E$58</f>
        <v>3.529780131395551</v>
      </c>
      <c r="U1105" s="10">
        <f>GraphSalmonella!$H$57*Salmonella!I1105+GraphSalmonella!$H$58</f>
        <v>1.1521391027974621</v>
      </c>
      <c r="X1105" s="10">
        <f>GraphSalmonella!$B$80*Salmonella!I1105+GraphSalmonella!$B$81</f>
        <v>1.154524792310724</v>
      </c>
      <c r="Y1105" s="10">
        <f>GraphSalmonella!$E$80*Salmonella!I1105+GraphSalmonella!$E$81</f>
        <v>1.175426541716269</v>
      </c>
      <c r="Z1105" s="10">
        <f>GraphSalmonella!$H$80*Salmonella!I1105+GraphSalmonella!$H$81</f>
        <v>0.96894221892570975</v>
      </c>
    </row>
    <row r="1106" spans="1:26" x14ac:dyDescent="0.2">
      <c r="A1106" s="1" t="s">
        <v>66</v>
      </c>
      <c r="B1106" s="1" t="s">
        <v>109</v>
      </c>
      <c r="E1106" s="1" t="s">
        <v>293</v>
      </c>
      <c r="F1106" s="1"/>
      <c r="G1106" s="9"/>
      <c r="I1106" s="4">
        <v>54</v>
      </c>
      <c r="J1106" s="11">
        <v>2.7</v>
      </c>
      <c r="L1106" s="12">
        <f t="shared" si="23"/>
        <v>0.43136376415898736</v>
      </c>
      <c r="M1106" s="11">
        <f>GraphSalmonella!$B$10-(Salmonella!I1106-GraphSalmonella!$B$6)/GraphSalmonella!$B$5</f>
        <v>0.93141049492018801</v>
      </c>
      <c r="N1106" s="1" t="s">
        <v>319</v>
      </c>
      <c r="O1106">
        <v>2000</v>
      </c>
      <c r="S1106" s="10">
        <f>GraphSalmonella!$B$57*Salmonella!I1106+GraphSalmonella!$B$58</f>
        <v>0.70946485857477981</v>
      </c>
      <c r="T1106" s="10">
        <f>GraphSalmonella!$E$57*Salmonella!I1106+GraphSalmonella!$E$58</f>
        <v>3.4315910876974178</v>
      </c>
      <c r="U1106" s="10">
        <f>GraphSalmonella!$H$57*Salmonella!I1106+GraphSalmonella!$H$58</f>
        <v>0.93212645685125395</v>
      </c>
      <c r="X1106" s="10">
        <f>GraphSalmonella!$B$80*Salmonella!I1106+GraphSalmonella!$B$81</f>
        <v>0.9343560329007774</v>
      </c>
      <c r="Y1106" s="10">
        <f>GraphSalmonella!$E$80*Salmonella!I1106+GraphSalmonella!$E$81</f>
        <v>0.95216790796984174</v>
      </c>
      <c r="Z1106" s="10">
        <f>GraphSalmonella!$H$80*Salmonella!I1106+GraphSalmonella!$H$81</f>
        <v>0.71057849245095284</v>
      </c>
    </row>
    <row r="1107" spans="1:26" x14ac:dyDescent="0.2">
      <c r="A1107" s="1" t="s">
        <v>66</v>
      </c>
      <c r="B1107" s="1" t="s">
        <v>109</v>
      </c>
      <c r="E1107" s="1" t="s">
        <v>293</v>
      </c>
      <c r="F1107" s="1"/>
      <c r="G1107" s="9"/>
      <c r="I1107" s="4">
        <v>54</v>
      </c>
      <c r="J1107" s="11">
        <v>4.5</v>
      </c>
      <c r="L1107" s="12">
        <f t="shared" si="23"/>
        <v>0.65321251377534373</v>
      </c>
      <c r="M1107" s="11">
        <f>GraphSalmonella!$B$10-(Salmonella!I1107-GraphSalmonella!$B$6)/GraphSalmonella!$B$5</f>
        <v>0.93141049492018801</v>
      </c>
      <c r="N1107" s="1" t="s">
        <v>319</v>
      </c>
      <c r="O1107">
        <v>2000</v>
      </c>
      <c r="P1107" t="s">
        <v>380</v>
      </c>
      <c r="S1107" s="10">
        <f>GraphSalmonella!$B$57*Salmonella!I1107+GraphSalmonella!$B$58</f>
        <v>0.70946485857477981</v>
      </c>
      <c r="T1107" s="10">
        <f>GraphSalmonella!$E$57*Salmonella!I1107+GraphSalmonella!$E$58</f>
        <v>3.4315910876974178</v>
      </c>
      <c r="U1107" s="10">
        <f>GraphSalmonella!$H$57*Salmonella!I1107+GraphSalmonella!$H$58</f>
        <v>0.93212645685125395</v>
      </c>
      <c r="X1107" s="10">
        <f>GraphSalmonella!$B$80*Salmonella!I1107+GraphSalmonella!$B$81</f>
        <v>0.9343560329007774</v>
      </c>
      <c r="Y1107" s="10">
        <f>GraphSalmonella!$E$80*Salmonella!I1107+GraphSalmonella!$E$81</f>
        <v>0.95216790796984174</v>
      </c>
      <c r="Z1107" s="10">
        <f>GraphSalmonella!$H$80*Salmonella!I1107+GraphSalmonella!$H$81</f>
        <v>0.71057849245095284</v>
      </c>
    </row>
    <row r="1108" spans="1:26" x14ac:dyDescent="0.2">
      <c r="A1108" s="1" t="s">
        <v>66</v>
      </c>
      <c r="B1108" s="1" t="s">
        <v>109</v>
      </c>
      <c r="E1108" s="1" t="s">
        <v>293</v>
      </c>
      <c r="F1108" s="1"/>
      <c r="G1108" s="9"/>
      <c r="I1108" s="4">
        <v>54</v>
      </c>
      <c r="J1108" s="11">
        <v>6.1</v>
      </c>
      <c r="L1108" s="12">
        <f t="shared" si="23"/>
        <v>0.78532983501076703</v>
      </c>
      <c r="M1108" s="11">
        <f>GraphSalmonella!$B$10-(Salmonella!I1108-GraphSalmonella!$B$6)/GraphSalmonella!$B$5</f>
        <v>0.93141049492018801</v>
      </c>
      <c r="N1108" s="1" t="s">
        <v>319</v>
      </c>
      <c r="O1108">
        <v>2000</v>
      </c>
      <c r="P1108" t="s">
        <v>381</v>
      </c>
      <c r="S1108" s="10">
        <f>GraphSalmonella!$B$57*Salmonella!I1108+GraphSalmonella!$B$58</f>
        <v>0.70946485857477981</v>
      </c>
      <c r="T1108" s="10">
        <f>GraphSalmonella!$E$57*Salmonella!I1108+GraphSalmonella!$E$58</f>
        <v>3.4315910876974178</v>
      </c>
      <c r="U1108" s="10">
        <f>GraphSalmonella!$H$57*Salmonella!I1108+GraphSalmonella!$H$58</f>
        <v>0.93212645685125395</v>
      </c>
      <c r="X1108" s="10">
        <f>GraphSalmonella!$B$80*Salmonella!I1108+GraphSalmonella!$B$81</f>
        <v>0.9343560329007774</v>
      </c>
      <c r="Y1108" s="10">
        <f>GraphSalmonella!$E$80*Salmonella!I1108+GraphSalmonella!$E$81</f>
        <v>0.95216790796984174</v>
      </c>
      <c r="Z1108" s="10">
        <f>GraphSalmonella!$H$80*Salmonella!I1108+GraphSalmonella!$H$81</f>
        <v>0.71057849245095284</v>
      </c>
    </row>
    <row r="1109" spans="1:26" x14ac:dyDescent="0.2">
      <c r="A1109" s="1" t="s">
        <v>66</v>
      </c>
      <c r="B1109" s="1" t="s">
        <v>109</v>
      </c>
      <c r="E1109" s="1" t="s">
        <v>293</v>
      </c>
      <c r="F1109" s="1"/>
      <c r="G1109" s="9"/>
      <c r="I1109" s="4">
        <v>55</v>
      </c>
      <c r="J1109" s="11">
        <v>6.3</v>
      </c>
      <c r="L1109" s="12">
        <f t="shared" si="23"/>
        <v>0.79934054945358168</v>
      </c>
      <c r="M1109" s="11">
        <f>GraphSalmonella!$B$10-(Salmonella!I1109-GraphSalmonella!$B$6)/GraphSalmonella!$B$5</f>
        <v>0.82137940301840184</v>
      </c>
      <c r="N1109" s="1" t="s">
        <v>319</v>
      </c>
      <c r="O1109">
        <v>2000</v>
      </c>
      <c r="P1109" t="s">
        <v>387</v>
      </c>
      <c r="S1109" s="10">
        <f>GraphSalmonella!$B$57*Salmonella!I1109+GraphSalmonella!$B$58</f>
        <v>0.64967458751342466</v>
      </c>
      <c r="T1109" s="10">
        <f>GraphSalmonella!$E$57*Salmonella!I1109+GraphSalmonella!$E$58</f>
        <v>3.3824965658483515</v>
      </c>
      <c r="U1109" s="10">
        <f>GraphSalmonella!$H$57*Salmonella!I1109+GraphSalmonella!$H$58</f>
        <v>0.82212013387815031</v>
      </c>
      <c r="X1109" s="10">
        <f>GraphSalmonella!$B$80*Salmonella!I1109+GraphSalmonella!$B$81</f>
        <v>0.82427165319580453</v>
      </c>
      <c r="Y1109" s="10">
        <f>GraphSalmonella!$E$80*Salmonella!I1109+GraphSalmonella!$E$81</f>
        <v>0.84053859109662721</v>
      </c>
      <c r="Z1109" s="10">
        <f>GraphSalmonella!$H$80*Salmonella!I1109+GraphSalmonella!$H$81</f>
        <v>0.58139662921357438</v>
      </c>
    </row>
    <row r="1110" spans="1:26" x14ac:dyDescent="0.2">
      <c r="A1110" s="1" t="s">
        <v>66</v>
      </c>
      <c r="B1110" s="1" t="s">
        <v>109</v>
      </c>
      <c r="E1110" s="1" t="s">
        <v>293</v>
      </c>
      <c r="F1110" s="1"/>
      <c r="G1110" s="9"/>
      <c r="I1110" s="4">
        <v>55</v>
      </c>
      <c r="J1110" s="11">
        <v>2.5</v>
      </c>
      <c r="L1110" s="12">
        <f t="shared" si="23"/>
        <v>0.3979400086720376</v>
      </c>
      <c r="M1110" s="11">
        <f>GraphSalmonella!$B$10-(Salmonella!I1110-GraphSalmonella!$B$6)/GraphSalmonella!$B$5</f>
        <v>0.82137940301840184</v>
      </c>
      <c r="N1110" s="1" t="s">
        <v>319</v>
      </c>
      <c r="O1110">
        <v>2000</v>
      </c>
      <c r="P1110" t="s">
        <v>388</v>
      </c>
      <c r="S1110" s="10">
        <f>GraphSalmonella!$B$57*Salmonella!I1110+GraphSalmonella!$B$58</f>
        <v>0.64967458751342466</v>
      </c>
      <c r="T1110" s="10">
        <f>GraphSalmonella!$E$57*Salmonella!I1110+GraphSalmonella!$E$58</f>
        <v>3.3824965658483515</v>
      </c>
      <c r="U1110" s="10">
        <f>GraphSalmonella!$H$57*Salmonella!I1110+GraphSalmonella!$H$58</f>
        <v>0.82212013387815031</v>
      </c>
      <c r="X1110" s="10">
        <f>GraphSalmonella!$B$80*Salmonella!I1110+GraphSalmonella!$B$81</f>
        <v>0.82427165319580453</v>
      </c>
      <c r="Y1110" s="10">
        <f>GraphSalmonella!$E$80*Salmonella!I1110+GraphSalmonella!$E$81</f>
        <v>0.84053859109662721</v>
      </c>
      <c r="Z1110" s="10">
        <f>GraphSalmonella!$H$80*Salmonella!I1110+GraphSalmonella!$H$81</f>
        <v>0.58139662921357438</v>
      </c>
    </row>
    <row r="1111" spans="1:26" x14ac:dyDescent="0.2">
      <c r="A1111" s="1" t="s">
        <v>66</v>
      </c>
      <c r="B1111" s="1" t="s">
        <v>109</v>
      </c>
      <c r="E1111" s="1" t="s">
        <v>293</v>
      </c>
      <c r="F1111" s="1"/>
      <c r="G1111" s="9"/>
      <c r="I1111" s="4">
        <v>56</v>
      </c>
      <c r="J1111" s="11">
        <v>1.3</v>
      </c>
      <c r="L1111" s="12">
        <f t="shared" si="23"/>
        <v>0.11394335230683679</v>
      </c>
      <c r="M1111" s="11">
        <f>GraphSalmonella!$B$10-(Salmonella!I1111-GraphSalmonella!$B$6)/GraphSalmonella!$B$5</f>
        <v>0.71134831111661545</v>
      </c>
      <c r="N1111" s="1" t="s">
        <v>319</v>
      </c>
      <c r="O1111">
        <v>2000</v>
      </c>
      <c r="S1111" s="10">
        <f>GraphSalmonella!$B$57*Salmonella!I1111+GraphSalmonella!$B$58</f>
        <v>0.58988431645206907</v>
      </c>
      <c r="T1111" s="10">
        <f>GraphSalmonella!$E$57*Salmonella!I1111+GraphSalmonella!$E$58</f>
        <v>3.3334020439992846</v>
      </c>
      <c r="U1111" s="10">
        <f>GraphSalmonella!$H$57*Salmonella!I1111+GraphSalmonella!$H$58</f>
        <v>0.71211381090504577</v>
      </c>
      <c r="X1111" s="10">
        <f>GraphSalmonella!$B$80*Salmonella!I1111+GraphSalmonella!$B$81</f>
        <v>0.71418727349083166</v>
      </c>
      <c r="Y1111" s="10">
        <f>GraphSalmonella!$E$80*Salmonella!I1111+GraphSalmonella!$E$81</f>
        <v>0.72890927422341356</v>
      </c>
      <c r="Z1111" s="10">
        <f>GraphSalmonella!$H$80*Salmonella!I1111+GraphSalmonella!$H$81</f>
        <v>0.45221476597619681</v>
      </c>
    </row>
    <row r="1112" spans="1:26" x14ac:dyDescent="0.2">
      <c r="A1112" s="1" t="s">
        <v>66</v>
      </c>
      <c r="B1112" s="1" t="s">
        <v>109</v>
      </c>
      <c r="E1112" s="1" t="s">
        <v>293</v>
      </c>
      <c r="F1112" s="1"/>
      <c r="G1112" s="9"/>
      <c r="I1112" s="4">
        <v>56</v>
      </c>
      <c r="J1112" s="11">
        <v>2.5</v>
      </c>
      <c r="L1112" s="12">
        <f t="shared" si="23"/>
        <v>0.3979400086720376</v>
      </c>
      <c r="M1112" s="11">
        <f>GraphSalmonella!$B$10-(Salmonella!I1112-GraphSalmonella!$B$6)/GraphSalmonella!$B$5</f>
        <v>0.71134831111661545</v>
      </c>
      <c r="N1112" s="1" t="s">
        <v>319</v>
      </c>
      <c r="O1112">
        <v>2000</v>
      </c>
      <c r="P1112" t="s">
        <v>380</v>
      </c>
      <c r="S1112" s="10">
        <f>GraphSalmonella!$B$57*Salmonella!I1112+GraphSalmonella!$B$58</f>
        <v>0.58988431645206907</v>
      </c>
      <c r="T1112" s="10">
        <f>GraphSalmonella!$E$57*Salmonella!I1112+GraphSalmonella!$E$58</f>
        <v>3.3334020439992846</v>
      </c>
      <c r="U1112" s="10">
        <f>GraphSalmonella!$H$57*Salmonella!I1112+GraphSalmonella!$H$58</f>
        <v>0.71211381090504577</v>
      </c>
      <c r="X1112" s="10">
        <f>GraphSalmonella!$B$80*Salmonella!I1112+GraphSalmonella!$B$81</f>
        <v>0.71418727349083166</v>
      </c>
      <c r="Y1112" s="10">
        <f>GraphSalmonella!$E$80*Salmonella!I1112+GraphSalmonella!$E$81</f>
        <v>0.72890927422341356</v>
      </c>
      <c r="Z1112" s="10">
        <f>GraphSalmonella!$H$80*Salmonella!I1112+GraphSalmonella!$H$81</f>
        <v>0.45221476597619681</v>
      </c>
    </row>
    <row r="1113" spans="1:26" x14ac:dyDescent="0.2">
      <c r="A1113" s="1" t="s">
        <v>66</v>
      </c>
      <c r="B1113" s="1" t="s">
        <v>109</v>
      </c>
      <c r="E1113" s="1" t="s">
        <v>293</v>
      </c>
      <c r="F1113" s="1"/>
      <c r="G1113" s="9"/>
      <c r="I1113" s="4">
        <v>56</v>
      </c>
      <c r="J1113" s="11">
        <v>3.2</v>
      </c>
      <c r="L1113" s="12">
        <f t="shared" si="23"/>
        <v>0.50514997831990605</v>
      </c>
      <c r="M1113" s="11">
        <f>GraphSalmonella!$B$10-(Salmonella!I1113-GraphSalmonella!$B$6)/GraphSalmonella!$B$5</f>
        <v>0.71134831111661545</v>
      </c>
      <c r="N1113" s="1" t="s">
        <v>319</v>
      </c>
      <c r="O1113">
        <v>2000</v>
      </c>
      <c r="P1113" t="s">
        <v>381</v>
      </c>
      <c r="S1113" s="10">
        <f>GraphSalmonella!$B$57*Salmonella!I1113+GraphSalmonella!$B$58</f>
        <v>0.58988431645206907</v>
      </c>
      <c r="T1113" s="10">
        <f>GraphSalmonella!$E$57*Salmonella!I1113+GraphSalmonella!$E$58</f>
        <v>3.3334020439992846</v>
      </c>
      <c r="U1113" s="10">
        <f>GraphSalmonella!$H$57*Salmonella!I1113+GraphSalmonella!$H$58</f>
        <v>0.71211381090504577</v>
      </c>
      <c r="X1113" s="10">
        <f>GraphSalmonella!$B$80*Salmonella!I1113+GraphSalmonella!$B$81</f>
        <v>0.71418727349083166</v>
      </c>
      <c r="Y1113" s="10">
        <f>GraphSalmonella!$E$80*Salmonella!I1113+GraphSalmonella!$E$81</f>
        <v>0.72890927422341356</v>
      </c>
      <c r="Z1113" s="10">
        <f>GraphSalmonella!$H$80*Salmonella!I1113+GraphSalmonella!$H$81</f>
        <v>0.45221476597619681</v>
      </c>
    </row>
    <row r="1114" spans="1:26" x14ac:dyDescent="0.2">
      <c r="A1114" s="1" t="s">
        <v>66</v>
      </c>
      <c r="B1114" s="1" t="s">
        <v>109</v>
      </c>
      <c r="E1114" s="1" t="s">
        <v>293</v>
      </c>
      <c r="F1114" s="1"/>
      <c r="G1114" s="9"/>
      <c r="I1114" s="4">
        <v>56</v>
      </c>
      <c r="J1114" s="11">
        <v>0.91</v>
      </c>
      <c r="L1114" s="12">
        <f t="shared" si="23"/>
        <v>-4.0958607678906384E-2</v>
      </c>
      <c r="M1114" s="11">
        <f>GraphSalmonella!$B$10-(Salmonella!I1114-GraphSalmonella!$B$6)/GraphSalmonella!$B$5</f>
        <v>0.71134831111661545</v>
      </c>
      <c r="N1114" s="1" t="s">
        <v>319</v>
      </c>
      <c r="O1114">
        <v>2000</v>
      </c>
      <c r="P1114" t="s">
        <v>382</v>
      </c>
      <c r="S1114" s="10">
        <f>GraphSalmonella!$B$57*Salmonella!I1114+GraphSalmonella!$B$58</f>
        <v>0.58988431645206907</v>
      </c>
      <c r="T1114" s="10">
        <f>GraphSalmonella!$E$57*Salmonella!I1114+GraphSalmonella!$E$58</f>
        <v>3.3334020439992846</v>
      </c>
      <c r="U1114" s="10">
        <f>GraphSalmonella!$H$57*Salmonella!I1114+GraphSalmonella!$H$58</f>
        <v>0.71211381090504577</v>
      </c>
      <c r="X1114" s="10">
        <f>GraphSalmonella!$B$80*Salmonella!I1114+GraphSalmonella!$B$81</f>
        <v>0.71418727349083166</v>
      </c>
      <c r="Y1114" s="10">
        <f>GraphSalmonella!$E$80*Salmonella!I1114+GraphSalmonella!$E$81</f>
        <v>0.72890927422341356</v>
      </c>
      <c r="Z1114" s="10">
        <f>GraphSalmonella!$H$80*Salmonella!I1114+GraphSalmonella!$H$81</f>
        <v>0.45221476597619681</v>
      </c>
    </row>
    <row r="1115" spans="1:26" x14ac:dyDescent="0.2">
      <c r="A1115" s="1" t="s">
        <v>66</v>
      </c>
      <c r="B1115" s="1" t="s">
        <v>109</v>
      </c>
      <c r="E1115" s="1" t="s">
        <v>293</v>
      </c>
      <c r="F1115" s="1"/>
      <c r="G1115" s="9"/>
      <c r="I1115" s="4">
        <v>56</v>
      </c>
      <c r="J1115" s="11">
        <v>2.84</v>
      </c>
      <c r="L1115" s="12">
        <f t="shared" si="23"/>
        <v>0.45331834004703764</v>
      </c>
      <c r="M1115" s="11">
        <f>GraphSalmonella!$B$10-(Salmonella!I1115-GraphSalmonella!$B$6)/GraphSalmonella!$B$5</f>
        <v>0.71134831111661545</v>
      </c>
      <c r="N1115" s="1" t="s">
        <v>319</v>
      </c>
      <c r="O1115">
        <v>2000</v>
      </c>
      <c r="P1115" t="s">
        <v>383</v>
      </c>
      <c r="S1115" s="10">
        <f>GraphSalmonella!$B$57*Salmonella!I1115+GraphSalmonella!$B$58</f>
        <v>0.58988431645206907</v>
      </c>
      <c r="T1115" s="10">
        <f>GraphSalmonella!$E$57*Salmonella!I1115+GraphSalmonella!$E$58</f>
        <v>3.3334020439992846</v>
      </c>
      <c r="U1115" s="10">
        <f>GraphSalmonella!$H$57*Salmonella!I1115+GraphSalmonella!$H$58</f>
        <v>0.71211381090504577</v>
      </c>
      <c r="X1115" s="10">
        <f>GraphSalmonella!$B$80*Salmonella!I1115+GraphSalmonella!$B$81</f>
        <v>0.71418727349083166</v>
      </c>
      <c r="Y1115" s="10">
        <f>GraphSalmonella!$E$80*Salmonella!I1115+GraphSalmonella!$E$81</f>
        <v>0.72890927422341356</v>
      </c>
      <c r="Z1115" s="10">
        <f>GraphSalmonella!$H$80*Salmonella!I1115+GraphSalmonella!$H$81</f>
        <v>0.45221476597619681</v>
      </c>
    </row>
    <row r="1116" spans="1:26" x14ac:dyDescent="0.2">
      <c r="A1116" s="1" t="s">
        <v>66</v>
      </c>
      <c r="B1116" s="1" t="s">
        <v>109</v>
      </c>
      <c r="E1116" s="1" t="s">
        <v>293</v>
      </c>
      <c r="F1116" s="1"/>
      <c r="G1116" s="9"/>
      <c r="I1116" s="4">
        <v>56</v>
      </c>
      <c r="J1116" s="11">
        <v>14.4</v>
      </c>
      <c r="L1116" s="12">
        <f t="shared" si="23"/>
        <v>1.1583624920952498</v>
      </c>
      <c r="M1116" s="11">
        <f>GraphSalmonella!$B$10-(Salmonella!I1116-GraphSalmonella!$B$6)/GraphSalmonella!$B$5</f>
        <v>0.71134831111661545</v>
      </c>
      <c r="N1116" s="1" t="s">
        <v>319</v>
      </c>
      <c r="O1116">
        <v>2000</v>
      </c>
      <c r="P1116" t="s">
        <v>384</v>
      </c>
      <c r="S1116" s="10">
        <f>GraphSalmonella!$B$57*Salmonella!I1116+GraphSalmonella!$B$58</f>
        <v>0.58988431645206907</v>
      </c>
      <c r="T1116" s="10">
        <f>GraphSalmonella!$E$57*Salmonella!I1116+GraphSalmonella!$E$58</f>
        <v>3.3334020439992846</v>
      </c>
      <c r="U1116" s="10">
        <f>GraphSalmonella!$H$57*Salmonella!I1116+GraphSalmonella!$H$58</f>
        <v>0.71211381090504577</v>
      </c>
      <c r="X1116" s="10">
        <f>GraphSalmonella!$B$80*Salmonella!I1116+GraphSalmonella!$B$81</f>
        <v>0.71418727349083166</v>
      </c>
      <c r="Y1116" s="10">
        <f>GraphSalmonella!$E$80*Salmonella!I1116+GraphSalmonella!$E$81</f>
        <v>0.72890927422341356</v>
      </c>
      <c r="Z1116" s="10">
        <f>GraphSalmonella!$H$80*Salmonella!I1116+GraphSalmonella!$H$81</f>
        <v>0.45221476597619681</v>
      </c>
    </row>
    <row r="1117" spans="1:26" x14ac:dyDescent="0.2">
      <c r="A1117" s="1" t="s">
        <v>66</v>
      </c>
      <c r="B1117" s="1" t="s">
        <v>109</v>
      </c>
      <c r="E1117" s="1" t="s">
        <v>293</v>
      </c>
      <c r="F1117" s="1"/>
      <c r="G1117" s="9"/>
      <c r="I1117" s="4">
        <v>57.2</v>
      </c>
      <c r="J1117" s="11">
        <v>1.8</v>
      </c>
      <c r="L1117" s="12">
        <f t="shared" si="23"/>
        <v>0.25527250510330607</v>
      </c>
      <c r="M1117" s="11">
        <f>GraphSalmonella!$B$10-(Salmonella!I1117-GraphSalmonella!$B$6)/GraphSalmonella!$B$5</f>
        <v>0.57931100083447151</v>
      </c>
      <c r="N1117" s="1" t="s">
        <v>319</v>
      </c>
      <c r="O1117">
        <v>2000</v>
      </c>
      <c r="S1117" s="10">
        <f>GraphSalmonella!$B$57*Salmonella!I1117+GraphSalmonella!$B$58</f>
        <v>0.51813599117844245</v>
      </c>
      <c r="T1117" s="10">
        <f>GraphSalmonella!$E$57*Salmonella!I1117+GraphSalmonella!$E$58</f>
        <v>3.2744886177804045</v>
      </c>
      <c r="U1117" s="10">
        <f>GraphSalmonella!$H$57*Salmonella!I1117+GraphSalmonella!$H$58</f>
        <v>0.58010622333732087</v>
      </c>
      <c r="X1117" s="10">
        <f>GraphSalmonella!$B$80*Salmonella!I1117+GraphSalmonella!$B$81</f>
        <v>0.58208601784486369</v>
      </c>
      <c r="Y1117" s="10">
        <f>GraphSalmonella!$E$80*Salmonella!I1117+GraphSalmonella!$E$81</f>
        <v>0.59495409397555665</v>
      </c>
      <c r="Z1117" s="10">
        <f>GraphSalmonella!$H$80*Salmonella!I1117+GraphSalmonella!$H$81</f>
        <v>0.29719653009134195</v>
      </c>
    </row>
    <row r="1118" spans="1:26" x14ac:dyDescent="0.2">
      <c r="A1118" s="1" t="s">
        <v>66</v>
      </c>
      <c r="B1118" s="1" t="s">
        <v>109</v>
      </c>
      <c r="E1118" s="1" t="s">
        <v>293</v>
      </c>
      <c r="F1118" s="1"/>
      <c r="G1118" s="9"/>
      <c r="I1118" s="4">
        <v>57.2</v>
      </c>
      <c r="J1118" s="11">
        <v>3.4</v>
      </c>
      <c r="L1118" s="12">
        <f t="shared" si="23"/>
        <v>0.53147891704225514</v>
      </c>
      <c r="M1118" s="11">
        <f>GraphSalmonella!$B$10-(Salmonella!I1118-GraphSalmonella!$B$6)/GraphSalmonella!$B$5</f>
        <v>0.57931100083447151</v>
      </c>
      <c r="N1118" s="1" t="s">
        <v>319</v>
      </c>
      <c r="O1118">
        <v>2000</v>
      </c>
      <c r="P1118" t="s">
        <v>378</v>
      </c>
      <c r="S1118" s="10">
        <f>GraphSalmonella!$B$57*Salmonella!I1118+GraphSalmonella!$B$58</f>
        <v>0.51813599117844245</v>
      </c>
      <c r="T1118" s="10">
        <f>GraphSalmonella!$E$57*Salmonella!I1118+GraphSalmonella!$E$58</f>
        <v>3.2744886177804045</v>
      </c>
      <c r="U1118" s="10">
        <f>GraphSalmonella!$H$57*Salmonella!I1118+GraphSalmonella!$H$58</f>
        <v>0.58010622333732087</v>
      </c>
      <c r="X1118" s="10">
        <f>GraphSalmonella!$B$80*Salmonella!I1118+GraphSalmonella!$B$81</f>
        <v>0.58208601784486369</v>
      </c>
      <c r="Y1118" s="10">
        <f>GraphSalmonella!$E$80*Salmonella!I1118+GraphSalmonella!$E$81</f>
        <v>0.59495409397555665</v>
      </c>
      <c r="Z1118" s="10">
        <f>GraphSalmonella!$H$80*Salmonella!I1118+GraphSalmonella!$H$81</f>
        <v>0.29719653009134195</v>
      </c>
    </row>
    <row r="1119" spans="1:26" x14ac:dyDescent="0.2">
      <c r="A1119" s="1" t="s">
        <v>66</v>
      </c>
      <c r="B1119" s="1" t="s">
        <v>109</v>
      </c>
      <c r="E1119" s="1" t="s">
        <v>293</v>
      </c>
      <c r="F1119" s="1"/>
      <c r="G1119" s="9"/>
      <c r="I1119" s="4">
        <v>58</v>
      </c>
      <c r="J1119" s="11">
        <v>0.9</v>
      </c>
      <c r="L1119" s="12">
        <f t="shared" si="23"/>
        <v>-4.5757490560675115E-2</v>
      </c>
      <c r="M1119" s="11">
        <f>GraphSalmonella!$B$10-(Salmonella!I1119-GraphSalmonella!$B$6)/GraphSalmonella!$B$5</f>
        <v>0.49128612731304266</v>
      </c>
      <c r="N1119" s="1" t="s">
        <v>319</v>
      </c>
      <c r="O1119">
        <v>2000</v>
      </c>
      <c r="S1119" s="10">
        <f>GraphSalmonella!$B$57*Salmonella!I1119+GraphSalmonella!$B$58</f>
        <v>0.47030377432935788</v>
      </c>
      <c r="T1119" s="10">
        <f>GraphSalmonella!$E$57*Salmonella!I1119+GraphSalmonella!$E$58</f>
        <v>3.2352130003011514</v>
      </c>
      <c r="U1119" s="10">
        <f>GraphSalmonella!$H$57*Salmonella!I1119+GraphSalmonella!$H$58</f>
        <v>0.4921011649588376</v>
      </c>
      <c r="X1119" s="10">
        <f>GraphSalmonella!$B$80*Salmonella!I1119+GraphSalmonella!$B$81</f>
        <v>0.49401851408088504</v>
      </c>
      <c r="Y1119" s="10">
        <f>GraphSalmonella!$E$80*Salmonella!I1119+GraphSalmonella!$E$81</f>
        <v>0.50565064047698538</v>
      </c>
      <c r="Z1119" s="10">
        <f>GraphSalmonella!$H$80*Salmonella!I1119+GraphSalmonella!$H$81</f>
        <v>0.19385103950143989</v>
      </c>
    </row>
    <row r="1120" spans="1:26" x14ac:dyDescent="0.2">
      <c r="A1120" s="1" t="s">
        <v>66</v>
      </c>
      <c r="B1120" s="1" t="s">
        <v>109</v>
      </c>
      <c r="E1120" s="1" t="s">
        <v>293</v>
      </c>
      <c r="F1120" s="1"/>
      <c r="G1120" s="9"/>
      <c r="I1120" s="4">
        <v>58</v>
      </c>
      <c r="J1120" s="11">
        <v>1.3</v>
      </c>
      <c r="L1120" s="12">
        <f t="shared" si="23"/>
        <v>0.11394335230683679</v>
      </c>
      <c r="M1120" s="11">
        <f>GraphSalmonella!$B$10-(Salmonella!I1120-GraphSalmonella!$B$6)/GraphSalmonella!$B$5</f>
        <v>0.49128612731304266</v>
      </c>
      <c r="N1120" s="1" t="s">
        <v>319</v>
      </c>
      <c r="O1120">
        <v>2000</v>
      </c>
      <c r="P1120" t="s">
        <v>380</v>
      </c>
      <c r="S1120" s="10">
        <f>GraphSalmonella!$B$57*Salmonella!I1120+GraphSalmonella!$B$58</f>
        <v>0.47030377432935788</v>
      </c>
      <c r="T1120" s="10">
        <f>GraphSalmonella!$E$57*Salmonella!I1120+GraphSalmonella!$E$58</f>
        <v>3.2352130003011514</v>
      </c>
      <c r="U1120" s="10">
        <f>GraphSalmonella!$H$57*Salmonella!I1120+GraphSalmonella!$H$58</f>
        <v>0.4921011649588376</v>
      </c>
      <c r="X1120" s="10">
        <f>GraphSalmonella!$B$80*Salmonella!I1120+GraphSalmonella!$B$81</f>
        <v>0.49401851408088504</v>
      </c>
      <c r="Y1120" s="10">
        <f>GraphSalmonella!$E$80*Salmonella!I1120+GraphSalmonella!$E$81</f>
        <v>0.50565064047698538</v>
      </c>
      <c r="Z1120" s="10">
        <f>GraphSalmonella!$H$80*Salmonella!I1120+GraphSalmonella!$H$81</f>
        <v>0.19385103950143989</v>
      </c>
    </row>
    <row r="1121" spans="1:26" x14ac:dyDescent="0.2">
      <c r="A1121" s="1" t="s">
        <v>66</v>
      </c>
      <c r="B1121" s="1" t="s">
        <v>109</v>
      </c>
      <c r="E1121" s="1" t="s">
        <v>293</v>
      </c>
      <c r="F1121" s="1"/>
      <c r="G1121" s="9"/>
      <c r="I1121" s="4">
        <v>58</v>
      </c>
      <c r="J1121" s="11">
        <v>1.8</v>
      </c>
      <c r="L1121" s="12">
        <f t="shared" si="23"/>
        <v>0.25527250510330607</v>
      </c>
      <c r="M1121" s="11">
        <f>GraphSalmonella!$B$10-(Salmonella!I1121-GraphSalmonella!$B$6)/GraphSalmonella!$B$5</f>
        <v>0.49128612731304266</v>
      </c>
      <c r="N1121" s="1" t="s">
        <v>319</v>
      </c>
      <c r="O1121">
        <v>2000</v>
      </c>
      <c r="P1121" t="s">
        <v>381</v>
      </c>
      <c r="S1121" s="10">
        <f>GraphSalmonella!$B$57*Salmonella!I1121+GraphSalmonella!$B$58</f>
        <v>0.47030377432935788</v>
      </c>
      <c r="T1121" s="10">
        <f>GraphSalmonella!$E$57*Salmonella!I1121+GraphSalmonella!$E$58</f>
        <v>3.2352130003011514</v>
      </c>
      <c r="U1121" s="10">
        <f>GraphSalmonella!$H$57*Salmonella!I1121+GraphSalmonella!$H$58</f>
        <v>0.4921011649588376</v>
      </c>
      <c r="X1121" s="10">
        <f>GraphSalmonella!$B$80*Salmonella!I1121+GraphSalmonella!$B$81</f>
        <v>0.49401851408088504</v>
      </c>
      <c r="Y1121" s="10">
        <f>GraphSalmonella!$E$80*Salmonella!I1121+GraphSalmonella!$E$81</f>
        <v>0.50565064047698538</v>
      </c>
      <c r="Z1121" s="10">
        <f>GraphSalmonella!$H$80*Salmonella!I1121+GraphSalmonella!$H$81</f>
        <v>0.19385103950143989</v>
      </c>
    </row>
    <row r="1122" spans="1:26" x14ac:dyDescent="0.2">
      <c r="A1122" s="1" t="s">
        <v>66</v>
      </c>
      <c r="B1122" s="1" t="s">
        <v>67</v>
      </c>
      <c r="E1122" s="1" t="s">
        <v>293</v>
      </c>
      <c r="F1122" s="1"/>
      <c r="G1122" s="9"/>
      <c r="I1122" s="4">
        <v>65</v>
      </c>
      <c r="J1122" s="11">
        <v>0.8</v>
      </c>
      <c r="L1122" s="12">
        <f t="shared" si="23"/>
        <v>-9.6910013008056392E-2</v>
      </c>
      <c r="M1122" s="11">
        <f>GraphSalmonella!$B$10-(Salmonella!I1122-GraphSalmonella!$B$6)/GraphSalmonella!$B$5</f>
        <v>-0.27893151599946164</v>
      </c>
      <c r="N1122" s="1" t="s">
        <v>308</v>
      </c>
      <c r="O1122">
        <v>2000</v>
      </c>
      <c r="S1122" s="10">
        <f>GraphSalmonella!$B$57*Salmonella!I1122+GraphSalmonella!$B$58</f>
        <v>5.1771876899869618E-2</v>
      </c>
      <c r="T1122" s="10">
        <f>GraphSalmonella!$E$57*Salmonella!I1122+GraphSalmonella!$E$58</f>
        <v>2.891551347357685</v>
      </c>
      <c r="U1122" s="10">
        <f>GraphSalmonella!$H$57*Salmonella!I1122+GraphSalmonella!$H$58</f>
        <v>-0.27794309585289145</v>
      </c>
      <c r="X1122" s="10">
        <f>GraphSalmonella!$B$80*Salmonella!I1122+GraphSalmonella!$B$81</f>
        <v>-0.27657214385392592</v>
      </c>
      <c r="Y1122" s="10">
        <f>GraphSalmonella!$E$80*Salmonella!I1122+GraphSalmonella!$E$81</f>
        <v>-0.27575457763551192</v>
      </c>
      <c r="Z1122" s="10">
        <f>GraphSalmonella!$H$80*Salmonella!I1122+GraphSalmonella!$H$81</f>
        <v>-0.71042200316020843</v>
      </c>
    </row>
    <row r="1123" spans="1:26" x14ac:dyDescent="0.2">
      <c r="A1123" s="1" t="s">
        <v>66</v>
      </c>
      <c r="B1123" s="1" t="s">
        <v>67</v>
      </c>
      <c r="E1123" s="1" t="s">
        <v>293</v>
      </c>
      <c r="F1123" s="1"/>
      <c r="G1123" s="9"/>
      <c r="I1123" s="4">
        <v>65</v>
      </c>
      <c r="J1123" s="11">
        <v>1</v>
      </c>
      <c r="L1123" s="12">
        <f t="shared" si="23"/>
        <v>0</v>
      </c>
      <c r="M1123" s="11">
        <f>GraphSalmonella!$B$10-(Salmonella!I1123-GraphSalmonella!$B$6)/GraphSalmonella!$B$5</f>
        <v>-0.27893151599946164</v>
      </c>
      <c r="N1123" s="1" t="s">
        <v>308</v>
      </c>
      <c r="O1123">
        <v>2000</v>
      </c>
      <c r="S1123" s="10">
        <f>GraphSalmonella!$B$57*Salmonella!I1123+GraphSalmonella!$B$58</f>
        <v>5.1771876899869618E-2</v>
      </c>
      <c r="T1123" s="10">
        <f>GraphSalmonella!$E$57*Salmonella!I1123+GraphSalmonella!$E$58</f>
        <v>2.891551347357685</v>
      </c>
      <c r="U1123" s="10">
        <f>GraphSalmonella!$H$57*Salmonella!I1123+GraphSalmonella!$H$58</f>
        <v>-0.27794309585289145</v>
      </c>
      <c r="X1123" s="10">
        <f>GraphSalmonella!$B$80*Salmonella!I1123+GraphSalmonella!$B$81</f>
        <v>-0.27657214385392592</v>
      </c>
      <c r="Y1123" s="10">
        <f>GraphSalmonella!$E$80*Salmonella!I1123+GraphSalmonella!$E$81</f>
        <v>-0.27575457763551192</v>
      </c>
      <c r="Z1123" s="10">
        <f>GraphSalmonella!$H$80*Salmonella!I1123+GraphSalmonella!$H$81</f>
        <v>-0.71042200316020843</v>
      </c>
    </row>
    <row r="1124" spans="1:26" x14ac:dyDescent="0.2">
      <c r="A1124" s="1" t="s">
        <v>66</v>
      </c>
      <c r="B1124" s="1" t="s">
        <v>1233</v>
      </c>
      <c r="E1124" s="1" t="s">
        <v>293</v>
      </c>
      <c r="F1124" s="1"/>
      <c r="G1124" s="9"/>
      <c r="I1124" s="4">
        <v>65</v>
      </c>
      <c r="J1124" s="11">
        <v>0.02</v>
      </c>
      <c r="L1124" s="12">
        <f t="shared" si="23"/>
        <v>-1.6989700043360187</v>
      </c>
      <c r="M1124" s="11">
        <f>GraphSalmonella!$B$10-(Salmonella!I1124-GraphSalmonella!$B$6)/GraphSalmonella!$B$5</f>
        <v>-0.27893151599946164</v>
      </c>
      <c r="N1124" s="1" t="s">
        <v>308</v>
      </c>
      <c r="O1124">
        <v>2000</v>
      </c>
      <c r="S1124" s="10">
        <f>GraphSalmonella!$B$57*Salmonella!I1124+GraphSalmonella!$B$58</f>
        <v>5.1771876899869618E-2</v>
      </c>
      <c r="T1124" s="10">
        <f>GraphSalmonella!$E$57*Salmonella!I1124+GraphSalmonella!$E$58</f>
        <v>2.891551347357685</v>
      </c>
      <c r="U1124" s="10">
        <f>GraphSalmonella!$H$57*Salmonella!I1124+GraphSalmonella!$H$58</f>
        <v>-0.27794309585289145</v>
      </c>
      <c r="X1124" s="10">
        <f>GraphSalmonella!$B$80*Salmonella!I1124+GraphSalmonella!$B$81</f>
        <v>-0.27657214385392592</v>
      </c>
      <c r="Y1124" s="10">
        <f>GraphSalmonella!$E$80*Salmonella!I1124+GraphSalmonella!$E$81</f>
        <v>-0.27575457763551192</v>
      </c>
      <c r="Z1124" s="10">
        <f>GraphSalmonella!$H$80*Salmonella!I1124+GraphSalmonella!$H$81</f>
        <v>-0.71042200316020843</v>
      </c>
    </row>
    <row r="1125" spans="1:26" x14ac:dyDescent="0.2">
      <c r="A1125" s="1" t="s">
        <v>66</v>
      </c>
      <c r="B1125" s="1" t="s">
        <v>1233</v>
      </c>
      <c r="E1125" s="1" t="s">
        <v>293</v>
      </c>
      <c r="F1125" s="1"/>
      <c r="G1125" s="9"/>
      <c r="I1125" s="4">
        <v>65</v>
      </c>
      <c r="J1125" s="11">
        <v>0.25</v>
      </c>
      <c r="L1125" s="12">
        <f t="shared" si="23"/>
        <v>-0.6020599913279624</v>
      </c>
      <c r="M1125" s="11">
        <f>GraphSalmonella!$B$10-(Salmonella!I1125-GraphSalmonella!$B$6)/GraphSalmonella!$B$5</f>
        <v>-0.27893151599946164</v>
      </c>
      <c r="N1125" s="1" t="s">
        <v>308</v>
      </c>
      <c r="O1125">
        <v>2000</v>
      </c>
      <c r="S1125" s="10">
        <f>GraphSalmonella!$B$57*Salmonella!I1125+GraphSalmonella!$B$58</f>
        <v>5.1771876899869618E-2</v>
      </c>
      <c r="T1125" s="10">
        <f>GraphSalmonella!$E$57*Salmonella!I1125+GraphSalmonella!$E$58</f>
        <v>2.891551347357685</v>
      </c>
      <c r="U1125" s="10">
        <f>GraphSalmonella!$H$57*Salmonella!I1125+GraphSalmonella!$H$58</f>
        <v>-0.27794309585289145</v>
      </c>
      <c r="X1125" s="10">
        <f>GraphSalmonella!$B$80*Salmonella!I1125+GraphSalmonella!$B$81</f>
        <v>-0.27657214385392592</v>
      </c>
      <c r="Y1125" s="10">
        <f>GraphSalmonella!$E$80*Salmonella!I1125+GraphSalmonella!$E$81</f>
        <v>-0.27575457763551192</v>
      </c>
      <c r="Z1125" s="10">
        <f>GraphSalmonella!$H$80*Salmonella!I1125+GraphSalmonella!$H$81</f>
        <v>-0.71042200316020843</v>
      </c>
    </row>
    <row r="1126" spans="1:26" x14ac:dyDescent="0.2">
      <c r="A1126" s="1" t="s">
        <v>66</v>
      </c>
      <c r="B1126" s="1" t="s">
        <v>70</v>
      </c>
      <c r="E1126" s="1" t="s">
        <v>293</v>
      </c>
      <c r="F1126" s="1"/>
      <c r="G1126" s="9"/>
      <c r="I1126" s="4">
        <v>50</v>
      </c>
      <c r="J1126" s="11">
        <v>12</v>
      </c>
      <c r="K1126" s="4">
        <v>9.5</v>
      </c>
      <c r="L1126" s="12">
        <f t="shared" si="23"/>
        <v>1.0791812460476249</v>
      </c>
      <c r="M1126" s="11">
        <f>GraphSalmonella!$B$10-(Salmonella!I1126-GraphSalmonella!$B$6)/GraphSalmonella!$B$5</f>
        <v>1.3715348625273336</v>
      </c>
      <c r="N1126" s="1" t="s">
        <v>319</v>
      </c>
      <c r="O1126">
        <v>2000</v>
      </c>
      <c r="P1126" t="s">
        <v>385</v>
      </c>
      <c r="S1126" s="10">
        <f>GraphSalmonella!$B$57*Salmonella!I1126+GraphSalmonella!$B$58</f>
        <v>0.94862594282020174</v>
      </c>
      <c r="T1126" s="10">
        <f>GraphSalmonella!$E$57*Salmonella!I1126+GraphSalmonella!$E$58</f>
        <v>3.6279691750936842</v>
      </c>
      <c r="U1126" s="10">
        <f>GraphSalmonella!$H$57*Salmonella!I1126+GraphSalmonella!$H$58</f>
        <v>1.3721517487436703</v>
      </c>
      <c r="X1126" s="10">
        <f>GraphSalmonella!$B$80*Salmonella!I1126+GraphSalmonella!$B$81</f>
        <v>1.3746935517206698</v>
      </c>
      <c r="Y1126" s="10">
        <f>GraphSalmonella!$E$80*Salmonella!I1126+GraphSalmonella!$E$81</f>
        <v>1.3986851754626972</v>
      </c>
      <c r="Z1126" s="10">
        <f>GraphSalmonella!$H$80*Salmonella!I1126+GraphSalmonella!$H$81</f>
        <v>1.2273059454004667</v>
      </c>
    </row>
    <row r="1127" spans="1:26" x14ac:dyDescent="0.2">
      <c r="A1127" s="1" t="s">
        <v>66</v>
      </c>
      <c r="B1127" s="1" t="s">
        <v>70</v>
      </c>
      <c r="E1127" s="1" t="s">
        <v>293</v>
      </c>
      <c r="F1127" s="1"/>
      <c r="G1127" s="9"/>
      <c r="I1127" s="4">
        <v>52</v>
      </c>
      <c r="J1127" s="11">
        <v>21.3</v>
      </c>
      <c r="L1127" s="12">
        <f t="shared" si="23"/>
        <v>1.3283796034387378</v>
      </c>
      <c r="M1127" s="11">
        <f>GraphSalmonella!$B$10-(Salmonella!I1127-GraphSalmonella!$B$6)/GraphSalmonella!$B$5</f>
        <v>1.1514726787237608</v>
      </c>
      <c r="N1127" s="1" t="s">
        <v>319</v>
      </c>
      <c r="O1127">
        <v>2000</v>
      </c>
      <c r="S1127" s="10">
        <f>GraphSalmonella!$B$57*Salmonella!I1127+GraphSalmonella!$B$58</f>
        <v>0.829045400697491</v>
      </c>
      <c r="T1127" s="10">
        <f>GraphSalmonella!$E$57*Salmonella!I1127+GraphSalmonella!$E$58</f>
        <v>3.529780131395551</v>
      </c>
      <c r="U1127" s="10">
        <f>GraphSalmonella!$H$57*Salmonella!I1127+GraphSalmonella!$H$58</f>
        <v>1.1521391027974621</v>
      </c>
      <c r="X1127" s="10">
        <f>GraphSalmonella!$B$80*Salmonella!I1127+GraphSalmonella!$B$81</f>
        <v>1.154524792310724</v>
      </c>
      <c r="Y1127" s="10">
        <f>GraphSalmonella!$E$80*Salmonella!I1127+GraphSalmonella!$E$81</f>
        <v>1.175426541716269</v>
      </c>
      <c r="Z1127" s="10">
        <f>GraphSalmonella!$H$80*Salmonella!I1127+GraphSalmonella!$H$81</f>
        <v>0.96894221892570975</v>
      </c>
    </row>
    <row r="1128" spans="1:26" x14ac:dyDescent="0.2">
      <c r="A1128" s="1" t="s">
        <v>66</v>
      </c>
      <c r="B1128" s="1" t="s">
        <v>70</v>
      </c>
      <c r="E1128" s="1" t="s">
        <v>293</v>
      </c>
      <c r="F1128" s="1"/>
      <c r="G1128" s="9"/>
      <c r="I1128" s="4">
        <v>52</v>
      </c>
      <c r="J1128" s="11">
        <v>96.1</v>
      </c>
      <c r="L1128" s="12">
        <f t="shared" si="23"/>
        <v>1.9827233876685453</v>
      </c>
      <c r="M1128" s="11">
        <f>GraphSalmonella!$B$10-(Salmonella!I1128-GraphSalmonella!$B$6)/GraphSalmonella!$B$5</f>
        <v>1.1514726787237608</v>
      </c>
      <c r="N1128" s="1" t="s">
        <v>319</v>
      </c>
      <c r="O1128">
        <v>2000</v>
      </c>
      <c r="P1128" t="s">
        <v>378</v>
      </c>
      <c r="S1128" s="10">
        <f>GraphSalmonella!$B$57*Salmonella!I1128+GraphSalmonella!$B$58</f>
        <v>0.829045400697491</v>
      </c>
      <c r="T1128" s="10">
        <f>GraphSalmonella!$E$57*Salmonella!I1128+GraphSalmonella!$E$58</f>
        <v>3.529780131395551</v>
      </c>
      <c r="U1128" s="10">
        <f>GraphSalmonella!$H$57*Salmonella!I1128+GraphSalmonella!$H$58</f>
        <v>1.1521391027974621</v>
      </c>
      <c r="X1128" s="10">
        <f>GraphSalmonella!$B$80*Salmonella!I1128+GraphSalmonella!$B$81</f>
        <v>1.154524792310724</v>
      </c>
      <c r="Y1128" s="10">
        <f>GraphSalmonella!$E$80*Salmonella!I1128+GraphSalmonella!$E$81</f>
        <v>1.175426541716269</v>
      </c>
      <c r="Z1128" s="10">
        <f>GraphSalmonella!$H$80*Salmonella!I1128+GraphSalmonella!$H$81</f>
        <v>0.96894221892570975</v>
      </c>
    </row>
    <row r="1129" spans="1:26" x14ac:dyDescent="0.2">
      <c r="A1129" s="1" t="s">
        <v>66</v>
      </c>
      <c r="B1129" s="1" t="s">
        <v>70</v>
      </c>
      <c r="E1129" s="1" t="s">
        <v>293</v>
      </c>
      <c r="F1129" s="1"/>
      <c r="G1129" s="9"/>
      <c r="I1129" s="4">
        <v>52</v>
      </c>
      <c r="J1129" s="11">
        <v>20</v>
      </c>
      <c r="K1129" s="4">
        <v>7.3</v>
      </c>
      <c r="L1129" s="12">
        <f t="shared" si="23"/>
        <v>1.3010299956639813</v>
      </c>
      <c r="M1129" s="11">
        <f>GraphSalmonella!$B$10-(Salmonella!I1129-GraphSalmonella!$B$6)/GraphSalmonella!$B$5</f>
        <v>1.1514726787237608</v>
      </c>
      <c r="N1129" s="1" t="s">
        <v>319</v>
      </c>
      <c r="O1129">
        <v>2000</v>
      </c>
      <c r="S1129" s="10">
        <f>GraphSalmonella!$B$57*Salmonella!I1129+GraphSalmonella!$B$58</f>
        <v>0.829045400697491</v>
      </c>
      <c r="T1129" s="10">
        <f>GraphSalmonella!$E$57*Salmonella!I1129+GraphSalmonella!$E$58</f>
        <v>3.529780131395551</v>
      </c>
      <c r="U1129" s="10">
        <f>GraphSalmonella!$H$57*Salmonella!I1129+GraphSalmonella!$H$58</f>
        <v>1.1521391027974621</v>
      </c>
      <c r="X1129" s="10">
        <f>GraphSalmonella!$B$80*Salmonella!I1129+GraphSalmonella!$B$81</f>
        <v>1.154524792310724</v>
      </c>
      <c r="Y1129" s="10">
        <f>GraphSalmonella!$E$80*Salmonella!I1129+GraphSalmonella!$E$81</f>
        <v>1.175426541716269</v>
      </c>
      <c r="Z1129" s="10">
        <f>GraphSalmonella!$H$80*Salmonella!I1129+GraphSalmonella!$H$81</f>
        <v>0.96894221892570975</v>
      </c>
    </row>
    <row r="1130" spans="1:26" x14ac:dyDescent="0.2">
      <c r="A1130" s="1" t="s">
        <v>66</v>
      </c>
      <c r="B1130" s="1" t="s">
        <v>70</v>
      </c>
      <c r="E1130" s="1" t="s">
        <v>293</v>
      </c>
      <c r="F1130" s="1"/>
      <c r="G1130" s="9"/>
      <c r="I1130" s="4">
        <v>52</v>
      </c>
      <c r="J1130" s="11">
        <v>7.5</v>
      </c>
      <c r="K1130" s="4">
        <v>9.5</v>
      </c>
      <c r="L1130" s="12">
        <f t="shared" si="23"/>
        <v>0.87506126339170009</v>
      </c>
      <c r="M1130" s="11">
        <f>GraphSalmonella!$B$10-(Salmonella!I1130-GraphSalmonella!$B$6)/GraphSalmonella!$B$5</f>
        <v>1.1514726787237608</v>
      </c>
      <c r="N1130" s="1" t="s">
        <v>319</v>
      </c>
      <c r="O1130">
        <v>2000</v>
      </c>
      <c r="P1130" t="s">
        <v>385</v>
      </c>
      <c r="S1130" s="10">
        <f>GraphSalmonella!$B$57*Salmonella!I1130+GraphSalmonella!$B$58</f>
        <v>0.829045400697491</v>
      </c>
      <c r="T1130" s="10">
        <f>GraphSalmonella!$E$57*Salmonella!I1130+GraphSalmonella!$E$58</f>
        <v>3.529780131395551</v>
      </c>
      <c r="U1130" s="10">
        <f>GraphSalmonella!$H$57*Salmonella!I1130+GraphSalmonella!$H$58</f>
        <v>1.1521391027974621</v>
      </c>
      <c r="X1130" s="10">
        <f>GraphSalmonella!$B$80*Salmonella!I1130+GraphSalmonella!$B$81</f>
        <v>1.154524792310724</v>
      </c>
      <c r="Y1130" s="10">
        <f>GraphSalmonella!$E$80*Salmonella!I1130+GraphSalmonella!$E$81</f>
        <v>1.175426541716269</v>
      </c>
      <c r="Z1130" s="10">
        <f>GraphSalmonella!$H$80*Salmonella!I1130+GraphSalmonella!$H$81</f>
        <v>0.96894221892570975</v>
      </c>
    </row>
    <row r="1131" spans="1:26" x14ac:dyDescent="0.2">
      <c r="A1131" s="1" t="s">
        <v>66</v>
      </c>
      <c r="B1131" s="1" t="s">
        <v>70</v>
      </c>
      <c r="E1131" s="1" t="s">
        <v>293</v>
      </c>
      <c r="F1131" s="1"/>
      <c r="G1131" s="9"/>
      <c r="I1131" s="4">
        <v>55</v>
      </c>
      <c r="J1131" s="11">
        <v>14</v>
      </c>
      <c r="K1131" s="4">
        <v>7.3</v>
      </c>
      <c r="L1131" s="12">
        <f t="shared" si="23"/>
        <v>1.146128035678238</v>
      </c>
      <c r="M1131" s="11">
        <f>GraphSalmonella!$B$10-(Salmonella!I1131-GraphSalmonella!$B$6)/GraphSalmonella!$B$5</f>
        <v>0.82137940301840184</v>
      </c>
      <c r="N1131" s="1" t="s">
        <v>319</v>
      </c>
      <c r="O1131">
        <v>2000</v>
      </c>
      <c r="S1131" s="10">
        <f>GraphSalmonella!$B$57*Salmonella!I1131+GraphSalmonella!$B$58</f>
        <v>0.64967458751342466</v>
      </c>
      <c r="T1131" s="10">
        <f>GraphSalmonella!$E$57*Salmonella!I1131+GraphSalmonella!$E$58</f>
        <v>3.3824965658483515</v>
      </c>
      <c r="U1131" s="10">
        <f>GraphSalmonella!$H$57*Salmonella!I1131+GraphSalmonella!$H$58</f>
        <v>0.82212013387815031</v>
      </c>
      <c r="X1131" s="10">
        <f>GraphSalmonella!$B$80*Salmonella!I1131+GraphSalmonella!$B$81</f>
        <v>0.82427165319580453</v>
      </c>
      <c r="Y1131" s="10">
        <f>GraphSalmonella!$E$80*Salmonella!I1131+GraphSalmonella!$E$81</f>
        <v>0.84053859109662721</v>
      </c>
      <c r="Z1131" s="10">
        <f>GraphSalmonella!$H$80*Salmonella!I1131+GraphSalmonella!$H$81</f>
        <v>0.58139662921357438</v>
      </c>
    </row>
    <row r="1132" spans="1:26" x14ac:dyDescent="0.2">
      <c r="A1132" s="1" t="s">
        <v>66</v>
      </c>
      <c r="B1132" s="1" t="s">
        <v>70</v>
      </c>
      <c r="E1132" s="1" t="s">
        <v>293</v>
      </c>
      <c r="F1132" s="1"/>
      <c r="G1132" s="9"/>
      <c r="I1132" s="4">
        <v>55</v>
      </c>
      <c r="J1132" s="11">
        <v>4</v>
      </c>
      <c r="K1132" s="4">
        <v>9.5</v>
      </c>
      <c r="L1132" s="12">
        <f t="shared" si="23"/>
        <v>0.6020599913279624</v>
      </c>
      <c r="M1132" s="11">
        <f>GraphSalmonella!$B$10-(Salmonella!I1132-GraphSalmonella!$B$6)/GraphSalmonella!$B$5</f>
        <v>0.82137940301840184</v>
      </c>
      <c r="N1132" s="1" t="s">
        <v>319</v>
      </c>
      <c r="O1132">
        <v>2000</v>
      </c>
      <c r="P1132" t="s">
        <v>385</v>
      </c>
      <c r="S1132" s="10">
        <f>GraphSalmonella!$B$57*Salmonella!I1132+GraphSalmonella!$B$58</f>
        <v>0.64967458751342466</v>
      </c>
      <c r="T1132" s="10">
        <f>GraphSalmonella!$E$57*Salmonella!I1132+GraphSalmonella!$E$58</f>
        <v>3.3824965658483515</v>
      </c>
      <c r="U1132" s="10">
        <f>GraphSalmonella!$H$57*Salmonella!I1132+GraphSalmonella!$H$58</f>
        <v>0.82212013387815031</v>
      </c>
      <c r="X1132" s="10">
        <f>GraphSalmonella!$B$80*Salmonella!I1132+GraphSalmonella!$B$81</f>
        <v>0.82427165319580453</v>
      </c>
      <c r="Y1132" s="10">
        <f>GraphSalmonella!$E$80*Salmonella!I1132+GraphSalmonella!$E$81</f>
        <v>0.84053859109662721</v>
      </c>
      <c r="Z1132" s="10">
        <f>GraphSalmonella!$H$80*Salmonella!I1132+GraphSalmonella!$H$81</f>
        <v>0.58139662921357438</v>
      </c>
    </row>
    <row r="1133" spans="1:26" x14ac:dyDescent="0.2">
      <c r="A1133" s="1" t="s">
        <v>66</v>
      </c>
      <c r="B1133" s="1" t="s">
        <v>70</v>
      </c>
      <c r="E1133" s="1" t="s">
        <v>293</v>
      </c>
      <c r="F1133" s="1"/>
      <c r="G1133" s="9"/>
      <c r="I1133" s="4">
        <v>55</v>
      </c>
      <c r="J1133" s="4">
        <v>0.43</v>
      </c>
      <c r="L1133" s="12">
        <f t="shared" si="23"/>
        <v>-0.36653154442041347</v>
      </c>
      <c r="M1133" s="11">
        <f>GraphSalmonella!$B$10-(Salmonella!I1133-GraphSalmonella!$B$6)/GraphSalmonella!$B$5</f>
        <v>0.82137940301840184</v>
      </c>
      <c r="N1133" s="1" t="s">
        <v>319</v>
      </c>
      <c r="O1133">
        <v>2000</v>
      </c>
      <c r="P1133" t="s">
        <v>386</v>
      </c>
      <c r="S1133" s="10">
        <f>GraphSalmonella!$B$57*Salmonella!I1133+GraphSalmonella!$B$58</f>
        <v>0.64967458751342466</v>
      </c>
      <c r="T1133" s="10">
        <f>GraphSalmonella!$E$57*Salmonella!I1133+GraphSalmonella!$E$58</f>
        <v>3.3824965658483515</v>
      </c>
      <c r="U1133" s="10">
        <f>GraphSalmonella!$H$57*Salmonella!I1133+GraphSalmonella!$H$58</f>
        <v>0.82212013387815031</v>
      </c>
      <c r="X1133" s="10">
        <f>GraphSalmonella!$B$80*Salmonella!I1133+GraphSalmonella!$B$81</f>
        <v>0.82427165319580453</v>
      </c>
      <c r="Y1133" s="10">
        <f>GraphSalmonella!$E$80*Salmonella!I1133+GraphSalmonella!$E$81</f>
        <v>0.84053859109662721</v>
      </c>
      <c r="Z1133" s="10">
        <f>GraphSalmonella!$H$80*Salmonella!I1133+GraphSalmonella!$H$81</f>
        <v>0.58139662921357438</v>
      </c>
    </row>
    <row r="1134" spans="1:26" x14ac:dyDescent="0.2">
      <c r="A1134" s="1" t="s">
        <v>66</v>
      </c>
      <c r="B1134" s="1" t="s">
        <v>70</v>
      </c>
      <c r="E1134" s="1" t="s">
        <v>293</v>
      </c>
      <c r="F1134" s="1"/>
      <c r="G1134" s="9"/>
      <c r="I1134" s="4">
        <v>55</v>
      </c>
      <c r="J1134" s="4">
        <v>2.09</v>
      </c>
      <c r="L1134" s="12">
        <f t="shared" si="23"/>
        <v>0.32014628611105395</v>
      </c>
      <c r="M1134" s="11">
        <f>GraphSalmonella!$B$10-(Salmonella!I1134-GraphSalmonella!$B$6)/GraphSalmonella!$B$5</f>
        <v>0.82137940301840184</v>
      </c>
      <c r="N1134" s="1" t="s">
        <v>319</v>
      </c>
      <c r="O1134">
        <v>2000</v>
      </c>
      <c r="P1134" t="s">
        <v>408</v>
      </c>
      <c r="S1134" s="10">
        <f>GraphSalmonella!$B$57*Salmonella!I1134+GraphSalmonella!$B$58</f>
        <v>0.64967458751342466</v>
      </c>
      <c r="T1134" s="10">
        <f>GraphSalmonella!$E$57*Salmonella!I1134+GraphSalmonella!$E$58</f>
        <v>3.3824965658483515</v>
      </c>
      <c r="U1134" s="10">
        <f>GraphSalmonella!$H$57*Salmonella!I1134+GraphSalmonella!$H$58</f>
        <v>0.82212013387815031</v>
      </c>
      <c r="X1134" s="10">
        <f>GraphSalmonella!$B$80*Salmonella!I1134+GraphSalmonella!$B$81</f>
        <v>0.82427165319580453</v>
      </c>
      <c r="Y1134" s="10">
        <f>GraphSalmonella!$E$80*Salmonella!I1134+GraphSalmonella!$E$81</f>
        <v>0.84053859109662721</v>
      </c>
      <c r="Z1134" s="10">
        <f>GraphSalmonella!$H$80*Salmonella!I1134+GraphSalmonella!$H$81</f>
        <v>0.58139662921357438</v>
      </c>
    </row>
    <row r="1135" spans="1:26" x14ac:dyDescent="0.2">
      <c r="A1135" s="1" t="s">
        <v>66</v>
      </c>
      <c r="B1135" s="1" t="s">
        <v>70</v>
      </c>
      <c r="E1135" s="1" t="s">
        <v>293</v>
      </c>
      <c r="F1135" s="1"/>
      <c r="G1135" s="9"/>
      <c r="I1135" s="4">
        <v>57.8</v>
      </c>
      <c r="J1135" s="11">
        <v>0.7</v>
      </c>
      <c r="L1135" s="12">
        <f t="shared" si="23"/>
        <v>-0.15490195998574319</v>
      </c>
      <c r="M1135" s="11">
        <f>GraphSalmonella!$B$10-(Salmonella!I1135-GraphSalmonella!$B$6)/GraphSalmonella!$B$5</f>
        <v>0.51329234569340043</v>
      </c>
      <c r="N1135" s="1" t="s">
        <v>319</v>
      </c>
      <c r="O1135">
        <v>2000</v>
      </c>
      <c r="S1135" s="10">
        <f>GraphSalmonella!$B$57*Salmonella!I1135+GraphSalmonella!$B$58</f>
        <v>0.48226182854162936</v>
      </c>
      <c r="T1135" s="10">
        <f>GraphSalmonella!$E$57*Salmonella!I1135+GraphSalmonella!$E$58</f>
        <v>3.2450319046709648</v>
      </c>
      <c r="U1135" s="10">
        <f>GraphSalmonella!$H$57*Salmonella!I1135+GraphSalmonella!$H$58</f>
        <v>0.51410242955345886</v>
      </c>
      <c r="X1135" s="10">
        <f>GraphSalmonella!$B$80*Salmonella!I1135+GraphSalmonella!$B$81</f>
        <v>0.51603539002188015</v>
      </c>
      <c r="Y1135" s="10">
        <f>GraphSalmonella!$E$80*Salmonella!I1135+GraphSalmonella!$E$81</f>
        <v>0.52797650385162864</v>
      </c>
      <c r="Z1135" s="10">
        <f>GraphSalmonella!$H$80*Salmonella!I1135+GraphSalmonella!$H$81</f>
        <v>0.21968741214891541</v>
      </c>
    </row>
    <row r="1136" spans="1:26" x14ac:dyDescent="0.2">
      <c r="A1136" s="1" t="s">
        <v>66</v>
      </c>
      <c r="B1136" s="1" t="s">
        <v>70</v>
      </c>
      <c r="E1136" s="1" t="s">
        <v>293</v>
      </c>
      <c r="F1136" s="1"/>
      <c r="G1136" s="9"/>
      <c r="I1136" s="4">
        <v>57.8</v>
      </c>
      <c r="J1136" s="11">
        <v>0.9</v>
      </c>
      <c r="L1136" s="12">
        <f t="shared" ref="L1136:L1142" si="24">LOG(J1136)</f>
        <v>-4.5757490560675115E-2</v>
      </c>
      <c r="M1136" s="11">
        <f>GraphSalmonella!$B$10-(Salmonella!I1136-GraphSalmonella!$B$6)/GraphSalmonella!$B$5</f>
        <v>0.51329234569340043</v>
      </c>
      <c r="N1136" s="1" t="s">
        <v>319</v>
      </c>
      <c r="O1136">
        <v>2000</v>
      </c>
      <c r="P1136" t="s">
        <v>377</v>
      </c>
      <c r="S1136" s="10">
        <f>GraphSalmonella!$B$57*Salmonella!I1136+GraphSalmonella!$B$58</f>
        <v>0.48226182854162936</v>
      </c>
      <c r="T1136" s="10">
        <f>GraphSalmonella!$E$57*Salmonella!I1136+GraphSalmonella!$E$58</f>
        <v>3.2450319046709648</v>
      </c>
      <c r="U1136" s="10">
        <f>GraphSalmonella!$H$57*Salmonella!I1136+GraphSalmonella!$H$58</f>
        <v>0.51410242955345886</v>
      </c>
      <c r="X1136" s="10">
        <f>GraphSalmonella!$B$80*Salmonella!I1136+GraphSalmonella!$B$81</f>
        <v>0.51603539002188015</v>
      </c>
      <c r="Y1136" s="10">
        <f>GraphSalmonella!$E$80*Salmonella!I1136+GraphSalmonella!$E$81</f>
        <v>0.52797650385162864</v>
      </c>
      <c r="Z1136" s="10">
        <f>GraphSalmonella!$H$80*Salmonella!I1136+GraphSalmonella!$H$81</f>
        <v>0.21968741214891541</v>
      </c>
    </row>
    <row r="1137" spans="1:26" x14ac:dyDescent="0.2">
      <c r="A1137" s="1" t="s">
        <v>66</v>
      </c>
      <c r="B1137" s="1" t="s">
        <v>70</v>
      </c>
      <c r="E1137" s="1" t="s">
        <v>293</v>
      </c>
      <c r="F1137" s="1"/>
      <c r="G1137" s="9"/>
      <c r="I1137" s="4">
        <v>57.8</v>
      </c>
      <c r="J1137" s="11">
        <v>2.1</v>
      </c>
      <c r="L1137" s="12">
        <f t="shared" si="24"/>
        <v>0.3222192947339193</v>
      </c>
      <c r="M1137" s="11">
        <f>GraphSalmonella!$B$10-(Salmonella!I1137-GraphSalmonella!$B$6)/GraphSalmonella!$B$5</f>
        <v>0.51329234569340043</v>
      </c>
      <c r="N1137" s="1" t="s">
        <v>319</v>
      </c>
      <c r="O1137">
        <v>2000</v>
      </c>
      <c r="P1137" t="s">
        <v>378</v>
      </c>
      <c r="S1137" s="10">
        <f>GraphSalmonella!$B$57*Salmonella!I1137+GraphSalmonella!$B$58</f>
        <v>0.48226182854162936</v>
      </c>
      <c r="T1137" s="10">
        <f>GraphSalmonella!$E$57*Salmonella!I1137+GraphSalmonella!$E$58</f>
        <v>3.2450319046709648</v>
      </c>
      <c r="U1137" s="10">
        <f>GraphSalmonella!$H$57*Salmonella!I1137+GraphSalmonella!$H$58</f>
        <v>0.51410242955345886</v>
      </c>
      <c r="X1137" s="10">
        <f>GraphSalmonella!$B$80*Salmonella!I1137+GraphSalmonella!$B$81</f>
        <v>0.51603539002188015</v>
      </c>
      <c r="Y1137" s="10">
        <f>GraphSalmonella!$E$80*Salmonella!I1137+GraphSalmonella!$E$81</f>
        <v>0.52797650385162864</v>
      </c>
      <c r="Z1137" s="10">
        <f>GraphSalmonella!$H$80*Salmonella!I1137+GraphSalmonella!$H$81</f>
        <v>0.21968741214891541</v>
      </c>
    </row>
    <row r="1138" spans="1:26" x14ac:dyDescent="0.2">
      <c r="A1138" s="1" t="s">
        <v>66</v>
      </c>
      <c r="B1138" s="1" t="s">
        <v>70</v>
      </c>
      <c r="E1138" s="1" t="s">
        <v>293</v>
      </c>
      <c r="F1138" s="1"/>
      <c r="G1138" s="9"/>
      <c r="I1138" s="4">
        <v>57.8</v>
      </c>
      <c r="J1138" s="11">
        <v>0.8</v>
      </c>
      <c r="L1138" s="12">
        <f t="shared" si="24"/>
        <v>-9.6910013008056392E-2</v>
      </c>
      <c r="M1138" s="11">
        <f>GraphSalmonella!$B$10-(Salmonella!I1138-GraphSalmonella!$B$6)/GraphSalmonella!$B$5</f>
        <v>0.51329234569340043</v>
      </c>
      <c r="N1138" s="1" t="s">
        <v>319</v>
      </c>
      <c r="O1138">
        <v>2000</v>
      </c>
      <c r="P1138" t="s">
        <v>379</v>
      </c>
      <c r="S1138" s="10">
        <f>GraphSalmonella!$B$57*Salmonella!I1138+GraphSalmonella!$B$58</f>
        <v>0.48226182854162936</v>
      </c>
      <c r="T1138" s="10">
        <f>GraphSalmonella!$E$57*Salmonella!I1138+GraphSalmonella!$E$58</f>
        <v>3.2450319046709648</v>
      </c>
      <c r="U1138" s="10">
        <f>GraphSalmonella!$H$57*Salmonella!I1138+GraphSalmonella!$H$58</f>
        <v>0.51410242955345886</v>
      </c>
      <c r="X1138" s="10">
        <f>GraphSalmonella!$B$80*Salmonella!I1138+GraphSalmonella!$B$81</f>
        <v>0.51603539002188015</v>
      </c>
      <c r="Y1138" s="10">
        <f>GraphSalmonella!$E$80*Salmonella!I1138+GraphSalmonella!$E$81</f>
        <v>0.52797650385162864</v>
      </c>
      <c r="Z1138" s="10">
        <f>GraphSalmonella!$H$80*Salmonella!I1138+GraphSalmonella!$H$81</f>
        <v>0.21968741214891541</v>
      </c>
    </row>
    <row r="1139" spans="1:26" x14ac:dyDescent="0.2">
      <c r="A1139" s="1" t="s">
        <v>66</v>
      </c>
      <c r="B1139" s="1" t="s">
        <v>70</v>
      </c>
      <c r="E1139" s="1" t="s">
        <v>293</v>
      </c>
      <c r="F1139" s="1"/>
      <c r="G1139" s="9"/>
      <c r="I1139" s="4">
        <v>58</v>
      </c>
      <c r="J1139" s="11">
        <v>5</v>
      </c>
      <c r="K1139" s="4">
        <v>7.3</v>
      </c>
      <c r="L1139" s="12">
        <f t="shared" si="24"/>
        <v>0.69897000433601886</v>
      </c>
      <c r="M1139" s="11">
        <f>GraphSalmonella!$B$10-(Salmonella!I1139-GraphSalmonella!$B$6)/GraphSalmonella!$B$5</f>
        <v>0.49128612731304266</v>
      </c>
      <c r="N1139" s="1" t="s">
        <v>319</v>
      </c>
      <c r="O1139">
        <v>2000</v>
      </c>
      <c r="S1139" s="10">
        <f>GraphSalmonella!$B$57*Salmonella!I1139+GraphSalmonella!$B$58</f>
        <v>0.47030377432935788</v>
      </c>
      <c r="T1139" s="10">
        <f>GraphSalmonella!$E$57*Salmonella!I1139+GraphSalmonella!$E$58</f>
        <v>3.2352130003011514</v>
      </c>
      <c r="U1139" s="10">
        <f>GraphSalmonella!$H$57*Salmonella!I1139+GraphSalmonella!$H$58</f>
        <v>0.4921011649588376</v>
      </c>
      <c r="X1139" s="10">
        <f>GraphSalmonella!$B$80*Salmonella!I1139+GraphSalmonella!$B$81</f>
        <v>0.49401851408088504</v>
      </c>
      <c r="Y1139" s="10">
        <f>GraphSalmonella!$E$80*Salmonella!I1139+GraphSalmonella!$E$81</f>
        <v>0.50565064047698538</v>
      </c>
      <c r="Z1139" s="10">
        <f>GraphSalmonella!$H$80*Salmonella!I1139+GraphSalmonella!$H$81</f>
        <v>0.19385103950143989</v>
      </c>
    </row>
    <row r="1140" spans="1:26" x14ac:dyDescent="0.2">
      <c r="A1140" s="1" t="s">
        <v>66</v>
      </c>
      <c r="B1140" s="1" t="s">
        <v>70</v>
      </c>
      <c r="E1140" s="1" t="s">
        <v>293</v>
      </c>
      <c r="F1140" s="1"/>
      <c r="G1140" s="9"/>
      <c r="I1140" s="4">
        <v>58</v>
      </c>
      <c r="J1140" s="11">
        <v>2.5</v>
      </c>
      <c r="K1140" s="4">
        <v>9.5</v>
      </c>
      <c r="L1140" s="12">
        <f t="shared" si="24"/>
        <v>0.3979400086720376</v>
      </c>
      <c r="M1140" s="11">
        <f>GraphSalmonella!$B$10-(Salmonella!I1140-GraphSalmonella!$B$6)/GraphSalmonella!$B$5</f>
        <v>0.49128612731304266</v>
      </c>
      <c r="N1140" s="1" t="s">
        <v>319</v>
      </c>
      <c r="O1140">
        <v>2000</v>
      </c>
      <c r="P1140" t="s">
        <v>385</v>
      </c>
      <c r="S1140" s="10">
        <f>GraphSalmonella!$B$57*Salmonella!I1140+GraphSalmonella!$B$58</f>
        <v>0.47030377432935788</v>
      </c>
      <c r="T1140" s="10">
        <f>GraphSalmonella!$E$57*Salmonella!I1140+GraphSalmonella!$E$58</f>
        <v>3.2352130003011514</v>
      </c>
      <c r="U1140" s="10">
        <f>GraphSalmonella!$H$57*Salmonella!I1140+GraphSalmonella!$H$58</f>
        <v>0.4921011649588376</v>
      </c>
      <c r="X1140" s="10">
        <f>GraphSalmonella!$B$80*Salmonella!I1140+GraphSalmonella!$B$81</f>
        <v>0.49401851408088504</v>
      </c>
      <c r="Y1140" s="10">
        <f>GraphSalmonella!$E$80*Salmonella!I1140+GraphSalmonella!$E$81</f>
        <v>0.50565064047698538</v>
      </c>
      <c r="Z1140" s="10">
        <f>GraphSalmonella!$H$80*Salmonella!I1140+GraphSalmonella!$H$81</f>
        <v>0.19385103950143989</v>
      </c>
    </row>
    <row r="1141" spans="1:26" x14ac:dyDescent="0.2">
      <c r="A1141" s="1" t="s">
        <v>66</v>
      </c>
      <c r="B1141" s="1" t="s">
        <v>70</v>
      </c>
      <c r="E1141" s="1" t="s">
        <v>293</v>
      </c>
      <c r="F1141" s="1"/>
      <c r="G1141" s="9"/>
      <c r="I1141" s="4">
        <v>60</v>
      </c>
      <c r="J1141" s="11">
        <v>0.3</v>
      </c>
      <c r="K1141" s="4">
        <v>7.3</v>
      </c>
      <c r="L1141" s="12">
        <f t="shared" si="24"/>
        <v>-0.52287874528033762</v>
      </c>
      <c r="M1141" s="11">
        <f>GraphSalmonella!$B$10-(Salmonella!I1141-GraphSalmonella!$B$6)/GraphSalmonella!$B$5</f>
        <v>0.2712239435094701</v>
      </c>
      <c r="N1141" s="1" t="s">
        <v>319</v>
      </c>
      <c r="O1141">
        <v>2000</v>
      </c>
      <c r="S1141" s="10">
        <f>GraphSalmonella!$B$57*Salmonella!I1141+GraphSalmonella!$B$58</f>
        <v>0.35072323220664714</v>
      </c>
      <c r="T1141" s="10">
        <f>GraphSalmonella!$E$57*Salmonella!I1141+GraphSalmonella!$E$58</f>
        <v>3.1370239566030182</v>
      </c>
      <c r="U1141" s="10">
        <f>GraphSalmonella!$H$57*Salmonella!I1141+GraphSalmonella!$H$58</f>
        <v>0.27208851901262943</v>
      </c>
      <c r="X1141" s="10">
        <f>GraphSalmonella!$B$80*Salmonella!I1141+GraphSalmonella!$B$81</f>
        <v>0.2738497546709393</v>
      </c>
      <c r="Y1141" s="10">
        <f>GraphSalmonella!$E$80*Salmonella!I1141+GraphSalmonella!$E$81</f>
        <v>0.2823920067305572</v>
      </c>
      <c r="Z1141" s="10">
        <f>GraphSalmonella!$H$80*Salmonella!I1141+GraphSalmonella!$H$81</f>
        <v>-6.4512686973317024E-2</v>
      </c>
    </row>
    <row r="1142" spans="1:26" x14ac:dyDescent="0.2">
      <c r="A1142" s="1" t="s">
        <v>66</v>
      </c>
      <c r="B1142" s="1" t="s">
        <v>70</v>
      </c>
      <c r="E1142" s="1" t="s">
        <v>293</v>
      </c>
      <c r="F1142" s="1"/>
      <c r="G1142" s="9"/>
      <c r="I1142" s="4">
        <v>60</v>
      </c>
      <c r="J1142" s="11">
        <v>0.2</v>
      </c>
      <c r="K1142" s="4">
        <v>9.5</v>
      </c>
      <c r="L1142" s="12">
        <f t="shared" si="24"/>
        <v>-0.69897000433601875</v>
      </c>
      <c r="M1142" s="11">
        <f>GraphSalmonella!$B$10-(Salmonella!I1142-GraphSalmonella!$B$6)/GraphSalmonella!$B$5</f>
        <v>0.2712239435094701</v>
      </c>
      <c r="N1142" s="1" t="s">
        <v>319</v>
      </c>
      <c r="O1142">
        <v>2000</v>
      </c>
      <c r="P1142" t="s">
        <v>385</v>
      </c>
      <c r="S1142" s="10">
        <f>GraphSalmonella!$B$57*Salmonella!I1142+GraphSalmonella!$B$58</f>
        <v>0.35072323220664714</v>
      </c>
      <c r="T1142" s="10">
        <f>GraphSalmonella!$E$57*Salmonella!I1142+GraphSalmonella!$E$58</f>
        <v>3.1370239566030182</v>
      </c>
      <c r="U1142" s="10">
        <f>GraphSalmonella!$H$57*Salmonella!I1142+GraphSalmonella!$H$58</f>
        <v>0.27208851901262943</v>
      </c>
      <c r="X1142" s="10">
        <f>GraphSalmonella!$B$80*Salmonella!I1142+GraphSalmonella!$B$81</f>
        <v>0.2738497546709393</v>
      </c>
      <c r="Y1142" s="10">
        <f>GraphSalmonella!$E$80*Salmonella!I1142+GraphSalmonella!$E$81</f>
        <v>0.2823920067305572</v>
      </c>
      <c r="Z1142" s="10">
        <f>GraphSalmonella!$H$80*Salmonella!I1142+GraphSalmonella!$H$81</f>
        <v>-6.4512686973317024E-2</v>
      </c>
    </row>
    <row r="1143" spans="1:26" x14ac:dyDescent="0.2">
      <c r="A1143" s="1" t="s">
        <v>66</v>
      </c>
      <c r="B1143" s="1" t="s">
        <v>67</v>
      </c>
      <c r="D1143" t="s">
        <v>41</v>
      </c>
      <c r="E1143" s="1" t="s">
        <v>77</v>
      </c>
      <c r="F1143" s="1"/>
      <c r="G1143" s="9"/>
      <c r="I1143" s="4">
        <v>70</v>
      </c>
      <c r="J1143" s="11">
        <v>360</v>
      </c>
      <c r="L1143" s="12">
        <f>LOG(J1143)</f>
        <v>2.5563025007672873</v>
      </c>
      <c r="M1143" s="11">
        <f>GraphSalmonella!$D$10-(Salmonella!I1143-GraphSalmonella!$D$6)/GraphSalmonella!$D$5</f>
        <v>2.6460787381123523</v>
      </c>
      <c r="N1143" s="2" t="s">
        <v>1226</v>
      </c>
      <c r="O1143">
        <v>1996</v>
      </c>
      <c r="P1143" t="s">
        <v>78</v>
      </c>
      <c r="S1143" s="10">
        <f>GraphSalmonella!$B$57*Salmonella!I1143+GraphSalmonella!$B$58</f>
        <v>-0.2471794784069079</v>
      </c>
      <c r="T1143" s="10">
        <f>GraphSalmonella!$E$57*Salmonella!I1143+GraphSalmonella!$E$58</f>
        <v>2.6460787381123523</v>
      </c>
      <c r="U1143" s="10">
        <f>GraphSalmonella!$H$57*Salmonella!I1143+GraphSalmonella!$H$58</f>
        <v>-0.82797471071841144</v>
      </c>
    </row>
    <row r="1144" spans="1:26" x14ac:dyDescent="0.2">
      <c r="A1144" s="1" t="s">
        <v>66</v>
      </c>
      <c r="B1144" s="1" t="s">
        <v>67</v>
      </c>
      <c r="D1144" t="s">
        <v>41</v>
      </c>
      <c r="E1144" s="1" t="s">
        <v>77</v>
      </c>
      <c r="F1144" s="1"/>
      <c r="G1144" s="9"/>
      <c r="I1144" s="4">
        <v>70</v>
      </c>
      <c r="J1144" s="11">
        <v>480</v>
      </c>
      <c r="L1144" s="12">
        <f t="shared" ref="L1144:L1162" si="25">LOG(J1144)</f>
        <v>2.6812412373755872</v>
      </c>
      <c r="M1144" s="11">
        <f>GraphSalmonella!$D$10-(Salmonella!I1144-GraphSalmonella!$D$6)/GraphSalmonella!$D$5</f>
        <v>2.6460787381123523</v>
      </c>
      <c r="N1144" s="2" t="s">
        <v>1226</v>
      </c>
      <c r="O1144">
        <v>1996</v>
      </c>
      <c r="P1144" t="s">
        <v>78</v>
      </c>
      <c r="S1144" s="10">
        <f>GraphSalmonella!$B$57*Salmonella!I1144+GraphSalmonella!$B$58</f>
        <v>-0.2471794784069079</v>
      </c>
      <c r="T1144" s="10">
        <f>GraphSalmonella!$E$57*Salmonella!I1144+GraphSalmonella!$E$58</f>
        <v>2.6460787381123523</v>
      </c>
      <c r="U1144" s="10">
        <f>GraphSalmonella!$H$57*Salmonella!I1144+GraphSalmonella!$H$58</f>
        <v>-0.82797471071841144</v>
      </c>
    </row>
    <row r="1145" spans="1:26" x14ac:dyDescent="0.2">
      <c r="A1145" s="1" t="s">
        <v>66</v>
      </c>
      <c r="B1145" s="1" t="s">
        <v>70</v>
      </c>
      <c r="D1145" t="s">
        <v>41</v>
      </c>
      <c r="E1145" s="1" t="s">
        <v>77</v>
      </c>
      <c r="F1145" s="1"/>
      <c r="G1145" s="9"/>
      <c r="I1145" s="4">
        <v>70</v>
      </c>
      <c r="J1145" s="11">
        <v>1050</v>
      </c>
      <c r="L1145" s="12">
        <f t="shared" si="25"/>
        <v>3.0211892990699383</v>
      </c>
      <c r="M1145" s="11">
        <f>GraphSalmonella!$D$10-(Salmonella!I1145-GraphSalmonella!$D$6)/GraphSalmonella!$D$5</f>
        <v>2.6460787381123523</v>
      </c>
      <c r="N1145" s="2" t="s">
        <v>1226</v>
      </c>
      <c r="O1145">
        <v>1996</v>
      </c>
      <c r="P1145" t="s">
        <v>78</v>
      </c>
      <c r="S1145" s="10">
        <f>GraphSalmonella!$B$57*Salmonella!I1145+GraphSalmonella!$B$58</f>
        <v>-0.2471794784069079</v>
      </c>
      <c r="T1145" s="10">
        <f>GraphSalmonella!$E$57*Salmonella!I1145+GraphSalmonella!$E$58</f>
        <v>2.6460787381123523</v>
      </c>
      <c r="U1145" s="10">
        <f>GraphSalmonella!$H$57*Salmonella!I1145+GraphSalmonella!$H$58</f>
        <v>-0.82797471071841144</v>
      </c>
    </row>
    <row r="1146" spans="1:26" x14ac:dyDescent="0.2">
      <c r="A1146" s="1" t="s">
        <v>66</v>
      </c>
      <c r="B1146" s="1" t="s">
        <v>70</v>
      </c>
      <c r="D1146" t="s">
        <v>41</v>
      </c>
      <c r="E1146" s="1" t="s">
        <v>77</v>
      </c>
      <c r="F1146" s="1"/>
      <c r="G1146" s="9"/>
      <c r="I1146" s="4">
        <v>70</v>
      </c>
      <c r="J1146" s="11">
        <v>678</v>
      </c>
      <c r="L1146" s="12">
        <f t="shared" si="25"/>
        <v>2.8312296938670634</v>
      </c>
      <c r="M1146" s="11">
        <f>GraphSalmonella!$D$10-(Salmonella!I1146-GraphSalmonella!$D$6)/GraphSalmonella!$D$5</f>
        <v>2.6460787381123523</v>
      </c>
      <c r="N1146" s="2" t="s">
        <v>1226</v>
      </c>
      <c r="O1146">
        <v>1996</v>
      </c>
      <c r="P1146" t="s">
        <v>78</v>
      </c>
      <c r="S1146" s="10">
        <f>GraphSalmonella!$B$57*Salmonella!I1146+GraphSalmonella!$B$58</f>
        <v>-0.2471794784069079</v>
      </c>
      <c r="T1146" s="10">
        <f>GraphSalmonella!$E$57*Salmonella!I1146+GraphSalmonella!$E$58</f>
        <v>2.6460787381123523</v>
      </c>
      <c r="U1146" s="10">
        <f>GraphSalmonella!$H$57*Salmonella!I1146+GraphSalmonella!$H$58</f>
        <v>-0.82797471071841144</v>
      </c>
    </row>
    <row r="1147" spans="1:26" x14ac:dyDescent="0.2">
      <c r="A1147" s="1" t="s">
        <v>66</v>
      </c>
      <c r="B1147" s="1" t="s">
        <v>70</v>
      </c>
      <c r="D1147" t="s">
        <v>41</v>
      </c>
      <c r="E1147" s="1" t="s">
        <v>77</v>
      </c>
      <c r="I1147" s="4">
        <v>70</v>
      </c>
      <c r="J1147" s="11">
        <v>720</v>
      </c>
      <c r="L1147" s="12">
        <f t="shared" si="25"/>
        <v>2.8573324964312685</v>
      </c>
      <c r="M1147" s="11">
        <f>GraphSalmonella!$D$10-(Salmonella!I1147-GraphSalmonella!$D$6)/GraphSalmonella!$D$5</f>
        <v>2.6460787381123523</v>
      </c>
      <c r="N1147" s="2" t="s">
        <v>1226</v>
      </c>
      <c r="O1147">
        <v>1996</v>
      </c>
      <c r="P1147" t="s">
        <v>78</v>
      </c>
      <c r="S1147" s="10">
        <f>GraphSalmonella!$B$57*Salmonella!I1147+GraphSalmonella!$B$58</f>
        <v>-0.2471794784069079</v>
      </c>
      <c r="T1147" s="10">
        <f>GraphSalmonella!$E$57*Salmonella!I1147+GraphSalmonella!$E$58</f>
        <v>2.6460787381123523</v>
      </c>
      <c r="U1147" s="10">
        <f>GraphSalmonella!$H$57*Salmonella!I1147+GraphSalmonella!$H$58</f>
        <v>-0.82797471071841144</v>
      </c>
    </row>
    <row r="1148" spans="1:26" x14ac:dyDescent="0.2">
      <c r="A1148" s="1" t="s">
        <v>66</v>
      </c>
      <c r="B1148" s="1" t="s">
        <v>95</v>
      </c>
      <c r="D1148" t="s">
        <v>41</v>
      </c>
      <c r="E1148" s="1" t="s">
        <v>77</v>
      </c>
      <c r="F1148" s="1"/>
      <c r="G1148" s="9"/>
      <c r="I1148" s="4">
        <v>71</v>
      </c>
      <c r="J1148" s="11">
        <f>4.5*60</f>
        <v>270</v>
      </c>
      <c r="L1148" s="12">
        <f t="shared" si="25"/>
        <v>2.4313637641589874</v>
      </c>
      <c r="M1148" s="11">
        <f>GraphSalmonella!$D$10-(Salmonella!I1148-GraphSalmonella!$D$6)/GraphSalmonella!$D$5</f>
        <v>2.5969842162632855</v>
      </c>
      <c r="N1148" s="2" t="s">
        <v>1226</v>
      </c>
      <c r="O1148">
        <v>1996</v>
      </c>
      <c r="S1148" s="10">
        <f>GraphSalmonella!$B$57*Salmonella!I1148+GraphSalmonella!$B$58</f>
        <v>-0.30696974946826305</v>
      </c>
      <c r="T1148" s="10">
        <f>GraphSalmonella!$E$57*Salmonella!I1148+GraphSalmonella!$E$58</f>
        <v>2.5969842162632855</v>
      </c>
      <c r="U1148" s="10">
        <f>GraphSalmonella!$H$57*Salmonella!I1148+GraphSalmonella!$H$58</f>
        <v>-0.93798103369151598</v>
      </c>
    </row>
    <row r="1149" spans="1:26" x14ac:dyDescent="0.2">
      <c r="A1149" s="1" t="s">
        <v>66</v>
      </c>
      <c r="B1149" s="1" t="s">
        <v>67</v>
      </c>
      <c r="D1149" t="s">
        <v>41</v>
      </c>
      <c r="E1149" s="1" t="s">
        <v>77</v>
      </c>
      <c r="F1149" s="1"/>
      <c r="G1149" s="9"/>
      <c r="I1149" s="4">
        <v>71</v>
      </c>
      <c r="J1149" s="11">
        <f>4.6*60</f>
        <v>276</v>
      </c>
      <c r="L1149" s="12">
        <f t="shared" si="25"/>
        <v>2.4409090820652177</v>
      </c>
      <c r="M1149" s="11">
        <f>GraphSalmonella!$D$10-(Salmonella!I1149-GraphSalmonella!$D$6)/GraphSalmonella!$D$5</f>
        <v>2.5969842162632855</v>
      </c>
      <c r="N1149" s="2" t="s">
        <v>1226</v>
      </c>
      <c r="O1149">
        <v>1996</v>
      </c>
      <c r="S1149" s="10">
        <f>GraphSalmonella!$B$57*Salmonella!I1149+GraphSalmonella!$B$58</f>
        <v>-0.30696974946826305</v>
      </c>
      <c r="T1149" s="10">
        <f>GraphSalmonella!$E$57*Salmonella!I1149+GraphSalmonella!$E$58</f>
        <v>2.5969842162632855</v>
      </c>
      <c r="U1149" s="10">
        <f>GraphSalmonella!$H$57*Salmonella!I1149+GraphSalmonella!$H$58</f>
        <v>-0.93798103369151598</v>
      </c>
    </row>
    <row r="1150" spans="1:26" x14ac:dyDescent="0.2">
      <c r="A1150" s="1" t="s">
        <v>66</v>
      </c>
      <c r="B1150" s="1" t="s">
        <v>70</v>
      </c>
      <c r="C1150" s="1"/>
      <c r="D1150" t="s">
        <v>41</v>
      </c>
      <c r="E1150" s="1" t="s">
        <v>77</v>
      </c>
      <c r="F1150" s="1"/>
      <c r="G1150" s="9"/>
      <c r="H1150" s="5"/>
      <c r="I1150" s="4">
        <v>71</v>
      </c>
      <c r="J1150" s="9">
        <f>6.6*60</f>
        <v>396</v>
      </c>
      <c r="K1150" s="7"/>
      <c r="L1150" s="12">
        <f t="shared" si="25"/>
        <v>2.5976951859255122</v>
      </c>
      <c r="M1150" s="11">
        <f>GraphSalmonella!$D$10-(Salmonella!I1150-GraphSalmonella!$D$6)/GraphSalmonella!$D$5</f>
        <v>2.5969842162632855</v>
      </c>
      <c r="N1150" s="2" t="s">
        <v>1226</v>
      </c>
      <c r="O1150">
        <v>1996</v>
      </c>
      <c r="S1150" s="10">
        <f>GraphSalmonella!$B$57*Salmonella!I1150+GraphSalmonella!$B$58</f>
        <v>-0.30696974946826305</v>
      </c>
      <c r="T1150" s="10">
        <f>GraphSalmonella!$E$57*Salmonella!I1150+GraphSalmonella!$E$58</f>
        <v>2.5969842162632855</v>
      </c>
      <c r="U1150" s="10">
        <f>GraphSalmonella!$H$57*Salmonella!I1150+GraphSalmonella!$H$58</f>
        <v>-0.93798103369151598</v>
      </c>
    </row>
    <row r="1151" spans="1:26" x14ac:dyDescent="0.2">
      <c r="A1151" s="1" t="s">
        <v>66</v>
      </c>
      <c r="B1151" s="1" t="s">
        <v>67</v>
      </c>
      <c r="D1151" t="s">
        <v>41</v>
      </c>
      <c r="E1151" s="1" t="s">
        <v>77</v>
      </c>
      <c r="F1151" s="1"/>
      <c r="G1151" s="9"/>
      <c r="I1151" s="4">
        <v>80</v>
      </c>
      <c r="J1151" s="11">
        <v>108</v>
      </c>
      <c r="L1151" s="12">
        <f t="shared" si="25"/>
        <v>2.0334237554869499</v>
      </c>
      <c r="M1151" s="11">
        <f>GraphSalmonella!$D$10-(Salmonella!I1151-GraphSalmonella!$D$6)/GraphSalmonella!$D$5</f>
        <v>2.1551335196216863</v>
      </c>
      <c r="N1151" s="2" t="s">
        <v>1226</v>
      </c>
      <c r="O1151">
        <v>1996</v>
      </c>
      <c r="P1151" t="s">
        <v>78</v>
      </c>
      <c r="S1151" s="10">
        <f>GraphSalmonella!$B$57*Salmonella!I1151+GraphSalmonella!$B$58</f>
        <v>-0.84508218902046206</v>
      </c>
      <c r="T1151" s="10">
        <f>GraphSalmonella!$E$57*Salmonella!I1151+GraphSalmonella!$E$58</f>
        <v>2.1551335196216863</v>
      </c>
      <c r="U1151" s="10">
        <f>GraphSalmonella!$H$57*Salmonella!I1151+GraphSalmonella!$H$58</f>
        <v>-1.9280379404494532</v>
      </c>
    </row>
    <row r="1152" spans="1:26" x14ac:dyDescent="0.2">
      <c r="A1152" s="1" t="s">
        <v>66</v>
      </c>
      <c r="B1152" s="1" t="s">
        <v>67</v>
      </c>
      <c r="D1152" t="s">
        <v>41</v>
      </c>
      <c r="E1152" s="1" t="s">
        <v>77</v>
      </c>
      <c r="I1152" s="4">
        <v>80</v>
      </c>
      <c r="J1152" s="11">
        <v>144</v>
      </c>
      <c r="L1152" s="12">
        <f t="shared" si="25"/>
        <v>2.1583624920952498</v>
      </c>
      <c r="M1152" s="11">
        <f>GraphSalmonella!$D$10-(Salmonella!I1152-GraphSalmonella!$D$6)/GraphSalmonella!$D$5</f>
        <v>2.1551335196216863</v>
      </c>
      <c r="N1152" s="2" t="s">
        <v>1226</v>
      </c>
      <c r="O1152">
        <v>1996</v>
      </c>
      <c r="P1152" t="s">
        <v>78</v>
      </c>
      <c r="S1152" s="10">
        <f>GraphSalmonella!$B$57*Salmonella!I1152+GraphSalmonella!$B$58</f>
        <v>-0.84508218902046206</v>
      </c>
      <c r="T1152" s="10">
        <f>GraphSalmonella!$E$57*Salmonella!I1152+GraphSalmonella!$E$58</f>
        <v>2.1551335196216863</v>
      </c>
      <c r="U1152" s="10">
        <f>GraphSalmonella!$H$57*Salmonella!I1152+GraphSalmonella!$H$58</f>
        <v>-1.9280379404494532</v>
      </c>
    </row>
    <row r="1153" spans="1:21" x14ac:dyDescent="0.2">
      <c r="A1153" s="1" t="s">
        <v>66</v>
      </c>
      <c r="B1153" s="1" t="s">
        <v>67</v>
      </c>
      <c r="D1153" t="s">
        <v>41</v>
      </c>
      <c r="E1153" s="1" t="s">
        <v>77</v>
      </c>
      <c r="I1153" s="4">
        <v>80</v>
      </c>
      <c r="J1153" s="11">
        <v>96</v>
      </c>
      <c r="L1153" s="12">
        <f t="shared" si="25"/>
        <v>1.9822712330395684</v>
      </c>
      <c r="M1153" s="11">
        <f>GraphSalmonella!$D$10-(Salmonella!I1153-GraphSalmonella!$D$6)/GraphSalmonella!$D$5</f>
        <v>2.1551335196216863</v>
      </c>
      <c r="N1153" s="2" t="s">
        <v>1226</v>
      </c>
      <c r="O1153">
        <v>1996</v>
      </c>
      <c r="P1153" t="s">
        <v>78</v>
      </c>
      <c r="S1153" s="10">
        <f>GraphSalmonella!$B$57*Salmonella!I1153+GraphSalmonella!$B$58</f>
        <v>-0.84508218902046206</v>
      </c>
      <c r="T1153" s="10">
        <f>GraphSalmonella!$E$57*Salmonella!I1153+GraphSalmonella!$E$58</f>
        <v>2.1551335196216863</v>
      </c>
      <c r="U1153" s="10">
        <f>GraphSalmonella!$H$57*Salmonella!I1153+GraphSalmonella!$H$58</f>
        <v>-1.9280379404494532</v>
      </c>
    </row>
    <row r="1154" spans="1:21" x14ac:dyDescent="0.2">
      <c r="A1154" s="1" t="s">
        <v>66</v>
      </c>
      <c r="B1154" s="1" t="s">
        <v>70</v>
      </c>
      <c r="D1154" t="s">
        <v>41</v>
      </c>
      <c r="E1154" s="1" t="s">
        <v>77</v>
      </c>
      <c r="I1154" s="4">
        <v>80</v>
      </c>
      <c r="J1154" s="11">
        <v>222</v>
      </c>
      <c r="L1154" s="12">
        <f t="shared" si="25"/>
        <v>2.3463529744506388</v>
      </c>
      <c r="M1154" s="11">
        <f>GraphSalmonella!$D$10-(Salmonella!I1154-GraphSalmonella!$D$6)/GraphSalmonella!$D$5</f>
        <v>2.1551335196216863</v>
      </c>
      <c r="N1154" s="2" t="s">
        <v>1226</v>
      </c>
      <c r="O1154">
        <v>1996</v>
      </c>
      <c r="P1154" t="s">
        <v>78</v>
      </c>
      <c r="S1154" s="10">
        <f>GraphSalmonella!$B$57*Salmonella!I1154+GraphSalmonella!$B$58</f>
        <v>-0.84508218902046206</v>
      </c>
      <c r="T1154" s="10">
        <f>GraphSalmonella!$E$57*Salmonella!I1154+GraphSalmonella!$E$58</f>
        <v>2.1551335196216863</v>
      </c>
      <c r="U1154" s="10">
        <f>GraphSalmonella!$H$57*Salmonella!I1154+GraphSalmonella!$H$58</f>
        <v>-1.9280379404494532</v>
      </c>
    </row>
    <row r="1155" spans="1:21" x14ac:dyDescent="0.2">
      <c r="A1155" s="1" t="s">
        <v>66</v>
      </c>
      <c r="B1155" s="1" t="s">
        <v>67</v>
      </c>
      <c r="D1155" t="s">
        <v>41</v>
      </c>
      <c r="E1155" s="1" t="s">
        <v>77</v>
      </c>
      <c r="F1155" s="1"/>
      <c r="G1155" s="9"/>
      <c r="I1155" s="4">
        <v>90</v>
      </c>
      <c r="J1155" s="11">
        <v>30</v>
      </c>
      <c r="L1155" s="12">
        <f t="shared" si="25"/>
        <v>1.4771212547196624</v>
      </c>
      <c r="M1155" s="11">
        <f>GraphSalmonella!$D$10-(Salmonella!I1155-GraphSalmonella!$D$6)/GraphSalmonella!$D$5</f>
        <v>1.6641883011310201</v>
      </c>
      <c r="N1155" s="2" t="s">
        <v>1226</v>
      </c>
      <c r="O1155">
        <v>1996</v>
      </c>
      <c r="P1155" t="s">
        <v>78</v>
      </c>
      <c r="S1155" s="10">
        <f>GraphSalmonella!$B$57*Salmonella!I1155+GraphSalmonella!$B$58</f>
        <v>-1.4429848996340171</v>
      </c>
      <c r="T1155" s="10">
        <f>GraphSalmonella!$E$57*Salmonella!I1155+GraphSalmonella!$E$58</f>
        <v>1.6641883011310199</v>
      </c>
      <c r="U1155" s="10">
        <f>GraphSalmonella!$H$57*Salmonella!I1155+GraphSalmonella!$H$58</f>
        <v>-3.0281011701804932</v>
      </c>
    </row>
    <row r="1156" spans="1:21" x14ac:dyDescent="0.2">
      <c r="A1156" s="1" t="s">
        <v>66</v>
      </c>
      <c r="B1156" s="1" t="s">
        <v>67</v>
      </c>
      <c r="D1156" t="s">
        <v>41</v>
      </c>
      <c r="E1156" s="1" t="s">
        <v>77</v>
      </c>
      <c r="I1156" s="4">
        <v>90</v>
      </c>
      <c r="J1156" s="11">
        <v>36</v>
      </c>
      <c r="L1156" s="12">
        <f t="shared" si="25"/>
        <v>1.5563025007672873</v>
      </c>
      <c r="M1156" s="11">
        <f>GraphSalmonella!$D$10-(Salmonella!I1156-GraphSalmonella!$D$6)/GraphSalmonella!$D$5</f>
        <v>1.6641883011310201</v>
      </c>
      <c r="N1156" s="2" t="s">
        <v>1226</v>
      </c>
      <c r="O1156">
        <v>1996</v>
      </c>
      <c r="P1156" t="s">
        <v>78</v>
      </c>
      <c r="S1156" s="10">
        <f>GraphSalmonella!$B$57*Salmonella!I1156+GraphSalmonella!$B$58</f>
        <v>-1.4429848996340171</v>
      </c>
      <c r="T1156" s="10">
        <f>GraphSalmonella!$E$57*Salmonella!I1156+GraphSalmonella!$E$58</f>
        <v>1.6641883011310199</v>
      </c>
      <c r="U1156" s="10">
        <f>GraphSalmonella!$H$57*Salmonella!I1156+GraphSalmonella!$H$58</f>
        <v>-3.0281011701804932</v>
      </c>
    </row>
    <row r="1157" spans="1:21" x14ac:dyDescent="0.2">
      <c r="A1157" s="1" t="s">
        <v>66</v>
      </c>
      <c r="B1157" s="1" t="s">
        <v>67</v>
      </c>
      <c r="D1157" t="s">
        <v>41</v>
      </c>
      <c r="E1157" s="1" t="s">
        <v>77</v>
      </c>
      <c r="I1157" s="4">
        <v>90</v>
      </c>
      <c r="J1157" s="11">
        <v>42</v>
      </c>
      <c r="L1157" s="12">
        <f t="shared" si="25"/>
        <v>1.6232492903979006</v>
      </c>
      <c r="M1157" s="11">
        <f>GraphSalmonella!$D$10-(Salmonella!I1157-GraphSalmonella!$D$6)/GraphSalmonella!$D$5</f>
        <v>1.6641883011310201</v>
      </c>
      <c r="N1157" s="2" t="s">
        <v>1226</v>
      </c>
      <c r="O1157">
        <v>1996</v>
      </c>
      <c r="P1157" t="s">
        <v>78</v>
      </c>
      <c r="S1157" s="10">
        <f>GraphSalmonella!$B$57*Salmonella!I1157+GraphSalmonella!$B$58</f>
        <v>-1.4429848996340171</v>
      </c>
      <c r="T1157" s="10">
        <f>GraphSalmonella!$E$57*Salmonella!I1157+GraphSalmonella!$E$58</f>
        <v>1.6641883011310199</v>
      </c>
      <c r="U1157" s="10">
        <f>GraphSalmonella!$H$57*Salmonella!I1157+GraphSalmonella!$H$58</f>
        <v>-3.0281011701804932</v>
      </c>
    </row>
    <row r="1158" spans="1:21" x14ac:dyDescent="0.2">
      <c r="A1158" s="1" t="s">
        <v>66</v>
      </c>
      <c r="B1158" s="1" t="s">
        <v>70</v>
      </c>
      <c r="D1158" t="s">
        <v>41</v>
      </c>
      <c r="E1158" s="1" t="s">
        <v>77</v>
      </c>
      <c r="F1158" s="1"/>
      <c r="G1158" s="9"/>
      <c r="I1158" s="4">
        <v>90</v>
      </c>
      <c r="J1158" s="11">
        <v>72</v>
      </c>
      <c r="L1158" s="12">
        <f t="shared" si="25"/>
        <v>1.8573324964312685</v>
      </c>
      <c r="M1158" s="11">
        <f>GraphSalmonella!$D$10-(Salmonella!I1158-GraphSalmonella!$D$6)/GraphSalmonella!$D$5</f>
        <v>1.6641883011310201</v>
      </c>
      <c r="N1158" s="2" t="s">
        <v>1226</v>
      </c>
      <c r="O1158">
        <v>1996</v>
      </c>
      <c r="P1158" t="s">
        <v>78</v>
      </c>
      <c r="S1158" s="10">
        <f>GraphSalmonella!$B$57*Salmonella!I1158+GraphSalmonella!$B$58</f>
        <v>-1.4429848996340171</v>
      </c>
      <c r="T1158" s="10">
        <f>GraphSalmonella!$E$57*Salmonella!I1158+GraphSalmonella!$E$58</f>
        <v>1.6641883011310199</v>
      </c>
      <c r="U1158" s="10">
        <f>GraphSalmonella!$H$57*Salmonella!I1158+GraphSalmonella!$H$58</f>
        <v>-3.0281011701804932</v>
      </c>
    </row>
    <row r="1159" spans="1:21" x14ac:dyDescent="0.2">
      <c r="A1159" s="1" t="s">
        <v>66</v>
      </c>
      <c r="B1159" s="1" t="s">
        <v>70</v>
      </c>
      <c r="D1159" t="s">
        <v>41</v>
      </c>
      <c r="E1159" s="1" t="s">
        <v>77</v>
      </c>
      <c r="F1159" s="1"/>
      <c r="G1159" s="9"/>
      <c r="I1159" s="4">
        <v>90</v>
      </c>
      <c r="J1159" s="11">
        <v>78</v>
      </c>
      <c r="L1159" s="12">
        <f t="shared" si="25"/>
        <v>1.8920946026904804</v>
      </c>
      <c r="M1159" s="11">
        <f>GraphSalmonella!$D$10-(Salmonella!I1159-GraphSalmonella!$D$6)/GraphSalmonella!$D$5</f>
        <v>1.6641883011310201</v>
      </c>
      <c r="N1159" s="2" t="s">
        <v>1226</v>
      </c>
      <c r="O1159">
        <v>1996</v>
      </c>
      <c r="P1159" t="s">
        <v>78</v>
      </c>
      <c r="S1159" s="10">
        <f>GraphSalmonella!$B$57*Salmonella!I1159+GraphSalmonella!$B$58</f>
        <v>-1.4429848996340171</v>
      </c>
      <c r="T1159" s="10">
        <f>GraphSalmonella!$E$57*Salmonella!I1159+GraphSalmonella!$E$58</f>
        <v>1.6641883011310199</v>
      </c>
      <c r="U1159" s="10">
        <f>GraphSalmonella!$H$57*Salmonella!I1159+GraphSalmonella!$H$58</f>
        <v>-3.0281011701804932</v>
      </c>
    </row>
    <row r="1160" spans="1:21" x14ac:dyDescent="0.2">
      <c r="A1160" s="1" t="s">
        <v>66</v>
      </c>
      <c r="B1160" t="s">
        <v>80</v>
      </c>
      <c r="D1160" t="s">
        <v>41</v>
      </c>
      <c r="E1160" s="1" t="s">
        <v>127</v>
      </c>
      <c r="F1160" t="s">
        <v>797</v>
      </c>
      <c r="I1160" s="4">
        <v>71</v>
      </c>
      <c r="J1160" s="11">
        <v>510</v>
      </c>
      <c r="L1160" s="12">
        <f t="shared" si="25"/>
        <v>2.7075701760979363</v>
      </c>
      <c r="M1160" s="11">
        <f>GraphSalmonella!$D$10-(Salmonella!I1160-GraphSalmonella!$D$6)/GraphSalmonella!$D$5</f>
        <v>2.5969842162632855</v>
      </c>
      <c r="N1160" s="1" t="s">
        <v>319</v>
      </c>
      <c r="O1160">
        <v>2000</v>
      </c>
      <c r="S1160" s="10">
        <f>GraphSalmonella!$B$57*Salmonella!I1160+GraphSalmonella!$B$58</f>
        <v>-0.30696974946826305</v>
      </c>
      <c r="T1160" s="10">
        <f>GraphSalmonella!$E$57*Salmonella!I1160+GraphSalmonella!$E$58</f>
        <v>2.5969842162632855</v>
      </c>
      <c r="U1160" s="10">
        <f>GraphSalmonella!$H$57*Salmonella!I1160+GraphSalmonella!$H$58</f>
        <v>-0.93798103369151598</v>
      </c>
    </row>
    <row r="1161" spans="1:21" x14ac:dyDescent="0.2">
      <c r="A1161" s="1" t="s">
        <v>66</v>
      </c>
      <c r="B1161" t="s">
        <v>80</v>
      </c>
      <c r="D1161" t="s">
        <v>41</v>
      </c>
      <c r="E1161" s="1" t="s">
        <v>127</v>
      </c>
      <c r="F1161" t="s">
        <v>798</v>
      </c>
      <c r="I1161" s="4">
        <v>71</v>
      </c>
      <c r="J1161" s="11">
        <v>240</v>
      </c>
      <c r="L1161" s="12">
        <f t="shared" si="25"/>
        <v>2.3802112417116059</v>
      </c>
      <c r="M1161" s="11">
        <f>GraphSalmonella!$D$10-(Salmonella!I1161-GraphSalmonella!$D$6)/GraphSalmonella!$D$5</f>
        <v>2.5969842162632855</v>
      </c>
      <c r="N1161" s="1" t="s">
        <v>319</v>
      </c>
      <c r="O1161">
        <v>2000</v>
      </c>
      <c r="S1161" s="10">
        <f>GraphSalmonella!$B$57*Salmonella!I1161+GraphSalmonella!$B$58</f>
        <v>-0.30696974946826305</v>
      </c>
      <c r="T1161" s="10">
        <f>GraphSalmonella!$E$57*Salmonella!I1161+GraphSalmonella!$E$58</f>
        <v>2.5969842162632855</v>
      </c>
      <c r="U1161" s="10">
        <f>GraphSalmonella!$H$57*Salmonella!I1161+GraphSalmonella!$H$58</f>
        <v>-0.93798103369151598</v>
      </c>
    </row>
    <row r="1162" spans="1:21" x14ac:dyDescent="0.2">
      <c r="A1162" s="1" t="s">
        <v>66</v>
      </c>
      <c r="B1162" t="s">
        <v>80</v>
      </c>
      <c r="D1162" t="s">
        <v>41</v>
      </c>
      <c r="E1162" s="1" t="s">
        <v>127</v>
      </c>
      <c r="F1162" t="s">
        <v>799</v>
      </c>
      <c r="I1162" s="4">
        <v>71</v>
      </c>
      <c r="J1162" s="11">
        <v>210</v>
      </c>
      <c r="L1162" s="12">
        <f t="shared" si="25"/>
        <v>2.3222192947339191</v>
      </c>
      <c r="M1162" s="11">
        <f>GraphSalmonella!$D$10-(Salmonella!I1162-GraphSalmonella!$D$6)/GraphSalmonella!$D$5</f>
        <v>2.5969842162632855</v>
      </c>
      <c r="N1162" s="1" t="s">
        <v>319</v>
      </c>
      <c r="O1162">
        <v>2000</v>
      </c>
      <c r="S1162" s="10">
        <f>GraphSalmonella!$B$57*Salmonella!I1162+GraphSalmonella!$B$58</f>
        <v>-0.30696974946826305</v>
      </c>
      <c r="T1162" s="10">
        <f>GraphSalmonella!$E$57*Salmonella!I1162+GraphSalmonella!$E$58</f>
        <v>2.5969842162632855</v>
      </c>
      <c r="U1162" s="10">
        <f>GraphSalmonella!$H$57*Salmonella!I1162+GraphSalmonella!$H$58</f>
        <v>-0.93798103369151598</v>
      </c>
    </row>
  </sheetData>
  <phoneticPr fontId="0" type="noConversion"/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91"/>
  <sheetViews>
    <sheetView topLeftCell="A52" workbookViewId="0">
      <selection activeCell="B87" sqref="B87"/>
    </sheetView>
  </sheetViews>
  <sheetFormatPr defaultRowHeight="12.75" x14ac:dyDescent="0.2"/>
  <sheetData>
    <row r="1" spans="1:5" ht="18" x14ac:dyDescent="0.25">
      <c r="A1" s="3" t="s">
        <v>126</v>
      </c>
    </row>
    <row r="4" spans="1:5" x14ac:dyDescent="0.2">
      <c r="A4" t="s">
        <v>1346</v>
      </c>
      <c r="B4" t="s">
        <v>1349</v>
      </c>
      <c r="D4" t="s">
        <v>127</v>
      </c>
    </row>
    <row r="5" spans="1:5" x14ac:dyDescent="0.2">
      <c r="A5" t="s">
        <v>1347</v>
      </c>
      <c r="B5" s="10">
        <f>-1/SLOPE(Salmonella!L2:L1142,Salmonella!I2:I1142)</f>
        <v>9.0883402383446228</v>
      </c>
      <c r="C5" s="10">
        <f>SLOPE(Salmonella!L2:L1142,Salmonella!I2:I1142)</f>
        <v>-0.11003109190178634</v>
      </c>
      <c r="D5" s="10">
        <f>-1/SLOPE(Salmonella!L1143:L1162,Salmonella!I1143:I1162)</f>
        <v>20.368871359504077</v>
      </c>
      <c r="E5" s="10">
        <f>SLOPE(Salmonella!L516:L1012,Salmonella!I516:I1012)</f>
        <v>-7.9987474379856663E-2</v>
      </c>
    </row>
    <row r="6" spans="1:5" x14ac:dyDescent="0.2">
      <c r="A6" t="s">
        <v>1350</v>
      </c>
      <c r="B6" s="10">
        <v>70</v>
      </c>
      <c r="C6" s="10"/>
      <c r="D6" s="10">
        <v>70</v>
      </c>
    </row>
    <row r="7" spans="1:5" x14ac:dyDescent="0.2">
      <c r="A7" t="s">
        <v>1353</v>
      </c>
      <c r="B7" s="10">
        <f>TINV(0.05,COUNT(Salmonella!L2:L1142)-2)</f>
        <v>1.9620489285709171</v>
      </c>
      <c r="C7" s="10"/>
      <c r="D7" s="10">
        <f>TINV(0.05,COUNT(Salmonella!L1143:L1162)-2)</f>
        <v>2.1009220402410378</v>
      </c>
    </row>
    <row r="8" spans="1:5" x14ac:dyDescent="0.2">
      <c r="A8" t="s">
        <v>1355</v>
      </c>
      <c r="B8" s="10">
        <f>SUMXMY2(Salmonella!L2:L1142,Salmonella!M2:M1142)</f>
        <v>591.92446887269136</v>
      </c>
      <c r="C8" s="10"/>
      <c r="D8" s="10">
        <f>SUMXMY2(Salmonella!L1143:L1162,Salmonella!M1143:M1162)</f>
        <v>0.63424409398668924</v>
      </c>
    </row>
    <row r="9" spans="1:5" x14ac:dyDescent="0.2">
      <c r="A9" t="s">
        <v>1354</v>
      </c>
      <c r="B9" s="10">
        <f>SQRT(B8/(COUNT(Salmonella!L2:L1142)-2))</f>
        <v>0.72089379022172062</v>
      </c>
      <c r="C9" s="10"/>
      <c r="D9" s="10">
        <f>SQRT(D8/(COUNT(Salmonella!L1143:L1162)-2))</f>
        <v>0.18771196818333272</v>
      </c>
    </row>
    <row r="10" spans="1:5" x14ac:dyDescent="0.2">
      <c r="A10" t="s">
        <v>1351</v>
      </c>
      <c r="B10" s="10">
        <f>INTERCEPT(Salmonella!L2:L1142,Salmonella!I2:I1142)-$B$6/$B$5</f>
        <v>-0.82908697550839339</v>
      </c>
      <c r="C10" s="10">
        <f>INTERCEPT(Salmonella!L2:L1142,Salmonella!I2:I1142)</f>
        <v>6.8730894576166506</v>
      </c>
      <c r="D10" s="10">
        <f>INTERCEPT(Salmonella!L1143:L1162,Salmonella!I1143:I1162)-$D$6/$D$5</f>
        <v>2.6460787381123523</v>
      </c>
      <c r="E10" s="10">
        <f>INTERCEPT(Salmonella!L1143:L1162,Salmonella!I1143:I1162)</f>
        <v>6.082695267547015</v>
      </c>
    </row>
    <row r="11" spans="1:5" x14ac:dyDescent="0.2">
      <c r="A11" t="s">
        <v>135</v>
      </c>
      <c r="B11" s="10">
        <f>B10+B7*B9</f>
        <v>0.58534191320956097</v>
      </c>
      <c r="C11" s="10"/>
      <c r="D11" s="10">
        <f>D10+D7*D9</f>
        <v>3.0404469492857404</v>
      </c>
    </row>
    <row r="13" spans="1:5" x14ac:dyDescent="0.2">
      <c r="A13" t="s">
        <v>1348</v>
      </c>
      <c r="B13" t="s">
        <v>1344</v>
      </c>
      <c r="C13" t="s">
        <v>1352</v>
      </c>
      <c r="D13" t="s">
        <v>128</v>
      </c>
      <c r="E13" t="s">
        <v>129</v>
      </c>
    </row>
    <row r="14" spans="1:5" x14ac:dyDescent="0.2">
      <c r="A14">
        <v>45</v>
      </c>
      <c r="B14" s="10">
        <f t="shared" ref="B14:B34" si="0">$B$10-(A14-$B$6)/$B$5</f>
        <v>1.9216903220362651</v>
      </c>
      <c r="C14" s="10">
        <f>B14+$B$7*$B$9</f>
        <v>3.3361192107542195</v>
      </c>
      <c r="D14" s="10">
        <f t="shared" ref="D14:D34" si="1">$D$10-(A14-$D$6)/$D$5</f>
        <v>3.8734417843390174</v>
      </c>
      <c r="E14" s="10">
        <f>D14+$D$7*$D$9</f>
        <v>4.2678099955124056</v>
      </c>
    </row>
    <row r="15" spans="1:5" x14ac:dyDescent="0.2">
      <c r="A15">
        <f>A14+5</f>
        <v>50</v>
      </c>
      <c r="B15" s="10">
        <f t="shared" si="0"/>
        <v>1.3715348625273336</v>
      </c>
      <c r="C15" s="10">
        <f t="shared" ref="C15:C34" si="2">B15+$B$7*$B$9</f>
        <v>2.7859637512452879</v>
      </c>
      <c r="D15" s="10">
        <f t="shared" si="1"/>
        <v>3.6279691750936847</v>
      </c>
      <c r="E15" s="10">
        <f t="shared" ref="E15:E34" si="3">D15+$D$7*$D$9</f>
        <v>4.0223373862670728</v>
      </c>
    </row>
    <row r="16" spans="1:5" x14ac:dyDescent="0.2">
      <c r="A16">
        <v>55</v>
      </c>
      <c r="B16" s="10">
        <f t="shared" si="0"/>
        <v>0.82137940301840184</v>
      </c>
      <c r="C16" s="10">
        <f t="shared" si="2"/>
        <v>2.2358082917363564</v>
      </c>
      <c r="D16" s="10">
        <f t="shared" si="1"/>
        <v>3.3824965658483515</v>
      </c>
      <c r="E16" s="10">
        <f t="shared" si="3"/>
        <v>3.7768647770217396</v>
      </c>
    </row>
    <row r="17" spans="1:5" x14ac:dyDescent="0.2">
      <c r="A17">
        <f>A16+5</f>
        <v>60</v>
      </c>
      <c r="B17" s="10">
        <f t="shared" si="0"/>
        <v>0.2712239435094701</v>
      </c>
      <c r="C17" s="10">
        <f t="shared" si="2"/>
        <v>1.6856528322274245</v>
      </c>
      <c r="D17" s="10">
        <f t="shared" si="1"/>
        <v>3.1370239566030182</v>
      </c>
      <c r="E17" s="10">
        <f t="shared" si="3"/>
        <v>3.5313921677764064</v>
      </c>
    </row>
    <row r="18" spans="1:5" x14ac:dyDescent="0.2">
      <c r="A18">
        <f>A17+5</f>
        <v>65</v>
      </c>
      <c r="B18" s="10">
        <f t="shared" si="0"/>
        <v>-0.27893151599946164</v>
      </c>
      <c r="C18" s="10">
        <f t="shared" si="2"/>
        <v>1.1354973727184927</v>
      </c>
      <c r="D18" s="10">
        <f t="shared" si="1"/>
        <v>2.8915513473576855</v>
      </c>
      <c r="E18" s="10">
        <f t="shared" si="3"/>
        <v>3.2859195585310736</v>
      </c>
    </row>
    <row r="19" spans="1:5" x14ac:dyDescent="0.2">
      <c r="A19">
        <v>70</v>
      </c>
      <c r="B19" s="10">
        <f t="shared" si="0"/>
        <v>-0.82908697550839339</v>
      </c>
      <c r="C19" s="10">
        <f t="shared" si="2"/>
        <v>0.58534191320956097</v>
      </c>
      <c r="D19" s="10">
        <f t="shared" si="1"/>
        <v>2.6460787381123523</v>
      </c>
      <c r="E19" s="10">
        <f t="shared" si="3"/>
        <v>3.0404469492857404</v>
      </c>
    </row>
    <row r="20" spans="1:5" x14ac:dyDescent="0.2">
      <c r="A20">
        <f>A19+5</f>
        <v>75</v>
      </c>
      <c r="B20" s="10">
        <f t="shared" si="0"/>
        <v>-1.3792424350173251</v>
      </c>
      <c r="C20" s="10">
        <f t="shared" si="2"/>
        <v>3.5186453700629228E-2</v>
      </c>
      <c r="D20" s="10">
        <f t="shared" si="1"/>
        <v>2.4006061288670191</v>
      </c>
      <c r="E20" s="10">
        <f t="shared" si="3"/>
        <v>2.7949743400404072</v>
      </c>
    </row>
    <row r="21" spans="1:5" x14ac:dyDescent="0.2">
      <c r="A21">
        <f t="shared" ref="A21:A34" si="4">A20+5</f>
        <v>80</v>
      </c>
      <c r="B21" s="10">
        <f t="shared" si="0"/>
        <v>-1.9293978945262569</v>
      </c>
      <c r="C21" s="10">
        <f t="shared" si="2"/>
        <v>-0.51496900580830252</v>
      </c>
      <c r="D21" s="10">
        <f t="shared" si="1"/>
        <v>2.1551335196216863</v>
      </c>
      <c r="E21" s="10">
        <f t="shared" si="3"/>
        <v>2.5495017307950745</v>
      </c>
    </row>
    <row r="22" spans="1:5" x14ac:dyDescent="0.2">
      <c r="A22">
        <f t="shared" si="4"/>
        <v>85</v>
      </c>
      <c r="B22" s="10">
        <f t="shared" si="0"/>
        <v>-2.4795533540351888</v>
      </c>
      <c r="C22" s="10">
        <f t="shared" si="2"/>
        <v>-1.0651244653172345</v>
      </c>
      <c r="D22" s="10">
        <f t="shared" si="1"/>
        <v>1.9096609103763531</v>
      </c>
      <c r="E22" s="10">
        <f t="shared" si="3"/>
        <v>2.3040291215497413</v>
      </c>
    </row>
    <row r="23" spans="1:5" x14ac:dyDescent="0.2">
      <c r="A23">
        <f t="shared" si="4"/>
        <v>90</v>
      </c>
      <c r="B23" s="10">
        <f t="shared" si="0"/>
        <v>-3.0297088135441204</v>
      </c>
      <c r="C23" s="10">
        <f t="shared" si="2"/>
        <v>-1.615279924826166</v>
      </c>
      <c r="D23" s="10">
        <f t="shared" si="1"/>
        <v>1.6641883011310201</v>
      </c>
      <c r="E23" s="10">
        <f t="shared" si="3"/>
        <v>2.0585565123044081</v>
      </c>
    </row>
    <row r="24" spans="1:5" x14ac:dyDescent="0.2">
      <c r="A24">
        <f t="shared" si="4"/>
        <v>95</v>
      </c>
      <c r="B24" s="10">
        <f t="shared" si="0"/>
        <v>-3.5798642730530519</v>
      </c>
      <c r="C24" s="10">
        <f t="shared" si="2"/>
        <v>-2.1654353843350975</v>
      </c>
      <c r="D24" s="10">
        <f t="shared" si="1"/>
        <v>1.4187156918856871</v>
      </c>
      <c r="E24" s="10">
        <f t="shared" si="3"/>
        <v>1.8130839030590753</v>
      </c>
    </row>
    <row r="25" spans="1:5" x14ac:dyDescent="0.2">
      <c r="A25">
        <f t="shared" si="4"/>
        <v>100</v>
      </c>
      <c r="B25" s="10">
        <f t="shared" si="0"/>
        <v>-4.1300197325619834</v>
      </c>
      <c r="C25" s="10">
        <f t="shared" si="2"/>
        <v>-2.715590843844029</v>
      </c>
      <c r="D25" s="10">
        <f t="shared" si="1"/>
        <v>1.1732430826403539</v>
      </c>
      <c r="E25" s="10">
        <f t="shared" si="3"/>
        <v>1.5676112938137421</v>
      </c>
    </row>
    <row r="26" spans="1:5" x14ac:dyDescent="0.2">
      <c r="A26">
        <f t="shared" si="4"/>
        <v>105</v>
      </c>
      <c r="B26" s="10">
        <f t="shared" si="0"/>
        <v>-4.6801751920709158</v>
      </c>
      <c r="C26" s="10">
        <f t="shared" si="2"/>
        <v>-3.2657463033529615</v>
      </c>
      <c r="D26" s="10">
        <f t="shared" si="1"/>
        <v>0.92777047339502094</v>
      </c>
      <c r="E26" s="10">
        <f t="shared" si="3"/>
        <v>1.3221386845684091</v>
      </c>
    </row>
    <row r="27" spans="1:5" x14ac:dyDescent="0.2">
      <c r="A27">
        <f t="shared" si="4"/>
        <v>110</v>
      </c>
      <c r="B27" s="10">
        <f t="shared" si="0"/>
        <v>-5.2303306515798473</v>
      </c>
      <c r="C27" s="10">
        <f t="shared" si="2"/>
        <v>-3.815901762861893</v>
      </c>
      <c r="D27" s="10">
        <f t="shared" si="1"/>
        <v>0.68229786414968796</v>
      </c>
      <c r="E27" s="10">
        <f t="shared" si="3"/>
        <v>1.0766660753230761</v>
      </c>
    </row>
    <row r="28" spans="1:5" x14ac:dyDescent="0.2">
      <c r="A28">
        <f t="shared" si="4"/>
        <v>115</v>
      </c>
      <c r="B28" s="10">
        <f t="shared" si="0"/>
        <v>-5.7804861110887789</v>
      </c>
      <c r="C28" s="10">
        <f t="shared" si="2"/>
        <v>-4.3660572223708245</v>
      </c>
      <c r="D28" s="10">
        <f t="shared" si="1"/>
        <v>0.43682525490435475</v>
      </c>
      <c r="E28" s="10">
        <f t="shared" si="3"/>
        <v>0.83119346607774292</v>
      </c>
    </row>
    <row r="29" spans="1:5" x14ac:dyDescent="0.2">
      <c r="A29">
        <f t="shared" si="4"/>
        <v>120</v>
      </c>
      <c r="B29" s="10">
        <f t="shared" si="0"/>
        <v>-6.3306415705977104</v>
      </c>
      <c r="C29" s="10">
        <f t="shared" si="2"/>
        <v>-4.916212681879756</v>
      </c>
      <c r="D29" s="10">
        <f t="shared" si="1"/>
        <v>0.19135264565902199</v>
      </c>
      <c r="E29" s="10">
        <f t="shared" si="3"/>
        <v>0.58572085683241015</v>
      </c>
    </row>
    <row r="30" spans="1:5" x14ac:dyDescent="0.2">
      <c r="A30">
        <f t="shared" si="4"/>
        <v>125</v>
      </c>
      <c r="B30" s="10">
        <f t="shared" si="0"/>
        <v>-6.8807970301066419</v>
      </c>
      <c r="C30" s="10">
        <f t="shared" si="2"/>
        <v>-5.4663681413886875</v>
      </c>
      <c r="D30" s="10">
        <f t="shared" si="1"/>
        <v>-5.4119963586311215E-2</v>
      </c>
      <c r="E30" s="10">
        <f t="shared" si="3"/>
        <v>0.34024824758707695</v>
      </c>
    </row>
    <row r="31" spans="1:5" x14ac:dyDescent="0.2">
      <c r="A31">
        <f t="shared" si="4"/>
        <v>130</v>
      </c>
      <c r="B31" s="10">
        <f t="shared" si="0"/>
        <v>-7.4309524896155743</v>
      </c>
      <c r="C31" s="10">
        <f t="shared" si="2"/>
        <v>-6.0165236008976199</v>
      </c>
      <c r="D31" s="10">
        <f t="shared" si="1"/>
        <v>-0.29959257283164442</v>
      </c>
      <c r="E31" s="10">
        <f t="shared" si="3"/>
        <v>9.477563834174374E-2</v>
      </c>
    </row>
    <row r="32" spans="1:5" x14ac:dyDescent="0.2">
      <c r="A32">
        <f t="shared" si="4"/>
        <v>135</v>
      </c>
      <c r="B32" s="10">
        <f t="shared" si="0"/>
        <v>-7.9811079491245058</v>
      </c>
      <c r="C32" s="10">
        <f t="shared" si="2"/>
        <v>-6.5666790604065515</v>
      </c>
      <c r="D32" s="10">
        <f t="shared" si="1"/>
        <v>-0.54506518207697718</v>
      </c>
      <c r="E32" s="10">
        <f t="shared" si="3"/>
        <v>-0.15069697090358902</v>
      </c>
    </row>
    <row r="33" spans="1:5" x14ac:dyDescent="0.2">
      <c r="A33">
        <f t="shared" si="4"/>
        <v>140</v>
      </c>
      <c r="B33" s="10">
        <f t="shared" si="0"/>
        <v>-8.5312634086334374</v>
      </c>
      <c r="C33" s="10">
        <f t="shared" si="2"/>
        <v>-7.116834519915483</v>
      </c>
      <c r="D33" s="10">
        <f t="shared" si="1"/>
        <v>-0.79053779132231039</v>
      </c>
      <c r="E33" s="10">
        <f t="shared" si="3"/>
        <v>-0.39616958014892223</v>
      </c>
    </row>
    <row r="34" spans="1:5" x14ac:dyDescent="0.2">
      <c r="A34">
        <f t="shared" si="4"/>
        <v>145</v>
      </c>
      <c r="B34" s="10">
        <f t="shared" si="0"/>
        <v>-9.081418868142368</v>
      </c>
      <c r="C34" s="10">
        <f t="shared" si="2"/>
        <v>-7.6669899794244136</v>
      </c>
      <c r="D34" s="10">
        <f t="shared" si="1"/>
        <v>-1.0360104005676436</v>
      </c>
      <c r="E34" s="10">
        <f t="shared" si="3"/>
        <v>-0.64164218939425544</v>
      </c>
    </row>
    <row r="36" spans="1:5" x14ac:dyDescent="0.2">
      <c r="D36" s="10"/>
    </row>
    <row r="39" spans="1:5" x14ac:dyDescent="0.2">
      <c r="B39" s="10"/>
    </row>
    <row r="41" spans="1:5" x14ac:dyDescent="0.2">
      <c r="B41" s="10"/>
    </row>
    <row r="42" spans="1:5" x14ac:dyDescent="0.2">
      <c r="B42" s="10"/>
    </row>
    <row r="43" spans="1:5" x14ac:dyDescent="0.2">
      <c r="B43" s="10"/>
    </row>
    <row r="44" spans="1:5" x14ac:dyDescent="0.2">
      <c r="B44" s="10"/>
    </row>
    <row r="47" spans="1:5" x14ac:dyDescent="0.2">
      <c r="B47" s="10"/>
      <c r="C47" s="10"/>
    </row>
    <row r="48" spans="1:5" x14ac:dyDescent="0.2">
      <c r="B48" s="10"/>
      <c r="C48" s="10"/>
    </row>
    <row r="49" spans="1:8" x14ac:dyDescent="0.2">
      <c r="B49" s="10"/>
      <c r="C49" s="10"/>
    </row>
    <row r="50" spans="1:8" x14ac:dyDescent="0.2">
      <c r="B50" s="10"/>
      <c r="C50" s="10"/>
    </row>
    <row r="51" spans="1:8" x14ac:dyDescent="0.2">
      <c r="B51" s="10"/>
      <c r="C51" s="10"/>
    </row>
    <row r="52" spans="1:8" x14ac:dyDescent="0.2">
      <c r="B52" s="10"/>
      <c r="C52" s="10"/>
    </row>
    <row r="53" spans="1:8" x14ac:dyDescent="0.2">
      <c r="B53" s="10"/>
      <c r="C53" s="10"/>
    </row>
    <row r="54" spans="1:8" x14ac:dyDescent="0.2">
      <c r="A54" s="24" t="s">
        <v>273</v>
      </c>
    </row>
    <row r="56" spans="1:8" x14ac:dyDescent="0.2">
      <c r="A56" t="s">
        <v>250</v>
      </c>
      <c r="D56" t="s">
        <v>274</v>
      </c>
      <c r="G56" t="s">
        <v>275</v>
      </c>
    </row>
    <row r="57" spans="1:8" x14ac:dyDescent="0.2">
      <c r="A57" t="s">
        <v>251</v>
      </c>
      <c r="B57" s="10">
        <f>SLOPE(Salmonella!L2:L1162,Salmonella!I2:I1162)</f>
        <v>-5.9790271061355475E-2</v>
      </c>
      <c r="D57" t="s">
        <v>251</v>
      </c>
      <c r="E57" s="10">
        <f>SLOPE(Salmonella!L1143:L1162,Salmonella!I1143:I1162)</f>
        <v>-4.9094521849066611E-2</v>
      </c>
      <c r="G57" t="s">
        <v>251</v>
      </c>
      <c r="H57" s="10">
        <f>SLOPE(Salmonella!L2:L1141,Salmonella!I2:I1141)</f>
        <v>-0.1100063229731041</v>
      </c>
    </row>
    <row r="58" spans="1:8" x14ac:dyDescent="0.2">
      <c r="A58" t="s">
        <v>202</v>
      </c>
      <c r="B58" s="10">
        <f>INTERCEPT(Salmonella!L2:L1162,Salmonella!I2:I1162)</f>
        <v>3.9381394958879756</v>
      </c>
      <c r="D58" t="s">
        <v>252</v>
      </c>
      <c r="E58" s="10">
        <f>INTERCEPT(Salmonella!L1143:L1162,Salmonella!I1143:I1162)</f>
        <v>6.082695267547015</v>
      </c>
      <c r="G58" t="s">
        <v>252</v>
      </c>
      <c r="H58" s="10">
        <f>INTERCEPT(Salmonella!L2:L1141,Salmonella!I2:I1141)</f>
        <v>6.8724678973988755</v>
      </c>
    </row>
    <row r="59" spans="1:8" x14ac:dyDescent="0.2">
      <c r="A59" t="s">
        <v>259</v>
      </c>
      <c r="B59" s="10">
        <f>SUMXMY2(Salmonella!L2:L1162,Salmonella!S2:S1162)</f>
        <v>826.38519909361719</v>
      </c>
      <c r="D59" t="s">
        <v>259</v>
      </c>
      <c r="E59" s="10">
        <f>SUMXMY2(Salmonella!L1143:L1162,Salmonella!T1143:T1162)</f>
        <v>0.63424409398668913</v>
      </c>
      <c r="G59" t="s">
        <v>259</v>
      </c>
      <c r="H59" s="10">
        <f>SUMXMY2(Salmonella!L2:L1141,Salmonella!U2:U1141)</f>
        <v>590.98235377033552</v>
      </c>
    </row>
    <row r="60" spans="1:8" x14ac:dyDescent="0.2">
      <c r="D60" t="s">
        <v>260</v>
      </c>
      <c r="E60" s="10">
        <f>E59+H59</f>
        <v>591.61659786432222</v>
      </c>
    </row>
    <row r="62" spans="1:8" x14ac:dyDescent="0.2">
      <c r="A62" t="s">
        <v>262</v>
      </c>
      <c r="B62">
        <f>COUNT(Salmonella!L2:L1162)</f>
        <v>1161</v>
      </c>
    </row>
    <row r="63" spans="1:8" x14ac:dyDescent="0.2">
      <c r="A63" t="s">
        <v>261</v>
      </c>
      <c r="B63" s="10">
        <f>((B59-E60)/2)/(E60/(B62-4))</f>
        <v>229.56359963770626</v>
      </c>
    </row>
    <row r="64" spans="1:8" x14ac:dyDescent="0.2">
      <c r="A64" t="s">
        <v>280</v>
      </c>
      <c r="B64" s="10">
        <f>FINV(0.05,2,B62-2)</f>
        <v>3.0034888708836025</v>
      </c>
    </row>
    <row r="65" spans="1:8" x14ac:dyDescent="0.2">
      <c r="A65" t="s">
        <v>255</v>
      </c>
      <c r="B65" s="10">
        <f>(B59/(B62-2))/(E60/(B62-4))</f>
        <v>1.3944151848795621</v>
      </c>
    </row>
    <row r="66" spans="1:8" x14ac:dyDescent="0.2">
      <c r="A66" t="s">
        <v>281</v>
      </c>
      <c r="B66" s="10">
        <f>FINV(0.05,B62-2,B62-4)</f>
        <v>1.1015459326079673</v>
      </c>
    </row>
    <row r="68" spans="1:8" x14ac:dyDescent="0.2">
      <c r="A68" s="24" t="s">
        <v>895</v>
      </c>
    </row>
    <row r="70" spans="1:8" x14ac:dyDescent="0.2">
      <c r="A70" t="s">
        <v>897</v>
      </c>
    </row>
    <row r="71" spans="1:8" x14ac:dyDescent="0.2">
      <c r="A71" t="s">
        <v>898</v>
      </c>
      <c r="B71">
        <v>0</v>
      </c>
    </row>
    <row r="73" spans="1:8" x14ac:dyDescent="0.2">
      <c r="A73" t="s">
        <v>901</v>
      </c>
    </row>
    <row r="77" spans="1:8" x14ac:dyDescent="0.2">
      <c r="A77" s="24" t="s">
        <v>991</v>
      </c>
    </row>
    <row r="79" spans="1:8" x14ac:dyDescent="0.2">
      <c r="A79" t="s">
        <v>250</v>
      </c>
      <c r="D79" t="s">
        <v>275</v>
      </c>
      <c r="G79" t="s">
        <v>992</v>
      </c>
    </row>
    <row r="80" spans="1:8" x14ac:dyDescent="0.2">
      <c r="A80" t="s">
        <v>251</v>
      </c>
      <c r="B80" s="10">
        <f>SLOPE(Salmonella!L2:L1135,Salmonella!I2:I1135)</f>
        <v>-0.11008437970497306</v>
      </c>
      <c r="D80" t="s">
        <v>251</v>
      </c>
      <c r="E80" s="10">
        <f>SLOPE(Salmonella!L2:L1095,Salmonella!I2:I1095)</f>
        <v>-0.11162931687321397</v>
      </c>
      <c r="G80" t="s">
        <v>251</v>
      </c>
      <c r="H80" s="10">
        <f>SLOPE(Salmonella!L1096:L1135,Salmonella!I1096:I1135)</f>
        <v>-0.1291818632373784</v>
      </c>
    </row>
    <row r="81" spans="1:8" x14ac:dyDescent="0.2">
      <c r="A81" t="s">
        <v>202</v>
      </c>
      <c r="B81" s="10">
        <f>INTERCEPT(Salmonella!L2:L1135,Salmonella!I2:I1135)</f>
        <v>6.8789125369693229</v>
      </c>
      <c r="D81" t="s">
        <v>252</v>
      </c>
      <c r="E81" s="10">
        <f>INTERCEPT(Salmonella!L2:L1095,Salmonella!I2:I1095)</f>
        <v>6.9801510191233955</v>
      </c>
      <c r="G81" t="s">
        <v>252</v>
      </c>
      <c r="H81" s="10">
        <f>INTERCEPT(Salmonella!L1096:L1135,Salmonella!I1096:I1135)</f>
        <v>7.6863991072693869</v>
      </c>
    </row>
    <row r="82" spans="1:8" x14ac:dyDescent="0.2">
      <c r="A82" t="s">
        <v>259</v>
      </c>
      <c r="B82" s="10">
        <f>SUMXMY2(Salmonella!L2:L1135,Salmonella!X2:X1135)</f>
        <v>589.57130312921481</v>
      </c>
      <c r="D82" t="s">
        <v>259</v>
      </c>
      <c r="E82" s="10">
        <f>SUMXMY2(Salmonella!L2:L1095,Salmonella!Y2:Y1095)</f>
        <v>580.447667409774</v>
      </c>
      <c r="G82" t="s">
        <v>259</v>
      </c>
      <c r="H82" s="10">
        <f>SUMXMY2(Salmonella!L1096:L1135,Salmonella!Z1096:Z1135)</f>
        <v>6.2664244465468197</v>
      </c>
    </row>
    <row r="83" spans="1:8" x14ac:dyDescent="0.2">
      <c r="D83" t="s">
        <v>260</v>
      </c>
      <c r="E83" s="10">
        <f>E82+H82</f>
        <v>586.71409185632081</v>
      </c>
    </row>
    <row r="85" spans="1:8" x14ac:dyDescent="0.2">
      <c r="A85" t="s">
        <v>262</v>
      </c>
      <c r="B85">
        <f>COUNT(Salmonella!L2:L1135)</f>
        <v>1134</v>
      </c>
    </row>
    <row r="86" spans="1:8" x14ac:dyDescent="0.2">
      <c r="A86" t="s">
        <v>261</v>
      </c>
      <c r="B86" s="10">
        <f>((B82-E83)/2)/(E83/(B85-4))</f>
        <v>2.7514668415028316</v>
      </c>
    </row>
    <row r="87" spans="1:8" x14ac:dyDescent="0.2">
      <c r="A87" t="s">
        <v>280</v>
      </c>
      <c r="B87" s="10">
        <f>FINV(0.05,2,B85-4)</f>
        <v>3.0036882861386962</v>
      </c>
    </row>
    <row r="88" spans="1:8" x14ac:dyDescent="0.2">
      <c r="A88" t="s">
        <v>255</v>
      </c>
      <c r="B88" s="10">
        <f>(B82/(B85-2))/(E83/(B85-4))</f>
        <v>1.0030944643842807</v>
      </c>
    </row>
    <row r="89" spans="1:8" x14ac:dyDescent="0.2">
      <c r="A89" t="s">
        <v>281</v>
      </c>
      <c r="B89" s="10">
        <f>FINV(0.05,B85-2,B85-4)</f>
        <v>1.1028119568436716</v>
      </c>
    </row>
    <row r="91" spans="1:8" x14ac:dyDescent="0.2">
      <c r="A91" s="24" t="s">
        <v>895</v>
      </c>
    </row>
  </sheetData>
  <phoneticPr fontId="0" type="noConversion"/>
  <pageMargins left="0.75" right="0.75" top="1" bottom="1" header="0.5" footer="0.5"/>
  <headerFooter alignWithMargins="0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T234"/>
  <sheetViews>
    <sheetView topLeftCell="D1" workbookViewId="0">
      <pane ySplit="1" topLeftCell="A45" activePane="bottomLeft" state="frozen"/>
      <selection activeCell="E1" sqref="E1"/>
      <selection pane="bottomLeft" activeCell="L63" sqref="L63"/>
    </sheetView>
  </sheetViews>
  <sheetFormatPr defaultRowHeight="12.75" x14ac:dyDescent="0.2"/>
  <cols>
    <col min="1" max="1" width="16.42578125" customWidth="1"/>
    <col min="2" max="2" width="15.5703125" customWidth="1"/>
    <col min="3" max="3" width="15.28515625" customWidth="1"/>
    <col min="4" max="4" width="16.28515625" customWidth="1"/>
    <col min="5" max="5" width="15.42578125" customWidth="1"/>
    <col min="6" max="6" width="26.140625" customWidth="1"/>
    <col min="7" max="7" width="8.5703125" style="4" customWidth="1"/>
    <col min="8" max="8" width="10.28515625" style="4" customWidth="1"/>
    <col min="9" max="9" width="9.5703125" style="11" bestFit="1" customWidth="1"/>
    <col min="10" max="11" width="9.140625" style="4" customWidth="1"/>
    <col min="12" max="12" width="15" style="4" customWidth="1"/>
    <col min="15" max="15" width="16.85546875" customWidth="1"/>
    <col min="19" max="19" width="11.7109375" customWidth="1"/>
  </cols>
  <sheetData>
    <row r="1" spans="1:20" s="18" customFormat="1" ht="15" x14ac:dyDescent="0.25">
      <c r="A1" s="14" t="s">
        <v>1221</v>
      </c>
      <c r="B1" s="14" t="s">
        <v>64</v>
      </c>
      <c r="C1" s="14" t="s">
        <v>65</v>
      </c>
      <c r="D1" s="14" t="s">
        <v>39</v>
      </c>
      <c r="E1" s="14" t="s">
        <v>1222</v>
      </c>
      <c r="F1" s="14" t="s">
        <v>1255</v>
      </c>
      <c r="G1" s="15" t="s">
        <v>1230</v>
      </c>
      <c r="H1" s="15" t="s">
        <v>1229</v>
      </c>
      <c r="I1" s="20" t="s">
        <v>1232</v>
      </c>
      <c r="J1" s="15" t="s">
        <v>1231</v>
      </c>
      <c r="K1" s="15" t="s">
        <v>1343</v>
      </c>
      <c r="L1" s="17" t="s">
        <v>1344</v>
      </c>
      <c r="M1" s="14" t="s">
        <v>1223</v>
      </c>
      <c r="N1" s="14" t="s">
        <v>1224</v>
      </c>
      <c r="O1" s="14" t="s">
        <v>1225</v>
      </c>
      <c r="Q1" s="18" t="s">
        <v>255</v>
      </c>
      <c r="R1" s="18" t="s">
        <v>271</v>
      </c>
      <c r="S1" s="18" t="s">
        <v>277</v>
      </c>
      <c r="T1" s="18" t="s">
        <v>270</v>
      </c>
    </row>
    <row r="2" spans="1:20" x14ac:dyDescent="0.2">
      <c r="A2" s="1" t="s">
        <v>1046</v>
      </c>
      <c r="B2" s="1" t="s">
        <v>1047</v>
      </c>
      <c r="C2">
        <v>5348</v>
      </c>
      <c r="D2" t="s">
        <v>44</v>
      </c>
      <c r="E2" s="1" t="s">
        <v>367</v>
      </c>
      <c r="F2" s="19" t="s">
        <v>1091</v>
      </c>
      <c r="G2" s="4">
        <v>4</v>
      </c>
      <c r="H2" s="4">
        <v>37</v>
      </c>
      <c r="I2" s="11">
        <f>(5*8.7*60+31.4*60)/5</f>
        <v>898.8</v>
      </c>
      <c r="K2" s="12">
        <f>LOG(I2)</f>
        <v>2.9536630637470913</v>
      </c>
      <c r="L2" s="11">
        <f>GraphShigella!$B$10-(Shigella!H2-GraphShigella!$B$6)/GraphShigella!$B$5</f>
        <v>2.8706492911752619</v>
      </c>
      <c r="M2" s="1" t="s">
        <v>1051</v>
      </c>
      <c r="N2" t="s">
        <v>1063</v>
      </c>
      <c r="O2" t="s">
        <v>1052</v>
      </c>
      <c r="R2" s="10"/>
      <c r="T2" s="10"/>
    </row>
    <row r="3" spans="1:20" x14ac:dyDescent="0.2">
      <c r="A3" s="1" t="s">
        <v>1046</v>
      </c>
      <c r="B3" s="1" t="s">
        <v>1047</v>
      </c>
      <c r="C3">
        <v>5348</v>
      </c>
      <c r="D3" t="s">
        <v>44</v>
      </c>
      <c r="E3" s="1" t="s">
        <v>367</v>
      </c>
      <c r="F3" s="19" t="s">
        <v>1175</v>
      </c>
      <c r="G3" s="4">
        <v>4</v>
      </c>
      <c r="H3" s="4">
        <v>37</v>
      </c>
      <c r="I3" s="11">
        <f>(5*14.6*60+30.4*60)/5</f>
        <v>1240.8</v>
      </c>
      <c r="K3" s="12">
        <f t="shared" ref="K3:K27" si="0">LOG(I3)</f>
        <v>3.0937017848055484</v>
      </c>
      <c r="L3" s="11">
        <f>GraphShigella!$B$10-(Shigella!H3-GraphShigella!$B$6)/GraphShigella!$B$5</f>
        <v>2.8706492911752619</v>
      </c>
      <c r="M3" s="1" t="s">
        <v>1051</v>
      </c>
      <c r="N3" t="s">
        <v>1063</v>
      </c>
      <c r="O3" t="s">
        <v>1052</v>
      </c>
      <c r="R3" s="10"/>
      <c r="T3" s="10"/>
    </row>
    <row r="4" spans="1:20" x14ac:dyDescent="0.2">
      <c r="A4" s="1" t="s">
        <v>1046</v>
      </c>
      <c r="B4" s="1" t="s">
        <v>1047</v>
      </c>
      <c r="C4">
        <v>5348</v>
      </c>
      <c r="D4" t="s">
        <v>44</v>
      </c>
      <c r="E4" s="1" t="s">
        <v>367</v>
      </c>
      <c r="F4" s="19" t="s">
        <v>1048</v>
      </c>
      <c r="G4" s="4">
        <v>4</v>
      </c>
      <c r="H4" s="4">
        <v>37</v>
      </c>
      <c r="I4" s="11">
        <f>(5*21.7*60+17*60)/5</f>
        <v>1506</v>
      </c>
      <c r="K4" s="12">
        <f t="shared" si="0"/>
        <v>3.1778249718646818</v>
      </c>
      <c r="L4" s="11">
        <f>GraphShigella!$B$10-(Shigella!H4-GraphShigella!$B$6)/GraphShigella!$B$5</f>
        <v>2.8706492911752619</v>
      </c>
      <c r="M4" s="1" t="s">
        <v>1051</v>
      </c>
      <c r="N4" t="s">
        <v>1063</v>
      </c>
      <c r="O4" t="s">
        <v>1052</v>
      </c>
      <c r="R4" s="10"/>
      <c r="T4" s="10"/>
    </row>
    <row r="5" spans="1:20" x14ac:dyDescent="0.2">
      <c r="A5" s="1" t="s">
        <v>1046</v>
      </c>
      <c r="B5" s="1" t="s">
        <v>1047</v>
      </c>
      <c r="C5">
        <v>5348</v>
      </c>
      <c r="D5" t="s">
        <v>44</v>
      </c>
      <c r="E5" s="1" t="s">
        <v>367</v>
      </c>
      <c r="F5" s="19" t="s">
        <v>1049</v>
      </c>
      <c r="G5" s="4">
        <v>4</v>
      </c>
      <c r="H5" s="4">
        <v>37</v>
      </c>
      <c r="I5" s="11">
        <f>25.6*60</f>
        <v>1536</v>
      </c>
      <c r="K5" s="12">
        <f t="shared" si="0"/>
        <v>3.186391215695493</v>
      </c>
      <c r="L5" s="11">
        <f>GraphShigella!$B$10-(Shigella!H5-GraphShigella!$B$6)/GraphShigella!$B$5</f>
        <v>2.8706492911752619</v>
      </c>
      <c r="M5" s="1" t="s">
        <v>1051</v>
      </c>
      <c r="N5" t="s">
        <v>1063</v>
      </c>
      <c r="R5" s="10"/>
      <c r="T5" s="10"/>
    </row>
    <row r="6" spans="1:20" x14ac:dyDescent="0.2">
      <c r="A6" s="1" t="s">
        <v>1046</v>
      </c>
      <c r="B6" s="1" t="s">
        <v>1047</v>
      </c>
      <c r="C6">
        <v>5348</v>
      </c>
      <c r="D6" t="s">
        <v>44</v>
      </c>
      <c r="E6" s="1" t="s">
        <v>367</v>
      </c>
      <c r="F6" s="19" t="s">
        <v>1048</v>
      </c>
      <c r="G6" s="4">
        <v>5</v>
      </c>
      <c r="H6" s="4">
        <v>37</v>
      </c>
      <c r="I6" s="11">
        <f>52.7*60</f>
        <v>3162</v>
      </c>
      <c r="K6" s="12">
        <f t="shared" si="0"/>
        <v>3.4999618655961902</v>
      </c>
      <c r="L6" s="11">
        <f>GraphShigella!$B$10-(Shigella!H6-GraphShigella!$B$6)/GraphShigella!$B$5</f>
        <v>2.8706492911752619</v>
      </c>
      <c r="M6" s="1" t="s">
        <v>1051</v>
      </c>
      <c r="N6" t="s">
        <v>1063</v>
      </c>
      <c r="R6" s="10"/>
      <c r="T6" s="10"/>
    </row>
    <row r="7" spans="1:20" x14ac:dyDescent="0.2">
      <c r="A7" s="1" t="s">
        <v>1046</v>
      </c>
      <c r="B7" s="1" t="s">
        <v>1047</v>
      </c>
      <c r="C7">
        <v>5348</v>
      </c>
      <c r="D7" t="s">
        <v>44</v>
      </c>
      <c r="E7" s="1" t="s">
        <v>367</v>
      </c>
      <c r="F7" s="19" t="s">
        <v>1049</v>
      </c>
      <c r="G7" s="4">
        <v>5</v>
      </c>
      <c r="H7" s="4">
        <v>37</v>
      </c>
      <c r="I7" s="11">
        <f>58.8*60</f>
        <v>3528</v>
      </c>
      <c r="K7" s="12">
        <f t="shared" si="0"/>
        <v>3.5475285764597819</v>
      </c>
      <c r="L7" s="11">
        <f>GraphShigella!$B$10-(Shigella!H7-GraphShigella!$B$6)/GraphShigella!$B$5</f>
        <v>2.8706492911752619</v>
      </c>
      <c r="M7" s="1" t="s">
        <v>1051</v>
      </c>
      <c r="N7" t="s">
        <v>1063</v>
      </c>
      <c r="R7" s="10"/>
      <c r="T7" s="10"/>
    </row>
    <row r="8" spans="1:20" x14ac:dyDescent="0.2">
      <c r="A8" s="1" t="s">
        <v>1046</v>
      </c>
      <c r="B8" s="1" t="s">
        <v>1047</v>
      </c>
      <c r="C8">
        <v>5348</v>
      </c>
      <c r="D8" t="s">
        <v>44</v>
      </c>
      <c r="E8" s="1" t="s">
        <v>367</v>
      </c>
      <c r="F8" s="19" t="s">
        <v>1050</v>
      </c>
      <c r="G8" s="4">
        <v>6</v>
      </c>
      <c r="H8" s="4">
        <v>37</v>
      </c>
      <c r="I8" s="11">
        <f>22.7*60</f>
        <v>1362</v>
      </c>
      <c r="K8" s="12">
        <f t="shared" si="0"/>
        <v>3.1341771075767664</v>
      </c>
      <c r="L8" s="11">
        <f>GraphShigella!$B$10-(Shigella!H8-GraphShigella!$B$6)/GraphShigella!$B$5</f>
        <v>2.8706492911752619</v>
      </c>
      <c r="M8" s="1" t="s">
        <v>1051</v>
      </c>
      <c r="N8" t="s">
        <v>1063</v>
      </c>
      <c r="R8" s="10"/>
      <c r="T8" s="10"/>
    </row>
    <row r="9" spans="1:20" x14ac:dyDescent="0.2">
      <c r="A9" s="1" t="s">
        <v>1046</v>
      </c>
      <c r="B9" s="1" t="s">
        <v>1047</v>
      </c>
      <c r="C9">
        <v>5348</v>
      </c>
      <c r="D9" t="s">
        <v>44</v>
      </c>
      <c r="E9" s="1" t="s">
        <v>367</v>
      </c>
      <c r="F9" s="19" t="s">
        <v>1091</v>
      </c>
      <c r="G9" s="4">
        <v>4</v>
      </c>
      <c r="H9" s="4">
        <v>28</v>
      </c>
      <c r="I9" s="11">
        <f>(5*37.6*60+116.3*60)/5</f>
        <v>3651.6</v>
      </c>
      <c r="K9" s="12">
        <f t="shared" si="0"/>
        <v>3.5624831984057921</v>
      </c>
      <c r="L9" s="11">
        <f>GraphShigella!$B$10-(Shigella!H9-GraphShigella!$B$6)/GraphShigella!$B$5</f>
        <v>3.2934718195230315</v>
      </c>
      <c r="M9" s="1" t="s">
        <v>1051</v>
      </c>
      <c r="N9" t="s">
        <v>1063</v>
      </c>
      <c r="O9" t="s">
        <v>1052</v>
      </c>
      <c r="R9" s="10"/>
      <c r="T9" s="10"/>
    </row>
    <row r="10" spans="1:20" x14ac:dyDescent="0.2">
      <c r="A10" s="1" t="s">
        <v>1046</v>
      </c>
      <c r="B10" s="1" t="s">
        <v>1047</v>
      </c>
      <c r="C10">
        <v>5348</v>
      </c>
      <c r="D10" t="s">
        <v>44</v>
      </c>
      <c r="E10" s="1" t="s">
        <v>367</v>
      </c>
      <c r="F10" s="19" t="s">
        <v>1175</v>
      </c>
      <c r="G10" s="4">
        <v>4</v>
      </c>
      <c r="H10" s="4">
        <v>28</v>
      </c>
      <c r="I10" s="11">
        <f>(5*45.6*60+144.5*60)/5</f>
        <v>4470</v>
      </c>
      <c r="K10" s="12">
        <f t="shared" si="0"/>
        <v>3.6503075231319366</v>
      </c>
      <c r="L10" s="11">
        <f>GraphShigella!$B$10-(Shigella!H10-GraphShigella!$B$6)/GraphShigella!$B$5</f>
        <v>3.2934718195230315</v>
      </c>
      <c r="M10" s="1" t="s">
        <v>1051</v>
      </c>
      <c r="N10" t="s">
        <v>1063</v>
      </c>
      <c r="O10" t="s">
        <v>1052</v>
      </c>
      <c r="R10" s="10"/>
      <c r="T10" s="10"/>
    </row>
    <row r="11" spans="1:20" x14ac:dyDescent="0.2">
      <c r="A11" s="1" t="s">
        <v>1046</v>
      </c>
      <c r="B11" s="1" t="s">
        <v>1047</v>
      </c>
      <c r="C11">
        <v>5348</v>
      </c>
      <c r="D11" t="s">
        <v>44</v>
      </c>
      <c r="E11" s="1" t="s">
        <v>367</v>
      </c>
      <c r="F11" s="19" t="s">
        <v>1048</v>
      </c>
      <c r="G11" s="4">
        <v>4</v>
      </c>
      <c r="H11" s="4">
        <v>28</v>
      </c>
      <c r="I11" s="11">
        <f>(5*47.6*60+129.2*60)/5</f>
        <v>4406.3999999999996</v>
      </c>
      <c r="K11" s="12">
        <f t="shared" si="0"/>
        <v>3.6440839185768295</v>
      </c>
      <c r="L11" s="11">
        <f>GraphShigella!$B$10-(Shigella!H11-GraphShigella!$B$6)/GraphShigella!$B$5</f>
        <v>3.2934718195230315</v>
      </c>
      <c r="M11" s="1" t="s">
        <v>1051</v>
      </c>
      <c r="N11" t="s">
        <v>1063</v>
      </c>
      <c r="O11" t="s">
        <v>1052</v>
      </c>
      <c r="R11" s="10"/>
      <c r="T11" s="10"/>
    </row>
    <row r="12" spans="1:20" x14ac:dyDescent="0.2">
      <c r="A12" s="1" t="s">
        <v>1046</v>
      </c>
      <c r="B12" s="1" t="s">
        <v>1047</v>
      </c>
      <c r="C12">
        <v>5348</v>
      </c>
      <c r="D12" t="s">
        <v>44</v>
      </c>
      <c r="E12" s="1" t="s">
        <v>367</v>
      </c>
      <c r="F12" s="19" t="s">
        <v>1049</v>
      </c>
      <c r="G12" s="4">
        <v>4</v>
      </c>
      <c r="H12" s="4">
        <v>28</v>
      </c>
      <c r="I12" s="11">
        <f>87.3*60</f>
        <v>5238</v>
      </c>
      <c r="K12" s="12">
        <f t="shared" si="0"/>
        <v>3.7191654940892134</v>
      </c>
      <c r="L12" s="11">
        <f>GraphShigella!$B$10-(Shigella!H12-GraphShigella!$B$6)/GraphShigella!$B$5</f>
        <v>3.2934718195230315</v>
      </c>
      <c r="M12" s="1" t="s">
        <v>1051</v>
      </c>
      <c r="N12" t="s">
        <v>1063</v>
      </c>
      <c r="R12" s="10"/>
      <c r="T12" s="10"/>
    </row>
    <row r="13" spans="1:20" x14ac:dyDescent="0.2">
      <c r="A13" s="1" t="s">
        <v>1046</v>
      </c>
      <c r="B13" s="1" t="s">
        <v>1047</v>
      </c>
      <c r="C13">
        <v>5348</v>
      </c>
      <c r="D13" t="s">
        <v>44</v>
      </c>
      <c r="E13" s="1" t="s">
        <v>367</v>
      </c>
      <c r="F13" s="19" t="s">
        <v>1049</v>
      </c>
      <c r="G13" s="4">
        <v>5</v>
      </c>
      <c r="H13" s="4">
        <v>28</v>
      </c>
      <c r="I13" s="11">
        <f>86.2*60</f>
        <v>5172</v>
      </c>
      <c r="K13" s="12">
        <f t="shared" si="0"/>
        <v>3.7136585162083566</v>
      </c>
      <c r="L13" s="11">
        <f>GraphShigella!$B$10-(Shigella!H13-GraphShigella!$B$6)/GraphShigella!$B$5</f>
        <v>3.2934718195230315</v>
      </c>
      <c r="M13" s="1" t="s">
        <v>1051</v>
      </c>
      <c r="N13" t="s">
        <v>1063</v>
      </c>
      <c r="R13" s="10"/>
      <c r="T13" s="10"/>
    </row>
    <row r="14" spans="1:20" x14ac:dyDescent="0.2">
      <c r="A14" s="1" t="s">
        <v>1046</v>
      </c>
      <c r="B14" s="1" t="s">
        <v>1047</v>
      </c>
      <c r="C14">
        <v>5348</v>
      </c>
      <c r="D14" t="s">
        <v>44</v>
      </c>
      <c r="E14" s="1" t="s">
        <v>367</v>
      </c>
      <c r="F14" s="19" t="s">
        <v>1050</v>
      </c>
      <c r="G14" s="4">
        <v>5</v>
      </c>
      <c r="H14" s="4">
        <v>28</v>
      </c>
      <c r="I14" s="11">
        <f>72.2*60</f>
        <v>4332</v>
      </c>
      <c r="K14" s="12">
        <f t="shared" si="0"/>
        <v>3.6366884479532828</v>
      </c>
      <c r="L14" s="11">
        <f>GraphShigella!$B$10-(Shigella!H14-GraphShigella!$B$6)/GraphShigella!$B$5</f>
        <v>3.2934718195230315</v>
      </c>
      <c r="M14" s="1" t="s">
        <v>1051</v>
      </c>
      <c r="N14" t="s">
        <v>1063</v>
      </c>
      <c r="R14" s="10"/>
      <c r="T14" s="10"/>
    </row>
    <row r="15" spans="1:20" x14ac:dyDescent="0.2">
      <c r="A15" s="1" t="s">
        <v>1046</v>
      </c>
      <c r="B15" s="1" t="s">
        <v>1047</v>
      </c>
      <c r="C15">
        <v>5348</v>
      </c>
      <c r="D15" t="s">
        <v>44</v>
      </c>
      <c r="E15" s="1" t="s">
        <v>367</v>
      </c>
      <c r="F15" s="19" t="s">
        <v>1050</v>
      </c>
      <c r="G15" s="4">
        <v>6</v>
      </c>
      <c r="H15" s="4">
        <v>28</v>
      </c>
      <c r="I15" s="11">
        <f>128.5*60</f>
        <v>7710</v>
      </c>
      <c r="K15" s="12">
        <f t="shared" si="0"/>
        <v>3.8870543780509568</v>
      </c>
      <c r="L15" s="11">
        <f>GraphShigella!$B$10-(Shigella!H15-GraphShigella!$B$6)/GraphShigella!$B$5</f>
        <v>3.2934718195230315</v>
      </c>
      <c r="M15" s="1" t="s">
        <v>1051</v>
      </c>
      <c r="N15" t="s">
        <v>1063</v>
      </c>
      <c r="R15" s="10"/>
      <c r="T15" s="10"/>
    </row>
    <row r="16" spans="1:20" x14ac:dyDescent="0.2">
      <c r="A16" s="1" t="s">
        <v>1046</v>
      </c>
      <c r="B16" s="1" t="s">
        <v>1047</v>
      </c>
      <c r="C16">
        <v>5348</v>
      </c>
      <c r="D16" t="s">
        <v>44</v>
      </c>
      <c r="E16" s="1" t="s">
        <v>367</v>
      </c>
      <c r="F16" s="19" t="s">
        <v>1091</v>
      </c>
      <c r="G16" s="4">
        <v>4</v>
      </c>
      <c r="H16" s="4">
        <v>19</v>
      </c>
      <c r="I16" s="11">
        <f>(5*50.3*60+267.5*60)/5</f>
        <v>6228</v>
      </c>
      <c r="K16" s="12">
        <f t="shared" si="0"/>
        <v>3.7943486038960827</v>
      </c>
      <c r="L16" s="11">
        <f>GraphShigella!$B$10-(Shigella!H16-GraphShigella!$B$6)/GraphShigella!$B$5</f>
        <v>3.7162943478708006</v>
      </c>
      <c r="M16" s="1" t="s">
        <v>1051</v>
      </c>
      <c r="N16" t="s">
        <v>1063</v>
      </c>
      <c r="O16" t="s">
        <v>1052</v>
      </c>
      <c r="R16" s="10"/>
      <c r="T16" s="10"/>
    </row>
    <row r="17" spans="1:20" x14ac:dyDescent="0.2">
      <c r="A17" s="1" t="s">
        <v>1046</v>
      </c>
      <c r="B17" s="1" t="s">
        <v>1047</v>
      </c>
      <c r="C17">
        <v>5348</v>
      </c>
      <c r="D17" t="s">
        <v>44</v>
      </c>
      <c r="E17" s="1" t="s">
        <v>367</v>
      </c>
      <c r="F17" s="19" t="s">
        <v>1175</v>
      </c>
      <c r="G17" s="4">
        <v>4</v>
      </c>
      <c r="H17" s="4">
        <v>19</v>
      </c>
      <c r="I17" s="11">
        <f>(5*106.2*60+310.4*60)/5</f>
        <v>10096.799999999999</v>
      </c>
      <c r="K17" s="12">
        <f t="shared" si="0"/>
        <v>4.0041837537286025</v>
      </c>
      <c r="L17" s="11">
        <f>GraphShigella!$B$10-(Shigella!H17-GraphShigella!$B$6)/GraphShigella!$B$5</f>
        <v>3.7162943478708006</v>
      </c>
      <c r="M17" s="1" t="s">
        <v>1051</v>
      </c>
      <c r="N17" t="s">
        <v>1063</v>
      </c>
      <c r="O17" t="s">
        <v>1052</v>
      </c>
      <c r="R17" s="10"/>
      <c r="T17" s="10"/>
    </row>
    <row r="18" spans="1:20" x14ac:dyDescent="0.2">
      <c r="A18" s="1" t="s">
        <v>1046</v>
      </c>
      <c r="B18" s="1" t="s">
        <v>1047</v>
      </c>
      <c r="C18">
        <v>5348</v>
      </c>
      <c r="D18" t="s">
        <v>44</v>
      </c>
      <c r="E18" s="1" t="s">
        <v>367</v>
      </c>
      <c r="F18" s="19" t="s">
        <v>1048</v>
      </c>
      <c r="G18" s="4">
        <v>4</v>
      </c>
      <c r="H18" s="4">
        <v>19</v>
      </c>
      <c r="I18" s="11">
        <f>(5*106.8*60+128.5*60)/5</f>
        <v>7950</v>
      </c>
      <c r="K18" s="12">
        <f t="shared" si="0"/>
        <v>3.9003671286564705</v>
      </c>
      <c r="L18" s="11">
        <f>GraphShigella!$B$10-(Shigella!H18-GraphShigella!$B$6)/GraphShigella!$B$5</f>
        <v>3.7162943478708006</v>
      </c>
      <c r="M18" s="1" t="s">
        <v>1051</v>
      </c>
      <c r="N18" t="s">
        <v>1063</v>
      </c>
      <c r="O18" t="s">
        <v>1052</v>
      </c>
      <c r="R18" s="10"/>
      <c r="T18" s="10"/>
    </row>
    <row r="19" spans="1:20" x14ac:dyDescent="0.2">
      <c r="A19" s="1" t="s">
        <v>1046</v>
      </c>
      <c r="B19" s="1" t="s">
        <v>1047</v>
      </c>
      <c r="C19">
        <v>5348</v>
      </c>
      <c r="D19" t="s">
        <v>44</v>
      </c>
      <c r="E19" s="1" t="s">
        <v>367</v>
      </c>
      <c r="F19" s="19" t="s">
        <v>1049</v>
      </c>
      <c r="G19" s="4">
        <v>4</v>
      </c>
      <c r="H19" s="4">
        <v>19</v>
      </c>
      <c r="I19" s="11">
        <f>(5*99.6*60+29.9*60)/5</f>
        <v>6334.8</v>
      </c>
      <c r="K19" s="12">
        <f t="shared" si="0"/>
        <v>3.8017329080485833</v>
      </c>
      <c r="L19" s="11">
        <f>GraphShigella!$B$10-(Shigella!H19-GraphShigella!$B$6)/GraphShigella!$B$5</f>
        <v>3.7162943478708006</v>
      </c>
      <c r="M19" s="1" t="s">
        <v>1051</v>
      </c>
      <c r="N19" t="s">
        <v>1063</v>
      </c>
      <c r="O19" t="s">
        <v>1052</v>
      </c>
      <c r="R19" s="10"/>
      <c r="T19" s="10"/>
    </row>
    <row r="20" spans="1:20" x14ac:dyDescent="0.2">
      <c r="A20" s="1" t="s">
        <v>1046</v>
      </c>
      <c r="B20" s="1" t="s">
        <v>1047</v>
      </c>
      <c r="C20">
        <v>5348</v>
      </c>
      <c r="D20" t="s">
        <v>44</v>
      </c>
      <c r="E20" s="1" t="s">
        <v>367</v>
      </c>
      <c r="F20" s="19" t="s">
        <v>1050</v>
      </c>
      <c r="G20" s="4">
        <v>4</v>
      </c>
      <c r="H20" s="4">
        <v>19</v>
      </c>
      <c r="I20" s="11">
        <f>18.8*60</f>
        <v>1128</v>
      </c>
      <c r="K20" s="12">
        <f t="shared" si="0"/>
        <v>3.0523090996473234</v>
      </c>
      <c r="L20" s="11">
        <f>GraphShigella!$B$10-(Shigella!H20-GraphShigella!$B$6)/GraphShigella!$B$5</f>
        <v>3.7162943478708006</v>
      </c>
      <c r="M20" s="1" t="s">
        <v>1051</v>
      </c>
      <c r="N20" t="s">
        <v>1063</v>
      </c>
      <c r="R20" s="10"/>
      <c r="T20" s="10"/>
    </row>
    <row r="21" spans="1:20" x14ac:dyDescent="0.2">
      <c r="A21" s="1" t="s">
        <v>1046</v>
      </c>
      <c r="B21" s="1" t="s">
        <v>1047</v>
      </c>
      <c r="C21">
        <v>5348</v>
      </c>
      <c r="D21" t="s">
        <v>44</v>
      </c>
      <c r="E21" s="1" t="s">
        <v>367</v>
      </c>
      <c r="F21" s="19" t="s">
        <v>1049</v>
      </c>
      <c r="G21" s="4">
        <v>5</v>
      </c>
      <c r="H21" s="4">
        <v>19</v>
      </c>
      <c r="I21" s="11">
        <f>192.2*60</f>
        <v>11532</v>
      </c>
      <c r="K21" s="12">
        <f t="shared" si="0"/>
        <v>4.0619046337161704</v>
      </c>
      <c r="L21" s="11">
        <f>GraphShigella!$B$10-(Shigella!H21-GraphShigella!$B$6)/GraphShigella!$B$5</f>
        <v>3.7162943478708006</v>
      </c>
      <c r="M21" s="1" t="s">
        <v>1051</v>
      </c>
      <c r="N21" t="s">
        <v>1063</v>
      </c>
      <c r="R21" s="10"/>
      <c r="T21" s="10"/>
    </row>
    <row r="22" spans="1:20" x14ac:dyDescent="0.2">
      <c r="A22" s="1" t="s">
        <v>1046</v>
      </c>
      <c r="B22" s="1" t="s">
        <v>1047</v>
      </c>
      <c r="C22">
        <v>5348</v>
      </c>
      <c r="D22" t="s">
        <v>44</v>
      </c>
      <c r="E22" s="1" t="s">
        <v>367</v>
      </c>
      <c r="F22" s="19" t="s">
        <v>1050</v>
      </c>
      <c r="G22" s="4">
        <v>5</v>
      </c>
      <c r="H22" s="4">
        <v>19</v>
      </c>
      <c r="I22" s="11">
        <f>123*60</f>
        <v>7380</v>
      </c>
      <c r="K22" s="12">
        <f t="shared" si="0"/>
        <v>3.8680563618230415</v>
      </c>
      <c r="L22" s="11">
        <f>GraphShigella!$B$10-(Shigella!H22-GraphShigella!$B$6)/GraphShigella!$B$5</f>
        <v>3.7162943478708006</v>
      </c>
      <c r="M22" s="1" t="s">
        <v>1051</v>
      </c>
      <c r="N22" t="s">
        <v>1063</v>
      </c>
      <c r="R22" s="10"/>
      <c r="T22" s="10"/>
    </row>
    <row r="23" spans="1:20" x14ac:dyDescent="0.2">
      <c r="A23" s="1" t="s">
        <v>1046</v>
      </c>
      <c r="B23" s="1" t="s">
        <v>1047</v>
      </c>
      <c r="C23">
        <v>5348</v>
      </c>
      <c r="D23" t="s">
        <v>44</v>
      </c>
      <c r="E23" s="1" t="s">
        <v>367</v>
      </c>
      <c r="F23" s="19" t="s">
        <v>1050</v>
      </c>
      <c r="G23" s="4">
        <v>6</v>
      </c>
      <c r="H23" s="4">
        <v>19</v>
      </c>
      <c r="I23" s="11">
        <f>267.4*60</f>
        <v>16043.999999999998</v>
      </c>
      <c r="K23" s="12">
        <f t="shared" si="0"/>
        <v>4.2053126533096092</v>
      </c>
      <c r="L23" s="11">
        <f>GraphShigella!$B$10-(Shigella!H23-GraphShigella!$B$6)/GraphShigella!$B$5</f>
        <v>3.7162943478708006</v>
      </c>
      <c r="M23" s="1" t="s">
        <v>1051</v>
      </c>
      <c r="N23" t="s">
        <v>1063</v>
      </c>
      <c r="R23" s="10"/>
      <c r="T23" s="10"/>
    </row>
    <row r="24" spans="1:20" x14ac:dyDescent="0.2">
      <c r="A24" s="1" t="s">
        <v>1046</v>
      </c>
      <c r="B24" s="1" t="s">
        <v>1047</v>
      </c>
      <c r="C24">
        <v>5348</v>
      </c>
      <c r="D24" t="s">
        <v>44</v>
      </c>
      <c r="E24" s="1" t="s">
        <v>367</v>
      </c>
      <c r="F24" s="19" t="s">
        <v>1091</v>
      </c>
      <c r="G24" s="4">
        <v>4</v>
      </c>
      <c r="H24" s="4">
        <v>12</v>
      </c>
      <c r="I24" s="11">
        <f>(5*172.1*60+701.8*60)/5</f>
        <v>18747.599999999999</v>
      </c>
      <c r="K24" s="12">
        <f t="shared" si="0"/>
        <v>4.2729456788120102</v>
      </c>
      <c r="L24" s="11">
        <f>GraphShigella!$B$10-(Shigella!H24-GraphShigella!$B$6)/GraphShigella!$B$5</f>
        <v>4.0451563143635099</v>
      </c>
      <c r="M24" s="1" t="s">
        <v>1051</v>
      </c>
      <c r="N24" t="s">
        <v>1063</v>
      </c>
      <c r="O24" t="s">
        <v>1052</v>
      </c>
      <c r="R24" s="10"/>
      <c r="T24" s="10"/>
    </row>
    <row r="25" spans="1:20" x14ac:dyDescent="0.2">
      <c r="A25" s="1" t="s">
        <v>1046</v>
      </c>
      <c r="B25" s="1" t="s">
        <v>1047</v>
      </c>
      <c r="C25">
        <v>5348</v>
      </c>
      <c r="D25" t="s">
        <v>44</v>
      </c>
      <c r="E25" s="1" t="s">
        <v>367</v>
      </c>
      <c r="F25" s="19" t="s">
        <v>1175</v>
      </c>
      <c r="G25" s="4">
        <v>4</v>
      </c>
      <c r="H25" s="4">
        <v>12</v>
      </c>
      <c r="I25" s="11">
        <f>(5*186.4*60+1032.6*60)/5</f>
        <v>23575.200000000001</v>
      </c>
      <c r="K25" s="12">
        <f t="shared" si="0"/>
        <v>4.3724553857583777</v>
      </c>
      <c r="L25" s="11">
        <f>GraphShigella!$B$10-(Shigella!H25-GraphShigella!$B$6)/GraphShigella!$B$5</f>
        <v>4.0451563143635099</v>
      </c>
      <c r="M25" s="1" t="s">
        <v>1051</v>
      </c>
      <c r="N25" t="s">
        <v>1063</v>
      </c>
      <c r="O25" t="s">
        <v>1052</v>
      </c>
      <c r="R25" s="10"/>
      <c r="T25" s="10"/>
    </row>
    <row r="26" spans="1:20" x14ac:dyDescent="0.2">
      <c r="A26" s="1" t="s">
        <v>1046</v>
      </c>
      <c r="B26" s="1" t="s">
        <v>1047</v>
      </c>
      <c r="C26">
        <v>5348</v>
      </c>
      <c r="D26" t="s">
        <v>44</v>
      </c>
      <c r="E26" s="1" t="s">
        <v>367</v>
      </c>
      <c r="F26" s="19" t="s">
        <v>1048</v>
      </c>
      <c r="G26" s="4">
        <v>4</v>
      </c>
      <c r="H26" s="4">
        <v>12</v>
      </c>
      <c r="I26" s="11">
        <f>(5*224.5*60+231.4*60)/5</f>
        <v>16246.8</v>
      </c>
      <c r="K26" s="12">
        <f t="shared" si="0"/>
        <v>4.2107678342874335</v>
      </c>
      <c r="L26" s="11">
        <f>GraphShigella!$B$10-(Shigella!H26-GraphShigella!$B$6)/GraphShigella!$B$5</f>
        <v>4.0451563143635099</v>
      </c>
      <c r="M26" s="1" t="s">
        <v>1051</v>
      </c>
      <c r="N26" t="s">
        <v>1063</v>
      </c>
      <c r="O26" t="s">
        <v>1052</v>
      </c>
      <c r="R26" s="10"/>
      <c r="T26" s="10"/>
    </row>
    <row r="27" spans="1:20" x14ac:dyDescent="0.2">
      <c r="A27" s="1" t="s">
        <v>1046</v>
      </c>
      <c r="B27" s="1" t="s">
        <v>1047</v>
      </c>
      <c r="C27">
        <v>5348</v>
      </c>
      <c r="D27" t="s">
        <v>44</v>
      </c>
      <c r="E27" s="1" t="s">
        <v>367</v>
      </c>
      <c r="F27" s="19" t="s">
        <v>1049</v>
      </c>
      <c r="G27" s="4">
        <v>4</v>
      </c>
      <c r="H27" s="4">
        <v>12</v>
      </c>
      <c r="I27" s="11">
        <f>(5*266.1*60+532.8*60)/5</f>
        <v>22359.599999999999</v>
      </c>
      <c r="K27" s="12">
        <f t="shared" si="0"/>
        <v>4.3494640300128378</v>
      </c>
      <c r="L27" s="11">
        <f>GraphShigella!$B$10-(Shigella!H27-GraphShigella!$B$6)/GraphShigella!$B$5</f>
        <v>4.0451563143635099</v>
      </c>
      <c r="M27" s="1" t="s">
        <v>1051</v>
      </c>
      <c r="N27" t="s">
        <v>1063</v>
      </c>
      <c r="R27" s="10"/>
      <c r="T27" s="10"/>
    </row>
    <row r="28" spans="1:20" x14ac:dyDescent="0.2">
      <c r="A28" s="1" t="s">
        <v>1046</v>
      </c>
      <c r="B28" s="1" t="s">
        <v>1047</v>
      </c>
      <c r="C28">
        <v>5348</v>
      </c>
      <c r="D28" t="s">
        <v>44</v>
      </c>
      <c r="E28" s="1" t="s">
        <v>367</v>
      </c>
      <c r="F28" s="19" t="s">
        <v>1056</v>
      </c>
      <c r="G28" s="4">
        <v>4</v>
      </c>
      <c r="H28" s="4">
        <v>37</v>
      </c>
      <c r="I28" s="11">
        <f>(5*9.1*60+28*60)/5</f>
        <v>882</v>
      </c>
      <c r="K28" s="12">
        <f>LOG(I28)</f>
        <v>2.9454685851318199</v>
      </c>
      <c r="L28" s="11">
        <f>GraphShigella!$B$10-(Shigella!H28-GraphShigella!$B$6)/GraphShigella!$B$5</f>
        <v>2.8706492911752619</v>
      </c>
      <c r="M28" s="1" t="s">
        <v>1051</v>
      </c>
      <c r="N28" t="s">
        <v>1062</v>
      </c>
      <c r="O28" t="s">
        <v>1052</v>
      </c>
      <c r="R28" s="10"/>
      <c r="T28" s="10"/>
    </row>
    <row r="29" spans="1:20" x14ac:dyDescent="0.2">
      <c r="A29" s="1" t="s">
        <v>1046</v>
      </c>
      <c r="B29" s="1" t="s">
        <v>1047</v>
      </c>
      <c r="C29">
        <v>5348</v>
      </c>
      <c r="D29" t="s">
        <v>44</v>
      </c>
      <c r="E29" s="1" t="s">
        <v>367</v>
      </c>
      <c r="F29" s="19" t="s">
        <v>1057</v>
      </c>
      <c r="G29" s="4">
        <v>4</v>
      </c>
      <c r="H29" s="4">
        <v>37</v>
      </c>
      <c r="I29" s="11">
        <f>(5*7.4*60+17.2*60)/5</f>
        <v>650.4</v>
      </c>
      <c r="K29" s="12">
        <f t="shared" ref="K29:K45" si="1">LOG(I29)</f>
        <v>2.8131805325860118</v>
      </c>
      <c r="L29" s="11">
        <f>GraphShigella!$B$10-(Shigella!H29-GraphShigella!$B$6)/GraphShigella!$B$5</f>
        <v>2.8706492911752619</v>
      </c>
      <c r="M29" s="1" t="s">
        <v>1051</v>
      </c>
      <c r="N29" t="s">
        <v>1062</v>
      </c>
      <c r="O29" t="s">
        <v>1052</v>
      </c>
      <c r="R29" s="10"/>
      <c r="T29" s="10"/>
    </row>
    <row r="30" spans="1:20" x14ac:dyDescent="0.2">
      <c r="A30" s="1" t="s">
        <v>1046</v>
      </c>
      <c r="B30" s="1" t="s">
        <v>1047</v>
      </c>
      <c r="C30">
        <v>5348</v>
      </c>
      <c r="D30" t="s">
        <v>44</v>
      </c>
      <c r="E30" s="1" t="s">
        <v>367</v>
      </c>
      <c r="F30" s="19" t="s">
        <v>1058</v>
      </c>
      <c r="G30" s="4">
        <v>4</v>
      </c>
      <c r="H30" s="4">
        <v>37</v>
      </c>
      <c r="I30" s="11">
        <f>(5*5.8*60+27*60)/5</f>
        <v>672</v>
      </c>
      <c r="K30" s="12">
        <f t="shared" si="1"/>
        <v>2.8273692730538253</v>
      </c>
      <c r="L30" s="11">
        <f>GraphShigella!$B$10-(Shigella!H30-GraphShigella!$B$6)/GraphShigella!$B$5</f>
        <v>2.8706492911752619</v>
      </c>
      <c r="M30" s="1" t="s">
        <v>1051</v>
      </c>
      <c r="N30" t="s">
        <v>1062</v>
      </c>
      <c r="O30" t="s">
        <v>1052</v>
      </c>
      <c r="R30" s="10"/>
      <c r="T30" s="10"/>
    </row>
    <row r="31" spans="1:20" x14ac:dyDescent="0.2">
      <c r="A31" s="1" t="s">
        <v>1046</v>
      </c>
      <c r="B31" s="1" t="s">
        <v>1047</v>
      </c>
      <c r="C31">
        <v>5348</v>
      </c>
      <c r="D31" t="s">
        <v>44</v>
      </c>
      <c r="E31" s="1" t="s">
        <v>367</v>
      </c>
      <c r="F31" s="19" t="s">
        <v>1059</v>
      </c>
      <c r="G31" s="4">
        <v>4</v>
      </c>
      <c r="H31" s="4">
        <v>37</v>
      </c>
      <c r="I31" s="11">
        <f>(5*4.4*60+16.7*60)/5</f>
        <v>464.4</v>
      </c>
      <c r="K31" s="12">
        <f t="shared" si="1"/>
        <v>2.6668922110665361</v>
      </c>
      <c r="L31" s="11">
        <f>GraphShigella!$B$10-(Shigella!H31-GraphShigella!$B$6)/GraphShigella!$B$5</f>
        <v>2.8706492911752619</v>
      </c>
      <c r="M31" s="1" t="s">
        <v>1051</v>
      </c>
      <c r="N31" t="s">
        <v>1062</v>
      </c>
      <c r="O31" t="s">
        <v>1052</v>
      </c>
      <c r="R31" s="10"/>
      <c r="T31" s="10"/>
    </row>
    <row r="32" spans="1:20" x14ac:dyDescent="0.2">
      <c r="A32" s="1" t="s">
        <v>1046</v>
      </c>
      <c r="B32" s="1" t="s">
        <v>1047</v>
      </c>
      <c r="C32">
        <v>5348</v>
      </c>
      <c r="D32" t="s">
        <v>44</v>
      </c>
      <c r="E32" s="1" t="s">
        <v>367</v>
      </c>
      <c r="F32" s="19" t="s">
        <v>1061</v>
      </c>
      <c r="G32" s="4">
        <v>4</v>
      </c>
      <c r="H32" s="4">
        <v>37</v>
      </c>
      <c r="I32" s="11">
        <f>(5*7.6*60+28*60)/5</f>
        <v>792</v>
      </c>
      <c r="K32" s="12">
        <f t="shared" si="1"/>
        <v>2.8987251815894934</v>
      </c>
      <c r="L32" s="11">
        <f>GraphShigella!$B$10-(Shigella!H32-GraphShigella!$B$6)/GraphShigella!$B$5</f>
        <v>2.8706492911752619</v>
      </c>
      <c r="M32" s="1" t="s">
        <v>1051</v>
      </c>
      <c r="N32" t="s">
        <v>1062</v>
      </c>
      <c r="O32" t="s">
        <v>1052</v>
      </c>
      <c r="R32" s="10"/>
      <c r="T32" s="10"/>
    </row>
    <row r="33" spans="1:20" x14ac:dyDescent="0.2">
      <c r="A33" s="1" t="s">
        <v>1046</v>
      </c>
      <c r="B33" s="1" t="s">
        <v>1047</v>
      </c>
      <c r="C33">
        <v>5348</v>
      </c>
      <c r="D33" t="s">
        <v>44</v>
      </c>
      <c r="E33" s="1" t="s">
        <v>367</v>
      </c>
      <c r="F33" s="19" t="s">
        <v>1060</v>
      </c>
      <c r="G33" s="4">
        <v>4</v>
      </c>
      <c r="H33" s="4">
        <v>37</v>
      </c>
      <c r="I33" s="11">
        <f>(5*6.4*60+27.4*60)/5</f>
        <v>712.8</v>
      </c>
      <c r="K33" s="12">
        <f t="shared" si="1"/>
        <v>2.8529676910288182</v>
      </c>
      <c r="L33" s="11">
        <f>GraphShigella!$B$10-(Shigella!H33-GraphShigella!$B$6)/GraphShigella!$B$5</f>
        <v>2.8706492911752619</v>
      </c>
      <c r="M33" s="1" t="s">
        <v>1051</v>
      </c>
      <c r="N33" t="s">
        <v>1062</v>
      </c>
      <c r="O33" t="s">
        <v>1052</v>
      </c>
      <c r="R33" s="10"/>
      <c r="T33" s="10"/>
    </row>
    <row r="34" spans="1:20" x14ac:dyDescent="0.2">
      <c r="A34" s="1" t="s">
        <v>1046</v>
      </c>
      <c r="B34" s="1" t="s">
        <v>1047</v>
      </c>
      <c r="C34">
        <v>5348</v>
      </c>
      <c r="D34" t="s">
        <v>44</v>
      </c>
      <c r="E34" s="1" t="s">
        <v>367</v>
      </c>
      <c r="F34" s="19" t="s">
        <v>1056</v>
      </c>
      <c r="G34" s="4">
        <v>4</v>
      </c>
      <c r="H34" s="4">
        <v>28</v>
      </c>
      <c r="I34" s="11">
        <f>(5*26.9*60+123.8*60)/5</f>
        <v>3099.6</v>
      </c>
      <c r="K34" s="12">
        <f t="shared" si="1"/>
        <v>3.4913056522209418</v>
      </c>
      <c r="L34" s="11">
        <f>GraphShigella!$B$10-(Shigella!H34-GraphShigella!$B$6)/GraphShigella!$B$5</f>
        <v>3.2934718195230315</v>
      </c>
      <c r="M34" s="1" t="s">
        <v>1051</v>
      </c>
      <c r="N34" t="s">
        <v>1062</v>
      </c>
      <c r="O34" t="s">
        <v>1052</v>
      </c>
      <c r="R34" s="10"/>
      <c r="T34" s="10"/>
    </row>
    <row r="35" spans="1:20" x14ac:dyDescent="0.2">
      <c r="A35" s="1" t="s">
        <v>1046</v>
      </c>
      <c r="B35" s="1" t="s">
        <v>1047</v>
      </c>
      <c r="C35">
        <v>5348</v>
      </c>
      <c r="D35" t="s">
        <v>44</v>
      </c>
      <c r="E35" s="1" t="s">
        <v>367</v>
      </c>
      <c r="F35" s="19" t="s">
        <v>1057</v>
      </c>
      <c r="G35" s="4">
        <v>4</v>
      </c>
      <c r="H35" s="4">
        <v>28</v>
      </c>
      <c r="I35" s="11">
        <f>(5*13.8*60+66*60)/5</f>
        <v>1620</v>
      </c>
      <c r="K35" s="12">
        <f t="shared" si="1"/>
        <v>3.2095150145426308</v>
      </c>
      <c r="L35" s="11">
        <f>GraphShigella!$B$10-(Shigella!H35-GraphShigella!$B$6)/GraphShigella!$B$5</f>
        <v>3.2934718195230315</v>
      </c>
      <c r="M35" s="1" t="s">
        <v>1051</v>
      </c>
      <c r="N35" t="s">
        <v>1062</v>
      </c>
      <c r="O35" t="s">
        <v>1052</v>
      </c>
      <c r="R35" s="10"/>
      <c r="T35" s="10"/>
    </row>
    <row r="36" spans="1:20" x14ac:dyDescent="0.2">
      <c r="A36" s="1" t="s">
        <v>1046</v>
      </c>
      <c r="B36" s="1" t="s">
        <v>1047</v>
      </c>
      <c r="C36">
        <v>5348</v>
      </c>
      <c r="D36" t="s">
        <v>44</v>
      </c>
      <c r="E36" s="1" t="s">
        <v>367</v>
      </c>
      <c r="F36" s="19" t="s">
        <v>1058</v>
      </c>
      <c r="G36" s="4">
        <v>4</v>
      </c>
      <c r="H36" s="4">
        <v>28</v>
      </c>
      <c r="I36" s="11">
        <f>(5*15.4*60+76*60)/5</f>
        <v>1836</v>
      </c>
      <c r="K36" s="12">
        <f t="shared" si="1"/>
        <v>3.2638726768652235</v>
      </c>
      <c r="L36" s="11">
        <f>GraphShigella!$B$10-(Shigella!H36-GraphShigella!$B$6)/GraphShigella!$B$5</f>
        <v>3.2934718195230315</v>
      </c>
      <c r="M36" s="1" t="s">
        <v>1051</v>
      </c>
      <c r="N36" t="s">
        <v>1062</v>
      </c>
      <c r="O36" t="s">
        <v>1052</v>
      </c>
      <c r="R36" s="10"/>
      <c r="T36" s="10"/>
    </row>
    <row r="37" spans="1:20" x14ac:dyDescent="0.2">
      <c r="A37" s="1" t="s">
        <v>1046</v>
      </c>
      <c r="B37" s="1" t="s">
        <v>1047</v>
      </c>
      <c r="C37">
        <v>5348</v>
      </c>
      <c r="D37" t="s">
        <v>44</v>
      </c>
      <c r="E37" s="1" t="s">
        <v>367</v>
      </c>
      <c r="F37" s="19" t="s">
        <v>1059</v>
      </c>
      <c r="G37" s="4">
        <v>4</v>
      </c>
      <c r="H37" s="4">
        <v>28</v>
      </c>
      <c r="I37" s="11">
        <f>(5*14.3*60+44.7*60)/5</f>
        <v>1394.4</v>
      </c>
      <c r="K37" s="12">
        <f t="shared" si="1"/>
        <v>3.1443873741019366</v>
      </c>
      <c r="L37" s="11">
        <f>GraphShigella!$B$10-(Shigella!H37-GraphShigella!$B$6)/GraphShigella!$B$5</f>
        <v>3.2934718195230315</v>
      </c>
      <c r="M37" s="1" t="s">
        <v>1051</v>
      </c>
      <c r="N37" t="s">
        <v>1062</v>
      </c>
      <c r="O37" t="s">
        <v>1052</v>
      </c>
      <c r="R37" s="10"/>
      <c r="T37" s="10"/>
    </row>
    <row r="38" spans="1:20" x14ac:dyDescent="0.2">
      <c r="A38" s="1" t="s">
        <v>1046</v>
      </c>
      <c r="B38" s="1" t="s">
        <v>1047</v>
      </c>
      <c r="C38">
        <v>5348</v>
      </c>
      <c r="D38" t="s">
        <v>44</v>
      </c>
      <c r="E38" s="1" t="s">
        <v>367</v>
      </c>
      <c r="F38" s="19" t="s">
        <v>1061</v>
      </c>
      <c r="G38" s="4">
        <v>4</v>
      </c>
      <c r="H38" s="4">
        <v>28</v>
      </c>
      <c r="I38" s="11">
        <f>(5*13.6*60+101.2*60)/5</f>
        <v>2030.4</v>
      </c>
      <c r="K38" s="12">
        <f t="shared" si="1"/>
        <v>3.3075816047506295</v>
      </c>
      <c r="L38" s="11">
        <f>GraphShigella!$B$10-(Shigella!H38-GraphShigella!$B$6)/GraphShigella!$B$5</f>
        <v>3.2934718195230315</v>
      </c>
      <c r="M38" s="1" t="s">
        <v>1051</v>
      </c>
      <c r="N38" t="s">
        <v>1062</v>
      </c>
      <c r="O38" t="s">
        <v>1052</v>
      </c>
      <c r="R38" s="10"/>
      <c r="T38" s="10"/>
    </row>
    <row r="39" spans="1:20" x14ac:dyDescent="0.2">
      <c r="A39" s="1" t="s">
        <v>1046</v>
      </c>
      <c r="B39" s="1" t="s">
        <v>1047</v>
      </c>
      <c r="C39">
        <v>5348</v>
      </c>
      <c r="D39" t="s">
        <v>44</v>
      </c>
      <c r="E39" s="1" t="s">
        <v>367</v>
      </c>
      <c r="F39" s="19" t="s">
        <v>1060</v>
      </c>
      <c r="G39" s="4">
        <v>4</v>
      </c>
      <c r="H39" s="4">
        <v>28</v>
      </c>
      <c r="I39" s="11">
        <f>(5*18.7*60+91.6*60)/5</f>
        <v>2221.1999999999998</v>
      </c>
      <c r="K39" s="12">
        <f t="shared" si="1"/>
        <v>3.3465876648005288</v>
      </c>
      <c r="L39" s="11">
        <f>GraphShigella!$B$10-(Shigella!H39-GraphShigella!$B$6)/GraphShigella!$B$5</f>
        <v>3.2934718195230315</v>
      </c>
      <c r="M39" s="1" t="s">
        <v>1051</v>
      </c>
      <c r="N39" t="s">
        <v>1062</v>
      </c>
      <c r="O39" t="s">
        <v>1052</v>
      </c>
      <c r="R39" s="10"/>
      <c r="T39" s="10"/>
    </row>
    <row r="40" spans="1:20" x14ac:dyDescent="0.2">
      <c r="A40" s="1" t="s">
        <v>1046</v>
      </c>
      <c r="B40" s="1" t="s">
        <v>1047</v>
      </c>
      <c r="C40">
        <v>5348</v>
      </c>
      <c r="D40" t="s">
        <v>44</v>
      </c>
      <c r="E40" s="1" t="s">
        <v>367</v>
      </c>
      <c r="F40" s="19" t="s">
        <v>1056</v>
      </c>
      <c r="G40" s="4">
        <v>4</v>
      </c>
      <c r="H40" s="4">
        <v>19</v>
      </c>
      <c r="I40" s="11">
        <f>(5*66.5*60+312.3*60)/5</f>
        <v>7737.6</v>
      </c>
      <c r="K40" s="12">
        <f t="shared" si="1"/>
        <v>3.8886062748446593</v>
      </c>
      <c r="L40" s="11">
        <f>GraphShigella!$B$10-(Shigella!H40-GraphShigella!$B$6)/GraphShigella!$B$5</f>
        <v>3.7162943478708006</v>
      </c>
      <c r="M40" s="1" t="s">
        <v>1051</v>
      </c>
      <c r="N40" t="s">
        <v>1062</v>
      </c>
      <c r="O40" t="s">
        <v>1052</v>
      </c>
      <c r="R40" s="10"/>
      <c r="T40" s="10"/>
    </row>
    <row r="41" spans="1:20" x14ac:dyDescent="0.2">
      <c r="A41" s="1" t="s">
        <v>1046</v>
      </c>
      <c r="B41" s="1" t="s">
        <v>1047</v>
      </c>
      <c r="C41">
        <v>5348</v>
      </c>
      <c r="D41" t="s">
        <v>44</v>
      </c>
      <c r="E41" s="1" t="s">
        <v>367</v>
      </c>
      <c r="F41" s="19" t="s">
        <v>1057</v>
      </c>
      <c r="G41" s="4">
        <v>4</v>
      </c>
      <c r="H41" s="4">
        <v>19</v>
      </c>
      <c r="I41" s="11">
        <f>(5*52.9*60+243*60)/5</f>
        <v>6090</v>
      </c>
      <c r="K41" s="12">
        <f t="shared" si="1"/>
        <v>3.7846172926328752</v>
      </c>
      <c r="L41" s="11">
        <f>GraphShigella!$B$10-(Shigella!H41-GraphShigella!$B$6)/GraphShigella!$B$5</f>
        <v>3.7162943478708006</v>
      </c>
      <c r="M41" s="1" t="s">
        <v>1051</v>
      </c>
      <c r="N41" t="s">
        <v>1062</v>
      </c>
      <c r="O41" t="s">
        <v>1052</v>
      </c>
      <c r="R41" s="10"/>
      <c r="T41" s="10"/>
    </row>
    <row r="42" spans="1:20" x14ac:dyDescent="0.2">
      <c r="A42" s="1" t="s">
        <v>1046</v>
      </c>
      <c r="B42" s="1" t="s">
        <v>1047</v>
      </c>
      <c r="C42">
        <v>5348</v>
      </c>
      <c r="D42" t="s">
        <v>44</v>
      </c>
      <c r="E42" s="1" t="s">
        <v>367</v>
      </c>
      <c r="F42" s="19" t="s">
        <v>1058</v>
      </c>
      <c r="G42" s="4">
        <v>4</v>
      </c>
      <c r="H42" s="4">
        <v>19</v>
      </c>
      <c r="I42" s="11">
        <f>(5*44.1*60+299.6*60)/5</f>
        <v>6241.2</v>
      </c>
      <c r="K42" s="12">
        <f t="shared" si="1"/>
        <v>3.7952680998224571</v>
      </c>
      <c r="L42" s="11">
        <f>GraphShigella!$B$10-(Shigella!H42-GraphShigella!$B$6)/GraphShigella!$B$5</f>
        <v>3.7162943478708006</v>
      </c>
      <c r="M42" s="1" t="s">
        <v>1051</v>
      </c>
      <c r="N42" t="s">
        <v>1062</v>
      </c>
      <c r="O42" t="s">
        <v>1052</v>
      </c>
      <c r="R42" s="10"/>
      <c r="T42" s="10"/>
    </row>
    <row r="43" spans="1:20" x14ac:dyDescent="0.2">
      <c r="A43" s="1" t="s">
        <v>1046</v>
      </c>
      <c r="B43" s="1" t="s">
        <v>1047</v>
      </c>
      <c r="C43">
        <v>5348</v>
      </c>
      <c r="D43" t="s">
        <v>44</v>
      </c>
      <c r="E43" s="1" t="s">
        <v>367</v>
      </c>
      <c r="F43" s="19" t="s">
        <v>1059</v>
      </c>
      <c r="G43" s="4">
        <v>4</v>
      </c>
      <c r="H43" s="4">
        <v>19</v>
      </c>
      <c r="I43" s="11">
        <f>(5*47.3*60+219.1*60)/5</f>
        <v>5467.2</v>
      </c>
      <c r="K43" s="12">
        <f t="shared" si="1"/>
        <v>3.7377649614546877</v>
      </c>
      <c r="L43" s="11">
        <f>GraphShigella!$B$10-(Shigella!H43-GraphShigella!$B$6)/GraphShigella!$B$5</f>
        <v>3.7162943478708006</v>
      </c>
      <c r="M43" s="1" t="s">
        <v>1051</v>
      </c>
      <c r="N43" t="s">
        <v>1062</v>
      </c>
      <c r="O43" t="s">
        <v>1052</v>
      </c>
      <c r="R43" s="10"/>
      <c r="T43" s="10"/>
    </row>
    <row r="44" spans="1:20" x14ac:dyDescent="0.2">
      <c r="A44" s="1" t="s">
        <v>1046</v>
      </c>
      <c r="B44" s="1" t="s">
        <v>1047</v>
      </c>
      <c r="C44">
        <v>5348</v>
      </c>
      <c r="D44" t="s">
        <v>44</v>
      </c>
      <c r="E44" s="1" t="s">
        <v>367</v>
      </c>
      <c r="F44" s="19" t="s">
        <v>1061</v>
      </c>
      <c r="G44" s="4">
        <v>4</v>
      </c>
      <c r="H44" s="4">
        <v>19</v>
      </c>
      <c r="I44" s="11">
        <f>(5*44.7*60+299.6*60)/5</f>
        <v>6277.2</v>
      </c>
      <c r="K44" s="12">
        <f t="shared" si="1"/>
        <v>3.7977659660750609</v>
      </c>
      <c r="L44" s="11">
        <f>GraphShigella!$B$10-(Shigella!H44-GraphShigella!$B$6)/GraphShigella!$B$5</f>
        <v>3.7162943478708006</v>
      </c>
      <c r="M44" s="1" t="s">
        <v>1051</v>
      </c>
      <c r="N44" t="s">
        <v>1062</v>
      </c>
      <c r="O44" t="s">
        <v>1052</v>
      </c>
      <c r="R44" s="10"/>
      <c r="T44" s="10"/>
    </row>
    <row r="45" spans="1:20" x14ac:dyDescent="0.2">
      <c r="A45" s="1" t="s">
        <v>1046</v>
      </c>
      <c r="B45" s="1" t="s">
        <v>1047</v>
      </c>
      <c r="C45">
        <v>5348</v>
      </c>
      <c r="D45" t="s">
        <v>44</v>
      </c>
      <c r="E45" s="1" t="s">
        <v>367</v>
      </c>
      <c r="F45" s="19" t="s">
        <v>1060</v>
      </c>
      <c r="G45" s="4">
        <v>4</v>
      </c>
      <c r="H45" s="4">
        <v>19</v>
      </c>
      <c r="I45" s="11">
        <f>(5*48.4*60+307.9*60)/5</f>
        <v>6598.8</v>
      </c>
      <c r="K45" s="12">
        <f t="shared" si="1"/>
        <v>3.8194649657295039</v>
      </c>
      <c r="L45" s="11">
        <f>GraphShigella!$B$10-(Shigella!H45-GraphShigella!$B$6)/GraphShigella!$B$5</f>
        <v>3.7162943478708006</v>
      </c>
      <c r="M45" s="1" t="s">
        <v>1051</v>
      </c>
      <c r="N45" t="s">
        <v>1062</v>
      </c>
      <c r="O45" t="s">
        <v>1052</v>
      </c>
      <c r="R45" s="10"/>
      <c r="T45" s="10"/>
    </row>
    <row r="46" spans="1:20" x14ac:dyDescent="0.2">
      <c r="A46" s="1" t="s">
        <v>1046</v>
      </c>
      <c r="B46" s="1" t="s">
        <v>1047</v>
      </c>
      <c r="C46">
        <v>5348</v>
      </c>
      <c r="D46" t="s">
        <v>44</v>
      </c>
      <c r="E46" s="1" t="s">
        <v>367</v>
      </c>
      <c r="G46" s="4">
        <v>2</v>
      </c>
      <c r="H46" s="4">
        <v>12</v>
      </c>
      <c r="I46" s="11">
        <f>(5*12.8*60+11.9*60)/5</f>
        <v>910.8</v>
      </c>
      <c r="K46" s="12">
        <f>LOG(I46)</f>
        <v>2.9594230219431052</v>
      </c>
      <c r="L46" s="11">
        <f>GraphShigella!$B$10-(Shigella!H46-GraphShigella!$B$6)/GraphShigella!$B$5</f>
        <v>4.0451563143635099</v>
      </c>
      <c r="M46" s="1" t="s">
        <v>1051</v>
      </c>
      <c r="N46">
        <v>2001</v>
      </c>
      <c r="O46" t="s">
        <v>1052</v>
      </c>
      <c r="R46" s="10"/>
      <c r="T46" s="10"/>
    </row>
    <row r="47" spans="1:20" x14ac:dyDescent="0.2">
      <c r="A47" s="1" t="s">
        <v>1046</v>
      </c>
      <c r="B47" s="1" t="s">
        <v>1047</v>
      </c>
      <c r="C47">
        <v>5348</v>
      </c>
      <c r="D47" t="s">
        <v>44</v>
      </c>
      <c r="E47" s="1" t="s">
        <v>367</v>
      </c>
      <c r="G47" s="4">
        <v>3</v>
      </c>
      <c r="H47" s="4">
        <v>12</v>
      </c>
      <c r="I47" s="11">
        <f>(5*62*60+174.1*60)/5</f>
        <v>5809.2</v>
      </c>
      <c r="K47" s="12">
        <f t="shared" ref="K47:K58" si="2">LOG(I47)</f>
        <v>3.7641163286885146</v>
      </c>
      <c r="L47" s="11">
        <f>GraphShigella!$B$10-(Shigella!H47-GraphShigella!$B$6)/GraphShigella!$B$5</f>
        <v>4.0451563143635099</v>
      </c>
      <c r="M47" s="1" t="s">
        <v>1051</v>
      </c>
      <c r="N47">
        <v>2001</v>
      </c>
      <c r="O47" t="s">
        <v>1052</v>
      </c>
      <c r="R47" s="10"/>
      <c r="T47" s="10"/>
    </row>
    <row r="48" spans="1:20" x14ac:dyDescent="0.2">
      <c r="A48" s="1" t="s">
        <v>1046</v>
      </c>
      <c r="B48" s="1" t="s">
        <v>1047</v>
      </c>
      <c r="C48">
        <v>5348</v>
      </c>
      <c r="D48" t="s">
        <v>44</v>
      </c>
      <c r="E48" s="1" t="s">
        <v>367</v>
      </c>
      <c r="G48" s="4">
        <v>4</v>
      </c>
      <c r="H48" s="4">
        <v>12</v>
      </c>
      <c r="I48" s="11">
        <f>(5*276.5*60+455.5*60)/5</f>
        <v>22056</v>
      </c>
      <c r="K48" s="12">
        <f t="shared" si="2"/>
        <v>4.3435267530977173</v>
      </c>
      <c r="L48" s="11">
        <f>GraphShigella!$B$10-(Shigella!H48-GraphShigella!$B$6)/GraphShigella!$B$5</f>
        <v>4.0451563143635099</v>
      </c>
      <c r="M48" s="1" t="s">
        <v>1051</v>
      </c>
      <c r="N48">
        <v>2001</v>
      </c>
      <c r="O48" t="s">
        <v>1052</v>
      </c>
      <c r="R48" s="10"/>
      <c r="T48" s="10"/>
    </row>
    <row r="49" spans="1:20" x14ac:dyDescent="0.2">
      <c r="A49" s="1" t="s">
        <v>1046</v>
      </c>
      <c r="B49" s="1" t="s">
        <v>1047</v>
      </c>
      <c r="C49">
        <v>5348</v>
      </c>
      <c r="D49" t="s">
        <v>44</v>
      </c>
      <c r="E49" s="1" t="s">
        <v>367</v>
      </c>
      <c r="G49" s="4">
        <v>5</v>
      </c>
      <c r="H49" s="4">
        <v>12</v>
      </c>
      <c r="I49" s="11">
        <f>(5*470.7*60+1449.6*60)/5</f>
        <v>45637.2</v>
      </c>
      <c r="K49" s="12">
        <f t="shared" si="2"/>
        <v>4.6593189910956028</v>
      </c>
      <c r="L49" s="11">
        <f>GraphShigella!$B$10-(Shigella!H49-GraphShigella!$B$6)/GraphShigella!$B$5</f>
        <v>4.0451563143635099</v>
      </c>
      <c r="M49" s="1" t="s">
        <v>1051</v>
      </c>
      <c r="N49">
        <v>2001</v>
      </c>
      <c r="O49" t="s">
        <v>1052</v>
      </c>
      <c r="R49" s="10"/>
      <c r="T49" s="10"/>
    </row>
    <row r="50" spans="1:20" x14ac:dyDescent="0.2">
      <c r="A50" s="1" t="s">
        <v>1046</v>
      </c>
      <c r="B50" s="1" t="s">
        <v>1047</v>
      </c>
      <c r="C50">
        <v>5348</v>
      </c>
      <c r="D50" t="s">
        <v>44</v>
      </c>
      <c r="E50" s="1" t="s">
        <v>367</v>
      </c>
      <c r="G50" s="4">
        <v>2</v>
      </c>
      <c r="H50" s="4">
        <v>19</v>
      </c>
      <c r="I50" s="11">
        <f>(5*5.3*60+1.7*60)/5</f>
        <v>338.4</v>
      </c>
      <c r="K50" s="12">
        <f t="shared" si="2"/>
        <v>2.529430354366986</v>
      </c>
      <c r="L50" s="11">
        <f>GraphShigella!$B$10-(Shigella!H50-GraphShigella!$B$6)/GraphShigella!$B$5</f>
        <v>3.7162943478708006</v>
      </c>
      <c r="M50" s="1" t="s">
        <v>1051</v>
      </c>
      <c r="N50">
        <v>2001</v>
      </c>
      <c r="O50" t="s">
        <v>1052</v>
      </c>
      <c r="R50" s="10"/>
      <c r="T50" s="10"/>
    </row>
    <row r="51" spans="1:20" x14ac:dyDescent="0.2">
      <c r="A51" s="1" t="s">
        <v>1046</v>
      </c>
      <c r="B51" s="1" t="s">
        <v>1047</v>
      </c>
      <c r="C51">
        <v>5348</v>
      </c>
      <c r="D51" t="s">
        <v>44</v>
      </c>
      <c r="E51" s="1" t="s">
        <v>367</v>
      </c>
      <c r="G51" s="4">
        <v>3</v>
      </c>
      <c r="H51" s="4">
        <v>19</v>
      </c>
      <c r="I51" s="11">
        <f>(5*30.2*60+76.1*60)/5</f>
        <v>2725.2</v>
      </c>
      <c r="K51" s="12">
        <f t="shared" si="2"/>
        <v>3.43539838026736</v>
      </c>
      <c r="L51" s="11">
        <f>GraphShigella!$B$10-(Shigella!H51-GraphShigella!$B$6)/GraphShigella!$B$5</f>
        <v>3.7162943478708006</v>
      </c>
      <c r="M51" s="1" t="s">
        <v>1051</v>
      </c>
      <c r="N51">
        <v>2001</v>
      </c>
      <c r="O51" t="s">
        <v>1052</v>
      </c>
      <c r="R51" s="10"/>
      <c r="T51" s="10"/>
    </row>
    <row r="52" spans="1:20" x14ac:dyDescent="0.2">
      <c r="A52" s="1" t="s">
        <v>1046</v>
      </c>
      <c r="B52" s="1" t="s">
        <v>1047</v>
      </c>
      <c r="C52">
        <v>5348</v>
      </c>
      <c r="D52" t="s">
        <v>44</v>
      </c>
      <c r="E52" s="1" t="s">
        <v>367</v>
      </c>
      <c r="G52" s="4">
        <v>4</v>
      </c>
      <c r="H52" s="4">
        <v>19</v>
      </c>
      <c r="I52" s="11">
        <f>(5*40.8*60+224*60)/5</f>
        <v>5136</v>
      </c>
      <c r="K52" s="12">
        <f t="shared" si="2"/>
        <v>3.7106250150607969</v>
      </c>
      <c r="L52" s="11">
        <f>GraphShigella!$B$10-(Shigella!H52-GraphShigella!$B$6)/GraphShigella!$B$5</f>
        <v>3.7162943478708006</v>
      </c>
      <c r="M52" s="1" t="s">
        <v>1051</v>
      </c>
      <c r="N52">
        <v>2001</v>
      </c>
      <c r="O52" t="s">
        <v>1052</v>
      </c>
      <c r="R52" s="10"/>
      <c r="T52" s="10"/>
    </row>
    <row r="53" spans="1:20" x14ac:dyDescent="0.2">
      <c r="A53" s="1" t="s">
        <v>1046</v>
      </c>
      <c r="B53" s="1" t="s">
        <v>1047</v>
      </c>
      <c r="C53">
        <v>5348</v>
      </c>
      <c r="D53" t="s">
        <v>44</v>
      </c>
      <c r="E53" s="1" t="s">
        <v>367</v>
      </c>
      <c r="G53" s="4">
        <v>2</v>
      </c>
      <c r="H53" s="4">
        <v>28</v>
      </c>
      <c r="I53" s="11">
        <f>(5*1.1*60+0.5*60)/5</f>
        <v>72</v>
      </c>
      <c r="K53" s="12">
        <f t="shared" si="2"/>
        <v>1.8573324964312685</v>
      </c>
      <c r="L53" s="11">
        <f>GraphShigella!$B$10-(Shigella!H53-GraphShigella!$B$6)/GraphShigella!$B$5</f>
        <v>3.2934718195230315</v>
      </c>
      <c r="M53" s="1" t="s">
        <v>1051</v>
      </c>
      <c r="N53">
        <v>2001</v>
      </c>
      <c r="O53" t="s">
        <v>1052</v>
      </c>
      <c r="R53" s="10"/>
      <c r="T53" s="10"/>
    </row>
    <row r="54" spans="1:20" x14ac:dyDescent="0.2">
      <c r="A54" s="1" t="s">
        <v>1046</v>
      </c>
      <c r="B54" s="1" t="s">
        <v>1047</v>
      </c>
      <c r="C54">
        <v>5348</v>
      </c>
      <c r="D54" t="s">
        <v>44</v>
      </c>
      <c r="E54" s="1" t="s">
        <v>367</v>
      </c>
      <c r="G54" s="4">
        <v>3</v>
      </c>
      <c r="H54" s="4">
        <v>28</v>
      </c>
      <c r="I54" s="11">
        <f>(5*20.2*60+13.8*60)/5</f>
        <v>1377.6</v>
      </c>
      <c r="K54" s="12">
        <f t="shared" si="2"/>
        <v>3.1391231341095795</v>
      </c>
      <c r="L54" s="11">
        <f>GraphShigella!$B$10-(Shigella!H54-GraphShigella!$B$6)/GraphShigella!$B$5</f>
        <v>3.2934718195230315</v>
      </c>
      <c r="M54" s="1" t="s">
        <v>1051</v>
      </c>
      <c r="N54">
        <v>2001</v>
      </c>
      <c r="O54" t="s">
        <v>1052</v>
      </c>
      <c r="R54" s="10"/>
      <c r="T54" s="10"/>
    </row>
    <row r="55" spans="1:20" x14ac:dyDescent="0.2">
      <c r="A55" s="1" t="s">
        <v>1046</v>
      </c>
      <c r="B55" s="1" t="s">
        <v>1047</v>
      </c>
      <c r="C55">
        <v>5348</v>
      </c>
      <c r="D55" t="s">
        <v>44</v>
      </c>
      <c r="E55" s="1" t="s">
        <v>367</v>
      </c>
      <c r="G55" s="4">
        <v>4</v>
      </c>
      <c r="H55" s="4">
        <v>28</v>
      </c>
      <c r="I55" s="11">
        <f>(5*41.4*60+114.7*60)/5</f>
        <v>3860.4</v>
      </c>
      <c r="K55" s="12">
        <f t="shared" si="2"/>
        <v>3.5866323069495945</v>
      </c>
      <c r="L55" s="11">
        <f>GraphShigella!$B$10-(Shigella!H55-GraphShigella!$B$6)/GraphShigella!$B$5</f>
        <v>3.2934718195230315</v>
      </c>
      <c r="M55" s="1" t="s">
        <v>1051</v>
      </c>
      <c r="N55">
        <v>2001</v>
      </c>
      <c r="O55" t="s">
        <v>1052</v>
      </c>
      <c r="R55" s="10"/>
      <c r="T55" s="10"/>
    </row>
    <row r="56" spans="1:20" x14ac:dyDescent="0.2">
      <c r="A56" s="1" t="s">
        <v>1046</v>
      </c>
      <c r="B56" s="1" t="s">
        <v>1047</v>
      </c>
      <c r="C56">
        <v>5348</v>
      </c>
      <c r="D56" t="s">
        <v>44</v>
      </c>
      <c r="E56" s="1" t="s">
        <v>367</v>
      </c>
      <c r="G56" s="4">
        <v>2</v>
      </c>
      <c r="H56" s="23">
        <v>37</v>
      </c>
      <c r="I56" s="4">
        <f>(5*0.3*60+0.2*60)/5</f>
        <v>20.399999999999999</v>
      </c>
      <c r="K56" s="12">
        <f t="shared" si="2"/>
        <v>1.3096301674258988</v>
      </c>
      <c r="L56" s="11">
        <f>GraphShigella!$B$10-(Shigella!H56-GraphShigella!$B$6)/GraphShigella!$B$5</f>
        <v>2.8706492911752619</v>
      </c>
      <c r="M56" s="1" t="s">
        <v>1051</v>
      </c>
      <c r="N56">
        <v>2001</v>
      </c>
      <c r="O56" t="s">
        <v>1052</v>
      </c>
      <c r="R56" s="10"/>
      <c r="T56" s="10"/>
    </row>
    <row r="57" spans="1:20" x14ac:dyDescent="0.2">
      <c r="A57" s="1" t="s">
        <v>1046</v>
      </c>
      <c r="B57" s="1" t="s">
        <v>1047</v>
      </c>
      <c r="C57">
        <v>5348</v>
      </c>
      <c r="D57" t="s">
        <v>44</v>
      </c>
      <c r="E57" s="1" t="s">
        <v>367</v>
      </c>
      <c r="G57" s="4">
        <v>3</v>
      </c>
      <c r="H57" s="23">
        <v>37</v>
      </c>
      <c r="I57" s="11">
        <f>(5*1.6*60+3.9*60)/5</f>
        <v>142.80000000000001</v>
      </c>
      <c r="K57" s="12">
        <f t="shared" si="2"/>
        <v>2.1547282074401557</v>
      </c>
      <c r="L57" s="11">
        <f>GraphShigella!$B$10-(Shigella!H57-GraphShigella!$B$6)/GraphShigella!$B$5</f>
        <v>2.8706492911752619</v>
      </c>
      <c r="M57" s="1" t="s">
        <v>1051</v>
      </c>
      <c r="N57">
        <v>2001</v>
      </c>
      <c r="O57" t="s">
        <v>1052</v>
      </c>
      <c r="R57" s="10"/>
      <c r="T57" s="10"/>
    </row>
    <row r="58" spans="1:20" x14ac:dyDescent="0.2">
      <c r="A58" s="1" t="s">
        <v>1046</v>
      </c>
      <c r="B58" s="1" t="s">
        <v>1047</v>
      </c>
      <c r="C58">
        <v>5348</v>
      </c>
      <c r="D58" t="s">
        <v>44</v>
      </c>
      <c r="E58" s="1" t="s">
        <v>367</v>
      </c>
      <c r="G58" s="4">
        <v>4</v>
      </c>
      <c r="H58" s="23">
        <v>37</v>
      </c>
      <c r="I58" s="11">
        <f>(5*10.5*60+21.5*60)/5</f>
        <v>888</v>
      </c>
      <c r="K58" s="12">
        <f t="shared" si="2"/>
        <v>2.9484129657786009</v>
      </c>
      <c r="L58" s="11">
        <f>GraphShigella!$B$10-(Shigella!H58-GraphShigella!$B$6)/GraphShigella!$B$5</f>
        <v>2.8706492911752619</v>
      </c>
      <c r="M58" s="1" t="s">
        <v>1051</v>
      </c>
      <c r="N58">
        <v>2001</v>
      </c>
      <c r="O58" t="s">
        <v>1052</v>
      </c>
      <c r="R58" s="10"/>
      <c r="T58" s="10"/>
    </row>
    <row r="59" spans="1:20" x14ac:dyDescent="0.2">
      <c r="A59" s="1" t="s">
        <v>1046</v>
      </c>
      <c r="B59" s="1" t="s">
        <v>1078</v>
      </c>
      <c r="D59" t="s">
        <v>45</v>
      </c>
      <c r="E59" s="1" t="s">
        <v>1079</v>
      </c>
      <c r="F59" s="1" t="s">
        <v>1277</v>
      </c>
      <c r="G59" s="4">
        <f>AVERAGE(3.9,4.1)</f>
        <v>4</v>
      </c>
      <c r="H59" s="4">
        <v>24</v>
      </c>
      <c r="I59" s="11">
        <f>7*24*60/4</f>
        <v>2520</v>
      </c>
      <c r="K59" s="12">
        <f t="shared" ref="K59:K65" si="3">LOG(I59)</f>
        <v>3.4014005407815442</v>
      </c>
      <c r="L59" s="11">
        <f>GraphShigella!$B$10-(Shigella!H59-GraphShigella!$B$6)/GraphShigella!$B$5</f>
        <v>3.4813929432331512</v>
      </c>
      <c r="M59" s="1" t="s">
        <v>1051</v>
      </c>
      <c r="N59">
        <v>2001</v>
      </c>
      <c r="R59" s="10"/>
      <c r="T59" s="10"/>
    </row>
    <row r="60" spans="1:20" x14ac:dyDescent="0.2">
      <c r="A60" s="1" t="s">
        <v>1046</v>
      </c>
      <c r="B60" s="1" t="s">
        <v>1078</v>
      </c>
      <c r="C60" s="1"/>
      <c r="D60" t="s">
        <v>45</v>
      </c>
      <c r="E60" s="1" t="s">
        <v>1079</v>
      </c>
      <c r="F60" s="1" t="s">
        <v>1277</v>
      </c>
      <c r="G60" s="4">
        <f>AVERAGE(3.9,4.1)</f>
        <v>4</v>
      </c>
      <c r="H60" s="4">
        <v>24</v>
      </c>
      <c r="I60" s="11">
        <f>10*24*60/4</f>
        <v>3600</v>
      </c>
      <c r="K60" s="12">
        <f t="shared" si="3"/>
        <v>3.5563025007672873</v>
      </c>
      <c r="L60" s="11">
        <f>GraphShigella!$B$10-(Shigella!H60-GraphShigella!$B$6)/GraphShigella!$B$5</f>
        <v>3.4813929432331512</v>
      </c>
      <c r="M60" s="1" t="s">
        <v>1051</v>
      </c>
      <c r="N60">
        <v>2001</v>
      </c>
      <c r="R60" s="10"/>
      <c r="T60" s="10"/>
    </row>
    <row r="61" spans="1:20" x14ac:dyDescent="0.2">
      <c r="A61" s="1" t="s">
        <v>1046</v>
      </c>
      <c r="B61" s="1" t="s">
        <v>1078</v>
      </c>
      <c r="C61" s="1"/>
      <c r="D61" t="s">
        <v>45</v>
      </c>
      <c r="E61" s="1" t="s">
        <v>1147</v>
      </c>
      <c r="F61" s="1" t="s">
        <v>1277</v>
      </c>
      <c r="G61" s="4">
        <f>AVERAGE(3.1,3.5)</f>
        <v>3.3</v>
      </c>
      <c r="H61" s="4">
        <v>24</v>
      </c>
      <c r="I61" s="4">
        <f>4*24*60/7</f>
        <v>822.85714285714289</v>
      </c>
      <c r="K61" s="12">
        <f t="shared" si="3"/>
        <v>2.9153244434089554</v>
      </c>
      <c r="L61" s="11">
        <f>GraphShigella!$B$10-(Shigella!H61-GraphShigella!$B$6)/GraphShigella!$B$5</f>
        <v>3.4813929432331512</v>
      </c>
      <c r="M61" s="1" t="s">
        <v>1051</v>
      </c>
      <c r="N61">
        <v>2001</v>
      </c>
      <c r="R61" s="10"/>
      <c r="T61" s="10"/>
    </row>
    <row r="62" spans="1:20" x14ac:dyDescent="0.2">
      <c r="A62" s="1" t="s">
        <v>1046</v>
      </c>
      <c r="B62" s="1" t="s">
        <v>1078</v>
      </c>
      <c r="C62" s="1"/>
      <c r="D62" t="s">
        <v>45</v>
      </c>
      <c r="E62" s="1" t="s">
        <v>1147</v>
      </c>
      <c r="F62" s="1" t="s">
        <v>1277</v>
      </c>
      <c r="G62" s="4">
        <f>AVERAGE(3.1,3.5)</f>
        <v>3.3</v>
      </c>
      <c r="H62" s="4">
        <v>24</v>
      </c>
      <c r="I62" s="11">
        <f>7*24*60/4</f>
        <v>2520</v>
      </c>
      <c r="K62" s="12">
        <f t="shared" si="3"/>
        <v>3.4014005407815442</v>
      </c>
      <c r="L62" s="11">
        <f>GraphShigella!$B$10-(Shigella!H62-GraphShigella!$B$6)/GraphShigella!$B$5</f>
        <v>3.4813929432331512</v>
      </c>
      <c r="M62" s="1" t="s">
        <v>1051</v>
      </c>
      <c r="N62">
        <v>2001</v>
      </c>
      <c r="R62" s="10"/>
      <c r="T62" s="10"/>
    </row>
    <row r="63" spans="1:20" x14ac:dyDescent="0.2">
      <c r="A63" s="1" t="s">
        <v>1046</v>
      </c>
      <c r="B63" s="1" t="s">
        <v>1078</v>
      </c>
      <c r="C63" s="1"/>
      <c r="D63" t="s">
        <v>45</v>
      </c>
      <c r="E63" s="1" t="s">
        <v>304</v>
      </c>
      <c r="F63" s="1" t="s">
        <v>1277</v>
      </c>
      <c r="G63" s="4">
        <f>AVERAGE(3,3.1)</f>
        <v>3.05</v>
      </c>
      <c r="H63" s="4">
        <v>24</v>
      </c>
      <c r="I63" s="11">
        <f>2*24*60/4</f>
        <v>720</v>
      </c>
      <c r="K63" s="12">
        <f t="shared" si="3"/>
        <v>2.8573324964312685</v>
      </c>
      <c r="L63" s="11">
        <f>GraphShigella!$B$10-(Shigella!H63-GraphShigella!$B$6)/GraphShigella!$B$5</f>
        <v>3.4813929432331512</v>
      </c>
      <c r="M63" s="1" t="s">
        <v>1051</v>
      </c>
      <c r="N63">
        <v>2001</v>
      </c>
      <c r="R63" s="10"/>
      <c r="T63" s="10"/>
    </row>
    <row r="64" spans="1:20" x14ac:dyDescent="0.2">
      <c r="A64" s="1" t="s">
        <v>1046</v>
      </c>
      <c r="B64" s="1" t="s">
        <v>1078</v>
      </c>
      <c r="C64" s="1"/>
      <c r="D64" t="s">
        <v>45</v>
      </c>
      <c r="E64" s="1" t="s">
        <v>304</v>
      </c>
      <c r="F64" s="1" t="s">
        <v>1277</v>
      </c>
      <c r="G64" s="4">
        <f>AVERAGE(3,3.1)</f>
        <v>3.05</v>
      </c>
      <c r="H64" s="4">
        <v>24</v>
      </c>
      <c r="I64" s="11">
        <f>10*24*60/4</f>
        <v>3600</v>
      </c>
      <c r="K64" s="12">
        <f t="shared" si="3"/>
        <v>3.5563025007672873</v>
      </c>
      <c r="L64" s="11">
        <f>GraphShigella!$B$10-(Shigella!H64-GraphShigella!$B$6)/GraphShigella!$B$5</f>
        <v>3.4813929432331512</v>
      </c>
      <c r="M64" s="1" t="s">
        <v>1051</v>
      </c>
      <c r="N64">
        <v>2001</v>
      </c>
      <c r="R64" s="10"/>
      <c r="T64" s="10"/>
    </row>
    <row r="65" spans="1:20" x14ac:dyDescent="0.2">
      <c r="A65" s="1" t="s">
        <v>1046</v>
      </c>
      <c r="B65" s="1" t="s">
        <v>1078</v>
      </c>
      <c r="C65" s="1"/>
      <c r="D65" t="s">
        <v>45</v>
      </c>
      <c r="E65" s="1" t="s">
        <v>1080</v>
      </c>
      <c r="F65" s="1" t="s">
        <v>1277</v>
      </c>
      <c r="G65" s="4">
        <f>AVERAGE(2.1,2.6)</f>
        <v>2.35</v>
      </c>
      <c r="H65" s="4">
        <v>24</v>
      </c>
      <c r="I65" s="11">
        <f>24*60/4</f>
        <v>360</v>
      </c>
      <c r="K65" s="12">
        <f t="shared" si="3"/>
        <v>2.5563025007672873</v>
      </c>
      <c r="L65" s="11">
        <f>GraphShigella!$B$10-(Shigella!H65-GraphShigella!$B$6)/GraphShigella!$B$5</f>
        <v>3.4813929432331512</v>
      </c>
      <c r="M65" s="1" t="s">
        <v>1051</v>
      </c>
      <c r="N65">
        <v>2001</v>
      </c>
      <c r="R65" s="10"/>
      <c r="T65" s="10"/>
    </row>
    <row r="66" spans="1:20" x14ac:dyDescent="0.2">
      <c r="A66" s="1"/>
      <c r="B66" s="1"/>
      <c r="C66" s="1"/>
      <c r="E66" s="1"/>
      <c r="K66" s="12"/>
      <c r="L66" s="11"/>
      <c r="M66" s="1"/>
      <c r="R66" s="10"/>
      <c r="T66" s="10"/>
    </row>
    <row r="67" spans="1:20" x14ac:dyDescent="0.2">
      <c r="A67" s="1"/>
      <c r="B67" s="1"/>
      <c r="C67" s="1"/>
      <c r="E67" s="1"/>
      <c r="K67" s="12"/>
      <c r="L67" s="11"/>
      <c r="M67" s="1"/>
      <c r="R67" s="10"/>
      <c r="T67" s="10"/>
    </row>
    <row r="68" spans="1:20" x14ac:dyDescent="0.2">
      <c r="A68" s="1"/>
      <c r="B68" s="1"/>
      <c r="E68" s="1"/>
      <c r="F68" s="1"/>
      <c r="K68" s="12"/>
      <c r="L68" s="11"/>
      <c r="M68" s="1"/>
      <c r="R68" s="10"/>
      <c r="T68" s="10"/>
    </row>
    <row r="69" spans="1:20" x14ac:dyDescent="0.2">
      <c r="A69" s="1"/>
      <c r="B69" s="1"/>
      <c r="E69" s="1"/>
      <c r="F69" s="1"/>
      <c r="K69" s="12"/>
      <c r="L69" s="11"/>
      <c r="M69" s="1"/>
      <c r="R69" s="10"/>
      <c r="T69" s="10"/>
    </row>
    <row r="70" spans="1:20" x14ac:dyDescent="0.2">
      <c r="A70" s="1"/>
      <c r="B70" s="1"/>
      <c r="E70" s="1"/>
      <c r="F70" s="1"/>
      <c r="K70" s="12"/>
      <c r="L70" s="11"/>
      <c r="M70" s="1"/>
      <c r="R70" s="10"/>
      <c r="T70" s="10"/>
    </row>
    <row r="71" spans="1:20" x14ac:dyDescent="0.2">
      <c r="A71" s="1"/>
      <c r="B71" s="1"/>
      <c r="E71" s="1"/>
      <c r="F71" s="1"/>
      <c r="K71" s="12"/>
      <c r="L71" s="11"/>
      <c r="M71" s="1"/>
      <c r="R71" s="10"/>
      <c r="T71" s="10"/>
    </row>
    <row r="72" spans="1:20" x14ac:dyDescent="0.2">
      <c r="A72" s="1"/>
      <c r="B72" s="1"/>
      <c r="E72" s="1"/>
      <c r="F72" s="1"/>
      <c r="K72" s="12"/>
      <c r="L72" s="11"/>
      <c r="M72" s="2"/>
      <c r="R72" s="10"/>
      <c r="T72" s="10"/>
    </row>
    <row r="73" spans="1:20" x14ac:dyDescent="0.2">
      <c r="A73" s="1"/>
      <c r="B73" s="1"/>
      <c r="E73" s="1"/>
      <c r="F73" s="1"/>
      <c r="K73" s="12"/>
      <c r="L73" s="11"/>
      <c r="M73" s="2"/>
      <c r="R73" s="10"/>
      <c r="T73" s="10"/>
    </row>
    <row r="74" spans="1:20" x14ac:dyDescent="0.2">
      <c r="A74" s="1"/>
      <c r="B74" s="1"/>
      <c r="E74" s="1"/>
      <c r="F74" s="1"/>
      <c r="K74" s="12"/>
      <c r="L74" s="11"/>
      <c r="M74" s="2"/>
      <c r="R74" s="10"/>
      <c r="T74" s="10"/>
    </row>
    <row r="75" spans="1:20" x14ac:dyDescent="0.2">
      <c r="A75" s="1"/>
      <c r="B75" s="1"/>
      <c r="E75" s="1"/>
      <c r="F75" s="1"/>
      <c r="K75" s="12"/>
      <c r="L75" s="11"/>
      <c r="M75" s="2"/>
      <c r="R75" s="10"/>
      <c r="T75" s="10"/>
    </row>
    <row r="76" spans="1:20" x14ac:dyDescent="0.2">
      <c r="A76" s="1"/>
      <c r="B76" s="1"/>
      <c r="E76" s="1"/>
      <c r="F76" s="1"/>
      <c r="K76" s="12"/>
      <c r="L76" s="11"/>
      <c r="M76" s="2"/>
      <c r="R76" s="10"/>
      <c r="T76" s="10"/>
    </row>
    <row r="77" spans="1:20" x14ac:dyDescent="0.2">
      <c r="A77" s="1"/>
      <c r="B77" s="1"/>
      <c r="E77" s="1"/>
      <c r="F77" s="1"/>
      <c r="K77" s="12"/>
      <c r="L77" s="11"/>
      <c r="M77" s="2"/>
      <c r="R77" s="10"/>
      <c r="T77" s="10"/>
    </row>
    <row r="78" spans="1:20" x14ac:dyDescent="0.2">
      <c r="A78" s="1"/>
      <c r="B78" s="1"/>
      <c r="E78" s="1"/>
      <c r="F78" s="1"/>
      <c r="K78" s="12"/>
      <c r="L78" s="11"/>
      <c r="M78" s="2"/>
      <c r="R78" s="10"/>
      <c r="T78" s="10"/>
    </row>
    <row r="79" spans="1:20" x14ac:dyDescent="0.2">
      <c r="A79" s="1"/>
      <c r="B79" s="1"/>
      <c r="E79" s="1"/>
      <c r="F79" s="1"/>
      <c r="K79" s="12"/>
      <c r="L79" s="11"/>
      <c r="M79" s="2"/>
      <c r="R79" s="10"/>
      <c r="T79" s="10"/>
    </row>
    <row r="80" spans="1:20" x14ac:dyDescent="0.2">
      <c r="A80" s="1"/>
      <c r="B80" s="1"/>
      <c r="E80" s="1"/>
      <c r="F80" s="1"/>
      <c r="K80" s="12"/>
      <c r="L80" s="11"/>
      <c r="M80" s="2"/>
      <c r="R80" s="10"/>
      <c r="T80" s="10"/>
    </row>
    <row r="81" spans="1:20" x14ac:dyDescent="0.2">
      <c r="A81" s="1"/>
      <c r="B81" s="1"/>
      <c r="E81" s="1"/>
      <c r="F81" s="1"/>
      <c r="K81" s="12"/>
      <c r="L81" s="11"/>
      <c r="M81" s="2"/>
      <c r="R81" s="10"/>
      <c r="T81" s="10"/>
    </row>
    <row r="82" spans="1:20" x14ac:dyDescent="0.2">
      <c r="A82" s="1"/>
      <c r="B82" s="1"/>
      <c r="E82" s="1"/>
      <c r="F82" s="1"/>
      <c r="K82" s="12"/>
      <c r="L82" s="11"/>
      <c r="M82" s="2"/>
      <c r="R82" s="10"/>
      <c r="T82" s="10"/>
    </row>
    <row r="83" spans="1:20" x14ac:dyDescent="0.2">
      <c r="A83" s="1"/>
      <c r="B83" s="1"/>
      <c r="E83" s="1"/>
      <c r="F83" s="1"/>
      <c r="K83" s="12"/>
      <c r="L83" s="11"/>
      <c r="M83" s="2"/>
      <c r="R83" s="10"/>
      <c r="T83" s="10"/>
    </row>
    <row r="84" spans="1:20" x14ac:dyDescent="0.2">
      <c r="A84" s="1"/>
      <c r="B84" s="1"/>
      <c r="E84" s="1"/>
      <c r="F84" s="1"/>
      <c r="K84" s="12"/>
      <c r="L84" s="11"/>
      <c r="M84" s="1"/>
      <c r="R84" s="10"/>
      <c r="T84" s="10"/>
    </row>
    <row r="85" spans="1:20" x14ac:dyDescent="0.2">
      <c r="A85" s="1"/>
      <c r="B85" s="1"/>
      <c r="E85" s="1"/>
      <c r="F85" s="1"/>
      <c r="K85" s="12"/>
      <c r="L85" s="11"/>
      <c r="M85" s="2"/>
      <c r="R85" s="10"/>
      <c r="T85" s="10"/>
    </row>
    <row r="86" spans="1:20" x14ac:dyDescent="0.2">
      <c r="A86" s="1"/>
      <c r="B86" s="1"/>
      <c r="E86" s="1"/>
      <c r="F86" s="1"/>
      <c r="K86" s="12"/>
      <c r="L86" s="11"/>
      <c r="M86" s="2"/>
      <c r="R86" s="10"/>
      <c r="T86" s="10"/>
    </row>
    <row r="87" spans="1:20" x14ac:dyDescent="0.2">
      <c r="A87" s="1"/>
      <c r="B87" s="1"/>
      <c r="E87" s="1"/>
      <c r="F87" s="1"/>
      <c r="K87" s="12"/>
      <c r="L87" s="11"/>
      <c r="M87" s="1"/>
      <c r="R87" s="10"/>
      <c r="S87" s="10"/>
      <c r="T87" s="10"/>
    </row>
    <row r="88" spans="1:20" x14ac:dyDescent="0.2">
      <c r="A88" s="1"/>
      <c r="B88" s="1"/>
      <c r="E88" s="1"/>
      <c r="F88" s="1"/>
      <c r="K88" s="12"/>
      <c r="L88" s="11"/>
      <c r="M88" s="1"/>
      <c r="R88" s="10"/>
      <c r="S88" s="10"/>
      <c r="T88" s="10"/>
    </row>
    <row r="89" spans="1:20" x14ac:dyDescent="0.2">
      <c r="A89" s="1"/>
      <c r="B89" s="1"/>
      <c r="E89" s="1"/>
      <c r="F89" s="1"/>
      <c r="K89" s="12"/>
      <c r="L89" s="11"/>
      <c r="M89" s="1"/>
      <c r="R89" s="10"/>
      <c r="T89" s="10"/>
    </row>
    <row r="90" spans="1:20" x14ac:dyDescent="0.2">
      <c r="A90" s="1"/>
      <c r="B90" s="1"/>
      <c r="E90" s="1"/>
      <c r="F90" s="1"/>
      <c r="K90" s="12"/>
      <c r="L90" s="11"/>
      <c r="M90" s="1"/>
      <c r="R90" s="10"/>
      <c r="T90" s="10"/>
    </row>
    <row r="91" spans="1:20" x14ac:dyDescent="0.2">
      <c r="A91" s="1"/>
      <c r="B91" s="1"/>
      <c r="E91" s="1"/>
      <c r="F91" s="19"/>
      <c r="I91" s="9"/>
      <c r="J91" s="7"/>
      <c r="K91" s="12"/>
      <c r="L91" s="11"/>
      <c r="M91" s="2"/>
      <c r="R91" s="10"/>
      <c r="T91" s="10"/>
    </row>
    <row r="92" spans="1:20" x14ac:dyDescent="0.2">
      <c r="A92" s="1"/>
      <c r="B92" s="1"/>
      <c r="E92" s="1"/>
      <c r="F92" s="19"/>
      <c r="I92" s="9"/>
      <c r="J92" s="7"/>
      <c r="K92" s="12"/>
      <c r="L92" s="11"/>
      <c r="M92" s="2"/>
      <c r="R92" s="10"/>
      <c r="T92" s="10"/>
    </row>
    <row r="93" spans="1:20" x14ac:dyDescent="0.2">
      <c r="A93" s="1"/>
      <c r="B93" s="1"/>
      <c r="E93" s="1"/>
      <c r="F93" s="19"/>
      <c r="K93" s="12"/>
      <c r="L93" s="11"/>
      <c r="M93" s="2"/>
      <c r="R93" s="10"/>
      <c r="S93" s="10"/>
      <c r="T93" s="10"/>
    </row>
    <row r="94" spans="1:20" x14ac:dyDescent="0.2">
      <c r="A94" s="1"/>
      <c r="B94" s="1"/>
      <c r="E94" s="1"/>
      <c r="F94" s="19"/>
      <c r="K94" s="12"/>
      <c r="L94" s="11"/>
      <c r="M94" s="2"/>
      <c r="R94" s="10"/>
      <c r="S94" s="10"/>
      <c r="T94" s="10"/>
    </row>
    <row r="95" spans="1:20" x14ac:dyDescent="0.2">
      <c r="A95" s="1"/>
      <c r="B95" s="1"/>
      <c r="E95" s="1"/>
      <c r="F95" s="19"/>
      <c r="K95" s="12"/>
      <c r="L95" s="11"/>
      <c r="M95" s="2"/>
      <c r="R95" s="10"/>
      <c r="S95" s="10"/>
      <c r="T95" s="10"/>
    </row>
    <row r="96" spans="1:20" x14ac:dyDescent="0.2">
      <c r="A96" s="1"/>
      <c r="B96" s="1"/>
      <c r="E96" s="1"/>
      <c r="F96" s="19"/>
      <c r="K96" s="12"/>
      <c r="L96" s="11"/>
      <c r="M96" s="2"/>
      <c r="R96" s="10"/>
      <c r="S96" s="10"/>
      <c r="T96" s="10"/>
    </row>
    <row r="97" spans="1:20" x14ac:dyDescent="0.2">
      <c r="A97" s="1"/>
      <c r="B97" s="1"/>
      <c r="E97" s="1"/>
      <c r="F97" s="19"/>
      <c r="I97" s="9"/>
      <c r="J97" s="7"/>
      <c r="K97" s="12"/>
      <c r="L97" s="11"/>
      <c r="M97" s="2"/>
      <c r="R97" s="10"/>
      <c r="S97" s="10"/>
      <c r="T97" s="10"/>
    </row>
    <row r="98" spans="1:20" x14ac:dyDescent="0.2">
      <c r="A98" s="1"/>
      <c r="B98" s="1"/>
      <c r="E98" s="1"/>
      <c r="F98" s="19"/>
      <c r="K98" s="12"/>
      <c r="L98" s="11"/>
      <c r="M98" s="2"/>
      <c r="R98" s="10"/>
      <c r="S98" s="10"/>
      <c r="T98" s="10"/>
    </row>
    <row r="99" spans="1:20" x14ac:dyDescent="0.2">
      <c r="A99" s="1"/>
      <c r="B99" s="1"/>
      <c r="E99" s="1"/>
      <c r="F99" s="19"/>
      <c r="K99" s="12"/>
      <c r="L99" s="11"/>
      <c r="M99" s="2"/>
      <c r="R99" s="10"/>
      <c r="S99" s="10"/>
      <c r="T99" s="10"/>
    </row>
    <row r="100" spans="1:20" x14ac:dyDescent="0.2">
      <c r="A100" s="1"/>
      <c r="B100" s="1"/>
      <c r="E100" s="1"/>
      <c r="F100" s="19"/>
      <c r="K100" s="12"/>
      <c r="L100" s="11"/>
      <c r="M100" s="2"/>
      <c r="R100" s="10"/>
      <c r="S100" s="10"/>
      <c r="T100" s="10"/>
    </row>
    <row r="101" spans="1:20" x14ac:dyDescent="0.2">
      <c r="A101" s="1"/>
      <c r="B101" s="1"/>
      <c r="E101" s="1"/>
      <c r="F101" s="19"/>
      <c r="K101" s="12"/>
      <c r="L101" s="11"/>
      <c r="M101" s="2"/>
      <c r="R101" s="10"/>
      <c r="S101" s="10"/>
      <c r="T101" s="10"/>
    </row>
    <row r="102" spans="1:20" x14ac:dyDescent="0.2">
      <c r="A102" s="1"/>
      <c r="B102" s="1"/>
      <c r="E102" s="1"/>
      <c r="F102" s="19"/>
      <c r="I102" s="9"/>
      <c r="J102" s="5"/>
      <c r="K102" s="12"/>
      <c r="L102" s="11"/>
      <c r="M102" s="2"/>
      <c r="R102" s="10"/>
      <c r="S102" s="10"/>
      <c r="T102" s="10"/>
    </row>
    <row r="103" spans="1:20" x14ac:dyDescent="0.2">
      <c r="A103" s="1"/>
      <c r="B103" s="1"/>
      <c r="E103" s="1"/>
      <c r="F103" s="19"/>
      <c r="K103" s="12"/>
      <c r="L103" s="11"/>
      <c r="M103" s="2"/>
      <c r="R103" s="10"/>
      <c r="S103" s="10"/>
      <c r="T103" s="10"/>
    </row>
    <row r="104" spans="1:20" x14ac:dyDescent="0.2">
      <c r="A104" s="1"/>
      <c r="B104" s="1"/>
      <c r="E104" s="1"/>
      <c r="F104" s="19"/>
      <c r="K104" s="12"/>
      <c r="L104" s="11"/>
      <c r="M104" s="2"/>
      <c r="R104" s="10"/>
      <c r="S104" s="10"/>
      <c r="T104" s="10"/>
    </row>
    <row r="105" spans="1:20" x14ac:dyDescent="0.2">
      <c r="A105" s="1"/>
      <c r="B105" s="1"/>
      <c r="E105" s="1"/>
      <c r="F105" s="19"/>
      <c r="K105" s="12"/>
      <c r="L105" s="11"/>
      <c r="M105" s="2"/>
      <c r="R105" s="10"/>
      <c r="S105" s="10"/>
      <c r="T105" s="10"/>
    </row>
    <row r="106" spans="1:20" x14ac:dyDescent="0.2">
      <c r="A106" s="1"/>
      <c r="B106" s="1"/>
      <c r="E106" s="1"/>
      <c r="F106" s="19"/>
      <c r="K106" s="12"/>
      <c r="L106" s="11"/>
      <c r="M106" s="2"/>
      <c r="R106" s="10"/>
      <c r="S106" s="10"/>
      <c r="T106" s="10"/>
    </row>
    <row r="107" spans="1:20" x14ac:dyDescent="0.2">
      <c r="A107" s="1"/>
      <c r="B107" s="1"/>
      <c r="E107" s="1"/>
      <c r="F107" s="19"/>
      <c r="K107" s="12"/>
      <c r="L107" s="11"/>
      <c r="M107" s="2"/>
      <c r="R107" s="10"/>
      <c r="S107" s="10"/>
      <c r="T107" s="10"/>
    </row>
    <row r="108" spans="1:20" x14ac:dyDescent="0.2">
      <c r="A108" s="1"/>
      <c r="B108" s="1"/>
      <c r="E108" s="1"/>
      <c r="F108" s="19"/>
      <c r="K108" s="12"/>
      <c r="L108" s="11"/>
      <c r="M108" s="2"/>
      <c r="R108" s="10"/>
      <c r="S108" s="10"/>
      <c r="T108" s="10"/>
    </row>
    <row r="109" spans="1:20" x14ac:dyDescent="0.2">
      <c r="A109" s="1"/>
      <c r="B109" s="1"/>
      <c r="E109" s="1"/>
      <c r="F109" s="19"/>
      <c r="K109" s="12"/>
      <c r="L109" s="11"/>
      <c r="M109" s="2"/>
      <c r="R109" s="10"/>
      <c r="S109" s="10"/>
      <c r="T109" s="10"/>
    </row>
    <row r="110" spans="1:20" x14ac:dyDescent="0.2">
      <c r="A110" s="1"/>
      <c r="B110" s="1"/>
      <c r="E110" s="1"/>
      <c r="F110" s="19"/>
      <c r="I110" s="9"/>
      <c r="J110" s="7"/>
      <c r="K110" s="12"/>
      <c r="L110" s="11"/>
      <c r="M110" s="2"/>
      <c r="R110" s="10"/>
      <c r="S110" s="10"/>
      <c r="T110" s="10"/>
    </row>
    <row r="111" spans="1:20" x14ac:dyDescent="0.2">
      <c r="A111" s="1"/>
      <c r="B111" s="1"/>
      <c r="E111" s="1"/>
      <c r="F111" s="19"/>
      <c r="K111" s="12"/>
      <c r="L111" s="11"/>
      <c r="M111" s="2"/>
      <c r="R111" s="10"/>
      <c r="S111" s="10"/>
      <c r="T111" s="10"/>
    </row>
    <row r="112" spans="1:20" x14ac:dyDescent="0.2">
      <c r="A112" s="1"/>
      <c r="B112" s="1"/>
      <c r="E112" s="1"/>
      <c r="F112" s="19"/>
      <c r="K112" s="12"/>
      <c r="L112" s="11"/>
      <c r="M112" s="2"/>
      <c r="R112" s="10"/>
      <c r="S112" s="10"/>
      <c r="T112" s="10"/>
    </row>
    <row r="113" spans="1:20" x14ac:dyDescent="0.2">
      <c r="A113" s="1"/>
      <c r="B113" s="1"/>
      <c r="E113" s="1"/>
      <c r="F113" s="19"/>
      <c r="K113" s="12"/>
      <c r="L113" s="11"/>
      <c r="M113" s="2"/>
      <c r="R113" s="10"/>
      <c r="S113" s="10"/>
      <c r="T113" s="10"/>
    </row>
    <row r="114" spans="1:20" x14ac:dyDescent="0.2">
      <c r="A114" s="1"/>
      <c r="B114" s="1"/>
      <c r="E114" s="1"/>
      <c r="F114" s="19"/>
      <c r="K114" s="12"/>
      <c r="L114" s="11"/>
      <c r="M114" s="2"/>
      <c r="R114" s="10"/>
      <c r="S114" s="10"/>
      <c r="T114" s="10"/>
    </row>
    <row r="115" spans="1:20" x14ac:dyDescent="0.2">
      <c r="A115" s="1"/>
      <c r="B115" s="1"/>
      <c r="E115" s="1"/>
      <c r="F115" s="19"/>
      <c r="K115" s="12"/>
      <c r="L115" s="11"/>
      <c r="M115" s="2"/>
      <c r="R115" s="10"/>
      <c r="S115" s="10"/>
      <c r="T115" s="10"/>
    </row>
    <row r="116" spans="1:20" x14ac:dyDescent="0.2">
      <c r="A116" s="1"/>
      <c r="B116" s="1"/>
      <c r="E116" s="1"/>
      <c r="F116" s="19"/>
      <c r="I116" s="9"/>
      <c r="J116" s="5"/>
      <c r="K116" s="12"/>
      <c r="L116" s="11"/>
      <c r="M116" s="2"/>
      <c r="R116" s="10"/>
      <c r="S116" s="10"/>
      <c r="T116" s="10"/>
    </row>
    <row r="117" spans="1:20" x14ac:dyDescent="0.2">
      <c r="A117" s="1"/>
      <c r="B117" s="1"/>
      <c r="E117" s="1"/>
      <c r="F117" s="19"/>
      <c r="K117" s="12"/>
      <c r="L117" s="11"/>
      <c r="M117" s="2"/>
      <c r="R117" s="10"/>
      <c r="S117" s="10"/>
      <c r="T117" s="10"/>
    </row>
    <row r="118" spans="1:20" x14ac:dyDescent="0.2">
      <c r="A118" s="1"/>
      <c r="B118" s="1"/>
      <c r="E118" s="1"/>
      <c r="F118" s="19"/>
      <c r="K118" s="12"/>
      <c r="L118" s="11"/>
      <c r="M118" s="2"/>
      <c r="R118" s="10"/>
      <c r="S118" s="10"/>
      <c r="T118" s="10"/>
    </row>
    <row r="119" spans="1:20" x14ac:dyDescent="0.2">
      <c r="A119" s="1"/>
      <c r="B119" s="1"/>
      <c r="E119" s="1"/>
      <c r="F119" s="19"/>
      <c r="K119" s="12"/>
      <c r="L119" s="11"/>
      <c r="M119" s="2"/>
      <c r="R119" s="10"/>
      <c r="S119" s="10"/>
      <c r="T119" s="10"/>
    </row>
    <row r="120" spans="1:20" x14ac:dyDescent="0.2">
      <c r="A120" s="1"/>
      <c r="B120" s="1"/>
      <c r="E120" s="1"/>
      <c r="F120" s="19"/>
      <c r="K120" s="12"/>
      <c r="L120" s="11"/>
      <c r="M120" s="2"/>
      <c r="R120" s="10"/>
      <c r="S120" s="10"/>
      <c r="T120" s="10"/>
    </row>
    <row r="121" spans="1:20" x14ac:dyDescent="0.2">
      <c r="A121" s="1"/>
      <c r="B121" s="1"/>
      <c r="E121" s="1"/>
      <c r="F121" s="19"/>
      <c r="K121" s="12"/>
      <c r="L121" s="11"/>
      <c r="M121" s="2"/>
      <c r="R121" s="10"/>
      <c r="S121" s="10"/>
      <c r="T121" s="10"/>
    </row>
    <row r="122" spans="1:20" x14ac:dyDescent="0.2">
      <c r="A122" s="1"/>
      <c r="B122" s="1"/>
      <c r="E122" s="1"/>
      <c r="F122" s="19"/>
      <c r="I122" s="9"/>
      <c r="J122" s="7"/>
      <c r="K122" s="12"/>
      <c r="L122" s="11"/>
      <c r="M122" s="2"/>
      <c r="R122" s="10"/>
      <c r="S122" s="10"/>
      <c r="T122" s="10"/>
    </row>
    <row r="123" spans="1:20" x14ac:dyDescent="0.2">
      <c r="A123" s="1"/>
      <c r="B123" s="1"/>
      <c r="E123" s="1"/>
      <c r="F123" s="19"/>
      <c r="K123" s="12"/>
      <c r="L123" s="11"/>
      <c r="M123" s="2"/>
      <c r="R123" s="10"/>
      <c r="S123" s="10"/>
      <c r="T123" s="10"/>
    </row>
    <row r="124" spans="1:20" x14ac:dyDescent="0.2">
      <c r="A124" s="1"/>
      <c r="B124" s="1"/>
      <c r="E124" s="1"/>
      <c r="F124" s="19"/>
      <c r="K124" s="12"/>
      <c r="L124" s="11"/>
      <c r="M124" s="2"/>
      <c r="R124" s="10"/>
      <c r="S124" s="10"/>
      <c r="T124" s="10"/>
    </row>
    <row r="125" spans="1:20" x14ac:dyDescent="0.2">
      <c r="A125" s="1"/>
      <c r="B125" s="1"/>
      <c r="E125" s="1"/>
      <c r="F125" s="19"/>
      <c r="K125" s="12"/>
      <c r="L125" s="11"/>
      <c r="M125" s="2"/>
      <c r="R125" s="10"/>
      <c r="S125" s="10"/>
      <c r="T125" s="10"/>
    </row>
    <row r="126" spans="1:20" x14ac:dyDescent="0.2">
      <c r="A126" s="1"/>
      <c r="B126" s="1"/>
      <c r="E126" s="1"/>
      <c r="F126" s="19"/>
      <c r="I126" s="9"/>
      <c r="J126" s="7"/>
      <c r="K126" s="12"/>
      <c r="L126" s="11"/>
      <c r="M126" s="2"/>
      <c r="R126" s="10"/>
      <c r="S126" s="10"/>
      <c r="T126" s="10"/>
    </row>
    <row r="127" spans="1:20" x14ac:dyDescent="0.2">
      <c r="A127" s="1"/>
      <c r="B127" s="1"/>
      <c r="E127" s="1"/>
      <c r="F127" s="19"/>
      <c r="I127" s="9"/>
      <c r="J127" s="7"/>
      <c r="K127" s="12"/>
      <c r="L127" s="11"/>
      <c r="M127" s="2"/>
      <c r="R127" s="10"/>
      <c r="S127" s="10"/>
      <c r="T127" s="10"/>
    </row>
    <row r="128" spans="1:20" x14ac:dyDescent="0.2">
      <c r="A128" s="1"/>
      <c r="B128" s="1"/>
      <c r="E128" s="1"/>
      <c r="F128" s="19"/>
      <c r="K128" s="12"/>
      <c r="L128" s="11"/>
      <c r="M128" s="2"/>
      <c r="R128" s="10"/>
      <c r="S128" s="10"/>
      <c r="T128" s="10"/>
    </row>
    <row r="129" spans="1:20" x14ac:dyDescent="0.2">
      <c r="A129" s="1"/>
      <c r="B129" s="1"/>
      <c r="E129" s="1"/>
      <c r="F129" s="19"/>
      <c r="K129" s="12"/>
      <c r="L129" s="11"/>
      <c r="M129" s="2"/>
      <c r="R129" s="10"/>
      <c r="S129" s="10"/>
      <c r="T129" s="10"/>
    </row>
    <row r="130" spans="1:20" x14ac:dyDescent="0.2">
      <c r="A130" s="1"/>
      <c r="B130" s="1"/>
      <c r="E130" s="1"/>
      <c r="F130" s="19"/>
      <c r="K130" s="12"/>
      <c r="L130" s="11"/>
      <c r="M130" s="2"/>
      <c r="R130" s="10"/>
      <c r="S130" s="10"/>
      <c r="T130" s="10"/>
    </row>
    <row r="131" spans="1:20" x14ac:dyDescent="0.2">
      <c r="A131" s="1"/>
      <c r="B131" s="1"/>
      <c r="E131" s="1"/>
      <c r="K131" s="12"/>
      <c r="L131" s="11"/>
      <c r="M131" s="2"/>
      <c r="R131" s="10"/>
      <c r="S131" s="10"/>
      <c r="T131" s="10"/>
    </row>
    <row r="132" spans="1:20" x14ac:dyDescent="0.2">
      <c r="A132" s="1"/>
      <c r="B132" s="1"/>
      <c r="E132" s="1"/>
      <c r="I132" s="9"/>
      <c r="J132" s="5"/>
      <c r="K132" s="12"/>
      <c r="L132" s="11"/>
      <c r="M132" s="2"/>
      <c r="R132" s="10"/>
      <c r="S132" s="10"/>
      <c r="T132" s="10"/>
    </row>
    <row r="133" spans="1:20" x14ac:dyDescent="0.2">
      <c r="A133" s="1"/>
      <c r="B133" s="1"/>
      <c r="E133" s="1"/>
      <c r="K133" s="12"/>
      <c r="L133" s="11"/>
      <c r="M133" s="2"/>
      <c r="R133" s="10"/>
      <c r="S133" s="10"/>
      <c r="T133" s="10"/>
    </row>
    <row r="134" spans="1:20" x14ac:dyDescent="0.2">
      <c r="A134" s="1"/>
      <c r="B134" s="1"/>
      <c r="E134" s="1"/>
      <c r="K134" s="12"/>
      <c r="L134" s="11"/>
      <c r="M134" s="2"/>
      <c r="R134" s="10"/>
      <c r="S134" s="10"/>
      <c r="T134" s="10"/>
    </row>
    <row r="135" spans="1:20" x14ac:dyDescent="0.2">
      <c r="A135" s="1"/>
      <c r="B135" s="1"/>
      <c r="E135" s="1"/>
      <c r="K135" s="12"/>
      <c r="L135" s="11"/>
      <c r="M135" s="2"/>
      <c r="R135" s="10"/>
      <c r="S135" s="10"/>
      <c r="T135" s="10"/>
    </row>
    <row r="136" spans="1:20" x14ac:dyDescent="0.2">
      <c r="A136" s="1"/>
      <c r="B136" s="1"/>
      <c r="E136" s="1"/>
      <c r="F136" s="1"/>
      <c r="K136" s="12"/>
      <c r="L136" s="11"/>
      <c r="M136" s="1"/>
      <c r="R136" s="10"/>
      <c r="S136" s="10"/>
      <c r="T136" s="10"/>
    </row>
    <row r="137" spans="1:20" x14ac:dyDescent="0.2">
      <c r="A137" s="1"/>
      <c r="B137" s="1"/>
      <c r="E137" s="1"/>
      <c r="F137" s="1"/>
      <c r="K137" s="12"/>
      <c r="L137" s="11"/>
      <c r="M137" s="1"/>
      <c r="R137" s="10"/>
      <c r="S137" s="10"/>
      <c r="T137" s="10"/>
    </row>
    <row r="138" spans="1:20" x14ac:dyDescent="0.2">
      <c r="A138" s="1"/>
      <c r="B138" s="1"/>
      <c r="E138" s="1"/>
      <c r="F138" s="1"/>
      <c r="K138" s="12"/>
      <c r="L138" s="11"/>
      <c r="M138" s="1"/>
      <c r="R138" s="10"/>
      <c r="S138" s="10"/>
      <c r="T138" s="10"/>
    </row>
    <row r="139" spans="1:20" x14ac:dyDescent="0.2">
      <c r="A139" s="1"/>
      <c r="B139" s="1"/>
      <c r="E139" s="1"/>
      <c r="F139" s="1"/>
      <c r="I139" s="9"/>
      <c r="J139" s="5"/>
      <c r="K139" s="12"/>
      <c r="L139" s="11"/>
      <c r="M139" s="1"/>
      <c r="R139" s="10"/>
      <c r="S139" s="10"/>
      <c r="T139" s="10"/>
    </row>
    <row r="140" spans="1:20" x14ac:dyDescent="0.2">
      <c r="A140" s="1"/>
      <c r="B140" s="1"/>
      <c r="E140" s="1"/>
      <c r="K140" s="12"/>
      <c r="L140" s="11"/>
      <c r="M140" s="2"/>
      <c r="R140" s="10"/>
      <c r="S140" s="10"/>
      <c r="T140" s="10"/>
    </row>
    <row r="141" spans="1:20" x14ac:dyDescent="0.2">
      <c r="A141" s="1"/>
      <c r="B141" s="1"/>
      <c r="E141" s="1"/>
      <c r="K141" s="12"/>
      <c r="L141" s="11"/>
      <c r="M141" s="2"/>
      <c r="R141" s="10"/>
      <c r="S141" s="10"/>
      <c r="T141" s="10"/>
    </row>
    <row r="142" spans="1:20" x14ac:dyDescent="0.2">
      <c r="A142" s="1"/>
      <c r="B142" s="1"/>
      <c r="E142" s="1"/>
      <c r="K142" s="12"/>
      <c r="L142" s="11"/>
      <c r="M142" s="2"/>
      <c r="R142" s="10"/>
      <c r="S142" s="10"/>
      <c r="T142" s="10"/>
    </row>
    <row r="143" spans="1:20" x14ac:dyDescent="0.2">
      <c r="A143" s="1"/>
      <c r="B143" s="1"/>
      <c r="E143" s="1"/>
      <c r="K143" s="12"/>
      <c r="L143" s="11"/>
      <c r="M143" s="2"/>
      <c r="R143" s="10"/>
      <c r="S143" s="10"/>
      <c r="T143" s="10"/>
    </row>
    <row r="144" spans="1:20" x14ac:dyDescent="0.2">
      <c r="A144" s="1"/>
      <c r="B144" s="1"/>
      <c r="E144" s="1"/>
      <c r="K144" s="12"/>
      <c r="L144" s="11"/>
      <c r="M144" s="2"/>
      <c r="R144" s="10"/>
      <c r="S144" s="10"/>
      <c r="T144" s="10"/>
    </row>
    <row r="145" spans="1:20" x14ac:dyDescent="0.2">
      <c r="A145" s="1"/>
      <c r="B145" s="1"/>
      <c r="E145" s="1"/>
      <c r="F145" s="1"/>
      <c r="K145" s="12"/>
      <c r="L145" s="11"/>
      <c r="M145" s="2"/>
      <c r="R145" s="10"/>
      <c r="S145" s="10"/>
      <c r="T145" s="10"/>
    </row>
    <row r="146" spans="1:20" x14ac:dyDescent="0.2">
      <c r="A146" s="1"/>
      <c r="B146" s="1"/>
      <c r="E146" s="1"/>
      <c r="F146" s="1"/>
      <c r="I146" s="4"/>
      <c r="K146" s="12"/>
      <c r="L146" s="11"/>
      <c r="M146" s="2"/>
      <c r="R146" s="10"/>
      <c r="S146" s="10"/>
      <c r="T146" s="10"/>
    </row>
    <row r="147" spans="1:20" x14ac:dyDescent="0.2">
      <c r="A147" s="1"/>
      <c r="B147" s="1"/>
      <c r="E147" s="1"/>
      <c r="F147" s="1"/>
      <c r="I147" s="4"/>
      <c r="K147" s="12"/>
      <c r="L147" s="11"/>
      <c r="M147" s="2"/>
      <c r="R147" s="10"/>
      <c r="S147" s="10"/>
      <c r="T147" s="10"/>
    </row>
    <row r="148" spans="1:20" x14ac:dyDescent="0.2">
      <c r="A148" s="1"/>
      <c r="B148" s="1"/>
      <c r="E148" s="1"/>
      <c r="F148" s="1"/>
      <c r="K148" s="12"/>
      <c r="L148" s="11"/>
      <c r="M148" s="2"/>
      <c r="R148" s="10"/>
      <c r="S148" s="10"/>
      <c r="T148" s="10"/>
    </row>
    <row r="149" spans="1:20" x14ac:dyDescent="0.2">
      <c r="A149" s="1"/>
      <c r="B149" s="1"/>
      <c r="E149" s="1"/>
      <c r="F149" s="1"/>
      <c r="K149" s="12"/>
      <c r="L149" s="11"/>
      <c r="M149" s="2"/>
      <c r="R149" s="10"/>
      <c r="S149" s="10"/>
      <c r="T149" s="10"/>
    </row>
    <row r="150" spans="1:20" x14ac:dyDescent="0.2">
      <c r="A150" s="1"/>
      <c r="B150" s="1"/>
      <c r="E150" s="1"/>
      <c r="F150" s="1"/>
      <c r="K150" s="12"/>
      <c r="L150" s="11"/>
      <c r="M150" s="2"/>
      <c r="R150" s="10"/>
      <c r="S150" s="10"/>
      <c r="T150" s="10"/>
    </row>
    <row r="151" spans="1:20" x14ac:dyDescent="0.2">
      <c r="A151" s="1"/>
      <c r="B151" s="1"/>
      <c r="E151" s="1"/>
      <c r="F151" s="1"/>
      <c r="K151" s="12"/>
      <c r="L151" s="11"/>
      <c r="M151" s="2"/>
      <c r="R151" s="10"/>
      <c r="S151" s="10"/>
      <c r="T151" s="10"/>
    </row>
    <row r="152" spans="1:20" x14ac:dyDescent="0.2">
      <c r="A152" s="1"/>
      <c r="B152" s="1"/>
      <c r="E152" s="1"/>
      <c r="F152" s="1"/>
      <c r="K152" s="12"/>
      <c r="L152" s="11"/>
      <c r="M152" s="2"/>
      <c r="R152" s="10"/>
      <c r="S152" s="10"/>
      <c r="T152" s="10"/>
    </row>
    <row r="153" spans="1:20" x14ac:dyDescent="0.2">
      <c r="A153" s="1"/>
      <c r="B153" s="1"/>
      <c r="E153" s="1"/>
      <c r="F153" s="1"/>
      <c r="K153" s="12"/>
      <c r="L153" s="11"/>
      <c r="M153" s="2"/>
      <c r="R153" s="10"/>
      <c r="S153" s="10"/>
      <c r="T153" s="10"/>
    </row>
    <row r="154" spans="1:20" x14ac:dyDescent="0.2">
      <c r="A154" s="1"/>
      <c r="B154" s="1"/>
      <c r="E154" s="1"/>
      <c r="F154" s="1"/>
      <c r="K154" s="12"/>
      <c r="L154" s="11"/>
      <c r="M154" s="2"/>
      <c r="R154" s="10"/>
      <c r="S154" s="10"/>
      <c r="T154" s="10"/>
    </row>
    <row r="155" spans="1:20" x14ac:dyDescent="0.2">
      <c r="A155" s="1"/>
      <c r="B155" s="1"/>
      <c r="E155" s="1"/>
      <c r="F155" s="1"/>
      <c r="K155" s="12"/>
      <c r="L155" s="11"/>
      <c r="M155" s="2"/>
      <c r="R155" s="10"/>
      <c r="S155" s="10"/>
      <c r="T155" s="10"/>
    </row>
    <row r="156" spans="1:20" x14ac:dyDescent="0.2">
      <c r="A156" s="1"/>
      <c r="B156" s="1"/>
      <c r="E156" s="1"/>
      <c r="F156" s="1"/>
      <c r="K156" s="12"/>
      <c r="L156" s="11"/>
      <c r="M156" s="2"/>
      <c r="R156" s="10"/>
      <c r="S156" s="10"/>
      <c r="T156" s="10"/>
    </row>
    <row r="157" spans="1:20" x14ac:dyDescent="0.2">
      <c r="A157" s="1"/>
      <c r="B157" s="1"/>
      <c r="E157" s="1"/>
      <c r="F157" s="1"/>
      <c r="K157" s="12"/>
      <c r="L157" s="11"/>
      <c r="M157" s="2"/>
      <c r="R157" s="10"/>
      <c r="S157" s="10"/>
      <c r="T157" s="10"/>
    </row>
    <row r="158" spans="1:20" x14ac:dyDescent="0.2">
      <c r="A158" s="1"/>
      <c r="B158" s="1"/>
      <c r="E158" s="1"/>
      <c r="F158" s="1"/>
      <c r="K158" s="12"/>
      <c r="L158" s="11"/>
      <c r="M158" s="2"/>
      <c r="R158" s="10"/>
      <c r="S158" s="10"/>
      <c r="T158" s="10"/>
    </row>
    <row r="159" spans="1:20" x14ac:dyDescent="0.2">
      <c r="A159" s="1"/>
      <c r="B159" s="1"/>
      <c r="E159" s="1"/>
      <c r="F159" s="1"/>
      <c r="K159" s="12"/>
      <c r="L159" s="11"/>
      <c r="M159" s="2"/>
      <c r="R159" s="10"/>
      <c r="S159" s="10"/>
      <c r="T159" s="10"/>
    </row>
    <row r="160" spans="1:20" x14ac:dyDescent="0.2">
      <c r="A160" s="1"/>
      <c r="B160" s="1"/>
      <c r="E160" s="1"/>
      <c r="F160" s="1"/>
      <c r="K160" s="12"/>
      <c r="L160" s="11"/>
      <c r="M160" s="2"/>
      <c r="R160" s="10"/>
      <c r="S160" s="10"/>
      <c r="T160" s="10"/>
    </row>
    <row r="161" spans="1:20" x14ac:dyDescent="0.2">
      <c r="A161" s="1"/>
      <c r="B161" s="1"/>
      <c r="E161" s="1"/>
      <c r="F161" s="1"/>
      <c r="K161" s="12"/>
      <c r="L161" s="11"/>
      <c r="M161" s="2"/>
      <c r="R161" s="10"/>
      <c r="S161" s="10"/>
      <c r="T161" s="10"/>
    </row>
    <row r="162" spans="1:20" x14ac:dyDescent="0.2">
      <c r="A162" s="1"/>
      <c r="B162" s="1"/>
      <c r="E162" s="1"/>
      <c r="F162" s="1"/>
      <c r="K162" s="12"/>
      <c r="L162" s="11"/>
      <c r="M162" s="2"/>
      <c r="R162" s="10"/>
      <c r="S162" s="10"/>
      <c r="T162" s="10"/>
    </row>
    <row r="163" spans="1:20" x14ac:dyDescent="0.2">
      <c r="A163" s="1"/>
      <c r="B163" s="1"/>
      <c r="E163" s="1"/>
      <c r="F163" s="1"/>
      <c r="K163" s="12"/>
      <c r="L163" s="11"/>
      <c r="M163" s="2"/>
      <c r="R163" s="10"/>
      <c r="S163" s="10"/>
      <c r="T163" s="10"/>
    </row>
    <row r="164" spans="1:20" x14ac:dyDescent="0.2">
      <c r="A164" s="1"/>
      <c r="B164" s="1"/>
      <c r="E164" s="1"/>
      <c r="K164" s="12"/>
      <c r="L164" s="11"/>
      <c r="M164" s="1"/>
      <c r="R164" s="10"/>
      <c r="S164" s="10"/>
      <c r="T164" s="10"/>
    </row>
    <row r="165" spans="1:20" x14ac:dyDescent="0.2">
      <c r="A165" s="1"/>
      <c r="B165" s="1"/>
      <c r="E165" s="1"/>
      <c r="K165" s="12"/>
      <c r="L165" s="11"/>
      <c r="M165" s="1"/>
      <c r="R165" s="10"/>
      <c r="S165" s="10"/>
      <c r="T165" s="10"/>
    </row>
    <row r="166" spans="1:20" x14ac:dyDescent="0.2">
      <c r="A166" s="1"/>
      <c r="B166" s="1"/>
      <c r="E166" s="1"/>
      <c r="K166" s="12"/>
      <c r="L166" s="11"/>
      <c r="M166" s="1"/>
      <c r="R166" s="10"/>
      <c r="S166" s="10"/>
      <c r="T166" s="10"/>
    </row>
    <row r="167" spans="1:20" x14ac:dyDescent="0.2">
      <c r="A167" s="1"/>
      <c r="B167" s="1"/>
      <c r="E167" s="1"/>
      <c r="K167" s="12"/>
      <c r="L167" s="11"/>
      <c r="M167" s="1"/>
      <c r="R167" s="10"/>
      <c r="S167" s="10"/>
      <c r="T167" s="10"/>
    </row>
    <row r="168" spans="1:20" x14ac:dyDescent="0.2">
      <c r="A168" s="1"/>
      <c r="B168" s="1"/>
      <c r="E168" s="1"/>
      <c r="K168" s="12"/>
      <c r="L168" s="11"/>
      <c r="M168" s="1"/>
      <c r="R168" s="10"/>
      <c r="S168" s="10"/>
      <c r="T168" s="10"/>
    </row>
    <row r="169" spans="1:20" x14ac:dyDescent="0.2">
      <c r="A169" s="1"/>
      <c r="B169" s="1"/>
      <c r="E169" s="1"/>
      <c r="K169" s="12"/>
      <c r="L169" s="11"/>
      <c r="M169" s="1"/>
      <c r="R169" s="10"/>
      <c r="S169" s="10"/>
      <c r="T169" s="10"/>
    </row>
    <row r="170" spans="1:20" x14ac:dyDescent="0.2">
      <c r="A170" s="1"/>
      <c r="B170" s="1"/>
      <c r="F170" s="1"/>
      <c r="K170" s="12"/>
      <c r="L170" s="11"/>
      <c r="M170" s="1"/>
      <c r="R170" s="10"/>
      <c r="S170" s="10"/>
      <c r="T170" s="10"/>
    </row>
    <row r="171" spans="1:20" x14ac:dyDescent="0.2">
      <c r="A171" s="1"/>
      <c r="B171" s="1"/>
      <c r="F171" s="1"/>
      <c r="K171" s="12"/>
      <c r="L171" s="11"/>
      <c r="M171" s="1"/>
      <c r="R171" s="10"/>
      <c r="S171" s="10"/>
      <c r="T171" s="10"/>
    </row>
    <row r="172" spans="1:20" x14ac:dyDescent="0.2">
      <c r="A172" s="1"/>
      <c r="B172" s="1"/>
      <c r="F172" s="1"/>
      <c r="K172" s="12"/>
      <c r="L172" s="11"/>
      <c r="M172" s="1"/>
      <c r="R172" s="10"/>
      <c r="S172" s="10"/>
      <c r="T172" s="10"/>
    </row>
    <row r="173" spans="1:20" x14ac:dyDescent="0.2">
      <c r="A173" s="1"/>
      <c r="B173" s="1"/>
      <c r="F173" s="1"/>
      <c r="K173" s="12"/>
      <c r="L173" s="11"/>
      <c r="M173" s="1"/>
      <c r="R173" s="10"/>
      <c r="S173" s="10"/>
      <c r="T173" s="10"/>
    </row>
    <row r="174" spans="1:20" x14ac:dyDescent="0.2">
      <c r="A174" s="1"/>
      <c r="B174" s="1"/>
      <c r="E174" s="1"/>
      <c r="F174" s="1"/>
      <c r="K174" s="12"/>
      <c r="L174" s="11"/>
      <c r="M174" s="1"/>
      <c r="R174" s="10"/>
      <c r="S174" s="10"/>
      <c r="T174" s="10"/>
    </row>
    <row r="175" spans="1:20" x14ac:dyDescent="0.2">
      <c r="A175" s="1"/>
      <c r="B175" s="1"/>
      <c r="E175" s="1"/>
      <c r="F175" s="1"/>
      <c r="K175" s="12"/>
      <c r="L175" s="11"/>
      <c r="M175" s="1"/>
      <c r="R175" s="10"/>
      <c r="S175" s="10"/>
      <c r="T175" s="10"/>
    </row>
    <row r="176" spans="1:20" x14ac:dyDescent="0.2">
      <c r="A176" s="1"/>
      <c r="B176" s="1"/>
      <c r="E176" s="1"/>
      <c r="F176" s="19"/>
      <c r="I176" s="9"/>
      <c r="J176" s="5"/>
      <c r="K176" s="12"/>
      <c r="L176" s="11"/>
      <c r="M176" s="1"/>
      <c r="R176" s="10"/>
      <c r="S176" s="10"/>
    </row>
    <row r="177" spans="1:19" x14ac:dyDescent="0.2">
      <c r="A177" s="1"/>
      <c r="B177" s="1"/>
      <c r="E177" s="1"/>
      <c r="F177" s="19"/>
      <c r="K177" s="12"/>
      <c r="L177" s="11"/>
      <c r="M177" s="1"/>
      <c r="R177" s="10"/>
      <c r="S177" s="10"/>
    </row>
    <row r="178" spans="1:19" x14ac:dyDescent="0.2">
      <c r="A178" s="1"/>
      <c r="B178" s="1"/>
      <c r="E178" s="1"/>
      <c r="F178" s="19"/>
      <c r="K178" s="12"/>
      <c r="L178" s="11"/>
      <c r="M178" s="1"/>
      <c r="R178" s="10"/>
      <c r="S178" s="10"/>
    </row>
    <row r="179" spans="1:19" x14ac:dyDescent="0.2">
      <c r="A179" s="1"/>
      <c r="B179" s="1"/>
      <c r="E179" s="1"/>
      <c r="F179" s="19"/>
      <c r="K179" s="12"/>
      <c r="L179" s="11"/>
      <c r="M179" s="1"/>
      <c r="R179" s="10"/>
      <c r="S179" s="10"/>
    </row>
    <row r="180" spans="1:19" x14ac:dyDescent="0.2">
      <c r="A180" s="1"/>
      <c r="B180" s="1"/>
      <c r="E180" s="1"/>
      <c r="F180" s="19"/>
      <c r="K180" s="12"/>
      <c r="L180" s="11"/>
      <c r="M180" s="1"/>
      <c r="R180" s="10"/>
      <c r="S180" s="10"/>
    </row>
    <row r="181" spans="1:19" x14ac:dyDescent="0.2">
      <c r="A181" s="1"/>
      <c r="B181" s="1"/>
      <c r="E181" s="1"/>
      <c r="F181" s="19"/>
      <c r="K181" s="12"/>
      <c r="L181" s="11"/>
      <c r="M181" s="1"/>
      <c r="R181" s="10"/>
      <c r="S181" s="10"/>
    </row>
    <row r="182" spans="1:19" x14ac:dyDescent="0.2">
      <c r="A182" s="1"/>
      <c r="B182" s="1"/>
      <c r="E182" s="1"/>
      <c r="F182" s="19"/>
      <c r="K182" s="12"/>
      <c r="L182" s="11"/>
      <c r="M182" s="1"/>
      <c r="R182" s="10"/>
      <c r="S182" s="10"/>
    </row>
    <row r="183" spans="1:19" x14ac:dyDescent="0.2">
      <c r="A183" s="1"/>
      <c r="B183" s="1"/>
      <c r="E183" s="1"/>
      <c r="F183" s="19"/>
      <c r="K183" s="12"/>
      <c r="L183" s="11"/>
      <c r="M183" s="1"/>
      <c r="R183" s="10"/>
      <c r="S183" s="10"/>
    </row>
    <row r="184" spans="1:19" x14ac:dyDescent="0.2">
      <c r="A184" s="1"/>
      <c r="B184" s="1"/>
      <c r="E184" s="1"/>
      <c r="F184" s="19"/>
      <c r="K184" s="12"/>
      <c r="L184" s="11"/>
      <c r="M184" s="1"/>
      <c r="R184" s="10"/>
      <c r="S184" s="10"/>
    </row>
    <row r="185" spans="1:19" x14ac:dyDescent="0.2">
      <c r="A185" s="1"/>
      <c r="B185" s="1"/>
      <c r="E185" s="1"/>
      <c r="F185" s="19"/>
      <c r="K185" s="12"/>
      <c r="L185" s="11"/>
      <c r="M185" s="1"/>
      <c r="R185" s="10"/>
      <c r="S185" s="10"/>
    </row>
    <row r="186" spans="1:19" x14ac:dyDescent="0.2">
      <c r="A186" s="1"/>
      <c r="B186" s="1"/>
      <c r="E186" s="1"/>
      <c r="F186" s="19"/>
      <c r="K186" s="12"/>
      <c r="L186" s="11"/>
      <c r="M186" s="1"/>
      <c r="R186" s="10"/>
      <c r="S186" s="10"/>
    </row>
    <row r="187" spans="1:19" x14ac:dyDescent="0.2">
      <c r="A187" s="1"/>
      <c r="B187" s="1"/>
      <c r="E187" s="1"/>
      <c r="F187" s="19"/>
      <c r="K187" s="12"/>
      <c r="L187" s="11"/>
      <c r="M187" s="1"/>
      <c r="R187" s="10"/>
      <c r="S187" s="10"/>
    </row>
    <row r="188" spans="1:19" x14ac:dyDescent="0.2">
      <c r="A188" s="1"/>
      <c r="B188" s="1"/>
      <c r="E188" s="1"/>
      <c r="F188" s="19"/>
      <c r="K188" s="12"/>
      <c r="L188" s="11"/>
      <c r="M188" s="1"/>
      <c r="R188" s="10"/>
      <c r="S188" s="10"/>
    </row>
    <row r="189" spans="1:19" x14ac:dyDescent="0.2">
      <c r="A189" s="1"/>
      <c r="B189" s="1"/>
      <c r="E189" s="1"/>
      <c r="F189" s="19"/>
      <c r="K189" s="12"/>
      <c r="L189" s="11"/>
      <c r="M189" s="1"/>
      <c r="R189" s="10"/>
      <c r="S189" s="10"/>
    </row>
    <row r="190" spans="1:19" x14ac:dyDescent="0.2">
      <c r="A190" s="1"/>
      <c r="B190" s="1"/>
      <c r="E190" s="1"/>
      <c r="F190" s="19"/>
      <c r="K190" s="12"/>
      <c r="L190" s="11"/>
      <c r="M190" s="1"/>
      <c r="R190" s="10"/>
      <c r="S190" s="10"/>
    </row>
    <row r="191" spans="1:19" x14ac:dyDescent="0.2">
      <c r="A191" s="1"/>
      <c r="B191" s="1"/>
      <c r="E191" s="1"/>
      <c r="F191" s="19"/>
      <c r="K191" s="12"/>
      <c r="L191" s="11"/>
      <c r="M191" s="1"/>
      <c r="R191" s="10"/>
      <c r="S191" s="10"/>
    </row>
    <row r="192" spans="1:19" x14ac:dyDescent="0.2">
      <c r="A192" s="1"/>
      <c r="B192" s="1"/>
      <c r="E192" s="1"/>
      <c r="F192" s="19"/>
      <c r="K192" s="12"/>
      <c r="L192" s="11"/>
      <c r="M192" s="1"/>
      <c r="R192" s="10"/>
      <c r="S192" s="10"/>
    </row>
    <row r="193" spans="1:19" x14ac:dyDescent="0.2">
      <c r="A193" s="1"/>
      <c r="B193" s="1"/>
      <c r="E193" s="1"/>
      <c r="F193" s="19"/>
      <c r="I193" s="9"/>
      <c r="J193" s="5"/>
      <c r="K193" s="12"/>
      <c r="L193" s="11"/>
      <c r="M193" s="1"/>
      <c r="R193" s="10"/>
      <c r="S193" s="10"/>
    </row>
    <row r="194" spans="1:19" x14ac:dyDescent="0.2">
      <c r="A194" s="1"/>
      <c r="B194" s="1"/>
      <c r="E194" s="1"/>
      <c r="F194" s="19"/>
      <c r="K194" s="12"/>
      <c r="L194" s="11"/>
      <c r="M194" s="1"/>
      <c r="R194" s="10"/>
      <c r="S194" s="10"/>
    </row>
    <row r="195" spans="1:19" x14ac:dyDescent="0.2">
      <c r="A195" s="1"/>
      <c r="B195" s="1"/>
      <c r="E195" s="1"/>
      <c r="F195" s="19"/>
      <c r="K195" s="12"/>
      <c r="L195" s="11"/>
      <c r="M195" s="1"/>
      <c r="R195" s="10"/>
      <c r="S195" s="10"/>
    </row>
    <row r="196" spans="1:19" x14ac:dyDescent="0.2">
      <c r="A196" s="1"/>
      <c r="B196" s="1"/>
      <c r="C196" s="1"/>
      <c r="E196" s="1"/>
      <c r="F196" s="19"/>
      <c r="K196" s="12"/>
      <c r="L196" s="11"/>
      <c r="M196" s="1"/>
      <c r="R196" s="10"/>
      <c r="S196" s="10"/>
    </row>
    <row r="197" spans="1:19" x14ac:dyDescent="0.2">
      <c r="A197" s="1"/>
      <c r="B197" s="1"/>
      <c r="C197" s="1"/>
      <c r="E197" s="1"/>
      <c r="F197" s="19"/>
      <c r="K197" s="12"/>
      <c r="L197" s="11"/>
      <c r="M197" s="1"/>
      <c r="R197" s="10"/>
      <c r="S197" s="10"/>
    </row>
    <row r="198" spans="1:19" x14ac:dyDescent="0.2">
      <c r="A198" s="1"/>
      <c r="B198" s="1"/>
      <c r="C198" s="1"/>
      <c r="E198" s="1"/>
      <c r="F198" s="19"/>
      <c r="K198" s="12"/>
      <c r="L198" s="11"/>
      <c r="M198" s="1"/>
      <c r="R198" s="10"/>
      <c r="S198" s="10"/>
    </row>
    <row r="199" spans="1:19" x14ac:dyDescent="0.2">
      <c r="A199" s="1"/>
      <c r="B199" s="1"/>
      <c r="C199" s="1"/>
      <c r="E199" s="1"/>
      <c r="F199" s="19"/>
      <c r="K199" s="12"/>
      <c r="L199" s="11"/>
      <c r="M199" s="1"/>
      <c r="R199" s="10"/>
      <c r="S199" s="10"/>
    </row>
    <row r="200" spans="1:19" x14ac:dyDescent="0.2">
      <c r="A200" s="1"/>
      <c r="B200" s="1"/>
      <c r="C200" s="1"/>
      <c r="E200" s="1"/>
      <c r="F200" s="21"/>
      <c r="K200" s="12"/>
      <c r="L200" s="11"/>
      <c r="M200" s="1"/>
      <c r="R200" s="10"/>
      <c r="S200" s="10"/>
    </row>
    <row r="201" spans="1:19" x14ac:dyDescent="0.2">
      <c r="A201" s="1"/>
      <c r="B201" s="1"/>
      <c r="C201" s="1"/>
      <c r="E201" s="1"/>
      <c r="F201" s="21"/>
      <c r="K201" s="12"/>
      <c r="L201" s="11"/>
      <c r="M201" s="1"/>
      <c r="R201" s="10"/>
      <c r="S201" s="10"/>
    </row>
    <row r="202" spans="1:19" x14ac:dyDescent="0.2">
      <c r="A202" s="1"/>
      <c r="B202" s="1"/>
      <c r="C202" s="1"/>
      <c r="E202" s="1"/>
      <c r="F202" s="21"/>
      <c r="K202" s="12"/>
      <c r="L202" s="11"/>
      <c r="M202" s="1"/>
      <c r="R202" s="10"/>
      <c r="S202" s="10"/>
    </row>
    <row r="203" spans="1:19" x14ac:dyDescent="0.2">
      <c r="A203" s="1"/>
      <c r="B203" s="1"/>
      <c r="C203" s="1"/>
      <c r="E203" s="1"/>
      <c r="F203" s="21"/>
      <c r="K203" s="12"/>
      <c r="L203" s="11"/>
      <c r="M203" s="1"/>
      <c r="R203" s="10"/>
      <c r="S203" s="10"/>
    </row>
    <row r="204" spans="1:19" x14ac:dyDescent="0.2">
      <c r="A204" s="1"/>
      <c r="B204" s="1"/>
      <c r="C204" s="1"/>
      <c r="E204" s="1"/>
      <c r="F204" s="21"/>
      <c r="K204" s="12"/>
      <c r="L204" s="11"/>
      <c r="M204" s="1"/>
      <c r="R204" s="10"/>
      <c r="S204" s="10"/>
    </row>
    <row r="205" spans="1:19" x14ac:dyDescent="0.2">
      <c r="A205" s="1"/>
      <c r="B205" s="1"/>
      <c r="C205" s="1"/>
      <c r="E205" s="1"/>
      <c r="F205" s="21"/>
      <c r="K205" s="12"/>
      <c r="L205" s="11"/>
      <c r="M205" s="1"/>
      <c r="R205" s="10"/>
      <c r="S205" s="10"/>
    </row>
    <row r="206" spans="1:19" x14ac:dyDescent="0.2">
      <c r="A206" s="1"/>
      <c r="B206" s="1"/>
      <c r="C206" s="1"/>
      <c r="E206" s="1"/>
      <c r="F206" s="21"/>
      <c r="K206" s="12"/>
      <c r="L206" s="11"/>
      <c r="M206" s="1"/>
      <c r="R206" s="10"/>
      <c r="S206" s="10"/>
    </row>
    <row r="207" spans="1:19" x14ac:dyDescent="0.2">
      <c r="A207" s="1"/>
      <c r="B207" s="1"/>
      <c r="C207" s="1"/>
      <c r="E207" s="1"/>
      <c r="F207" s="21"/>
      <c r="K207" s="12"/>
      <c r="L207" s="11"/>
      <c r="M207" s="1"/>
      <c r="R207" s="10"/>
      <c r="S207" s="10"/>
    </row>
    <row r="208" spans="1:19" x14ac:dyDescent="0.2">
      <c r="A208" s="1"/>
      <c r="B208" s="1"/>
      <c r="C208" s="1"/>
      <c r="E208" s="1"/>
      <c r="F208" s="21"/>
      <c r="K208" s="12"/>
      <c r="L208" s="11"/>
      <c r="M208" s="1"/>
      <c r="R208" s="10"/>
      <c r="S208" s="10"/>
    </row>
    <row r="209" spans="1:19" x14ac:dyDescent="0.2">
      <c r="A209" s="1"/>
      <c r="B209" s="1"/>
      <c r="C209" s="1"/>
      <c r="E209" s="1"/>
      <c r="F209" s="21"/>
      <c r="I209" s="9"/>
      <c r="J209" s="7"/>
      <c r="K209" s="12"/>
      <c r="L209" s="11"/>
      <c r="M209" s="1"/>
      <c r="R209" s="10"/>
      <c r="S209" s="10"/>
    </row>
    <row r="210" spans="1:19" x14ac:dyDescent="0.2">
      <c r="A210" s="1"/>
      <c r="B210" s="1"/>
      <c r="E210" s="1"/>
      <c r="F210" s="1"/>
      <c r="K210" s="12"/>
      <c r="L210" s="11"/>
      <c r="M210" s="2"/>
    </row>
    <row r="211" spans="1:19" x14ac:dyDescent="0.2">
      <c r="A211" s="1"/>
      <c r="B211" s="1"/>
      <c r="E211" s="1"/>
      <c r="K211" s="12"/>
      <c r="L211" s="11"/>
      <c r="M211" s="1"/>
    </row>
    <row r="212" spans="1:19" x14ac:dyDescent="0.2">
      <c r="A212" s="1"/>
      <c r="B212" s="1"/>
      <c r="E212" s="1"/>
      <c r="K212" s="12"/>
      <c r="L212" s="11"/>
      <c r="M212" s="1"/>
    </row>
    <row r="213" spans="1:19" x14ac:dyDescent="0.2">
      <c r="A213" s="1"/>
      <c r="B213" s="1"/>
      <c r="E213" s="1"/>
      <c r="F213" s="1"/>
      <c r="K213" s="12"/>
      <c r="L213" s="11"/>
      <c r="M213" s="2"/>
    </row>
    <row r="214" spans="1:19" x14ac:dyDescent="0.2">
      <c r="A214" s="1"/>
      <c r="B214" s="1"/>
      <c r="E214" s="1"/>
      <c r="F214" s="1"/>
      <c r="K214" s="12"/>
      <c r="L214" s="11"/>
      <c r="M214" s="2"/>
    </row>
    <row r="215" spans="1:19" x14ac:dyDescent="0.2">
      <c r="A215" s="1"/>
      <c r="B215" s="1"/>
      <c r="E215" s="1"/>
      <c r="F215" s="1"/>
      <c r="K215" s="12"/>
      <c r="L215" s="11"/>
      <c r="M215" s="2"/>
    </row>
    <row r="216" spans="1:19" x14ac:dyDescent="0.2">
      <c r="A216" s="1"/>
      <c r="B216" s="1"/>
      <c r="E216" s="1"/>
      <c r="F216" s="1"/>
      <c r="K216" s="12"/>
      <c r="L216" s="11"/>
      <c r="M216" s="2"/>
    </row>
    <row r="217" spans="1:19" x14ac:dyDescent="0.2">
      <c r="A217" s="1"/>
      <c r="B217" s="1"/>
      <c r="E217" s="1"/>
      <c r="F217" s="1"/>
      <c r="K217" s="12"/>
      <c r="L217" s="11"/>
      <c r="M217" s="2"/>
    </row>
    <row r="218" spans="1:19" x14ac:dyDescent="0.2">
      <c r="A218" s="1"/>
      <c r="B218" s="1"/>
      <c r="E218" s="1"/>
      <c r="F218" s="1"/>
      <c r="K218" s="12"/>
      <c r="L218" s="11"/>
      <c r="M218" s="2"/>
    </row>
    <row r="219" spans="1:19" x14ac:dyDescent="0.2">
      <c r="A219" s="1"/>
      <c r="B219" s="1"/>
      <c r="E219" s="1"/>
      <c r="F219" s="1"/>
      <c r="K219" s="12"/>
      <c r="L219" s="11"/>
      <c r="M219" s="2"/>
    </row>
    <row r="220" spans="1:19" x14ac:dyDescent="0.2">
      <c r="A220" s="1"/>
      <c r="B220" s="1"/>
      <c r="E220" s="1"/>
      <c r="F220" s="1"/>
      <c r="K220" s="12"/>
      <c r="L220" s="11"/>
      <c r="M220" s="2"/>
    </row>
    <row r="221" spans="1:19" x14ac:dyDescent="0.2">
      <c r="A221" s="1"/>
      <c r="B221" s="1"/>
      <c r="E221" s="1"/>
      <c r="F221" s="1"/>
      <c r="K221" s="12"/>
      <c r="L221" s="11"/>
      <c r="M221" s="2"/>
    </row>
    <row r="222" spans="1:19" x14ac:dyDescent="0.2">
      <c r="A222" s="1"/>
      <c r="B222" s="1"/>
      <c r="E222" s="1"/>
      <c r="K222" s="12"/>
      <c r="L222" s="11"/>
      <c r="M222" s="2"/>
    </row>
    <row r="223" spans="1:19" x14ac:dyDescent="0.2">
      <c r="A223" s="1"/>
      <c r="B223" s="1"/>
      <c r="E223" s="1"/>
      <c r="F223" s="1"/>
      <c r="K223" s="12"/>
      <c r="L223" s="11"/>
      <c r="M223" s="2"/>
    </row>
    <row r="224" spans="1:19" x14ac:dyDescent="0.2">
      <c r="A224" s="1"/>
      <c r="B224" s="1"/>
      <c r="E224" s="1"/>
      <c r="F224" s="1"/>
      <c r="K224" s="12"/>
      <c r="L224" s="11"/>
      <c r="M224" s="2"/>
    </row>
    <row r="225" spans="1:13" x14ac:dyDescent="0.2">
      <c r="A225" s="1"/>
      <c r="B225" s="1"/>
      <c r="C225" s="1"/>
      <c r="E225" s="1"/>
      <c r="F225" s="1"/>
      <c r="G225" s="5"/>
      <c r="I225" s="9"/>
      <c r="J225" s="7"/>
      <c r="K225" s="12"/>
      <c r="L225" s="11"/>
      <c r="M225" s="2"/>
    </row>
    <row r="226" spans="1:13" x14ac:dyDescent="0.2">
      <c r="A226" s="1"/>
      <c r="B226" s="1"/>
      <c r="E226" s="1"/>
      <c r="F226" s="1"/>
      <c r="K226" s="12"/>
      <c r="L226" s="11"/>
      <c r="M226" s="2"/>
    </row>
    <row r="227" spans="1:13" x14ac:dyDescent="0.2">
      <c r="A227" s="1"/>
      <c r="B227" s="1"/>
      <c r="E227" s="1"/>
      <c r="K227" s="12"/>
      <c r="L227" s="11"/>
      <c r="M227" s="2"/>
    </row>
    <row r="228" spans="1:13" x14ac:dyDescent="0.2">
      <c r="A228" s="1"/>
      <c r="B228" s="1"/>
      <c r="E228" s="1"/>
      <c r="K228" s="12"/>
      <c r="L228" s="11"/>
      <c r="M228" s="2"/>
    </row>
    <row r="229" spans="1:13" x14ac:dyDescent="0.2">
      <c r="A229" s="1"/>
      <c r="B229" s="1"/>
      <c r="E229" s="1"/>
      <c r="K229" s="12"/>
      <c r="L229" s="11"/>
      <c r="M229" s="2"/>
    </row>
    <row r="230" spans="1:13" x14ac:dyDescent="0.2">
      <c r="A230" s="1"/>
      <c r="B230" s="1"/>
      <c r="E230" s="1"/>
      <c r="F230" s="1"/>
      <c r="K230" s="12"/>
      <c r="L230" s="11"/>
      <c r="M230" s="2"/>
    </row>
    <row r="231" spans="1:13" x14ac:dyDescent="0.2">
      <c r="A231" s="1"/>
      <c r="B231" s="1"/>
      <c r="E231" s="1"/>
      <c r="K231" s="12"/>
      <c r="L231" s="11"/>
      <c r="M231" s="2"/>
    </row>
    <row r="232" spans="1:13" x14ac:dyDescent="0.2">
      <c r="A232" s="1"/>
      <c r="B232" s="1"/>
      <c r="E232" s="1"/>
      <c r="K232" s="12"/>
      <c r="L232" s="11"/>
      <c r="M232" s="2"/>
    </row>
    <row r="233" spans="1:13" x14ac:dyDescent="0.2">
      <c r="A233" s="1"/>
      <c r="B233" s="1"/>
      <c r="E233" s="1"/>
      <c r="F233" s="1"/>
      <c r="K233" s="12"/>
      <c r="L233" s="11"/>
      <c r="M233" s="2"/>
    </row>
    <row r="234" spans="1:13" x14ac:dyDescent="0.2">
      <c r="A234" s="1"/>
      <c r="B234" s="1"/>
      <c r="E234" s="1"/>
      <c r="F234" s="1"/>
      <c r="K234" s="12"/>
      <c r="L234" s="11"/>
      <c r="M234" s="2"/>
    </row>
  </sheetData>
  <phoneticPr fontId="0" type="noConversion"/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H66"/>
  <sheetViews>
    <sheetView workbookViewId="0">
      <selection activeCell="C40" sqref="C40"/>
    </sheetView>
  </sheetViews>
  <sheetFormatPr defaultRowHeight="12.75" x14ac:dyDescent="0.2"/>
  <cols>
    <col min="2" max="2" width="9.5703125" bestFit="1" customWidth="1"/>
  </cols>
  <sheetData>
    <row r="1" spans="1:5" ht="18" x14ac:dyDescent="0.25">
      <c r="A1" s="3" t="s">
        <v>1082</v>
      </c>
    </row>
    <row r="4" spans="1:5" x14ac:dyDescent="0.2">
      <c r="A4" t="s">
        <v>1346</v>
      </c>
      <c r="B4" t="s">
        <v>1081</v>
      </c>
    </row>
    <row r="5" spans="1:5" x14ac:dyDescent="0.2">
      <c r="A5" t="s">
        <v>1347</v>
      </c>
      <c r="B5" s="10">
        <f>-1/SLOPE(Shigella!K2:K65,Shigella!H2:H65)</f>
        <v>21.285526187946033</v>
      </c>
      <c r="C5" s="10"/>
      <c r="D5" s="10"/>
      <c r="E5" s="10"/>
    </row>
    <row r="6" spans="1:5" x14ac:dyDescent="0.2">
      <c r="A6" t="s">
        <v>1350</v>
      </c>
      <c r="B6" s="10">
        <v>10</v>
      </c>
      <c r="C6" s="10"/>
      <c r="D6" s="10"/>
      <c r="E6" s="10"/>
    </row>
    <row r="7" spans="1:5" x14ac:dyDescent="0.2">
      <c r="A7" t="s">
        <v>1353</v>
      </c>
      <c r="B7" s="10">
        <f>TINV(0.05,COUNT(Shigella!K2:K65)-2)</f>
        <v>1.9989715170333793</v>
      </c>
      <c r="C7" s="10"/>
      <c r="D7" s="10"/>
      <c r="E7" s="10"/>
    </row>
    <row r="8" spans="1:5" x14ac:dyDescent="0.2">
      <c r="A8" t="s">
        <v>1355</v>
      </c>
      <c r="B8" s="10">
        <f>SUMXMY2(Shigella!K2:K65,Shigella!L2:L65)</f>
        <v>13.669543236562344</v>
      </c>
      <c r="C8" s="10"/>
      <c r="D8" s="10"/>
      <c r="E8" s="10"/>
    </row>
    <row r="9" spans="1:5" x14ac:dyDescent="0.2">
      <c r="A9" t="s">
        <v>1354</v>
      </c>
      <c r="B9" s="10">
        <f>SQRT(B8/(COUNT(Shigella!K2:K65)-2))</f>
        <v>0.46954925600571629</v>
      </c>
      <c r="C9" s="10"/>
      <c r="D9" s="10"/>
      <c r="E9" s="10"/>
    </row>
    <row r="10" spans="1:5" x14ac:dyDescent="0.2">
      <c r="A10" t="s">
        <v>1351</v>
      </c>
      <c r="B10" s="10">
        <f>INTERCEPT(Shigella!K2:K65,Shigella!H2:H65)-$B$6/$B$5</f>
        <v>4.1391168762185702</v>
      </c>
      <c r="C10" s="10"/>
      <c r="D10" s="10"/>
      <c r="E10" s="10"/>
    </row>
    <row r="11" spans="1:5" x14ac:dyDescent="0.2">
      <c r="A11" t="s">
        <v>135</v>
      </c>
      <c r="B11" s="10">
        <f>B10+B7*B9</f>
        <v>5.0777324648182116</v>
      </c>
      <c r="C11" s="10"/>
      <c r="D11" s="10"/>
      <c r="E11" s="10"/>
    </row>
    <row r="13" spans="1:5" x14ac:dyDescent="0.2">
      <c r="A13" t="s">
        <v>1348</v>
      </c>
      <c r="B13" t="s">
        <v>1344</v>
      </c>
      <c r="C13" t="s">
        <v>1352</v>
      </c>
    </row>
    <row r="14" spans="1:5" x14ac:dyDescent="0.2">
      <c r="A14">
        <v>10</v>
      </c>
      <c r="B14" s="10">
        <f t="shared" ref="B14:B34" si="0">$B$10-(A14-$B$6)/$B$5</f>
        <v>4.1391168762185702</v>
      </c>
      <c r="C14" s="10">
        <f t="shared" ref="C14:C34" si="1">B14+$B$7*$B$9</f>
        <v>5.0777324648182116</v>
      </c>
      <c r="D14" s="10"/>
      <c r="E14" s="10"/>
    </row>
    <row r="15" spans="1:5" x14ac:dyDescent="0.2">
      <c r="A15">
        <f>A14+5</f>
        <v>15</v>
      </c>
      <c r="B15" s="10">
        <f t="shared" si="0"/>
        <v>3.9042154715809203</v>
      </c>
      <c r="C15" s="10">
        <f t="shared" si="1"/>
        <v>4.8428310601805613</v>
      </c>
      <c r="D15" s="10"/>
      <c r="E15" s="10"/>
    </row>
    <row r="16" spans="1:5" x14ac:dyDescent="0.2">
      <c r="A16">
        <f>A15+5</f>
        <v>20</v>
      </c>
      <c r="B16" s="10">
        <f t="shared" si="0"/>
        <v>3.6693140669432709</v>
      </c>
      <c r="C16" s="10">
        <f t="shared" si="1"/>
        <v>4.6079296555429119</v>
      </c>
      <c r="D16" s="10"/>
      <c r="E16" s="10"/>
    </row>
    <row r="17" spans="1:5" x14ac:dyDescent="0.2">
      <c r="A17">
        <f>A16+5</f>
        <v>25</v>
      </c>
      <c r="B17" s="10">
        <f t="shared" si="0"/>
        <v>3.434412662305621</v>
      </c>
      <c r="C17" s="10">
        <f t="shared" si="1"/>
        <v>4.3730282509052625</v>
      </c>
      <c r="D17" s="10"/>
      <c r="E17" s="10"/>
    </row>
    <row r="18" spans="1:5" x14ac:dyDescent="0.2">
      <c r="A18">
        <f>A17+5</f>
        <v>30</v>
      </c>
      <c r="B18" s="10">
        <f t="shared" si="0"/>
        <v>3.1995112576679716</v>
      </c>
      <c r="C18" s="10">
        <f t="shared" si="1"/>
        <v>4.1381268462676131</v>
      </c>
      <c r="D18" s="10"/>
      <c r="E18" s="10"/>
    </row>
    <row r="19" spans="1:5" x14ac:dyDescent="0.2">
      <c r="A19">
        <v>70</v>
      </c>
      <c r="B19" s="10">
        <f t="shared" si="0"/>
        <v>1.3203000205667741</v>
      </c>
      <c r="C19" s="10">
        <f t="shared" si="1"/>
        <v>2.2589156091664151</v>
      </c>
      <c r="D19" s="10"/>
      <c r="E19" s="10"/>
    </row>
    <row r="20" spans="1:5" x14ac:dyDescent="0.2">
      <c r="A20">
        <f>A19+5</f>
        <v>75</v>
      </c>
      <c r="B20" s="10">
        <f t="shared" si="0"/>
        <v>1.0853986159291242</v>
      </c>
      <c r="C20" s="10">
        <f t="shared" si="1"/>
        <v>2.0240142045287657</v>
      </c>
      <c r="D20" s="10"/>
      <c r="E20" s="10"/>
    </row>
    <row r="21" spans="1:5" x14ac:dyDescent="0.2">
      <c r="A21">
        <f t="shared" ref="A21:A34" si="2">A20+5</f>
        <v>80</v>
      </c>
      <c r="B21" s="10">
        <f t="shared" si="0"/>
        <v>0.85049721129147482</v>
      </c>
      <c r="C21" s="10">
        <f t="shared" si="1"/>
        <v>1.789112799891116</v>
      </c>
      <c r="D21" s="10"/>
      <c r="E21" s="10"/>
    </row>
    <row r="22" spans="1:5" x14ac:dyDescent="0.2">
      <c r="A22">
        <f t="shared" si="2"/>
        <v>85</v>
      </c>
      <c r="B22" s="10">
        <f t="shared" si="0"/>
        <v>0.61559580665382496</v>
      </c>
      <c r="C22" s="10">
        <f t="shared" si="1"/>
        <v>1.5542113952534662</v>
      </c>
      <c r="D22" s="10"/>
      <c r="E22" s="10"/>
    </row>
    <row r="23" spans="1:5" x14ac:dyDescent="0.2">
      <c r="A23">
        <f t="shared" si="2"/>
        <v>90</v>
      </c>
      <c r="B23" s="10">
        <f t="shared" si="0"/>
        <v>0.3806944020161751</v>
      </c>
      <c r="C23" s="10">
        <f t="shared" si="1"/>
        <v>1.3193099906158163</v>
      </c>
      <c r="D23" s="10"/>
      <c r="E23" s="10"/>
    </row>
    <row r="24" spans="1:5" x14ac:dyDescent="0.2">
      <c r="A24">
        <f t="shared" si="2"/>
        <v>95</v>
      </c>
      <c r="B24" s="10">
        <f t="shared" si="0"/>
        <v>0.14579299737852569</v>
      </c>
      <c r="C24" s="10">
        <f t="shared" si="1"/>
        <v>1.0844085859781669</v>
      </c>
      <c r="D24" s="10"/>
      <c r="E24" s="10"/>
    </row>
    <row r="25" spans="1:5" x14ac:dyDescent="0.2">
      <c r="A25">
        <f t="shared" si="2"/>
        <v>100</v>
      </c>
      <c r="B25" s="10">
        <f t="shared" si="0"/>
        <v>-8.9108407259123723E-2</v>
      </c>
      <c r="C25" s="10">
        <f t="shared" si="1"/>
        <v>0.8495071813405175</v>
      </c>
      <c r="D25" s="10"/>
      <c r="E25" s="10"/>
    </row>
    <row r="26" spans="1:5" x14ac:dyDescent="0.2">
      <c r="A26">
        <f t="shared" si="2"/>
        <v>105</v>
      </c>
      <c r="B26" s="10">
        <f t="shared" si="0"/>
        <v>-0.32400981189677402</v>
      </c>
      <c r="C26" s="10">
        <f t="shared" si="1"/>
        <v>0.6146057767028672</v>
      </c>
      <c r="D26" s="10"/>
      <c r="E26" s="10"/>
    </row>
    <row r="27" spans="1:5" x14ac:dyDescent="0.2">
      <c r="A27">
        <f t="shared" si="2"/>
        <v>110</v>
      </c>
      <c r="B27" s="10">
        <f t="shared" si="0"/>
        <v>-0.55891121653442344</v>
      </c>
      <c r="C27" s="10">
        <f t="shared" si="1"/>
        <v>0.37970437206521779</v>
      </c>
      <c r="D27" s="10"/>
      <c r="E27" s="10"/>
    </row>
    <row r="28" spans="1:5" x14ac:dyDescent="0.2">
      <c r="A28">
        <f t="shared" si="2"/>
        <v>115</v>
      </c>
      <c r="B28" s="10">
        <f t="shared" si="0"/>
        <v>-0.79381262117207285</v>
      </c>
      <c r="C28" s="10">
        <f t="shared" si="1"/>
        <v>0.14480296742756837</v>
      </c>
      <c r="D28" s="10"/>
      <c r="E28" s="10"/>
    </row>
    <row r="29" spans="1:5" x14ac:dyDescent="0.2">
      <c r="A29">
        <f t="shared" si="2"/>
        <v>120</v>
      </c>
      <c r="B29" s="10">
        <f t="shared" si="0"/>
        <v>-1.0287140258097232</v>
      </c>
      <c r="C29" s="10">
        <f t="shared" si="1"/>
        <v>-9.0098437210081928E-2</v>
      </c>
      <c r="D29" s="10"/>
      <c r="E29" s="10"/>
    </row>
    <row r="30" spans="1:5" x14ac:dyDescent="0.2">
      <c r="A30">
        <f t="shared" si="2"/>
        <v>125</v>
      </c>
      <c r="B30" s="10">
        <f t="shared" si="0"/>
        <v>-1.2636154304473726</v>
      </c>
      <c r="C30" s="10">
        <f t="shared" si="1"/>
        <v>-0.32499984184773134</v>
      </c>
      <c r="D30" s="10"/>
      <c r="E30" s="10"/>
    </row>
    <row r="31" spans="1:5" x14ac:dyDescent="0.2">
      <c r="A31">
        <f t="shared" si="2"/>
        <v>130</v>
      </c>
      <c r="B31" s="10">
        <f t="shared" si="0"/>
        <v>-1.498516835085022</v>
      </c>
      <c r="C31" s="10">
        <f t="shared" si="1"/>
        <v>-0.55990124648538075</v>
      </c>
      <c r="D31" s="10"/>
      <c r="E31" s="10"/>
    </row>
    <row r="32" spans="1:5" x14ac:dyDescent="0.2">
      <c r="A32">
        <f t="shared" si="2"/>
        <v>135</v>
      </c>
      <c r="B32" s="10">
        <f t="shared" si="0"/>
        <v>-1.7334182397226723</v>
      </c>
      <c r="C32" s="10">
        <f t="shared" si="1"/>
        <v>-0.79480265112303106</v>
      </c>
      <c r="D32" s="10"/>
      <c r="E32" s="10"/>
    </row>
    <row r="33" spans="1:8" x14ac:dyDescent="0.2">
      <c r="A33">
        <f t="shared" si="2"/>
        <v>140</v>
      </c>
      <c r="B33" s="10">
        <f t="shared" si="0"/>
        <v>-1.9683196443603217</v>
      </c>
      <c r="C33" s="10">
        <f t="shared" si="1"/>
        <v>-1.0297040557606805</v>
      </c>
      <c r="D33" s="10"/>
      <c r="E33" s="10"/>
    </row>
    <row r="34" spans="1:8" x14ac:dyDescent="0.2">
      <c r="A34">
        <f t="shared" si="2"/>
        <v>145</v>
      </c>
      <c r="B34" s="10">
        <f t="shared" si="0"/>
        <v>-2.2032210489979711</v>
      </c>
      <c r="C34" s="10">
        <f t="shared" si="1"/>
        <v>-1.2646054603983299</v>
      </c>
      <c r="D34" s="10"/>
      <c r="E34" s="10"/>
    </row>
    <row r="36" spans="1:8" x14ac:dyDescent="0.2">
      <c r="A36" s="24"/>
    </row>
    <row r="39" spans="1:8" x14ac:dyDescent="0.2">
      <c r="B39" s="10"/>
      <c r="E39" s="10"/>
      <c r="H39" s="10"/>
    </row>
    <row r="40" spans="1:8" x14ac:dyDescent="0.2">
      <c r="B40" s="10"/>
      <c r="E40" s="10"/>
      <c r="H40" s="10"/>
    </row>
    <row r="41" spans="1:8" x14ac:dyDescent="0.2">
      <c r="B41" s="10"/>
      <c r="E41" s="10"/>
      <c r="H41" s="10"/>
    </row>
    <row r="42" spans="1:8" x14ac:dyDescent="0.2">
      <c r="E42" s="10"/>
    </row>
    <row r="45" spans="1:8" x14ac:dyDescent="0.2">
      <c r="B45" s="10"/>
    </row>
    <row r="46" spans="1:8" x14ac:dyDescent="0.2">
      <c r="B46" s="10"/>
    </row>
    <row r="47" spans="1:8" x14ac:dyDescent="0.2">
      <c r="B47" s="10"/>
    </row>
    <row r="48" spans="1:8" x14ac:dyDescent="0.2">
      <c r="B48" s="10"/>
    </row>
    <row r="50" spans="1:3" x14ac:dyDescent="0.2">
      <c r="A50" s="24"/>
    </row>
    <row r="51" spans="1:3" x14ac:dyDescent="0.2">
      <c r="B51" s="10"/>
      <c r="C51" s="10"/>
    </row>
    <row r="52" spans="1:3" x14ac:dyDescent="0.2">
      <c r="B52" s="10"/>
      <c r="C52" s="10"/>
    </row>
    <row r="53" spans="1:3" x14ac:dyDescent="0.2">
      <c r="B53" s="10"/>
      <c r="C53" s="10"/>
    </row>
    <row r="54" spans="1:3" x14ac:dyDescent="0.2">
      <c r="B54" s="10"/>
      <c r="C54" s="10"/>
    </row>
    <row r="55" spans="1:3" x14ac:dyDescent="0.2">
      <c r="B55" s="10"/>
      <c r="C55" s="10"/>
    </row>
    <row r="56" spans="1:3" x14ac:dyDescent="0.2">
      <c r="B56" s="10"/>
      <c r="C56" s="10"/>
    </row>
    <row r="57" spans="1:3" x14ac:dyDescent="0.2">
      <c r="B57" s="10"/>
      <c r="C57" s="10"/>
    </row>
    <row r="58" spans="1:3" x14ac:dyDescent="0.2">
      <c r="B58" s="10"/>
      <c r="C58" s="10"/>
    </row>
    <row r="59" spans="1:3" x14ac:dyDescent="0.2">
      <c r="B59" s="10"/>
      <c r="C59" s="10"/>
    </row>
    <row r="60" spans="1:3" x14ac:dyDescent="0.2">
      <c r="B60" s="10"/>
      <c r="C60" s="10"/>
    </row>
    <row r="61" spans="1:3" x14ac:dyDescent="0.2">
      <c r="B61" s="10"/>
      <c r="C61" s="10"/>
    </row>
    <row r="62" spans="1:3" x14ac:dyDescent="0.2">
      <c r="B62" s="10"/>
      <c r="C62" s="10"/>
    </row>
    <row r="63" spans="1:3" x14ac:dyDescent="0.2">
      <c r="B63" s="10"/>
      <c r="C63" s="10"/>
    </row>
    <row r="64" spans="1:3" x14ac:dyDescent="0.2">
      <c r="B64" s="10"/>
      <c r="C64" s="10"/>
    </row>
    <row r="65" spans="2:3" x14ac:dyDescent="0.2">
      <c r="B65" s="10"/>
      <c r="C65" s="10"/>
    </row>
    <row r="66" spans="2:3" x14ac:dyDescent="0.2">
      <c r="B66" s="10"/>
      <c r="C66" s="10"/>
    </row>
  </sheetData>
  <phoneticPr fontId="0" type="noConversion"/>
  <pageMargins left="0.75" right="0.75" top="1" bottom="1" header="0.5" footer="0.5"/>
  <headerFooter alignWithMargins="0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T271"/>
  <sheetViews>
    <sheetView topLeftCell="D1" workbookViewId="0">
      <pane ySplit="1" topLeftCell="A203" activePane="bottomLeft" state="frozen"/>
      <selection pane="bottomLeft" activeCell="L206" sqref="L206"/>
    </sheetView>
  </sheetViews>
  <sheetFormatPr defaultRowHeight="12.75" x14ac:dyDescent="0.2"/>
  <cols>
    <col min="1" max="1" width="16.42578125" customWidth="1"/>
    <col min="2" max="2" width="15.5703125" customWidth="1"/>
    <col min="3" max="3" width="15.28515625" customWidth="1"/>
    <col min="4" max="4" width="16.28515625" customWidth="1"/>
    <col min="5" max="5" width="15.42578125" customWidth="1"/>
    <col min="6" max="6" width="23.85546875" customWidth="1"/>
    <col min="7" max="7" width="8.5703125" style="4" customWidth="1"/>
    <col min="8" max="8" width="10.28515625" style="4" customWidth="1"/>
    <col min="9" max="9" width="9.140625" style="11" customWidth="1"/>
    <col min="10" max="11" width="9.140625" style="4" customWidth="1"/>
    <col min="12" max="12" width="15" style="4" customWidth="1"/>
    <col min="15" max="15" width="16.85546875" customWidth="1"/>
    <col min="19" max="19" width="11.7109375" customWidth="1"/>
  </cols>
  <sheetData>
    <row r="1" spans="1:20" s="18" customFormat="1" ht="15" x14ac:dyDescent="0.25">
      <c r="A1" s="14" t="s">
        <v>1221</v>
      </c>
      <c r="B1" s="14" t="s">
        <v>64</v>
      </c>
      <c r="C1" s="14" t="s">
        <v>65</v>
      </c>
      <c r="D1" s="14" t="s">
        <v>39</v>
      </c>
      <c r="E1" s="14" t="s">
        <v>1222</v>
      </c>
      <c r="F1" s="14" t="s">
        <v>1255</v>
      </c>
      <c r="G1" s="15" t="s">
        <v>1230</v>
      </c>
      <c r="H1" s="15" t="s">
        <v>1229</v>
      </c>
      <c r="I1" s="20" t="s">
        <v>1232</v>
      </c>
      <c r="J1" s="15" t="s">
        <v>1231</v>
      </c>
      <c r="K1" s="15" t="s">
        <v>1343</v>
      </c>
      <c r="L1" s="17" t="s">
        <v>1344</v>
      </c>
      <c r="M1" s="14" t="s">
        <v>1223</v>
      </c>
      <c r="N1" s="14" t="s">
        <v>1224</v>
      </c>
      <c r="O1" s="14" t="s">
        <v>1225</v>
      </c>
      <c r="Q1" s="18" t="s">
        <v>255</v>
      </c>
      <c r="R1" s="18" t="s">
        <v>271</v>
      </c>
      <c r="S1" s="18" t="s">
        <v>277</v>
      </c>
      <c r="T1" s="18" t="s">
        <v>270</v>
      </c>
    </row>
    <row r="2" spans="1:20" x14ac:dyDescent="0.2">
      <c r="A2" s="1" t="s">
        <v>137</v>
      </c>
      <c r="B2" s="1" t="s">
        <v>138</v>
      </c>
      <c r="C2">
        <v>425</v>
      </c>
      <c r="D2" t="s">
        <v>42</v>
      </c>
      <c r="E2" s="1" t="s">
        <v>1240</v>
      </c>
      <c r="F2" t="s">
        <v>1261</v>
      </c>
      <c r="H2" s="4">
        <v>62</v>
      </c>
      <c r="I2" s="11">
        <v>1.1599999999999999</v>
      </c>
      <c r="K2" s="12">
        <f t="shared" ref="K2:K33" si="0">LOG(I2)</f>
        <v>6.445798922691845E-2</v>
      </c>
      <c r="L2" s="11">
        <f>GraphSaureus!B$10-(Staphaureus!H2-GraphSaureus!B$6)/GraphSaureus!B$5</f>
        <v>0.32315274285426809</v>
      </c>
      <c r="M2" s="1" t="s">
        <v>1167</v>
      </c>
      <c r="N2">
        <v>1989</v>
      </c>
      <c r="R2" s="10">
        <f>GraphSaureus!$B$39*Staphaureus!H2+GraphSaureus!$B$40</f>
        <v>0.32138811627922692</v>
      </c>
      <c r="T2" s="10">
        <f>GraphSaureus!$H$39*Staphaureus!H2+GraphSaureus!$H$40</f>
        <v>0.40227947450469159</v>
      </c>
    </row>
    <row r="3" spans="1:20" x14ac:dyDescent="0.2">
      <c r="A3" s="1" t="s">
        <v>137</v>
      </c>
      <c r="B3" s="1" t="s">
        <v>138</v>
      </c>
      <c r="C3">
        <v>425</v>
      </c>
      <c r="D3" t="s">
        <v>42</v>
      </c>
      <c r="E3" s="1" t="s">
        <v>1240</v>
      </c>
      <c r="F3" t="s">
        <v>1261</v>
      </c>
      <c r="H3" s="4">
        <v>63</v>
      </c>
      <c r="I3" s="11">
        <v>0.5</v>
      </c>
      <c r="K3" s="12">
        <f t="shared" si="0"/>
        <v>-0.3010299956639812</v>
      </c>
      <c r="L3" s="11">
        <f>GraphSaureus!B$10-(Staphaureus!H3-GraphSaureus!B$6)/GraphSaureus!B$5</f>
        <v>0.20888501892948674</v>
      </c>
      <c r="M3" s="1" t="s">
        <v>1167</v>
      </c>
      <c r="N3">
        <v>1989</v>
      </c>
      <c r="R3" s="10">
        <f>GraphSaureus!$B$39*Staphaureus!H3+GraphSaureus!$B$40</f>
        <v>0.20770244830156503</v>
      </c>
      <c r="T3" s="10">
        <f>GraphSaureus!$H$39*Staphaureus!H3+GraphSaureus!$H$40</f>
        <v>0.2797201460948191</v>
      </c>
    </row>
    <row r="4" spans="1:20" x14ac:dyDescent="0.2">
      <c r="A4" s="1" t="s">
        <v>137</v>
      </c>
      <c r="B4" s="1" t="s">
        <v>138</v>
      </c>
      <c r="C4">
        <v>425</v>
      </c>
      <c r="D4" t="s">
        <v>42</v>
      </c>
      <c r="E4" s="1" t="s">
        <v>1240</v>
      </c>
      <c r="F4" t="s">
        <v>1261</v>
      </c>
      <c r="H4" s="4">
        <v>67</v>
      </c>
      <c r="I4" s="11">
        <v>0.39</v>
      </c>
      <c r="K4" s="12">
        <f t="shared" si="0"/>
        <v>-0.40893539297350079</v>
      </c>
      <c r="L4" s="11">
        <f>GraphSaureus!B$10-(Staphaureus!H4-GraphSaureus!B$6)/GraphSaureus!B$5</f>
        <v>-0.2481858767696386</v>
      </c>
      <c r="M4" s="1" t="s">
        <v>1167</v>
      </c>
      <c r="N4">
        <v>1989</v>
      </c>
      <c r="R4" s="10">
        <f>GraphSaureus!$B$39*Staphaureus!H4+GraphSaureus!$B$40</f>
        <v>-0.24704022360908162</v>
      </c>
      <c r="T4" s="10">
        <f>GraphSaureus!$H$39*Staphaureus!H4+GraphSaureus!$H$40</f>
        <v>-0.21051716754467442</v>
      </c>
    </row>
    <row r="5" spans="1:20" x14ac:dyDescent="0.2">
      <c r="A5" s="1" t="s">
        <v>137</v>
      </c>
      <c r="B5" s="1" t="s">
        <v>138</v>
      </c>
      <c r="C5">
        <v>425</v>
      </c>
      <c r="D5" t="s">
        <v>42</v>
      </c>
      <c r="E5" s="1" t="s">
        <v>1240</v>
      </c>
      <c r="F5" t="s">
        <v>1261</v>
      </c>
      <c r="H5" s="4">
        <v>68</v>
      </c>
      <c r="I5" s="11">
        <v>0.34</v>
      </c>
      <c r="K5" s="12">
        <f t="shared" si="0"/>
        <v>-0.46852108295774486</v>
      </c>
      <c r="L5" s="11">
        <f>GraphSaureus!B$10-(Staphaureus!H5-GraphSaureus!B$6)/GraphSaureus!B$5</f>
        <v>-0.3624536006944199</v>
      </c>
      <c r="M5" s="1" t="s">
        <v>1167</v>
      </c>
      <c r="N5">
        <v>1989</v>
      </c>
      <c r="R5" s="10">
        <f>GraphSaureus!$B$39*Staphaureus!H5+GraphSaureus!$B$40</f>
        <v>-0.36072589158674351</v>
      </c>
      <c r="T5" s="10">
        <f>GraphSaureus!$H$39*Staphaureus!H5+GraphSaureus!$H$40</f>
        <v>-0.33307649595454691</v>
      </c>
    </row>
    <row r="6" spans="1:20" x14ac:dyDescent="0.2">
      <c r="A6" s="1" t="s">
        <v>137</v>
      </c>
      <c r="B6" s="1" t="s">
        <v>138</v>
      </c>
      <c r="C6">
        <v>425</v>
      </c>
      <c r="D6" t="s">
        <v>42</v>
      </c>
      <c r="E6" s="1" t="s">
        <v>1240</v>
      </c>
      <c r="F6" t="s">
        <v>1261</v>
      </c>
      <c r="H6" s="4">
        <v>72</v>
      </c>
      <c r="I6" s="11">
        <v>5.7000000000000002E-2</v>
      </c>
      <c r="K6" s="12">
        <f t="shared" si="0"/>
        <v>-1.2441251443275085</v>
      </c>
      <c r="L6" s="11">
        <f>GraphSaureus!B$10-(Staphaureus!H6-GraphSaureus!B$6)/GraphSaureus!B$5</f>
        <v>-0.8195244963935453</v>
      </c>
      <c r="M6" s="1" t="s">
        <v>1167</v>
      </c>
      <c r="N6">
        <v>1989</v>
      </c>
      <c r="R6" s="10">
        <f>GraphSaureus!$B$39*Staphaureus!H6+GraphSaureus!$B$40</f>
        <v>-0.81546856349739016</v>
      </c>
      <c r="T6" s="10">
        <f>GraphSaureus!$H$39*Staphaureus!H6+GraphSaureus!$H$40</f>
        <v>-0.82331380959403866</v>
      </c>
    </row>
    <row r="7" spans="1:20" x14ac:dyDescent="0.2">
      <c r="A7" s="1" t="s">
        <v>137</v>
      </c>
      <c r="B7" s="1" t="s">
        <v>138</v>
      </c>
      <c r="C7">
        <v>425</v>
      </c>
      <c r="D7" t="s">
        <v>42</v>
      </c>
      <c r="E7" s="1" t="s">
        <v>1240</v>
      </c>
      <c r="F7" t="s">
        <v>1261</v>
      </c>
      <c r="H7" s="4">
        <v>72</v>
      </c>
      <c r="I7" s="11">
        <v>7.0999999999999994E-2</v>
      </c>
      <c r="K7" s="12">
        <f t="shared" si="0"/>
        <v>-1.1487416512809248</v>
      </c>
      <c r="L7" s="11">
        <f>GraphSaureus!B$10-(Staphaureus!H7-GraphSaureus!B$6)/GraphSaureus!B$5</f>
        <v>-0.8195244963935453</v>
      </c>
      <c r="M7" s="1" t="s">
        <v>1167</v>
      </c>
      <c r="N7">
        <v>1989</v>
      </c>
      <c r="R7" s="10">
        <f>GraphSaureus!$B$39*Staphaureus!H7+GraphSaureus!$B$40</f>
        <v>-0.81546856349739016</v>
      </c>
      <c r="T7" s="10">
        <f>GraphSaureus!$H$39*Staphaureus!H7+GraphSaureus!$H$40</f>
        <v>-0.82331380959403866</v>
      </c>
    </row>
    <row r="8" spans="1:20" x14ac:dyDescent="0.2">
      <c r="A8" s="1" t="s">
        <v>137</v>
      </c>
      <c r="B8" s="1" t="s">
        <v>138</v>
      </c>
      <c r="C8">
        <v>425</v>
      </c>
      <c r="D8" t="s">
        <v>42</v>
      </c>
      <c r="E8" s="1" t="s">
        <v>1240</v>
      </c>
      <c r="F8" t="s">
        <v>1261</v>
      </c>
      <c r="H8" s="4">
        <v>77</v>
      </c>
      <c r="I8" s="11">
        <v>5.8999999999999997E-2</v>
      </c>
      <c r="K8" s="12">
        <f t="shared" si="0"/>
        <v>-1.2291479883578558</v>
      </c>
      <c r="L8" s="11">
        <f>GraphSaureus!B$10-(Staphaureus!H8-GraphSaureus!B$6)/GraphSaureus!B$5</f>
        <v>-1.3908631160174521</v>
      </c>
      <c r="M8" s="1" t="s">
        <v>1167</v>
      </c>
      <c r="N8">
        <v>1989</v>
      </c>
      <c r="R8" s="10">
        <f>GraphSaureus!$B$39*Staphaureus!H8+GraphSaureus!$B$40</f>
        <v>-1.3838969033856987</v>
      </c>
      <c r="T8" s="10">
        <f>GraphSaureus!$H$39*Staphaureus!H8+GraphSaureus!$H$40</f>
        <v>-1.4361104516434047</v>
      </c>
    </row>
    <row r="9" spans="1:20" x14ac:dyDescent="0.2">
      <c r="A9" s="1" t="s">
        <v>137</v>
      </c>
      <c r="B9" s="1" t="s">
        <v>138</v>
      </c>
      <c r="C9">
        <v>425</v>
      </c>
      <c r="D9" t="s">
        <v>42</v>
      </c>
      <c r="E9" s="1" t="s">
        <v>1240</v>
      </c>
      <c r="F9" t="s">
        <v>1261</v>
      </c>
      <c r="H9" s="4">
        <v>78</v>
      </c>
      <c r="I9" s="11">
        <v>2.8000000000000001E-2</v>
      </c>
      <c r="K9" s="12">
        <f t="shared" si="0"/>
        <v>-1.5528419686577808</v>
      </c>
      <c r="L9" s="11">
        <f>GraphSaureus!B$10-(Staphaureus!H9-GraphSaureus!B$6)/GraphSaureus!B$5</f>
        <v>-1.5051308399422334</v>
      </c>
      <c r="M9" s="1" t="s">
        <v>1167</v>
      </c>
      <c r="N9">
        <v>1989</v>
      </c>
      <c r="R9" s="10">
        <f>GraphSaureus!$B$39*Staphaureus!H9+GraphSaureus!$B$40</f>
        <v>-1.4975825713633597</v>
      </c>
      <c r="T9" s="10">
        <f>GraphSaureus!$H$39*Staphaureus!H9+GraphSaureus!$H$40</f>
        <v>-1.5586697800532789</v>
      </c>
    </row>
    <row r="10" spans="1:20" x14ac:dyDescent="0.2">
      <c r="A10" s="1" t="s">
        <v>137</v>
      </c>
      <c r="B10" s="1" t="s">
        <v>138</v>
      </c>
      <c r="C10" t="s">
        <v>184</v>
      </c>
      <c r="D10" t="s">
        <v>42</v>
      </c>
      <c r="E10" s="1" t="s">
        <v>1240</v>
      </c>
      <c r="F10" s="1" t="s">
        <v>1261</v>
      </c>
      <c r="H10" s="4">
        <v>60</v>
      </c>
      <c r="I10" s="11">
        <v>3.1349999999999998</v>
      </c>
      <c r="K10" s="12">
        <f t="shared" si="0"/>
        <v>0.49623754516673524</v>
      </c>
      <c r="L10" s="11">
        <f>GraphSaureus!B$10-(Staphaureus!H10-GraphSaureus!B$6)/GraphSaureus!B$5</f>
        <v>0.55168819070383068</v>
      </c>
      <c r="M10" s="1" t="s">
        <v>121</v>
      </c>
      <c r="N10">
        <v>1966</v>
      </c>
      <c r="R10" s="10">
        <f>GraphSaureus!$B$39*Staphaureus!H10+GraphSaureus!$B$40</f>
        <v>0.5487594522345498</v>
      </c>
      <c r="T10" s="10">
        <f>GraphSaureus!$H$39*Staphaureus!H10+GraphSaureus!$H$40</f>
        <v>0.64739813132443835</v>
      </c>
    </row>
    <row r="11" spans="1:20" x14ac:dyDescent="0.2">
      <c r="A11" s="1" t="s">
        <v>137</v>
      </c>
      <c r="B11" s="1" t="s">
        <v>138</v>
      </c>
      <c r="C11" t="s">
        <v>184</v>
      </c>
      <c r="D11" t="s">
        <v>42</v>
      </c>
      <c r="E11" s="1" t="s">
        <v>1240</v>
      </c>
      <c r="F11" s="1" t="s">
        <v>1261</v>
      </c>
      <c r="H11" s="4">
        <v>65.5</v>
      </c>
      <c r="I11" s="11">
        <v>0.28000000000000003</v>
      </c>
      <c r="K11" s="12">
        <f t="shared" si="0"/>
        <v>-0.55284196865778079</v>
      </c>
      <c r="L11" s="11">
        <f>GraphSaureus!B$10-(Staphaureus!H11-GraphSaureus!B$6)/GraphSaureus!B$5</f>
        <v>-7.6784290882466633E-2</v>
      </c>
      <c r="M11" s="1" t="s">
        <v>121</v>
      </c>
      <c r="N11">
        <v>1966</v>
      </c>
      <c r="R11" s="10">
        <f>GraphSaureus!$B$39*Staphaureus!H11+GraphSaureus!$B$40</f>
        <v>-7.6511721642589237E-2</v>
      </c>
      <c r="T11" s="10">
        <f>GraphSaureus!$H$39*Staphaureus!H11+GraphSaureus!$H$40</f>
        <v>-2.6678174929864795E-2</v>
      </c>
    </row>
    <row r="12" spans="1:20" x14ac:dyDescent="0.2">
      <c r="A12" s="1" t="s">
        <v>137</v>
      </c>
      <c r="B12" s="1" t="s">
        <v>138</v>
      </c>
      <c r="C12" t="s">
        <v>183</v>
      </c>
      <c r="D12" t="s">
        <v>42</v>
      </c>
      <c r="E12" s="1" t="s">
        <v>1240</v>
      </c>
      <c r="F12" s="1" t="s">
        <v>1261</v>
      </c>
      <c r="H12" s="4">
        <v>60</v>
      </c>
      <c r="I12" s="11">
        <v>3.2810000000000001</v>
      </c>
      <c r="K12" s="12">
        <f t="shared" si="0"/>
        <v>0.51600623038604776</v>
      </c>
      <c r="L12" s="11">
        <f>GraphSaureus!B$10-(Staphaureus!H12-GraphSaureus!B$6)/GraphSaureus!B$5</f>
        <v>0.55168819070383068</v>
      </c>
      <c r="M12" s="1" t="s">
        <v>121</v>
      </c>
      <c r="N12">
        <v>1966</v>
      </c>
      <c r="R12" s="10">
        <f>GraphSaureus!$B$39*Staphaureus!H12+GraphSaureus!$B$40</f>
        <v>0.5487594522345498</v>
      </c>
      <c r="T12" s="10">
        <f>GraphSaureus!$H$39*Staphaureus!H12+GraphSaureus!$H$40</f>
        <v>0.64739813132443835</v>
      </c>
    </row>
    <row r="13" spans="1:20" x14ac:dyDescent="0.2">
      <c r="A13" s="1" t="s">
        <v>137</v>
      </c>
      <c r="B13" s="1" t="s">
        <v>138</v>
      </c>
      <c r="C13" t="s">
        <v>183</v>
      </c>
      <c r="D13" t="s">
        <v>42</v>
      </c>
      <c r="E13" s="1" t="s">
        <v>1240</v>
      </c>
      <c r="F13" s="1" t="s">
        <v>1261</v>
      </c>
      <c r="H13" s="4">
        <v>65.5</v>
      </c>
      <c r="I13" s="11">
        <v>0.39400000000000002</v>
      </c>
      <c r="K13" s="12">
        <f t="shared" si="0"/>
        <v>-0.40450377817442584</v>
      </c>
      <c r="L13" s="11">
        <f>GraphSaureus!B$10-(Staphaureus!H13-GraphSaureus!B$6)/GraphSaureus!B$5</f>
        <v>-7.6784290882466633E-2</v>
      </c>
      <c r="M13" s="1" t="s">
        <v>121</v>
      </c>
      <c r="N13">
        <v>1966</v>
      </c>
      <c r="R13" s="10">
        <f>GraphSaureus!$B$39*Staphaureus!H13+GraphSaureus!$B$40</f>
        <v>-7.6511721642589237E-2</v>
      </c>
      <c r="T13" s="10">
        <f>GraphSaureus!$H$39*Staphaureus!H13+GraphSaureus!$H$40</f>
        <v>-2.6678174929864795E-2</v>
      </c>
    </row>
    <row r="14" spans="1:20" x14ac:dyDescent="0.2">
      <c r="A14" s="1" t="s">
        <v>137</v>
      </c>
      <c r="B14" s="1" t="s">
        <v>138</v>
      </c>
      <c r="C14" t="s">
        <v>139</v>
      </c>
      <c r="D14" t="s">
        <v>42</v>
      </c>
      <c r="E14" s="1" t="s">
        <v>1240</v>
      </c>
      <c r="F14" s="1" t="s">
        <v>971</v>
      </c>
      <c r="G14" s="4">
        <v>6.5</v>
      </c>
      <c r="H14" s="4">
        <v>52</v>
      </c>
      <c r="I14" s="11">
        <v>1.7</v>
      </c>
      <c r="K14" s="12">
        <f t="shared" si="0"/>
        <v>0.23044892137827391</v>
      </c>
      <c r="L14" s="11">
        <f>GraphSaureus!B$10-(Staphaureus!H14-GraphSaureus!B$6)/GraphSaureus!B$5</f>
        <v>1.4658299821020813</v>
      </c>
      <c r="M14" s="2" t="s">
        <v>152</v>
      </c>
      <c r="N14">
        <v>1975</v>
      </c>
      <c r="R14" s="10">
        <f>GraphSaureus!$B$39*Staphaureus!H14+GraphSaureus!$B$40</f>
        <v>1.4582447960558431</v>
      </c>
      <c r="T14" s="10">
        <f>GraphSaureus!$H$39*Staphaureus!H14+GraphSaureus!$H$40</f>
        <v>1.6278727586034236</v>
      </c>
    </row>
    <row r="15" spans="1:20" x14ac:dyDescent="0.2">
      <c r="A15" s="1" t="s">
        <v>137</v>
      </c>
      <c r="B15" s="1" t="s">
        <v>138</v>
      </c>
      <c r="C15" t="s">
        <v>139</v>
      </c>
      <c r="D15" t="s">
        <v>42</v>
      </c>
      <c r="E15" s="1" t="s">
        <v>1240</v>
      </c>
      <c r="F15" s="1" t="s">
        <v>971</v>
      </c>
      <c r="G15" s="4">
        <v>6.5</v>
      </c>
      <c r="H15" s="4">
        <v>52</v>
      </c>
      <c r="I15" s="11">
        <v>6.5</v>
      </c>
      <c r="K15" s="12">
        <f t="shared" si="0"/>
        <v>0.81291335664285558</v>
      </c>
      <c r="L15" s="11">
        <f>GraphSaureus!B$10-(Staphaureus!H15-GraphSaureus!B$6)/GraphSaureus!B$5</f>
        <v>1.4658299821020813</v>
      </c>
      <c r="M15" s="2" t="s">
        <v>152</v>
      </c>
      <c r="N15">
        <v>1975</v>
      </c>
      <c r="R15" s="10">
        <f>GraphSaureus!$B$39*Staphaureus!H15+GraphSaureus!$B$40</f>
        <v>1.4582447960558431</v>
      </c>
      <c r="T15" s="10">
        <f>GraphSaureus!$H$39*Staphaureus!H15+GraphSaureus!$H$40</f>
        <v>1.6278727586034236</v>
      </c>
    </row>
    <row r="16" spans="1:20" x14ac:dyDescent="0.2">
      <c r="A16" s="1" t="s">
        <v>137</v>
      </c>
      <c r="B16" s="1" t="s">
        <v>138</v>
      </c>
      <c r="C16" t="s">
        <v>139</v>
      </c>
      <c r="D16" t="s">
        <v>42</v>
      </c>
      <c r="E16" s="1" t="s">
        <v>1240</v>
      </c>
      <c r="F16" s="1" t="s">
        <v>971</v>
      </c>
      <c r="G16" s="4">
        <v>6.5</v>
      </c>
      <c r="H16" s="4">
        <v>52</v>
      </c>
      <c r="I16" s="11">
        <v>19.899999999999999</v>
      </c>
      <c r="K16" s="12">
        <f t="shared" si="0"/>
        <v>1.2988530764097066</v>
      </c>
      <c r="L16" s="11">
        <f>GraphSaureus!B$10-(Staphaureus!H16-GraphSaureus!B$6)/GraphSaureus!B$5</f>
        <v>1.4658299821020813</v>
      </c>
      <c r="M16" s="2" t="s">
        <v>152</v>
      </c>
      <c r="N16">
        <v>1975</v>
      </c>
      <c r="R16" s="10">
        <f>GraphSaureus!$B$39*Staphaureus!H16+GraphSaureus!$B$40</f>
        <v>1.4582447960558431</v>
      </c>
      <c r="T16" s="10">
        <f>GraphSaureus!$H$39*Staphaureus!H16+GraphSaureus!$H$40</f>
        <v>1.6278727586034236</v>
      </c>
    </row>
    <row r="17" spans="1:20" x14ac:dyDescent="0.2">
      <c r="A17" s="1" t="s">
        <v>137</v>
      </c>
      <c r="B17" s="1" t="s">
        <v>138</v>
      </c>
      <c r="C17" t="s">
        <v>139</v>
      </c>
      <c r="D17" t="s">
        <v>42</v>
      </c>
      <c r="E17" s="1" t="s">
        <v>1240</v>
      </c>
      <c r="F17" s="1" t="s">
        <v>971</v>
      </c>
      <c r="G17" s="4">
        <v>6.5</v>
      </c>
      <c r="H17" s="4">
        <v>52</v>
      </c>
      <c r="I17" s="11">
        <v>26.7</v>
      </c>
      <c r="K17" s="12">
        <f t="shared" si="0"/>
        <v>1.4265112613645752</v>
      </c>
      <c r="L17" s="11">
        <f>GraphSaureus!B$10-(Staphaureus!H17-GraphSaureus!B$6)/GraphSaureus!B$5</f>
        <v>1.4658299821020813</v>
      </c>
      <c r="M17" s="2" t="s">
        <v>152</v>
      </c>
      <c r="N17">
        <v>1975</v>
      </c>
      <c r="R17" s="10">
        <f>GraphSaureus!$B$39*Staphaureus!H17+GraphSaureus!$B$40</f>
        <v>1.4582447960558431</v>
      </c>
      <c r="T17" s="10">
        <f>GraphSaureus!$H$39*Staphaureus!H17+GraphSaureus!$H$40</f>
        <v>1.6278727586034236</v>
      </c>
    </row>
    <row r="18" spans="1:20" x14ac:dyDescent="0.2">
      <c r="A18" s="1" t="s">
        <v>137</v>
      </c>
      <c r="B18" s="1" t="s">
        <v>138</v>
      </c>
      <c r="C18" t="s">
        <v>139</v>
      </c>
      <c r="D18" t="s">
        <v>42</v>
      </c>
      <c r="E18" s="1" t="s">
        <v>1240</v>
      </c>
      <c r="F18" s="1" t="s">
        <v>971</v>
      </c>
      <c r="G18" s="4">
        <v>6.5</v>
      </c>
      <c r="H18" s="4">
        <v>52</v>
      </c>
      <c r="I18" s="11">
        <v>70.400000000000006</v>
      </c>
      <c r="K18" s="12">
        <f t="shared" si="0"/>
        <v>1.8475726591421122</v>
      </c>
      <c r="L18" s="11">
        <f>GraphSaureus!B$10-(Staphaureus!H18-GraphSaureus!B$6)/GraphSaureus!B$5</f>
        <v>1.4658299821020813</v>
      </c>
      <c r="M18" s="2" t="s">
        <v>152</v>
      </c>
      <c r="N18">
        <v>1975</v>
      </c>
      <c r="R18" s="10">
        <f>GraphSaureus!$B$39*Staphaureus!H18+GraphSaureus!$B$40</f>
        <v>1.4582447960558431</v>
      </c>
      <c r="T18" s="10">
        <f>GraphSaureus!$H$39*Staphaureus!H18+GraphSaureus!$H$40</f>
        <v>1.6278727586034236</v>
      </c>
    </row>
    <row r="19" spans="1:20" x14ac:dyDescent="0.2">
      <c r="A19" s="1" t="s">
        <v>137</v>
      </c>
      <c r="B19" s="1" t="s">
        <v>138</v>
      </c>
      <c r="D19" t="s">
        <v>42</v>
      </c>
      <c r="E19" s="1" t="s">
        <v>1240</v>
      </c>
      <c r="F19" t="s">
        <v>972</v>
      </c>
      <c r="H19" s="4">
        <v>57.5</v>
      </c>
      <c r="I19" s="11">
        <v>24</v>
      </c>
      <c r="K19" s="12">
        <f t="shared" si="0"/>
        <v>1.3802112417116059</v>
      </c>
      <c r="L19" s="11">
        <f>GraphSaureus!B$10-(Staphaureus!H19-GraphSaureus!B$6)/GraphSaureus!B$5</f>
        <v>0.83735750051578406</v>
      </c>
      <c r="M19" s="1" t="s">
        <v>1167</v>
      </c>
      <c r="N19">
        <v>1989</v>
      </c>
      <c r="R19" s="10">
        <f>GraphSaureus!$B$39*Staphaureus!H19+GraphSaureus!$B$40</f>
        <v>0.83297362217870408</v>
      </c>
      <c r="T19" s="10">
        <f>GraphSaureus!$H$39*Staphaureus!H19+GraphSaureus!$H$40</f>
        <v>0.95379645234912136</v>
      </c>
    </row>
    <row r="20" spans="1:20" x14ac:dyDescent="0.2">
      <c r="A20" s="1" t="s">
        <v>137</v>
      </c>
      <c r="B20" s="1" t="s">
        <v>138</v>
      </c>
      <c r="D20" t="s">
        <v>42</v>
      </c>
      <c r="E20" s="1" t="s">
        <v>1240</v>
      </c>
      <c r="F20" t="s">
        <v>973</v>
      </c>
      <c r="H20" s="4">
        <v>57.5</v>
      </c>
      <c r="I20" s="11">
        <v>23</v>
      </c>
      <c r="K20" s="12">
        <f t="shared" si="0"/>
        <v>1.3617278360175928</v>
      </c>
      <c r="L20" s="11">
        <f>GraphSaureus!B$10-(Staphaureus!H20-GraphSaureus!B$6)/GraphSaureus!B$5</f>
        <v>0.83735750051578406</v>
      </c>
      <c r="M20" s="1" t="s">
        <v>1167</v>
      </c>
      <c r="N20">
        <v>1989</v>
      </c>
      <c r="R20" s="10">
        <f>GraphSaureus!$B$39*Staphaureus!H20+GraphSaureus!$B$40</f>
        <v>0.83297362217870408</v>
      </c>
      <c r="T20" s="10">
        <f>GraphSaureus!$H$39*Staphaureus!H20+GraphSaureus!$H$40</f>
        <v>0.95379645234912136</v>
      </c>
    </row>
    <row r="21" spans="1:20" x14ac:dyDescent="0.2">
      <c r="A21" s="1" t="s">
        <v>137</v>
      </c>
      <c r="B21" s="1" t="s">
        <v>138</v>
      </c>
      <c r="C21">
        <v>425</v>
      </c>
      <c r="D21" t="s">
        <v>42</v>
      </c>
      <c r="E21" s="1" t="s">
        <v>1240</v>
      </c>
      <c r="F21" t="s">
        <v>1166</v>
      </c>
      <c r="H21" s="4">
        <v>62</v>
      </c>
      <c r="I21" s="11">
        <v>0.94</v>
      </c>
      <c r="K21" s="12">
        <f t="shared" si="0"/>
        <v>-2.6872146400301365E-2</v>
      </c>
      <c r="L21" s="11">
        <f>GraphSaureus!B$10-(Staphaureus!H21-GraphSaureus!B$6)/GraphSaureus!B$5</f>
        <v>0.32315274285426809</v>
      </c>
      <c r="M21" s="1" t="s">
        <v>1167</v>
      </c>
      <c r="N21">
        <v>1989</v>
      </c>
      <c r="R21" s="10">
        <f>GraphSaureus!$B$39*Staphaureus!H21+GraphSaureus!$B$40</f>
        <v>0.32138811627922692</v>
      </c>
      <c r="T21" s="10">
        <f>GraphSaureus!$H$39*Staphaureus!H21+GraphSaureus!$H$40</f>
        <v>0.40227947450469159</v>
      </c>
    </row>
    <row r="22" spans="1:20" x14ac:dyDescent="0.2">
      <c r="A22" s="1" t="s">
        <v>137</v>
      </c>
      <c r="B22" s="1" t="s">
        <v>138</v>
      </c>
      <c r="C22">
        <v>425</v>
      </c>
      <c r="D22" t="s">
        <v>42</v>
      </c>
      <c r="E22" s="1" t="s">
        <v>1240</v>
      </c>
      <c r="F22" t="s">
        <v>1166</v>
      </c>
      <c r="H22" s="4">
        <v>67</v>
      </c>
      <c r="I22" s="11">
        <v>0.35</v>
      </c>
      <c r="K22" s="12">
        <f t="shared" si="0"/>
        <v>-0.45593195564972439</v>
      </c>
      <c r="L22" s="11">
        <f>GraphSaureus!B$10-(Staphaureus!H22-GraphSaureus!B$6)/GraphSaureus!B$5</f>
        <v>-0.2481858767696386</v>
      </c>
      <c r="M22" s="1" t="s">
        <v>1167</v>
      </c>
      <c r="N22">
        <v>1989</v>
      </c>
      <c r="R22" s="10">
        <f>GraphSaureus!$B$39*Staphaureus!H22+GraphSaureus!$B$40</f>
        <v>-0.24704022360908162</v>
      </c>
      <c r="T22" s="10">
        <f>GraphSaureus!$H$39*Staphaureus!H22+GraphSaureus!$H$40</f>
        <v>-0.21051716754467442</v>
      </c>
    </row>
    <row r="23" spans="1:20" x14ac:dyDescent="0.2">
      <c r="A23" s="1" t="s">
        <v>137</v>
      </c>
      <c r="B23" s="1" t="s">
        <v>138</v>
      </c>
      <c r="C23">
        <v>425</v>
      </c>
      <c r="D23" t="s">
        <v>42</v>
      </c>
      <c r="E23" s="1" t="s">
        <v>1240</v>
      </c>
      <c r="F23" t="s">
        <v>1166</v>
      </c>
      <c r="H23" s="4">
        <v>72</v>
      </c>
      <c r="I23" s="11">
        <v>6.6000000000000003E-2</v>
      </c>
      <c r="K23" s="12">
        <f t="shared" si="0"/>
        <v>-1.1804560644581312</v>
      </c>
      <c r="L23" s="11">
        <f>GraphSaureus!B$10-(Staphaureus!H23-GraphSaureus!B$6)/GraphSaureus!B$5</f>
        <v>-0.8195244963935453</v>
      </c>
      <c r="M23" s="1" t="s">
        <v>1167</v>
      </c>
      <c r="N23">
        <v>1989</v>
      </c>
      <c r="R23" s="10">
        <f>GraphSaureus!$B$39*Staphaureus!H23+GraphSaureus!$B$40</f>
        <v>-0.81546856349739016</v>
      </c>
      <c r="T23" s="10">
        <f>GraphSaureus!$H$39*Staphaureus!H23+GraphSaureus!$H$40</f>
        <v>-0.82331380959403866</v>
      </c>
    </row>
    <row r="24" spans="1:20" x14ac:dyDescent="0.2">
      <c r="A24" s="1" t="s">
        <v>137</v>
      </c>
      <c r="B24" s="1" t="s">
        <v>138</v>
      </c>
      <c r="C24">
        <v>425</v>
      </c>
      <c r="D24" t="s">
        <v>42</v>
      </c>
      <c r="E24" s="1" t="s">
        <v>1240</v>
      </c>
      <c r="F24" t="s">
        <v>1166</v>
      </c>
      <c r="H24" s="4">
        <v>78</v>
      </c>
      <c r="I24" s="11">
        <v>0.03</v>
      </c>
      <c r="K24" s="12">
        <f t="shared" si="0"/>
        <v>-1.5228787452803376</v>
      </c>
      <c r="L24" s="11">
        <f>GraphSaureus!B$10-(Staphaureus!H24-GraphSaureus!B$6)/GraphSaureus!B$5</f>
        <v>-1.5051308399422334</v>
      </c>
      <c r="M24" s="1" t="s">
        <v>1167</v>
      </c>
      <c r="N24">
        <v>1989</v>
      </c>
      <c r="R24" s="10">
        <f>GraphSaureus!$B$39*Staphaureus!H24+GraphSaureus!$B$40</f>
        <v>-1.4975825713633597</v>
      </c>
      <c r="T24" s="10">
        <f>GraphSaureus!$H$39*Staphaureus!H24+GraphSaureus!$H$40</f>
        <v>-1.5586697800532789</v>
      </c>
    </row>
    <row r="25" spans="1:20" x14ac:dyDescent="0.2">
      <c r="A25" s="1" t="s">
        <v>137</v>
      </c>
      <c r="B25" s="1" t="s">
        <v>138</v>
      </c>
      <c r="C25">
        <v>425</v>
      </c>
      <c r="D25" t="s">
        <v>42</v>
      </c>
      <c r="E25" s="1" t="s">
        <v>1240</v>
      </c>
      <c r="F25" t="s">
        <v>1165</v>
      </c>
      <c r="H25" s="4">
        <v>63</v>
      </c>
      <c r="I25" s="11">
        <v>0.63</v>
      </c>
      <c r="K25" s="12">
        <f t="shared" si="0"/>
        <v>-0.20065945054641829</v>
      </c>
      <c r="L25" s="11">
        <f>GraphSaureus!B$10-(Staphaureus!H25-GraphSaureus!B$6)/GraphSaureus!B$5</f>
        <v>0.20888501892948674</v>
      </c>
      <c r="M25" s="1" t="s">
        <v>1167</v>
      </c>
      <c r="N25">
        <v>1989</v>
      </c>
      <c r="R25" s="10">
        <f>GraphSaureus!$B$39*Staphaureus!H25+GraphSaureus!$B$40</f>
        <v>0.20770244830156503</v>
      </c>
      <c r="T25" s="10">
        <f>GraphSaureus!$H$39*Staphaureus!H25+GraphSaureus!$H$40</f>
        <v>0.2797201460948191</v>
      </c>
    </row>
    <row r="26" spans="1:20" x14ac:dyDescent="0.2">
      <c r="A26" s="1" t="s">
        <v>137</v>
      </c>
      <c r="B26" s="1" t="s">
        <v>138</v>
      </c>
      <c r="C26">
        <v>425</v>
      </c>
      <c r="D26" t="s">
        <v>42</v>
      </c>
      <c r="E26" s="1" t="s">
        <v>1240</v>
      </c>
      <c r="F26" t="s">
        <v>1165</v>
      </c>
      <c r="H26" s="4">
        <v>68</v>
      </c>
      <c r="I26" s="11">
        <v>0.27</v>
      </c>
      <c r="K26" s="12">
        <f t="shared" si="0"/>
        <v>-0.56863623584101264</v>
      </c>
      <c r="L26" s="11">
        <f>GraphSaureus!B$10-(Staphaureus!H26-GraphSaureus!B$6)/GraphSaureus!B$5</f>
        <v>-0.3624536006944199</v>
      </c>
      <c r="M26" s="1" t="s">
        <v>1167</v>
      </c>
      <c r="N26">
        <v>1989</v>
      </c>
      <c r="R26" s="10">
        <f>GraphSaureus!$B$39*Staphaureus!H26+GraphSaureus!$B$40</f>
        <v>-0.36072589158674351</v>
      </c>
      <c r="T26" s="10">
        <f>GraphSaureus!$H$39*Staphaureus!H26+GraphSaureus!$H$40</f>
        <v>-0.33307649595454691</v>
      </c>
    </row>
    <row r="27" spans="1:20" x14ac:dyDescent="0.2">
      <c r="A27" s="1" t="s">
        <v>137</v>
      </c>
      <c r="B27" s="1" t="s">
        <v>138</v>
      </c>
      <c r="C27">
        <v>425</v>
      </c>
      <c r="D27" t="s">
        <v>42</v>
      </c>
      <c r="E27" s="1" t="s">
        <v>1240</v>
      </c>
      <c r="F27" t="s">
        <v>1165</v>
      </c>
      <c r="H27" s="4">
        <v>72</v>
      </c>
      <c r="I27" s="11">
        <v>4.7E-2</v>
      </c>
      <c r="K27" s="12">
        <f t="shared" si="0"/>
        <v>-1.3279021420642825</v>
      </c>
      <c r="L27" s="11">
        <f>GraphSaureus!B$10-(Staphaureus!H27-GraphSaureus!B$6)/GraphSaureus!B$5</f>
        <v>-0.8195244963935453</v>
      </c>
      <c r="M27" s="1" t="s">
        <v>1167</v>
      </c>
      <c r="N27">
        <v>1989</v>
      </c>
      <c r="R27" s="10">
        <f>GraphSaureus!$B$39*Staphaureus!H27+GraphSaureus!$B$40</f>
        <v>-0.81546856349739016</v>
      </c>
      <c r="T27" s="10">
        <f>GraphSaureus!$H$39*Staphaureus!H27+GraphSaureus!$H$40</f>
        <v>-0.82331380959403866</v>
      </c>
    </row>
    <row r="28" spans="1:20" x14ac:dyDescent="0.2">
      <c r="A28" s="1" t="s">
        <v>137</v>
      </c>
      <c r="B28" s="1" t="s">
        <v>138</v>
      </c>
      <c r="C28">
        <v>425</v>
      </c>
      <c r="D28" t="s">
        <v>42</v>
      </c>
      <c r="E28" s="1" t="s">
        <v>1240</v>
      </c>
      <c r="F28" t="s">
        <v>1165</v>
      </c>
      <c r="H28" s="4">
        <v>77</v>
      </c>
      <c r="I28" s="11">
        <v>4.9000000000000002E-2</v>
      </c>
      <c r="K28" s="12">
        <f t="shared" si="0"/>
        <v>-1.3098039199714864</v>
      </c>
      <c r="L28" s="11">
        <f>GraphSaureus!B$10-(Staphaureus!H28-GraphSaureus!B$6)/GraphSaureus!B$5</f>
        <v>-1.3908631160174521</v>
      </c>
      <c r="M28" s="1" t="s">
        <v>1167</v>
      </c>
      <c r="N28">
        <v>1989</v>
      </c>
      <c r="R28" s="10">
        <f>GraphSaureus!$B$39*Staphaureus!H28+GraphSaureus!$B$40</f>
        <v>-1.3838969033856987</v>
      </c>
      <c r="T28" s="10">
        <f>GraphSaureus!$H$39*Staphaureus!H28+GraphSaureus!$H$40</f>
        <v>-1.4361104516434047</v>
      </c>
    </row>
    <row r="29" spans="1:20" x14ac:dyDescent="0.2">
      <c r="A29" s="1" t="s">
        <v>137</v>
      </c>
      <c r="B29" s="1" t="s">
        <v>138</v>
      </c>
      <c r="D29" t="s">
        <v>42</v>
      </c>
      <c r="E29" s="1" t="s">
        <v>1240</v>
      </c>
      <c r="F29" t="s">
        <v>1165</v>
      </c>
      <c r="H29" s="4">
        <v>57.5</v>
      </c>
      <c r="I29" s="11">
        <v>43</v>
      </c>
      <c r="K29" s="12">
        <f t="shared" si="0"/>
        <v>1.6334684555795864</v>
      </c>
      <c r="L29" s="11">
        <f>GraphSaureus!B$10-(Staphaureus!H29-GraphSaureus!B$6)/GraphSaureus!B$5</f>
        <v>0.83735750051578406</v>
      </c>
      <c r="M29" s="1" t="s">
        <v>1167</v>
      </c>
      <c r="N29">
        <v>1989</v>
      </c>
      <c r="R29" s="10">
        <f>GraphSaureus!$B$39*Staphaureus!H29+GraphSaureus!$B$40</f>
        <v>0.83297362217870408</v>
      </c>
      <c r="T29" s="10">
        <f>GraphSaureus!$H$39*Staphaureus!H29+GraphSaureus!$H$40</f>
        <v>0.95379645234912136</v>
      </c>
    </row>
    <row r="30" spans="1:20" x14ac:dyDescent="0.2">
      <c r="A30" s="1" t="s">
        <v>137</v>
      </c>
      <c r="B30" s="1" t="s">
        <v>138</v>
      </c>
      <c r="C30" t="s">
        <v>142</v>
      </c>
      <c r="D30" t="s">
        <v>42</v>
      </c>
      <c r="E30" s="1" t="s">
        <v>1240</v>
      </c>
      <c r="F30" s="1" t="s">
        <v>167</v>
      </c>
      <c r="H30" s="4">
        <v>50</v>
      </c>
      <c r="I30" s="11">
        <v>187.5</v>
      </c>
      <c r="K30" s="12">
        <f t="shared" si="0"/>
        <v>2.2730012720637376</v>
      </c>
      <c r="L30" s="11">
        <f>GraphSaureus!B$10-(Staphaureus!H30-GraphSaureus!B$6)/GraphSaureus!B$5</f>
        <v>1.694365429951644</v>
      </c>
      <c r="M30" s="1" t="s">
        <v>168</v>
      </c>
      <c r="N30">
        <v>1998</v>
      </c>
      <c r="O30" t="s">
        <v>172</v>
      </c>
      <c r="R30" s="10">
        <f>GraphSaureus!$B$39*Staphaureus!H30+GraphSaureus!$B$40</f>
        <v>1.685616132011166</v>
      </c>
      <c r="T30" s="10">
        <f>GraphSaureus!$H$39*Staphaureus!H30+GraphSaureus!$H$40</f>
        <v>1.8729914154231695</v>
      </c>
    </row>
    <row r="31" spans="1:20" x14ac:dyDescent="0.2">
      <c r="A31" s="1" t="s">
        <v>137</v>
      </c>
      <c r="B31" s="1" t="s">
        <v>138</v>
      </c>
      <c r="C31" t="s">
        <v>142</v>
      </c>
      <c r="D31" t="s">
        <v>42</v>
      </c>
      <c r="E31" s="1" t="s">
        <v>1240</v>
      </c>
      <c r="F31" s="1" t="s">
        <v>167</v>
      </c>
      <c r="H31" s="4">
        <v>55</v>
      </c>
      <c r="I31" s="11">
        <v>62.5</v>
      </c>
      <c r="K31" s="12">
        <f t="shared" si="0"/>
        <v>1.7958800173440752</v>
      </c>
      <c r="L31" s="11">
        <f>GraphSaureus!B$10-(Staphaureus!H31-GraphSaureus!B$6)/GraphSaureus!B$5</f>
        <v>1.1230268103277374</v>
      </c>
      <c r="M31" s="1" t="s">
        <v>168</v>
      </c>
      <c r="N31">
        <v>1998</v>
      </c>
      <c r="O31" t="s">
        <v>172</v>
      </c>
      <c r="R31" s="10">
        <f>GraphSaureus!$B$39*Staphaureus!H31+GraphSaureus!$B$40</f>
        <v>1.1171877921228583</v>
      </c>
      <c r="T31" s="10">
        <f>GraphSaureus!$H$39*Staphaureus!H31+GraphSaureus!$H$40</f>
        <v>1.2601947733738044</v>
      </c>
    </row>
    <row r="32" spans="1:20" x14ac:dyDescent="0.2">
      <c r="A32" s="1" t="s">
        <v>137</v>
      </c>
      <c r="B32" s="1" t="s">
        <v>138</v>
      </c>
      <c r="C32" t="s">
        <v>142</v>
      </c>
      <c r="D32" t="s">
        <v>42</v>
      </c>
      <c r="E32" s="1" t="s">
        <v>1240</v>
      </c>
      <c r="F32" s="1" t="s">
        <v>167</v>
      </c>
      <c r="H32" s="4">
        <v>60</v>
      </c>
      <c r="I32" s="11">
        <v>5.8</v>
      </c>
      <c r="K32" s="12">
        <f t="shared" si="0"/>
        <v>0.76342799356293722</v>
      </c>
      <c r="L32" s="11">
        <f>GraphSaureus!B$10-(Staphaureus!H32-GraphSaureus!B$6)/GraphSaureus!B$5</f>
        <v>0.55168819070383068</v>
      </c>
      <c r="M32" s="1" t="s">
        <v>168</v>
      </c>
      <c r="N32">
        <v>1998</v>
      </c>
      <c r="O32" t="s">
        <v>172</v>
      </c>
      <c r="R32" s="10">
        <f>GraphSaureus!$B$39*Staphaureus!H32+GraphSaureus!$B$40</f>
        <v>0.5487594522345498</v>
      </c>
      <c r="T32" s="10">
        <f>GraphSaureus!$H$39*Staphaureus!H32+GraphSaureus!$H$40</f>
        <v>0.64739813132443835</v>
      </c>
    </row>
    <row r="33" spans="1:20" x14ac:dyDescent="0.2">
      <c r="A33" s="1" t="s">
        <v>137</v>
      </c>
      <c r="B33" s="1" t="s">
        <v>138</v>
      </c>
      <c r="C33">
        <v>425</v>
      </c>
      <c r="D33" t="s">
        <v>42</v>
      </c>
      <c r="E33" s="1" t="s">
        <v>1240</v>
      </c>
      <c r="F33" t="s">
        <v>1291</v>
      </c>
      <c r="H33" s="4">
        <v>58</v>
      </c>
      <c r="I33" s="11">
        <v>13</v>
      </c>
      <c r="K33" s="12">
        <f t="shared" si="0"/>
        <v>1.1139433523068367</v>
      </c>
      <c r="L33" s="11">
        <f>GraphSaureus!B$10-(Staphaureus!H33-GraphSaureus!B$6)/GraphSaureus!B$5</f>
        <v>0.78022363855339338</v>
      </c>
      <c r="M33" s="1" t="s">
        <v>1167</v>
      </c>
      <c r="N33">
        <v>1989</v>
      </c>
      <c r="R33" s="10">
        <f>GraphSaureus!$B$39*Staphaureus!H33+GraphSaureus!$B$40</f>
        <v>0.77613078818987269</v>
      </c>
      <c r="T33" s="10">
        <f>GraphSaureus!$H$39*Staphaureus!H33+GraphSaureus!$H$40</f>
        <v>0.89251678814418423</v>
      </c>
    </row>
    <row r="34" spans="1:20" x14ac:dyDescent="0.2">
      <c r="A34" s="1" t="s">
        <v>137</v>
      </c>
      <c r="B34" s="1" t="s">
        <v>138</v>
      </c>
      <c r="C34">
        <v>425</v>
      </c>
      <c r="D34" t="s">
        <v>42</v>
      </c>
      <c r="E34" s="1" t="s">
        <v>1240</v>
      </c>
      <c r="F34" s="1" t="s">
        <v>1291</v>
      </c>
      <c r="H34" s="4">
        <v>58</v>
      </c>
      <c r="I34" s="11">
        <v>20</v>
      </c>
      <c r="K34" s="12">
        <f t="shared" ref="K34:K50" si="1">LOG(I34)</f>
        <v>1.3010299956639813</v>
      </c>
      <c r="L34" s="11">
        <f>GraphSaureus!B$10-(Staphaureus!H34-GraphSaureus!B$6)/GraphSaureus!B$5</f>
        <v>0.78022363855339338</v>
      </c>
      <c r="M34" s="1" t="s">
        <v>1167</v>
      </c>
      <c r="N34">
        <v>1989</v>
      </c>
      <c r="O34" t="s">
        <v>1158</v>
      </c>
      <c r="R34" s="10">
        <f>GraphSaureus!$B$39*Staphaureus!H34+GraphSaureus!$B$40</f>
        <v>0.77613078818987269</v>
      </c>
      <c r="T34" s="10">
        <f>GraphSaureus!$H$39*Staphaureus!H34+GraphSaureus!$H$40</f>
        <v>0.89251678814418423</v>
      </c>
    </row>
    <row r="35" spans="1:20" x14ac:dyDescent="0.2">
      <c r="A35" s="1" t="s">
        <v>137</v>
      </c>
      <c r="B35" s="1" t="s">
        <v>138</v>
      </c>
      <c r="C35">
        <v>425</v>
      </c>
      <c r="D35" t="s">
        <v>42</v>
      </c>
      <c r="E35" s="1" t="s">
        <v>1240</v>
      </c>
      <c r="F35" s="1" t="s">
        <v>1291</v>
      </c>
      <c r="H35" s="4">
        <v>58</v>
      </c>
      <c r="I35" s="11">
        <v>20</v>
      </c>
      <c r="K35" s="12">
        <f t="shared" si="1"/>
        <v>1.3010299956639813</v>
      </c>
      <c r="L35" s="11">
        <f>GraphSaureus!B$10-(Staphaureus!H35-GraphSaureus!B$6)/GraphSaureus!B$5</f>
        <v>0.78022363855339338</v>
      </c>
      <c r="M35" s="1" t="s">
        <v>1167</v>
      </c>
      <c r="N35">
        <v>1989</v>
      </c>
      <c r="O35" t="s">
        <v>359</v>
      </c>
      <c r="R35" s="10">
        <f>GraphSaureus!$B$39*Staphaureus!H35+GraphSaureus!$B$40</f>
        <v>0.77613078818987269</v>
      </c>
      <c r="T35" s="10">
        <f>GraphSaureus!$H$39*Staphaureus!H35+GraphSaureus!$H$40</f>
        <v>0.89251678814418423</v>
      </c>
    </row>
    <row r="36" spans="1:20" x14ac:dyDescent="0.2">
      <c r="A36" s="1" t="s">
        <v>137</v>
      </c>
      <c r="B36" s="1" t="s">
        <v>138</v>
      </c>
      <c r="C36">
        <v>425</v>
      </c>
      <c r="D36" t="s">
        <v>42</v>
      </c>
      <c r="E36" s="1" t="s">
        <v>1240</v>
      </c>
      <c r="F36" s="1" t="s">
        <v>1291</v>
      </c>
      <c r="H36" s="4">
        <v>58</v>
      </c>
      <c r="I36" s="11">
        <v>61</v>
      </c>
      <c r="K36" s="12">
        <f t="shared" si="1"/>
        <v>1.7853298350107671</v>
      </c>
      <c r="L36" s="11">
        <f>GraphSaureus!B$10-(Staphaureus!H36-GraphSaureus!B$6)/GraphSaureus!B$5</f>
        <v>0.78022363855339338</v>
      </c>
      <c r="M36" s="1" t="s">
        <v>1167</v>
      </c>
      <c r="N36">
        <v>1989</v>
      </c>
      <c r="O36" t="s">
        <v>358</v>
      </c>
      <c r="R36" s="10">
        <f>GraphSaureus!$B$39*Staphaureus!H36+GraphSaureus!$B$40</f>
        <v>0.77613078818987269</v>
      </c>
      <c r="T36" s="10">
        <f>GraphSaureus!$H$39*Staphaureus!H36+GraphSaureus!$H$40</f>
        <v>0.89251678814418423</v>
      </c>
    </row>
    <row r="37" spans="1:20" x14ac:dyDescent="0.2">
      <c r="A37" s="1" t="s">
        <v>137</v>
      </c>
      <c r="B37" s="1" t="s">
        <v>138</v>
      </c>
      <c r="C37">
        <v>425</v>
      </c>
      <c r="D37" t="s">
        <v>42</v>
      </c>
      <c r="E37" s="1" t="s">
        <v>1240</v>
      </c>
      <c r="F37" s="1" t="s">
        <v>1291</v>
      </c>
      <c r="H37" s="4">
        <v>58</v>
      </c>
      <c r="I37" s="11">
        <v>139</v>
      </c>
      <c r="K37" s="12">
        <f t="shared" si="1"/>
        <v>2.143014800254095</v>
      </c>
      <c r="L37" s="11">
        <f>GraphSaureus!B$10-(Staphaureus!H37-GraphSaureus!B$6)/GraphSaureus!B$5</f>
        <v>0.78022363855339338</v>
      </c>
      <c r="M37" s="1" t="s">
        <v>1167</v>
      </c>
      <c r="N37">
        <v>1989</v>
      </c>
      <c r="O37" t="s">
        <v>358</v>
      </c>
      <c r="R37" s="10">
        <f>GraphSaureus!$B$39*Staphaureus!H37+GraphSaureus!$B$40</f>
        <v>0.77613078818987269</v>
      </c>
      <c r="T37" s="10">
        <f>GraphSaureus!$H$39*Staphaureus!H37+GraphSaureus!$H$40</f>
        <v>0.89251678814418423</v>
      </c>
    </row>
    <row r="38" spans="1:20" x14ac:dyDescent="0.2">
      <c r="A38" s="1" t="s">
        <v>137</v>
      </c>
      <c r="B38" s="1" t="s">
        <v>138</v>
      </c>
      <c r="C38">
        <v>425</v>
      </c>
      <c r="D38" t="s">
        <v>42</v>
      </c>
      <c r="E38" s="1" t="s">
        <v>1240</v>
      </c>
      <c r="F38" t="s">
        <v>1291</v>
      </c>
      <c r="H38" s="4">
        <v>58</v>
      </c>
      <c r="I38" s="11">
        <v>174</v>
      </c>
      <c r="K38" s="12">
        <f t="shared" si="1"/>
        <v>2.2405492482825999</v>
      </c>
      <c r="L38" s="11">
        <f>GraphSaureus!B$10-(Staphaureus!H38-GraphSaureus!B$6)/GraphSaureus!B$5</f>
        <v>0.78022363855339338</v>
      </c>
      <c r="M38" s="1" t="s">
        <v>1167</v>
      </c>
      <c r="N38">
        <v>1989</v>
      </c>
      <c r="R38" s="10">
        <f>GraphSaureus!$B$39*Staphaureus!H38+GraphSaureus!$B$40</f>
        <v>0.77613078818987269</v>
      </c>
      <c r="T38" s="10">
        <f>GraphSaureus!$H$39*Staphaureus!H38+GraphSaureus!$H$40</f>
        <v>0.89251678814418423</v>
      </c>
    </row>
    <row r="39" spans="1:20" x14ac:dyDescent="0.2">
      <c r="A39" s="1" t="s">
        <v>137</v>
      </c>
      <c r="B39" s="1" t="s">
        <v>138</v>
      </c>
      <c r="C39">
        <v>425</v>
      </c>
      <c r="D39" t="s">
        <v>42</v>
      </c>
      <c r="E39" s="1" t="s">
        <v>1240</v>
      </c>
      <c r="F39" s="1" t="s">
        <v>1291</v>
      </c>
      <c r="H39" s="4">
        <v>58</v>
      </c>
      <c r="I39" s="11">
        <v>189</v>
      </c>
      <c r="K39" s="12">
        <f t="shared" si="1"/>
        <v>2.2764618041732443</v>
      </c>
      <c r="L39" s="11">
        <f>GraphSaureus!B$10-(Staphaureus!H39-GraphSaureus!B$6)/GraphSaureus!B$5</f>
        <v>0.78022363855339338</v>
      </c>
      <c r="M39" s="1" t="s">
        <v>1167</v>
      </c>
      <c r="N39">
        <v>1989</v>
      </c>
      <c r="O39" t="s">
        <v>358</v>
      </c>
      <c r="R39" s="10">
        <f>GraphSaureus!$B$39*Staphaureus!H39+GraphSaureus!$B$40</f>
        <v>0.77613078818987269</v>
      </c>
      <c r="T39" s="10">
        <f>GraphSaureus!$H$39*Staphaureus!H39+GraphSaureus!$H$40</f>
        <v>0.89251678814418423</v>
      </c>
    </row>
    <row r="40" spans="1:20" x14ac:dyDescent="0.2">
      <c r="A40" s="1" t="s">
        <v>137</v>
      </c>
      <c r="B40" s="1" t="s">
        <v>138</v>
      </c>
      <c r="C40">
        <v>425</v>
      </c>
      <c r="D40" t="s">
        <v>42</v>
      </c>
      <c r="E40" s="1" t="s">
        <v>1240</v>
      </c>
      <c r="F40" t="s">
        <v>1291</v>
      </c>
      <c r="H40" s="4">
        <v>63</v>
      </c>
      <c r="I40" s="11">
        <v>0.85</v>
      </c>
      <c r="K40" s="12">
        <f t="shared" si="1"/>
        <v>-7.0581074285707285E-2</v>
      </c>
      <c r="L40" s="11">
        <f>GraphSaureus!B$10-(Staphaureus!H40-GraphSaureus!B$6)/GraphSaureus!B$5</f>
        <v>0.20888501892948674</v>
      </c>
      <c r="M40" s="1" t="s">
        <v>1167</v>
      </c>
      <c r="N40">
        <v>1989</v>
      </c>
      <c r="R40" s="10">
        <f>GraphSaureus!$B$39*Staphaureus!H40+GraphSaureus!$B$40</f>
        <v>0.20770244830156503</v>
      </c>
      <c r="T40" s="10">
        <f>GraphSaureus!$H$39*Staphaureus!H40+GraphSaureus!$H$40</f>
        <v>0.2797201460948191</v>
      </c>
    </row>
    <row r="41" spans="1:20" x14ac:dyDescent="0.2">
      <c r="A41" s="1" t="s">
        <v>137</v>
      </c>
      <c r="B41" s="1" t="s">
        <v>138</v>
      </c>
      <c r="C41">
        <v>425</v>
      </c>
      <c r="D41" t="s">
        <v>42</v>
      </c>
      <c r="E41" s="1" t="s">
        <v>1240</v>
      </c>
      <c r="F41" t="s">
        <v>1291</v>
      </c>
      <c r="H41" s="4">
        <v>65</v>
      </c>
      <c r="I41" s="11">
        <v>0.69</v>
      </c>
      <c r="K41" s="12">
        <f t="shared" si="1"/>
        <v>-0.16115090926274472</v>
      </c>
      <c r="L41" s="11">
        <f>GraphSaureus!B$10-(Staphaureus!H41-GraphSaureus!B$6)/GraphSaureus!B$5</f>
        <v>-1.9650428920075957E-2</v>
      </c>
      <c r="M41" s="1" t="s">
        <v>1167</v>
      </c>
      <c r="N41">
        <v>1989</v>
      </c>
      <c r="R41" s="10">
        <f>GraphSaureus!$B$39*Staphaureus!H41+GraphSaureus!$B$40</f>
        <v>-1.9668887653758738E-2</v>
      </c>
      <c r="T41" s="10">
        <f>GraphSaureus!$H$39*Staphaureus!H41+GraphSaureus!$H$40</f>
        <v>3.4601489275072339E-2</v>
      </c>
    </row>
    <row r="42" spans="1:20" x14ac:dyDescent="0.2">
      <c r="A42" s="1" t="s">
        <v>137</v>
      </c>
      <c r="B42" s="1" t="s">
        <v>138</v>
      </c>
      <c r="C42">
        <v>425</v>
      </c>
      <c r="D42" t="s">
        <v>42</v>
      </c>
      <c r="E42" s="1" t="s">
        <v>1240</v>
      </c>
      <c r="F42" t="s">
        <v>1291</v>
      </c>
      <c r="H42" s="4">
        <v>68</v>
      </c>
      <c r="I42" s="11">
        <v>0.54</v>
      </c>
      <c r="K42" s="12">
        <f t="shared" si="1"/>
        <v>-0.26760624017703144</v>
      </c>
      <c r="L42" s="11">
        <f>GraphSaureus!B$10-(Staphaureus!H42-GraphSaureus!B$6)/GraphSaureus!B$5</f>
        <v>-0.3624536006944199</v>
      </c>
      <c r="M42" s="1" t="s">
        <v>1167</v>
      </c>
      <c r="N42">
        <v>1989</v>
      </c>
      <c r="R42" s="10">
        <f>GraphSaureus!$B$39*Staphaureus!H42+GraphSaureus!$B$40</f>
        <v>-0.36072589158674351</v>
      </c>
      <c r="T42" s="10">
        <f>GraphSaureus!$H$39*Staphaureus!H42+GraphSaureus!$H$40</f>
        <v>-0.33307649595454691</v>
      </c>
    </row>
    <row r="43" spans="1:20" x14ac:dyDescent="0.2">
      <c r="A43" s="1" t="s">
        <v>137</v>
      </c>
      <c r="B43" s="1" t="s">
        <v>138</v>
      </c>
      <c r="C43">
        <v>425</v>
      </c>
      <c r="D43" t="s">
        <v>42</v>
      </c>
      <c r="E43" s="1" t="s">
        <v>1240</v>
      </c>
      <c r="F43" t="s">
        <v>1291</v>
      </c>
      <c r="H43" s="4">
        <v>73</v>
      </c>
      <c r="I43" s="11">
        <v>6.5000000000000002E-2</v>
      </c>
      <c r="K43" s="12">
        <f t="shared" si="1"/>
        <v>-1.1870866433571443</v>
      </c>
      <c r="L43" s="11">
        <f>GraphSaureus!B$10-(Staphaureus!H43-GraphSaureus!B$6)/GraphSaureus!B$5</f>
        <v>-0.93379222031832665</v>
      </c>
      <c r="M43" s="1" t="s">
        <v>1167</v>
      </c>
      <c r="N43">
        <v>1989</v>
      </c>
      <c r="R43" s="10">
        <f>GraphSaureus!$B$39*Staphaureus!H43+GraphSaureus!$B$40</f>
        <v>-0.92915423147505116</v>
      </c>
      <c r="T43" s="10">
        <f>GraphSaureus!$H$39*Staphaureus!H43+GraphSaureus!$H$40</f>
        <v>-0.94587313800391293</v>
      </c>
    </row>
    <row r="44" spans="1:20" x14ac:dyDescent="0.2">
      <c r="A44" s="1" t="s">
        <v>137</v>
      </c>
      <c r="B44" s="1" t="s">
        <v>138</v>
      </c>
      <c r="C44">
        <v>425</v>
      </c>
      <c r="D44" t="s">
        <v>42</v>
      </c>
      <c r="E44" s="1" t="s">
        <v>1240</v>
      </c>
      <c r="F44" t="s">
        <v>1291</v>
      </c>
      <c r="H44" s="4">
        <v>78</v>
      </c>
      <c r="I44" s="11">
        <v>0.03</v>
      </c>
      <c r="K44" s="12">
        <f t="shared" si="1"/>
        <v>-1.5228787452803376</v>
      </c>
      <c r="L44" s="11">
        <f>GraphSaureus!B$10-(Staphaureus!H44-GraphSaureus!B$6)/GraphSaureus!B$5</f>
        <v>-1.5051308399422334</v>
      </c>
      <c r="M44" s="1" t="s">
        <v>1167</v>
      </c>
      <c r="N44">
        <v>1989</v>
      </c>
      <c r="R44" s="10">
        <f>GraphSaureus!$B$39*Staphaureus!H44+GraphSaureus!$B$40</f>
        <v>-1.4975825713633597</v>
      </c>
      <c r="T44" s="10">
        <f>GraphSaureus!$H$39*Staphaureus!H44+GraphSaureus!$H$40</f>
        <v>-1.5586697800532789</v>
      </c>
    </row>
    <row r="45" spans="1:20" x14ac:dyDescent="0.2">
      <c r="A45" s="1" t="s">
        <v>137</v>
      </c>
      <c r="B45" s="1" t="s">
        <v>138</v>
      </c>
      <c r="C45">
        <v>425</v>
      </c>
      <c r="D45" t="s">
        <v>42</v>
      </c>
      <c r="E45" s="1" t="s">
        <v>1240</v>
      </c>
      <c r="F45" t="s">
        <v>1291</v>
      </c>
      <c r="H45" s="4">
        <v>79</v>
      </c>
      <c r="I45" s="11">
        <v>3.3000000000000002E-2</v>
      </c>
      <c r="K45" s="12">
        <f t="shared" si="1"/>
        <v>-1.4814860601221125</v>
      </c>
      <c r="L45" s="11">
        <f>GraphSaureus!B$10-(Staphaureus!H45-GraphSaureus!B$6)/GraphSaureus!B$5</f>
        <v>-1.6193985638670145</v>
      </c>
      <c r="M45" s="1" t="s">
        <v>1167</v>
      </c>
      <c r="N45">
        <v>1989</v>
      </c>
      <c r="R45" s="10">
        <f>GraphSaureus!$B$39*Staphaureus!H45+GraphSaureus!$B$40</f>
        <v>-1.6112682393410225</v>
      </c>
      <c r="T45" s="10">
        <f>GraphSaureus!$H$39*Staphaureus!H45+GraphSaureus!$H$40</f>
        <v>-1.6812291084631514</v>
      </c>
    </row>
    <row r="46" spans="1:20" x14ac:dyDescent="0.2">
      <c r="A46" s="1" t="s">
        <v>137</v>
      </c>
      <c r="B46" s="1" t="s">
        <v>138</v>
      </c>
      <c r="D46" t="s">
        <v>42</v>
      </c>
      <c r="E46" s="1" t="s">
        <v>1240</v>
      </c>
      <c r="F46" t="s">
        <v>1159</v>
      </c>
      <c r="H46" s="4">
        <v>57.5</v>
      </c>
      <c r="I46" s="11">
        <v>12</v>
      </c>
      <c r="K46" s="12">
        <f t="shared" si="1"/>
        <v>1.0791812460476249</v>
      </c>
      <c r="L46" s="11">
        <f>GraphSaureus!B$10-(Staphaureus!H46-GraphSaureus!B$6)/GraphSaureus!B$5</f>
        <v>0.83735750051578406</v>
      </c>
      <c r="M46" s="1" t="s">
        <v>1167</v>
      </c>
      <c r="N46">
        <v>1989</v>
      </c>
      <c r="R46" s="10">
        <f>GraphSaureus!$B$39*Staphaureus!H46+GraphSaureus!$B$40</f>
        <v>0.83297362217870408</v>
      </c>
      <c r="T46" s="10">
        <f>GraphSaureus!$H$39*Staphaureus!H46+GraphSaureus!$H$40</f>
        <v>0.95379645234912136</v>
      </c>
    </row>
    <row r="47" spans="1:20" x14ac:dyDescent="0.2">
      <c r="A47" s="1" t="s">
        <v>137</v>
      </c>
      <c r="B47" s="1" t="s">
        <v>138</v>
      </c>
      <c r="D47" t="s">
        <v>42</v>
      </c>
      <c r="E47" s="1" t="s">
        <v>1240</v>
      </c>
      <c r="F47" t="s">
        <v>1160</v>
      </c>
      <c r="H47" s="4">
        <v>57.5</v>
      </c>
      <c r="I47" s="11">
        <v>12</v>
      </c>
      <c r="K47" s="12">
        <f t="shared" si="1"/>
        <v>1.0791812460476249</v>
      </c>
      <c r="L47" s="11">
        <f>GraphSaureus!B$10-(Staphaureus!H47-GraphSaureus!B$6)/GraphSaureus!B$5</f>
        <v>0.83735750051578406</v>
      </c>
      <c r="M47" s="1" t="s">
        <v>1167</v>
      </c>
      <c r="N47">
        <v>1989</v>
      </c>
      <c r="R47" s="10">
        <f>GraphSaureus!$B$39*Staphaureus!H47+GraphSaureus!$B$40</f>
        <v>0.83297362217870408</v>
      </c>
      <c r="T47" s="10">
        <f>GraphSaureus!$H$39*Staphaureus!H47+GraphSaureus!$H$40</f>
        <v>0.95379645234912136</v>
      </c>
    </row>
    <row r="48" spans="1:20" x14ac:dyDescent="0.2">
      <c r="A48" s="1" t="s">
        <v>137</v>
      </c>
      <c r="B48" s="1" t="s">
        <v>138</v>
      </c>
      <c r="C48">
        <v>425</v>
      </c>
      <c r="D48" t="s">
        <v>42</v>
      </c>
      <c r="E48" s="1" t="s">
        <v>1240</v>
      </c>
      <c r="F48" t="s">
        <v>1164</v>
      </c>
      <c r="H48" s="4">
        <v>57</v>
      </c>
      <c r="I48" s="11">
        <v>77</v>
      </c>
      <c r="K48" s="12">
        <f t="shared" si="1"/>
        <v>1.8864907251724818</v>
      </c>
      <c r="L48" s="11">
        <f>GraphSaureus!B$10-(Staphaureus!H48-GraphSaureus!B$6)/GraphSaureus!B$5</f>
        <v>0.89449136247817473</v>
      </c>
      <c r="M48" s="1" t="s">
        <v>1167</v>
      </c>
      <c r="N48">
        <v>1989</v>
      </c>
      <c r="R48" s="10">
        <f>GraphSaureus!$B$39*Staphaureus!H48+GraphSaureus!$B$40</f>
        <v>0.88981645616753458</v>
      </c>
      <c r="T48" s="10">
        <f>GraphSaureus!$H$39*Staphaureus!H48+GraphSaureus!$H$40</f>
        <v>1.0150761165540576</v>
      </c>
    </row>
    <row r="49" spans="1:20" x14ac:dyDescent="0.2">
      <c r="A49" s="1" t="s">
        <v>137</v>
      </c>
      <c r="B49" s="1" t="s">
        <v>138</v>
      </c>
      <c r="C49">
        <v>425</v>
      </c>
      <c r="D49" t="s">
        <v>42</v>
      </c>
      <c r="E49" s="1" t="s">
        <v>1240</v>
      </c>
      <c r="F49" t="s">
        <v>1164</v>
      </c>
      <c r="H49" s="4">
        <v>58</v>
      </c>
      <c r="I49" s="11">
        <v>8</v>
      </c>
      <c r="K49" s="12">
        <f t="shared" si="1"/>
        <v>0.90308998699194354</v>
      </c>
      <c r="L49" s="11">
        <f>GraphSaureus!B$10-(Staphaureus!H49-GraphSaureus!B$6)/GraphSaureus!B$5</f>
        <v>0.78022363855339338</v>
      </c>
      <c r="M49" s="1" t="s">
        <v>1167</v>
      </c>
      <c r="N49">
        <v>1989</v>
      </c>
      <c r="R49" s="10">
        <f>GraphSaureus!$B$39*Staphaureus!H49+GraphSaureus!$B$40</f>
        <v>0.77613078818987269</v>
      </c>
      <c r="T49" s="10">
        <f>GraphSaureus!$H$39*Staphaureus!H49+GraphSaureus!$H$40</f>
        <v>0.89251678814418423</v>
      </c>
    </row>
    <row r="50" spans="1:20" x14ac:dyDescent="0.2">
      <c r="A50" s="1" t="s">
        <v>137</v>
      </c>
      <c r="B50" s="1" t="s">
        <v>138</v>
      </c>
      <c r="C50">
        <v>425</v>
      </c>
      <c r="D50" t="s">
        <v>42</v>
      </c>
      <c r="E50" s="1" t="s">
        <v>1240</v>
      </c>
      <c r="F50" t="s">
        <v>1164</v>
      </c>
      <c r="H50" s="4">
        <v>63</v>
      </c>
      <c r="I50" s="11">
        <v>0.53</v>
      </c>
      <c r="K50" s="12">
        <f t="shared" si="1"/>
        <v>-0.27572413039921095</v>
      </c>
      <c r="L50" s="11">
        <f>GraphSaureus!B$10-(Staphaureus!H50-GraphSaureus!B$6)/GraphSaureus!B$5</f>
        <v>0.20888501892948674</v>
      </c>
      <c r="M50" s="1" t="s">
        <v>1167</v>
      </c>
      <c r="N50">
        <v>1989</v>
      </c>
      <c r="R50" s="10">
        <f>GraphSaureus!$B$39*Staphaureus!H50+GraphSaureus!$B$40</f>
        <v>0.20770244830156503</v>
      </c>
      <c r="T50" s="10">
        <f>GraphSaureus!$H$39*Staphaureus!H50+GraphSaureus!$H$40</f>
        <v>0.2797201460948191</v>
      </c>
    </row>
    <row r="51" spans="1:20" x14ac:dyDescent="0.2">
      <c r="A51" s="1" t="s">
        <v>137</v>
      </c>
      <c r="B51" s="1" t="s">
        <v>138</v>
      </c>
      <c r="C51">
        <v>425</v>
      </c>
      <c r="D51" t="s">
        <v>42</v>
      </c>
      <c r="E51" s="1" t="s">
        <v>1240</v>
      </c>
      <c r="F51" t="s">
        <v>1164</v>
      </c>
      <c r="H51" s="4">
        <v>65</v>
      </c>
      <c r="I51" s="11">
        <v>0.5</v>
      </c>
      <c r="K51" s="12">
        <f t="shared" ref="K51:K60" si="2">LOG(I51)</f>
        <v>-0.3010299956639812</v>
      </c>
      <c r="L51" s="11">
        <f>GraphSaureus!B$10-(Staphaureus!H51-GraphSaureus!B$6)/GraphSaureus!B$5</f>
        <v>-1.9650428920075957E-2</v>
      </c>
      <c r="M51" s="1" t="s">
        <v>1167</v>
      </c>
      <c r="N51">
        <v>1989</v>
      </c>
      <c r="R51" s="10">
        <f>GraphSaureus!$B$39*Staphaureus!H51+GraphSaureus!$B$40</f>
        <v>-1.9668887653758738E-2</v>
      </c>
      <c r="T51" s="10">
        <f>GraphSaureus!$H$39*Staphaureus!H51+GraphSaureus!$H$40</f>
        <v>3.4601489275072339E-2</v>
      </c>
    </row>
    <row r="52" spans="1:20" x14ac:dyDescent="0.2">
      <c r="A52" s="1" t="s">
        <v>137</v>
      </c>
      <c r="B52" s="1" t="s">
        <v>138</v>
      </c>
      <c r="C52">
        <v>425</v>
      </c>
      <c r="D52" t="s">
        <v>42</v>
      </c>
      <c r="E52" s="1" t="s">
        <v>1240</v>
      </c>
      <c r="F52" t="s">
        <v>1164</v>
      </c>
      <c r="H52" s="4">
        <v>68</v>
      </c>
      <c r="I52" s="11">
        <v>0.3</v>
      </c>
      <c r="K52" s="12">
        <f t="shared" si="2"/>
        <v>-0.52287874528033762</v>
      </c>
      <c r="L52" s="11">
        <f>GraphSaureus!B$10-(Staphaureus!H52-GraphSaureus!B$6)/GraphSaureus!B$5</f>
        <v>-0.3624536006944199</v>
      </c>
      <c r="M52" s="1" t="s">
        <v>1167</v>
      </c>
      <c r="N52">
        <v>1989</v>
      </c>
      <c r="R52" s="10">
        <f>GraphSaureus!$B$39*Staphaureus!H52+GraphSaureus!$B$40</f>
        <v>-0.36072589158674351</v>
      </c>
      <c r="T52" s="10">
        <f>GraphSaureus!$H$39*Staphaureus!H52+GraphSaureus!$H$40</f>
        <v>-0.33307649595454691</v>
      </c>
    </row>
    <row r="53" spans="1:20" x14ac:dyDescent="0.2">
      <c r="A53" s="1" t="s">
        <v>137</v>
      </c>
      <c r="B53" s="1" t="s">
        <v>138</v>
      </c>
      <c r="C53">
        <v>425</v>
      </c>
      <c r="D53" t="s">
        <v>42</v>
      </c>
      <c r="E53" s="1" t="s">
        <v>1240</v>
      </c>
      <c r="F53" t="s">
        <v>1164</v>
      </c>
      <c r="H53" s="4">
        <v>72</v>
      </c>
      <c r="I53" s="11">
        <v>0.3</v>
      </c>
      <c r="K53" s="12">
        <f t="shared" si="2"/>
        <v>-0.52287874528033762</v>
      </c>
      <c r="L53" s="11">
        <f>GraphSaureus!B$10-(Staphaureus!H53-GraphSaureus!B$6)/GraphSaureus!B$5</f>
        <v>-0.8195244963935453</v>
      </c>
      <c r="M53" s="1" t="s">
        <v>1167</v>
      </c>
      <c r="N53">
        <v>1989</v>
      </c>
      <c r="R53" s="10">
        <f>GraphSaureus!$B$39*Staphaureus!H53+GraphSaureus!$B$40</f>
        <v>-0.81546856349739016</v>
      </c>
      <c r="T53" s="10">
        <f>GraphSaureus!$H$39*Staphaureus!H53+GraphSaureus!$H$40</f>
        <v>-0.82331380959403866</v>
      </c>
    </row>
    <row r="54" spans="1:20" x14ac:dyDescent="0.2">
      <c r="A54" s="1" t="s">
        <v>137</v>
      </c>
      <c r="B54" s="1" t="s">
        <v>138</v>
      </c>
      <c r="C54">
        <v>425</v>
      </c>
      <c r="D54" t="s">
        <v>42</v>
      </c>
      <c r="E54" s="1" t="s">
        <v>1240</v>
      </c>
      <c r="F54" t="s">
        <v>1164</v>
      </c>
      <c r="H54" s="4">
        <v>73</v>
      </c>
      <c r="I54" s="11">
        <v>6.5000000000000002E-2</v>
      </c>
      <c r="K54" s="12">
        <f t="shared" si="2"/>
        <v>-1.1870866433571443</v>
      </c>
      <c r="L54" s="11">
        <f>GraphSaureus!B$10-(Staphaureus!H54-GraphSaureus!B$6)/GraphSaureus!B$5</f>
        <v>-0.93379222031832665</v>
      </c>
      <c r="M54" s="1" t="s">
        <v>1167</v>
      </c>
      <c r="N54">
        <v>1989</v>
      </c>
      <c r="R54" s="10">
        <f>GraphSaureus!$B$39*Staphaureus!H54+GraphSaureus!$B$40</f>
        <v>-0.92915423147505116</v>
      </c>
      <c r="T54" s="10">
        <f>GraphSaureus!$H$39*Staphaureus!H54+GraphSaureus!$H$40</f>
        <v>-0.94587313800391293</v>
      </c>
    </row>
    <row r="55" spans="1:20" x14ac:dyDescent="0.2">
      <c r="A55" s="1" t="s">
        <v>137</v>
      </c>
      <c r="B55" s="1" t="s">
        <v>138</v>
      </c>
      <c r="C55">
        <v>425</v>
      </c>
      <c r="D55" t="s">
        <v>42</v>
      </c>
      <c r="E55" s="1" t="s">
        <v>1240</v>
      </c>
      <c r="F55" t="s">
        <v>1164</v>
      </c>
      <c r="H55" s="4">
        <v>78</v>
      </c>
      <c r="I55" s="11">
        <v>5.3999999999999999E-2</v>
      </c>
      <c r="K55" s="12">
        <f t="shared" si="2"/>
        <v>-1.2676062401770316</v>
      </c>
      <c r="L55" s="11">
        <f>GraphSaureus!B$10-(Staphaureus!H55-GraphSaureus!B$6)/GraphSaureus!B$5</f>
        <v>-1.5051308399422334</v>
      </c>
      <c r="M55" s="1" t="s">
        <v>1167</v>
      </c>
      <c r="N55">
        <v>1989</v>
      </c>
      <c r="R55" s="10">
        <f>GraphSaureus!$B$39*Staphaureus!H55+GraphSaureus!$B$40</f>
        <v>-1.4975825713633597</v>
      </c>
      <c r="T55" s="10">
        <f>GraphSaureus!$H$39*Staphaureus!H55+GraphSaureus!$H$40</f>
        <v>-1.5586697800532789</v>
      </c>
    </row>
    <row r="56" spans="1:20" x14ac:dyDescent="0.2">
      <c r="A56" s="1" t="s">
        <v>137</v>
      </c>
      <c r="B56" s="1" t="s">
        <v>138</v>
      </c>
      <c r="C56">
        <v>425</v>
      </c>
      <c r="D56" t="s">
        <v>42</v>
      </c>
      <c r="E56" s="1" t="s">
        <v>1240</v>
      </c>
      <c r="F56" t="s">
        <v>1164</v>
      </c>
      <c r="H56" s="4">
        <v>79</v>
      </c>
      <c r="I56" s="11">
        <v>0.51</v>
      </c>
      <c r="K56" s="12">
        <f t="shared" si="2"/>
        <v>-0.29242982390206362</v>
      </c>
      <c r="L56" s="11">
        <f>GraphSaureus!B$10-(Staphaureus!H56-GraphSaureus!B$6)/GraphSaureus!B$5</f>
        <v>-1.6193985638670145</v>
      </c>
      <c r="M56" s="1" t="s">
        <v>1167</v>
      </c>
      <c r="N56">
        <v>1989</v>
      </c>
      <c r="R56" s="10">
        <f>GraphSaureus!$B$39*Staphaureus!H56+GraphSaureus!$B$40</f>
        <v>-1.6112682393410225</v>
      </c>
      <c r="T56" s="10">
        <f>GraphSaureus!$H$39*Staphaureus!H56+GraphSaureus!$H$40</f>
        <v>-1.6812291084631514</v>
      </c>
    </row>
    <row r="57" spans="1:20" x14ac:dyDescent="0.2">
      <c r="A57" s="1" t="s">
        <v>137</v>
      </c>
      <c r="B57" s="1" t="s">
        <v>138</v>
      </c>
      <c r="D57" t="s">
        <v>42</v>
      </c>
      <c r="E57" s="1" t="s">
        <v>1240</v>
      </c>
      <c r="F57" t="s">
        <v>1164</v>
      </c>
      <c r="H57" s="4">
        <v>57.5</v>
      </c>
      <c r="I57" s="11">
        <v>13</v>
      </c>
      <c r="K57" s="12">
        <f t="shared" si="2"/>
        <v>1.1139433523068367</v>
      </c>
      <c r="L57" s="11">
        <f>GraphSaureus!B$10-(Staphaureus!H57-GraphSaureus!B$6)/GraphSaureus!B$5</f>
        <v>0.83735750051578406</v>
      </c>
      <c r="M57" s="1" t="s">
        <v>1167</v>
      </c>
      <c r="N57">
        <v>1989</v>
      </c>
      <c r="R57" s="10">
        <f>GraphSaureus!$B$39*Staphaureus!H57+GraphSaureus!$B$40</f>
        <v>0.83297362217870408</v>
      </c>
      <c r="T57" s="10">
        <f>GraphSaureus!$H$39*Staphaureus!H57+GraphSaureus!$H$40</f>
        <v>0.95379645234912136</v>
      </c>
    </row>
    <row r="58" spans="1:20" x14ac:dyDescent="0.2">
      <c r="A58" s="1" t="s">
        <v>137</v>
      </c>
      <c r="B58" s="1" t="s">
        <v>138</v>
      </c>
      <c r="D58" t="s">
        <v>42</v>
      </c>
      <c r="E58" s="1" t="s">
        <v>1240</v>
      </c>
      <c r="F58" s="1"/>
      <c r="H58" s="4">
        <v>50</v>
      </c>
      <c r="I58" s="11">
        <v>10</v>
      </c>
      <c r="K58" s="12">
        <f t="shared" si="2"/>
        <v>1</v>
      </c>
      <c r="L58" s="11">
        <f>GraphSaureus!B$10-(Staphaureus!H58-GraphSaureus!B$6)/GraphSaureus!B$5</f>
        <v>1.694365429951644</v>
      </c>
      <c r="M58" s="1" t="s">
        <v>1226</v>
      </c>
      <c r="N58">
        <v>1996</v>
      </c>
      <c r="O58" t="s">
        <v>175</v>
      </c>
      <c r="R58" s="10">
        <f>GraphSaureus!$B$39*Staphaureus!H58+GraphSaureus!$B$40</f>
        <v>1.685616132011166</v>
      </c>
      <c r="T58" s="10">
        <f>GraphSaureus!$H$39*Staphaureus!H58+GraphSaureus!$H$40</f>
        <v>1.8729914154231695</v>
      </c>
    </row>
    <row r="59" spans="1:20" x14ac:dyDescent="0.2">
      <c r="A59" s="1" t="s">
        <v>137</v>
      </c>
      <c r="B59" s="1" t="s">
        <v>138</v>
      </c>
      <c r="D59" t="s">
        <v>42</v>
      </c>
      <c r="E59" s="1" t="s">
        <v>1240</v>
      </c>
      <c r="H59" s="4">
        <v>55</v>
      </c>
      <c r="I59" s="11">
        <v>3</v>
      </c>
      <c r="K59" s="12">
        <f t="shared" si="2"/>
        <v>0.47712125471966244</v>
      </c>
      <c r="L59" s="11">
        <f>GraphSaureus!B$10-(Staphaureus!H59-GraphSaureus!B$6)/GraphSaureus!B$5</f>
        <v>1.1230268103277374</v>
      </c>
      <c r="M59" s="1" t="s">
        <v>1226</v>
      </c>
      <c r="N59">
        <v>1996</v>
      </c>
      <c r="O59" t="s">
        <v>175</v>
      </c>
      <c r="R59" s="10">
        <f>GraphSaureus!$B$39*Staphaureus!H59+GraphSaureus!$B$40</f>
        <v>1.1171877921228583</v>
      </c>
      <c r="T59" s="10">
        <f>GraphSaureus!$H$39*Staphaureus!H59+GraphSaureus!$H$40</f>
        <v>1.2601947733738044</v>
      </c>
    </row>
    <row r="60" spans="1:20" x14ac:dyDescent="0.2">
      <c r="A60" s="1" t="s">
        <v>137</v>
      </c>
      <c r="B60" s="1" t="s">
        <v>138</v>
      </c>
      <c r="D60" t="s">
        <v>42</v>
      </c>
      <c r="E60" s="1" t="s">
        <v>1240</v>
      </c>
      <c r="H60" s="23">
        <v>60</v>
      </c>
      <c r="I60" s="4">
        <v>0.9</v>
      </c>
      <c r="K60" s="12">
        <f t="shared" si="2"/>
        <v>-4.5757490560675115E-2</v>
      </c>
      <c r="L60" s="11">
        <f>GraphSaureus!B$10-(Staphaureus!H60-GraphSaureus!B$6)/GraphSaureus!B$5</f>
        <v>0.55168819070383068</v>
      </c>
      <c r="M60" s="1" t="s">
        <v>1226</v>
      </c>
      <c r="N60">
        <v>1996</v>
      </c>
      <c r="O60" t="s">
        <v>175</v>
      </c>
      <c r="R60" s="10">
        <f>GraphSaureus!$B$39*Staphaureus!H60+GraphSaureus!$B$40</f>
        <v>0.5487594522345498</v>
      </c>
      <c r="T60" s="10">
        <f>GraphSaureus!$H$39*Staphaureus!H60+GraphSaureus!$H$40</f>
        <v>0.64739813132443835</v>
      </c>
    </row>
    <row r="61" spans="1:20" x14ac:dyDescent="0.2">
      <c r="A61" s="1" t="s">
        <v>137</v>
      </c>
      <c r="B61" s="1" t="s">
        <v>138</v>
      </c>
      <c r="D61" t="s">
        <v>42</v>
      </c>
      <c r="E61" s="1" t="s">
        <v>1240</v>
      </c>
      <c r="H61" s="4">
        <v>65</v>
      </c>
      <c r="I61" s="11">
        <v>0.2</v>
      </c>
      <c r="K61" s="12">
        <f>LOG(I61)</f>
        <v>-0.69897000433601875</v>
      </c>
      <c r="L61" s="11">
        <f>GraphSaureus!B$10-(Staphaureus!H61-GraphSaureus!B$6)/GraphSaureus!B$5</f>
        <v>-1.9650428920075957E-2</v>
      </c>
      <c r="M61" s="1" t="s">
        <v>1226</v>
      </c>
      <c r="N61">
        <v>1996</v>
      </c>
      <c r="O61" t="s">
        <v>175</v>
      </c>
      <c r="R61" s="10">
        <f>GraphSaureus!$B$39*Staphaureus!H61+GraphSaureus!$B$40</f>
        <v>-1.9668887653758738E-2</v>
      </c>
      <c r="T61" s="10">
        <f>GraphSaureus!$H$39*Staphaureus!H61+GraphSaureus!$H$40</f>
        <v>3.4601489275072339E-2</v>
      </c>
    </row>
    <row r="62" spans="1:20" x14ac:dyDescent="0.2">
      <c r="A62" s="1" t="s">
        <v>137</v>
      </c>
      <c r="B62" s="1" t="s">
        <v>138</v>
      </c>
      <c r="D62" t="s">
        <v>42</v>
      </c>
      <c r="E62" s="1" t="s">
        <v>1240</v>
      </c>
      <c r="H62" s="4">
        <v>70</v>
      </c>
      <c r="I62" s="11">
        <v>0.1</v>
      </c>
      <c r="K62" s="12">
        <f>LOG(I62)</f>
        <v>-1</v>
      </c>
      <c r="L62" s="11">
        <f>GraphSaureus!B$10-(Staphaureus!H62-GraphSaureus!B$6)/GraphSaureus!B$5</f>
        <v>-0.5909890485439826</v>
      </c>
      <c r="M62" s="1" t="s">
        <v>1226</v>
      </c>
      <c r="N62">
        <v>1996</v>
      </c>
      <c r="O62" t="s">
        <v>175</v>
      </c>
      <c r="R62" s="10">
        <f>GraphSaureus!$B$39*Staphaureus!H62+GraphSaureus!$B$40</f>
        <v>-0.58809722754206639</v>
      </c>
      <c r="T62" s="10">
        <f>GraphSaureus!$H$39*Staphaureus!H62+GraphSaureus!$H$40</f>
        <v>-0.57819515277429367</v>
      </c>
    </row>
    <row r="63" spans="1:20" x14ac:dyDescent="0.2">
      <c r="A63" s="1" t="s">
        <v>137</v>
      </c>
      <c r="B63" s="1" t="s">
        <v>138</v>
      </c>
      <c r="D63" t="s">
        <v>42</v>
      </c>
      <c r="E63" s="1" t="s">
        <v>1240</v>
      </c>
      <c r="H63" s="4">
        <v>75</v>
      </c>
      <c r="I63" s="11">
        <v>0.02</v>
      </c>
      <c r="K63" s="12">
        <f>LOG(I63)</f>
        <v>-1.6989700043360187</v>
      </c>
      <c r="L63" s="11">
        <f>GraphSaureus!B$10-(Staphaureus!H63-GraphSaureus!B$6)/GraphSaureus!B$5</f>
        <v>-1.1623276681678893</v>
      </c>
      <c r="M63" s="1" t="s">
        <v>1226</v>
      </c>
      <c r="N63">
        <v>1996</v>
      </c>
      <c r="O63" t="s">
        <v>175</v>
      </c>
      <c r="R63" s="10">
        <f>GraphSaureus!$B$39*Staphaureus!H63+GraphSaureus!$B$40</f>
        <v>-1.1565255674303749</v>
      </c>
      <c r="T63" s="10">
        <f>GraphSaureus!$H$39*Staphaureus!H63+GraphSaureus!$H$40</f>
        <v>-1.1909917948236597</v>
      </c>
    </row>
    <row r="64" spans="1:20" x14ac:dyDescent="0.2">
      <c r="A64" s="1" t="s">
        <v>137</v>
      </c>
      <c r="B64" s="1" t="s">
        <v>138</v>
      </c>
      <c r="C64" t="s">
        <v>233</v>
      </c>
      <c r="D64" t="s">
        <v>46</v>
      </c>
      <c r="E64" s="1" t="s">
        <v>230</v>
      </c>
      <c r="F64" s="19" t="s">
        <v>231</v>
      </c>
      <c r="H64" s="4">
        <v>60</v>
      </c>
      <c r="I64" s="11">
        <v>5</v>
      </c>
      <c r="K64" s="12">
        <f t="shared" ref="K64:K94" si="3">LOG(I64)+$K$251</f>
        <v>0.69897000433601886</v>
      </c>
      <c r="L64" s="11">
        <f>GraphSaureus!B$10-(Staphaureus!H64-GraphSaureus!B$6)/GraphSaureus!B$5</f>
        <v>0.55168819070383068</v>
      </c>
      <c r="M64" s="1" t="s">
        <v>241</v>
      </c>
      <c r="N64">
        <v>1985</v>
      </c>
      <c r="O64" t="s">
        <v>237</v>
      </c>
      <c r="R64" s="10">
        <f>GraphSaureus!$B$39*Staphaureus!H64+GraphSaureus!$B$40</f>
        <v>0.5487594522345498</v>
      </c>
      <c r="T64" s="10">
        <f>GraphSaureus!$H$39*Staphaureus!H64+GraphSaureus!$H$40</f>
        <v>0.64739813132443835</v>
      </c>
    </row>
    <row r="65" spans="1:20" x14ac:dyDescent="0.2">
      <c r="A65" s="1" t="s">
        <v>137</v>
      </c>
      <c r="B65" s="1" t="s">
        <v>138</v>
      </c>
      <c r="C65" t="s">
        <v>233</v>
      </c>
      <c r="D65" t="s">
        <v>46</v>
      </c>
      <c r="E65" s="1" t="s">
        <v>230</v>
      </c>
      <c r="F65" s="19" t="s">
        <v>231</v>
      </c>
      <c r="H65" s="4">
        <v>60</v>
      </c>
      <c r="I65" s="11">
        <v>7</v>
      </c>
      <c r="K65" s="12">
        <f t="shared" si="3"/>
        <v>0.84509804001425681</v>
      </c>
      <c r="L65" s="11">
        <f>GraphSaureus!B$10-(Staphaureus!H65-GraphSaureus!B$6)/GraphSaureus!B$5</f>
        <v>0.55168819070383068</v>
      </c>
      <c r="M65" s="1" t="s">
        <v>241</v>
      </c>
      <c r="N65">
        <v>1985</v>
      </c>
      <c r="O65" t="s">
        <v>238</v>
      </c>
      <c r="R65" s="10">
        <f>GraphSaureus!$B$39*Staphaureus!H65+GraphSaureus!$B$40</f>
        <v>0.5487594522345498</v>
      </c>
      <c r="T65" s="10">
        <f>GraphSaureus!$H$39*Staphaureus!H65+GraphSaureus!$H$40</f>
        <v>0.64739813132443835</v>
      </c>
    </row>
    <row r="66" spans="1:20" x14ac:dyDescent="0.2">
      <c r="A66" s="1" t="s">
        <v>137</v>
      </c>
      <c r="B66" s="1" t="s">
        <v>138</v>
      </c>
      <c r="C66" t="s">
        <v>233</v>
      </c>
      <c r="D66" t="s">
        <v>46</v>
      </c>
      <c r="E66" s="1" t="s">
        <v>230</v>
      </c>
      <c r="F66" s="19" t="s">
        <v>231</v>
      </c>
      <c r="H66" s="4">
        <v>60</v>
      </c>
      <c r="I66" s="11">
        <v>6.1</v>
      </c>
      <c r="K66" s="12">
        <f t="shared" si="3"/>
        <v>0.78532983501076703</v>
      </c>
      <c r="L66" s="11">
        <f>GraphSaureus!B$10-(Staphaureus!H66-GraphSaureus!B$6)/GraphSaureus!B$5</f>
        <v>0.55168819070383068</v>
      </c>
      <c r="M66" s="1" t="s">
        <v>241</v>
      </c>
      <c r="N66">
        <v>1985</v>
      </c>
      <c r="O66" t="s">
        <v>239</v>
      </c>
      <c r="R66" s="10">
        <f>GraphSaureus!$B$39*Staphaureus!H66+GraphSaureus!$B$40</f>
        <v>0.5487594522345498</v>
      </c>
      <c r="T66" s="10">
        <f>GraphSaureus!$H$39*Staphaureus!H66+GraphSaureus!$H$40</f>
        <v>0.64739813132443835</v>
      </c>
    </row>
    <row r="67" spans="1:20" x14ac:dyDescent="0.2">
      <c r="A67" s="1" t="s">
        <v>137</v>
      </c>
      <c r="B67" s="1" t="s">
        <v>138</v>
      </c>
      <c r="C67" t="s">
        <v>233</v>
      </c>
      <c r="D67" t="s">
        <v>46</v>
      </c>
      <c r="E67" s="1" t="s">
        <v>230</v>
      </c>
      <c r="F67" s="19" t="s">
        <v>231</v>
      </c>
      <c r="H67" s="4">
        <v>60</v>
      </c>
      <c r="I67" s="11">
        <v>3.5</v>
      </c>
      <c r="K67" s="12">
        <f t="shared" si="3"/>
        <v>0.54406804435027567</v>
      </c>
      <c r="L67" s="11">
        <f>GraphSaureus!B$10-(Staphaureus!H67-GraphSaureus!B$6)/GraphSaureus!B$5</f>
        <v>0.55168819070383068</v>
      </c>
      <c r="M67" s="1" t="s">
        <v>241</v>
      </c>
      <c r="N67">
        <v>1985</v>
      </c>
      <c r="O67" t="s">
        <v>240</v>
      </c>
      <c r="R67" s="10">
        <f>GraphSaureus!$B$39*Staphaureus!H67+GraphSaureus!$B$40</f>
        <v>0.5487594522345498</v>
      </c>
      <c r="T67" s="10">
        <f>GraphSaureus!$H$39*Staphaureus!H67+GraphSaureus!$H$40</f>
        <v>0.64739813132443835</v>
      </c>
    </row>
    <row r="68" spans="1:20" x14ac:dyDescent="0.2">
      <c r="A68" s="1" t="s">
        <v>137</v>
      </c>
      <c r="B68" s="1" t="s">
        <v>138</v>
      </c>
      <c r="C68" s="1" t="s">
        <v>233</v>
      </c>
      <c r="D68" t="s">
        <v>46</v>
      </c>
      <c r="E68" s="1" t="s">
        <v>230</v>
      </c>
      <c r="F68" s="21" t="s">
        <v>231</v>
      </c>
      <c r="H68" s="4">
        <v>50</v>
      </c>
      <c r="I68" s="9">
        <f>10^2.04</f>
        <v>109.64781961431861</v>
      </c>
      <c r="J68" s="7"/>
      <c r="K68" s="12">
        <f t="shared" si="3"/>
        <v>2.0400000000000005</v>
      </c>
      <c r="L68" s="11">
        <f>GraphSaureus!B$10-(Staphaureus!H68-GraphSaureus!B$6)/GraphSaureus!B$5</f>
        <v>1.694365429951644</v>
      </c>
      <c r="M68" s="1" t="s">
        <v>241</v>
      </c>
      <c r="N68">
        <v>1985</v>
      </c>
      <c r="O68" t="s">
        <v>238</v>
      </c>
      <c r="R68" s="10">
        <f>GraphSaureus!$B$39*Staphaureus!H68+GraphSaureus!$B$40</f>
        <v>1.685616132011166</v>
      </c>
      <c r="T68" s="10">
        <f>GraphSaureus!$H$39*Staphaureus!H68+GraphSaureus!$H$40</f>
        <v>1.8729914154231695</v>
      </c>
    </row>
    <row r="69" spans="1:20" x14ac:dyDescent="0.2">
      <c r="A69" s="1" t="s">
        <v>137</v>
      </c>
      <c r="B69" s="1" t="s">
        <v>138</v>
      </c>
      <c r="C69" s="1" t="s">
        <v>233</v>
      </c>
      <c r="D69" t="s">
        <v>46</v>
      </c>
      <c r="E69" s="1" t="s">
        <v>230</v>
      </c>
      <c r="F69" s="21" t="s">
        <v>231</v>
      </c>
      <c r="H69" s="4">
        <v>50</v>
      </c>
      <c r="I69" s="9">
        <f>10^1.93</f>
        <v>85.113803820237663</v>
      </c>
      <c r="J69" s="7"/>
      <c r="K69" s="12">
        <f t="shared" si="3"/>
        <v>1.9300000000000002</v>
      </c>
      <c r="L69" s="11">
        <f>GraphSaureus!B$10-(Staphaureus!H69-GraphSaureus!B$6)/GraphSaureus!B$5</f>
        <v>1.694365429951644</v>
      </c>
      <c r="M69" s="1" t="s">
        <v>241</v>
      </c>
      <c r="N69">
        <v>1985</v>
      </c>
      <c r="O69" t="s">
        <v>238</v>
      </c>
      <c r="R69" s="10">
        <f>GraphSaureus!$B$39*Staphaureus!H69+GraphSaureus!$B$40</f>
        <v>1.685616132011166</v>
      </c>
      <c r="T69" s="10">
        <f>GraphSaureus!$H$39*Staphaureus!H69+GraphSaureus!$H$40</f>
        <v>1.8729914154231695</v>
      </c>
    </row>
    <row r="70" spans="1:20" x14ac:dyDescent="0.2">
      <c r="A70" s="1" t="s">
        <v>137</v>
      </c>
      <c r="B70" s="1" t="s">
        <v>138</v>
      </c>
      <c r="C70" s="1" t="s">
        <v>233</v>
      </c>
      <c r="D70" t="s">
        <v>46</v>
      </c>
      <c r="E70" s="1" t="s">
        <v>230</v>
      </c>
      <c r="F70" s="21" t="s">
        <v>231</v>
      </c>
      <c r="H70" s="4">
        <v>55</v>
      </c>
      <c r="I70" s="9">
        <f>10^1.77</f>
        <v>58.884365535558949</v>
      </c>
      <c r="J70" s="7"/>
      <c r="K70" s="12">
        <f t="shared" si="3"/>
        <v>1.7700000000000005</v>
      </c>
      <c r="L70" s="11">
        <f>GraphSaureus!B$10-(Staphaureus!H70-GraphSaureus!B$6)/GraphSaureus!B$5</f>
        <v>1.1230268103277374</v>
      </c>
      <c r="M70" s="1" t="s">
        <v>241</v>
      </c>
      <c r="N70">
        <v>1985</v>
      </c>
      <c r="O70" t="s">
        <v>238</v>
      </c>
      <c r="R70" s="10">
        <f>GraphSaureus!$B$39*Staphaureus!H70+GraphSaureus!$B$40</f>
        <v>1.1171877921228583</v>
      </c>
      <c r="T70" s="10">
        <f>GraphSaureus!$H$39*Staphaureus!H70+GraphSaureus!$H$40</f>
        <v>1.2601947733738044</v>
      </c>
    </row>
    <row r="71" spans="1:20" x14ac:dyDescent="0.2">
      <c r="A71" s="1" t="s">
        <v>137</v>
      </c>
      <c r="B71" s="1" t="s">
        <v>138</v>
      </c>
      <c r="C71" s="1" t="s">
        <v>233</v>
      </c>
      <c r="D71" t="s">
        <v>46</v>
      </c>
      <c r="E71" s="1" t="s">
        <v>230</v>
      </c>
      <c r="F71" s="21" t="s">
        <v>231</v>
      </c>
      <c r="H71" s="4">
        <v>55</v>
      </c>
      <c r="I71" s="9">
        <f>10^1.51</f>
        <v>32.359365692962832</v>
      </c>
      <c r="J71" s="7"/>
      <c r="K71" s="12">
        <f t="shared" si="3"/>
        <v>1.51</v>
      </c>
      <c r="L71" s="11">
        <f>GraphSaureus!B$10-(Staphaureus!H71-GraphSaureus!B$6)/GraphSaureus!B$5</f>
        <v>1.1230268103277374</v>
      </c>
      <c r="M71" s="1" t="s">
        <v>241</v>
      </c>
      <c r="N71">
        <v>1985</v>
      </c>
      <c r="O71" t="s">
        <v>238</v>
      </c>
      <c r="R71" s="10">
        <f>GraphSaureus!$B$39*Staphaureus!H71+GraphSaureus!$B$40</f>
        <v>1.1171877921228583</v>
      </c>
      <c r="T71" s="10">
        <f>GraphSaureus!$H$39*Staphaureus!H71+GraphSaureus!$H$40</f>
        <v>1.2601947733738044</v>
      </c>
    </row>
    <row r="72" spans="1:20" x14ac:dyDescent="0.2">
      <c r="A72" s="1" t="s">
        <v>137</v>
      </c>
      <c r="B72" s="1" t="s">
        <v>138</v>
      </c>
      <c r="C72" s="1" t="s">
        <v>233</v>
      </c>
      <c r="D72" t="s">
        <v>46</v>
      </c>
      <c r="E72" s="1" t="s">
        <v>230</v>
      </c>
      <c r="F72" s="21" t="s">
        <v>231</v>
      </c>
      <c r="H72" s="4">
        <v>58</v>
      </c>
      <c r="I72" s="9">
        <f>10^1.22</f>
        <v>16.595869074375614</v>
      </c>
      <c r="J72" s="7"/>
      <c r="K72" s="12">
        <f t="shared" si="3"/>
        <v>1.2200000000000002</v>
      </c>
      <c r="L72" s="11">
        <f>GraphSaureus!B$10-(Staphaureus!H72-GraphSaureus!B$6)/GraphSaureus!B$5</f>
        <v>0.78022363855339338</v>
      </c>
      <c r="M72" s="1" t="s">
        <v>241</v>
      </c>
      <c r="N72">
        <v>1985</v>
      </c>
      <c r="O72" t="s">
        <v>238</v>
      </c>
      <c r="R72" s="10">
        <f>GraphSaureus!$B$39*Staphaureus!H72+GraphSaureus!$B$40</f>
        <v>0.77613078818987269</v>
      </c>
      <c r="T72" s="10">
        <f>GraphSaureus!$H$39*Staphaureus!H72+GraphSaureus!$H$40</f>
        <v>0.89251678814418423</v>
      </c>
    </row>
    <row r="73" spans="1:20" x14ac:dyDescent="0.2">
      <c r="A73" s="1" t="s">
        <v>137</v>
      </c>
      <c r="B73" s="1" t="s">
        <v>138</v>
      </c>
      <c r="C73" s="1" t="s">
        <v>233</v>
      </c>
      <c r="D73" t="s">
        <v>46</v>
      </c>
      <c r="E73" s="1" t="s">
        <v>230</v>
      </c>
      <c r="F73" s="21" t="s">
        <v>231</v>
      </c>
      <c r="H73" s="4">
        <v>60</v>
      </c>
      <c r="I73" s="9">
        <f>10^0.82</f>
        <v>6.6069344800759611</v>
      </c>
      <c r="J73" s="7"/>
      <c r="K73" s="12">
        <f t="shared" si="3"/>
        <v>0.82000000000000006</v>
      </c>
      <c r="L73" s="11">
        <f>GraphSaureus!B$10-(Staphaureus!H73-GraphSaureus!B$6)/GraphSaureus!B$5</f>
        <v>0.55168819070383068</v>
      </c>
      <c r="M73" s="1" t="s">
        <v>241</v>
      </c>
      <c r="N73">
        <v>1985</v>
      </c>
      <c r="O73" t="s">
        <v>238</v>
      </c>
      <c r="R73" s="10">
        <f>GraphSaureus!$B$39*Staphaureus!H73+GraphSaureus!$B$40</f>
        <v>0.5487594522345498</v>
      </c>
      <c r="T73" s="10">
        <f>GraphSaureus!$H$39*Staphaureus!H73+GraphSaureus!$H$40</f>
        <v>0.64739813132443835</v>
      </c>
    </row>
    <row r="74" spans="1:20" x14ac:dyDescent="0.2">
      <c r="A74" s="1" t="s">
        <v>137</v>
      </c>
      <c r="B74" s="1" t="s">
        <v>138</v>
      </c>
      <c r="C74" s="1" t="s">
        <v>233</v>
      </c>
      <c r="D74" t="s">
        <v>46</v>
      </c>
      <c r="E74" s="1" t="s">
        <v>230</v>
      </c>
      <c r="F74" s="21" t="s">
        <v>231</v>
      </c>
      <c r="H74" s="4">
        <v>60</v>
      </c>
      <c r="I74" s="9">
        <f>10^0.73</f>
        <v>5.3703179637025285</v>
      </c>
      <c r="J74" s="7"/>
      <c r="K74" s="12">
        <f t="shared" si="3"/>
        <v>0.73000000000000009</v>
      </c>
      <c r="L74" s="11">
        <f>GraphSaureus!B$10-(Staphaureus!H74-GraphSaureus!B$6)/GraphSaureus!B$5</f>
        <v>0.55168819070383068</v>
      </c>
      <c r="M74" s="1" t="s">
        <v>241</v>
      </c>
      <c r="N74">
        <v>1985</v>
      </c>
      <c r="O74" t="s">
        <v>238</v>
      </c>
      <c r="R74" s="10">
        <f>GraphSaureus!$B$39*Staphaureus!H74+GraphSaureus!$B$40</f>
        <v>0.5487594522345498</v>
      </c>
      <c r="T74" s="10">
        <f>GraphSaureus!$H$39*Staphaureus!H74+GraphSaureus!$H$40</f>
        <v>0.64739813132443835</v>
      </c>
    </row>
    <row r="75" spans="1:20" x14ac:dyDescent="0.2">
      <c r="A75" s="1" t="s">
        <v>137</v>
      </c>
      <c r="B75" s="1" t="s">
        <v>138</v>
      </c>
      <c r="C75" s="1" t="s">
        <v>233</v>
      </c>
      <c r="D75" t="s">
        <v>46</v>
      </c>
      <c r="E75" s="1" t="s">
        <v>230</v>
      </c>
      <c r="F75" s="21" t="s">
        <v>231</v>
      </c>
      <c r="H75" s="4">
        <v>65</v>
      </c>
      <c r="I75" s="9">
        <f>10^0.38</f>
        <v>2.3988329190194908</v>
      </c>
      <c r="J75" s="7"/>
      <c r="K75" s="12">
        <f t="shared" si="3"/>
        <v>0.38000000000000006</v>
      </c>
      <c r="L75" s="11">
        <f>GraphSaureus!B$10-(Staphaureus!H75-GraphSaureus!B$6)/GraphSaureus!B$5</f>
        <v>-1.9650428920075957E-2</v>
      </c>
      <c r="M75" s="1" t="s">
        <v>241</v>
      </c>
      <c r="N75">
        <v>1985</v>
      </c>
      <c r="O75" t="s">
        <v>238</v>
      </c>
      <c r="R75" s="10">
        <f>GraphSaureus!$B$39*Staphaureus!H75+GraphSaureus!$B$40</f>
        <v>-1.9668887653758738E-2</v>
      </c>
      <c r="T75" s="10">
        <f>GraphSaureus!$H$39*Staphaureus!H75+GraphSaureus!$H$40</f>
        <v>3.4601489275072339E-2</v>
      </c>
    </row>
    <row r="76" spans="1:20" x14ac:dyDescent="0.2">
      <c r="A76" s="1" t="s">
        <v>137</v>
      </c>
      <c r="B76" s="1" t="s">
        <v>138</v>
      </c>
      <c r="C76" s="1" t="s">
        <v>233</v>
      </c>
      <c r="D76" t="s">
        <v>46</v>
      </c>
      <c r="E76" s="1" t="s">
        <v>230</v>
      </c>
      <c r="F76" s="21" t="s">
        <v>231</v>
      </c>
      <c r="H76" s="4">
        <v>70</v>
      </c>
      <c r="I76" s="9">
        <f>10^0.08</f>
        <v>1.2022644346174129</v>
      </c>
      <c r="J76" s="7"/>
      <c r="K76" s="12">
        <f t="shared" si="3"/>
        <v>8.0000000000000016E-2</v>
      </c>
      <c r="L76" s="11">
        <f>GraphSaureus!B$10-(Staphaureus!H76-GraphSaureus!B$6)/GraphSaureus!B$5</f>
        <v>-0.5909890485439826</v>
      </c>
      <c r="M76" s="1" t="s">
        <v>241</v>
      </c>
      <c r="N76">
        <v>1985</v>
      </c>
      <c r="O76" t="s">
        <v>238</v>
      </c>
      <c r="R76" s="10">
        <f>GraphSaureus!$B$39*Staphaureus!H76+GraphSaureus!$B$40</f>
        <v>-0.58809722754206639</v>
      </c>
      <c r="T76" s="10">
        <f>GraphSaureus!$H$39*Staphaureus!H76+GraphSaureus!$H$40</f>
        <v>-0.57819515277429367</v>
      </c>
    </row>
    <row r="77" spans="1:20" x14ac:dyDescent="0.2">
      <c r="A77" s="1" t="s">
        <v>137</v>
      </c>
      <c r="B77" s="1" t="s">
        <v>138</v>
      </c>
      <c r="C77" s="1" t="s">
        <v>233</v>
      </c>
      <c r="D77" t="s">
        <v>46</v>
      </c>
      <c r="E77" s="1" t="s">
        <v>230</v>
      </c>
      <c r="F77" s="21" t="s">
        <v>231</v>
      </c>
      <c r="H77" s="4">
        <v>70</v>
      </c>
      <c r="I77" s="9">
        <f>10^0.02</f>
        <v>1.0471285480508996</v>
      </c>
      <c r="J77" s="7"/>
      <c r="K77" s="12">
        <f t="shared" si="3"/>
        <v>2.0000000000000032E-2</v>
      </c>
      <c r="L77" s="11">
        <f>GraphSaureus!B$10-(Staphaureus!H77-GraphSaureus!B$6)/GraphSaureus!B$5</f>
        <v>-0.5909890485439826</v>
      </c>
      <c r="M77" s="1" t="s">
        <v>241</v>
      </c>
      <c r="N77">
        <v>1985</v>
      </c>
      <c r="O77" t="s">
        <v>238</v>
      </c>
      <c r="R77" s="10">
        <f>GraphSaureus!$B$39*Staphaureus!H77+GraphSaureus!$B$40</f>
        <v>-0.58809722754206639</v>
      </c>
      <c r="T77" s="10">
        <f>GraphSaureus!$H$39*Staphaureus!H77+GraphSaureus!$H$40</f>
        <v>-0.57819515277429367</v>
      </c>
    </row>
    <row r="78" spans="1:20" x14ac:dyDescent="0.2">
      <c r="A78" s="1" t="s">
        <v>137</v>
      </c>
      <c r="B78" s="1" t="s">
        <v>138</v>
      </c>
      <c r="C78" s="1" t="s">
        <v>233</v>
      </c>
      <c r="D78" t="s">
        <v>46</v>
      </c>
      <c r="E78" s="1" t="s">
        <v>230</v>
      </c>
      <c r="F78" s="21" t="s">
        <v>231</v>
      </c>
      <c r="H78" s="4">
        <v>75</v>
      </c>
      <c r="I78" s="9">
        <f>10^-0.68</f>
        <v>0.20892961308540392</v>
      </c>
      <c r="J78" s="7"/>
      <c r="K78" s="12">
        <f t="shared" si="3"/>
        <v>-0.68</v>
      </c>
      <c r="L78" s="11">
        <f>GraphSaureus!B$10-(Staphaureus!H78-GraphSaureus!B$6)/GraphSaureus!B$5</f>
        <v>-1.1623276681678893</v>
      </c>
      <c r="M78" s="1" t="s">
        <v>241</v>
      </c>
      <c r="N78">
        <v>1985</v>
      </c>
      <c r="O78" t="s">
        <v>238</v>
      </c>
      <c r="R78" s="10">
        <f>GraphSaureus!$B$39*Staphaureus!H78+GraphSaureus!$B$40</f>
        <v>-1.1565255674303749</v>
      </c>
      <c r="T78" s="10">
        <f>GraphSaureus!$H$39*Staphaureus!H78+GraphSaureus!$H$40</f>
        <v>-1.1909917948236597</v>
      </c>
    </row>
    <row r="79" spans="1:20" x14ac:dyDescent="0.2">
      <c r="A79" s="1" t="s">
        <v>137</v>
      </c>
      <c r="B79" s="1" t="s">
        <v>138</v>
      </c>
      <c r="C79" s="1" t="s">
        <v>236</v>
      </c>
      <c r="D79" t="s">
        <v>46</v>
      </c>
      <c r="E79" s="1" t="s">
        <v>230</v>
      </c>
      <c r="F79" s="19" t="s">
        <v>231</v>
      </c>
      <c r="H79" s="4">
        <v>60</v>
      </c>
      <c r="I79" s="11">
        <v>8.4</v>
      </c>
      <c r="K79" s="12">
        <f t="shared" si="3"/>
        <v>0.9242792860618817</v>
      </c>
      <c r="L79" s="11">
        <f>GraphSaureus!B$10-(Staphaureus!H79-GraphSaureus!B$6)/GraphSaureus!B$5</f>
        <v>0.55168819070383068</v>
      </c>
      <c r="M79" s="1" t="s">
        <v>241</v>
      </c>
      <c r="N79">
        <v>1985</v>
      </c>
      <c r="O79" t="s">
        <v>237</v>
      </c>
      <c r="R79" s="10">
        <f>GraphSaureus!$B$39*Staphaureus!H79+GraphSaureus!$B$40</f>
        <v>0.5487594522345498</v>
      </c>
      <c r="T79" s="10">
        <f>GraphSaureus!$H$39*Staphaureus!H79+GraphSaureus!$H$40</f>
        <v>0.64739813132443835</v>
      </c>
    </row>
    <row r="80" spans="1:20" x14ac:dyDescent="0.2">
      <c r="A80" s="1" t="s">
        <v>137</v>
      </c>
      <c r="B80" s="1" t="s">
        <v>138</v>
      </c>
      <c r="C80" s="1" t="s">
        <v>236</v>
      </c>
      <c r="D80" t="s">
        <v>46</v>
      </c>
      <c r="E80" s="1" t="s">
        <v>230</v>
      </c>
      <c r="F80" s="19" t="s">
        <v>231</v>
      </c>
      <c r="H80" s="4">
        <v>60</v>
      </c>
      <c r="I80" s="11">
        <v>8.9</v>
      </c>
      <c r="K80" s="12">
        <f t="shared" si="3"/>
        <v>0.9493900066449128</v>
      </c>
      <c r="L80" s="11">
        <f>GraphSaureus!B$10-(Staphaureus!H80-GraphSaureus!B$6)/GraphSaureus!B$5</f>
        <v>0.55168819070383068</v>
      </c>
      <c r="M80" s="1" t="s">
        <v>241</v>
      </c>
      <c r="N80">
        <v>1985</v>
      </c>
      <c r="O80" t="s">
        <v>238</v>
      </c>
      <c r="R80" s="10">
        <f>GraphSaureus!$B$39*Staphaureus!H80+GraphSaureus!$B$40</f>
        <v>0.5487594522345498</v>
      </c>
      <c r="T80" s="10">
        <f>GraphSaureus!$H$39*Staphaureus!H80+GraphSaureus!$H$40</f>
        <v>0.64739813132443835</v>
      </c>
    </row>
    <row r="81" spans="1:20" x14ac:dyDescent="0.2">
      <c r="A81" s="1" t="s">
        <v>137</v>
      </c>
      <c r="B81" s="1" t="s">
        <v>138</v>
      </c>
      <c r="C81" s="1" t="s">
        <v>236</v>
      </c>
      <c r="D81" t="s">
        <v>46</v>
      </c>
      <c r="E81" s="1" t="s">
        <v>230</v>
      </c>
      <c r="F81" s="19" t="s">
        <v>231</v>
      </c>
      <c r="H81" s="4">
        <v>60</v>
      </c>
      <c r="I81" s="11">
        <v>12</v>
      </c>
      <c r="K81" s="12">
        <f t="shared" si="3"/>
        <v>1.0791812460476249</v>
      </c>
      <c r="L81" s="11">
        <f>GraphSaureus!B$10-(Staphaureus!H81-GraphSaureus!B$6)/GraphSaureus!B$5</f>
        <v>0.55168819070383068</v>
      </c>
      <c r="M81" s="1" t="s">
        <v>241</v>
      </c>
      <c r="N81">
        <v>1985</v>
      </c>
      <c r="O81" t="s">
        <v>239</v>
      </c>
      <c r="R81" s="10">
        <f>GraphSaureus!$B$39*Staphaureus!H81+GraphSaureus!$B$40</f>
        <v>0.5487594522345498</v>
      </c>
      <c r="T81" s="10">
        <f>GraphSaureus!$H$39*Staphaureus!H81+GraphSaureus!$H$40</f>
        <v>0.64739813132443835</v>
      </c>
    </row>
    <row r="82" spans="1:20" x14ac:dyDescent="0.2">
      <c r="A82" s="1" t="s">
        <v>137</v>
      </c>
      <c r="B82" s="1" t="s">
        <v>138</v>
      </c>
      <c r="C82" s="1" t="s">
        <v>236</v>
      </c>
      <c r="D82" t="s">
        <v>46</v>
      </c>
      <c r="E82" s="1" t="s">
        <v>230</v>
      </c>
      <c r="F82" s="19" t="s">
        <v>231</v>
      </c>
      <c r="H82" s="4">
        <v>60</v>
      </c>
      <c r="I82" s="11">
        <v>5.4</v>
      </c>
      <c r="K82" s="12">
        <f t="shared" si="3"/>
        <v>0.7323937598229685</v>
      </c>
      <c r="L82" s="11">
        <f>GraphSaureus!B$10-(Staphaureus!H82-GraphSaureus!B$6)/GraphSaureus!B$5</f>
        <v>0.55168819070383068</v>
      </c>
      <c r="M82" s="1" t="s">
        <v>241</v>
      </c>
      <c r="N82">
        <v>1985</v>
      </c>
      <c r="O82" t="s">
        <v>240</v>
      </c>
      <c r="R82" s="10">
        <f>GraphSaureus!$B$39*Staphaureus!H82+GraphSaureus!$B$40</f>
        <v>0.5487594522345498</v>
      </c>
      <c r="T82" s="10">
        <f>GraphSaureus!$H$39*Staphaureus!H82+GraphSaureus!$H$40</f>
        <v>0.64739813132443835</v>
      </c>
    </row>
    <row r="83" spans="1:20" x14ac:dyDescent="0.2">
      <c r="A83" s="1" t="s">
        <v>137</v>
      </c>
      <c r="B83" s="1" t="s">
        <v>138</v>
      </c>
      <c r="C83" t="s">
        <v>235</v>
      </c>
      <c r="D83" t="s">
        <v>46</v>
      </c>
      <c r="E83" s="1" t="s">
        <v>230</v>
      </c>
      <c r="F83" s="19" t="s">
        <v>231</v>
      </c>
      <c r="H83" s="4">
        <v>60</v>
      </c>
      <c r="I83" s="11">
        <v>8.1999999999999993</v>
      </c>
      <c r="K83" s="12">
        <f t="shared" si="3"/>
        <v>0.91381385238371671</v>
      </c>
      <c r="L83" s="11">
        <f>GraphSaureus!B$10-(Staphaureus!H83-GraphSaureus!B$6)/GraphSaureus!B$5</f>
        <v>0.55168819070383068</v>
      </c>
      <c r="M83" s="1" t="s">
        <v>241</v>
      </c>
      <c r="N83">
        <v>1985</v>
      </c>
      <c r="O83" t="s">
        <v>237</v>
      </c>
      <c r="R83" s="10">
        <f>GraphSaureus!$B$39*Staphaureus!H83+GraphSaureus!$B$40</f>
        <v>0.5487594522345498</v>
      </c>
      <c r="T83" s="10">
        <f>GraphSaureus!$H$39*Staphaureus!H83+GraphSaureus!$H$40</f>
        <v>0.64739813132443835</v>
      </c>
    </row>
    <row r="84" spans="1:20" x14ac:dyDescent="0.2">
      <c r="A84" s="1" t="s">
        <v>137</v>
      </c>
      <c r="B84" s="1" t="s">
        <v>138</v>
      </c>
      <c r="C84" t="s">
        <v>235</v>
      </c>
      <c r="D84" t="s">
        <v>46</v>
      </c>
      <c r="E84" s="1" t="s">
        <v>230</v>
      </c>
      <c r="F84" s="19" t="s">
        <v>231</v>
      </c>
      <c r="H84" s="4">
        <v>60</v>
      </c>
      <c r="I84" s="9">
        <v>7.2</v>
      </c>
      <c r="J84" s="5"/>
      <c r="K84" s="12">
        <f t="shared" si="3"/>
        <v>0.85733249643126852</v>
      </c>
      <c r="L84" s="11">
        <f>GraphSaureus!B$10-(Staphaureus!H84-GraphSaureus!B$6)/GraphSaureus!B$5</f>
        <v>0.55168819070383068</v>
      </c>
      <c r="M84" s="1" t="s">
        <v>241</v>
      </c>
      <c r="N84">
        <v>1985</v>
      </c>
      <c r="O84" t="s">
        <v>238</v>
      </c>
      <c r="R84" s="10">
        <f>GraphSaureus!$B$39*Staphaureus!H84+GraphSaureus!$B$40</f>
        <v>0.5487594522345498</v>
      </c>
      <c r="T84" s="10">
        <f>GraphSaureus!$H$39*Staphaureus!H84+GraphSaureus!$H$40</f>
        <v>0.64739813132443835</v>
      </c>
    </row>
    <row r="85" spans="1:20" x14ac:dyDescent="0.2">
      <c r="A85" s="1" t="s">
        <v>137</v>
      </c>
      <c r="B85" s="1" t="s">
        <v>138</v>
      </c>
      <c r="C85" t="s">
        <v>235</v>
      </c>
      <c r="D85" t="s">
        <v>46</v>
      </c>
      <c r="E85" s="1" t="s">
        <v>230</v>
      </c>
      <c r="F85" s="19" t="s">
        <v>231</v>
      </c>
      <c r="H85" s="4">
        <v>60</v>
      </c>
      <c r="I85" s="11">
        <v>8.1999999999999993</v>
      </c>
      <c r="K85" s="12">
        <f t="shared" si="3"/>
        <v>0.91381385238371671</v>
      </c>
      <c r="L85" s="11">
        <f>GraphSaureus!B$10-(Staphaureus!H85-GraphSaureus!B$6)/GraphSaureus!B$5</f>
        <v>0.55168819070383068</v>
      </c>
      <c r="M85" s="1" t="s">
        <v>241</v>
      </c>
      <c r="N85">
        <v>1985</v>
      </c>
      <c r="O85" t="s">
        <v>239</v>
      </c>
      <c r="R85" s="10">
        <f>GraphSaureus!$B$39*Staphaureus!H85+GraphSaureus!$B$40</f>
        <v>0.5487594522345498</v>
      </c>
      <c r="T85" s="10">
        <f>GraphSaureus!$H$39*Staphaureus!H85+GraphSaureus!$H$40</f>
        <v>0.64739813132443835</v>
      </c>
    </row>
    <row r="86" spans="1:20" x14ac:dyDescent="0.2">
      <c r="A86" s="1" t="s">
        <v>137</v>
      </c>
      <c r="B86" s="1" t="s">
        <v>138</v>
      </c>
      <c r="C86" t="s">
        <v>235</v>
      </c>
      <c r="D86" t="s">
        <v>46</v>
      </c>
      <c r="E86" s="1" t="s">
        <v>230</v>
      </c>
      <c r="F86" s="19" t="s">
        <v>231</v>
      </c>
      <c r="H86" s="4">
        <v>60</v>
      </c>
      <c r="I86" s="11">
        <v>2.5</v>
      </c>
      <c r="K86" s="12">
        <f t="shared" si="3"/>
        <v>0.3979400086720376</v>
      </c>
      <c r="L86" s="11">
        <f>GraphSaureus!B$10-(Staphaureus!H86-GraphSaureus!B$6)/GraphSaureus!B$5</f>
        <v>0.55168819070383068</v>
      </c>
      <c r="M86" s="1" t="s">
        <v>241</v>
      </c>
      <c r="N86">
        <v>1985</v>
      </c>
      <c r="O86" t="s">
        <v>240</v>
      </c>
      <c r="R86" s="10">
        <f>GraphSaureus!$B$39*Staphaureus!H86+GraphSaureus!$B$40</f>
        <v>0.5487594522345498</v>
      </c>
      <c r="T86" s="10">
        <f>GraphSaureus!$H$39*Staphaureus!H86+GraphSaureus!$H$40</f>
        <v>0.64739813132443835</v>
      </c>
    </row>
    <row r="87" spans="1:20" x14ac:dyDescent="0.2">
      <c r="A87" s="1" t="s">
        <v>137</v>
      </c>
      <c r="B87" s="1" t="s">
        <v>138</v>
      </c>
      <c r="C87" t="s">
        <v>234</v>
      </c>
      <c r="D87" t="s">
        <v>46</v>
      </c>
      <c r="E87" s="1" t="s">
        <v>230</v>
      </c>
      <c r="F87" s="19" t="s">
        <v>231</v>
      </c>
      <c r="H87" s="4">
        <v>60</v>
      </c>
      <c r="I87" s="11">
        <v>12.7</v>
      </c>
      <c r="K87" s="12">
        <f t="shared" si="3"/>
        <v>1.1038037209559568</v>
      </c>
      <c r="L87" s="11">
        <f>GraphSaureus!B$10-(Staphaureus!H87-GraphSaureus!B$6)/GraphSaureus!B$5</f>
        <v>0.55168819070383068</v>
      </c>
      <c r="M87" s="1" t="s">
        <v>241</v>
      </c>
      <c r="N87">
        <v>1985</v>
      </c>
      <c r="O87" t="s">
        <v>237</v>
      </c>
      <c r="R87" s="10">
        <f>GraphSaureus!$B$39*Staphaureus!H87+GraphSaureus!$B$40</f>
        <v>0.5487594522345498</v>
      </c>
      <c r="T87" s="10">
        <f>GraphSaureus!$H$39*Staphaureus!H87+GraphSaureus!$H$40</f>
        <v>0.64739813132443835</v>
      </c>
    </row>
    <row r="88" spans="1:20" x14ac:dyDescent="0.2">
      <c r="A88" s="1" t="s">
        <v>137</v>
      </c>
      <c r="B88" s="1" t="s">
        <v>138</v>
      </c>
      <c r="C88" t="s">
        <v>234</v>
      </c>
      <c r="D88" t="s">
        <v>46</v>
      </c>
      <c r="E88" s="1" t="s">
        <v>230</v>
      </c>
      <c r="F88" s="19" t="s">
        <v>231</v>
      </c>
      <c r="H88" s="4">
        <v>60</v>
      </c>
      <c r="I88" s="11">
        <v>8.8000000000000007</v>
      </c>
      <c r="K88" s="12">
        <f t="shared" si="3"/>
        <v>0.94448267215016868</v>
      </c>
      <c r="L88" s="11">
        <f>GraphSaureus!B$10-(Staphaureus!H88-GraphSaureus!B$6)/GraphSaureus!B$5</f>
        <v>0.55168819070383068</v>
      </c>
      <c r="M88" s="1" t="s">
        <v>241</v>
      </c>
      <c r="N88">
        <v>1985</v>
      </c>
      <c r="O88" t="s">
        <v>238</v>
      </c>
      <c r="R88" s="10">
        <f>GraphSaureus!$B$39*Staphaureus!H88+GraphSaureus!$B$40</f>
        <v>0.5487594522345498</v>
      </c>
      <c r="S88" s="10"/>
      <c r="T88" s="10">
        <f>GraphSaureus!$H$39*Staphaureus!H88+GraphSaureus!$H$40</f>
        <v>0.64739813132443835</v>
      </c>
    </row>
    <row r="89" spans="1:20" x14ac:dyDescent="0.2">
      <c r="A89" s="1" t="s">
        <v>137</v>
      </c>
      <c r="B89" s="1" t="s">
        <v>138</v>
      </c>
      <c r="C89" t="s">
        <v>234</v>
      </c>
      <c r="D89" t="s">
        <v>46</v>
      </c>
      <c r="E89" s="1" t="s">
        <v>230</v>
      </c>
      <c r="F89" s="19" t="s">
        <v>231</v>
      </c>
      <c r="H89" s="4">
        <v>60</v>
      </c>
      <c r="I89" s="11">
        <v>9.6999999999999993</v>
      </c>
      <c r="K89" s="12">
        <f t="shared" si="3"/>
        <v>0.98677173426624487</v>
      </c>
      <c r="L89" s="11">
        <f>GraphSaureus!B$10-(Staphaureus!H89-GraphSaureus!B$6)/GraphSaureus!B$5</f>
        <v>0.55168819070383068</v>
      </c>
      <c r="M89" s="1" t="s">
        <v>241</v>
      </c>
      <c r="N89">
        <v>1985</v>
      </c>
      <c r="O89" t="s">
        <v>239</v>
      </c>
      <c r="R89" s="10">
        <f>GraphSaureus!$B$39*Staphaureus!H89+GraphSaureus!$B$40</f>
        <v>0.5487594522345498</v>
      </c>
      <c r="S89" s="10"/>
      <c r="T89" s="10">
        <f>GraphSaureus!$H$39*Staphaureus!H89+GraphSaureus!$H$40</f>
        <v>0.64739813132443835</v>
      </c>
    </row>
    <row r="90" spans="1:20" x14ac:dyDescent="0.2">
      <c r="A90" s="1" t="s">
        <v>137</v>
      </c>
      <c r="B90" s="1" t="s">
        <v>138</v>
      </c>
      <c r="C90" t="s">
        <v>234</v>
      </c>
      <c r="D90" t="s">
        <v>46</v>
      </c>
      <c r="E90" s="1" t="s">
        <v>230</v>
      </c>
      <c r="F90" s="19" t="s">
        <v>231</v>
      </c>
      <c r="H90" s="4">
        <v>60</v>
      </c>
      <c r="I90" s="11">
        <v>5.4</v>
      </c>
      <c r="K90" s="12">
        <f t="shared" si="3"/>
        <v>0.7323937598229685</v>
      </c>
      <c r="L90" s="11">
        <f>GraphSaureus!B$10-(Staphaureus!H90-GraphSaureus!B$6)/GraphSaureus!B$5</f>
        <v>0.55168819070383068</v>
      </c>
      <c r="M90" s="1" t="s">
        <v>241</v>
      </c>
      <c r="N90">
        <v>1985</v>
      </c>
      <c r="O90" t="s">
        <v>240</v>
      </c>
      <c r="R90" s="10">
        <f>GraphSaureus!$B$39*Staphaureus!H90+GraphSaureus!$B$40</f>
        <v>0.5487594522345498</v>
      </c>
      <c r="T90" s="10">
        <f>GraphSaureus!$H$39*Staphaureus!H90+GraphSaureus!$H$40</f>
        <v>0.64739813132443835</v>
      </c>
    </row>
    <row r="91" spans="1:20" x14ac:dyDescent="0.2">
      <c r="A91" s="1" t="s">
        <v>137</v>
      </c>
      <c r="B91" s="1" t="s">
        <v>138</v>
      </c>
      <c r="C91" t="s">
        <v>232</v>
      </c>
      <c r="D91" t="s">
        <v>46</v>
      </c>
      <c r="E91" s="1" t="s">
        <v>230</v>
      </c>
      <c r="F91" s="19" t="s">
        <v>231</v>
      </c>
      <c r="H91" s="4">
        <v>60</v>
      </c>
      <c r="I91" s="11">
        <v>5</v>
      </c>
      <c r="K91" s="12">
        <f t="shared" si="3"/>
        <v>0.69897000433601886</v>
      </c>
      <c r="L91" s="11">
        <f>GraphSaureus!B$10-(Staphaureus!H91-GraphSaureus!B$6)/GraphSaureus!B$5</f>
        <v>0.55168819070383068</v>
      </c>
      <c r="M91" s="1" t="s">
        <v>241</v>
      </c>
      <c r="N91">
        <v>1985</v>
      </c>
      <c r="O91" t="s">
        <v>237</v>
      </c>
      <c r="R91" s="10">
        <f>GraphSaureus!$B$39*Staphaureus!H91+GraphSaureus!$B$40</f>
        <v>0.5487594522345498</v>
      </c>
      <c r="T91" s="10">
        <f>GraphSaureus!$H$39*Staphaureus!H91+GraphSaureus!$H$40</f>
        <v>0.64739813132443835</v>
      </c>
    </row>
    <row r="92" spans="1:20" x14ac:dyDescent="0.2">
      <c r="A92" s="1" t="s">
        <v>137</v>
      </c>
      <c r="B92" s="1" t="s">
        <v>138</v>
      </c>
      <c r="C92" t="s">
        <v>232</v>
      </c>
      <c r="D92" t="s">
        <v>46</v>
      </c>
      <c r="E92" s="1" t="s">
        <v>230</v>
      </c>
      <c r="F92" s="19" t="s">
        <v>231</v>
      </c>
      <c r="H92" s="4">
        <v>60</v>
      </c>
      <c r="I92" s="11">
        <v>5.0999999999999996</v>
      </c>
      <c r="K92" s="12">
        <f t="shared" si="3"/>
        <v>0.70757017609793638</v>
      </c>
      <c r="L92" s="11">
        <f>GraphSaureus!B$10-(Staphaureus!H92-GraphSaureus!B$6)/GraphSaureus!B$5</f>
        <v>0.55168819070383068</v>
      </c>
      <c r="M92" s="1" t="s">
        <v>241</v>
      </c>
      <c r="N92">
        <v>1985</v>
      </c>
      <c r="O92" t="s">
        <v>238</v>
      </c>
      <c r="R92" s="10">
        <f>GraphSaureus!$B$39*Staphaureus!H92+GraphSaureus!$B$40</f>
        <v>0.5487594522345498</v>
      </c>
      <c r="T92" s="10">
        <f>GraphSaureus!$H$39*Staphaureus!H92+GraphSaureus!$H$40</f>
        <v>0.64739813132443835</v>
      </c>
    </row>
    <row r="93" spans="1:20" x14ac:dyDescent="0.2">
      <c r="A93" s="1" t="s">
        <v>137</v>
      </c>
      <c r="B93" s="1" t="s">
        <v>138</v>
      </c>
      <c r="C93" t="s">
        <v>232</v>
      </c>
      <c r="D93" t="s">
        <v>46</v>
      </c>
      <c r="E93" s="1" t="s">
        <v>230</v>
      </c>
      <c r="F93" s="19" t="s">
        <v>231</v>
      </c>
      <c r="H93" s="4">
        <v>60</v>
      </c>
      <c r="I93" s="11">
        <v>6.4</v>
      </c>
      <c r="K93" s="12">
        <f t="shared" si="3"/>
        <v>0.80617997398388719</v>
      </c>
      <c r="L93" s="11">
        <f>GraphSaureus!B$10-(Staphaureus!H93-GraphSaureus!B$6)/GraphSaureus!B$5</f>
        <v>0.55168819070383068</v>
      </c>
      <c r="M93" s="1" t="s">
        <v>241</v>
      </c>
      <c r="N93">
        <v>1985</v>
      </c>
      <c r="O93" t="s">
        <v>239</v>
      </c>
      <c r="R93" s="10">
        <f>GraphSaureus!$B$39*Staphaureus!H93+GraphSaureus!$B$40</f>
        <v>0.5487594522345498</v>
      </c>
      <c r="T93" s="10">
        <f>GraphSaureus!$H$39*Staphaureus!H93+GraphSaureus!$H$40</f>
        <v>0.64739813132443835</v>
      </c>
    </row>
    <row r="94" spans="1:20" x14ac:dyDescent="0.2">
      <c r="A94" s="1" t="s">
        <v>137</v>
      </c>
      <c r="B94" s="1" t="s">
        <v>138</v>
      </c>
      <c r="C94" t="s">
        <v>232</v>
      </c>
      <c r="D94" t="s">
        <v>46</v>
      </c>
      <c r="E94" s="1" t="s">
        <v>230</v>
      </c>
      <c r="F94" s="19" t="s">
        <v>231</v>
      </c>
      <c r="H94" s="4">
        <v>60</v>
      </c>
      <c r="I94" s="11">
        <v>7</v>
      </c>
      <c r="K94" s="12">
        <f t="shared" si="3"/>
        <v>0.84509804001425681</v>
      </c>
      <c r="L94" s="11">
        <f>GraphSaureus!B$10-(Staphaureus!H94-GraphSaureus!B$6)/GraphSaureus!B$5</f>
        <v>0.55168819070383068</v>
      </c>
      <c r="M94" s="1" t="s">
        <v>241</v>
      </c>
      <c r="N94">
        <v>1985</v>
      </c>
      <c r="O94" t="s">
        <v>240</v>
      </c>
      <c r="R94" s="10">
        <f>GraphSaureus!$B$39*Staphaureus!H94+GraphSaureus!$B$40</f>
        <v>0.5487594522345498</v>
      </c>
      <c r="S94" s="10"/>
      <c r="T94" s="10">
        <f>GraphSaureus!$H$39*Staphaureus!H94+GraphSaureus!$H$40</f>
        <v>0.64739813132443835</v>
      </c>
    </row>
    <row r="95" spans="1:20" x14ac:dyDescent="0.2">
      <c r="A95" s="1" t="s">
        <v>137</v>
      </c>
      <c r="B95" s="1" t="s">
        <v>138</v>
      </c>
      <c r="C95" t="s">
        <v>184</v>
      </c>
      <c r="D95" t="s">
        <v>11</v>
      </c>
      <c r="E95" s="1" t="s">
        <v>1262</v>
      </c>
      <c r="F95" s="1" t="s">
        <v>74</v>
      </c>
      <c r="H95" s="4">
        <v>60</v>
      </c>
      <c r="I95" s="11">
        <v>2.198</v>
      </c>
      <c r="K95" s="12">
        <f t="shared" ref="K95:K103" si="4">LOG(I95)</f>
        <v>0.34202768808747175</v>
      </c>
      <c r="L95" s="11">
        <f>GraphSaureus!B$10-(Staphaureus!H95-GraphSaureus!B$6)/GraphSaureus!B$5</f>
        <v>0.55168819070383068</v>
      </c>
      <c r="M95" s="1" t="s">
        <v>121</v>
      </c>
      <c r="N95">
        <v>1966</v>
      </c>
      <c r="R95" s="10">
        <f>GraphSaureus!$B$39*Staphaureus!H95+GraphSaureus!$B$40</f>
        <v>0.5487594522345498</v>
      </c>
      <c r="S95" s="10"/>
      <c r="T95" s="10">
        <f>GraphSaureus!$H$39*Staphaureus!H95+GraphSaureus!$H$40</f>
        <v>0.64739813132443835</v>
      </c>
    </row>
    <row r="96" spans="1:20" x14ac:dyDescent="0.2">
      <c r="A96" s="1" t="s">
        <v>137</v>
      </c>
      <c r="B96" s="1" t="s">
        <v>138</v>
      </c>
      <c r="C96" t="s">
        <v>184</v>
      </c>
      <c r="D96" t="s">
        <v>11</v>
      </c>
      <c r="E96" s="1" t="s">
        <v>1262</v>
      </c>
      <c r="F96" s="1" t="s">
        <v>74</v>
      </c>
      <c r="H96" s="4">
        <v>65.5</v>
      </c>
      <c r="I96" s="11">
        <v>0.29599999999999999</v>
      </c>
      <c r="K96" s="12">
        <f t="shared" si="4"/>
        <v>-0.52870828894106148</v>
      </c>
      <c r="L96" s="11">
        <f>GraphSaureus!B$10-(Staphaureus!H96-GraphSaureus!B$6)/GraphSaureus!B$5</f>
        <v>-7.6784290882466633E-2</v>
      </c>
      <c r="M96" s="1" t="s">
        <v>121</v>
      </c>
      <c r="N96">
        <v>1966</v>
      </c>
      <c r="R96" s="10">
        <f>GraphSaureus!$B$39*Staphaureus!H96+GraphSaureus!$B$40</f>
        <v>-7.6511721642589237E-2</v>
      </c>
      <c r="S96" s="10"/>
      <c r="T96" s="10">
        <f>GraphSaureus!$H$39*Staphaureus!H96+GraphSaureus!$H$40</f>
        <v>-2.6678174929864795E-2</v>
      </c>
    </row>
    <row r="97" spans="1:20" x14ac:dyDescent="0.2">
      <c r="A97" s="1" t="s">
        <v>137</v>
      </c>
      <c r="B97" s="1" t="s">
        <v>138</v>
      </c>
      <c r="C97" t="s">
        <v>183</v>
      </c>
      <c r="D97" t="s">
        <v>11</v>
      </c>
      <c r="E97" s="1" t="s">
        <v>1262</v>
      </c>
      <c r="F97" s="1" t="s">
        <v>74</v>
      </c>
      <c r="H97" s="4">
        <v>60</v>
      </c>
      <c r="I97" s="11">
        <v>3.0910000000000002</v>
      </c>
      <c r="K97" s="12">
        <f t="shared" si="4"/>
        <v>0.49009900506330495</v>
      </c>
      <c r="L97" s="11">
        <f>GraphSaureus!B$10-(Staphaureus!H97-GraphSaureus!B$6)/GraphSaureus!B$5</f>
        <v>0.55168819070383068</v>
      </c>
      <c r="M97" s="1" t="s">
        <v>121</v>
      </c>
      <c r="N97">
        <v>1966</v>
      </c>
      <c r="R97" s="10">
        <f>GraphSaureus!$B$39*Staphaureus!H97+GraphSaureus!$B$40</f>
        <v>0.5487594522345498</v>
      </c>
      <c r="S97" s="10"/>
      <c r="T97" s="10">
        <f>GraphSaureus!$H$39*Staphaureus!H97+GraphSaureus!$H$40</f>
        <v>0.64739813132443835</v>
      </c>
    </row>
    <row r="98" spans="1:20" x14ac:dyDescent="0.2">
      <c r="A98" s="1" t="s">
        <v>137</v>
      </c>
      <c r="B98" s="1" t="s">
        <v>138</v>
      </c>
      <c r="C98" t="s">
        <v>183</v>
      </c>
      <c r="D98" t="s">
        <v>11</v>
      </c>
      <c r="E98" s="1" t="s">
        <v>1262</v>
      </c>
      <c r="F98" s="1" t="s">
        <v>74</v>
      </c>
      <c r="H98" s="4">
        <v>65.5</v>
      </c>
      <c r="I98" s="11">
        <v>0.16</v>
      </c>
      <c r="K98" s="12">
        <f t="shared" si="4"/>
        <v>-0.79588001734407521</v>
      </c>
      <c r="L98" s="11">
        <f>GraphSaureus!B$10-(Staphaureus!H98-GraphSaureus!B$6)/GraphSaureus!B$5</f>
        <v>-7.6784290882466633E-2</v>
      </c>
      <c r="M98" s="1" t="s">
        <v>121</v>
      </c>
      <c r="N98">
        <v>1966</v>
      </c>
      <c r="R98" s="10">
        <f>GraphSaureus!$B$39*Staphaureus!H98+GraphSaureus!$B$40</f>
        <v>-7.6511721642589237E-2</v>
      </c>
      <c r="S98" s="10"/>
      <c r="T98" s="10">
        <f>GraphSaureus!$H$39*Staphaureus!H98+GraphSaureus!$H$40</f>
        <v>-2.6678174929864795E-2</v>
      </c>
    </row>
    <row r="99" spans="1:20" x14ac:dyDescent="0.2">
      <c r="A99" s="1" t="s">
        <v>137</v>
      </c>
      <c r="B99" s="1" t="s">
        <v>138</v>
      </c>
      <c r="C99" t="s">
        <v>142</v>
      </c>
      <c r="D99" t="s">
        <v>11</v>
      </c>
      <c r="E99" s="1" t="s">
        <v>143</v>
      </c>
      <c r="F99" s="1" t="s">
        <v>144</v>
      </c>
      <c r="G99" s="4">
        <v>6.5</v>
      </c>
      <c r="H99" s="4">
        <v>60</v>
      </c>
      <c r="I99" s="11">
        <v>4.6100000000000003</v>
      </c>
      <c r="K99" s="12">
        <f t="shared" si="4"/>
        <v>0.6637009253896482</v>
      </c>
      <c r="L99" s="11">
        <f>GraphSaureus!B$10-(Staphaureus!H99-GraphSaureus!B$6)/GraphSaureus!B$5</f>
        <v>0.55168819070383068</v>
      </c>
      <c r="M99" s="2" t="s">
        <v>153</v>
      </c>
      <c r="N99">
        <v>1975</v>
      </c>
      <c r="R99" s="10">
        <f>GraphSaureus!$B$39*Staphaureus!H99+GraphSaureus!$B$40</f>
        <v>0.5487594522345498</v>
      </c>
      <c r="S99" s="10"/>
      <c r="T99" s="10">
        <f>GraphSaureus!$H$39*Staphaureus!H99+GraphSaureus!$H$40</f>
        <v>0.64739813132443835</v>
      </c>
    </row>
    <row r="100" spans="1:20" x14ac:dyDescent="0.2">
      <c r="A100" s="1" t="s">
        <v>137</v>
      </c>
      <c r="B100" s="1" t="s">
        <v>138</v>
      </c>
      <c r="C100" t="s">
        <v>142</v>
      </c>
      <c r="D100" t="s">
        <v>11</v>
      </c>
      <c r="E100" s="1" t="s">
        <v>143</v>
      </c>
      <c r="F100" s="1" t="s">
        <v>144</v>
      </c>
      <c r="G100" s="4">
        <v>6.5</v>
      </c>
      <c r="H100" s="4">
        <v>60</v>
      </c>
      <c r="I100" s="11">
        <v>9.6199999999999992</v>
      </c>
      <c r="K100" s="12">
        <f t="shared" si="4"/>
        <v>0.98317507203781296</v>
      </c>
      <c r="L100" s="11">
        <f>GraphSaureus!B$10-(Staphaureus!H100-GraphSaureus!B$6)/GraphSaureus!B$5</f>
        <v>0.55168819070383068</v>
      </c>
      <c r="M100" s="2" t="s">
        <v>153</v>
      </c>
      <c r="N100">
        <v>1975</v>
      </c>
      <c r="R100" s="10">
        <f>GraphSaureus!$B$39*Staphaureus!H100+GraphSaureus!$B$40</f>
        <v>0.5487594522345498</v>
      </c>
      <c r="S100" s="10"/>
      <c r="T100" s="10">
        <f>GraphSaureus!$H$39*Staphaureus!H100+GraphSaureus!$H$40</f>
        <v>0.64739813132443835</v>
      </c>
    </row>
    <row r="101" spans="1:20" x14ac:dyDescent="0.2">
      <c r="A101" s="1" t="s">
        <v>137</v>
      </c>
      <c r="B101" s="1" t="s">
        <v>138</v>
      </c>
      <c r="C101" t="s">
        <v>142</v>
      </c>
      <c r="D101" t="s">
        <v>11</v>
      </c>
      <c r="E101" s="1" t="s">
        <v>143</v>
      </c>
      <c r="F101" s="1" t="s">
        <v>146</v>
      </c>
      <c r="G101" s="4">
        <v>6.5</v>
      </c>
      <c r="H101" s="4">
        <v>60</v>
      </c>
      <c r="I101" s="11">
        <v>5.49</v>
      </c>
      <c r="K101" s="12">
        <f t="shared" si="4"/>
        <v>0.7395723444500919</v>
      </c>
      <c r="L101" s="11">
        <f>GraphSaureus!B$10-(Staphaureus!H101-GraphSaureus!B$6)/GraphSaureus!B$5</f>
        <v>0.55168819070383068</v>
      </c>
      <c r="M101" s="2" t="s">
        <v>153</v>
      </c>
      <c r="N101">
        <v>1975</v>
      </c>
      <c r="R101" s="10">
        <f>GraphSaureus!$B$39*Staphaureus!H101+GraphSaureus!$B$40</f>
        <v>0.5487594522345498</v>
      </c>
      <c r="S101" s="10"/>
      <c r="T101" s="10">
        <f>GraphSaureus!$H$39*Staphaureus!H101+GraphSaureus!$H$40</f>
        <v>0.64739813132443835</v>
      </c>
    </row>
    <row r="102" spans="1:20" x14ac:dyDescent="0.2">
      <c r="A102" s="1" t="s">
        <v>137</v>
      </c>
      <c r="B102" s="1" t="s">
        <v>138</v>
      </c>
      <c r="C102" t="s">
        <v>142</v>
      </c>
      <c r="D102" t="s">
        <v>11</v>
      </c>
      <c r="E102" s="1" t="s">
        <v>143</v>
      </c>
      <c r="F102" s="1" t="s">
        <v>148</v>
      </c>
      <c r="G102" s="4">
        <v>6.5</v>
      </c>
      <c r="H102" s="4">
        <v>60</v>
      </c>
      <c r="I102" s="11">
        <v>6.55</v>
      </c>
      <c r="K102" s="12">
        <f t="shared" si="4"/>
        <v>0.81624129999178308</v>
      </c>
      <c r="L102" s="11">
        <f>GraphSaureus!B$10-(Staphaureus!H102-GraphSaureus!B$6)/GraphSaureus!B$5</f>
        <v>0.55168819070383068</v>
      </c>
      <c r="M102" s="2" t="s">
        <v>153</v>
      </c>
      <c r="N102">
        <v>1975</v>
      </c>
      <c r="R102" s="10">
        <f>GraphSaureus!$B$39*Staphaureus!H102+GraphSaureus!$B$40</f>
        <v>0.5487594522345498</v>
      </c>
      <c r="S102" s="10"/>
      <c r="T102" s="10">
        <f>GraphSaureus!$H$39*Staphaureus!H102+GraphSaureus!$H$40</f>
        <v>0.64739813132443835</v>
      </c>
    </row>
    <row r="103" spans="1:20" x14ac:dyDescent="0.2">
      <c r="A103" s="1" t="s">
        <v>137</v>
      </c>
      <c r="B103" s="1" t="s">
        <v>138</v>
      </c>
      <c r="C103" t="s">
        <v>142</v>
      </c>
      <c r="D103" t="s">
        <v>11</v>
      </c>
      <c r="E103" s="1" t="s">
        <v>143</v>
      </c>
      <c r="F103" s="1" t="s">
        <v>147</v>
      </c>
      <c r="G103" s="4">
        <v>6.5</v>
      </c>
      <c r="H103" s="4">
        <v>60</v>
      </c>
      <c r="I103" s="11">
        <v>4.47</v>
      </c>
      <c r="K103" s="12">
        <f t="shared" si="4"/>
        <v>0.6503075231319364</v>
      </c>
      <c r="L103" s="11">
        <f>GraphSaureus!B$10-(Staphaureus!H103-GraphSaureus!B$6)/GraphSaureus!B$5</f>
        <v>0.55168819070383068</v>
      </c>
      <c r="M103" s="2" t="s">
        <v>153</v>
      </c>
      <c r="N103">
        <v>1975</v>
      </c>
      <c r="R103" s="10">
        <f>GraphSaureus!$B$39*Staphaureus!H103+GraphSaureus!$B$40</f>
        <v>0.5487594522345498</v>
      </c>
      <c r="S103" s="10"/>
      <c r="T103" s="10">
        <f>GraphSaureus!$H$39*Staphaureus!H103+GraphSaureus!$H$40</f>
        <v>0.64739813132443835</v>
      </c>
    </row>
    <row r="104" spans="1:20" x14ac:dyDescent="0.2">
      <c r="A104" s="1" t="s">
        <v>137</v>
      </c>
      <c r="B104" s="1" t="s">
        <v>138</v>
      </c>
      <c r="C104" t="s">
        <v>142</v>
      </c>
      <c r="D104" t="s">
        <v>11</v>
      </c>
      <c r="E104" s="1" t="s">
        <v>143</v>
      </c>
      <c r="F104" s="1" t="s">
        <v>149</v>
      </c>
      <c r="G104" s="4">
        <v>6.5</v>
      </c>
      <c r="H104" s="4">
        <v>60</v>
      </c>
      <c r="I104" s="11">
        <v>6.45</v>
      </c>
      <c r="K104" s="12">
        <f t="shared" ref="K104:K134" si="5">LOG(I104)</f>
        <v>0.80955971463526777</v>
      </c>
      <c r="L104" s="11">
        <f>GraphSaureus!B$10-(Staphaureus!H104-GraphSaureus!B$6)/GraphSaureus!B$5</f>
        <v>0.55168819070383068</v>
      </c>
      <c r="M104" s="2" t="s">
        <v>153</v>
      </c>
      <c r="N104">
        <v>1975</v>
      </c>
      <c r="R104" s="10">
        <f>GraphSaureus!$B$39*Staphaureus!H104+GraphSaureus!$B$40</f>
        <v>0.5487594522345498</v>
      </c>
      <c r="S104" s="10"/>
      <c r="T104" s="10">
        <f>GraphSaureus!$H$39*Staphaureus!H104+GraphSaureus!$H$40</f>
        <v>0.64739813132443835</v>
      </c>
    </row>
    <row r="105" spans="1:20" x14ac:dyDescent="0.2">
      <c r="A105" s="1" t="s">
        <v>137</v>
      </c>
      <c r="B105" s="1" t="s">
        <v>138</v>
      </c>
      <c r="C105" t="s">
        <v>142</v>
      </c>
      <c r="D105" t="s">
        <v>11</v>
      </c>
      <c r="E105" s="1" t="s">
        <v>143</v>
      </c>
      <c r="F105" s="1" t="s">
        <v>150</v>
      </c>
      <c r="G105" s="4">
        <v>6.5</v>
      </c>
      <c r="H105" s="4">
        <v>60</v>
      </c>
      <c r="I105" s="11">
        <v>18.62</v>
      </c>
      <c r="K105" s="12">
        <f t="shared" si="5"/>
        <v>1.2699796766453237</v>
      </c>
      <c r="L105" s="11">
        <f>GraphSaureus!B$10-(Staphaureus!H105-GraphSaureus!B$6)/GraphSaureus!B$5</f>
        <v>0.55168819070383068</v>
      </c>
      <c r="M105" s="2" t="s">
        <v>153</v>
      </c>
      <c r="N105">
        <v>1975</v>
      </c>
      <c r="R105" s="10">
        <f>GraphSaureus!$B$39*Staphaureus!H105+GraphSaureus!$B$40</f>
        <v>0.5487594522345498</v>
      </c>
      <c r="S105" s="10"/>
      <c r="T105" s="10">
        <f>GraphSaureus!$H$39*Staphaureus!H105+GraphSaureus!$H$40</f>
        <v>0.64739813132443835</v>
      </c>
    </row>
    <row r="106" spans="1:20" x14ac:dyDescent="0.2">
      <c r="A106" s="1" t="s">
        <v>137</v>
      </c>
      <c r="B106" s="1" t="s">
        <v>138</v>
      </c>
      <c r="C106" t="s">
        <v>142</v>
      </c>
      <c r="D106" t="s">
        <v>11</v>
      </c>
      <c r="E106" s="1" t="s">
        <v>143</v>
      </c>
      <c r="F106" s="1" t="s">
        <v>150</v>
      </c>
      <c r="G106" s="4">
        <v>6.5</v>
      </c>
      <c r="H106" s="4">
        <v>60</v>
      </c>
      <c r="I106" s="11">
        <v>26.38</v>
      </c>
      <c r="K106" s="12">
        <f t="shared" si="5"/>
        <v>1.4212747912103465</v>
      </c>
      <c r="L106" s="11">
        <f>GraphSaureus!B$10-(Staphaureus!H106-GraphSaureus!B$6)/GraphSaureus!B$5</f>
        <v>0.55168819070383068</v>
      </c>
      <c r="M106" s="2" t="s">
        <v>153</v>
      </c>
      <c r="N106">
        <v>1975</v>
      </c>
      <c r="R106" s="10">
        <f>GraphSaureus!$B$39*Staphaureus!H106+GraphSaureus!$B$40</f>
        <v>0.5487594522345498</v>
      </c>
      <c r="S106" s="10"/>
      <c r="T106" s="10">
        <f>GraphSaureus!$H$39*Staphaureus!H106+GraphSaureus!$H$40</f>
        <v>0.64739813132443835</v>
      </c>
    </row>
    <row r="107" spans="1:20" x14ac:dyDescent="0.2">
      <c r="A107" s="1" t="s">
        <v>137</v>
      </c>
      <c r="B107" s="1" t="s">
        <v>138</v>
      </c>
      <c r="C107" t="s">
        <v>142</v>
      </c>
      <c r="D107" t="s">
        <v>11</v>
      </c>
      <c r="E107" s="1" t="s">
        <v>143</v>
      </c>
      <c r="F107" s="1" t="s">
        <v>151</v>
      </c>
      <c r="G107" s="4">
        <v>6.5</v>
      </c>
      <c r="H107" s="4">
        <v>60</v>
      </c>
      <c r="I107" s="11">
        <v>28.49</v>
      </c>
      <c r="K107" s="12">
        <f t="shared" si="5"/>
        <v>1.4546924492394768</v>
      </c>
      <c r="L107" s="11">
        <f>GraphSaureus!B$10-(Staphaureus!H107-GraphSaureus!B$6)/GraphSaureus!B$5</f>
        <v>0.55168819070383068</v>
      </c>
      <c r="M107" s="2" t="s">
        <v>153</v>
      </c>
      <c r="N107">
        <v>1975</v>
      </c>
      <c r="R107" s="10">
        <f>GraphSaureus!$B$39*Staphaureus!H107+GraphSaureus!$B$40</f>
        <v>0.5487594522345498</v>
      </c>
      <c r="S107" s="10"/>
      <c r="T107" s="10">
        <f>GraphSaureus!$H$39*Staphaureus!H107+GraphSaureus!$H$40</f>
        <v>0.64739813132443835</v>
      </c>
    </row>
    <row r="108" spans="1:20" x14ac:dyDescent="0.2">
      <c r="A108" s="1" t="s">
        <v>137</v>
      </c>
      <c r="B108" s="1" t="s">
        <v>138</v>
      </c>
      <c r="C108" t="s">
        <v>142</v>
      </c>
      <c r="D108" t="s">
        <v>11</v>
      </c>
      <c r="E108" s="1" t="s">
        <v>143</v>
      </c>
      <c r="F108" s="1" t="s">
        <v>151</v>
      </c>
      <c r="G108" s="4">
        <v>6.5</v>
      </c>
      <c r="H108" s="4">
        <v>60</v>
      </c>
      <c r="I108" s="11">
        <v>26.81</v>
      </c>
      <c r="K108" s="12">
        <f t="shared" si="5"/>
        <v>1.4282968139828796</v>
      </c>
      <c r="L108" s="11">
        <f>GraphSaureus!B$10-(Staphaureus!H108-GraphSaureus!B$6)/GraphSaureus!B$5</f>
        <v>0.55168819070383068</v>
      </c>
      <c r="M108" s="2" t="s">
        <v>153</v>
      </c>
      <c r="N108">
        <v>1975</v>
      </c>
      <c r="R108" s="10">
        <f>GraphSaureus!$B$39*Staphaureus!H108+GraphSaureus!$B$40</f>
        <v>0.5487594522345498</v>
      </c>
      <c r="S108" s="10"/>
      <c r="T108" s="10">
        <f>GraphSaureus!$H$39*Staphaureus!H108+GraphSaureus!$H$40</f>
        <v>0.64739813132443835</v>
      </c>
    </row>
    <row r="109" spans="1:20" x14ac:dyDescent="0.2">
      <c r="A109" s="1" t="s">
        <v>137</v>
      </c>
      <c r="B109" s="1" t="s">
        <v>138</v>
      </c>
      <c r="C109" t="s">
        <v>142</v>
      </c>
      <c r="D109" t="s">
        <v>11</v>
      </c>
      <c r="E109" s="1" t="s">
        <v>143</v>
      </c>
      <c r="F109" s="1" t="s">
        <v>145</v>
      </c>
      <c r="G109" s="4">
        <v>6.5</v>
      </c>
      <c r="H109" s="4">
        <v>60</v>
      </c>
      <c r="I109" s="11">
        <v>4.51</v>
      </c>
      <c r="K109" s="12">
        <f t="shared" si="5"/>
        <v>0.65417654187796048</v>
      </c>
      <c r="L109" s="11">
        <f>GraphSaureus!B$10-(Staphaureus!H109-GraphSaureus!B$6)/GraphSaureus!B$5</f>
        <v>0.55168819070383068</v>
      </c>
      <c r="M109" s="2" t="s">
        <v>153</v>
      </c>
      <c r="N109">
        <v>1975</v>
      </c>
      <c r="R109" s="10">
        <f>GraphSaureus!$B$39*Staphaureus!H109+GraphSaureus!$B$40</f>
        <v>0.5487594522345498</v>
      </c>
      <c r="S109" s="10"/>
      <c r="T109" s="10">
        <f>GraphSaureus!$H$39*Staphaureus!H109+GraphSaureus!$H$40</f>
        <v>0.64739813132443835</v>
      </c>
    </row>
    <row r="110" spans="1:20" x14ac:dyDescent="0.2">
      <c r="A110" s="1" t="s">
        <v>137</v>
      </c>
      <c r="B110" s="1" t="s">
        <v>138</v>
      </c>
      <c r="C110" t="s">
        <v>142</v>
      </c>
      <c r="D110" t="s">
        <v>11</v>
      </c>
      <c r="E110" s="1" t="s">
        <v>143</v>
      </c>
      <c r="F110" s="1" t="s">
        <v>145</v>
      </c>
      <c r="G110" s="4">
        <v>6.5</v>
      </c>
      <c r="H110" s="4">
        <v>60</v>
      </c>
      <c r="I110" s="11">
        <v>5.67</v>
      </c>
      <c r="K110" s="12">
        <f t="shared" si="5"/>
        <v>0.75358305889290655</v>
      </c>
      <c r="L110" s="11">
        <f>GraphSaureus!B$10-(Staphaureus!H110-GraphSaureus!B$6)/GraphSaureus!B$5</f>
        <v>0.55168819070383068</v>
      </c>
      <c r="M110" s="2" t="s">
        <v>153</v>
      </c>
      <c r="N110">
        <v>1975</v>
      </c>
      <c r="R110" s="10">
        <f>GraphSaureus!$B$39*Staphaureus!H110+GraphSaureus!$B$40</f>
        <v>0.5487594522345498</v>
      </c>
      <c r="S110" s="10"/>
      <c r="T110" s="10">
        <f>GraphSaureus!$H$39*Staphaureus!H110+GraphSaureus!$H$40</f>
        <v>0.64739813132443835</v>
      </c>
    </row>
    <row r="111" spans="1:20" x14ac:dyDescent="0.2">
      <c r="A111" s="1" t="s">
        <v>137</v>
      </c>
      <c r="B111" s="1" t="s">
        <v>138</v>
      </c>
      <c r="C111" t="s">
        <v>142</v>
      </c>
      <c r="D111" t="s">
        <v>11</v>
      </c>
      <c r="E111" s="1" t="s">
        <v>846</v>
      </c>
      <c r="F111" s="1"/>
      <c r="H111" s="4">
        <v>50</v>
      </c>
      <c r="I111" s="11">
        <v>34.1</v>
      </c>
      <c r="K111" s="12">
        <f t="shared" si="5"/>
        <v>1.5327543789924978</v>
      </c>
      <c r="L111" s="11">
        <f>GraphSaureus!B$10-(Staphaureus!H111-GraphSaureus!B$6)/GraphSaureus!B$5</f>
        <v>1.694365429951644</v>
      </c>
      <c r="M111" s="1" t="s">
        <v>168</v>
      </c>
      <c r="N111">
        <v>1998</v>
      </c>
      <c r="O111" t="s">
        <v>172</v>
      </c>
      <c r="R111" s="10">
        <f>GraphSaureus!$B$39*Staphaureus!H111+GraphSaureus!$B$40</f>
        <v>1.685616132011166</v>
      </c>
      <c r="S111" s="10"/>
      <c r="T111" s="10">
        <f>GraphSaureus!$H$39*Staphaureus!H111+GraphSaureus!$H$40</f>
        <v>1.8729914154231695</v>
      </c>
    </row>
    <row r="112" spans="1:20" x14ac:dyDescent="0.2">
      <c r="A112" s="1" t="s">
        <v>137</v>
      </c>
      <c r="B112" s="1" t="s">
        <v>138</v>
      </c>
      <c r="C112" t="s">
        <v>142</v>
      </c>
      <c r="D112" t="s">
        <v>11</v>
      </c>
      <c r="E112" s="1" t="s">
        <v>846</v>
      </c>
      <c r="F112" s="1"/>
      <c r="H112" s="4">
        <v>55</v>
      </c>
      <c r="I112" s="11">
        <v>13.3</v>
      </c>
      <c r="K112" s="12">
        <f t="shared" si="5"/>
        <v>1.1238516409670858</v>
      </c>
      <c r="L112" s="11">
        <f>GraphSaureus!B$10-(Staphaureus!H112-GraphSaureus!B$6)/GraphSaureus!B$5</f>
        <v>1.1230268103277374</v>
      </c>
      <c r="M112" s="1" t="s">
        <v>168</v>
      </c>
      <c r="N112">
        <v>1998</v>
      </c>
      <c r="O112" t="s">
        <v>172</v>
      </c>
      <c r="R112" s="10">
        <f>GraphSaureus!$B$39*Staphaureus!H112+GraphSaureus!$B$40</f>
        <v>1.1171877921228583</v>
      </c>
      <c r="S112" s="10"/>
      <c r="T112" s="10">
        <f>GraphSaureus!$H$39*Staphaureus!H112+GraphSaureus!$H$40</f>
        <v>1.2601947733738044</v>
      </c>
    </row>
    <row r="113" spans="1:20" x14ac:dyDescent="0.2">
      <c r="A113" s="1" t="s">
        <v>137</v>
      </c>
      <c r="B113" s="1" t="s">
        <v>138</v>
      </c>
      <c r="C113" t="s">
        <v>142</v>
      </c>
      <c r="D113" t="s">
        <v>11</v>
      </c>
      <c r="E113" s="1" t="s">
        <v>846</v>
      </c>
      <c r="F113" s="1"/>
      <c r="H113" s="4">
        <v>60</v>
      </c>
      <c r="I113" s="11">
        <v>5.9</v>
      </c>
      <c r="K113" s="12">
        <f t="shared" si="5"/>
        <v>0.77085201164214423</v>
      </c>
      <c r="L113" s="11">
        <f>GraphSaureus!B$10-(Staphaureus!H113-GraphSaureus!B$6)/GraphSaureus!B$5</f>
        <v>0.55168819070383068</v>
      </c>
      <c r="M113" s="1" t="s">
        <v>168</v>
      </c>
      <c r="N113">
        <v>1998</v>
      </c>
      <c r="O113" t="s">
        <v>172</v>
      </c>
      <c r="R113" s="10">
        <f>GraphSaureus!$B$39*Staphaureus!H113+GraphSaureus!$B$40</f>
        <v>0.5487594522345498</v>
      </c>
      <c r="S113" s="10"/>
      <c r="T113" s="10">
        <f>GraphSaureus!$H$39*Staphaureus!H113+GraphSaureus!$H$40</f>
        <v>0.64739813132443835</v>
      </c>
    </row>
    <row r="114" spans="1:20" x14ac:dyDescent="0.2">
      <c r="A114" s="1" t="s">
        <v>137</v>
      </c>
      <c r="B114" s="1" t="s">
        <v>138</v>
      </c>
      <c r="C114" t="s">
        <v>162</v>
      </c>
      <c r="D114" t="s">
        <v>11</v>
      </c>
      <c r="E114" s="1" t="s">
        <v>1447</v>
      </c>
      <c r="F114" s="1" t="s">
        <v>163</v>
      </c>
      <c r="G114" s="4">
        <v>5.65</v>
      </c>
      <c r="H114" s="4">
        <v>54.5</v>
      </c>
      <c r="I114" s="11">
        <f>1.3*60</f>
        <v>78</v>
      </c>
      <c r="K114" s="12">
        <f t="shared" si="5"/>
        <v>1.8920946026904804</v>
      </c>
      <c r="L114" s="11">
        <f>GraphSaureus!B$10-(Staphaureus!H114-GraphSaureus!B$6)/GraphSaureus!B$5</f>
        <v>1.1801606722901281</v>
      </c>
      <c r="M114" s="1" t="s">
        <v>1226</v>
      </c>
      <c r="N114">
        <v>1996</v>
      </c>
      <c r="R114" s="10">
        <f>GraphSaureus!$B$39*Staphaureus!H114+GraphSaureus!$B$40</f>
        <v>1.1740306261116888</v>
      </c>
      <c r="S114" s="10"/>
      <c r="T114" s="10">
        <f>GraphSaureus!$H$39*Staphaureus!H114+GraphSaureus!$H$40</f>
        <v>1.3214744375787406</v>
      </c>
    </row>
    <row r="115" spans="1:20" x14ac:dyDescent="0.2">
      <c r="A115" s="1" t="s">
        <v>137</v>
      </c>
      <c r="B115" s="1" t="s">
        <v>138</v>
      </c>
      <c r="D115" t="s">
        <v>44</v>
      </c>
      <c r="E115" s="1" t="s">
        <v>141</v>
      </c>
      <c r="F115" s="1"/>
      <c r="G115" s="4">
        <v>7</v>
      </c>
      <c r="H115" s="4">
        <v>55</v>
      </c>
      <c r="I115" s="11">
        <v>11.6</v>
      </c>
      <c r="K115" s="12">
        <f t="shared" si="5"/>
        <v>1.0644579892269184</v>
      </c>
      <c r="L115" s="11">
        <f>GraphSaureus!B$10-(Staphaureus!H115-GraphSaureus!B$6)/GraphSaureus!B$5</f>
        <v>1.1230268103277374</v>
      </c>
      <c r="M115" s="2" t="s">
        <v>1226</v>
      </c>
      <c r="N115">
        <v>1996</v>
      </c>
      <c r="R115" s="10">
        <f>GraphSaureus!$B$39*Staphaureus!H115+GraphSaureus!$B$40</f>
        <v>1.1171877921228583</v>
      </c>
      <c r="S115" s="10"/>
      <c r="T115" s="10">
        <f>GraphSaureus!$H$39*Staphaureus!H115+GraphSaureus!$H$40</f>
        <v>1.2601947733738044</v>
      </c>
    </row>
    <row r="116" spans="1:20" x14ac:dyDescent="0.2">
      <c r="A116" s="1" t="s">
        <v>137</v>
      </c>
      <c r="B116" s="1" t="s">
        <v>138</v>
      </c>
      <c r="D116" t="s">
        <v>44</v>
      </c>
      <c r="E116" s="1" t="s">
        <v>141</v>
      </c>
      <c r="F116" s="1"/>
      <c r="G116" s="4">
        <v>7</v>
      </c>
      <c r="H116" s="4">
        <v>55</v>
      </c>
      <c r="I116" s="11">
        <v>17.8</v>
      </c>
      <c r="K116" s="12">
        <f t="shared" si="5"/>
        <v>1.2504200023088941</v>
      </c>
      <c r="L116" s="11">
        <f>GraphSaureus!B$10-(Staphaureus!H116-GraphSaureus!B$6)/GraphSaureus!B$5</f>
        <v>1.1230268103277374</v>
      </c>
      <c r="M116" s="2" t="s">
        <v>1226</v>
      </c>
      <c r="N116">
        <v>1996</v>
      </c>
      <c r="R116" s="10">
        <f>GraphSaureus!$B$39*Staphaureus!H116+GraphSaureus!$B$40</f>
        <v>1.1171877921228583</v>
      </c>
      <c r="S116" s="10"/>
      <c r="T116" s="10">
        <f>GraphSaureus!$H$39*Staphaureus!H116+GraphSaureus!$H$40</f>
        <v>1.2601947733738044</v>
      </c>
    </row>
    <row r="117" spans="1:20" x14ac:dyDescent="0.2">
      <c r="A117" s="1" t="s">
        <v>137</v>
      </c>
      <c r="B117" s="1" t="s">
        <v>138</v>
      </c>
      <c r="D117" t="s">
        <v>44</v>
      </c>
      <c r="E117" s="1" t="s">
        <v>164</v>
      </c>
      <c r="F117" s="1" t="s">
        <v>165</v>
      </c>
      <c r="G117" s="4">
        <v>7.2</v>
      </c>
      <c r="H117" s="4">
        <v>60</v>
      </c>
      <c r="I117" s="11">
        <v>2.5</v>
      </c>
      <c r="K117" s="12">
        <f t="shared" si="5"/>
        <v>0.3979400086720376</v>
      </c>
      <c r="L117" s="11">
        <f>GraphSaureus!B$10-(Staphaureus!H117-GraphSaureus!B$6)/GraphSaureus!B$5</f>
        <v>0.55168819070383068</v>
      </c>
      <c r="M117" s="1" t="s">
        <v>1226</v>
      </c>
      <c r="N117">
        <v>1996</v>
      </c>
      <c r="O117" t="s">
        <v>173</v>
      </c>
      <c r="R117" s="10">
        <f>GraphSaureus!$B$39*Staphaureus!H117+GraphSaureus!$B$40</f>
        <v>0.5487594522345498</v>
      </c>
      <c r="S117" s="10"/>
      <c r="T117" s="10">
        <f>GraphSaureus!$H$39*Staphaureus!H117+GraphSaureus!$H$40</f>
        <v>0.64739813132443835</v>
      </c>
    </row>
    <row r="118" spans="1:20" x14ac:dyDescent="0.2">
      <c r="A118" s="1" t="s">
        <v>137</v>
      </c>
      <c r="B118" s="1" t="s">
        <v>138</v>
      </c>
      <c r="D118" t="s">
        <v>44</v>
      </c>
      <c r="E118" s="1" t="s">
        <v>164</v>
      </c>
      <c r="F118" s="1" t="s">
        <v>165</v>
      </c>
      <c r="G118" s="4">
        <v>7.2</v>
      </c>
      <c r="H118" s="4">
        <v>60</v>
      </c>
      <c r="I118" s="11">
        <v>3.1</v>
      </c>
      <c r="K118" s="12">
        <f t="shared" si="5"/>
        <v>0.49136169383427269</v>
      </c>
      <c r="L118" s="11">
        <f>GraphSaureus!B$10-(Staphaureus!H118-GraphSaureus!B$6)/GraphSaureus!B$5</f>
        <v>0.55168819070383068</v>
      </c>
      <c r="M118" s="1" t="s">
        <v>1226</v>
      </c>
      <c r="N118">
        <v>1996</v>
      </c>
      <c r="O118" t="s">
        <v>173</v>
      </c>
      <c r="R118" s="10">
        <f>GraphSaureus!$B$39*Staphaureus!H118+GraphSaureus!$B$40</f>
        <v>0.5487594522345498</v>
      </c>
      <c r="S118" s="10"/>
      <c r="T118" s="10">
        <f>GraphSaureus!$H$39*Staphaureus!H118+GraphSaureus!$H$40</f>
        <v>0.64739813132443835</v>
      </c>
    </row>
    <row r="119" spans="1:20" x14ac:dyDescent="0.2">
      <c r="A119" s="1" t="s">
        <v>137</v>
      </c>
      <c r="B119" s="1" t="s">
        <v>138</v>
      </c>
      <c r="D119" t="s">
        <v>44</v>
      </c>
      <c r="E119" s="1" t="s">
        <v>164</v>
      </c>
      <c r="F119" s="1" t="s">
        <v>165</v>
      </c>
      <c r="G119" s="4">
        <v>7.2</v>
      </c>
      <c r="H119" s="4">
        <v>60</v>
      </c>
      <c r="I119" s="11">
        <v>12.2</v>
      </c>
      <c r="K119" s="12">
        <f t="shared" si="5"/>
        <v>1.0863598306747482</v>
      </c>
      <c r="L119" s="11">
        <f>GraphSaureus!B$10-(Staphaureus!H119-GraphSaureus!B$6)/GraphSaureus!B$5</f>
        <v>0.55168819070383068</v>
      </c>
      <c r="M119" s="1" t="s">
        <v>1226</v>
      </c>
      <c r="N119">
        <v>1996</v>
      </c>
      <c r="O119" t="s">
        <v>174</v>
      </c>
      <c r="R119" s="10">
        <f>GraphSaureus!$B$39*Staphaureus!H119+GraphSaureus!$B$40</f>
        <v>0.5487594522345498</v>
      </c>
      <c r="S119" s="10"/>
      <c r="T119" s="10">
        <f>GraphSaureus!$H$39*Staphaureus!H119+GraphSaureus!$H$40</f>
        <v>0.64739813132443835</v>
      </c>
    </row>
    <row r="120" spans="1:20" x14ac:dyDescent="0.2">
      <c r="A120" s="1" t="s">
        <v>137</v>
      </c>
      <c r="B120" s="1" t="s">
        <v>138</v>
      </c>
      <c r="D120" t="s">
        <v>44</v>
      </c>
      <c r="E120" s="1" t="s">
        <v>164</v>
      </c>
      <c r="F120" s="1" t="s">
        <v>165</v>
      </c>
      <c r="G120" s="4">
        <v>7.2</v>
      </c>
      <c r="H120" s="4">
        <v>60</v>
      </c>
      <c r="I120" s="11">
        <v>14.7</v>
      </c>
      <c r="K120" s="12">
        <f t="shared" si="5"/>
        <v>1.167317334748176</v>
      </c>
      <c r="L120" s="11">
        <f>GraphSaureus!B$10-(Staphaureus!H120-GraphSaureus!B$6)/GraphSaureus!B$5</f>
        <v>0.55168819070383068</v>
      </c>
      <c r="M120" s="1" t="s">
        <v>1226</v>
      </c>
      <c r="N120">
        <v>1996</v>
      </c>
      <c r="O120" t="s">
        <v>174</v>
      </c>
      <c r="R120" s="10">
        <f>GraphSaureus!$B$39*Staphaureus!H120+GraphSaureus!$B$40</f>
        <v>0.5487594522345498</v>
      </c>
      <c r="S120" s="10"/>
      <c r="T120" s="10">
        <f>GraphSaureus!$H$39*Staphaureus!H120+GraphSaureus!$H$40</f>
        <v>0.64739813132443835</v>
      </c>
    </row>
    <row r="121" spans="1:20" x14ac:dyDescent="0.2">
      <c r="A121" s="1" t="s">
        <v>137</v>
      </c>
      <c r="B121" s="1" t="s">
        <v>138</v>
      </c>
      <c r="C121" t="s">
        <v>142</v>
      </c>
      <c r="D121" t="s">
        <v>44</v>
      </c>
      <c r="E121" s="1" t="s">
        <v>192</v>
      </c>
      <c r="F121" s="19" t="s">
        <v>194</v>
      </c>
      <c r="G121" s="4">
        <v>5</v>
      </c>
      <c r="H121" s="4">
        <v>60</v>
      </c>
      <c r="I121" s="9">
        <v>0.95</v>
      </c>
      <c r="J121" s="7"/>
      <c r="K121" s="12">
        <f t="shared" si="5"/>
        <v>-2.2276394711152253E-2</v>
      </c>
      <c r="L121" s="11">
        <f>GraphSaureus!B$10-(Staphaureus!H121-GraphSaureus!B$6)/GraphSaureus!B$5</f>
        <v>0.55168819070383068</v>
      </c>
      <c r="M121" s="2" t="s">
        <v>153</v>
      </c>
      <c r="N121">
        <v>1975</v>
      </c>
      <c r="R121" s="10">
        <f>GraphSaureus!$B$39*Staphaureus!H121+GraphSaureus!$B$40</f>
        <v>0.5487594522345498</v>
      </c>
      <c r="S121" s="10"/>
      <c r="T121" s="10">
        <f>GraphSaureus!$H$39*Staphaureus!H121+GraphSaureus!$H$40</f>
        <v>0.64739813132443835</v>
      </c>
    </row>
    <row r="122" spans="1:20" x14ac:dyDescent="0.2">
      <c r="A122" s="1" t="s">
        <v>137</v>
      </c>
      <c r="B122" s="1" t="s">
        <v>138</v>
      </c>
      <c r="C122" t="s">
        <v>142</v>
      </c>
      <c r="D122" t="s">
        <v>44</v>
      </c>
      <c r="E122" s="1" t="s">
        <v>192</v>
      </c>
      <c r="F122" s="19" t="s">
        <v>194</v>
      </c>
      <c r="G122" s="4">
        <v>5.5</v>
      </c>
      <c r="H122" s="4">
        <v>60</v>
      </c>
      <c r="I122" s="9">
        <v>1.19</v>
      </c>
      <c r="J122" s="7"/>
      <c r="K122" s="12">
        <f t="shared" si="5"/>
        <v>7.554696139253074E-2</v>
      </c>
      <c r="L122" s="11">
        <f>GraphSaureus!B$10-(Staphaureus!H122-GraphSaureus!B$6)/GraphSaureus!B$5</f>
        <v>0.55168819070383068</v>
      </c>
      <c r="M122" s="2" t="s">
        <v>153</v>
      </c>
      <c r="N122">
        <v>1975</v>
      </c>
      <c r="R122" s="10">
        <f>GraphSaureus!$B$39*Staphaureus!H122+GraphSaureus!$B$40</f>
        <v>0.5487594522345498</v>
      </c>
      <c r="S122" s="10"/>
      <c r="T122" s="10">
        <f>GraphSaureus!$H$39*Staphaureus!H122+GraphSaureus!$H$40</f>
        <v>0.64739813132443835</v>
      </c>
    </row>
    <row r="123" spans="1:20" x14ac:dyDescent="0.2">
      <c r="A123" s="1" t="s">
        <v>137</v>
      </c>
      <c r="B123" s="1" t="s">
        <v>138</v>
      </c>
      <c r="C123" t="s">
        <v>142</v>
      </c>
      <c r="D123" t="s">
        <v>44</v>
      </c>
      <c r="E123" s="1" t="s">
        <v>192</v>
      </c>
      <c r="F123" s="19" t="s">
        <v>194</v>
      </c>
      <c r="G123" s="4">
        <v>6</v>
      </c>
      <c r="H123" s="4">
        <v>60</v>
      </c>
      <c r="I123" s="11">
        <v>2</v>
      </c>
      <c r="K123" s="12">
        <f t="shared" si="5"/>
        <v>0.3010299956639812</v>
      </c>
      <c r="L123" s="11">
        <f>GraphSaureus!B$10-(Staphaureus!H123-GraphSaureus!B$6)/GraphSaureus!B$5</f>
        <v>0.55168819070383068</v>
      </c>
      <c r="M123" s="2" t="s">
        <v>153</v>
      </c>
      <c r="N123">
        <v>1975</v>
      </c>
      <c r="R123" s="10">
        <f>GraphSaureus!$B$39*Staphaureus!H123+GraphSaureus!$B$40</f>
        <v>0.5487594522345498</v>
      </c>
      <c r="S123" s="10"/>
      <c r="T123" s="10">
        <f>GraphSaureus!$H$39*Staphaureus!H123+GraphSaureus!$H$40</f>
        <v>0.64739813132443835</v>
      </c>
    </row>
    <row r="124" spans="1:20" x14ac:dyDescent="0.2">
      <c r="A124" s="1" t="s">
        <v>137</v>
      </c>
      <c r="B124" s="1" t="s">
        <v>138</v>
      </c>
      <c r="C124" t="s">
        <v>142</v>
      </c>
      <c r="D124" t="s">
        <v>44</v>
      </c>
      <c r="E124" s="1" t="s">
        <v>192</v>
      </c>
      <c r="F124" s="19" t="s">
        <v>194</v>
      </c>
      <c r="G124" s="4">
        <v>6.5</v>
      </c>
      <c r="H124" s="4">
        <v>60</v>
      </c>
      <c r="I124" s="11">
        <v>2.67</v>
      </c>
      <c r="K124" s="12">
        <f t="shared" si="5"/>
        <v>0.42651126136457523</v>
      </c>
      <c r="L124" s="11">
        <f>GraphSaureus!B$10-(Staphaureus!H124-GraphSaureus!B$6)/GraphSaureus!B$5</f>
        <v>0.55168819070383068</v>
      </c>
      <c r="M124" s="2" t="s">
        <v>153</v>
      </c>
      <c r="N124">
        <v>1975</v>
      </c>
      <c r="R124" s="10">
        <f>GraphSaureus!$B$39*Staphaureus!H124+GraphSaureus!$B$40</f>
        <v>0.5487594522345498</v>
      </c>
      <c r="S124" s="10"/>
      <c r="T124" s="10">
        <f>GraphSaureus!$H$39*Staphaureus!H124+GraphSaureus!$H$40</f>
        <v>0.64739813132443835</v>
      </c>
    </row>
    <row r="125" spans="1:20" x14ac:dyDescent="0.2">
      <c r="A125" s="1" t="s">
        <v>137</v>
      </c>
      <c r="B125" s="1" t="s">
        <v>138</v>
      </c>
      <c r="C125" t="s">
        <v>142</v>
      </c>
      <c r="D125" t="s">
        <v>44</v>
      </c>
      <c r="E125" s="1" t="s">
        <v>192</v>
      </c>
      <c r="F125" s="19" t="s">
        <v>194</v>
      </c>
      <c r="G125" s="4">
        <v>7</v>
      </c>
      <c r="H125" s="4">
        <v>60</v>
      </c>
      <c r="I125" s="11">
        <v>2.99</v>
      </c>
      <c r="K125" s="12">
        <f t="shared" si="5"/>
        <v>0.47567118832442967</v>
      </c>
      <c r="L125" s="11">
        <f>GraphSaureus!B$10-(Staphaureus!H125-GraphSaureus!B$6)/GraphSaureus!B$5</f>
        <v>0.55168819070383068</v>
      </c>
      <c r="M125" s="2" t="s">
        <v>153</v>
      </c>
      <c r="N125">
        <v>1975</v>
      </c>
      <c r="R125" s="10">
        <f>GraphSaureus!$B$39*Staphaureus!H125+GraphSaureus!$B$40</f>
        <v>0.5487594522345498</v>
      </c>
      <c r="S125" s="10"/>
      <c r="T125" s="10">
        <f>GraphSaureus!$H$39*Staphaureus!H125+GraphSaureus!$H$40</f>
        <v>0.64739813132443835</v>
      </c>
    </row>
    <row r="126" spans="1:20" x14ac:dyDescent="0.2">
      <c r="A126" s="1" t="s">
        <v>137</v>
      </c>
      <c r="B126" s="1" t="s">
        <v>138</v>
      </c>
      <c r="C126" t="s">
        <v>142</v>
      </c>
      <c r="D126" t="s">
        <v>44</v>
      </c>
      <c r="E126" s="1" t="s">
        <v>192</v>
      </c>
      <c r="F126" s="19" t="s">
        <v>195</v>
      </c>
      <c r="G126" s="4">
        <v>5</v>
      </c>
      <c r="H126" s="4">
        <v>60</v>
      </c>
      <c r="I126" s="11">
        <v>1.83</v>
      </c>
      <c r="K126" s="12">
        <f t="shared" si="5"/>
        <v>0.26245108973042947</v>
      </c>
      <c r="L126" s="11">
        <f>GraphSaureus!B$10-(Staphaureus!H126-GraphSaureus!B$6)/GraphSaureus!B$5</f>
        <v>0.55168819070383068</v>
      </c>
      <c r="M126" s="2" t="s">
        <v>153</v>
      </c>
      <c r="N126">
        <v>1975</v>
      </c>
      <c r="R126" s="10">
        <f>GraphSaureus!$B$39*Staphaureus!H126+GraphSaureus!$B$40</f>
        <v>0.5487594522345498</v>
      </c>
      <c r="S126" s="10"/>
      <c r="T126" s="10">
        <f>GraphSaureus!$H$39*Staphaureus!H126+GraphSaureus!$H$40</f>
        <v>0.64739813132443835</v>
      </c>
    </row>
    <row r="127" spans="1:20" x14ac:dyDescent="0.2">
      <c r="A127" s="1" t="s">
        <v>137</v>
      </c>
      <c r="B127" s="1" t="s">
        <v>138</v>
      </c>
      <c r="C127" t="s">
        <v>142</v>
      </c>
      <c r="D127" t="s">
        <v>44</v>
      </c>
      <c r="E127" s="1" t="s">
        <v>192</v>
      </c>
      <c r="F127" s="19" t="s">
        <v>195</v>
      </c>
      <c r="G127" s="4">
        <v>5.5</v>
      </c>
      <c r="H127" s="4">
        <v>60</v>
      </c>
      <c r="I127" s="9">
        <v>1.17</v>
      </c>
      <c r="J127" s="7"/>
      <c r="K127" s="12">
        <f t="shared" si="5"/>
        <v>6.8185861746161619E-2</v>
      </c>
      <c r="L127" s="11">
        <f>GraphSaureus!B$10-(Staphaureus!H127-GraphSaureus!B$6)/GraphSaureus!B$5</f>
        <v>0.55168819070383068</v>
      </c>
      <c r="M127" s="2" t="s">
        <v>153</v>
      </c>
      <c r="N127">
        <v>1975</v>
      </c>
      <c r="R127" s="10">
        <f>GraphSaureus!$B$39*Staphaureus!H127+GraphSaureus!$B$40</f>
        <v>0.5487594522345498</v>
      </c>
      <c r="S127" s="10"/>
      <c r="T127" s="10">
        <f>GraphSaureus!$H$39*Staphaureus!H127+GraphSaureus!$H$40</f>
        <v>0.64739813132443835</v>
      </c>
    </row>
    <row r="128" spans="1:20" x14ac:dyDescent="0.2">
      <c r="A128" s="1" t="s">
        <v>137</v>
      </c>
      <c r="B128" s="1" t="s">
        <v>138</v>
      </c>
      <c r="C128" t="s">
        <v>142</v>
      </c>
      <c r="D128" t="s">
        <v>44</v>
      </c>
      <c r="E128" s="1" t="s">
        <v>192</v>
      </c>
      <c r="F128" s="19" t="s">
        <v>195</v>
      </c>
      <c r="G128" s="4">
        <v>6</v>
      </c>
      <c r="H128" s="4">
        <v>60</v>
      </c>
      <c r="I128" s="11">
        <v>1.6</v>
      </c>
      <c r="K128" s="12">
        <f t="shared" si="5"/>
        <v>0.20411998265592479</v>
      </c>
      <c r="L128" s="11">
        <f>GraphSaureus!B$10-(Staphaureus!H128-GraphSaureus!B$6)/GraphSaureus!B$5</f>
        <v>0.55168819070383068</v>
      </c>
      <c r="M128" s="2" t="s">
        <v>153</v>
      </c>
      <c r="N128">
        <v>1975</v>
      </c>
      <c r="R128" s="10">
        <f>GraphSaureus!$B$39*Staphaureus!H128+GraphSaureus!$B$40</f>
        <v>0.5487594522345498</v>
      </c>
      <c r="S128" s="10"/>
      <c r="T128" s="10">
        <f>GraphSaureus!$H$39*Staphaureus!H128+GraphSaureus!$H$40</f>
        <v>0.64739813132443835</v>
      </c>
    </row>
    <row r="129" spans="1:20" x14ac:dyDescent="0.2">
      <c r="A129" s="1" t="s">
        <v>137</v>
      </c>
      <c r="B129" s="1" t="s">
        <v>138</v>
      </c>
      <c r="C129" t="s">
        <v>142</v>
      </c>
      <c r="D129" t="s">
        <v>44</v>
      </c>
      <c r="E129" s="1" t="s">
        <v>192</v>
      </c>
      <c r="F129" s="19" t="s">
        <v>195</v>
      </c>
      <c r="G129" s="4">
        <v>6.5</v>
      </c>
      <c r="H129" s="4">
        <v>60</v>
      </c>
      <c r="I129" s="11">
        <v>1.85</v>
      </c>
      <c r="K129" s="12">
        <f t="shared" si="5"/>
        <v>0.26717172840301384</v>
      </c>
      <c r="L129" s="11">
        <f>GraphSaureus!B$10-(Staphaureus!H129-GraphSaureus!B$6)/GraphSaureus!B$5</f>
        <v>0.55168819070383068</v>
      </c>
      <c r="M129" s="2" t="s">
        <v>153</v>
      </c>
      <c r="N129">
        <v>1975</v>
      </c>
      <c r="R129" s="10">
        <f>GraphSaureus!$B$39*Staphaureus!H129+GraphSaureus!$B$40</f>
        <v>0.5487594522345498</v>
      </c>
      <c r="S129" s="10"/>
      <c r="T129" s="10">
        <f>GraphSaureus!$H$39*Staphaureus!H129+GraphSaureus!$H$40</f>
        <v>0.64739813132443835</v>
      </c>
    </row>
    <row r="130" spans="1:20" x14ac:dyDescent="0.2">
      <c r="A130" s="1" t="s">
        <v>137</v>
      </c>
      <c r="B130" s="1" t="s">
        <v>138</v>
      </c>
      <c r="C130" t="s">
        <v>142</v>
      </c>
      <c r="D130" t="s">
        <v>44</v>
      </c>
      <c r="E130" s="1" t="s">
        <v>192</v>
      </c>
      <c r="F130" s="19" t="s">
        <v>195</v>
      </c>
      <c r="G130" s="4">
        <v>7</v>
      </c>
      <c r="H130" s="4">
        <v>60</v>
      </c>
      <c r="I130" s="11">
        <v>4.4400000000000004</v>
      </c>
      <c r="K130" s="12">
        <f t="shared" si="5"/>
        <v>0.64738297011461987</v>
      </c>
      <c r="L130" s="11">
        <f>GraphSaureus!B$10-(Staphaureus!H130-GraphSaureus!B$6)/GraphSaureus!B$5</f>
        <v>0.55168819070383068</v>
      </c>
      <c r="M130" s="2" t="s">
        <v>153</v>
      </c>
      <c r="N130">
        <v>1975</v>
      </c>
      <c r="R130" s="10">
        <f>GraphSaureus!$B$39*Staphaureus!H130+GraphSaureus!$B$40</f>
        <v>0.5487594522345498</v>
      </c>
      <c r="S130" s="10"/>
      <c r="T130" s="10">
        <f>GraphSaureus!$H$39*Staphaureus!H130+GraphSaureus!$H$40</f>
        <v>0.64739813132443835</v>
      </c>
    </row>
    <row r="131" spans="1:20" x14ac:dyDescent="0.2">
      <c r="A131" s="1" t="s">
        <v>137</v>
      </c>
      <c r="B131" s="1" t="s">
        <v>138</v>
      </c>
      <c r="C131" t="s">
        <v>142</v>
      </c>
      <c r="D131" t="s">
        <v>44</v>
      </c>
      <c r="E131" s="1" t="s">
        <v>192</v>
      </c>
      <c r="F131" s="19" t="s">
        <v>196</v>
      </c>
      <c r="G131" s="4">
        <v>5</v>
      </c>
      <c r="H131" s="4">
        <v>60</v>
      </c>
      <c r="I131" s="11">
        <v>0.93</v>
      </c>
      <c r="K131" s="12">
        <f t="shared" si="5"/>
        <v>-3.1517051446064863E-2</v>
      </c>
      <c r="L131" s="11">
        <f>GraphSaureus!B$10-(Staphaureus!H131-GraphSaureus!B$6)/GraphSaureus!B$5</f>
        <v>0.55168819070383068</v>
      </c>
      <c r="M131" s="2" t="s">
        <v>153</v>
      </c>
      <c r="N131">
        <v>1975</v>
      </c>
      <c r="R131" s="10">
        <f>GraphSaureus!$B$39*Staphaureus!H131+GraphSaureus!$B$40</f>
        <v>0.5487594522345498</v>
      </c>
      <c r="S131" s="10"/>
      <c r="T131" s="10">
        <f>GraphSaureus!$H$39*Staphaureus!H131+GraphSaureus!$H$40</f>
        <v>0.64739813132443835</v>
      </c>
    </row>
    <row r="132" spans="1:20" x14ac:dyDescent="0.2">
      <c r="A132" s="1" t="s">
        <v>137</v>
      </c>
      <c r="B132" s="1" t="s">
        <v>138</v>
      </c>
      <c r="C132" t="s">
        <v>142</v>
      </c>
      <c r="D132" t="s">
        <v>44</v>
      </c>
      <c r="E132" s="1" t="s">
        <v>192</v>
      </c>
      <c r="F132" s="19" t="s">
        <v>196</v>
      </c>
      <c r="G132" s="4">
        <v>5.5</v>
      </c>
      <c r="H132" s="4">
        <v>60</v>
      </c>
      <c r="I132" s="9">
        <v>1.06</v>
      </c>
      <c r="J132" s="5"/>
      <c r="K132" s="12">
        <f t="shared" si="5"/>
        <v>2.5305865264770262E-2</v>
      </c>
      <c r="L132" s="11">
        <f>GraphSaureus!B$10-(Staphaureus!H132-GraphSaureus!B$6)/GraphSaureus!B$5</f>
        <v>0.55168819070383068</v>
      </c>
      <c r="M132" s="2" t="s">
        <v>153</v>
      </c>
      <c r="N132">
        <v>1975</v>
      </c>
      <c r="R132" s="10">
        <f>GraphSaureus!$B$39*Staphaureus!H132+GraphSaureus!$B$40</f>
        <v>0.5487594522345498</v>
      </c>
      <c r="S132" s="10"/>
      <c r="T132" s="10">
        <f>GraphSaureus!$H$39*Staphaureus!H132+GraphSaureus!$H$40</f>
        <v>0.64739813132443835</v>
      </c>
    </row>
    <row r="133" spans="1:20" x14ac:dyDescent="0.2">
      <c r="A133" s="1" t="s">
        <v>137</v>
      </c>
      <c r="B133" s="1" t="s">
        <v>138</v>
      </c>
      <c r="C133" t="s">
        <v>142</v>
      </c>
      <c r="D133" t="s">
        <v>44</v>
      </c>
      <c r="E133" s="1" t="s">
        <v>192</v>
      </c>
      <c r="F133" s="19" t="s">
        <v>196</v>
      </c>
      <c r="G133" s="4">
        <v>6</v>
      </c>
      <c r="H133" s="4">
        <v>60</v>
      </c>
      <c r="I133" s="11">
        <v>1.8</v>
      </c>
      <c r="K133" s="12">
        <f t="shared" si="5"/>
        <v>0.25527250510330607</v>
      </c>
      <c r="L133" s="11">
        <f>GraphSaureus!B$10-(Staphaureus!H133-GraphSaureus!B$6)/GraphSaureus!B$5</f>
        <v>0.55168819070383068</v>
      </c>
      <c r="M133" s="2" t="s">
        <v>153</v>
      </c>
      <c r="N133">
        <v>1975</v>
      </c>
      <c r="O133" t="s">
        <v>450</v>
      </c>
      <c r="R133" s="10">
        <f>GraphSaureus!$B$39*Staphaureus!H133+GraphSaureus!$B$40</f>
        <v>0.5487594522345498</v>
      </c>
      <c r="S133" s="10"/>
      <c r="T133" s="10">
        <f>GraphSaureus!$H$39*Staphaureus!H133+GraphSaureus!$H$40</f>
        <v>0.64739813132443835</v>
      </c>
    </row>
    <row r="134" spans="1:20" x14ac:dyDescent="0.2">
      <c r="A134" s="1" t="s">
        <v>137</v>
      </c>
      <c r="B134" s="1" t="s">
        <v>138</v>
      </c>
      <c r="C134" t="s">
        <v>142</v>
      </c>
      <c r="D134" t="s">
        <v>44</v>
      </c>
      <c r="E134" s="1" t="s">
        <v>192</v>
      </c>
      <c r="F134" s="19" t="s">
        <v>196</v>
      </c>
      <c r="G134" s="4">
        <v>6.5</v>
      </c>
      <c r="H134" s="4">
        <v>60</v>
      </c>
      <c r="I134" s="11">
        <v>2.65</v>
      </c>
      <c r="K134" s="12">
        <f t="shared" si="5"/>
        <v>0.42324587393680785</v>
      </c>
      <c r="L134" s="11">
        <f>GraphSaureus!B$10-(Staphaureus!H134-GraphSaureus!B$6)/GraphSaureus!B$5</f>
        <v>0.55168819070383068</v>
      </c>
      <c r="M134" s="2" t="s">
        <v>153</v>
      </c>
      <c r="N134">
        <v>1975</v>
      </c>
      <c r="R134" s="10">
        <f>GraphSaureus!$B$39*Staphaureus!H134+GraphSaureus!$B$40</f>
        <v>0.5487594522345498</v>
      </c>
      <c r="S134" s="10"/>
      <c r="T134" s="10">
        <f>GraphSaureus!$H$39*Staphaureus!H134+GraphSaureus!$H$40</f>
        <v>0.64739813132443835</v>
      </c>
    </row>
    <row r="135" spans="1:20" x14ac:dyDescent="0.2">
      <c r="A135" s="1" t="s">
        <v>137</v>
      </c>
      <c r="B135" s="1" t="s">
        <v>138</v>
      </c>
      <c r="C135" t="s">
        <v>142</v>
      </c>
      <c r="D135" t="s">
        <v>44</v>
      </c>
      <c r="E135" s="1" t="s">
        <v>192</v>
      </c>
      <c r="F135" s="19" t="s">
        <v>196</v>
      </c>
      <c r="G135" s="4">
        <v>7</v>
      </c>
      <c r="H135" s="4">
        <v>60</v>
      </c>
      <c r="I135" s="11">
        <v>7.63</v>
      </c>
      <c r="K135" s="12">
        <f t="shared" ref="K135:K154" si="6">LOG(I135)</f>
        <v>0.88252453795488051</v>
      </c>
      <c r="L135" s="11">
        <f>GraphSaureus!B$10-(Staphaureus!H135-GraphSaureus!B$6)/GraphSaureus!B$5</f>
        <v>0.55168819070383068</v>
      </c>
      <c r="M135" s="2" t="s">
        <v>153</v>
      </c>
      <c r="N135">
        <v>1975</v>
      </c>
      <c r="R135" s="10">
        <f>GraphSaureus!$B$39*Staphaureus!H135+GraphSaureus!$B$40</f>
        <v>0.5487594522345498</v>
      </c>
      <c r="S135" s="10"/>
      <c r="T135" s="10">
        <f>GraphSaureus!$H$39*Staphaureus!H135+GraphSaureus!$H$40</f>
        <v>0.64739813132443835</v>
      </c>
    </row>
    <row r="136" spans="1:20" x14ac:dyDescent="0.2">
      <c r="A136" s="1" t="s">
        <v>137</v>
      </c>
      <c r="B136" s="1" t="s">
        <v>138</v>
      </c>
      <c r="C136" t="s">
        <v>142</v>
      </c>
      <c r="D136" t="s">
        <v>44</v>
      </c>
      <c r="E136" s="1" t="s">
        <v>192</v>
      </c>
      <c r="F136" s="19" t="s">
        <v>198</v>
      </c>
      <c r="G136" s="4">
        <v>5</v>
      </c>
      <c r="H136" s="4">
        <v>60</v>
      </c>
      <c r="I136" s="11">
        <v>1.18</v>
      </c>
      <c r="K136" s="12">
        <f t="shared" si="6"/>
        <v>7.1882007306125359E-2</v>
      </c>
      <c r="L136" s="11">
        <f>GraphSaureus!B$10-(Staphaureus!H136-GraphSaureus!B$6)/GraphSaureus!B$5</f>
        <v>0.55168819070383068</v>
      </c>
      <c r="M136" s="2" t="s">
        <v>153</v>
      </c>
      <c r="N136">
        <v>1975</v>
      </c>
      <c r="R136" s="10">
        <f>GraphSaureus!$B$39*Staphaureus!H136+GraphSaureus!$B$40</f>
        <v>0.5487594522345498</v>
      </c>
      <c r="S136" s="10"/>
      <c r="T136" s="10">
        <f>GraphSaureus!$H$39*Staphaureus!H136+GraphSaureus!$H$40</f>
        <v>0.64739813132443835</v>
      </c>
    </row>
    <row r="137" spans="1:20" x14ac:dyDescent="0.2">
      <c r="A137" s="1" t="s">
        <v>137</v>
      </c>
      <c r="B137" s="1" t="s">
        <v>138</v>
      </c>
      <c r="C137" t="s">
        <v>142</v>
      </c>
      <c r="D137" t="s">
        <v>44</v>
      </c>
      <c r="E137" s="1" t="s">
        <v>192</v>
      </c>
      <c r="F137" s="19" t="s">
        <v>198</v>
      </c>
      <c r="G137" s="4">
        <v>5.5</v>
      </c>
      <c r="H137" s="4">
        <v>60</v>
      </c>
      <c r="I137" s="11">
        <v>1.19</v>
      </c>
      <c r="K137" s="12">
        <f t="shared" si="6"/>
        <v>7.554696139253074E-2</v>
      </c>
      <c r="L137" s="11">
        <f>GraphSaureus!B$10-(Staphaureus!H137-GraphSaureus!B$6)/GraphSaureus!B$5</f>
        <v>0.55168819070383068</v>
      </c>
      <c r="M137" s="2" t="s">
        <v>153</v>
      </c>
      <c r="N137">
        <v>1975</v>
      </c>
      <c r="R137" s="10">
        <f>GraphSaureus!$B$39*Staphaureus!H137+GraphSaureus!$B$40</f>
        <v>0.5487594522345498</v>
      </c>
      <c r="S137" s="10"/>
      <c r="T137" s="10">
        <f>GraphSaureus!$H$39*Staphaureus!H137+GraphSaureus!$H$40</f>
        <v>0.64739813132443835</v>
      </c>
    </row>
    <row r="138" spans="1:20" x14ac:dyDescent="0.2">
      <c r="A138" s="1" t="s">
        <v>137</v>
      </c>
      <c r="B138" s="1" t="s">
        <v>138</v>
      </c>
      <c r="C138" t="s">
        <v>142</v>
      </c>
      <c r="D138" t="s">
        <v>44</v>
      </c>
      <c r="E138" s="1" t="s">
        <v>192</v>
      </c>
      <c r="F138" s="19" t="s">
        <v>198</v>
      </c>
      <c r="G138" s="4">
        <v>6</v>
      </c>
      <c r="H138" s="4">
        <v>60</v>
      </c>
      <c r="I138" s="11">
        <v>4.57</v>
      </c>
      <c r="K138" s="12">
        <f t="shared" si="6"/>
        <v>0.6599162000698503</v>
      </c>
      <c r="L138" s="11">
        <f>GraphSaureus!B$10-(Staphaureus!H138-GraphSaureus!B$6)/GraphSaureus!B$5</f>
        <v>0.55168819070383068</v>
      </c>
      <c r="M138" s="2" t="s">
        <v>153</v>
      </c>
      <c r="N138">
        <v>1975</v>
      </c>
      <c r="R138" s="10">
        <f>GraphSaureus!$B$39*Staphaureus!H138+GraphSaureus!$B$40</f>
        <v>0.5487594522345498</v>
      </c>
      <c r="S138" s="10"/>
      <c r="T138" s="10">
        <f>GraphSaureus!$H$39*Staphaureus!H138+GraphSaureus!$H$40</f>
        <v>0.64739813132443835</v>
      </c>
    </row>
    <row r="139" spans="1:20" x14ac:dyDescent="0.2">
      <c r="A139" s="1" t="s">
        <v>137</v>
      </c>
      <c r="B139" s="1" t="s">
        <v>138</v>
      </c>
      <c r="C139" t="s">
        <v>142</v>
      </c>
      <c r="D139" t="s">
        <v>44</v>
      </c>
      <c r="E139" s="1" t="s">
        <v>192</v>
      </c>
      <c r="F139" s="19" t="s">
        <v>198</v>
      </c>
      <c r="G139" s="4">
        <v>6.5</v>
      </c>
      <c r="H139" s="4">
        <v>60</v>
      </c>
      <c r="I139" s="11">
        <v>5.22</v>
      </c>
      <c r="K139" s="12">
        <f t="shared" si="6"/>
        <v>0.71767050300226209</v>
      </c>
      <c r="L139" s="11">
        <f>GraphSaureus!B$10-(Staphaureus!H139-GraphSaureus!B$6)/GraphSaureus!B$5</f>
        <v>0.55168819070383068</v>
      </c>
      <c r="M139" s="2" t="s">
        <v>153</v>
      </c>
      <c r="N139">
        <v>1975</v>
      </c>
      <c r="R139" s="10">
        <f>GraphSaureus!$B$39*Staphaureus!H139+GraphSaureus!$B$40</f>
        <v>0.5487594522345498</v>
      </c>
      <c r="S139" s="10"/>
      <c r="T139" s="10">
        <f>GraphSaureus!$H$39*Staphaureus!H139+GraphSaureus!$H$40</f>
        <v>0.64739813132443835</v>
      </c>
    </row>
    <row r="140" spans="1:20" x14ac:dyDescent="0.2">
      <c r="A140" s="1" t="s">
        <v>137</v>
      </c>
      <c r="B140" s="1" t="s">
        <v>138</v>
      </c>
      <c r="C140" t="s">
        <v>142</v>
      </c>
      <c r="D140" t="s">
        <v>44</v>
      </c>
      <c r="E140" s="1" t="s">
        <v>192</v>
      </c>
      <c r="F140" s="19" t="s">
        <v>198</v>
      </c>
      <c r="G140" s="4">
        <v>7</v>
      </c>
      <c r="H140" s="4">
        <v>60</v>
      </c>
      <c r="I140" s="9">
        <v>6.33</v>
      </c>
      <c r="J140" s="7"/>
      <c r="K140" s="12">
        <f t="shared" si="6"/>
        <v>0.80140371001735511</v>
      </c>
      <c r="L140" s="11">
        <f>GraphSaureus!B$10-(Staphaureus!H140-GraphSaureus!B$6)/GraphSaureus!B$5</f>
        <v>0.55168819070383068</v>
      </c>
      <c r="M140" s="2" t="s">
        <v>153</v>
      </c>
      <c r="N140">
        <v>1975</v>
      </c>
      <c r="R140" s="10">
        <f>GraphSaureus!$B$39*Staphaureus!H140+GraphSaureus!$B$40</f>
        <v>0.5487594522345498</v>
      </c>
      <c r="S140" s="10"/>
      <c r="T140" s="10">
        <f>GraphSaureus!$H$39*Staphaureus!H140+GraphSaureus!$H$40</f>
        <v>0.64739813132443835</v>
      </c>
    </row>
    <row r="141" spans="1:20" x14ac:dyDescent="0.2">
      <c r="A141" s="1" t="s">
        <v>137</v>
      </c>
      <c r="B141" s="1" t="s">
        <v>138</v>
      </c>
      <c r="C141" t="s">
        <v>142</v>
      </c>
      <c r="D141" t="s">
        <v>44</v>
      </c>
      <c r="E141" s="1" t="s">
        <v>192</v>
      </c>
      <c r="F141" s="19" t="s">
        <v>199</v>
      </c>
      <c r="G141" s="4">
        <v>5</v>
      </c>
      <c r="H141" s="4">
        <v>60</v>
      </c>
      <c r="I141" s="11">
        <v>1.36</v>
      </c>
      <c r="K141" s="12">
        <f t="shared" si="6"/>
        <v>0.13353890837021754</v>
      </c>
      <c r="L141" s="11">
        <f>GraphSaureus!B$10-(Staphaureus!H141-GraphSaureus!B$6)/GraphSaureus!B$5</f>
        <v>0.55168819070383068</v>
      </c>
      <c r="M141" s="2" t="s">
        <v>153</v>
      </c>
      <c r="N141">
        <v>1975</v>
      </c>
      <c r="R141" s="10">
        <f>GraphSaureus!$B$39*Staphaureus!H141+GraphSaureus!$B$40</f>
        <v>0.5487594522345498</v>
      </c>
      <c r="S141" s="10"/>
      <c r="T141" s="10">
        <f>GraphSaureus!$H$39*Staphaureus!H141+GraphSaureus!$H$40</f>
        <v>0.64739813132443835</v>
      </c>
    </row>
    <row r="142" spans="1:20" x14ac:dyDescent="0.2">
      <c r="A142" s="1" t="s">
        <v>137</v>
      </c>
      <c r="B142" s="1" t="s">
        <v>138</v>
      </c>
      <c r="C142" t="s">
        <v>142</v>
      </c>
      <c r="D142" t="s">
        <v>44</v>
      </c>
      <c r="E142" s="1" t="s">
        <v>192</v>
      </c>
      <c r="F142" s="19" t="s">
        <v>199</v>
      </c>
      <c r="G142" s="4">
        <v>5.5</v>
      </c>
      <c r="H142" s="4">
        <v>60</v>
      </c>
      <c r="I142" s="11">
        <v>1.4</v>
      </c>
      <c r="K142" s="12">
        <f t="shared" si="6"/>
        <v>0.14612803567823801</v>
      </c>
      <c r="L142" s="11">
        <f>GraphSaureus!B$10-(Staphaureus!H142-GraphSaureus!B$6)/GraphSaureus!B$5</f>
        <v>0.55168819070383068</v>
      </c>
      <c r="M142" s="2" t="s">
        <v>153</v>
      </c>
      <c r="N142">
        <v>1975</v>
      </c>
      <c r="R142" s="10">
        <f>GraphSaureus!$B$39*Staphaureus!H142+GraphSaureus!$B$40</f>
        <v>0.5487594522345498</v>
      </c>
      <c r="S142" s="10"/>
      <c r="T142" s="10">
        <f>GraphSaureus!$H$39*Staphaureus!H142+GraphSaureus!$H$40</f>
        <v>0.64739813132443835</v>
      </c>
    </row>
    <row r="143" spans="1:20" x14ac:dyDescent="0.2">
      <c r="A143" s="1" t="s">
        <v>137</v>
      </c>
      <c r="B143" s="1" t="s">
        <v>138</v>
      </c>
      <c r="C143" t="s">
        <v>142</v>
      </c>
      <c r="D143" t="s">
        <v>44</v>
      </c>
      <c r="E143" s="1" t="s">
        <v>192</v>
      </c>
      <c r="F143" s="19" t="s">
        <v>199</v>
      </c>
      <c r="G143" s="4">
        <v>6</v>
      </c>
      <c r="H143" s="4">
        <v>60</v>
      </c>
      <c r="I143" s="11">
        <v>6.71</v>
      </c>
      <c r="K143" s="12">
        <f t="shared" si="6"/>
        <v>0.82672252016899206</v>
      </c>
      <c r="L143" s="11">
        <f>GraphSaureus!B$10-(Staphaureus!H143-GraphSaureus!B$6)/GraphSaureus!B$5</f>
        <v>0.55168819070383068</v>
      </c>
      <c r="M143" s="2" t="s">
        <v>153</v>
      </c>
      <c r="N143">
        <v>1975</v>
      </c>
      <c r="R143" s="10">
        <f>GraphSaureus!$B$39*Staphaureus!H143+GraphSaureus!$B$40</f>
        <v>0.5487594522345498</v>
      </c>
      <c r="S143" s="10"/>
      <c r="T143" s="10">
        <f>GraphSaureus!$H$39*Staphaureus!H143+GraphSaureus!$H$40</f>
        <v>0.64739813132443835</v>
      </c>
    </row>
    <row r="144" spans="1:20" x14ac:dyDescent="0.2">
      <c r="A144" s="1" t="s">
        <v>137</v>
      </c>
      <c r="B144" s="1" t="s">
        <v>138</v>
      </c>
      <c r="C144" t="s">
        <v>142</v>
      </c>
      <c r="D144" t="s">
        <v>44</v>
      </c>
      <c r="E144" s="1" t="s">
        <v>192</v>
      </c>
      <c r="F144" s="19" t="s">
        <v>199</v>
      </c>
      <c r="G144" s="4">
        <v>6.5</v>
      </c>
      <c r="H144" s="4">
        <v>60</v>
      </c>
      <c r="I144" s="11">
        <v>7.63</v>
      </c>
      <c r="K144" s="12">
        <f t="shared" si="6"/>
        <v>0.88252453795488051</v>
      </c>
      <c r="L144" s="11">
        <f>GraphSaureus!B$10-(Staphaureus!H144-GraphSaureus!B$6)/GraphSaureus!B$5</f>
        <v>0.55168819070383068</v>
      </c>
      <c r="M144" s="2" t="s">
        <v>153</v>
      </c>
      <c r="N144">
        <v>1975</v>
      </c>
      <c r="R144" s="10">
        <f>GraphSaureus!$B$39*Staphaureus!H144+GraphSaureus!$B$40</f>
        <v>0.5487594522345498</v>
      </c>
      <c r="S144" s="10"/>
      <c r="T144" s="10">
        <f>GraphSaureus!$H$39*Staphaureus!H144+GraphSaureus!$H$40</f>
        <v>0.64739813132443835</v>
      </c>
    </row>
    <row r="145" spans="1:20" x14ac:dyDescent="0.2">
      <c r="A145" s="1" t="s">
        <v>137</v>
      </c>
      <c r="B145" s="1" t="s">
        <v>138</v>
      </c>
      <c r="C145" t="s">
        <v>142</v>
      </c>
      <c r="D145" t="s">
        <v>44</v>
      </c>
      <c r="E145" s="1" t="s">
        <v>192</v>
      </c>
      <c r="F145" s="19" t="s">
        <v>199</v>
      </c>
      <c r="G145" s="4">
        <v>7</v>
      </c>
      <c r="H145" s="4">
        <v>60</v>
      </c>
      <c r="I145" s="11">
        <v>8.33</v>
      </c>
      <c r="K145" s="12">
        <f t="shared" si="6"/>
        <v>0.92064500140678762</v>
      </c>
      <c r="L145" s="11">
        <f>GraphSaureus!B$10-(Staphaureus!H145-GraphSaureus!B$6)/GraphSaureus!B$5</f>
        <v>0.55168819070383068</v>
      </c>
      <c r="M145" s="2" t="s">
        <v>153</v>
      </c>
      <c r="N145">
        <v>1975</v>
      </c>
      <c r="R145" s="10">
        <f>GraphSaureus!$B$39*Staphaureus!H145+GraphSaureus!$B$40</f>
        <v>0.5487594522345498</v>
      </c>
      <c r="S145" s="10"/>
      <c r="T145" s="10">
        <f>GraphSaureus!$H$39*Staphaureus!H145+GraphSaureus!$H$40</f>
        <v>0.64739813132443835</v>
      </c>
    </row>
    <row r="146" spans="1:20" x14ac:dyDescent="0.2">
      <c r="A146" s="1" t="s">
        <v>137</v>
      </c>
      <c r="B146" s="1" t="s">
        <v>138</v>
      </c>
      <c r="C146" t="s">
        <v>142</v>
      </c>
      <c r="D146" t="s">
        <v>44</v>
      </c>
      <c r="E146" s="1" t="s">
        <v>192</v>
      </c>
      <c r="F146" s="19" t="s">
        <v>200</v>
      </c>
      <c r="G146" s="4">
        <v>5</v>
      </c>
      <c r="H146" s="4">
        <v>60</v>
      </c>
      <c r="I146" s="9">
        <v>0.95</v>
      </c>
      <c r="J146" s="5"/>
      <c r="K146" s="12">
        <f t="shared" si="6"/>
        <v>-2.2276394711152253E-2</v>
      </c>
      <c r="L146" s="11">
        <f>GraphSaureus!B$10-(Staphaureus!H146-GraphSaureus!B$6)/GraphSaureus!B$5</f>
        <v>0.55168819070383068</v>
      </c>
      <c r="M146" s="2" t="s">
        <v>153</v>
      </c>
      <c r="N146">
        <v>1975</v>
      </c>
      <c r="R146" s="10">
        <f>GraphSaureus!$B$39*Staphaureus!H146+GraphSaureus!$B$40</f>
        <v>0.5487594522345498</v>
      </c>
      <c r="S146" s="10"/>
      <c r="T146" s="10">
        <f>GraphSaureus!$H$39*Staphaureus!H146+GraphSaureus!$H$40</f>
        <v>0.64739813132443835</v>
      </c>
    </row>
    <row r="147" spans="1:20" x14ac:dyDescent="0.2">
      <c r="A147" s="1" t="s">
        <v>137</v>
      </c>
      <c r="B147" s="1" t="s">
        <v>138</v>
      </c>
      <c r="C147" t="s">
        <v>142</v>
      </c>
      <c r="D147" t="s">
        <v>44</v>
      </c>
      <c r="E147" s="1" t="s">
        <v>192</v>
      </c>
      <c r="F147" s="19" t="s">
        <v>200</v>
      </c>
      <c r="G147" s="4">
        <v>5.5</v>
      </c>
      <c r="H147" s="4">
        <v>60</v>
      </c>
      <c r="I147" s="11">
        <v>1.6</v>
      </c>
      <c r="K147" s="12">
        <f t="shared" si="6"/>
        <v>0.20411998265592479</v>
      </c>
      <c r="L147" s="11">
        <f>GraphSaureus!B$10-(Staphaureus!H147-GraphSaureus!B$6)/GraphSaureus!B$5</f>
        <v>0.55168819070383068</v>
      </c>
      <c r="M147" s="2" t="s">
        <v>153</v>
      </c>
      <c r="N147">
        <v>1975</v>
      </c>
      <c r="R147" s="10">
        <f>GraphSaureus!$B$39*Staphaureus!H147+GraphSaureus!$B$40</f>
        <v>0.5487594522345498</v>
      </c>
      <c r="S147" s="10"/>
      <c r="T147" s="10">
        <f>GraphSaureus!$H$39*Staphaureus!H147+GraphSaureus!$H$40</f>
        <v>0.64739813132443835</v>
      </c>
    </row>
    <row r="148" spans="1:20" x14ac:dyDescent="0.2">
      <c r="A148" s="1" t="s">
        <v>137</v>
      </c>
      <c r="B148" s="1" t="s">
        <v>138</v>
      </c>
      <c r="C148" t="s">
        <v>142</v>
      </c>
      <c r="D148" t="s">
        <v>44</v>
      </c>
      <c r="E148" s="1" t="s">
        <v>192</v>
      </c>
      <c r="F148" s="19" t="s">
        <v>200</v>
      </c>
      <c r="G148" s="4">
        <v>6</v>
      </c>
      <c r="H148" s="4">
        <v>60</v>
      </c>
      <c r="I148" s="11">
        <v>6.06</v>
      </c>
      <c r="K148" s="12">
        <f t="shared" si="6"/>
        <v>0.78247262416628616</v>
      </c>
      <c r="L148" s="11">
        <f>GraphSaureus!B$10-(Staphaureus!H148-GraphSaureus!B$6)/GraphSaureus!B$5</f>
        <v>0.55168819070383068</v>
      </c>
      <c r="M148" s="2" t="s">
        <v>153</v>
      </c>
      <c r="N148">
        <v>1975</v>
      </c>
      <c r="R148" s="10">
        <f>GraphSaureus!$B$39*Staphaureus!H148+GraphSaureus!$B$40</f>
        <v>0.5487594522345498</v>
      </c>
      <c r="S148" s="10"/>
      <c r="T148" s="10">
        <f>GraphSaureus!$H$39*Staphaureus!H148+GraphSaureus!$H$40</f>
        <v>0.64739813132443835</v>
      </c>
    </row>
    <row r="149" spans="1:20" x14ac:dyDescent="0.2">
      <c r="A149" s="1" t="s">
        <v>137</v>
      </c>
      <c r="B149" s="1" t="s">
        <v>138</v>
      </c>
      <c r="C149" t="s">
        <v>142</v>
      </c>
      <c r="D149" t="s">
        <v>44</v>
      </c>
      <c r="E149" s="1" t="s">
        <v>192</v>
      </c>
      <c r="F149" s="19" t="s">
        <v>200</v>
      </c>
      <c r="G149" s="4">
        <v>6.5</v>
      </c>
      <c r="H149" s="4">
        <v>60</v>
      </c>
      <c r="I149" s="11">
        <v>8.6199999999999992</v>
      </c>
      <c r="K149" s="12">
        <f t="shared" si="6"/>
        <v>0.93550726582471277</v>
      </c>
      <c r="L149" s="11">
        <f>GraphSaureus!B$10-(Staphaureus!H149-GraphSaureus!B$6)/GraphSaureus!B$5</f>
        <v>0.55168819070383068</v>
      </c>
      <c r="M149" s="2" t="s">
        <v>153</v>
      </c>
      <c r="N149">
        <v>1975</v>
      </c>
      <c r="R149" s="10">
        <f>GraphSaureus!$B$39*Staphaureus!H149+GraphSaureus!$B$40</f>
        <v>0.5487594522345498</v>
      </c>
      <c r="S149" s="10"/>
      <c r="T149" s="10">
        <f>GraphSaureus!$H$39*Staphaureus!H149+GraphSaureus!$H$40</f>
        <v>0.64739813132443835</v>
      </c>
    </row>
    <row r="150" spans="1:20" x14ac:dyDescent="0.2">
      <c r="A150" s="1" t="s">
        <v>137</v>
      </c>
      <c r="B150" s="1" t="s">
        <v>138</v>
      </c>
      <c r="C150" t="s">
        <v>142</v>
      </c>
      <c r="D150" t="s">
        <v>44</v>
      </c>
      <c r="E150" s="1" t="s">
        <v>192</v>
      </c>
      <c r="F150" s="19" t="s">
        <v>200</v>
      </c>
      <c r="G150" s="4">
        <v>7</v>
      </c>
      <c r="H150" s="4">
        <v>60</v>
      </c>
      <c r="I150" s="11">
        <v>11.49</v>
      </c>
      <c r="K150" s="12">
        <f t="shared" si="6"/>
        <v>1.0603200286882852</v>
      </c>
      <c r="L150" s="11">
        <f>GraphSaureus!B$10-(Staphaureus!H150-GraphSaureus!B$6)/GraphSaureus!B$5</f>
        <v>0.55168819070383068</v>
      </c>
      <c r="M150" s="2" t="s">
        <v>153</v>
      </c>
      <c r="N150">
        <v>1975</v>
      </c>
      <c r="R150" s="10">
        <f>GraphSaureus!$B$39*Staphaureus!H150+GraphSaureus!$B$40</f>
        <v>0.5487594522345498</v>
      </c>
      <c r="S150" s="10"/>
      <c r="T150" s="10">
        <f>GraphSaureus!$H$39*Staphaureus!H150+GraphSaureus!$H$40</f>
        <v>0.64739813132443835</v>
      </c>
    </row>
    <row r="151" spans="1:20" x14ac:dyDescent="0.2">
      <c r="A151" s="1" t="s">
        <v>137</v>
      </c>
      <c r="B151" s="1" t="s">
        <v>138</v>
      </c>
      <c r="C151" t="s">
        <v>142</v>
      </c>
      <c r="D151" t="s">
        <v>44</v>
      </c>
      <c r="E151" s="1" t="s">
        <v>192</v>
      </c>
      <c r="F151" s="19" t="s">
        <v>193</v>
      </c>
      <c r="G151" s="4">
        <v>5</v>
      </c>
      <c r="H151" s="4">
        <v>60</v>
      </c>
      <c r="I151" s="11">
        <v>1.2</v>
      </c>
      <c r="K151" s="12">
        <f t="shared" si="6"/>
        <v>7.9181246047624818E-2</v>
      </c>
      <c r="L151" s="11">
        <f>GraphSaureus!B$10-(Staphaureus!H151-GraphSaureus!B$6)/GraphSaureus!B$5</f>
        <v>0.55168819070383068</v>
      </c>
      <c r="M151" s="2" t="s">
        <v>153</v>
      </c>
      <c r="N151">
        <v>1975</v>
      </c>
      <c r="R151" s="10">
        <f>GraphSaureus!$B$39*Staphaureus!H151+GraphSaureus!$B$40</f>
        <v>0.5487594522345498</v>
      </c>
      <c r="S151" s="10"/>
      <c r="T151" s="10">
        <f>GraphSaureus!$H$39*Staphaureus!H151+GraphSaureus!$H$40</f>
        <v>0.64739813132443835</v>
      </c>
    </row>
    <row r="152" spans="1:20" x14ac:dyDescent="0.2">
      <c r="A152" s="1" t="s">
        <v>137</v>
      </c>
      <c r="B152" s="1" t="s">
        <v>138</v>
      </c>
      <c r="C152" t="s">
        <v>142</v>
      </c>
      <c r="D152" t="s">
        <v>44</v>
      </c>
      <c r="E152" s="1" t="s">
        <v>192</v>
      </c>
      <c r="F152" s="19" t="s">
        <v>193</v>
      </c>
      <c r="G152" s="4">
        <v>5.5</v>
      </c>
      <c r="H152" s="4">
        <v>60</v>
      </c>
      <c r="I152" s="9">
        <v>0.85</v>
      </c>
      <c r="J152" s="7"/>
      <c r="K152" s="12">
        <f t="shared" si="6"/>
        <v>-7.0581074285707285E-2</v>
      </c>
      <c r="L152" s="11">
        <f>GraphSaureus!B$10-(Staphaureus!H152-GraphSaureus!B$6)/GraphSaureus!B$5</f>
        <v>0.55168819070383068</v>
      </c>
      <c r="M152" s="2" t="s">
        <v>153</v>
      </c>
      <c r="N152">
        <v>1975</v>
      </c>
      <c r="R152" s="10">
        <f>GraphSaureus!$B$39*Staphaureus!H152+GraphSaureus!$B$40</f>
        <v>0.5487594522345498</v>
      </c>
      <c r="S152" s="10"/>
      <c r="T152" s="10">
        <f>GraphSaureus!$H$39*Staphaureus!H152+GraphSaureus!$H$40</f>
        <v>0.64739813132443835</v>
      </c>
    </row>
    <row r="153" spans="1:20" x14ac:dyDescent="0.2">
      <c r="A153" s="1" t="s">
        <v>137</v>
      </c>
      <c r="B153" s="1" t="s">
        <v>138</v>
      </c>
      <c r="C153" t="s">
        <v>142</v>
      </c>
      <c r="D153" t="s">
        <v>44</v>
      </c>
      <c r="E153" s="1" t="s">
        <v>192</v>
      </c>
      <c r="F153" s="19" t="s">
        <v>193</v>
      </c>
      <c r="G153" s="4">
        <v>6</v>
      </c>
      <c r="H153" s="4">
        <v>60</v>
      </c>
      <c r="I153" s="11">
        <v>1.1299999999999999</v>
      </c>
      <c r="K153" s="12">
        <f t="shared" si="6"/>
        <v>5.3078443483419682E-2</v>
      </c>
      <c r="L153" s="11">
        <f>GraphSaureus!B$10-(Staphaureus!H153-GraphSaureus!B$6)/GraphSaureus!B$5</f>
        <v>0.55168819070383068</v>
      </c>
      <c r="M153" s="2" t="s">
        <v>153</v>
      </c>
      <c r="N153">
        <v>1975</v>
      </c>
      <c r="R153" s="10">
        <f>GraphSaureus!$B$39*Staphaureus!H153+GraphSaureus!$B$40</f>
        <v>0.5487594522345498</v>
      </c>
      <c r="S153" s="10" t="e">
        <f>GraphSaureus!$E$39*Staphaureus!H153+GraphSaureus!$E$40</f>
        <v>#DIV/0!</v>
      </c>
    </row>
    <row r="154" spans="1:20" x14ac:dyDescent="0.2">
      <c r="A154" s="1" t="s">
        <v>137</v>
      </c>
      <c r="B154" s="1" t="s">
        <v>138</v>
      </c>
      <c r="C154" t="s">
        <v>142</v>
      </c>
      <c r="D154" t="s">
        <v>44</v>
      </c>
      <c r="E154" s="1" t="s">
        <v>192</v>
      </c>
      <c r="F154" s="19" t="s">
        <v>193</v>
      </c>
      <c r="G154" s="4">
        <v>6.5</v>
      </c>
      <c r="H154" s="4">
        <v>60</v>
      </c>
      <c r="I154" s="11">
        <v>1.57</v>
      </c>
      <c r="K154" s="12">
        <f t="shared" si="6"/>
        <v>0.19589965240923377</v>
      </c>
      <c r="L154" s="11">
        <f>GraphSaureus!B$10-(Staphaureus!H154-GraphSaureus!B$6)/GraphSaureus!B$5</f>
        <v>0.55168819070383068</v>
      </c>
      <c r="M154" s="2" t="s">
        <v>153</v>
      </c>
      <c r="N154">
        <v>1975</v>
      </c>
      <c r="R154" s="10">
        <f>GraphSaureus!$B$39*Staphaureus!H154+GraphSaureus!$B$40</f>
        <v>0.5487594522345498</v>
      </c>
      <c r="S154" s="10" t="e">
        <f>GraphSaureus!$E$39*Staphaureus!H154+GraphSaureus!$E$40</f>
        <v>#DIV/0!</v>
      </c>
    </row>
    <row r="155" spans="1:20" x14ac:dyDescent="0.2">
      <c r="A155" s="1" t="s">
        <v>137</v>
      </c>
      <c r="B155" s="1" t="s">
        <v>138</v>
      </c>
      <c r="C155" t="s">
        <v>142</v>
      </c>
      <c r="D155" t="s">
        <v>44</v>
      </c>
      <c r="E155" s="1" t="s">
        <v>192</v>
      </c>
      <c r="F155" s="19" t="s">
        <v>193</v>
      </c>
      <c r="G155" s="4">
        <v>7</v>
      </c>
      <c r="H155" s="4">
        <v>60</v>
      </c>
      <c r="I155" s="11">
        <v>1.83</v>
      </c>
      <c r="K155" s="12">
        <f t="shared" ref="K155:K186" si="7">LOG(I155)</f>
        <v>0.26245108973042947</v>
      </c>
      <c r="L155" s="11">
        <f>GraphSaureus!B$10-(Staphaureus!H155-GraphSaureus!B$6)/GraphSaureus!B$5</f>
        <v>0.55168819070383068</v>
      </c>
      <c r="M155" s="2" t="s">
        <v>153</v>
      </c>
      <c r="N155">
        <v>1975</v>
      </c>
      <c r="R155" s="10">
        <f>GraphSaureus!$B$39*Staphaureus!H155+GraphSaureus!$B$40</f>
        <v>0.5487594522345498</v>
      </c>
      <c r="S155" s="10"/>
      <c r="T155" s="10">
        <f>GraphSaureus!$H$39*Staphaureus!H155+GraphSaureus!$H$40</f>
        <v>0.64739813132443835</v>
      </c>
    </row>
    <row r="156" spans="1:20" x14ac:dyDescent="0.2">
      <c r="A156" s="1" t="s">
        <v>137</v>
      </c>
      <c r="B156" s="1" t="s">
        <v>138</v>
      </c>
      <c r="C156" t="s">
        <v>142</v>
      </c>
      <c r="D156" t="s">
        <v>44</v>
      </c>
      <c r="E156" s="1" t="s">
        <v>192</v>
      </c>
      <c r="F156" s="19" t="s">
        <v>197</v>
      </c>
      <c r="G156" s="4">
        <v>5</v>
      </c>
      <c r="H156" s="4">
        <v>60</v>
      </c>
      <c r="I156" s="9">
        <v>0.99</v>
      </c>
      <c r="J156" s="7"/>
      <c r="K156" s="12">
        <f t="shared" si="7"/>
        <v>-4.3648054024500883E-3</v>
      </c>
      <c r="L156" s="11">
        <f>GraphSaureus!B$10-(Staphaureus!H156-GraphSaureus!B$6)/GraphSaureus!B$5</f>
        <v>0.55168819070383068</v>
      </c>
      <c r="M156" s="2" t="s">
        <v>153</v>
      </c>
      <c r="N156">
        <v>1975</v>
      </c>
      <c r="R156" s="10">
        <f>GraphSaureus!$B$39*Staphaureus!H156+GraphSaureus!$B$40</f>
        <v>0.5487594522345498</v>
      </c>
      <c r="S156" s="10"/>
      <c r="T156" s="10">
        <f>GraphSaureus!$H$39*Staphaureus!H156+GraphSaureus!$H$40</f>
        <v>0.64739813132443835</v>
      </c>
    </row>
    <row r="157" spans="1:20" x14ac:dyDescent="0.2">
      <c r="A157" s="1" t="s">
        <v>137</v>
      </c>
      <c r="B157" s="1" t="s">
        <v>138</v>
      </c>
      <c r="C157" t="s">
        <v>142</v>
      </c>
      <c r="D157" t="s">
        <v>44</v>
      </c>
      <c r="E157" s="1" t="s">
        <v>192</v>
      </c>
      <c r="F157" s="19" t="s">
        <v>197</v>
      </c>
      <c r="G157" s="4">
        <v>5.5</v>
      </c>
      <c r="H157" s="4">
        <v>60</v>
      </c>
      <c r="I157" s="9">
        <v>1</v>
      </c>
      <c r="J157" s="7"/>
      <c r="K157" s="12">
        <f t="shared" si="7"/>
        <v>0</v>
      </c>
      <c r="L157" s="11">
        <f>GraphSaureus!B$10-(Staphaureus!H157-GraphSaureus!B$6)/GraphSaureus!B$5</f>
        <v>0.55168819070383068</v>
      </c>
      <c r="M157" s="2" t="s">
        <v>153</v>
      </c>
      <c r="N157">
        <v>1975</v>
      </c>
      <c r="R157" s="10">
        <f>GraphSaureus!$B$39*Staphaureus!H157+GraphSaureus!$B$40</f>
        <v>0.5487594522345498</v>
      </c>
      <c r="S157" s="10"/>
      <c r="T157" s="10">
        <f>GraphSaureus!$H$39*Staphaureus!H157+GraphSaureus!$H$40</f>
        <v>0.64739813132443835</v>
      </c>
    </row>
    <row r="158" spans="1:20" x14ac:dyDescent="0.2">
      <c r="A158" s="1" t="s">
        <v>137</v>
      </c>
      <c r="B158" s="1" t="s">
        <v>138</v>
      </c>
      <c r="C158" t="s">
        <v>142</v>
      </c>
      <c r="D158" t="s">
        <v>44</v>
      </c>
      <c r="E158" s="1" t="s">
        <v>192</v>
      </c>
      <c r="F158" s="19" t="s">
        <v>197</v>
      </c>
      <c r="G158" s="4">
        <v>6</v>
      </c>
      <c r="H158" s="4">
        <v>60</v>
      </c>
      <c r="I158" s="11">
        <v>1.2</v>
      </c>
      <c r="K158" s="12">
        <f t="shared" si="7"/>
        <v>7.9181246047624818E-2</v>
      </c>
      <c r="L158" s="11">
        <f>GraphSaureus!B$10-(Staphaureus!H158-GraphSaureus!B$6)/GraphSaureus!B$5</f>
        <v>0.55168819070383068</v>
      </c>
      <c r="M158" s="2" t="s">
        <v>153</v>
      </c>
      <c r="N158">
        <v>1975</v>
      </c>
      <c r="R158" s="10">
        <f>GraphSaureus!$B$39*Staphaureus!H158+GraphSaureus!$B$40</f>
        <v>0.5487594522345498</v>
      </c>
      <c r="S158" s="10"/>
      <c r="T158" s="10">
        <f>GraphSaureus!$H$39*Staphaureus!H158+GraphSaureus!$H$40</f>
        <v>0.64739813132443835</v>
      </c>
    </row>
    <row r="159" spans="1:20" x14ac:dyDescent="0.2">
      <c r="A159" s="1" t="s">
        <v>137</v>
      </c>
      <c r="B159" s="1" t="s">
        <v>138</v>
      </c>
      <c r="C159" t="s">
        <v>142</v>
      </c>
      <c r="D159" t="s">
        <v>44</v>
      </c>
      <c r="E159" s="1" t="s">
        <v>192</v>
      </c>
      <c r="F159" s="19" t="s">
        <v>197</v>
      </c>
      <c r="G159" s="4">
        <v>6.5</v>
      </c>
      <c r="H159" s="4">
        <v>60</v>
      </c>
      <c r="I159" s="11">
        <v>1.67</v>
      </c>
      <c r="K159" s="12">
        <f t="shared" si="7"/>
        <v>0.22271647114758325</v>
      </c>
      <c r="L159" s="11">
        <f>GraphSaureus!B$10-(Staphaureus!H159-GraphSaureus!B$6)/GraphSaureus!B$5</f>
        <v>0.55168819070383068</v>
      </c>
      <c r="M159" s="2" t="s">
        <v>153</v>
      </c>
      <c r="N159">
        <v>1975</v>
      </c>
      <c r="R159" s="10">
        <f>GraphSaureus!$B$39*Staphaureus!H159+GraphSaureus!$B$40</f>
        <v>0.5487594522345498</v>
      </c>
      <c r="S159" s="10"/>
      <c r="T159" s="10">
        <f>GraphSaureus!$H$39*Staphaureus!H159+GraphSaureus!$H$40</f>
        <v>0.64739813132443835</v>
      </c>
    </row>
    <row r="160" spans="1:20" x14ac:dyDescent="0.2">
      <c r="A160" s="1" t="s">
        <v>137</v>
      </c>
      <c r="B160" s="1" t="s">
        <v>138</v>
      </c>
      <c r="C160" t="s">
        <v>142</v>
      </c>
      <c r="D160" t="s">
        <v>44</v>
      </c>
      <c r="E160" s="1" t="s">
        <v>192</v>
      </c>
      <c r="F160" s="19" t="s">
        <v>197</v>
      </c>
      <c r="G160" s="4">
        <v>7</v>
      </c>
      <c r="H160" s="4">
        <v>60</v>
      </c>
      <c r="I160" s="11">
        <v>1.22</v>
      </c>
      <c r="K160" s="12">
        <f t="shared" si="7"/>
        <v>8.6359830674748214E-2</v>
      </c>
      <c r="L160" s="11">
        <f>GraphSaureus!B$10-(Staphaureus!H160-GraphSaureus!B$6)/GraphSaureus!B$5</f>
        <v>0.55168819070383068</v>
      </c>
      <c r="M160" s="2" t="s">
        <v>153</v>
      </c>
      <c r="N160">
        <v>1975</v>
      </c>
      <c r="R160" s="10">
        <f>GraphSaureus!$B$39*Staphaureus!H160+GraphSaureus!$B$40</f>
        <v>0.5487594522345498</v>
      </c>
      <c r="S160" s="10"/>
      <c r="T160" s="10">
        <f>GraphSaureus!$H$39*Staphaureus!H160+GraphSaureus!$H$40</f>
        <v>0.64739813132443835</v>
      </c>
    </row>
    <row r="161" spans="1:20" x14ac:dyDescent="0.2">
      <c r="A161" s="1" t="s">
        <v>137</v>
      </c>
      <c r="B161" s="1" t="s">
        <v>138</v>
      </c>
      <c r="C161" t="s">
        <v>142</v>
      </c>
      <c r="D161" t="s">
        <v>44</v>
      </c>
      <c r="E161" s="1" t="s">
        <v>192</v>
      </c>
      <c r="G161" s="4">
        <v>5</v>
      </c>
      <c r="H161" s="4">
        <v>60</v>
      </c>
      <c r="I161" s="11">
        <v>1.54</v>
      </c>
      <c r="K161" s="12">
        <f t="shared" si="7"/>
        <v>0.18752072083646307</v>
      </c>
      <c r="L161" s="11">
        <f>GraphSaureus!B$10-(Staphaureus!H161-GraphSaureus!B$6)/GraphSaureus!B$5</f>
        <v>0.55168819070383068</v>
      </c>
      <c r="M161" s="2" t="s">
        <v>153</v>
      </c>
      <c r="N161">
        <v>1975</v>
      </c>
      <c r="R161" s="10">
        <f>GraphSaureus!$B$39*Staphaureus!H161+GraphSaureus!$B$40</f>
        <v>0.5487594522345498</v>
      </c>
      <c r="S161" s="10"/>
      <c r="T161" s="10">
        <f>GraphSaureus!$H$39*Staphaureus!H161+GraphSaureus!$H$40</f>
        <v>0.64739813132443835</v>
      </c>
    </row>
    <row r="162" spans="1:20" x14ac:dyDescent="0.2">
      <c r="A162" s="1" t="s">
        <v>137</v>
      </c>
      <c r="B162" s="1" t="s">
        <v>138</v>
      </c>
      <c r="C162" t="s">
        <v>142</v>
      </c>
      <c r="D162" t="s">
        <v>44</v>
      </c>
      <c r="E162" s="1" t="s">
        <v>192</v>
      </c>
      <c r="G162" s="4">
        <v>5.5</v>
      </c>
      <c r="H162" s="4">
        <v>60</v>
      </c>
      <c r="I162" s="9">
        <v>1.01</v>
      </c>
      <c r="J162" s="5"/>
      <c r="K162" s="12">
        <f t="shared" si="7"/>
        <v>4.3213737826425782E-3</v>
      </c>
      <c r="L162" s="11">
        <f>GraphSaureus!B$10-(Staphaureus!H162-GraphSaureus!B$6)/GraphSaureus!B$5</f>
        <v>0.55168819070383068</v>
      </c>
      <c r="M162" s="2" t="s">
        <v>153</v>
      </c>
      <c r="N162">
        <v>1975</v>
      </c>
      <c r="R162" s="10">
        <f>GraphSaureus!$B$39*Staphaureus!H162+GraphSaureus!$B$40</f>
        <v>0.5487594522345498</v>
      </c>
      <c r="S162" s="10"/>
      <c r="T162" s="10">
        <f>GraphSaureus!$H$39*Staphaureus!H162+GraphSaureus!$H$40</f>
        <v>0.64739813132443835</v>
      </c>
    </row>
    <row r="163" spans="1:20" x14ac:dyDescent="0.2">
      <c r="A163" s="1" t="s">
        <v>137</v>
      </c>
      <c r="B163" s="1" t="s">
        <v>138</v>
      </c>
      <c r="C163" t="s">
        <v>142</v>
      </c>
      <c r="D163" t="s">
        <v>44</v>
      </c>
      <c r="E163" s="1" t="s">
        <v>192</v>
      </c>
      <c r="G163" s="4">
        <v>6</v>
      </c>
      <c r="H163" s="4">
        <v>60</v>
      </c>
      <c r="I163" s="11">
        <v>1.67</v>
      </c>
      <c r="K163" s="12">
        <f t="shared" si="7"/>
        <v>0.22271647114758325</v>
      </c>
      <c r="L163" s="11">
        <f>GraphSaureus!B$10-(Staphaureus!H163-GraphSaureus!B$6)/GraphSaureus!B$5</f>
        <v>0.55168819070383068</v>
      </c>
      <c r="M163" s="2" t="s">
        <v>153</v>
      </c>
      <c r="N163">
        <v>1975</v>
      </c>
      <c r="R163" s="10">
        <f>GraphSaureus!$B$39*Staphaureus!H163+GraphSaureus!$B$40</f>
        <v>0.5487594522345498</v>
      </c>
      <c r="S163" s="10"/>
      <c r="T163" s="10">
        <f>GraphSaureus!$H$39*Staphaureus!H163+GraphSaureus!$H$40</f>
        <v>0.64739813132443835</v>
      </c>
    </row>
    <row r="164" spans="1:20" x14ac:dyDescent="0.2">
      <c r="A164" s="1" t="s">
        <v>137</v>
      </c>
      <c r="B164" s="1" t="s">
        <v>138</v>
      </c>
      <c r="C164" t="s">
        <v>142</v>
      </c>
      <c r="D164" t="s">
        <v>44</v>
      </c>
      <c r="E164" s="1" t="s">
        <v>192</v>
      </c>
      <c r="G164" s="4">
        <v>6.5</v>
      </c>
      <c r="H164" s="4">
        <v>60</v>
      </c>
      <c r="I164" s="11">
        <v>1.64</v>
      </c>
      <c r="K164" s="12">
        <f t="shared" si="7"/>
        <v>0.21484384804769785</v>
      </c>
      <c r="L164" s="11">
        <f>GraphSaureus!B$10-(Staphaureus!H164-GraphSaureus!B$6)/GraphSaureus!B$5</f>
        <v>0.55168819070383068</v>
      </c>
      <c r="M164" s="2" t="s">
        <v>153</v>
      </c>
      <c r="N164">
        <v>1975</v>
      </c>
      <c r="R164" s="10">
        <f>GraphSaureus!$B$39*Staphaureus!H164+GraphSaureus!$B$40</f>
        <v>0.5487594522345498</v>
      </c>
      <c r="S164" s="10"/>
      <c r="T164" s="10">
        <f>GraphSaureus!$H$39*Staphaureus!H164+GraphSaureus!$H$40</f>
        <v>0.64739813132443835</v>
      </c>
    </row>
    <row r="165" spans="1:20" x14ac:dyDescent="0.2">
      <c r="A165" s="1" t="s">
        <v>137</v>
      </c>
      <c r="B165" s="1" t="s">
        <v>138</v>
      </c>
      <c r="C165" t="s">
        <v>142</v>
      </c>
      <c r="D165" t="s">
        <v>44</v>
      </c>
      <c r="E165" s="1" t="s">
        <v>192</v>
      </c>
      <c r="G165" s="4">
        <v>7</v>
      </c>
      <c r="H165" s="4">
        <v>60</v>
      </c>
      <c r="I165" s="11">
        <v>0.86</v>
      </c>
      <c r="K165" s="12">
        <f t="shared" si="7"/>
        <v>-6.5501548756432285E-2</v>
      </c>
      <c r="L165" s="11">
        <f>GraphSaureus!B$10-(Staphaureus!H165-GraphSaureus!B$6)/GraphSaureus!B$5</f>
        <v>0.55168819070383068</v>
      </c>
      <c r="M165" s="2" t="s">
        <v>153</v>
      </c>
      <c r="N165">
        <v>1975</v>
      </c>
      <c r="R165" s="10">
        <f>GraphSaureus!$B$39*Staphaureus!H165+GraphSaureus!$B$40</f>
        <v>0.5487594522345498</v>
      </c>
      <c r="S165" s="10" t="e">
        <f>GraphSaureus!$E$39*Staphaureus!H165+GraphSaureus!$E$40</f>
        <v>#DIV/0!</v>
      </c>
    </row>
    <row r="166" spans="1:20" x14ac:dyDescent="0.2">
      <c r="A166" s="1" t="s">
        <v>137</v>
      </c>
      <c r="B166" s="1" t="s">
        <v>138</v>
      </c>
      <c r="C166" t="s">
        <v>184</v>
      </c>
      <c r="D166" t="s">
        <v>44</v>
      </c>
      <c r="E166" s="1" t="s">
        <v>182</v>
      </c>
      <c r="F166" s="1"/>
      <c r="H166" s="4">
        <v>60</v>
      </c>
      <c r="I166" s="11">
        <v>2.46</v>
      </c>
      <c r="K166" s="12">
        <f t="shared" si="7"/>
        <v>0.39093510710337914</v>
      </c>
      <c r="L166" s="11">
        <f>GraphSaureus!B$10-(Staphaureus!H166-GraphSaureus!B$6)/GraphSaureus!B$5</f>
        <v>0.55168819070383068</v>
      </c>
      <c r="M166" s="1" t="s">
        <v>121</v>
      </c>
      <c r="N166">
        <v>1966</v>
      </c>
      <c r="R166" s="10">
        <f>GraphSaureus!$B$39*Staphaureus!H166+GraphSaureus!$B$40</f>
        <v>0.5487594522345498</v>
      </c>
      <c r="S166" s="10" t="e">
        <f>GraphSaureus!$E$39*Staphaureus!H166+GraphSaureus!$E$40</f>
        <v>#DIV/0!</v>
      </c>
    </row>
    <row r="167" spans="1:20" x14ac:dyDescent="0.2">
      <c r="A167" s="1" t="s">
        <v>137</v>
      </c>
      <c r="B167" s="1" t="s">
        <v>138</v>
      </c>
      <c r="C167" t="s">
        <v>184</v>
      </c>
      <c r="D167" t="s">
        <v>44</v>
      </c>
      <c r="E167" s="1" t="s">
        <v>182</v>
      </c>
      <c r="F167" s="1"/>
      <c r="H167" s="4">
        <v>65.5</v>
      </c>
      <c r="I167" s="9">
        <v>0.26400000000000001</v>
      </c>
      <c r="J167" s="5"/>
      <c r="K167" s="12">
        <f t="shared" si="7"/>
        <v>-0.57839607313016894</v>
      </c>
      <c r="L167" s="11">
        <f>GraphSaureus!B$10-(Staphaureus!H167-GraphSaureus!B$6)/GraphSaureus!B$5</f>
        <v>-7.6784290882466633E-2</v>
      </c>
      <c r="M167" s="1" t="s">
        <v>121</v>
      </c>
      <c r="N167">
        <v>1966</v>
      </c>
      <c r="R167" s="10">
        <f>GraphSaureus!$B$39*Staphaureus!H167+GraphSaureus!$B$40</f>
        <v>-7.6511721642589237E-2</v>
      </c>
      <c r="S167" s="10" t="e">
        <f>GraphSaureus!$E$39*Staphaureus!H167+GraphSaureus!$E$40</f>
        <v>#DIV/0!</v>
      </c>
    </row>
    <row r="168" spans="1:20" x14ac:dyDescent="0.2">
      <c r="A168" s="1" t="s">
        <v>137</v>
      </c>
      <c r="B168" s="1" t="s">
        <v>138</v>
      </c>
      <c r="C168" t="s">
        <v>183</v>
      </c>
      <c r="D168" t="s">
        <v>44</v>
      </c>
      <c r="E168" s="1" t="s">
        <v>182</v>
      </c>
      <c r="F168" s="1"/>
      <c r="H168" s="4">
        <v>60</v>
      </c>
      <c r="I168" s="11">
        <v>2.0419999999999998</v>
      </c>
      <c r="K168" s="12">
        <f t="shared" si="7"/>
        <v>0.3100557377508914</v>
      </c>
      <c r="L168" s="11">
        <f>GraphSaureus!B$10-(Staphaureus!H168-GraphSaureus!B$6)/GraphSaureus!B$5</f>
        <v>0.55168819070383068</v>
      </c>
      <c r="M168" s="1" t="s">
        <v>121</v>
      </c>
      <c r="N168">
        <v>1966</v>
      </c>
      <c r="R168" s="10">
        <f>GraphSaureus!$B$39*Staphaureus!H168+GraphSaureus!$B$40</f>
        <v>0.5487594522345498</v>
      </c>
      <c r="S168" s="10" t="e">
        <f>GraphSaureus!$E$39*Staphaureus!H168+GraphSaureus!$E$40</f>
        <v>#DIV/0!</v>
      </c>
    </row>
    <row r="169" spans="1:20" x14ac:dyDescent="0.2">
      <c r="A169" s="1" t="s">
        <v>137</v>
      </c>
      <c r="B169" s="1" t="s">
        <v>138</v>
      </c>
      <c r="C169" t="s">
        <v>183</v>
      </c>
      <c r="D169" t="s">
        <v>44</v>
      </c>
      <c r="E169" s="1" t="s">
        <v>182</v>
      </c>
      <c r="F169" s="1"/>
      <c r="H169" s="4">
        <v>65.5</v>
      </c>
      <c r="I169" s="11">
        <v>0.35499999999999998</v>
      </c>
      <c r="K169" s="12">
        <f t="shared" si="7"/>
        <v>-0.44977164694490596</v>
      </c>
      <c r="L169" s="11">
        <f>GraphSaureus!B$10-(Staphaureus!H169-GraphSaureus!B$6)/GraphSaureus!B$5</f>
        <v>-7.6784290882466633E-2</v>
      </c>
      <c r="M169" s="1" t="s">
        <v>121</v>
      </c>
      <c r="N169">
        <v>1966</v>
      </c>
      <c r="R169" s="10">
        <f>GraphSaureus!$B$39*Staphaureus!H169+GraphSaureus!$B$40</f>
        <v>-7.6511721642589237E-2</v>
      </c>
      <c r="S169" s="10" t="e">
        <f>GraphSaureus!$E$39*Staphaureus!H169+GraphSaureus!$E$40</f>
        <v>#DIV/0!</v>
      </c>
    </row>
    <row r="170" spans="1:20" x14ac:dyDescent="0.2">
      <c r="A170" s="1" t="s">
        <v>137</v>
      </c>
      <c r="B170" s="1" t="s">
        <v>138</v>
      </c>
      <c r="C170" t="s">
        <v>139</v>
      </c>
      <c r="D170" t="s">
        <v>44</v>
      </c>
      <c r="E170" s="1" t="s">
        <v>140</v>
      </c>
      <c r="G170" s="4">
        <v>4.5</v>
      </c>
      <c r="H170" s="4">
        <v>49</v>
      </c>
      <c r="I170" s="11">
        <v>9.5</v>
      </c>
      <c r="K170" s="12">
        <f t="shared" si="7"/>
        <v>0.97772360528884772</v>
      </c>
      <c r="L170" s="11">
        <f>GraphSaureus!B$10-(Staphaureus!H170-GraphSaureus!B$6)/GraphSaureus!B$5</f>
        <v>1.8086331538764253</v>
      </c>
      <c r="M170" s="2" t="s">
        <v>152</v>
      </c>
      <c r="N170">
        <v>1965</v>
      </c>
      <c r="R170" s="10">
        <f>GraphSaureus!$B$39*Staphaureus!H170+GraphSaureus!$B$40</f>
        <v>1.7993017999888279</v>
      </c>
      <c r="S170" s="10" t="e">
        <f>GraphSaureus!$E$39*Staphaureus!H170+GraphSaureus!$E$40</f>
        <v>#DIV/0!</v>
      </c>
    </row>
    <row r="171" spans="1:20" x14ac:dyDescent="0.2">
      <c r="A171" s="1" t="s">
        <v>137</v>
      </c>
      <c r="B171" s="1" t="s">
        <v>138</v>
      </c>
      <c r="C171" t="s">
        <v>139</v>
      </c>
      <c r="D171" t="s">
        <v>44</v>
      </c>
      <c r="E171" s="1" t="s">
        <v>140</v>
      </c>
      <c r="G171" s="4">
        <v>5.5</v>
      </c>
      <c r="H171" s="4">
        <v>49</v>
      </c>
      <c r="I171" s="11">
        <v>25.2</v>
      </c>
      <c r="K171" s="12">
        <f t="shared" si="7"/>
        <v>1.4014005407815442</v>
      </c>
      <c r="L171" s="11">
        <f>GraphSaureus!B$10-(Staphaureus!H171-GraphSaureus!B$6)/GraphSaureus!B$5</f>
        <v>1.8086331538764253</v>
      </c>
      <c r="M171" s="2" t="s">
        <v>152</v>
      </c>
      <c r="N171">
        <v>1965</v>
      </c>
      <c r="R171" s="10">
        <f>GraphSaureus!$B$39*Staphaureus!H171+GraphSaureus!$B$40</f>
        <v>1.7993017999888279</v>
      </c>
      <c r="S171" s="10" t="e">
        <f>GraphSaureus!$E$39*Staphaureus!H171+GraphSaureus!$E$40</f>
        <v>#DIV/0!</v>
      </c>
    </row>
    <row r="172" spans="1:20" x14ac:dyDescent="0.2">
      <c r="A172" s="1" t="s">
        <v>137</v>
      </c>
      <c r="B172" s="1" t="s">
        <v>138</v>
      </c>
      <c r="C172" t="s">
        <v>139</v>
      </c>
      <c r="D172" t="s">
        <v>44</v>
      </c>
      <c r="E172" s="1" t="s">
        <v>140</v>
      </c>
      <c r="G172" s="4">
        <v>6.5</v>
      </c>
      <c r="H172" s="4">
        <v>49</v>
      </c>
      <c r="I172" s="11">
        <v>42.1</v>
      </c>
      <c r="K172" s="12">
        <f t="shared" si="7"/>
        <v>1.6242820958356683</v>
      </c>
      <c r="L172" s="11">
        <f>GraphSaureus!B$10-(Staphaureus!H172-GraphSaureus!B$6)/GraphSaureus!B$5</f>
        <v>1.8086331538764253</v>
      </c>
      <c r="M172" s="2" t="s">
        <v>152</v>
      </c>
      <c r="N172">
        <v>1965</v>
      </c>
      <c r="R172" s="10">
        <f>GraphSaureus!$B$39*Staphaureus!H172+GraphSaureus!$B$40</f>
        <v>1.7993017999888279</v>
      </c>
      <c r="S172" s="10" t="e">
        <f>GraphSaureus!$E$39*Staphaureus!H172+GraphSaureus!$E$40</f>
        <v>#DIV/0!</v>
      </c>
    </row>
    <row r="173" spans="1:20" x14ac:dyDescent="0.2">
      <c r="A173" s="1" t="s">
        <v>137</v>
      </c>
      <c r="B173" s="1" t="s">
        <v>138</v>
      </c>
      <c r="C173" t="s">
        <v>139</v>
      </c>
      <c r="D173" t="s">
        <v>44</v>
      </c>
      <c r="E173" s="1" t="s">
        <v>140</v>
      </c>
      <c r="G173" s="4">
        <v>7.5</v>
      </c>
      <c r="H173" s="4">
        <v>49</v>
      </c>
      <c r="I173" s="11">
        <v>24.1</v>
      </c>
      <c r="K173" s="12">
        <f t="shared" si="7"/>
        <v>1.3820170425748683</v>
      </c>
      <c r="L173" s="11">
        <f>GraphSaureus!B$10-(Staphaureus!H173-GraphSaureus!B$6)/GraphSaureus!B$5</f>
        <v>1.8086331538764253</v>
      </c>
      <c r="M173" s="2" t="s">
        <v>152</v>
      </c>
      <c r="N173">
        <v>1965</v>
      </c>
      <c r="R173" s="10">
        <f>GraphSaureus!$B$39*Staphaureus!H173+GraphSaureus!$B$40</f>
        <v>1.7993017999888279</v>
      </c>
      <c r="S173" s="10" t="e">
        <f>GraphSaureus!$E$39*Staphaureus!H173+GraphSaureus!$E$40</f>
        <v>#DIV/0!</v>
      </c>
    </row>
    <row r="174" spans="1:20" x14ac:dyDescent="0.2">
      <c r="A174" s="1" t="s">
        <v>137</v>
      </c>
      <c r="B174" s="1" t="s">
        <v>138</v>
      </c>
      <c r="C174" t="s">
        <v>139</v>
      </c>
      <c r="D174" t="s">
        <v>44</v>
      </c>
      <c r="E174" s="1" t="s">
        <v>140</v>
      </c>
      <c r="G174" s="4">
        <v>4.5</v>
      </c>
      <c r="H174" s="4">
        <v>52</v>
      </c>
      <c r="I174" s="11">
        <v>6.4</v>
      </c>
      <c r="K174" s="12">
        <f t="shared" si="7"/>
        <v>0.80617997398388719</v>
      </c>
      <c r="L174" s="11">
        <f>GraphSaureus!B$10-(Staphaureus!H174-GraphSaureus!B$6)/GraphSaureus!B$5</f>
        <v>1.4658299821020813</v>
      </c>
      <c r="M174" s="2" t="s">
        <v>152</v>
      </c>
      <c r="N174">
        <v>1965</v>
      </c>
      <c r="R174" s="10">
        <f>GraphSaureus!$B$39*Staphaureus!H174+GraphSaureus!$B$40</f>
        <v>1.4582447960558431</v>
      </c>
      <c r="S174" s="10" t="e">
        <f>GraphSaureus!$E$39*Staphaureus!H174+GraphSaureus!$E$40</f>
        <v>#DIV/0!</v>
      </c>
    </row>
    <row r="175" spans="1:20" x14ac:dyDescent="0.2">
      <c r="A175" s="1" t="s">
        <v>137</v>
      </c>
      <c r="B175" s="1" t="s">
        <v>138</v>
      </c>
      <c r="C175" t="s">
        <v>139</v>
      </c>
      <c r="D175" t="s">
        <v>44</v>
      </c>
      <c r="E175" s="1" t="s">
        <v>140</v>
      </c>
      <c r="F175" s="1"/>
      <c r="G175" s="4">
        <v>5.5</v>
      </c>
      <c r="H175" s="4">
        <v>52</v>
      </c>
      <c r="I175" s="11">
        <v>17.600000000000001</v>
      </c>
      <c r="K175" s="12">
        <f t="shared" si="7"/>
        <v>1.2455126678141499</v>
      </c>
      <c r="L175" s="11">
        <f>GraphSaureus!B$10-(Staphaureus!H175-GraphSaureus!B$6)/GraphSaureus!B$5</f>
        <v>1.4658299821020813</v>
      </c>
      <c r="M175" s="2" t="s">
        <v>152</v>
      </c>
      <c r="N175">
        <v>1965</v>
      </c>
      <c r="R175" s="10">
        <f>GraphSaureus!$B$39*Staphaureus!H175+GraphSaureus!$B$40</f>
        <v>1.4582447960558431</v>
      </c>
      <c r="S175" s="10" t="e">
        <f>GraphSaureus!$E$39*Staphaureus!H175+GraphSaureus!$E$40</f>
        <v>#DIV/0!</v>
      </c>
    </row>
    <row r="176" spans="1:20" x14ac:dyDescent="0.2">
      <c r="A176" s="1" t="s">
        <v>137</v>
      </c>
      <c r="B176" s="1" t="s">
        <v>138</v>
      </c>
      <c r="C176" t="s">
        <v>139</v>
      </c>
      <c r="D176" t="s">
        <v>44</v>
      </c>
      <c r="E176" s="1" t="s">
        <v>140</v>
      </c>
      <c r="F176" s="1"/>
      <c r="G176" s="4">
        <v>6.5</v>
      </c>
      <c r="H176" s="4">
        <v>52</v>
      </c>
      <c r="I176" s="4">
        <v>19.100000000000001</v>
      </c>
      <c r="K176" s="12">
        <f t="shared" si="7"/>
        <v>1.2810333672477277</v>
      </c>
      <c r="L176" s="11">
        <f>GraphSaureus!B$10-(Staphaureus!H176-GraphSaureus!B$6)/GraphSaureus!B$5</f>
        <v>1.4658299821020813</v>
      </c>
      <c r="M176" s="2" t="s">
        <v>152</v>
      </c>
      <c r="N176">
        <v>1965</v>
      </c>
      <c r="R176" s="10">
        <f>GraphSaureus!$B$39*Staphaureus!H176+GraphSaureus!$B$40</f>
        <v>1.4582447960558431</v>
      </c>
      <c r="S176" s="10" t="e">
        <f>GraphSaureus!$E$39*Staphaureus!H176+GraphSaureus!$E$40</f>
        <v>#DIV/0!</v>
      </c>
    </row>
    <row r="177" spans="1:19" x14ac:dyDescent="0.2">
      <c r="A177" s="1" t="s">
        <v>137</v>
      </c>
      <c r="B177" s="1" t="s">
        <v>138</v>
      </c>
      <c r="C177" t="s">
        <v>139</v>
      </c>
      <c r="D177" t="s">
        <v>44</v>
      </c>
      <c r="E177" s="1" t="s">
        <v>140</v>
      </c>
      <c r="F177" s="1"/>
      <c r="G177" s="4">
        <v>7.5</v>
      </c>
      <c r="H177" s="4">
        <v>52</v>
      </c>
      <c r="I177" s="4">
        <v>20.399999999999999</v>
      </c>
      <c r="K177" s="12">
        <f t="shared" si="7"/>
        <v>1.3096301674258988</v>
      </c>
      <c r="L177" s="11">
        <f>GraphSaureus!B$10-(Staphaureus!H177-GraphSaureus!B$6)/GraphSaureus!B$5</f>
        <v>1.4658299821020813</v>
      </c>
      <c r="M177" s="2" t="s">
        <v>152</v>
      </c>
      <c r="N177">
        <v>1965</v>
      </c>
      <c r="R177" s="10">
        <f>GraphSaureus!$B$39*Staphaureus!H177+GraphSaureus!$B$40</f>
        <v>1.4582447960558431</v>
      </c>
      <c r="S177" s="10" t="e">
        <f>GraphSaureus!$E$39*Staphaureus!H177+GraphSaureus!$E$40</f>
        <v>#DIV/0!</v>
      </c>
    </row>
    <row r="178" spans="1:19" x14ac:dyDescent="0.2">
      <c r="A178" s="1" t="s">
        <v>137</v>
      </c>
      <c r="B178" s="1" t="s">
        <v>138</v>
      </c>
      <c r="C178" t="s">
        <v>139</v>
      </c>
      <c r="D178" t="s">
        <v>44</v>
      </c>
      <c r="E178" s="1" t="s">
        <v>140</v>
      </c>
      <c r="F178" s="1"/>
      <c r="G178" s="4">
        <v>4.5</v>
      </c>
      <c r="H178" s="4">
        <v>54</v>
      </c>
      <c r="I178" s="11">
        <v>4.9000000000000004</v>
      </c>
      <c r="K178" s="12">
        <f t="shared" si="7"/>
        <v>0.69019608002851374</v>
      </c>
      <c r="L178" s="11">
        <f>GraphSaureus!B$10-(Staphaureus!H178-GraphSaureus!B$6)/GraphSaureus!B$5</f>
        <v>1.2372945342525188</v>
      </c>
      <c r="M178" s="2" t="s">
        <v>152</v>
      </c>
      <c r="N178">
        <v>1965</v>
      </c>
      <c r="R178" s="10">
        <f>GraphSaureus!$B$39*Staphaureus!H178+GraphSaureus!$B$40</f>
        <v>1.2308734601005202</v>
      </c>
      <c r="S178" s="10" t="e">
        <f>GraphSaureus!$E$39*Staphaureus!H178+GraphSaureus!$E$40</f>
        <v>#DIV/0!</v>
      </c>
    </row>
    <row r="179" spans="1:19" x14ac:dyDescent="0.2">
      <c r="A179" s="1" t="s">
        <v>137</v>
      </c>
      <c r="B179" s="1" t="s">
        <v>138</v>
      </c>
      <c r="C179" t="s">
        <v>139</v>
      </c>
      <c r="D179" t="s">
        <v>44</v>
      </c>
      <c r="E179" s="1" t="s">
        <v>140</v>
      </c>
      <c r="F179" s="1"/>
      <c r="G179" s="4">
        <v>5.5</v>
      </c>
      <c r="H179" s="4">
        <v>54</v>
      </c>
      <c r="I179" s="11">
        <v>8.4</v>
      </c>
      <c r="K179" s="12">
        <f t="shared" si="7"/>
        <v>0.9242792860618817</v>
      </c>
      <c r="L179" s="11">
        <f>GraphSaureus!B$10-(Staphaureus!H179-GraphSaureus!B$6)/GraphSaureus!B$5</f>
        <v>1.2372945342525188</v>
      </c>
      <c r="M179" s="2" t="s">
        <v>152</v>
      </c>
      <c r="N179">
        <v>1965</v>
      </c>
      <c r="R179" s="10">
        <f>GraphSaureus!$B$39*Staphaureus!H179+GraphSaureus!$B$40</f>
        <v>1.2308734601005202</v>
      </c>
      <c r="S179" s="10" t="e">
        <f>GraphSaureus!$E$39*Staphaureus!H179+GraphSaureus!$E$40</f>
        <v>#DIV/0!</v>
      </c>
    </row>
    <row r="180" spans="1:19" x14ac:dyDescent="0.2">
      <c r="A180" s="1" t="s">
        <v>137</v>
      </c>
      <c r="B180" s="1" t="s">
        <v>138</v>
      </c>
      <c r="C180" t="s">
        <v>139</v>
      </c>
      <c r="D180" t="s">
        <v>44</v>
      </c>
      <c r="E180" s="1" t="s">
        <v>140</v>
      </c>
      <c r="F180" s="1"/>
      <c r="G180" s="4">
        <v>6.5</v>
      </c>
      <c r="H180" s="4">
        <v>54</v>
      </c>
      <c r="I180" s="11">
        <v>11.9</v>
      </c>
      <c r="K180" s="12">
        <f t="shared" si="7"/>
        <v>1.0755469613925308</v>
      </c>
      <c r="L180" s="11">
        <f>GraphSaureus!B$10-(Staphaureus!H180-GraphSaureus!B$6)/GraphSaureus!B$5</f>
        <v>1.2372945342525188</v>
      </c>
      <c r="M180" s="2" t="s">
        <v>152</v>
      </c>
      <c r="N180">
        <v>1965</v>
      </c>
      <c r="R180" s="10">
        <f>GraphSaureus!$B$39*Staphaureus!H180+GraphSaureus!$B$40</f>
        <v>1.2308734601005202</v>
      </c>
      <c r="S180" s="10" t="e">
        <f>GraphSaureus!$E$39*Staphaureus!H180+GraphSaureus!$E$40</f>
        <v>#DIV/0!</v>
      </c>
    </row>
    <row r="181" spans="1:19" x14ac:dyDescent="0.2">
      <c r="A181" s="1" t="s">
        <v>137</v>
      </c>
      <c r="B181" s="1" t="s">
        <v>138</v>
      </c>
      <c r="C181" t="s">
        <v>139</v>
      </c>
      <c r="D181" t="s">
        <v>44</v>
      </c>
      <c r="E181" s="1" t="s">
        <v>140</v>
      </c>
      <c r="F181" s="1"/>
      <c r="G181" s="4">
        <v>7.5</v>
      </c>
      <c r="H181" s="4">
        <v>54</v>
      </c>
      <c r="I181" s="11">
        <v>8.6</v>
      </c>
      <c r="K181" s="12">
        <f t="shared" si="7"/>
        <v>0.93449845124356767</v>
      </c>
      <c r="L181" s="11">
        <f>GraphSaureus!B$10-(Staphaureus!H181-GraphSaureus!B$6)/GraphSaureus!B$5</f>
        <v>1.2372945342525188</v>
      </c>
      <c r="M181" s="2" t="s">
        <v>152</v>
      </c>
      <c r="N181">
        <v>1965</v>
      </c>
      <c r="R181" s="10">
        <f>GraphSaureus!$B$39*Staphaureus!H181+GraphSaureus!$B$40</f>
        <v>1.2308734601005202</v>
      </c>
      <c r="S181" s="10" t="e">
        <f>GraphSaureus!$E$39*Staphaureus!H181+GraphSaureus!$E$40</f>
        <v>#DIV/0!</v>
      </c>
    </row>
    <row r="182" spans="1:19" x14ac:dyDescent="0.2">
      <c r="A182" s="1" t="s">
        <v>137</v>
      </c>
      <c r="B182" s="1" t="s">
        <v>138</v>
      </c>
      <c r="C182" t="s">
        <v>139</v>
      </c>
      <c r="D182" t="s">
        <v>44</v>
      </c>
      <c r="E182" s="1" t="s">
        <v>140</v>
      </c>
      <c r="F182" s="1"/>
      <c r="G182" s="4">
        <v>4.5</v>
      </c>
      <c r="H182" s="4">
        <v>57</v>
      </c>
      <c r="I182" s="11">
        <v>1.8</v>
      </c>
      <c r="K182" s="12">
        <f t="shared" si="7"/>
        <v>0.25527250510330607</v>
      </c>
      <c r="L182" s="11">
        <f>GraphSaureus!B$10-(Staphaureus!H182-GraphSaureus!B$6)/GraphSaureus!B$5</f>
        <v>0.89449136247817473</v>
      </c>
      <c r="M182" s="2" t="s">
        <v>152</v>
      </c>
      <c r="N182">
        <v>1965</v>
      </c>
      <c r="R182" s="10">
        <f>GraphSaureus!$B$39*Staphaureus!H182+GraphSaureus!$B$40</f>
        <v>0.88981645616753458</v>
      </c>
      <c r="S182" s="10" t="e">
        <f>GraphSaureus!$E$39*Staphaureus!H182+GraphSaureus!$E$40</f>
        <v>#DIV/0!</v>
      </c>
    </row>
    <row r="183" spans="1:19" x14ac:dyDescent="0.2">
      <c r="A183" s="1" t="s">
        <v>137</v>
      </c>
      <c r="B183" s="1" t="s">
        <v>138</v>
      </c>
      <c r="C183" t="s">
        <v>139</v>
      </c>
      <c r="D183" t="s">
        <v>44</v>
      </c>
      <c r="E183" s="1" t="s">
        <v>140</v>
      </c>
      <c r="F183" s="1"/>
      <c r="G183" s="4">
        <v>5.5</v>
      </c>
      <c r="H183" s="4">
        <v>57</v>
      </c>
      <c r="I183" s="11">
        <v>3.3</v>
      </c>
      <c r="K183" s="12">
        <f t="shared" si="7"/>
        <v>0.51851393987788741</v>
      </c>
      <c r="L183" s="11">
        <f>GraphSaureus!B$10-(Staphaureus!H183-GraphSaureus!B$6)/GraphSaureus!B$5</f>
        <v>0.89449136247817473</v>
      </c>
      <c r="M183" s="2" t="s">
        <v>152</v>
      </c>
      <c r="N183">
        <v>1965</v>
      </c>
      <c r="R183" s="10">
        <f>GraphSaureus!$B$39*Staphaureus!H183+GraphSaureus!$B$40</f>
        <v>0.88981645616753458</v>
      </c>
      <c r="S183" s="10" t="e">
        <f>GraphSaureus!$E$39*Staphaureus!H183+GraphSaureus!$E$40</f>
        <v>#DIV/0!</v>
      </c>
    </row>
    <row r="184" spans="1:19" x14ac:dyDescent="0.2">
      <c r="A184" s="1" t="s">
        <v>137</v>
      </c>
      <c r="B184" s="1" t="s">
        <v>138</v>
      </c>
      <c r="C184" t="s">
        <v>139</v>
      </c>
      <c r="D184" t="s">
        <v>44</v>
      </c>
      <c r="E184" s="1" t="s">
        <v>140</v>
      </c>
      <c r="F184" s="1"/>
      <c r="G184" s="4">
        <v>6.5</v>
      </c>
      <c r="H184" s="4">
        <v>57</v>
      </c>
      <c r="I184" s="11">
        <v>9.1</v>
      </c>
      <c r="K184" s="12">
        <f t="shared" si="7"/>
        <v>0.95904139232109353</v>
      </c>
      <c r="L184" s="11">
        <f>GraphSaureus!B$10-(Staphaureus!H184-GraphSaureus!B$6)/GraphSaureus!B$5</f>
        <v>0.89449136247817473</v>
      </c>
      <c r="M184" s="2" t="s">
        <v>152</v>
      </c>
      <c r="N184">
        <v>1965</v>
      </c>
      <c r="R184" s="10">
        <f>GraphSaureus!$B$39*Staphaureus!H184+GraphSaureus!$B$40</f>
        <v>0.88981645616753458</v>
      </c>
      <c r="S184" s="10" t="e">
        <f>GraphSaureus!$E$39*Staphaureus!H184+GraphSaureus!$E$40</f>
        <v>#DIV/0!</v>
      </c>
    </row>
    <row r="185" spans="1:19" x14ac:dyDescent="0.2">
      <c r="A185" s="1" t="s">
        <v>137</v>
      </c>
      <c r="B185" s="1" t="s">
        <v>138</v>
      </c>
      <c r="C185" t="s">
        <v>139</v>
      </c>
      <c r="D185" t="s">
        <v>44</v>
      </c>
      <c r="E185" s="1" t="s">
        <v>140</v>
      </c>
      <c r="F185" s="1"/>
      <c r="G185" s="4">
        <v>7.5</v>
      </c>
      <c r="H185" s="4">
        <v>57</v>
      </c>
      <c r="I185" s="11">
        <v>5.7</v>
      </c>
      <c r="K185" s="12">
        <f t="shared" si="7"/>
        <v>0.75587485567249146</v>
      </c>
      <c r="L185" s="11">
        <f>GraphSaureus!B$10-(Staphaureus!H185-GraphSaureus!B$6)/GraphSaureus!B$5</f>
        <v>0.89449136247817473</v>
      </c>
      <c r="M185" s="2" t="s">
        <v>152</v>
      </c>
      <c r="N185">
        <v>1965</v>
      </c>
      <c r="R185" s="10">
        <f>GraphSaureus!$B$39*Staphaureus!H185+GraphSaureus!$B$40</f>
        <v>0.88981645616753458</v>
      </c>
      <c r="S185" s="10" t="e">
        <f>GraphSaureus!$E$39*Staphaureus!H185+GraphSaureus!$E$40</f>
        <v>#DIV/0!</v>
      </c>
    </row>
    <row r="186" spans="1:19" x14ac:dyDescent="0.2">
      <c r="A186" s="1" t="s">
        <v>137</v>
      </c>
      <c r="B186" s="1" t="s">
        <v>138</v>
      </c>
      <c r="C186" t="s">
        <v>139</v>
      </c>
      <c r="D186" t="s">
        <v>44</v>
      </c>
      <c r="E186" s="1" t="s">
        <v>140</v>
      </c>
      <c r="F186" s="1"/>
      <c r="G186" s="4">
        <v>4.5</v>
      </c>
      <c r="H186" s="4">
        <v>60</v>
      </c>
      <c r="I186" s="11">
        <v>1</v>
      </c>
      <c r="K186" s="12">
        <f t="shared" si="7"/>
        <v>0</v>
      </c>
      <c r="L186" s="11">
        <f>GraphSaureus!B$10-(Staphaureus!H186-GraphSaureus!B$6)/GraphSaureus!B$5</f>
        <v>0.55168819070383068</v>
      </c>
      <c r="M186" s="2" t="s">
        <v>152</v>
      </c>
      <c r="N186">
        <v>1965</v>
      </c>
      <c r="R186" s="10">
        <f>GraphSaureus!$B$39*Staphaureus!H186+GraphSaureus!$B$40</f>
        <v>0.5487594522345498</v>
      </c>
      <c r="S186" s="10" t="e">
        <f>GraphSaureus!$E$39*Staphaureus!H186+GraphSaureus!$E$40</f>
        <v>#DIV/0!</v>
      </c>
    </row>
    <row r="187" spans="1:19" x14ac:dyDescent="0.2">
      <c r="A187" s="1" t="s">
        <v>137</v>
      </c>
      <c r="B187" s="1" t="s">
        <v>138</v>
      </c>
      <c r="C187" t="s">
        <v>139</v>
      </c>
      <c r="D187" t="s">
        <v>44</v>
      </c>
      <c r="E187" s="1" t="s">
        <v>140</v>
      </c>
      <c r="F187" s="1"/>
      <c r="G187" s="4">
        <v>5.5</v>
      </c>
      <c r="H187" s="4">
        <v>60</v>
      </c>
      <c r="I187" s="11">
        <v>1.4</v>
      </c>
      <c r="K187" s="12">
        <f t="shared" ref="K187:K205" si="8">LOG(I187)</f>
        <v>0.14612803567823801</v>
      </c>
      <c r="L187" s="11">
        <f>GraphSaureus!B$10-(Staphaureus!H187-GraphSaureus!B$6)/GraphSaureus!B$5</f>
        <v>0.55168819070383068</v>
      </c>
      <c r="M187" s="2" t="s">
        <v>152</v>
      </c>
      <c r="N187">
        <v>1965</v>
      </c>
      <c r="R187" s="10">
        <f>GraphSaureus!$B$39*Staphaureus!H187+GraphSaureus!$B$40</f>
        <v>0.5487594522345498</v>
      </c>
      <c r="S187" s="10" t="e">
        <f>GraphSaureus!$E$39*Staphaureus!H187+GraphSaureus!$E$40</f>
        <v>#DIV/0!</v>
      </c>
    </row>
    <row r="188" spans="1:19" x14ac:dyDescent="0.2">
      <c r="A188" s="1" t="s">
        <v>137</v>
      </c>
      <c r="B188" s="1" t="s">
        <v>138</v>
      </c>
      <c r="C188" t="s">
        <v>139</v>
      </c>
      <c r="D188" t="s">
        <v>44</v>
      </c>
      <c r="E188" s="1" t="s">
        <v>140</v>
      </c>
      <c r="F188" s="1"/>
      <c r="G188" s="4">
        <v>6.5</v>
      </c>
      <c r="H188" s="4">
        <v>60</v>
      </c>
      <c r="I188" s="11">
        <v>2.5</v>
      </c>
      <c r="K188" s="12">
        <f t="shared" si="8"/>
        <v>0.3979400086720376</v>
      </c>
      <c r="L188" s="11">
        <f>GraphSaureus!B$10-(Staphaureus!H188-GraphSaureus!B$6)/GraphSaureus!B$5</f>
        <v>0.55168819070383068</v>
      </c>
      <c r="M188" s="2" t="s">
        <v>152</v>
      </c>
      <c r="N188">
        <v>1965</v>
      </c>
      <c r="R188" s="10">
        <f>GraphSaureus!$B$39*Staphaureus!H188+GraphSaureus!$B$40</f>
        <v>0.5487594522345498</v>
      </c>
      <c r="S188" s="10" t="e">
        <f>GraphSaureus!$E$39*Staphaureus!H188+GraphSaureus!$E$40</f>
        <v>#DIV/0!</v>
      </c>
    </row>
    <row r="189" spans="1:19" x14ac:dyDescent="0.2">
      <c r="A189" s="1" t="s">
        <v>137</v>
      </c>
      <c r="B189" s="1" t="s">
        <v>138</v>
      </c>
      <c r="C189" t="s">
        <v>139</v>
      </c>
      <c r="D189" t="s">
        <v>44</v>
      </c>
      <c r="E189" s="1" t="s">
        <v>140</v>
      </c>
      <c r="F189" s="1"/>
      <c r="G189" s="4">
        <v>7.5</v>
      </c>
      <c r="H189" s="4">
        <v>60</v>
      </c>
      <c r="I189" s="11">
        <v>1.1000000000000001</v>
      </c>
      <c r="K189" s="12">
        <f t="shared" si="8"/>
        <v>4.1392685158225077E-2</v>
      </c>
      <c r="L189" s="11">
        <f>GraphSaureus!B$10-(Staphaureus!H189-GraphSaureus!B$6)/GraphSaureus!B$5</f>
        <v>0.55168819070383068</v>
      </c>
      <c r="M189" s="2" t="s">
        <v>152</v>
      </c>
      <c r="N189">
        <v>1965</v>
      </c>
      <c r="R189" s="10">
        <f>GraphSaureus!$B$39*Staphaureus!H189+GraphSaureus!$B$40</f>
        <v>0.5487594522345498</v>
      </c>
      <c r="S189" s="10" t="e">
        <f>GraphSaureus!$E$39*Staphaureus!H189+GraphSaureus!$E$40</f>
        <v>#DIV/0!</v>
      </c>
    </row>
    <row r="190" spans="1:19" x14ac:dyDescent="0.2">
      <c r="A190" s="1" t="s">
        <v>137</v>
      </c>
      <c r="B190" s="1" t="s">
        <v>138</v>
      </c>
      <c r="C190" t="s">
        <v>139</v>
      </c>
      <c r="D190" t="s">
        <v>44</v>
      </c>
      <c r="E190" s="1" t="s">
        <v>140</v>
      </c>
      <c r="F190" s="1"/>
      <c r="G190" s="4">
        <v>4.5</v>
      </c>
      <c r="H190" s="4">
        <v>63</v>
      </c>
      <c r="I190" s="11">
        <v>0.4</v>
      </c>
      <c r="K190" s="12">
        <f t="shared" si="8"/>
        <v>-0.3979400086720376</v>
      </c>
      <c r="L190" s="11">
        <f>GraphSaureus!B$10-(Staphaureus!H190-GraphSaureus!B$6)/GraphSaureus!B$5</f>
        <v>0.20888501892948674</v>
      </c>
      <c r="M190" s="2" t="s">
        <v>152</v>
      </c>
      <c r="N190">
        <v>1965</v>
      </c>
      <c r="R190" s="10">
        <f>GraphSaureus!$B$39*Staphaureus!H190+GraphSaureus!$B$40</f>
        <v>0.20770244830156503</v>
      </c>
      <c r="S190" s="10" t="e">
        <f>GraphSaureus!$E$39*Staphaureus!H190+GraphSaureus!$E$40</f>
        <v>#DIV/0!</v>
      </c>
    </row>
    <row r="191" spans="1:19" x14ac:dyDescent="0.2">
      <c r="A191" s="1" t="s">
        <v>137</v>
      </c>
      <c r="B191" s="1" t="s">
        <v>138</v>
      </c>
      <c r="C191" t="s">
        <v>139</v>
      </c>
      <c r="D191" t="s">
        <v>44</v>
      </c>
      <c r="E191" s="1" t="s">
        <v>140</v>
      </c>
      <c r="F191" s="1"/>
      <c r="G191" s="4">
        <v>5.5</v>
      </c>
      <c r="H191" s="4">
        <v>63</v>
      </c>
      <c r="I191" s="11">
        <v>1.3</v>
      </c>
      <c r="K191" s="12">
        <f t="shared" si="8"/>
        <v>0.11394335230683679</v>
      </c>
      <c r="L191" s="11">
        <f>GraphSaureus!B$10-(Staphaureus!H191-GraphSaureus!B$6)/GraphSaureus!B$5</f>
        <v>0.20888501892948674</v>
      </c>
      <c r="M191" s="2" t="s">
        <v>152</v>
      </c>
      <c r="N191">
        <v>1965</v>
      </c>
      <c r="R191" s="10">
        <f>GraphSaureus!$B$39*Staphaureus!H191+GraphSaureus!$B$40</f>
        <v>0.20770244830156503</v>
      </c>
      <c r="S191" s="10" t="e">
        <f>GraphSaureus!$E$39*Staphaureus!H191+GraphSaureus!$E$40</f>
        <v>#DIV/0!</v>
      </c>
    </row>
    <row r="192" spans="1:19" x14ac:dyDescent="0.2">
      <c r="A192" s="1" t="s">
        <v>137</v>
      </c>
      <c r="B192" s="1" t="s">
        <v>138</v>
      </c>
      <c r="C192" t="s">
        <v>139</v>
      </c>
      <c r="D192" t="s">
        <v>44</v>
      </c>
      <c r="E192" s="1" t="s">
        <v>140</v>
      </c>
      <c r="F192" s="1"/>
      <c r="G192" s="4">
        <v>6.5</v>
      </c>
      <c r="H192" s="4">
        <v>63</v>
      </c>
      <c r="I192" s="11">
        <v>1.1000000000000001</v>
      </c>
      <c r="K192" s="12">
        <f t="shared" si="8"/>
        <v>4.1392685158225077E-2</v>
      </c>
      <c r="L192" s="11">
        <f>GraphSaureus!B$10-(Staphaureus!H192-GraphSaureus!B$6)/GraphSaureus!B$5</f>
        <v>0.20888501892948674</v>
      </c>
      <c r="M192" s="2" t="s">
        <v>152</v>
      </c>
      <c r="N192">
        <v>1965</v>
      </c>
      <c r="R192" s="10">
        <f>GraphSaureus!$B$39*Staphaureus!H192+GraphSaureus!$B$40</f>
        <v>0.20770244830156503</v>
      </c>
      <c r="S192" s="10" t="e">
        <f>GraphSaureus!$E$39*Staphaureus!H192+GraphSaureus!$E$40</f>
        <v>#DIV/0!</v>
      </c>
    </row>
    <row r="193" spans="1:20" x14ac:dyDescent="0.2">
      <c r="A193" s="1" t="s">
        <v>137</v>
      </c>
      <c r="B193" s="1" t="s">
        <v>138</v>
      </c>
      <c r="C193" t="s">
        <v>139</v>
      </c>
      <c r="D193" t="s">
        <v>44</v>
      </c>
      <c r="E193" s="1" t="s">
        <v>140</v>
      </c>
      <c r="F193" s="1"/>
      <c r="G193" s="4">
        <v>7.5</v>
      </c>
      <c r="H193" s="4">
        <v>63</v>
      </c>
      <c r="I193" s="11">
        <v>0.7</v>
      </c>
      <c r="K193" s="12">
        <f t="shared" si="8"/>
        <v>-0.15490195998574319</v>
      </c>
      <c r="L193" s="11">
        <f>GraphSaureus!B$10-(Staphaureus!H193-GraphSaureus!B$6)/GraphSaureus!B$5</f>
        <v>0.20888501892948674</v>
      </c>
      <c r="M193" s="2" t="s">
        <v>152</v>
      </c>
      <c r="N193">
        <v>1965</v>
      </c>
      <c r="R193" s="10">
        <f>GraphSaureus!$B$39*Staphaureus!H193+GraphSaureus!$B$40</f>
        <v>0.20770244830156503</v>
      </c>
      <c r="S193" s="10" t="e">
        <f>GraphSaureus!$E$39*Staphaureus!H193+GraphSaureus!$E$40</f>
        <v>#DIV/0!</v>
      </c>
    </row>
    <row r="194" spans="1:20" x14ac:dyDescent="0.2">
      <c r="A194" s="1" t="s">
        <v>137</v>
      </c>
      <c r="B194" s="1" t="s">
        <v>138</v>
      </c>
      <c r="D194" t="s">
        <v>47</v>
      </c>
      <c r="E194" s="1" t="s">
        <v>176</v>
      </c>
      <c r="H194" s="4">
        <v>60</v>
      </c>
      <c r="I194" s="11">
        <v>22</v>
      </c>
      <c r="K194" s="12">
        <f t="shared" si="8"/>
        <v>1.3424226808222062</v>
      </c>
      <c r="L194" s="11">
        <f>GraphSaureus!B$10-(Staphaureus!H194-GraphSaureus!B$6)/GraphSaureus!B$5</f>
        <v>0.55168819070383068</v>
      </c>
      <c r="M194" s="1" t="s">
        <v>1226</v>
      </c>
      <c r="N194">
        <v>1996</v>
      </c>
      <c r="O194" t="s">
        <v>177</v>
      </c>
      <c r="R194" s="10">
        <f>GraphSaureus!$B$39*Staphaureus!H194+GraphSaureus!$B$40</f>
        <v>0.5487594522345498</v>
      </c>
      <c r="S194" s="10" t="e">
        <f>GraphSaureus!$E$39*Staphaureus!H194+GraphSaureus!$E$40</f>
        <v>#DIV/0!</v>
      </c>
    </row>
    <row r="195" spans="1:20" x14ac:dyDescent="0.2">
      <c r="A195" s="1" t="s">
        <v>137</v>
      </c>
      <c r="B195" s="1" t="s">
        <v>138</v>
      </c>
      <c r="D195" t="s">
        <v>47</v>
      </c>
      <c r="E195" s="1" t="s">
        <v>176</v>
      </c>
      <c r="H195" s="4">
        <v>60</v>
      </c>
      <c r="I195" s="11">
        <v>32</v>
      </c>
      <c r="K195" s="12">
        <f t="shared" si="8"/>
        <v>1.505149978319906</v>
      </c>
      <c r="L195" s="11">
        <f>GraphSaureus!B$10-(Staphaureus!H195-GraphSaureus!B$6)/GraphSaureus!B$5</f>
        <v>0.55168819070383068</v>
      </c>
      <c r="M195" s="1" t="s">
        <v>1226</v>
      </c>
      <c r="N195">
        <v>1996</v>
      </c>
      <c r="O195" t="s">
        <v>178</v>
      </c>
      <c r="R195" s="10">
        <f>GraphSaureus!$B$39*Staphaureus!H195+GraphSaureus!$B$40</f>
        <v>0.5487594522345498</v>
      </c>
      <c r="S195" s="10" t="e">
        <f>GraphSaureus!$E$39*Staphaureus!H195+GraphSaureus!$E$40</f>
        <v>#DIV/0!</v>
      </c>
    </row>
    <row r="196" spans="1:20" x14ac:dyDescent="0.2">
      <c r="A196" s="1" t="s">
        <v>137</v>
      </c>
      <c r="B196" s="1" t="s">
        <v>138</v>
      </c>
      <c r="D196" t="s">
        <v>47</v>
      </c>
      <c r="E196" s="1" t="s">
        <v>176</v>
      </c>
      <c r="H196" s="4">
        <v>60</v>
      </c>
      <c r="I196" s="11">
        <v>12</v>
      </c>
      <c r="K196" s="12">
        <f t="shared" si="8"/>
        <v>1.0791812460476249</v>
      </c>
      <c r="L196" s="11">
        <f>GraphSaureus!B$10-(Staphaureus!H196-GraphSaureus!B$6)/GraphSaureus!B$5</f>
        <v>0.55168819070383068</v>
      </c>
      <c r="M196" s="1" t="s">
        <v>1226</v>
      </c>
      <c r="N196">
        <v>1996</v>
      </c>
      <c r="O196" t="s">
        <v>179</v>
      </c>
      <c r="R196" s="10">
        <f>GraphSaureus!$B$39*Staphaureus!H196+GraphSaureus!$B$40</f>
        <v>0.5487594522345498</v>
      </c>
      <c r="S196" s="10" t="e">
        <f>GraphSaureus!$E$39*Staphaureus!H196+GraphSaureus!$E$40</f>
        <v>#DIV/0!</v>
      </c>
    </row>
    <row r="197" spans="1:20" x14ac:dyDescent="0.2">
      <c r="A197" s="1" t="s">
        <v>137</v>
      </c>
      <c r="B197" s="1" t="s">
        <v>138</v>
      </c>
      <c r="D197" t="s">
        <v>47</v>
      </c>
      <c r="E197" s="1" t="s">
        <v>176</v>
      </c>
      <c r="H197" s="4">
        <v>60</v>
      </c>
      <c r="I197" s="11">
        <v>8</v>
      </c>
      <c r="K197" s="12">
        <f t="shared" si="8"/>
        <v>0.90308998699194354</v>
      </c>
      <c r="L197" s="11">
        <f>GraphSaureus!B$10-(Staphaureus!H197-GraphSaureus!B$6)/GraphSaureus!B$5</f>
        <v>0.55168819070383068</v>
      </c>
      <c r="M197" s="1" t="s">
        <v>1226</v>
      </c>
      <c r="N197">
        <v>1996</v>
      </c>
      <c r="O197" t="s">
        <v>101</v>
      </c>
      <c r="R197" s="10"/>
      <c r="S197" s="10"/>
    </row>
    <row r="198" spans="1:20" x14ac:dyDescent="0.2">
      <c r="A198" s="1" t="s">
        <v>137</v>
      </c>
      <c r="B198" s="1" t="s">
        <v>138</v>
      </c>
      <c r="D198" t="s">
        <v>47</v>
      </c>
      <c r="E198" s="1" t="s">
        <v>176</v>
      </c>
      <c r="H198" s="4">
        <v>60</v>
      </c>
      <c r="I198" s="11">
        <v>5</v>
      </c>
      <c r="K198" s="12">
        <f t="shared" si="8"/>
        <v>0.69897000433601886</v>
      </c>
      <c r="L198" s="11">
        <f>GraphSaureus!B$10-(Staphaureus!H198-GraphSaureus!B$6)/GraphSaureus!B$5</f>
        <v>0.55168819070383068</v>
      </c>
      <c r="M198" s="1" t="s">
        <v>1226</v>
      </c>
      <c r="N198">
        <v>1996</v>
      </c>
      <c r="O198" t="s">
        <v>100</v>
      </c>
      <c r="R198" s="10"/>
      <c r="S198" s="10"/>
    </row>
    <row r="199" spans="1:20" x14ac:dyDescent="0.2">
      <c r="A199" s="1" t="s">
        <v>137</v>
      </c>
      <c r="B199" s="1" t="s">
        <v>138</v>
      </c>
      <c r="D199" t="s">
        <v>47</v>
      </c>
      <c r="E199" s="1" t="s">
        <v>176</v>
      </c>
      <c r="H199" s="4">
        <v>60</v>
      </c>
      <c r="I199" s="11">
        <v>3</v>
      </c>
      <c r="K199" s="12">
        <f t="shared" si="8"/>
        <v>0.47712125471966244</v>
      </c>
      <c r="L199" s="11">
        <f>GraphSaureus!B$10-(Staphaureus!H199-GraphSaureus!B$6)/GraphSaureus!B$5</f>
        <v>0.55168819070383068</v>
      </c>
      <c r="M199" s="1" t="s">
        <v>1226</v>
      </c>
      <c r="N199">
        <v>1996</v>
      </c>
      <c r="O199" t="s">
        <v>102</v>
      </c>
      <c r="R199" s="10"/>
      <c r="S199" s="10"/>
    </row>
    <row r="200" spans="1:20" x14ac:dyDescent="0.2">
      <c r="A200" s="1" t="s">
        <v>137</v>
      </c>
      <c r="B200" s="1" t="s">
        <v>138</v>
      </c>
      <c r="C200" t="s">
        <v>184</v>
      </c>
      <c r="D200" t="s">
        <v>43</v>
      </c>
      <c r="E200" t="s">
        <v>75</v>
      </c>
      <c r="F200" s="1" t="s">
        <v>76</v>
      </c>
      <c r="H200" s="4">
        <v>60</v>
      </c>
      <c r="I200" s="11">
        <v>10.36</v>
      </c>
      <c r="K200" s="12">
        <f t="shared" si="8"/>
        <v>1.0153597554092142</v>
      </c>
      <c r="L200" s="11">
        <f>GraphSaureus!B$10-(Staphaureus!H200-GraphSaureus!B$6)/GraphSaureus!B$5</f>
        <v>0.55168819070383068</v>
      </c>
      <c r="M200" s="1" t="s">
        <v>121</v>
      </c>
      <c r="N200">
        <v>1966</v>
      </c>
    </row>
    <row r="201" spans="1:20" x14ac:dyDescent="0.2">
      <c r="A201" s="1" t="s">
        <v>137</v>
      </c>
      <c r="B201" s="1" t="s">
        <v>138</v>
      </c>
      <c r="C201" t="s">
        <v>184</v>
      </c>
      <c r="D201" t="s">
        <v>43</v>
      </c>
      <c r="E201" t="s">
        <v>75</v>
      </c>
      <c r="F201" s="1" t="s">
        <v>76</v>
      </c>
      <c r="H201" s="4">
        <v>60</v>
      </c>
      <c r="I201" s="11">
        <v>6.8710000000000004</v>
      </c>
      <c r="K201" s="12">
        <f t="shared" si="8"/>
        <v>0.83701994854090844</v>
      </c>
      <c r="L201" s="11">
        <f>GraphSaureus!B$10-(Staphaureus!H201-GraphSaureus!B$6)/GraphSaureus!B$5</f>
        <v>0.55168819070383068</v>
      </c>
      <c r="M201" s="1" t="s">
        <v>121</v>
      </c>
      <c r="N201">
        <v>1966</v>
      </c>
    </row>
    <row r="202" spans="1:20" x14ac:dyDescent="0.2">
      <c r="A202" s="1" t="s">
        <v>137</v>
      </c>
      <c r="B202" s="1" t="s">
        <v>138</v>
      </c>
      <c r="C202" t="s">
        <v>184</v>
      </c>
      <c r="D202" t="s">
        <v>43</v>
      </c>
      <c r="E202" t="s">
        <v>75</v>
      </c>
      <c r="F202" s="1" t="s">
        <v>76</v>
      </c>
      <c r="H202" s="4">
        <v>65.5</v>
      </c>
      <c r="I202" s="11">
        <v>0.63200000000000001</v>
      </c>
      <c r="K202" s="12">
        <f t="shared" si="8"/>
        <v>-0.19928292171761497</v>
      </c>
      <c r="L202" s="11">
        <f>GraphSaureus!B$10-(Staphaureus!H202-GraphSaureus!B$6)/GraphSaureus!B$5</f>
        <v>-7.6784290882466633E-2</v>
      </c>
      <c r="M202" s="1" t="s">
        <v>121</v>
      </c>
      <c r="N202">
        <v>1966</v>
      </c>
    </row>
    <row r="203" spans="1:20" x14ac:dyDescent="0.2">
      <c r="A203" s="1" t="s">
        <v>137</v>
      </c>
      <c r="B203" s="1" t="s">
        <v>138</v>
      </c>
      <c r="C203" t="s">
        <v>184</v>
      </c>
      <c r="D203" t="s">
        <v>43</v>
      </c>
      <c r="E203" t="s">
        <v>75</v>
      </c>
      <c r="F203" s="1" t="s">
        <v>76</v>
      </c>
      <c r="H203" s="4">
        <v>65.5</v>
      </c>
      <c r="I203" s="11">
        <v>0.40500000000000003</v>
      </c>
      <c r="K203" s="12">
        <f t="shared" si="8"/>
        <v>-0.3925449767853314</v>
      </c>
      <c r="L203" s="11">
        <f>GraphSaureus!B$10-(Staphaureus!H203-GraphSaureus!B$6)/GraphSaureus!B$5</f>
        <v>-7.6784290882466633E-2</v>
      </c>
      <c r="M203" s="1" t="s">
        <v>121</v>
      </c>
      <c r="N203">
        <v>1966</v>
      </c>
    </row>
    <row r="204" spans="1:20" x14ac:dyDescent="0.2">
      <c r="A204" s="1" t="s">
        <v>137</v>
      </c>
      <c r="B204" s="1" t="s">
        <v>138</v>
      </c>
      <c r="E204" s="1" t="s">
        <v>293</v>
      </c>
      <c r="F204" s="1"/>
      <c r="H204" s="4">
        <v>65.5</v>
      </c>
      <c r="I204" s="11">
        <v>0.2</v>
      </c>
      <c r="K204" s="12">
        <f t="shared" si="8"/>
        <v>-0.69897000433601875</v>
      </c>
      <c r="L204" s="11">
        <f>GraphSaureus!B$10-(Staphaureus!H204-GraphSaureus!B$6)/GraphSaureus!B$5</f>
        <v>-7.6784290882466633E-2</v>
      </c>
      <c r="M204" s="1" t="s">
        <v>294</v>
      </c>
      <c r="N204">
        <v>2000</v>
      </c>
    </row>
    <row r="205" spans="1:20" x14ac:dyDescent="0.2">
      <c r="A205" s="1" t="s">
        <v>137</v>
      </c>
      <c r="B205" s="1" t="s">
        <v>138</v>
      </c>
      <c r="E205" s="1" t="s">
        <v>293</v>
      </c>
      <c r="F205" s="1"/>
      <c r="H205" s="4">
        <v>65.5</v>
      </c>
      <c r="I205" s="11">
        <v>2</v>
      </c>
      <c r="K205" s="12">
        <f t="shared" si="8"/>
        <v>0.3010299956639812</v>
      </c>
      <c r="L205" s="11">
        <f>GraphSaureus!B$10-(Staphaureus!H205-GraphSaureus!B$6)/GraphSaureus!B$5</f>
        <v>-7.6784290882466633E-2</v>
      </c>
      <c r="M205" s="1" t="s">
        <v>294</v>
      </c>
      <c r="N205">
        <v>2000</v>
      </c>
    </row>
    <row r="206" spans="1:20" x14ac:dyDescent="0.2">
      <c r="A206" s="1" t="s">
        <v>137</v>
      </c>
      <c r="B206" s="1" t="s">
        <v>138</v>
      </c>
      <c r="C206" t="s">
        <v>142</v>
      </c>
      <c r="D206" t="s">
        <v>46</v>
      </c>
      <c r="E206" s="1" t="s">
        <v>230</v>
      </c>
      <c r="F206" s="19" t="s">
        <v>231</v>
      </c>
      <c r="H206" s="4">
        <v>60</v>
      </c>
      <c r="I206" s="9">
        <v>3.9</v>
      </c>
      <c r="J206" s="5"/>
      <c r="K206" s="12">
        <f t="shared" ref="K206:K236" si="9">LOG(I206)+$K$251</f>
        <v>0.59106460702649921</v>
      </c>
      <c r="L206" s="11">
        <f>GraphSaureus!D$10-(Staphaureus!H206-GraphSaureus!D$6)/GraphSaureus!D$5</f>
        <v>0.80009725692205536</v>
      </c>
      <c r="M206" s="1" t="s">
        <v>241</v>
      </c>
      <c r="N206">
        <v>1985</v>
      </c>
      <c r="O206" t="s">
        <v>237</v>
      </c>
      <c r="R206" s="10">
        <f>GraphSaureus!$B$39*Staphaureus!H206+GraphSaureus!$B$40</f>
        <v>0.5487594522345498</v>
      </c>
      <c r="S206" s="10"/>
      <c r="T206" s="10">
        <f>GraphSaureus!$H$39*Staphaureus!H206+GraphSaureus!$H$40</f>
        <v>0.64739813132443835</v>
      </c>
    </row>
    <row r="207" spans="1:20" x14ac:dyDescent="0.2">
      <c r="A207" s="1" t="s">
        <v>137</v>
      </c>
      <c r="B207" s="1" t="s">
        <v>138</v>
      </c>
      <c r="C207" t="s">
        <v>142</v>
      </c>
      <c r="D207" t="s">
        <v>46</v>
      </c>
      <c r="E207" s="1" t="s">
        <v>230</v>
      </c>
      <c r="F207" s="19" t="s">
        <v>231</v>
      </c>
      <c r="H207" s="4">
        <v>60</v>
      </c>
      <c r="I207" s="11">
        <v>6.4</v>
      </c>
      <c r="K207" s="12">
        <f t="shared" si="9"/>
        <v>0.80617997398388719</v>
      </c>
      <c r="L207" s="11">
        <f>GraphSaureus!D$10-(Staphaureus!H207-GraphSaureus!D$6)/GraphSaureus!D$5</f>
        <v>0.80009725692205536</v>
      </c>
      <c r="M207" s="1" t="s">
        <v>241</v>
      </c>
      <c r="N207">
        <v>1985</v>
      </c>
      <c r="O207" t="s">
        <v>238</v>
      </c>
      <c r="R207" s="10">
        <f>GraphSaureus!$B$39*Staphaureus!H207+GraphSaureus!$B$40</f>
        <v>0.5487594522345498</v>
      </c>
      <c r="S207" s="10"/>
      <c r="T207" s="10">
        <f>GraphSaureus!$H$39*Staphaureus!H207+GraphSaureus!$H$40</f>
        <v>0.64739813132443835</v>
      </c>
    </row>
    <row r="208" spans="1:20" x14ac:dyDescent="0.2">
      <c r="A208" s="1" t="s">
        <v>137</v>
      </c>
      <c r="B208" s="1" t="s">
        <v>138</v>
      </c>
      <c r="C208" t="s">
        <v>142</v>
      </c>
      <c r="D208" t="s">
        <v>46</v>
      </c>
      <c r="E208" s="1" t="s">
        <v>230</v>
      </c>
      <c r="F208" s="19" t="s">
        <v>231</v>
      </c>
      <c r="H208" s="4">
        <v>60</v>
      </c>
      <c r="I208" s="11">
        <v>5.0999999999999996</v>
      </c>
      <c r="K208" s="12">
        <f t="shared" si="9"/>
        <v>0.70757017609793638</v>
      </c>
      <c r="L208" s="11">
        <f>GraphSaureus!D$10-(Staphaureus!H208-GraphSaureus!D$6)/GraphSaureus!D$5</f>
        <v>0.80009725692205536</v>
      </c>
      <c r="M208" s="1" t="s">
        <v>241</v>
      </c>
      <c r="N208">
        <v>1985</v>
      </c>
      <c r="O208" t="s">
        <v>239</v>
      </c>
      <c r="R208" s="10">
        <f>GraphSaureus!$B$39*Staphaureus!H208+GraphSaureus!$B$40</f>
        <v>0.5487594522345498</v>
      </c>
      <c r="S208" s="10"/>
      <c r="T208" s="10">
        <f>GraphSaureus!$H$39*Staphaureus!H208+GraphSaureus!$H$40</f>
        <v>0.64739813132443835</v>
      </c>
    </row>
    <row r="209" spans="1:20" x14ac:dyDescent="0.2">
      <c r="A209" s="1" t="s">
        <v>137</v>
      </c>
      <c r="B209" s="1" t="s">
        <v>138</v>
      </c>
      <c r="C209" t="s">
        <v>142</v>
      </c>
      <c r="D209" t="s">
        <v>46</v>
      </c>
      <c r="E209" s="1" t="s">
        <v>230</v>
      </c>
      <c r="F209" s="19" t="s">
        <v>231</v>
      </c>
      <c r="H209" s="4">
        <v>60</v>
      </c>
      <c r="I209" s="11">
        <v>6</v>
      </c>
      <c r="K209" s="12">
        <f t="shared" si="9"/>
        <v>0.77815125038364363</v>
      </c>
      <c r="L209" s="11">
        <f>GraphSaureus!D$10-(Staphaureus!H209-GraphSaureus!D$6)/GraphSaureus!D$5</f>
        <v>0.80009725692205536</v>
      </c>
      <c r="M209" s="1" t="s">
        <v>241</v>
      </c>
      <c r="N209">
        <v>1985</v>
      </c>
      <c r="O209" t="s">
        <v>240</v>
      </c>
      <c r="R209" s="10">
        <f>GraphSaureus!$B$39*Staphaureus!H209+GraphSaureus!$B$40</f>
        <v>0.5487594522345498</v>
      </c>
      <c r="S209" s="10"/>
      <c r="T209" s="10">
        <f>GraphSaureus!$H$39*Staphaureus!H209+GraphSaureus!$H$40</f>
        <v>0.64739813132443835</v>
      </c>
    </row>
    <row r="210" spans="1:20" x14ac:dyDescent="0.2">
      <c r="A210" s="1" t="s">
        <v>137</v>
      </c>
      <c r="B210" s="1" t="s">
        <v>138</v>
      </c>
      <c r="C210" s="1" t="s">
        <v>142</v>
      </c>
      <c r="D210" t="s">
        <v>46</v>
      </c>
      <c r="E210" s="1" t="s">
        <v>230</v>
      </c>
      <c r="F210" s="21" t="s">
        <v>231</v>
      </c>
      <c r="H210" s="4">
        <v>60</v>
      </c>
      <c r="I210" s="11">
        <v>20.5</v>
      </c>
      <c r="K210" s="12">
        <f t="shared" si="9"/>
        <v>1.3117538610557542</v>
      </c>
      <c r="L210" s="11">
        <f>GraphSaureus!D$10-(Staphaureus!H210-GraphSaureus!D$6)/GraphSaureus!D$5</f>
        <v>0.80009725692205536</v>
      </c>
      <c r="M210" s="1" t="s">
        <v>241</v>
      </c>
      <c r="N210">
        <v>1985</v>
      </c>
      <c r="O210" t="s">
        <v>181</v>
      </c>
      <c r="R210" s="10">
        <f>GraphSaureus!$B$39*Staphaureus!H210+GraphSaureus!$B$40</f>
        <v>0.5487594522345498</v>
      </c>
      <c r="S210" s="10"/>
      <c r="T210" s="10">
        <f>GraphSaureus!$H$39*Staphaureus!H210+GraphSaureus!$H$40</f>
        <v>0.64739813132443835</v>
      </c>
    </row>
    <row r="211" spans="1:20" x14ac:dyDescent="0.2">
      <c r="A211" s="1" t="s">
        <v>137</v>
      </c>
      <c r="B211" s="1" t="s">
        <v>138</v>
      </c>
      <c r="C211" s="1" t="s">
        <v>142</v>
      </c>
      <c r="D211" t="s">
        <v>46</v>
      </c>
      <c r="E211" s="1" t="s">
        <v>230</v>
      </c>
      <c r="F211" s="21" t="s">
        <v>231</v>
      </c>
      <c r="H211" s="4">
        <v>60</v>
      </c>
      <c r="I211" s="11">
        <v>20</v>
      </c>
      <c r="K211" s="12">
        <f t="shared" si="9"/>
        <v>1.3010299956639813</v>
      </c>
      <c r="L211" s="11">
        <f>GraphSaureus!D$10-(Staphaureus!H211-GraphSaureus!D$6)/GraphSaureus!D$5</f>
        <v>0.80009725692205536</v>
      </c>
      <c r="M211" s="1" t="s">
        <v>241</v>
      </c>
      <c r="N211">
        <v>1985</v>
      </c>
      <c r="O211" t="s">
        <v>247</v>
      </c>
      <c r="R211" s="10">
        <f>GraphSaureus!$B$39*Staphaureus!H211+GraphSaureus!$B$40</f>
        <v>0.5487594522345498</v>
      </c>
      <c r="S211" s="10"/>
      <c r="T211" s="10">
        <f>GraphSaureus!$H$39*Staphaureus!H211+GraphSaureus!$H$40</f>
        <v>0.64739813132443835</v>
      </c>
    </row>
    <row r="212" spans="1:20" x14ac:dyDescent="0.2">
      <c r="A212" s="1" t="s">
        <v>137</v>
      </c>
      <c r="B212" s="1" t="s">
        <v>138</v>
      </c>
      <c r="C212" s="1" t="s">
        <v>142</v>
      </c>
      <c r="D212" t="s">
        <v>46</v>
      </c>
      <c r="E212" s="1" t="s">
        <v>230</v>
      </c>
      <c r="F212" s="21" t="s">
        <v>231</v>
      </c>
      <c r="H212" s="4">
        <v>70</v>
      </c>
      <c r="I212" s="11">
        <v>3.5</v>
      </c>
      <c r="K212" s="12">
        <f t="shared" si="9"/>
        <v>0.54406804435027567</v>
      </c>
      <c r="L212" s="11">
        <f>GraphSaureus!D$10-(Staphaureus!H212-GraphSaureus!D$6)/GraphSaureus!D$5</f>
        <v>0.48185295616057511</v>
      </c>
      <c r="M212" s="1" t="s">
        <v>241</v>
      </c>
      <c r="N212">
        <v>1985</v>
      </c>
      <c r="O212" t="s">
        <v>181</v>
      </c>
      <c r="R212" s="10">
        <f>GraphSaureus!$B$39*Staphaureus!H212+GraphSaureus!$B$40</f>
        <v>-0.58809722754206639</v>
      </c>
      <c r="S212" s="10"/>
      <c r="T212" s="10">
        <f>GraphSaureus!$H$39*Staphaureus!H212+GraphSaureus!$H$40</f>
        <v>-0.57819515277429367</v>
      </c>
    </row>
    <row r="213" spans="1:20" x14ac:dyDescent="0.2">
      <c r="A213" s="1" t="s">
        <v>137</v>
      </c>
      <c r="B213" s="1" t="s">
        <v>138</v>
      </c>
      <c r="C213" s="1" t="s">
        <v>142</v>
      </c>
      <c r="D213" t="s">
        <v>46</v>
      </c>
      <c r="E213" s="1" t="s">
        <v>230</v>
      </c>
      <c r="F213" s="21" t="s">
        <v>231</v>
      </c>
      <c r="H213" s="4">
        <v>70</v>
      </c>
      <c r="I213" s="11">
        <v>3.1</v>
      </c>
      <c r="K213" s="12">
        <f t="shared" si="9"/>
        <v>0.49136169383427269</v>
      </c>
      <c r="L213" s="11">
        <f>GraphSaureus!D$10-(Staphaureus!H213-GraphSaureus!D$6)/GraphSaureus!D$5</f>
        <v>0.48185295616057511</v>
      </c>
      <c r="M213" s="1" t="s">
        <v>241</v>
      </c>
      <c r="N213">
        <v>1985</v>
      </c>
      <c r="O213" t="s">
        <v>247</v>
      </c>
      <c r="R213" s="10">
        <f>GraphSaureus!$B$39*Staphaureus!H213+GraphSaureus!$B$40</f>
        <v>-0.58809722754206639</v>
      </c>
      <c r="S213" s="10"/>
      <c r="T213" s="10">
        <f>GraphSaureus!$H$39*Staphaureus!H213+GraphSaureus!$H$40</f>
        <v>-0.57819515277429367</v>
      </c>
    </row>
    <row r="214" spans="1:20" x14ac:dyDescent="0.2">
      <c r="A214" s="1" t="s">
        <v>137</v>
      </c>
      <c r="B214" s="1" t="s">
        <v>138</v>
      </c>
      <c r="C214" s="1" t="s">
        <v>142</v>
      </c>
      <c r="D214" t="s">
        <v>46</v>
      </c>
      <c r="E214" s="1" t="s">
        <v>230</v>
      </c>
      <c r="F214" s="21" t="s">
        <v>231</v>
      </c>
      <c r="H214" s="4">
        <v>76</v>
      </c>
      <c r="I214" s="11">
        <v>1.7</v>
      </c>
      <c r="K214" s="12">
        <f t="shared" si="9"/>
        <v>0.23044892137827391</v>
      </c>
      <c r="L214" s="11">
        <f>GraphSaureus!D$10-(Staphaureus!H214-GraphSaureus!D$6)/GraphSaureus!D$5</f>
        <v>0.29090637570368694</v>
      </c>
      <c r="M214" s="1" t="s">
        <v>241</v>
      </c>
      <c r="N214">
        <v>1985</v>
      </c>
      <c r="O214" t="s">
        <v>181</v>
      </c>
      <c r="R214" s="10"/>
      <c r="S214" s="10"/>
    </row>
    <row r="215" spans="1:20" x14ac:dyDescent="0.2">
      <c r="A215" s="1" t="s">
        <v>137</v>
      </c>
      <c r="B215" s="1" t="s">
        <v>138</v>
      </c>
      <c r="C215" s="1" t="s">
        <v>142</v>
      </c>
      <c r="D215" t="s">
        <v>46</v>
      </c>
      <c r="E215" s="1" t="s">
        <v>230</v>
      </c>
      <c r="F215" s="21" t="s">
        <v>231</v>
      </c>
      <c r="H215" s="4">
        <v>76</v>
      </c>
      <c r="I215" s="11">
        <v>2.9</v>
      </c>
      <c r="K215" s="12">
        <f t="shared" si="9"/>
        <v>0.46239799789895608</v>
      </c>
      <c r="L215" s="11">
        <f>GraphSaureus!D$10-(Staphaureus!H215-GraphSaureus!D$6)/GraphSaureus!D$5</f>
        <v>0.29090637570368694</v>
      </c>
      <c r="M215" s="1" t="s">
        <v>241</v>
      </c>
      <c r="N215">
        <v>1985</v>
      </c>
      <c r="O215" t="s">
        <v>247</v>
      </c>
      <c r="R215" s="10"/>
      <c r="S215" s="10"/>
    </row>
    <row r="216" spans="1:20" x14ac:dyDescent="0.2">
      <c r="A216" s="1" t="s">
        <v>137</v>
      </c>
      <c r="B216" s="1" t="s">
        <v>138</v>
      </c>
      <c r="C216" s="1" t="s">
        <v>142</v>
      </c>
      <c r="D216" t="s">
        <v>46</v>
      </c>
      <c r="E216" s="1" t="s">
        <v>230</v>
      </c>
      <c r="F216" s="21" t="s">
        <v>231</v>
      </c>
      <c r="H216" s="4">
        <v>85</v>
      </c>
      <c r="I216" s="11">
        <v>0.3</v>
      </c>
      <c r="K216" s="12">
        <f t="shared" si="9"/>
        <v>-0.52287874528033762</v>
      </c>
      <c r="L216" s="11">
        <f>GraphSaureus!D$10-(Staphaureus!H216-GraphSaureus!D$6)/GraphSaureus!D$5</f>
        <v>4.4865050183546806E-3</v>
      </c>
      <c r="M216" s="1" t="s">
        <v>241</v>
      </c>
      <c r="N216">
        <v>1985</v>
      </c>
      <c r="O216" t="s">
        <v>181</v>
      </c>
      <c r="R216" s="10"/>
      <c r="S216" s="10"/>
    </row>
    <row r="217" spans="1:20" x14ac:dyDescent="0.2">
      <c r="A217" s="1" t="s">
        <v>137</v>
      </c>
      <c r="B217" s="1" t="s">
        <v>138</v>
      </c>
      <c r="C217" s="1" t="s">
        <v>142</v>
      </c>
      <c r="D217" t="s">
        <v>46</v>
      </c>
      <c r="E217" s="1" t="s">
        <v>230</v>
      </c>
      <c r="F217" s="21" t="s">
        <v>231</v>
      </c>
      <c r="H217" s="4">
        <v>85</v>
      </c>
      <c r="I217" s="11">
        <v>1.1000000000000001</v>
      </c>
      <c r="K217" s="12">
        <f t="shared" si="9"/>
        <v>4.1392685158225077E-2</v>
      </c>
      <c r="L217" s="11">
        <f>GraphSaureus!D$10-(Staphaureus!H217-GraphSaureus!D$6)/GraphSaureus!D$5</f>
        <v>4.4865050183546806E-3</v>
      </c>
      <c r="M217" s="1" t="s">
        <v>241</v>
      </c>
      <c r="N217">
        <v>1985</v>
      </c>
      <c r="O217" t="s">
        <v>247</v>
      </c>
      <c r="R217" s="10"/>
      <c r="S217" s="10"/>
    </row>
    <row r="218" spans="1:20" x14ac:dyDescent="0.2">
      <c r="A218" s="1" t="s">
        <v>137</v>
      </c>
      <c r="B218" s="1" t="s">
        <v>138</v>
      </c>
      <c r="C218" s="1" t="s">
        <v>142</v>
      </c>
      <c r="D218" t="s">
        <v>46</v>
      </c>
      <c r="E218" s="1" t="s">
        <v>230</v>
      </c>
      <c r="F218" s="21" t="s">
        <v>231</v>
      </c>
      <c r="H218" s="4">
        <v>90</v>
      </c>
      <c r="I218" s="11">
        <v>0.4</v>
      </c>
      <c r="K218" s="12">
        <f t="shared" si="9"/>
        <v>-0.3979400086720376</v>
      </c>
      <c r="L218" s="11">
        <f>GraphSaureus!D$10-(Staphaureus!H218-GraphSaureus!D$6)/GraphSaureus!D$5</f>
        <v>-0.15463564536238539</v>
      </c>
      <c r="M218" s="1" t="s">
        <v>241</v>
      </c>
      <c r="N218">
        <v>1985</v>
      </c>
      <c r="O218" t="s">
        <v>181</v>
      </c>
      <c r="R218" s="10"/>
      <c r="S218" s="10"/>
    </row>
    <row r="219" spans="1:20" x14ac:dyDescent="0.2">
      <c r="A219" s="1" t="s">
        <v>137</v>
      </c>
      <c r="B219" s="1" t="s">
        <v>138</v>
      </c>
      <c r="C219" s="1" t="s">
        <v>142</v>
      </c>
      <c r="D219" t="s">
        <v>46</v>
      </c>
      <c r="E219" s="1" t="s">
        <v>230</v>
      </c>
      <c r="F219" s="21" t="s">
        <v>231</v>
      </c>
      <c r="H219" s="4">
        <v>90</v>
      </c>
      <c r="I219" s="9">
        <v>0.4</v>
      </c>
      <c r="J219" s="7"/>
      <c r="K219" s="12">
        <f t="shared" si="9"/>
        <v>-0.3979400086720376</v>
      </c>
      <c r="L219" s="11">
        <f>GraphSaureus!D$10-(Staphaureus!H219-GraphSaureus!D$6)/GraphSaureus!D$5</f>
        <v>-0.15463564536238539</v>
      </c>
      <c r="M219" s="1" t="s">
        <v>241</v>
      </c>
      <c r="N219">
        <v>1985</v>
      </c>
      <c r="O219" t="s">
        <v>247</v>
      </c>
      <c r="R219" s="10"/>
      <c r="S219" s="10"/>
    </row>
    <row r="220" spans="1:20" x14ac:dyDescent="0.2">
      <c r="A220" s="1" t="s">
        <v>137</v>
      </c>
      <c r="B220" s="1" t="s">
        <v>138</v>
      </c>
      <c r="C220" s="1" t="s">
        <v>142</v>
      </c>
      <c r="D220" t="s">
        <v>46</v>
      </c>
      <c r="E220" s="1" t="s">
        <v>230</v>
      </c>
      <c r="F220" s="21" t="s">
        <v>231</v>
      </c>
      <c r="H220" s="4">
        <v>60</v>
      </c>
      <c r="I220" s="9">
        <f>10^1.06</f>
        <v>11.481536214968834</v>
      </c>
      <c r="J220" s="7"/>
      <c r="K220" s="12">
        <f t="shared" si="9"/>
        <v>1.0600000000000003</v>
      </c>
      <c r="L220" s="11">
        <f>GraphSaureus!D$10-(Staphaureus!H220-GraphSaureus!D$6)/GraphSaureus!D$5</f>
        <v>0.80009725692205536</v>
      </c>
      <c r="M220" s="1" t="s">
        <v>241</v>
      </c>
      <c r="N220">
        <v>1985</v>
      </c>
      <c r="O220" t="s">
        <v>449</v>
      </c>
      <c r="R220" s="10"/>
      <c r="S220" s="10"/>
    </row>
    <row r="221" spans="1:20" x14ac:dyDescent="0.2">
      <c r="A221" s="1" t="s">
        <v>137</v>
      </c>
      <c r="B221" s="1" t="s">
        <v>138</v>
      </c>
      <c r="C221" s="1" t="s">
        <v>142</v>
      </c>
      <c r="D221" t="s">
        <v>46</v>
      </c>
      <c r="E221" s="1" t="s">
        <v>230</v>
      </c>
      <c r="F221" s="21" t="s">
        <v>231</v>
      </c>
      <c r="H221" s="4">
        <v>60</v>
      </c>
      <c r="I221" s="9">
        <f>10^0.99</f>
        <v>9.7723722095581103</v>
      </c>
      <c r="J221" s="7"/>
      <c r="K221" s="12">
        <f t="shared" si="9"/>
        <v>0.9900000000000001</v>
      </c>
      <c r="L221" s="11">
        <f>GraphSaureus!D$10-(Staphaureus!H221-GraphSaureus!D$6)/GraphSaureus!D$5</f>
        <v>0.80009725692205536</v>
      </c>
      <c r="M221" s="1" t="s">
        <v>241</v>
      </c>
      <c r="N221">
        <v>1985</v>
      </c>
      <c r="O221" t="s">
        <v>449</v>
      </c>
      <c r="R221" s="10"/>
      <c r="S221" s="10"/>
    </row>
    <row r="222" spans="1:20" x14ac:dyDescent="0.2">
      <c r="A222" s="1" t="s">
        <v>137</v>
      </c>
      <c r="B222" s="1" t="s">
        <v>138</v>
      </c>
      <c r="C222" s="1" t="s">
        <v>142</v>
      </c>
      <c r="D222" t="s">
        <v>46</v>
      </c>
      <c r="E222" s="1" t="s">
        <v>230</v>
      </c>
      <c r="F222" s="21" t="s">
        <v>231</v>
      </c>
      <c r="H222" s="4">
        <v>60</v>
      </c>
      <c r="I222" s="9">
        <f>10^0.92</f>
        <v>8.3176377110267108</v>
      </c>
      <c r="J222" s="7"/>
      <c r="K222" s="12">
        <f t="shared" si="9"/>
        <v>0.92</v>
      </c>
      <c r="L222" s="11">
        <f>GraphSaureus!D$10-(Staphaureus!H222-GraphSaureus!D$6)/GraphSaureus!D$5</f>
        <v>0.80009725692205536</v>
      </c>
      <c r="M222" s="1" t="s">
        <v>241</v>
      </c>
      <c r="N222">
        <v>1985</v>
      </c>
      <c r="O222" t="s">
        <v>449</v>
      </c>
      <c r="R222" s="10"/>
      <c r="S222" s="10"/>
    </row>
    <row r="223" spans="1:20" x14ac:dyDescent="0.2">
      <c r="A223" s="1" t="s">
        <v>137</v>
      </c>
      <c r="B223" s="1" t="s">
        <v>138</v>
      </c>
      <c r="C223" s="1" t="s">
        <v>142</v>
      </c>
      <c r="D223" t="s">
        <v>46</v>
      </c>
      <c r="E223" s="1" t="s">
        <v>230</v>
      </c>
      <c r="F223" s="21" t="s">
        <v>231</v>
      </c>
      <c r="H223" s="4">
        <v>70</v>
      </c>
      <c r="I223" s="9">
        <f>10^0.57</f>
        <v>3.7153522909717256</v>
      </c>
      <c r="J223" s="7"/>
      <c r="K223" s="12">
        <f t="shared" si="9"/>
        <v>0.57000000000000006</v>
      </c>
      <c r="L223" s="11">
        <f>GraphSaureus!D$10-(Staphaureus!H223-GraphSaureus!D$6)/GraphSaureus!D$5</f>
        <v>0.48185295616057511</v>
      </c>
      <c r="M223" s="1" t="s">
        <v>241</v>
      </c>
      <c r="N223">
        <v>1985</v>
      </c>
      <c r="O223" t="s">
        <v>449</v>
      </c>
      <c r="R223" s="10"/>
      <c r="S223" s="10"/>
    </row>
    <row r="224" spans="1:20" x14ac:dyDescent="0.2">
      <c r="A224" s="1" t="s">
        <v>137</v>
      </c>
      <c r="B224" s="1" t="s">
        <v>138</v>
      </c>
      <c r="C224" s="1" t="s">
        <v>142</v>
      </c>
      <c r="D224" t="s">
        <v>46</v>
      </c>
      <c r="E224" s="1" t="s">
        <v>230</v>
      </c>
      <c r="F224" s="21" t="s">
        <v>231</v>
      </c>
      <c r="H224" s="4">
        <v>70</v>
      </c>
      <c r="I224" s="9">
        <f>10^0.34</f>
        <v>2.1877616239495525</v>
      </c>
      <c r="J224" s="7"/>
      <c r="K224" s="12">
        <f t="shared" si="9"/>
        <v>0.33999999999999997</v>
      </c>
      <c r="L224" s="11">
        <f>GraphSaureus!D$10-(Staphaureus!H224-GraphSaureus!D$6)/GraphSaureus!D$5</f>
        <v>0.48185295616057511</v>
      </c>
      <c r="M224" s="1" t="s">
        <v>241</v>
      </c>
      <c r="N224">
        <v>1985</v>
      </c>
      <c r="O224" t="s">
        <v>449</v>
      </c>
      <c r="R224" s="10"/>
      <c r="S224" s="10"/>
    </row>
    <row r="225" spans="1:20" x14ac:dyDescent="0.2">
      <c r="A225" s="1" t="s">
        <v>137</v>
      </c>
      <c r="B225" s="1" t="s">
        <v>138</v>
      </c>
      <c r="C225" s="1" t="s">
        <v>142</v>
      </c>
      <c r="D225" t="s">
        <v>46</v>
      </c>
      <c r="E225" s="1" t="s">
        <v>230</v>
      </c>
      <c r="F225" s="21" t="s">
        <v>231</v>
      </c>
      <c r="H225" s="4">
        <v>75</v>
      </c>
      <c r="I225" s="9">
        <f>10^0.48</f>
        <v>3.0199517204020165</v>
      </c>
      <c r="J225" s="7"/>
      <c r="K225" s="12">
        <f t="shared" si="9"/>
        <v>0.48000000000000004</v>
      </c>
      <c r="L225" s="11">
        <f>GraphSaureus!D$10-(Staphaureus!H225-GraphSaureus!D$6)/GraphSaureus!D$5</f>
        <v>0.32273080577983498</v>
      </c>
      <c r="M225" s="1" t="s">
        <v>241</v>
      </c>
      <c r="N225">
        <v>1985</v>
      </c>
      <c r="O225" t="s">
        <v>449</v>
      </c>
      <c r="R225" s="10"/>
      <c r="S225" s="10"/>
    </row>
    <row r="226" spans="1:20" x14ac:dyDescent="0.2">
      <c r="A226" s="1" t="s">
        <v>137</v>
      </c>
      <c r="B226" s="1" t="s">
        <v>138</v>
      </c>
      <c r="C226" s="1" t="s">
        <v>142</v>
      </c>
      <c r="D226" t="s">
        <v>46</v>
      </c>
      <c r="E226" s="1" t="s">
        <v>230</v>
      </c>
      <c r="F226" s="21" t="s">
        <v>231</v>
      </c>
      <c r="H226" s="4">
        <v>75</v>
      </c>
      <c r="I226" s="9">
        <f>10^0.25</f>
        <v>1.778279410038923</v>
      </c>
      <c r="J226" s="7"/>
      <c r="K226" s="12">
        <f t="shared" si="9"/>
        <v>0.25000000000000006</v>
      </c>
      <c r="L226" s="11">
        <f>GraphSaureus!D$10-(Staphaureus!H226-GraphSaureus!D$6)/GraphSaureus!D$5</f>
        <v>0.32273080577983498</v>
      </c>
      <c r="M226" s="1" t="s">
        <v>241</v>
      </c>
      <c r="N226">
        <v>1985</v>
      </c>
      <c r="O226" t="s">
        <v>449</v>
      </c>
      <c r="R226" s="10"/>
      <c r="S226" s="10"/>
    </row>
    <row r="227" spans="1:20" x14ac:dyDescent="0.2">
      <c r="A227" s="1" t="s">
        <v>137</v>
      </c>
      <c r="B227" s="1" t="s">
        <v>138</v>
      </c>
      <c r="C227" s="1" t="s">
        <v>142</v>
      </c>
      <c r="D227" t="s">
        <v>46</v>
      </c>
      <c r="E227" s="1" t="s">
        <v>230</v>
      </c>
      <c r="F227" s="21" t="s">
        <v>231</v>
      </c>
      <c r="H227" s="4">
        <v>75</v>
      </c>
      <c r="I227" s="9">
        <f>10^0.31</f>
        <v>2.0417379446695296</v>
      </c>
      <c r="J227" s="7"/>
      <c r="K227" s="12">
        <f t="shared" si="9"/>
        <v>0.31000000000000005</v>
      </c>
      <c r="L227" s="11">
        <f>GraphSaureus!D$10-(Staphaureus!H227-GraphSaureus!D$6)/GraphSaureus!D$5</f>
        <v>0.32273080577983498</v>
      </c>
      <c r="M227" s="1" t="s">
        <v>241</v>
      </c>
      <c r="N227">
        <v>1985</v>
      </c>
      <c r="O227" t="s">
        <v>449</v>
      </c>
      <c r="R227" s="10"/>
      <c r="S227" s="10"/>
    </row>
    <row r="228" spans="1:20" x14ac:dyDescent="0.2">
      <c r="A228" s="1" t="s">
        <v>137</v>
      </c>
      <c r="B228" s="1" t="s">
        <v>138</v>
      </c>
      <c r="C228" s="1" t="s">
        <v>142</v>
      </c>
      <c r="D228" t="s">
        <v>46</v>
      </c>
      <c r="E228" s="1" t="s">
        <v>230</v>
      </c>
      <c r="F228" s="21" t="s">
        <v>231</v>
      </c>
      <c r="H228" s="4">
        <v>80</v>
      </c>
      <c r="I228" s="9">
        <f>10^0.48</f>
        <v>3.0199517204020165</v>
      </c>
      <c r="J228" s="7"/>
      <c r="K228" s="12">
        <f t="shared" si="9"/>
        <v>0.48000000000000004</v>
      </c>
      <c r="L228" s="11">
        <f>GraphSaureus!D$10-(Staphaureus!H228-GraphSaureus!D$6)/GraphSaureus!D$5</f>
        <v>0.16360865539909486</v>
      </c>
      <c r="M228" s="1" t="s">
        <v>241</v>
      </c>
      <c r="N228">
        <v>1985</v>
      </c>
      <c r="O228" t="s">
        <v>449</v>
      </c>
      <c r="R228" s="10"/>
      <c r="S228" s="10"/>
    </row>
    <row r="229" spans="1:20" x14ac:dyDescent="0.2">
      <c r="A229" s="1" t="s">
        <v>137</v>
      </c>
      <c r="B229" s="1" t="s">
        <v>138</v>
      </c>
      <c r="C229" s="1" t="s">
        <v>142</v>
      </c>
      <c r="D229" t="s">
        <v>46</v>
      </c>
      <c r="E229" s="1" t="s">
        <v>230</v>
      </c>
      <c r="F229" s="21" t="s">
        <v>231</v>
      </c>
      <c r="H229" s="4">
        <v>80</v>
      </c>
      <c r="I229" s="9">
        <f>10^0.25</f>
        <v>1.778279410038923</v>
      </c>
      <c r="J229" s="7"/>
      <c r="K229" s="12">
        <f t="shared" si="9"/>
        <v>0.25000000000000006</v>
      </c>
      <c r="L229" s="11">
        <f>GraphSaureus!D$10-(Staphaureus!H229-GraphSaureus!D$6)/GraphSaureus!D$5</f>
        <v>0.16360865539909486</v>
      </c>
      <c r="M229" s="1" t="s">
        <v>241</v>
      </c>
      <c r="N229">
        <v>1985</v>
      </c>
      <c r="O229" t="s">
        <v>449</v>
      </c>
      <c r="R229" s="10"/>
      <c r="S229" s="10"/>
    </row>
    <row r="230" spans="1:20" x14ac:dyDescent="0.2">
      <c r="A230" s="1" t="s">
        <v>137</v>
      </c>
      <c r="B230" s="1" t="s">
        <v>138</v>
      </c>
      <c r="C230" s="1" t="s">
        <v>142</v>
      </c>
      <c r="D230" t="s">
        <v>46</v>
      </c>
      <c r="E230" s="1" t="s">
        <v>230</v>
      </c>
      <c r="F230" s="21" t="s">
        <v>231</v>
      </c>
      <c r="H230" s="4">
        <v>85</v>
      </c>
      <c r="I230" s="9">
        <f>10^0.16</f>
        <v>1.4454397707459274</v>
      </c>
      <c r="J230" s="7"/>
      <c r="K230" s="12">
        <f t="shared" si="9"/>
        <v>0.15999999999999998</v>
      </c>
      <c r="L230" s="11">
        <f>GraphSaureus!D$10-(Staphaureus!H230-GraphSaureus!D$6)/GraphSaureus!D$5</f>
        <v>4.4865050183546806E-3</v>
      </c>
      <c r="M230" s="1" t="s">
        <v>241</v>
      </c>
      <c r="N230">
        <v>1985</v>
      </c>
      <c r="O230" t="s">
        <v>449</v>
      </c>
      <c r="R230" s="10"/>
      <c r="S230" s="10"/>
    </row>
    <row r="231" spans="1:20" x14ac:dyDescent="0.2">
      <c r="A231" s="1" t="s">
        <v>137</v>
      </c>
      <c r="B231" s="1" t="s">
        <v>138</v>
      </c>
      <c r="C231" s="1" t="s">
        <v>142</v>
      </c>
      <c r="D231" t="s">
        <v>46</v>
      </c>
      <c r="E231" s="1" t="s">
        <v>230</v>
      </c>
      <c r="F231" s="21" t="s">
        <v>231</v>
      </c>
      <c r="H231" s="4">
        <v>85</v>
      </c>
      <c r="I231" s="9">
        <f>10^-0.22</f>
        <v>0.60255958607435778</v>
      </c>
      <c r="J231" s="7"/>
      <c r="K231" s="12">
        <f t="shared" si="9"/>
        <v>-0.21999999999999997</v>
      </c>
      <c r="L231" s="11">
        <f>GraphSaureus!D$10-(Staphaureus!H231-GraphSaureus!D$6)/GraphSaureus!D$5</f>
        <v>4.4865050183546806E-3</v>
      </c>
      <c r="M231" s="1" t="s">
        <v>241</v>
      </c>
      <c r="N231">
        <v>1985</v>
      </c>
      <c r="O231" t="s">
        <v>449</v>
      </c>
      <c r="R231" s="10"/>
      <c r="S231" s="10"/>
    </row>
    <row r="232" spans="1:20" x14ac:dyDescent="0.2">
      <c r="A232" s="1" t="s">
        <v>137</v>
      </c>
      <c r="B232" s="1" t="s">
        <v>138</v>
      </c>
      <c r="C232" s="1" t="s">
        <v>142</v>
      </c>
      <c r="D232" t="s">
        <v>46</v>
      </c>
      <c r="E232" s="1" t="s">
        <v>230</v>
      </c>
      <c r="F232" s="21" t="s">
        <v>231</v>
      </c>
      <c r="H232" s="4">
        <v>90</v>
      </c>
      <c r="I232" s="9">
        <f>10^0.09</f>
        <v>1.2302687708123816</v>
      </c>
      <c r="J232" s="7"/>
      <c r="K232" s="12">
        <f t="shared" si="9"/>
        <v>9.0000000000000024E-2</v>
      </c>
      <c r="L232" s="11">
        <f>GraphSaureus!D$10-(Staphaureus!H232-GraphSaureus!D$6)/GraphSaureus!D$5</f>
        <v>-0.15463564536238539</v>
      </c>
      <c r="M232" s="1" t="s">
        <v>241</v>
      </c>
      <c r="N232">
        <v>1985</v>
      </c>
      <c r="O232" t="s">
        <v>449</v>
      </c>
      <c r="R232" s="10"/>
      <c r="S232" s="10"/>
    </row>
    <row r="233" spans="1:20" x14ac:dyDescent="0.2">
      <c r="A233" s="1" t="s">
        <v>137</v>
      </c>
      <c r="B233" s="1" t="s">
        <v>138</v>
      </c>
      <c r="C233" s="1" t="s">
        <v>142</v>
      </c>
      <c r="D233" t="s">
        <v>46</v>
      </c>
      <c r="E233" s="1" t="s">
        <v>230</v>
      </c>
      <c r="F233" s="21" t="s">
        <v>231</v>
      </c>
      <c r="H233" s="4">
        <v>90</v>
      </c>
      <c r="I233" s="9">
        <f>10^0.02</f>
        <v>1.0471285480508996</v>
      </c>
      <c r="J233" s="7"/>
      <c r="K233" s="12">
        <f t="shared" si="9"/>
        <v>2.0000000000000032E-2</v>
      </c>
      <c r="L233" s="11">
        <f>GraphSaureus!D$10-(Staphaureus!H233-GraphSaureus!D$6)/GraphSaureus!D$5</f>
        <v>-0.15463564536238539</v>
      </c>
      <c r="M233" s="1" t="s">
        <v>241</v>
      </c>
      <c r="N233">
        <v>1985</v>
      </c>
      <c r="O233" t="s">
        <v>449</v>
      </c>
      <c r="R233" s="10"/>
      <c r="S233" s="10"/>
    </row>
    <row r="234" spans="1:20" x14ac:dyDescent="0.2">
      <c r="A234" s="1" t="s">
        <v>137</v>
      </c>
      <c r="B234" s="1" t="s">
        <v>138</v>
      </c>
      <c r="C234" s="1" t="s">
        <v>142</v>
      </c>
      <c r="D234" t="s">
        <v>46</v>
      </c>
      <c r="E234" s="1" t="s">
        <v>230</v>
      </c>
      <c r="F234" s="21" t="s">
        <v>231</v>
      </c>
      <c r="H234" s="4">
        <v>90</v>
      </c>
      <c r="I234" s="9">
        <f>10^-0.12</f>
        <v>0.75857757502918366</v>
      </c>
      <c r="J234" s="7"/>
      <c r="K234" s="12">
        <f t="shared" si="9"/>
        <v>-0.12000000000000006</v>
      </c>
      <c r="L234" s="11">
        <f>GraphSaureus!D$10-(Staphaureus!H234-GraphSaureus!D$6)/GraphSaureus!D$5</f>
        <v>-0.15463564536238539</v>
      </c>
      <c r="M234" s="1" t="s">
        <v>241</v>
      </c>
      <c r="N234">
        <v>1985</v>
      </c>
      <c r="O234" t="s">
        <v>449</v>
      </c>
      <c r="R234" s="10"/>
      <c r="S234" s="10"/>
    </row>
    <row r="235" spans="1:20" x14ac:dyDescent="0.2">
      <c r="A235" s="1" t="s">
        <v>137</v>
      </c>
      <c r="B235" s="1" t="s">
        <v>138</v>
      </c>
      <c r="C235" s="1" t="s">
        <v>142</v>
      </c>
      <c r="D235" t="s">
        <v>46</v>
      </c>
      <c r="E235" s="1" t="s">
        <v>230</v>
      </c>
      <c r="F235" s="21" t="s">
        <v>231</v>
      </c>
      <c r="H235" s="4">
        <v>95</v>
      </c>
      <c r="I235" s="9">
        <f>10^0.2</f>
        <v>1.5848931924611136</v>
      </c>
      <c r="J235" s="7"/>
      <c r="K235" s="12">
        <f t="shared" si="9"/>
        <v>0.20000000000000004</v>
      </c>
      <c r="L235" s="11">
        <f>GraphSaureus!D$10-(Staphaureus!H235-GraphSaureus!D$6)/GraphSaureus!D$5</f>
        <v>-0.31375779574312557</v>
      </c>
      <c r="M235" s="1" t="s">
        <v>241</v>
      </c>
      <c r="N235">
        <v>1985</v>
      </c>
      <c r="O235" t="s">
        <v>449</v>
      </c>
      <c r="R235" s="10"/>
      <c r="S235" s="10"/>
    </row>
    <row r="236" spans="1:20" x14ac:dyDescent="0.2">
      <c r="A236" s="1" t="s">
        <v>137</v>
      </c>
      <c r="B236" s="1" t="s">
        <v>138</v>
      </c>
      <c r="C236" s="1" t="s">
        <v>142</v>
      </c>
      <c r="D236" t="s">
        <v>46</v>
      </c>
      <c r="E236" s="1" t="s">
        <v>230</v>
      </c>
      <c r="F236" s="21" t="s">
        <v>231</v>
      </c>
      <c r="H236" s="4">
        <v>95</v>
      </c>
      <c r="I236" s="9">
        <f>10^-0.19</f>
        <v>0.64565422903465541</v>
      </c>
      <c r="J236" s="7"/>
      <c r="K236" s="12">
        <f t="shared" si="9"/>
        <v>-0.19000000000000006</v>
      </c>
      <c r="L236" s="11">
        <f>GraphSaureus!D$10-(Staphaureus!H236-GraphSaureus!D$6)/GraphSaureus!D$5</f>
        <v>-0.31375779574312557</v>
      </c>
      <c r="M236" s="1" t="s">
        <v>241</v>
      </c>
      <c r="N236">
        <v>1985</v>
      </c>
      <c r="O236" t="s">
        <v>449</v>
      </c>
      <c r="R236" s="10"/>
      <c r="S236" s="10"/>
    </row>
    <row r="237" spans="1:20" x14ac:dyDescent="0.2">
      <c r="A237" s="1" t="s">
        <v>137</v>
      </c>
      <c r="B237" s="1" t="s">
        <v>138</v>
      </c>
      <c r="C237" s="1" t="s">
        <v>142</v>
      </c>
      <c r="D237" t="s">
        <v>45</v>
      </c>
      <c r="E237" s="1" t="s">
        <v>246</v>
      </c>
      <c r="H237" s="4">
        <v>60</v>
      </c>
      <c r="I237" s="11">
        <v>9.1</v>
      </c>
      <c r="K237" s="12">
        <f t="shared" ref="K237:K244" si="10">LOG(I237)</f>
        <v>0.95904139232109353</v>
      </c>
      <c r="L237" s="11">
        <f>GraphSaureus!D$10-(Staphaureus!H237-GraphSaureus!D$6)/GraphSaureus!D$5</f>
        <v>0.80009725692205536</v>
      </c>
      <c r="M237" s="1" t="s">
        <v>241</v>
      </c>
      <c r="N237">
        <v>1985</v>
      </c>
      <c r="O237" t="s">
        <v>181</v>
      </c>
      <c r="R237" s="10"/>
      <c r="S237" s="10"/>
    </row>
    <row r="238" spans="1:20" x14ac:dyDescent="0.2">
      <c r="A238" s="1" t="s">
        <v>137</v>
      </c>
      <c r="B238" s="1" t="s">
        <v>138</v>
      </c>
      <c r="C238" s="1" t="s">
        <v>142</v>
      </c>
      <c r="D238" t="s">
        <v>45</v>
      </c>
      <c r="E238" s="1" t="s">
        <v>246</v>
      </c>
      <c r="H238" s="4">
        <v>76</v>
      </c>
      <c r="I238" s="11">
        <v>1.1000000000000001</v>
      </c>
      <c r="K238" s="12">
        <f t="shared" si="10"/>
        <v>4.1392685158225077E-2</v>
      </c>
      <c r="L238" s="11">
        <f>GraphSaureus!D$10-(Staphaureus!H238-GraphSaureus!D$6)/GraphSaureus!D$5</f>
        <v>0.29090637570368694</v>
      </c>
      <c r="M238" s="1" t="s">
        <v>241</v>
      </c>
      <c r="N238">
        <v>1985</v>
      </c>
      <c r="O238" t="s">
        <v>181</v>
      </c>
      <c r="R238" s="10"/>
      <c r="S238" s="10"/>
    </row>
    <row r="239" spans="1:20" x14ac:dyDescent="0.2">
      <c r="A239" s="1" t="s">
        <v>137</v>
      </c>
      <c r="B239" s="1" t="s">
        <v>138</v>
      </c>
      <c r="C239" s="1" t="s">
        <v>142</v>
      </c>
      <c r="D239" t="s">
        <v>45</v>
      </c>
      <c r="E239" s="1" t="s">
        <v>246</v>
      </c>
      <c r="H239" s="4">
        <v>80</v>
      </c>
      <c r="I239" s="11">
        <v>1.3</v>
      </c>
      <c r="K239" s="12">
        <f t="shared" si="10"/>
        <v>0.11394335230683679</v>
      </c>
      <c r="L239" s="11">
        <f>GraphSaureus!D$10-(Staphaureus!H239-GraphSaureus!D$6)/GraphSaureus!D$5</f>
        <v>0.16360865539909486</v>
      </c>
      <c r="M239" s="1" t="s">
        <v>241</v>
      </c>
      <c r="N239">
        <v>1985</v>
      </c>
      <c r="O239" t="s">
        <v>181</v>
      </c>
      <c r="R239" s="10">
        <f>GraphSaureus!$B$39*Staphaureus!H239+GraphSaureus!$B$40</f>
        <v>-1.7249539073186835</v>
      </c>
      <c r="S239" s="10"/>
      <c r="T239" s="10">
        <f>GraphSaureus!$H$39*Staphaureus!H239+GraphSaureus!$H$40</f>
        <v>-1.8037884368730239</v>
      </c>
    </row>
    <row r="240" spans="1:20" x14ac:dyDescent="0.2">
      <c r="A240" s="1" t="s">
        <v>137</v>
      </c>
      <c r="B240" s="1" t="s">
        <v>138</v>
      </c>
      <c r="C240" s="1" t="s">
        <v>142</v>
      </c>
      <c r="D240" t="s">
        <v>45</v>
      </c>
      <c r="E240" s="1" t="s">
        <v>246</v>
      </c>
      <c r="H240" s="4">
        <v>85</v>
      </c>
      <c r="I240" s="11">
        <v>1</v>
      </c>
      <c r="K240" s="12">
        <f t="shared" si="10"/>
        <v>0</v>
      </c>
      <c r="L240" s="11">
        <f>GraphSaureus!D$10-(Staphaureus!H240-GraphSaureus!D$6)/GraphSaureus!D$5</f>
        <v>4.4865050183546806E-3</v>
      </c>
      <c r="M240" s="1" t="s">
        <v>241</v>
      </c>
      <c r="N240">
        <v>1985</v>
      </c>
      <c r="O240" t="s">
        <v>181</v>
      </c>
      <c r="R240" s="10">
        <f>GraphSaureus!$B$39*Staphaureus!H240+GraphSaureus!$B$40</f>
        <v>-2.293382247206992</v>
      </c>
      <c r="S240" s="10"/>
      <c r="T240" s="10">
        <f>GraphSaureus!$H$39*Staphaureus!H240+GraphSaureus!$H$40</f>
        <v>-2.4165850789223899</v>
      </c>
    </row>
    <row r="241" spans="1:20" x14ac:dyDescent="0.2">
      <c r="A241" s="1" t="s">
        <v>137</v>
      </c>
      <c r="B241" s="1" t="s">
        <v>138</v>
      </c>
      <c r="C241" s="1" t="s">
        <v>142</v>
      </c>
      <c r="D241" t="s">
        <v>45</v>
      </c>
      <c r="E241" s="1" t="s">
        <v>1239</v>
      </c>
      <c r="H241" s="4">
        <v>60</v>
      </c>
      <c r="I241" s="11">
        <v>2.1</v>
      </c>
      <c r="K241" s="12">
        <f t="shared" si="10"/>
        <v>0.3222192947339193</v>
      </c>
      <c r="L241" s="11">
        <f>GraphSaureus!D$10-(Staphaureus!H241-GraphSaureus!D$6)/GraphSaureus!D$5</f>
        <v>0.80009725692205536</v>
      </c>
      <c r="M241" s="1" t="s">
        <v>241</v>
      </c>
      <c r="N241">
        <v>1985</v>
      </c>
      <c r="O241" t="s">
        <v>181</v>
      </c>
      <c r="R241" s="10">
        <f>GraphSaureus!$B$39*Staphaureus!H241+GraphSaureus!$B$40</f>
        <v>0.5487594522345498</v>
      </c>
      <c r="S241" s="10"/>
      <c r="T241" s="10">
        <f>GraphSaureus!$H$39*Staphaureus!H241+GraphSaureus!$H$40</f>
        <v>0.64739813132443835</v>
      </c>
    </row>
    <row r="242" spans="1:20" x14ac:dyDescent="0.2">
      <c r="A242" s="1" t="s">
        <v>137</v>
      </c>
      <c r="B242" s="1" t="s">
        <v>138</v>
      </c>
      <c r="C242" s="1" t="s">
        <v>142</v>
      </c>
      <c r="D242" t="s">
        <v>45</v>
      </c>
      <c r="E242" s="1" t="s">
        <v>1239</v>
      </c>
      <c r="H242" s="4">
        <v>60</v>
      </c>
      <c r="I242" s="11">
        <v>2.2000000000000002</v>
      </c>
      <c r="K242" s="12">
        <f t="shared" si="10"/>
        <v>0.34242268082220628</v>
      </c>
      <c r="L242" s="11">
        <f>GraphSaureus!D$10-(Staphaureus!H242-GraphSaureus!D$6)/GraphSaureus!D$5</f>
        <v>0.80009725692205536</v>
      </c>
      <c r="M242" s="1" t="s">
        <v>241</v>
      </c>
      <c r="N242">
        <v>1985</v>
      </c>
      <c r="O242" t="s">
        <v>247</v>
      </c>
      <c r="R242" s="10">
        <f>GraphSaureus!$B$39*Staphaureus!H242+GraphSaureus!$B$40</f>
        <v>0.5487594522345498</v>
      </c>
      <c r="S242" s="10"/>
      <c r="T242" s="10">
        <f>GraphSaureus!$H$39*Staphaureus!H242+GraphSaureus!$H$40</f>
        <v>0.64739813132443835</v>
      </c>
    </row>
    <row r="243" spans="1:20" x14ac:dyDescent="0.2">
      <c r="A243" s="1" t="s">
        <v>137</v>
      </c>
      <c r="B243" s="1" t="s">
        <v>138</v>
      </c>
      <c r="C243" s="1" t="s">
        <v>142</v>
      </c>
      <c r="D243" t="s">
        <v>45</v>
      </c>
      <c r="E243" s="1" t="s">
        <v>1239</v>
      </c>
      <c r="H243" s="4">
        <v>76</v>
      </c>
      <c r="I243" s="11">
        <v>0.8</v>
      </c>
      <c r="K243" s="12">
        <f t="shared" si="10"/>
        <v>-9.6910013008056392E-2</v>
      </c>
      <c r="L243" s="11">
        <f>GraphSaureus!D$10-(Staphaureus!H243-GraphSaureus!D$6)/GraphSaureus!D$5</f>
        <v>0.29090637570368694</v>
      </c>
      <c r="M243" s="1" t="s">
        <v>241</v>
      </c>
      <c r="N243">
        <v>1985</v>
      </c>
      <c r="O243" t="s">
        <v>181</v>
      </c>
      <c r="R243" s="10">
        <f>GraphSaureus!$B$39*Staphaureus!H243+GraphSaureus!$B$40</f>
        <v>-1.2702112354080359</v>
      </c>
      <c r="S243" s="10"/>
      <c r="T243" s="10">
        <f>GraphSaureus!$H$39*Staphaureus!H243+GraphSaureus!$H$40</f>
        <v>-1.3135511232335322</v>
      </c>
    </row>
    <row r="244" spans="1:20" x14ac:dyDescent="0.2">
      <c r="A244" s="1" t="s">
        <v>137</v>
      </c>
      <c r="B244" s="1" t="s">
        <v>138</v>
      </c>
      <c r="C244" s="1" t="s">
        <v>142</v>
      </c>
      <c r="D244" t="s">
        <v>45</v>
      </c>
      <c r="E244" s="1" t="s">
        <v>1239</v>
      </c>
      <c r="H244" s="4">
        <v>76</v>
      </c>
      <c r="I244" s="11">
        <v>0.7</v>
      </c>
      <c r="K244" s="12">
        <f t="shared" si="10"/>
        <v>-0.15490195998574319</v>
      </c>
      <c r="L244" s="11">
        <f>GraphSaureus!D$10-(Staphaureus!H244-GraphSaureus!D$6)/GraphSaureus!D$5</f>
        <v>0.29090637570368694</v>
      </c>
      <c r="M244" s="1" t="s">
        <v>241</v>
      </c>
      <c r="N244">
        <v>1985</v>
      </c>
      <c r="O244" t="s">
        <v>247</v>
      </c>
      <c r="R244" s="10">
        <f>GraphSaureus!$B$39*Staphaureus!H244+GraphSaureus!$B$40</f>
        <v>-1.2702112354080359</v>
      </c>
      <c r="S244" s="10"/>
      <c r="T244" s="10">
        <f>GraphSaureus!$H$39*Staphaureus!H244+GraphSaureus!$H$40</f>
        <v>-1.3135511232335322</v>
      </c>
    </row>
    <row r="245" spans="1:20" x14ac:dyDescent="0.2">
      <c r="A245" s="1"/>
      <c r="B245" s="1"/>
      <c r="E245" s="1"/>
      <c r="F245" s="1"/>
      <c r="K245" s="12"/>
      <c r="L245" s="11"/>
      <c r="M245" s="2"/>
    </row>
    <row r="246" spans="1:20" x14ac:dyDescent="0.2">
      <c r="A246" s="1"/>
      <c r="B246" s="1"/>
      <c r="E246" s="1"/>
      <c r="F246" s="1"/>
      <c r="K246" s="12"/>
      <c r="L246" s="11"/>
      <c r="M246" s="2"/>
    </row>
    <row r="247" spans="1:20" x14ac:dyDescent="0.2">
      <c r="A247" s="1"/>
      <c r="B247" s="1"/>
      <c r="E247" s="1"/>
      <c r="F247" s="1"/>
      <c r="K247" s="12"/>
      <c r="L247" s="11"/>
      <c r="M247" s="2"/>
    </row>
    <row r="248" spans="1:20" x14ac:dyDescent="0.2">
      <c r="A248" s="1" t="s">
        <v>137</v>
      </c>
      <c r="B248" s="1" t="s">
        <v>138</v>
      </c>
      <c r="D248" t="s">
        <v>45</v>
      </c>
      <c r="E248" s="1" t="s">
        <v>180</v>
      </c>
      <c r="H248" s="4">
        <v>120</v>
      </c>
      <c r="I248" s="11">
        <v>3</v>
      </c>
      <c r="K248" s="12">
        <f>LOG(I248)</f>
        <v>0.47712125471966244</v>
      </c>
      <c r="L248" s="11">
        <f>GraphSaureus!B$10-(Staphaureus!H248-GraphSaureus!B$6)/GraphSaureus!B$5</f>
        <v>-6.3043752447830492</v>
      </c>
      <c r="M248" s="1" t="s">
        <v>241</v>
      </c>
      <c r="N248">
        <v>1985</v>
      </c>
      <c r="O248" t="s">
        <v>181</v>
      </c>
    </row>
    <row r="249" spans="1:20" x14ac:dyDescent="0.2">
      <c r="A249" s="1" t="s">
        <v>137</v>
      </c>
      <c r="B249" s="1" t="s">
        <v>138</v>
      </c>
      <c r="D249" t="s">
        <v>45</v>
      </c>
      <c r="E249" s="1" t="s">
        <v>180</v>
      </c>
      <c r="H249" s="4">
        <v>120</v>
      </c>
      <c r="I249" s="11">
        <v>6</v>
      </c>
      <c r="K249" s="12">
        <f>LOG(I249)</f>
        <v>0.77815125038364363</v>
      </c>
      <c r="L249" s="11">
        <f>GraphSaureus!B$10-(Staphaureus!H249-GraphSaureus!B$6)/GraphSaureus!B$5</f>
        <v>-6.3043752447830492</v>
      </c>
      <c r="M249" s="1" t="s">
        <v>241</v>
      </c>
      <c r="N249">
        <v>1985</v>
      </c>
      <c r="O249" t="s">
        <v>181</v>
      </c>
    </row>
    <row r="250" spans="1:20" x14ac:dyDescent="0.2">
      <c r="A250" s="1"/>
      <c r="B250" s="1"/>
      <c r="E250" s="1"/>
      <c r="F250" s="1"/>
      <c r="K250" s="12"/>
      <c r="L250" s="11"/>
      <c r="M250" s="2"/>
    </row>
    <row r="251" spans="1:20" x14ac:dyDescent="0.2">
      <c r="A251" s="1"/>
      <c r="B251" s="1"/>
      <c r="E251" s="1"/>
      <c r="F251" s="1"/>
      <c r="H251" s="4" t="s">
        <v>1343</v>
      </c>
      <c r="K251" s="12">
        <f>GraphSaureus!$B$53</f>
        <v>0</v>
      </c>
      <c r="L251" s="11"/>
      <c r="M251" s="2"/>
    </row>
    <row r="252" spans="1:20" x14ac:dyDescent="0.2">
      <c r="A252" s="1"/>
      <c r="B252" s="1"/>
      <c r="E252" s="1"/>
      <c r="F252" s="1"/>
      <c r="K252" s="12"/>
      <c r="L252" s="11"/>
      <c r="M252" s="2"/>
    </row>
    <row r="253" spans="1:20" x14ac:dyDescent="0.2">
      <c r="A253" s="1"/>
      <c r="B253" s="1"/>
      <c r="E253" s="1"/>
      <c r="F253" s="1"/>
      <c r="K253" s="12"/>
      <c r="L253" s="11"/>
      <c r="M253" s="2"/>
    </row>
    <row r="254" spans="1:20" x14ac:dyDescent="0.2">
      <c r="A254" s="1"/>
      <c r="B254" s="1"/>
      <c r="E254" s="1"/>
      <c r="F254" s="1"/>
      <c r="K254" s="12"/>
      <c r="L254" s="11"/>
      <c r="M254" s="2"/>
    </row>
    <row r="255" spans="1:20" x14ac:dyDescent="0.2">
      <c r="A255" s="1"/>
      <c r="B255" s="1"/>
      <c r="E255" s="1"/>
      <c r="F255" s="1"/>
      <c r="K255" s="12"/>
      <c r="L255" s="11"/>
      <c r="M255" s="2"/>
    </row>
    <row r="256" spans="1:20" x14ac:dyDescent="0.2">
      <c r="A256" s="1"/>
      <c r="B256" s="1"/>
      <c r="E256" s="1"/>
      <c r="F256" s="1"/>
      <c r="K256" s="12"/>
      <c r="L256" s="11"/>
      <c r="M256" s="2"/>
    </row>
    <row r="257" spans="1:13" x14ac:dyDescent="0.2">
      <c r="A257" s="1"/>
      <c r="B257" s="1"/>
      <c r="E257" s="1"/>
      <c r="F257" s="1"/>
      <c r="K257" s="12"/>
      <c r="L257" s="11"/>
      <c r="M257" s="2"/>
    </row>
    <row r="258" spans="1:13" x14ac:dyDescent="0.2">
      <c r="A258" s="1"/>
      <c r="B258" s="1"/>
      <c r="E258" s="1"/>
      <c r="F258" s="1"/>
      <c r="K258" s="12"/>
      <c r="L258" s="11"/>
      <c r="M258" s="2"/>
    </row>
    <row r="259" spans="1:13" x14ac:dyDescent="0.2">
      <c r="A259" s="1"/>
      <c r="B259" s="1"/>
      <c r="E259" s="1"/>
      <c r="K259" s="12"/>
      <c r="L259" s="11"/>
      <c r="M259" s="2"/>
    </row>
    <row r="260" spans="1:13" x14ac:dyDescent="0.2">
      <c r="A260" s="1"/>
      <c r="B260" s="1"/>
      <c r="E260" s="1"/>
      <c r="F260" s="1"/>
      <c r="K260" s="12"/>
      <c r="L260" s="11"/>
      <c r="M260" s="2"/>
    </row>
    <row r="261" spans="1:13" x14ac:dyDescent="0.2">
      <c r="A261" s="1"/>
      <c r="B261" s="1"/>
      <c r="E261" s="1"/>
      <c r="F261" s="1"/>
      <c r="K261" s="12"/>
      <c r="L261" s="11"/>
      <c r="M261" s="2"/>
    </row>
    <row r="262" spans="1:13" x14ac:dyDescent="0.2">
      <c r="A262" s="1"/>
      <c r="B262" s="1"/>
      <c r="C262" s="1"/>
      <c r="E262" s="1"/>
      <c r="F262" s="1"/>
      <c r="G262" s="5"/>
      <c r="I262" s="9"/>
      <c r="J262" s="7"/>
      <c r="K262" s="12"/>
      <c r="L262" s="11"/>
      <c r="M262" s="2"/>
    </row>
    <row r="263" spans="1:13" x14ac:dyDescent="0.2">
      <c r="A263" s="1"/>
      <c r="B263" s="1"/>
      <c r="E263" s="1"/>
      <c r="F263" s="1"/>
      <c r="K263" s="12"/>
      <c r="L263" s="11"/>
      <c r="M263" s="2"/>
    </row>
    <row r="264" spans="1:13" x14ac:dyDescent="0.2">
      <c r="A264" s="1"/>
      <c r="B264" s="1"/>
      <c r="E264" s="1"/>
      <c r="K264" s="12"/>
      <c r="L264" s="11"/>
      <c r="M264" s="2"/>
    </row>
    <row r="265" spans="1:13" x14ac:dyDescent="0.2">
      <c r="A265" s="1"/>
      <c r="B265" s="1"/>
      <c r="E265" s="1"/>
      <c r="K265" s="12"/>
      <c r="L265" s="11"/>
      <c r="M265" s="2"/>
    </row>
    <row r="266" spans="1:13" x14ac:dyDescent="0.2">
      <c r="A266" s="1"/>
      <c r="B266" s="1"/>
      <c r="E266" s="1"/>
      <c r="K266" s="12"/>
      <c r="L266" s="11"/>
      <c r="M266" s="2"/>
    </row>
    <row r="267" spans="1:13" x14ac:dyDescent="0.2">
      <c r="A267" s="1"/>
      <c r="B267" s="1"/>
      <c r="E267" s="1"/>
      <c r="F267" s="1"/>
      <c r="K267" s="12"/>
      <c r="L267" s="11"/>
      <c r="M267" s="2"/>
    </row>
    <row r="268" spans="1:13" x14ac:dyDescent="0.2">
      <c r="A268" s="1"/>
      <c r="B268" s="1"/>
      <c r="E268" s="1"/>
      <c r="K268" s="12"/>
      <c r="L268" s="11"/>
      <c r="M268" s="2"/>
    </row>
    <row r="269" spans="1:13" x14ac:dyDescent="0.2">
      <c r="A269" s="1"/>
      <c r="B269" s="1"/>
      <c r="E269" s="1"/>
      <c r="K269" s="12"/>
      <c r="L269" s="11"/>
      <c r="M269" s="2"/>
    </row>
    <row r="270" spans="1:13" x14ac:dyDescent="0.2">
      <c r="A270" s="1"/>
      <c r="B270" s="1"/>
      <c r="E270" s="1"/>
      <c r="F270" s="1"/>
      <c r="K270" s="12"/>
      <c r="L270" s="11"/>
      <c r="M270" s="2"/>
    </row>
    <row r="271" spans="1:13" x14ac:dyDescent="0.2">
      <c r="A271" s="1"/>
      <c r="B271" s="1"/>
      <c r="E271" s="1"/>
      <c r="F271" s="1"/>
      <c r="K271" s="12"/>
      <c r="L271" s="11"/>
      <c r="M271" s="2"/>
    </row>
  </sheetData>
  <phoneticPr fontId="0" type="noConversion"/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66"/>
  <sheetViews>
    <sheetView topLeftCell="A28" workbookViewId="0">
      <selection activeCell="B46" sqref="B46"/>
    </sheetView>
  </sheetViews>
  <sheetFormatPr defaultRowHeight="12.75" x14ac:dyDescent="0.2"/>
  <cols>
    <col min="2" max="2" width="9.5703125" bestFit="1" customWidth="1"/>
  </cols>
  <sheetData>
    <row r="1" spans="1:5" ht="18" x14ac:dyDescent="0.25">
      <c r="A1" s="3" t="s">
        <v>136</v>
      </c>
    </row>
    <row r="4" spans="1:5" x14ac:dyDescent="0.2">
      <c r="A4" t="s">
        <v>1346</v>
      </c>
      <c r="B4" t="s">
        <v>211</v>
      </c>
      <c r="D4" t="s">
        <v>166</v>
      </c>
    </row>
    <row r="5" spans="1:5" x14ac:dyDescent="0.2">
      <c r="A5" t="s">
        <v>1347</v>
      </c>
      <c r="B5" s="10">
        <f>-1/SLOPE(Staphaureus!K2:K205,Staphaureus!H2:H205)</f>
        <v>8.7513776038653486</v>
      </c>
      <c r="C5" s="10">
        <f>SLOPE(Staphaureus!K2:K93,Staphaureus!H2:H93)</f>
        <v>-0.12435397382355487</v>
      </c>
      <c r="D5" s="10">
        <f>-1/SLOPE(Staphaureus!K206:K244,Staphaureus!H206:H244)</f>
        <v>31.422400891618363</v>
      </c>
      <c r="E5" s="10"/>
    </row>
    <row r="6" spans="1:5" x14ac:dyDescent="0.2">
      <c r="A6" t="s">
        <v>1350</v>
      </c>
      <c r="B6" s="10">
        <v>70</v>
      </c>
      <c r="C6" s="10"/>
      <c r="D6" s="10">
        <v>70</v>
      </c>
      <c r="E6" s="10"/>
    </row>
    <row r="7" spans="1:5" x14ac:dyDescent="0.2">
      <c r="A7" t="s">
        <v>1353</v>
      </c>
      <c r="B7" s="10">
        <f>TINV(0.05,COUNT(Staphaureus!K2:K205)-2)</f>
        <v>1.971777384669986</v>
      </c>
      <c r="C7" s="10"/>
      <c r="D7" s="10">
        <f>TINV(0.05,COUNT(Staphaureus!K206:K244)-2)</f>
        <v>2.026192463029111</v>
      </c>
      <c r="E7" s="10"/>
    </row>
    <row r="8" spans="1:5" x14ac:dyDescent="0.2">
      <c r="A8" t="s">
        <v>1355</v>
      </c>
      <c r="B8" s="10">
        <f>SUMXMY2(Staphaureus!K2:K205,Staphaureus!L2:L205)</f>
        <v>44.11271605326246</v>
      </c>
      <c r="C8" s="10"/>
      <c r="D8" s="10">
        <f>SUMXMY2(Staphaureus!K206:K244,Staphaureus!L206:L244)</f>
        <v>2.6064027641856646</v>
      </c>
      <c r="E8" s="10"/>
    </row>
    <row r="9" spans="1:5" x14ac:dyDescent="0.2">
      <c r="A9" t="s">
        <v>1354</v>
      </c>
      <c r="B9" s="10">
        <f>SQRT(B8/(COUNT(Staphaureus!K2:K205)-2))</f>
        <v>0.46731122653098478</v>
      </c>
      <c r="C9" s="10"/>
      <c r="D9" s="10">
        <f>SQRT(D8/(COUNT(Staphaureus!K206:K244)-2))</f>
        <v>0.26541160101051331</v>
      </c>
      <c r="E9" s="10"/>
    </row>
    <row r="10" spans="1:5" x14ac:dyDescent="0.2">
      <c r="A10" t="s">
        <v>1351</v>
      </c>
      <c r="B10" s="10">
        <f>INTERCEPT(Staphaureus!K2:K205,Staphaureus!H2:H205)-$B$6/$B$5</f>
        <v>-0.5909890485439826</v>
      </c>
      <c r="C10" s="10">
        <f>INTERCEPT(Staphaureus!K2:K93,Staphaureus!H2:H93)</f>
        <v>8.1715682944109869</v>
      </c>
      <c r="D10" s="10">
        <f>INTERCEPT(Staphaureus!K206:K244,Staphaureus!H206:H244)-$D$6/$D$5</f>
        <v>0.48185295616057511</v>
      </c>
      <c r="E10" s="10"/>
    </row>
    <row r="11" spans="1:5" x14ac:dyDescent="0.2">
      <c r="A11" t="s">
        <v>135</v>
      </c>
      <c r="B11" s="10">
        <f>B10+B7*B9</f>
        <v>0.33044465953220592</v>
      </c>
      <c r="C11" s="10"/>
      <c r="D11" s="10">
        <f>D10+D7*D9</f>
        <v>1.0196279417285667</v>
      </c>
      <c r="E11" s="10"/>
    </row>
    <row r="13" spans="1:5" x14ac:dyDescent="0.2">
      <c r="A13" t="s">
        <v>1348</v>
      </c>
      <c r="B13" t="s">
        <v>1344</v>
      </c>
      <c r="C13" t="s">
        <v>1352</v>
      </c>
      <c r="D13" t="s">
        <v>1344</v>
      </c>
      <c r="E13" t="s">
        <v>1352</v>
      </c>
    </row>
    <row r="14" spans="1:5" x14ac:dyDescent="0.2">
      <c r="A14">
        <v>45</v>
      </c>
      <c r="B14" s="10">
        <f t="shared" ref="B14:B34" si="0">$B$10-(A14-$B$6)/$B$5</f>
        <v>2.2657040495755507</v>
      </c>
      <c r="C14" s="10">
        <f t="shared" ref="C14:C34" si="1">B14+$B$7*$B$9</f>
        <v>3.1871377576517395</v>
      </c>
      <c r="D14" s="10">
        <f>$D$10-(A14-$D$6)/$D$5</f>
        <v>1.2774637080642757</v>
      </c>
      <c r="E14" s="10">
        <f>D14+$D$7*$D$9</f>
        <v>1.8152386936322673</v>
      </c>
    </row>
    <row r="15" spans="1:5" x14ac:dyDescent="0.2">
      <c r="A15">
        <f>A14+5</f>
        <v>50</v>
      </c>
      <c r="B15" s="10">
        <f t="shared" si="0"/>
        <v>1.694365429951644</v>
      </c>
      <c r="C15" s="10">
        <f t="shared" si="1"/>
        <v>2.6157991380278327</v>
      </c>
      <c r="D15" s="10">
        <f t="shared" ref="D15:D34" si="2">$D$10-(A15-$D$6)/$D$5</f>
        <v>1.1183415576835356</v>
      </c>
      <c r="E15" s="10">
        <f t="shared" ref="E15:E34" si="3">D15+$D$7*$D$9</f>
        <v>1.6561165432515272</v>
      </c>
    </row>
    <row r="16" spans="1:5" x14ac:dyDescent="0.2">
      <c r="A16">
        <f>A15+5</f>
        <v>55</v>
      </c>
      <c r="B16" s="10">
        <f t="shared" si="0"/>
        <v>1.1230268103277374</v>
      </c>
      <c r="C16" s="10">
        <f t="shared" si="1"/>
        <v>2.044460518403926</v>
      </c>
      <c r="D16" s="10">
        <f t="shared" si="2"/>
        <v>0.95921940730279553</v>
      </c>
      <c r="E16" s="10">
        <f t="shared" si="3"/>
        <v>1.4969943928707872</v>
      </c>
    </row>
    <row r="17" spans="1:5" x14ac:dyDescent="0.2">
      <c r="A17">
        <f>A16+5</f>
        <v>60</v>
      </c>
      <c r="B17" s="10">
        <f t="shared" si="0"/>
        <v>0.55168819070383068</v>
      </c>
      <c r="C17" s="10">
        <f t="shared" si="1"/>
        <v>1.4731218987800192</v>
      </c>
      <c r="D17" s="10">
        <f t="shared" si="2"/>
        <v>0.80009725692205536</v>
      </c>
      <c r="E17" s="10">
        <f t="shared" si="3"/>
        <v>1.3378722424900471</v>
      </c>
    </row>
    <row r="18" spans="1:5" x14ac:dyDescent="0.2">
      <c r="A18">
        <f>A17+5</f>
        <v>65</v>
      </c>
      <c r="B18" s="10">
        <f t="shared" si="0"/>
        <v>-1.9650428920075957E-2</v>
      </c>
      <c r="C18" s="10">
        <f t="shared" si="1"/>
        <v>0.90178327915611256</v>
      </c>
      <c r="D18" s="10">
        <f t="shared" si="2"/>
        <v>0.64097510654131518</v>
      </c>
      <c r="E18" s="10">
        <f t="shared" si="3"/>
        <v>1.1787500921093068</v>
      </c>
    </row>
    <row r="19" spans="1:5" x14ac:dyDescent="0.2">
      <c r="A19">
        <v>70</v>
      </c>
      <c r="B19" s="10">
        <f t="shared" si="0"/>
        <v>-0.5909890485439826</v>
      </c>
      <c r="C19" s="10">
        <f t="shared" si="1"/>
        <v>0.33044465953220592</v>
      </c>
      <c r="D19" s="10">
        <f t="shared" si="2"/>
        <v>0.48185295616057511</v>
      </c>
      <c r="E19" s="10">
        <f t="shared" si="3"/>
        <v>1.0196279417285667</v>
      </c>
    </row>
    <row r="20" spans="1:5" x14ac:dyDescent="0.2">
      <c r="A20">
        <f>A19+5</f>
        <v>75</v>
      </c>
      <c r="B20" s="10">
        <f t="shared" si="0"/>
        <v>-1.1623276681678893</v>
      </c>
      <c r="C20" s="10">
        <f t="shared" si="1"/>
        <v>-0.24089396009170083</v>
      </c>
      <c r="D20" s="10">
        <f t="shared" si="2"/>
        <v>0.32273080577983498</v>
      </c>
      <c r="E20" s="10">
        <f t="shared" si="3"/>
        <v>0.86050579134782668</v>
      </c>
    </row>
    <row r="21" spans="1:5" x14ac:dyDescent="0.2">
      <c r="A21">
        <f t="shared" ref="A21:A34" si="4">A20+5</f>
        <v>80</v>
      </c>
      <c r="B21" s="10">
        <f t="shared" si="0"/>
        <v>-1.7336662877917959</v>
      </c>
      <c r="C21" s="10">
        <f t="shared" si="1"/>
        <v>-0.81223257971560736</v>
      </c>
      <c r="D21" s="10">
        <f t="shared" si="2"/>
        <v>0.16360865539909486</v>
      </c>
      <c r="E21" s="10">
        <f t="shared" si="3"/>
        <v>0.7013836409670865</v>
      </c>
    </row>
    <row r="22" spans="1:5" x14ac:dyDescent="0.2">
      <c r="A22">
        <f t="shared" si="4"/>
        <v>85</v>
      </c>
      <c r="B22" s="10">
        <f t="shared" si="0"/>
        <v>-2.3050049074157029</v>
      </c>
      <c r="C22" s="10">
        <f t="shared" si="1"/>
        <v>-1.3835711993395143</v>
      </c>
      <c r="D22" s="10">
        <f t="shared" si="2"/>
        <v>4.4865050183546806E-3</v>
      </c>
      <c r="E22" s="10">
        <f t="shared" si="3"/>
        <v>0.54226149058634632</v>
      </c>
    </row>
    <row r="23" spans="1:5" x14ac:dyDescent="0.2">
      <c r="A23">
        <f t="shared" si="4"/>
        <v>90</v>
      </c>
      <c r="B23" s="10">
        <f t="shared" si="0"/>
        <v>-2.8763435270396092</v>
      </c>
      <c r="C23" s="10">
        <f t="shared" si="1"/>
        <v>-1.9549098189634206</v>
      </c>
      <c r="D23" s="10">
        <f t="shared" si="2"/>
        <v>-0.15463564536238539</v>
      </c>
      <c r="E23" s="10">
        <f t="shared" si="3"/>
        <v>0.38313934020560625</v>
      </c>
    </row>
    <row r="24" spans="1:5" x14ac:dyDescent="0.2">
      <c r="A24">
        <f t="shared" si="4"/>
        <v>95</v>
      </c>
      <c r="B24" s="10">
        <f t="shared" si="0"/>
        <v>-3.4476821466635159</v>
      </c>
      <c r="C24" s="10">
        <f t="shared" si="1"/>
        <v>-2.5262484385873272</v>
      </c>
      <c r="D24" s="10">
        <f t="shared" si="2"/>
        <v>-0.31375779574312557</v>
      </c>
      <c r="E24" s="10">
        <f t="shared" si="3"/>
        <v>0.22401718982486607</v>
      </c>
    </row>
    <row r="25" spans="1:5" x14ac:dyDescent="0.2">
      <c r="A25">
        <f t="shared" si="4"/>
        <v>100</v>
      </c>
      <c r="B25" s="10">
        <f t="shared" si="0"/>
        <v>-4.0190207662874222</v>
      </c>
      <c r="C25" s="10">
        <f t="shared" si="1"/>
        <v>-3.0975870582112339</v>
      </c>
      <c r="D25" s="10">
        <f t="shared" si="2"/>
        <v>-0.47287994612386575</v>
      </c>
      <c r="E25" s="10">
        <f t="shared" si="3"/>
        <v>6.489503944412589E-2</v>
      </c>
    </row>
    <row r="26" spans="1:5" x14ac:dyDescent="0.2">
      <c r="A26">
        <f t="shared" si="4"/>
        <v>105</v>
      </c>
      <c r="B26" s="10">
        <f t="shared" si="0"/>
        <v>-4.590359385911329</v>
      </c>
      <c r="C26" s="10">
        <f t="shared" si="1"/>
        <v>-3.6689256778351407</v>
      </c>
      <c r="D26" s="10">
        <f t="shared" si="2"/>
        <v>-0.63200209650460581</v>
      </c>
      <c r="E26" s="10">
        <f t="shared" si="3"/>
        <v>-9.4227110936614178E-2</v>
      </c>
    </row>
    <row r="27" spans="1:5" x14ac:dyDescent="0.2">
      <c r="A27">
        <f t="shared" si="4"/>
        <v>110</v>
      </c>
      <c r="B27" s="10">
        <f t="shared" si="0"/>
        <v>-5.1616980055352357</v>
      </c>
      <c r="C27" s="10">
        <f t="shared" si="1"/>
        <v>-4.2402642974590474</v>
      </c>
      <c r="D27" s="10">
        <f t="shared" si="2"/>
        <v>-0.79112424688534588</v>
      </c>
      <c r="E27" s="10">
        <f t="shared" si="3"/>
        <v>-0.25334926131735425</v>
      </c>
    </row>
    <row r="28" spans="1:5" x14ac:dyDescent="0.2">
      <c r="A28">
        <f t="shared" si="4"/>
        <v>115</v>
      </c>
      <c r="B28" s="10">
        <f t="shared" si="0"/>
        <v>-5.7330366251591425</v>
      </c>
      <c r="C28" s="10">
        <f t="shared" si="1"/>
        <v>-4.8116029170829542</v>
      </c>
      <c r="D28" s="10">
        <f t="shared" si="2"/>
        <v>-0.95024639726608617</v>
      </c>
      <c r="E28" s="10">
        <f t="shared" si="3"/>
        <v>-0.41247141169809454</v>
      </c>
    </row>
    <row r="29" spans="1:5" x14ac:dyDescent="0.2">
      <c r="A29">
        <f t="shared" si="4"/>
        <v>120</v>
      </c>
      <c r="B29" s="10">
        <f t="shared" si="0"/>
        <v>-6.3043752447830492</v>
      </c>
      <c r="C29" s="10">
        <f t="shared" si="1"/>
        <v>-5.3829415367068609</v>
      </c>
      <c r="D29" s="10">
        <f t="shared" si="2"/>
        <v>-1.1093685476468262</v>
      </c>
      <c r="E29" s="10">
        <f t="shared" si="3"/>
        <v>-0.5715935620788346</v>
      </c>
    </row>
    <row r="30" spans="1:5" x14ac:dyDescent="0.2">
      <c r="A30">
        <f t="shared" si="4"/>
        <v>125</v>
      </c>
      <c r="B30" s="10">
        <f t="shared" si="0"/>
        <v>-6.875713864406956</v>
      </c>
      <c r="C30" s="10">
        <f t="shared" si="1"/>
        <v>-5.9542801563307677</v>
      </c>
      <c r="D30" s="10">
        <f t="shared" si="2"/>
        <v>-1.2684906980275663</v>
      </c>
      <c r="E30" s="10">
        <f t="shared" si="3"/>
        <v>-0.73071571245957467</v>
      </c>
    </row>
    <row r="31" spans="1:5" x14ac:dyDescent="0.2">
      <c r="A31">
        <f t="shared" si="4"/>
        <v>130</v>
      </c>
      <c r="B31" s="10">
        <f t="shared" si="0"/>
        <v>-7.4470524840308627</v>
      </c>
      <c r="C31" s="10">
        <f t="shared" si="1"/>
        <v>-6.5256187759546744</v>
      </c>
      <c r="D31" s="10">
        <f t="shared" si="2"/>
        <v>-1.4276128484083066</v>
      </c>
      <c r="E31" s="10">
        <f t="shared" si="3"/>
        <v>-0.88983786284031496</v>
      </c>
    </row>
    <row r="32" spans="1:5" x14ac:dyDescent="0.2">
      <c r="A32">
        <f t="shared" si="4"/>
        <v>135</v>
      </c>
      <c r="B32" s="10">
        <f t="shared" si="0"/>
        <v>-8.0183911036547695</v>
      </c>
      <c r="C32" s="10">
        <f t="shared" si="1"/>
        <v>-7.0969573955785812</v>
      </c>
      <c r="D32" s="10">
        <f t="shared" si="2"/>
        <v>-1.5867349987890464</v>
      </c>
      <c r="E32" s="10">
        <f t="shared" si="3"/>
        <v>-1.0489600132210548</v>
      </c>
    </row>
    <row r="33" spans="1:8" x14ac:dyDescent="0.2">
      <c r="A33">
        <f t="shared" si="4"/>
        <v>140</v>
      </c>
      <c r="B33" s="10">
        <f t="shared" si="0"/>
        <v>-8.5897297232786762</v>
      </c>
      <c r="C33" s="10">
        <f t="shared" si="1"/>
        <v>-7.6682960152024879</v>
      </c>
      <c r="D33" s="10">
        <f t="shared" si="2"/>
        <v>-1.7458571491697867</v>
      </c>
      <c r="E33" s="10">
        <f t="shared" si="3"/>
        <v>-1.2080821636017951</v>
      </c>
    </row>
    <row r="34" spans="1:8" x14ac:dyDescent="0.2">
      <c r="A34">
        <f t="shared" si="4"/>
        <v>145</v>
      </c>
      <c r="B34" s="10">
        <f t="shared" si="0"/>
        <v>-9.1610683429025812</v>
      </c>
      <c r="C34" s="10">
        <f t="shared" si="1"/>
        <v>-8.2396346348263929</v>
      </c>
      <c r="D34" s="10">
        <f t="shared" si="2"/>
        <v>-1.904979299550527</v>
      </c>
      <c r="E34" s="10">
        <f t="shared" si="3"/>
        <v>-1.3672043139825354</v>
      </c>
    </row>
    <row r="36" spans="1:8" x14ac:dyDescent="0.2">
      <c r="A36" s="24" t="s">
        <v>974</v>
      </c>
    </row>
    <row r="38" spans="1:8" x14ac:dyDescent="0.2">
      <c r="A38" t="s">
        <v>250</v>
      </c>
      <c r="D38" t="s">
        <v>975</v>
      </c>
      <c r="G38" t="s">
        <v>275</v>
      </c>
    </row>
    <row r="39" spans="1:8" x14ac:dyDescent="0.2">
      <c r="A39" t="s">
        <v>251</v>
      </c>
      <c r="B39" s="10">
        <f>SLOPE(Staphaureus!K2:K196,Staphaureus!H2:H196)</f>
        <v>-0.11368566797766166</v>
      </c>
      <c r="D39" t="s">
        <v>251</v>
      </c>
      <c r="E39" s="10" t="e">
        <f>SLOPE(Staphaureus!K195:K196,Staphaureus!H195:H196)</f>
        <v>#DIV/0!</v>
      </c>
      <c r="G39" t="s">
        <v>251</v>
      </c>
      <c r="H39" s="10">
        <f>SLOPE(Staphaureus!K2:K152,Staphaureus!H2:H152)</f>
        <v>-0.12255932840987314</v>
      </c>
    </row>
    <row r="40" spans="1:8" x14ac:dyDescent="0.2">
      <c r="A40" t="s">
        <v>202</v>
      </c>
      <c r="B40" s="10">
        <f>INTERCEPT(Staphaureus!K2:K196,Staphaureus!H2:H196)</f>
        <v>7.3698995308942497</v>
      </c>
      <c r="D40" t="s">
        <v>252</v>
      </c>
      <c r="E40" s="10" t="e">
        <f>INTERCEPT(Staphaureus!K195:K196,Staphaureus!H195:H196)</f>
        <v>#DIV/0!</v>
      </c>
      <c r="G40" t="s">
        <v>252</v>
      </c>
      <c r="H40" s="10">
        <f>INTERCEPT(Staphaureus!K2:K152,Staphaureus!H2:H152)</f>
        <v>8.000957835916827</v>
      </c>
    </row>
    <row r="41" spans="1:8" x14ac:dyDescent="0.2">
      <c r="A41" t="s">
        <v>259</v>
      </c>
      <c r="B41" s="10">
        <f>SUMXMY2(Staphaureus!K2:K196,Staphaureus!R2:R196)</f>
        <v>43.01738389004403</v>
      </c>
      <c r="D41" t="s">
        <v>259</v>
      </c>
      <c r="E41" s="10" t="e">
        <f>SUMXMY2(Staphaureus!S195:S196,Staphaureus!K195:K196)</f>
        <v>#DIV/0!</v>
      </c>
      <c r="G41" t="s">
        <v>259</v>
      </c>
      <c r="H41" s="10">
        <f>SUMXMY2(Staphaureus!T2:T152,Staphaureus!K2:K152)</f>
        <v>32.641081296237957</v>
      </c>
    </row>
    <row r="42" spans="1:8" x14ac:dyDescent="0.2">
      <c r="D42" t="s">
        <v>260</v>
      </c>
      <c r="E42" s="10" t="e">
        <f>E41+H41</f>
        <v>#DIV/0!</v>
      </c>
    </row>
    <row r="44" spans="1:8" x14ac:dyDescent="0.2">
      <c r="A44" t="s">
        <v>262</v>
      </c>
      <c r="B44">
        <f>COUNT(Staphaureus!K2:K196)</f>
        <v>195</v>
      </c>
    </row>
    <row r="45" spans="1:8" x14ac:dyDescent="0.2">
      <c r="A45" t="s">
        <v>261</v>
      </c>
      <c r="B45" s="10" t="e">
        <f>((B41-E42)/2)/(E42/(B44-4))</f>
        <v>#DIV/0!</v>
      </c>
    </row>
    <row r="46" spans="1:8" x14ac:dyDescent="0.2">
      <c r="A46" t="s">
        <v>279</v>
      </c>
      <c r="B46" s="10">
        <f>FINV(0.05,2,B44-4)</f>
        <v>3.043213905073713</v>
      </c>
    </row>
    <row r="47" spans="1:8" x14ac:dyDescent="0.2">
      <c r="A47" t="s">
        <v>255</v>
      </c>
      <c r="B47" s="10" t="e">
        <f>(B41/(B44-2))/(E42/(B44-4))</f>
        <v>#DIV/0!</v>
      </c>
    </row>
    <row r="48" spans="1:8" x14ac:dyDescent="0.2">
      <c r="A48" t="s">
        <v>278</v>
      </c>
      <c r="B48" s="10">
        <f>FINV(0.05,B44-2,B44-4)</f>
        <v>1.2688257274683745</v>
      </c>
    </row>
    <row r="50" spans="1:3" x14ac:dyDescent="0.2">
      <c r="A50" s="24" t="s">
        <v>899</v>
      </c>
    </row>
    <row r="51" spans="1:3" x14ac:dyDescent="0.2">
      <c r="B51" s="10"/>
      <c r="C51" s="10"/>
    </row>
    <row r="52" spans="1:3" x14ac:dyDescent="0.2">
      <c r="A52" t="s">
        <v>897</v>
      </c>
      <c r="B52" s="10"/>
      <c r="C52" s="10"/>
    </row>
    <row r="53" spans="1:3" x14ac:dyDescent="0.2">
      <c r="A53" t="s">
        <v>898</v>
      </c>
      <c r="B53" s="10">
        <v>0</v>
      </c>
      <c r="C53" s="10"/>
    </row>
    <row r="54" spans="1:3" x14ac:dyDescent="0.2">
      <c r="B54" s="10"/>
      <c r="C54" s="10"/>
    </row>
    <row r="55" spans="1:3" x14ac:dyDescent="0.2">
      <c r="A55" t="s">
        <v>900</v>
      </c>
      <c r="B55" s="10"/>
      <c r="C55" s="10"/>
    </row>
    <row r="56" spans="1:3" x14ac:dyDescent="0.2">
      <c r="B56" s="10"/>
      <c r="C56" s="10"/>
    </row>
    <row r="57" spans="1:3" x14ac:dyDescent="0.2">
      <c r="B57" s="10"/>
      <c r="C57" s="10"/>
    </row>
    <row r="58" spans="1:3" x14ac:dyDescent="0.2">
      <c r="B58" s="10"/>
      <c r="C58" s="10"/>
    </row>
    <row r="59" spans="1:3" x14ac:dyDescent="0.2">
      <c r="B59" s="10"/>
      <c r="C59" s="10"/>
    </row>
    <row r="60" spans="1:3" x14ac:dyDescent="0.2">
      <c r="B60" s="10"/>
      <c r="C60" s="10"/>
    </row>
    <row r="61" spans="1:3" x14ac:dyDescent="0.2">
      <c r="B61" s="10"/>
      <c r="C61" s="10"/>
    </row>
    <row r="62" spans="1:3" x14ac:dyDescent="0.2">
      <c r="B62" s="10"/>
      <c r="C62" s="10"/>
    </row>
    <row r="63" spans="1:3" x14ac:dyDescent="0.2">
      <c r="B63" s="10"/>
      <c r="C63" s="10"/>
    </row>
    <row r="64" spans="1:3" x14ac:dyDescent="0.2">
      <c r="B64" s="10"/>
      <c r="C64" s="10"/>
    </row>
    <row r="65" spans="2:3" x14ac:dyDescent="0.2">
      <c r="B65" s="10"/>
      <c r="C65" s="10"/>
    </row>
    <row r="66" spans="2:3" x14ac:dyDescent="0.2">
      <c r="B66" s="10"/>
      <c r="C66" s="10"/>
    </row>
  </sheetData>
  <phoneticPr fontId="0" type="noConversion"/>
  <pageMargins left="0.75" right="0.75" top="1" bottom="1" header="0.5" footer="0.5"/>
  <headerFooter alignWithMargins="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O268"/>
  <sheetViews>
    <sheetView topLeftCell="E1" workbookViewId="0">
      <selection activeCell="L6" sqref="L6"/>
    </sheetView>
  </sheetViews>
  <sheetFormatPr defaultRowHeight="12.75" x14ac:dyDescent="0.2"/>
  <cols>
    <col min="1" max="1" width="16.42578125" customWidth="1"/>
    <col min="2" max="2" width="15.5703125" customWidth="1"/>
    <col min="3" max="3" width="15.28515625" customWidth="1"/>
    <col min="4" max="4" width="16.28515625" customWidth="1"/>
    <col min="5" max="5" width="15.42578125" customWidth="1"/>
    <col min="6" max="6" width="26.140625" customWidth="1"/>
    <col min="7" max="7" width="8.5703125" style="4" customWidth="1"/>
    <col min="8" max="8" width="10.28515625" style="4" customWidth="1"/>
    <col min="9" max="9" width="9.140625" style="11" customWidth="1"/>
    <col min="10" max="11" width="9.140625" style="4" customWidth="1"/>
    <col min="12" max="12" width="15" style="4" customWidth="1"/>
    <col min="15" max="15" width="16.85546875" customWidth="1"/>
  </cols>
  <sheetData>
    <row r="1" spans="1:15" s="18" customFormat="1" ht="15" x14ac:dyDescent="0.25">
      <c r="A1" s="14" t="s">
        <v>1221</v>
      </c>
      <c r="B1" s="14" t="s">
        <v>64</v>
      </c>
      <c r="C1" s="14" t="s">
        <v>65</v>
      </c>
      <c r="D1" s="14" t="s">
        <v>39</v>
      </c>
      <c r="E1" s="14" t="s">
        <v>1222</v>
      </c>
      <c r="F1" s="14" t="s">
        <v>1255</v>
      </c>
      <c r="G1" s="15" t="s">
        <v>1230</v>
      </c>
      <c r="H1" s="15" t="s">
        <v>1229</v>
      </c>
      <c r="I1" s="20" t="s">
        <v>1232</v>
      </c>
      <c r="J1" s="15" t="s">
        <v>1231</v>
      </c>
      <c r="K1" s="15" t="s">
        <v>1343</v>
      </c>
      <c r="L1" s="17" t="s">
        <v>1344</v>
      </c>
      <c r="M1" s="14" t="s">
        <v>1223</v>
      </c>
      <c r="N1" s="14" t="s">
        <v>1224</v>
      </c>
      <c r="O1" s="14" t="s">
        <v>1225</v>
      </c>
    </row>
    <row r="2" spans="1:15" x14ac:dyDescent="0.2">
      <c r="A2" s="1" t="s">
        <v>212</v>
      </c>
      <c r="B2" s="1" t="s">
        <v>790</v>
      </c>
      <c r="D2" t="s">
        <v>42</v>
      </c>
      <c r="E2" s="1" t="s">
        <v>1240</v>
      </c>
      <c r="F2" s="1" t="s">
        <v>214</v>
      </c>
      <c r="H2" s="4">
        <v>60</v>
      </c>
      <c r="I2" s="11">
        <v>0.44</v>
      </c>
      <c r="K2" s="12">
        <f t="shared" ref="K2:K12" si="0">LOG(I2)</f>
        <v>-0.35654732351381258</v>
      </c>
      <c r="L2" s="11">
        <f>GraphStrept!B$10-(Streptococcus!H2-GraphStrept!B$6)/GraphStrept!B$5</f>
        <v>-0.36132611372609191</v>
      </c>
      <c r="M2" s="1" t="s">
        <v>1226</v>
      </c>
      <c r="N2">
        <v>1996</v>
      </c>
    </row>
    <row r="3" spans="1:15" x14ac:dyDescent="0.2">
      <c r="A3" s="1" t="s">
        <v>212</v>
      </c>
      <c r="B3" s="1" t="s">
        <v>790</v>
      </c>
      <c r="D3" t="s">
        <v>42</v>
      </c>
      <c r="E3" s="1" t="s">
        <v>1240</v>
      </c>
      <c r="F3" s="1" t="s">
        <v>214</v>
      </c>
      <c r="H3" s="4">
        <v>60</v>
      </c>
      <c r="I3" s="11">
        <v>0.33</v>
      </c>
      <c r="K3" s="12">
        <f t="shared" si="0"/>
        <v>-0.48148606012211248</v>
      </c>
      <c r="L3" s="11">
        <f>GraphStrept!B$10-(Streptococcus!H3-GraphStrept!B$6)/GraphStrept!B$5</f>
        <v>-0.36132611372609191</v>
      </c>
      <c r="M3" s="1" t="s">
        <v>1226</v>
      </c>
      <c r="N3">
        <v>1996</v>
      </c>
    </row>
    <row r="4" spans="1:15" x14ac:dyDescent="0.2">
      <c r="A4" s="1" t="s">
        <v>212</v>
      </c>
      <c r="B4" s="1" t="s">
        <v>790</v>
      </c>
      <c r="D4" t="s">
        <v>42</v>
      </c>
      <c r="E4" s="1" t="s">
        <v>1240</v>
      </c>
      <c r="F4" s="1" t="s">
        <v>214</v>
      </c>
      <c r="H4" s="4">
        <v>60</v>
      </c>
      <c r="I4" s="11">
        <v>0.15</v>
      </c>
      <c r="K4" s="12">
        <f t="shared" si="0"/>
        <v>-0.82390874094431876</v>
      </c>
      <c r="L4" s="11">
        <f>GraphStrept!B$10-(Streptococcus!H4-GraphStrept!B$6)/GraphStrept!B$5</f>
        <v>-0.36132611372609191</v>
      </c>
      <c r="M4" s="1" t="s">
        <v>1226</v>
      </c>
      <c r="N4">
        <v>1996</v>
      </c>
    </row>
    <row r="5" spans="1:15" x14ac:dyDescent="0.2">
      <c r="A5" s="1" t="s">
        <v>212</v>
      </c>
      <c r="B5" s="1" t="s">
        <v>790</v>
      </c>
      <c r="D5" t="s">
        <v>42</v>
      </c>
      <c r="E5" s="1" t="s">
        <v>1240</v>
      </c>
      <c r="F5" s="1" t="s">
        <v>214</v>
      </c>
      <c r="H5" s="4">
        <v>70</v>
      </c>
      <c r="I5" s="11">
        <v>0.02</v>
      </c>
      <c r="K5" s="12">
        <f t="shared" si="0"/>
        <v>-1.6989700043360187</v>
      </c>
      <c r="L5" s="11">
        <f>GraphStrept!B$10-(Streptococcus!H5-GraphStrept!B$6)/GraphStrept!B$5</f>
        <v>-1.4459117485057407</v>
      </c>
      <c r="M5" s="1" t="s">
        <v>1226</v>
      </c>
      <c r="N5">
        <v>1996</v>
      </c>
    </row>
    <row r="6" spans="1:15" x14ac:dyDescent="0.2">
      <c r="A6" s="1" t="s">
        <v>212</v>
      </c>
      <c r="B6" s="1" t="s">
        <v>790</v>
      </c>
      <c r="D6" t="s">
        <v>42</v>
      </c>
      <c r="E6" s="1" t="s">
        <v>1240</v>
      </c>
      <c r="F6" s="1" t="s">
        <v>214</v>
      </c>
      <c r="H6" s="4">
        <v>70</v>
      </c>
      <c r="I6" s="11">
        <v>0.01</v>
      </c>
      <c r="K6" s="12">
        <f t="shared" si="0"/>
        <v>-2</v>
      </c>
      <c r="L6" s="11">
        <f>GraphStrept!B$10-(Streptococcus!H6-GraphStrept!B$6)/GraphStrept!B$5</f>
        <v>-1.4459117485057407</v>
      </c>
      <c r="M6" s="1" t="s">
        <v>1226</v>
      </c>
      <c r="N6">
        <v>1996</v>
      </c>
    </row>
    <row r="7" spans="1:15" x14ac:dyDescent="0.2">
      <c r="A7" s="1" t="s">
        <v>212</v>
      </c>
      <c r="B7" s="1" t="s">
        <v>790</v>
      </c>
      <c r="D7" t="s">
        <v>42</v>
      </c>
      <c r="E7" s="1" t="s">
        <v>1240</v>
      </c>
      <c r="F7" s="1" t="s">
        <v>214</v>
      </c>
      <c r="H7" s="4">
        <v>70</v>
      </c>
      <c r="I7" s="11">
        <v>7.0000000000000001E-3</v>
      </c>
      <c r="K7" s="12">
        <f t="shared" si="0"/>
        <v>-2.1549019599857431</v>
      </c>
      <c r="L7" s="11">
        <f>GraphStrept!B$10-(Streptococcus!H7-GraphStrept!B$6)/GraphStrept!B$5</f>
        <v>-1.4459117485057407</v>
      </c>
      <c r="M7" s="1" t="s">
        <v>1226</v>
      </c>
      <c r="N7">
        <v>1996</v>
      </c>
    </row>
    <row r="8" spans="1:15" x14ac:dyDescent="0.2">
      <c r="A8" s="1" t="s">
        <v>212</v>
      </c>
      <c r="B8" s="1" t="s">
        <v>790</v>
      </c>
      <c r="D8" t="s">
        <v>42</v>
      </c>
      <c r="E8" s="1" t="s">
        <v>1240</v>
      </c>
      <c r="F8" s="1" t="s">
        <v>214</v>
      </c>
      <c r="H8" s="4">
        <v>80</v>
      </c>
      <c r="I8" s="11">
        <v>5.0000000000000001E-3</v>
      </c>
      <c r="K8" s="12">
        <f t="shared" si="0"/>
        <v>-2.3010299956639813</v>
      </c>
      <c r="L8" s="11">
        <f>GraphStrept!B$10-(Streptococcus!H8-GraphStrept!B$6)/GraphStrept!B$5</f>
        <v>-2.5304973832853896</v>
      </c>
      <c r="M8" s="1" t="s">
        <v>1226</v>
      </c>
      <c r="N8">
        <v>1996</v>
      </c>
    </row>
    <row r="9" spans="1:15" x14ac:dyDescent="0.2">
      <c r="A9" s="1" t="s">
        <v>212</v>
      </c>
      <c r="B9" s="1" t="s">
        <v>790</v>
      </c>
      <c r="D9" t="s">
        <v>42</v>
      </c>
      <c r="E9" s="1" t="s">
        <v>1240</v>
      </c>
      <c r="F9" s="1"/>
      <c r="H9" s="4">
        <v>66</v>
      </c>
      <c r="I9" s="11">
        <v>0.1</v>
      </c>
      <c r="K9" s="12">
        <f t="shared" si="0"/>
        <v>-1</v>
      </c>
      <c r="L9" s="11">
        <f>GraphStrept!B$10-(Streptococcus!H9-GraphStrept!B$6)/GraphStrept!B$5</f>
        <v>-1.0120774945938811</v>
      </c>
      <c r="M9" s="1" t="s">
        <v>1226</v>
      </c>
      <c r="N9">
        <v>1996</v>
      </c>
    </row>
    <row r="10" spans="1:15" x14ac:dyDescent="0.2">
      <c r="A10" s="1" t="s">
        <v>212</v>
      </c>
      <c r="B10" s="1" t="s">
        <v>790</v>
      </c>
      <c r="D10" t="s">
        <v>42</v>
      </c>
      <c r="E10" s="1" t="s">
        <v>1240</v>
      </c>
      <c r="H10" s="4">
        <v>66</v>
      </c>
      <c r="I10" s="11">
        <v>0.2</v>
      </c>
      <c r="K10" s="12">
        <f t="shared" si="0"/>
        <v>-0.69897000433601875</v>
      </c>
      <c r="L10" s="11">
        <f>GraphStrept!B$10-(Streptococcus!H10-GraphStrept!B$6)/GraphStrept!B$5</f>
        <v>-1.0120774945938811</v>
      </c>
      <c r="M10" s="1" t="s">
        <v>1226</v>
      </c>
      <c r="N10">
        <v>1996</v>
      </c>
    </row>
    <row r="11" spans="1:15" x14ac:dyDescent="0.2">
      <c r="A11" s="1" t="s">
        <v>212</v>
      </c>
      <c r="B11" s="1" t="s">
        <v>790</v>
      </c>
      <c r="E11" s="1" t="s">
        <v>215</v>
      </c>
      <c r="F11" s="1" t="s">
        <v>216</v>
      </c>
      <c r="H11" s="4">
        <v>65.599999999999994</v>
      </c>
      <c r="I11" s="11">
        <v>0.2</v>
      </c>
      <c r="K11" s="12">
        <f t="shared" si="0"/>
        <v>-0.69897000433601875</v>
      </c>
      <c r="L11" s="11">
        <f>GraphStrept!B$10-(Streptococcus!H11-GraphStrept!B$6)/GraphStrept!B$5</f>
        <v>-0.96869406920269463</v>
      </c>
      <c r="M11" s="1" t="s">
        <v>1226</v>
      </c>
      <c r="N11">
        <v>1996</v>
      </c>
    </row>
    <row r="12" spans="1:15" x14ac:dyDescent="0.2">
      <c r="A12" s="1" t="s">
        <v>212</v>
      </c>
      <c r="B12" s="1" t="s">
        <v>790</v>
      </c>
      <c r="E12" s="1" t="s">
        <v>215</v>
      </c>
      <c r="F12" s="1" t="s">
        <v>216</v>
      </c>
      <c r="H12" s="4">
        <v>65.599999999999994</v>
      </c>
      <c r="I12" s="9">
        <v>2</v>
      </c>
      <c r="J12" s="7"/>
      <c r="K12" s="12">
        <f t="shared" si="0"/>
        <v>0.3010299956639812</v>
      </c>
      <c r="L12" s="11">
        <f>GraphStrept!B$10-(Streptococcus!H12-GraphStrept!B$6)/GraphStrept!B$5</f>
        <v>-0.96869406920269463</v>
      </c>
      <c r="M12" s="1" t="s">
        <v>1226</v>
      </c>
      <c r="N12">
        <v>1996</v>
      </c>
    </row>
    <row r="13" spans="1:15" x14ac:dyDescent="0.2">
      <c r="A13" s="1"/>
      <c r="B13" s="1"/>
      <c r="E13" s="1"/>
      <c r="F13" s="19"/>
      <c r="K13" s="12"/>
      <c r="L13" s="11"/>
      <c r="M13" s="2"/>
    </row>
    <row r="14" spans="1:15" x14ac:dyDescent="0.2">
      <c r="A14" s="1"/>
      <c r="B14" s="1"/>
      <c r="E14" s="1"/>
      <c r="F14" s="19"/>
      <c r="K14" s="12"/>
      <c r="L14" s="11"/>
      <c r="M14" s="2"/>
    </row>
    <row r="15" spans="1:15" x14ac:dyDescent="0.2">
      <c r="A15" s="1"/>
      <c r="B15" s="1"/>
      <c r="E15" s="1"/>
      <c r="F15" s="19"/>
      <c r="K15" s="12"/>
      <c r="L15" s="11"/>
      <c r="M15" s="2"/>
    </row>
    <row r="16" spans="1:15" x14ac:dyDescent="0.2">
      <c r="A16" s="1"/>
      <c r="B16" s="1"/>
      <c r="E16" s="1"/>
      <c r="F16" s="19"/>
      <c r="I16" s="9"/>
      <c r="J16" s="7"/>
      <c r="K16" s="12"/>
      <c r="L16" s="11"/>
      <c r="M16" s="2"/>
    </row>
    <row r="17" spans="1:13" x14ac:dyDescent="0.2">
      <c r="A17" s="1"/>
      <c r="B17" s="1"/>
      <c r="E17" s="1"/>
      <c r="F17" s="19"/>
      <c r="K17" s="12"/>
      <c r="L17" s="11"/>
      <c r="M17" s="2"/>
    </row>
    <row r="18" spans="1:13" x14ac:dyDescent="0.2">
      <c r="A18" s="1"/>
      <c r="B18" s="1"/>
      <c r="E18" s="1"/>
      <c r="F18" s="19"/>
      <c r="K18" s="12"/>
      <c r="L18" s="11"/>
      <c r="M18" s="2"/>
    </row>
    <row r="19" spans="1:13" x14ac:dyDescent="0.2">
      <c r="A19" s="1"/>
      <c r="B19" s="1"/>
      <c r="E19" s="1"/>
      <c r="F19" s="19"/>
      <c r="K19" s="12"/>
      <c r="L19" s="11"/>
      <c r="M19" s="2"/>
    </row>
    <row r="20" spans="1:13" x14ac:dyDescent="0.2">
      <c r="A20" s="1"/>
      <c r="B20" s="1"/>
      <c r="E20" s="1"/>
      <c r="F20" s="19"/>
      <c r="K20" s="12"/>
      <c r="L20" s="11"/>
      <c r="M20" s="2"/>
    </row>
    <row r="21" spans="1:13" x14ac:dyDescent="0.2">
      <c r="A21" s="1"/>
      <c r="B21" s="1"/>
      <c r="E21" s="1"/>
      <c r="F21" s="19"/>
      <c r="I21" s="9"/>
      <c r="J21" s="5"/>
      <c r="K21" s="12"/>
      <c r="L21" s="11"/>
      <c r="M21" s="2"/>
    </row>
    <row r="22" spans="1:13" x14ac:dyDescent="0.2">
      <c r="A22" s="1"/>
      <c r="B22" s="1"/>
      <c r="E22" s="1"/>
      <c r="F22" s="19"/>
      <c r="K22" s="12"/>
      <c r="L22" s="11"/>
      <c r="M22" s="2"/>
    </row>
    <row r="23" spans="1:13" x14ac:dyDescent="0.2">
      <c r="A23" s="1"/>
      <c r="B23" s="1"/>
      <c r="E23" s="1"/>
      <c r="F23" s="19"/>
      <c r="K23" s="12"/>
      <c r="L23" s="11"/>
      <c r="M23" s="2"/>
    </row>
    <row r="24" spans="1:13" x14ac:dyDescent="0.2">
      <c r="A24" s="1"/>
      <c r="B24" s="1"/>
      <c r="E24" s="1"/>
      <c r="F24" s="19"/>
      <c r="K24" s="12"/>
      <c r="L24" s="11"/>
      <c r="M24" s="2"/>
    </row>
    <row r="25" spans="1:13" x14ac:dyDescent="0.2">
      <c r="A25" s="1"/>
      <c r="B25" s="1"/>
      <c r="E25" s="1"/>
      <c r="F25" s="19"/>
      <c r="K25" s="12"/>
      <c r="L25" s="11"/>
      <c r="M25" s="2"/>
    </row>
    <row r="26" spans="1:13" x14ac:dyDescent="0.2">
      <c r="A26" s="1"/>
      <c r="B26" s="1"/>
      <c r="E26" s="1"/>
      <c r="F26" s="19"/>
      <c r="K26" s="12"/>
      <c r="L26" s="11"/>
      <c r="M26" s="2"/>
    </row>
    <row r="27" spans="1:13" x14ac:dyDescent="0.2">
      <c r="A27" s="1"/>
      <c r="B27" s="1"/>
      <c r="E27" s="1"/>
      <c r="F27" s="19"/>
      <c r="K27" s="12"/>
      <c r="L27" s="11"/>
      <c r="M27" s="2"/>
    </row>
    <row r="28" spans="1:13" x14ac:dyDescent="0.2">
      <c r="A28" s="1"/>
      <c r="B28" s="1"/>
      <c r="E28" s="1"/>
      <c r="F28" s="19"/>
      <c r="K28" s="12"/>
      <c r="L28" s="11"/>
      <c r="M28" s="2"/>
    </row>
    <row r="29" spans="1:13" x14ac:dyDescent="0.2">
      <c r="A29" s="1"/>
      <c r="B29" s="1"/>
      <c r="E29" s="1"/>
      <c r="F29" s="19"/>
      <c r="I29" s="9"/>
      <c r="J29" s="7"/>
      <c r="K29" s="12"/>
      <c r="L29" s="11"/>
      <c r="M29" s="2"/>
    </row>
    <row r="30" spans="1:13" x14ac:dyDescent="0.2">
      <c r="A30" s="1"/>
      <c r="B30" s="1"/>
      <c r="E30" s="1"/>
      <c r="F30" s="19"/>
      <c r="K30" s="12"/>
      <c r="L30" s="11"/>
      <c r="M30" s="2"/>
    </row>
    <row r="31" spans="1:13" x14ac:dyDescent="0.2">
      <c r="A31" s="1"/>
      <c r="B31" s="1"/>
      <c r="E31" s="1"/>
      <c r="F31" s="19"/>
      <c r="K31" s="12"/>
      <c r="L31" s="11"/>
      <c r="M31" s="2"/>
    </row>
    <row r="32" spans="1:13" x14ac:dyDescent="0.2">
      <c r="A32" s="1"/>
      <c r="B32" s="1"/>
      <c r="E32" s="1"/>
      <c r="F32" s="19"/>
      <c r="K32" s="12"/>
      <c r="L32" s="11"/>
      <c r="M32" s="2"/>
    </row>
    <row r="33" spans="1:13" x14ac:dyDescent="0.2">
      <c r="A33" s="1"/>
      <c r="B33" s="1"/>
      <c r="E33" s="1"/>
      <c r="F33" s="19"/>
      <c r="K33" s="12"/>
      <c r="L33" s="11"/>
      <c r="M33" s="2"/>
    </row>
    <row r="34" spans="1:13" x14ac:dyDescent="0.2">
      <c r="A34" s="1"/>
      <c r="B34" s="1"/>
      <c r="E34" s="1"/>
      <c r="F34" s="19"/>
      <c r="K34" s="12"/>
      <c r="L34" s="11"/>
      <c r="M34" s="2"/>
    </row>
    <row r="35" spans="1:13" x14ac:dyDescent="0.2">
      <c r="A35" s="1"/>
      <c r="B35" s="1"/>
      <c r="E35" s="1"/>
      <c r="F35" s="19"/>
      <c r="I35" s="9"/>
      <c r="J35" s="5"/>
      <c r="K35" s="12"/>
      <c r="L35" s="11"/>
      <c r="M35" s="2"/>
    </row>
    <row r="36" spans="1:13" x14ac:dyDescent="0.2">
      <c r="A36" s="1"/>
      <c r="B36" s="1"/>
      <c r="E36" s="1"/>
      <c r="F36" s="19"/>
      <c r="K36" s="12"/>
      <c r="L36" s="11"/>
      <c r="M36" s="2"/>
    </row>
    <row r="37" spans="1:13" x14ac:dyDescent="0.2">
      <c r="A37" s="1"/>
      <c r="B37" s="1"/>
      <c r="E37" s="1"/>
      <c r="F37" s="19"/>
      <c r="K37" s="12"/>
      <c r="L37" s="11"/>
      <c r="M37" s="2"/>
    </row>
    <row r="38" spans="1:13" x14ac:dyDescent="0.2">
      <c r="A38" s="1"/>
      <c r="B38" s="1"/>
      <c r="E38" s="1"/>
      <c r="F38" s="19"/>
      <c r="K38" s="12"/>
      <c r="L38" s="11"/>
      <c r="M38" s="2"/>
    </row>
    <row r="39" spans="1:13" x14ac:dyDescent="0.2">
      <c r="A39" s="1"/>
      <c r="B39" s="1"/>
      <c r="E39" s="1"/>
      <c r="F39" s="19"/>
      <c r="K39" s="12"/>
      <c r="L39" s="11"/>
      <c r="M39" s="2"/>
    </row>
    <row r="40" spans="1:13" x14ac:dyDescent="0.2">
      <c r="A40" s="1"/>
      <c r="B40" s="1"/>
      <c r="E40" s="1"/>
      <c r="F40" s="19"/>
      <c r="K40" s="12"/>
      <c r="L40" s="11"/>
      <c r="M40" s="2"/>
    </row>
    <row r="41" spans="1:13" x14ac:dyDescent="0.2">
      <c r="A41" s="1"/>
      <c r="B41" s="1"/>
      <c r="E41" s="1"/>
      <c r="F41" s="19"/>
      <c r="I41" s="9"/>
      <c r="J41" s="7"/>
      <c r="K41" s="12"/>
      <c r="L41" s="11"/>
      <c r="M41" s="2"/>
    </row>
    <row r="42" spans="1:13" x14ac:dyDescent="0.2">
      <c r="A42" s="1"/>
      <c r="B42" s="1"/>
      <c r="E42" s="1"/>
      <c r="F42" s="19"/>
      <c r="K42" s="12"/>
      <c r="L42" s="11"/>
      <c r="M42" s="2"/>
    </row>
    <row r="43" spans="1:13" x14ac:dyDescent="0.2">
      <c r="A43" s="1"/>
      <c r="B43" s="1"/>
      <c r="E43" s="1"/>
      <c r="F43" s="19"/>
      <c r="K43" s="12"/>
      <c r="L43" s="11"/>
      <c r="M43" s="2"/>
    </row>
    <row r="44" spans="1:13" x14ac:dyDescent="0.2">
      <c r="A44" s="1"/>
      <c r="B44" s="1"/>
      <c r="E44" s="1"/>
      <c r="F44" s="19"/>
      <c r="K44" s="12"/>
      <c r="L44" s="11"/>
      <c r="M44" s="2"/>
    </row>
    <row r="45" spans="1:13" x14ac:dyDescent="0.2">
      <c r="A45" s="1"/>
      <c r="B45" s="1"/>
      <c r="E45" s="1"/>
      <c r="F45" s="19"/>
      <c r="I45" s="9"/>
      <c r="J45" s="7"/>
      <c r="K45" s="12"/>
      <c r="L45" s="11"/>
      <c r="M45" s="2"/>
    </row>
    <row r="46" spans="1:13" x14ac:dyDescent="0.2">
      <c r="A46" s="1"/>
      <c r="B46" s="1"/>
      <c r="E46" s="1"/>
      <c r="F46" s="19"/>
      <c r="I46" s="9"/>
      <c r="J46" s="7"/>
      <c r="K46" s="12"/>
      <c r="L46" s="11"/>
      <c r="M46" s="2"/>
    </row>
    <row r="47" spans="1:13" x14ac:dyDescent="0.2">
      <c r="A47" s="1"/>
      <c r="B47" s="1"/>
      <c r="E47" s="1"/>
      <c r="F47" s="19"/>
      <c r="K47" s="12"/>
      <c r="L47" s="11"/>
      <c r="M47" s="2"/>
    </row>
    <row r="48" spans="1:13" x14ac:dyDescent="0.2">
      <c r="A48" s="1"/>
      <c r="B48" s="1"/>
      <c r="E48" s="1"/>
      <c r="F48" s="19"/>
      <c r="K48" s="12"/>
      <c r="L48" s="11"/>
      <c r="M48" s="2"/>
    </row>
    <row r="49" spans="1:13" x14ac:dyDescent="0.2">
      <c r="A49" s="1"/>
      <c r="B49" s="1"/>
      <c r="E49" s="1"/>
      <c r="F49" s="19"/>
      <c r="K49" s="12"/>
      <c r="L49" s="11"/>
      <c r="M49" s="2"/>
    </row>
    <row r="50" spans="1:13" x14ac:dyDescent="0.2">
      <c r="A50" s="1"/>
      <c r="B50" s="1"/>
      <c r="E50" s="1"/>
      <c r="K50" s="12"/>
      <c r="L50" s="11"/>
      <c r="M50" s="2"/>
    </row>
    <row r="51" spans="1:13" x14ac:dyDescent="0.2">
      <c r="A51" s="1"/>
      <c r="B51" s="1"/>
      <c r="E51" s="1"/>
      <c r="I51" s="9"/>
      <c r="J51" s="5"/>
      <c r="K51" s="12"/>
      <c r="L51" s="11"/>
      <c r="M51" s="2"/>
    </row>
    <row r="52" spans="1:13" x14ac:dyDescent="0.2">
      <c r="A52" s="1"/>
      <c r="B52" s="1"/>
      <c r="E52" s="1"/>
      <c r="K52" s="12"/>
      <c r="L52" s="11"/>
      <c r="M52" s="2"/>
    </row>
    <row r="53" spans="1:13" x14ac:dyDescent="0.2">
      <c r="A53" s="1"/>
      <c r="B53" s="1"/>
      <c r="E53" s="1"/>
      <c r="K53" s="12"/>
      <c r="L53" s="11"/>
      <c r="M53" s="2"/>
    </row>
    <row r="54" spans="1:13" x14ac:dyDescent="0.2">
      <c r="A54" s="1"/>
      <c r="B54" s="1"/>
      <c r="E54" s="1"/>
      <c r="K54" s="12"/>
      <c r="L54" s="11"/>
      <c r="M54" s="2"/>
    </row>
    <row r="55" spans="1:13" x14ac:dyDescent="0.2">
      <c r="A55" s="1"/>
      <c r="B55" s="1"/>
      <c r="E55" s="1"/>
      <c r="F55" s="1"/>
      <c r="K55" s="12"/>
      <c r="L55" s="11"/>
      <c r="M55" s="1"/>
    </row>
    <row r="56" spans="1:13" x14ac:dyDescent="0.2">
      <c r="A56" s="1"/>
      <c r="B56" s="1"/>
      <c r="E56" s="1"/>
      <c r="F56" s="1"/>
      <c r="K56" s="12"/>
      <c r="L56" s="11"/>
      <c r="M56" s="2"/>
    </row>
    <row r="57" spans="1:13" x14ac:dyDescent="0.2">
      <c r="A57" s="1"/>
      <c r="B57" s="1"/>
      <c r="E57" s="1"/>
      <c r="F57" s="1"/>
      <c r="K57" s="12"/>
      <c r="L57" s="11"/>
      <c r="M57" s="2"/>
    </row>
    <row r="58" spans="1:13" x14ac:dyDescent="0.2">
      <c r="A58" s="1"/>
      <c r="B58" s="1"/>
      <c r="E58" s="1"/>
      <c r="F58" s="1"/>
      <c r="K58" s="12"/>
      <c r="L58" s="11"/>
      <c r="M58" s="2"/>
    </row>
    <row r="59" spans="1:13" x14ac:dyDescent="0.2">
      <c r="A59" s="1"/>
      <c r="B59" s="1"/>
      <c r="E59" s="1"/>
      <c r="F59" s="1"/>
      <c r="K59" s="12"/>
      <c r="L59" s="11"/>
      <c r="M59" s="2"/>
    </row>
    <row r="60" spans="1:13" x14ac:dyDescent="0.2">
      <c r="A60" s="1"/>
      <c r="B60" s="1"/>
      <c r="E60" s="1"/>
      <c r="F60" s="1"/>
      <c r="K60" s="12"/>
      <c r="L60" s="11"/>
      <c r="M60" s="2"/>
    </row>
    <row r="61" spans="1:13" x14ac:dyDescent="0.2">
      <c r="A61" s="1"/>
      <c r="B61" s="1"/>
      <c r="E61" s="1"/>
      <c r="K61" s="12"/>
      <c r="L61" s="11"/>
      <c r="M61" s="1"/>
    </row>
    <row r="62" spans="1:13" x14ac:dyDescent="0.2">
      <c r="A62" s="1"/>
      <c r="B62" s="1"/>
      <c r="E62" s="1"/>
      <c r="H62" s="23"/>
      <c r="I62" s="4"/>
      <c r="K62" s="12"/>
      <c r="L62" s="11"/>
      <c r="M62" s="1"/>
    </row>
    <row r="63" spans="1:13" x14ac:dyDescent="0.2">
      <c r="A63" s="1"/>
      <c r="B63" s="1"/>
      <c r="E63" s="1"/>
      <c r="F63" s="1"/>
      <c r="K63" s="12"/>
      <c r="L63" s="11"/>
      <c r="M63" s="1"/>
    </row>
    <row r="64" spans="1:13" x14ac:dyDescent="0.2">
      <c r="A64" s="1"/>
      <c r="B64" s="1"/>
      <c r="E64" s="1"/>
      <c r="F64" s="1"/>
      <c r="K64" s="12"/>
      <c r="L64" s="11"/>
      <c r="M64" s="1"/>
    </row>
    <row r="65" spans="1:13" x14ac:dyDescent="0.2">
      <c r="A65" s="1"/>
      <c r="B65" s="1"/>
      <c r="E65" s="1"/>
      <c r="K65" s="12"/>
      <c r="L65" s="11"/>
      <c r="M65" s="1"/>
    </row>
    <row r="66" spans="1:13" x14ac:dyDescent="0.2">
      <c r="A66" s="1"/>
      <c r="B66" s="1"/>
      <c r="E66" s="1"/>
      <c r="F66" s="1"/>
      <c r="K66" s="12"/>
      <c r="L66" s="11"/>
      <c r="M66" s="1"/>
    </row>
    <row r="67" spans="1:13" x14ac:dyDescent="0.2">
      <c r="A67" s="1"/>
      <c r="B67" s="1"/>
      <c r="E67" s="1"/>
      <c r="F67" s="1"/>
      <c r="K67" s="12"/>
      <c r="L67" s="11"/>
      <c r="M67" s="1"/>
    </row>
    <row r="68" spans="1:13" x14ac:dyDescent="0.2">
      <c r="A68" s="1"/>
      <c r="B68" s="1"/>
      <c r="E68" s="1"/>
      <c r="K68" s="12"/>
      <c r="L68" s="11"/>
      <c r="M68" s="1"/>
    </row>
    <row r="69" spans="1:13" x14ac:dyDescent="0.2">
      <c r="A69" s="1"/>
      <c r="B69" s="1"/>
      <c r="E69" s="1"/>
      <c r="K69" s="12"/>
      <c r="L69" s="11"/>
      <c r="M69" s="1"/>
    </row>
    <row r="70" spans="1:13" x14ac:dyDescent="0.2">
      <c r="A70" s="1"/>
      <c r="B70" s="1"/>
      <c r="E70" s="1"/>
      <c r="F70" s="1"/>
      <c r="K70" s="12"/>
      <c r="L70" s="11"/>
      <c r="M70" s="1"/>
    </row>
    <row r="71" spans="1:13" x14ac:dyDescent="0.2">
      <c r="A71" s="1"/>
      <c r="B71" s="1"/>
      <c r="E71" s="1"/>
      <c r="F71" s="1"/>
      <c r="K71" s="12"/>
      <c r="L71" s="11"/>
      <c r="M71" s="1"/>
    </row>
    <row r="72" spans="1:13" x14ac:dyDescent="0.2">
      <c r="A72" s="1"/>
      <c r="B72" s="1"/>
      <c r="E72" s="1"/>
      <c r="F72" s="1"/>
      <c r="K72" s="12"/>
      <c r="L72" s="11"/>
      <c r="M72" s="1"/>
    </row>
    <row r="73" spans="1:13" x14ac:dyDescent="0.2">
      <c r="A73" s="1"/>
      <c r="B73" s="1"/>
      <c r="E73" s="1"/>
      <c r="F73" s="1"/>
      <c r="I73" s="9"/>
      <c r="J73" s="5"/>
      <c r="K73" s="12"/>
      <c r="L73" s="11"/>
      <c r="M73" s="1"/>
    </row>
    <row r="74" spans="1:13" x14ac:dyDescent="0.2">
      <c r="A74" s="1"/>
      <c r="B74" s="1"/>
      <c r="E74" s="1"/>
      <c r="K74" s="12"/>
      <c r="L74" s="11"/>
      <c r="M74" s="1"/>
    </row>
    <row r="75" spans="1:13" x14ac:dyDescent="0.2">
      <c r="A75" s="1"/>
      <c r="B75" s="1"/>
      <c r="E75" s="1"/>
      <c r="K75" s="12"/>
      <c r="L75" s="11"/>
      <c r="M75" s="1"/>
    </row>
    <row r="76" spans="1:13" x14ac:dyDescent="0.2">
      <c r="A76" s="1"/>
      <c r="B76" s="1"/>
      <c r="E76" s="1"/>
      <c r="K76" s="12"/>
      <c r="L76" s="11"/>
      <c r="M76" s="1"/>
    </row>
    <row r="77" spans="1:13" x14ac:dyDescent="0.2">
      <c r="A77" s="1"/>
      <c r="B77" s="1"/>
      <c r="E77" s="1"/>
      <c r="K77" s="12"/>
      <c r="L77" s="11"/>
      <c r="M77" s="1"/>
    </row>
    <row r="78" spans="1:13" x14ac:dyDescent="0.2">
      <c r="A78" s="1"/>
      <c r="B78" s="1"/>
      <c r="E78" s="1"/>
      <c r="K78" s="12"/>
      <c r="L78" s="11"/>
      <c r="M78" s="1"/>
    </row>
    <row r="79" spans="1:13" x14ac:dyDescent="0.2">
      <c r="A79" s="1"/>
      <c r="B79" s="1"/>
      <c r="E79" s="1"/>
      <c r="K79" s="12"/>
      <c r="L79" s="11"/>
      <c r="M79" s="1"/>
    </row>
    <row r="80" spans="1:13" x14ac:dyDescent="0.2">
      <c r="A80" s="1"/>
      <c r="B80" s="1"/>
      <c r="F80" s="1"/>
      <c r="K80" s="12"/>
      <c r="L80" s="11"/>
      <c r="M80" s="1"/>
    </row>
    <row r="81" spans="1:13" x14ac:dyDescent="0.2">
      <c r="A81" s="1"/>
      <c r="B81" s="1"/>
      <c r="F81" s="1"/>
      <c r="K81" s="12"/>
      <c r="L81" s="11"/>
      <c r="M81" s="1"/>
    </row>
    <row r="82" spans="1:13" x14ac:dyDescent="0.2">
      <c r="A82" s="1"/>
      <c r="B82" s="1"/>
      <c r="F82" s="1"/>
      <c r="K82" s="12"/>
      <c r="L82" s="11"/>
      <c r="M82" s="1"/>
    </row>
    <row r="83" spans="1:13" x14ac:dyDescent="0.2">
      <c r="A83" s="1"/>
      <c r="B83" s="1"/>
      <c r="F83" s="1"/>
      <c r="K83" s="12"/>
      <c r="L83" s="11"/>
      <c r="M83" s="1"/>
    </row>
    <row r="84" spans="1:13" x14ac:dyDescent="0.2">
      <c r="A84" s="1"/>
      <c r="B84" s="1"/>
      <c r="E84" s="1"/>
      <c r="K84" s="12"/>
      <c r="L84" s="11"/>
      <c r="M84" s="2"/>
    </row>
    <row r="85" spans="1:13" x14ac:dyDescent="0.2">
      <c r="A85" s="1"/>
      <c r="B85" s="1"/>
      <c r="E85" s="1"/>
      <c r="K85" s="12"/>
      <c r="L85" s="11"/>
      <c r="M85" s="2"/>
    </row>
    <row r="86" spans="1:13" x14ac:dyDescent="0.2">
      <c r="A86" s="1"/>
      <c r="B86" s="1"/>
      <c r="E86" s="1"/>
      <c r="K86" s="12"/>
      <c r="L86" s="11"/>
      <c r="M86" s="2"/>
    </row>
    <row r="87" spans="1:13" x14ac:dyDescent="0.2">
      <c r="A87" s="1"/>
      <c r="B87" s="1"/>
      <c r="E87" s="1"/>
      <c r="K87" s="12"/>
      <c r="L87" s="11"/>
      <c r="M87" s="2"/>
    </row>
    <row r="88" spans="1:13" x14ac:dyDescent="0.2">
      <c r="A88" s="1"/>
      <c r="B88" s="1"/>
      <c r="E88" s="1"/>
      <c r="K88" s="12"/>
      <c r="L88" s="11"/>
      <c r="M88" s="2"/>
    </row>
    <row r="89" spans="1:13" x14ac:dyDescent="0.2">
      <c r="A89" s="1"/>
      <c r="B89" s="1"/>
      <c r="E89" s="1"/>
      <c r="F89" s="1"/>
      <c r="K89" s="12"/>
      <c r="L89" s="11"/>
      <c r="M89" s="2"/>
    </row>
    <row r="90" spans="1:13" x14ac:dyDescent="0.2">
      <c r="A90" s="1"/>
      <c r="B90" s="1"/>
      <c r="E90" s="1"/>
      <c r="F90" s="1"/>
      <c r="I90" s="4"/>
      <c r="K90" s="12"/>
      <c r="L90" s="11"/>
      <c r="M90" s="2"/>
    </row>
    <row r="91" spans="1:13" x14ac:dyDescent="0.2">
      <c r="A91" s="1"/>
      <c r="B91" s="1"/>
      <c r="E91" s="1"/>
      <c r="F91" s="1"/>
      <c r="I91" s="4"/>
      <c r="K91" s="12"/>
      <c r="L91" s="11"/>
      <c r="M91" s="2"/>
    </row>
    <row r="92" spans="1:13" x14ac:dyDescent="0.2">
      <c r="A92" s="1"/>
      <c r="B92" s="1"/>
      <c r="E92" s="1"/>
      <c r="F92" s="1"/>
      <c r="K92" s="12"/>
      <c r="L92" s="11"/>
      <c r="M92" s="2"/>
    </row>
    <row r="93" spans="1:13" x14ac:dyDescent="0.2">
      <c r="A93" s="1"/>
      <c r="B93" s="1"/>
      <c r="E93" s="1"/>
      <c r="F93" s="1"/>
      <c r="K93" s="12"/>
      <c r="L93" s="11"/>
      <c r="M93" s="2"/>
    </row>
    <row r="94" spans="1:13" x14ac:dyDescent="0.2">
      <c r="A94" s="1"/>
      <c r="B94" s="1"/>
      <c r="E94" s="1"/>
      <c r="F94" s="1"/>
      <c r="K94" s="12"/>
      <c r="L94" s="11"/>
      <c r="M94" s="2"/>
    </row>
    <row r="95" spans="1:13" x14ac:dyDescent="0.2">
      <c r="A95" s="1"/>
      <c r="B95" s="1"/>
      <c r="E95" s="1"/>
      <c r="F95" s="1"/>
      <c r="K95" s="12"/>
      <c r="L95" s="11"/>
      <c r="M95" s="2"/>
    </row>
    <row r="96" spans="1:13" x14ac:dyDescent="0.2">
      <c r="A96" s="1"/>
      <c r="B96" s="1"/>
      <c r="E96" s="1"/>
      <c r="F96" s="1"/>
      <c r="K96" s="12"/>
      <c r="L96" s="11"/>
      <c r="M96" s="2"/>
    </row>
    <row r="97" spans="1:13" x14ac:dyDescent="0.2">
      <c r="A97" s="1"/>
      <c r="B97" s="1"/>
      <c r="E97" s="1"/>
      <c r="F97" s="1"/>
      <c r="K97" s="12"/>
      <c r="L97" s="11"/>
      <c r="M97" s="2"/>
    </row>
    <row r="98" spans="1:13" x14ac:dyDescent="0.2">
      <c r="A98" s="1"/>
      <c r="B98" s="1"/>
      <c r="E98" s="1"/>
      <c r="F98" s="1"/>
      <c r="K98" s="12"/>
      <c r="L98" s="11"/>
      <c r="M98" s="2"/>
    </row>
    <row r="99" spans="1:13" x14ac:dyDescent="0.2">
      <c r="A99" s="1"/>
      <c r="B99" s="1"/>
      <c r="E99" s="1"/>
      <c r="F99" s="1"/>
      <c r="K99" s="12"/>
      <c r="L99" s="11"/>
      <c r="M99" s="2"/>
    </row>
    <row r="100" spans="1:13" x14ac:dyDescent="0.2">
      <c r="A100" s="1"/>
      <c r="B100" s="1"/>
      <c r="E100" s="1"/>
      <c r="F100" s="1"/>
      <c r="K100" s="12"/>
      <c r="L100" s="11"/>
      <c r="M100" s="2"/>
    </row>
    <row r="101" spans="1:13" x14ac:dyDescent="0.2">
      <c r="A101" s="1"/>
      <c r="B101" s="1"/>
      <c r="E101" s="1"/>
      <c r="F101" s="1"/>
      <c r="K101" s="12"/>
      <c r="L101" s="11"/>
      <c r="M101" s="2"/>
    </row>
    <row r="102" spans="1:13" x14ac:dyDescent="0.2">
      <c r="A102" s="1"/>
      <c r="B102" s="1"/>
      <c r="E102" s="1"/>
      <c r="F102" s="1"/>
      <c r="K102" s="12"/>
      <c r="L102" s="11"/>
      <c r="M102" s="2"/>
    </row>
    <row r="103" spans="1:13" x14ac:dyDescent="0.2">
      <c r="A103" s="1"/>
      <c r="B103" s="1"/>
      <c r="E103" s="1"/>
      <c r="F103" s="1"/>
      <c r="K103" s="12"/>
      <c r="L103" s="11"/>
      <c r="M103" s="2"/>
    </row>
    <row r="104" spans="1:13" x14ac:dyDescent="0.2">
      <c r="A104" s="1"/>
      <c r="B104" s="1"/>
      <c r="E104" s="1"/>
      <c r="F104" s="1"/>
      <c r="K104" s="12"/>
      <c r="L104" s="11"/>
      <c r="M104" s="2"/>
    </row>
    <row r="105" spans="1:13" x14ac:dyDescent="0.2">
      <c r="A105" s="1"/>
      <c r="B105" s="1"/>
      <c r="E105" s="1"/>
      <c r="F105" s="1"/>
      <c r="K105" s="12"/>
      <c r="L105" s="11"/>
      <c r="M105" s="2"/>
    </row>
    <row r="106" spans="1:13" x14ac:dyDescent="0.2">
      <c r="A106" s="1"/>
      <c r="B106" s="1"/>
      <c r="E106" s="1"/>
      <c r="F106" s="1"/>
      <c r="K106" s="12"/>
      <c r="L106" s="11"/>
      <c r="M106" s="2"/>
    </row>
    <row r="107" spans="1:13" x14ac:dyDescent="0.2">
      <c r="A107" s="1"/>
      <c r="B107" s="1"/>
      <c r="E107" s="1"/>
      <c r="F107" s="1"/>
      <c r="K107" s="12"/>
      <c r="L107" s="11"/>
      <c r="M107" s="2"/>
    </row>
    <row r="108" spans="1:13" x14ac:dyDescent="0.2">
      <c r="A108" s="1"/>
      <c r="B108" s="1"/>
      <c r="E108" s="1"/>
      <c r="F108" s="1"/>
      <c r="K108" s="12"/>
      <c r="L108" s="11"/>
      <c r="M108" s="2"/>
    </row>
    <row r="109" spans="1:13" x14ac:dyDescent="0.2">
      <c r="A109" s="1"/>
      <c r="B109" s="1"/>
      <c r="E109" s="1"/>
      <c r="F109" s="1"/>
      <c r="K109" s="12"/>
      <c r="L109" s="11"/>
      <c r="M109" s="2"/>
    </row>
    <row r="110" spans="1:13" x14ac:dyDescent="0.2">
      <c r="A110" s="1"/>
      <c r="B110" s="1"/>
      <c r="E110" s="1"/>
      <c r="F110" s="1"/>
      <c r="K110" s="12"/>
      <c r="L110" s="11"/>
      <c r="M110" s="2"/>
    </row>
    <row r="111" spans="1:13" x14ac:dyDescent="0.2">
      <c r="A111" s="1"/>
      <c r="B111" s="1"/>
      <c r="E111" s="1"/>
      <c r="F111" s="1"/>
      <c r="K111" s="12"/>
      <c r="L111" s="11"/>
      <c r="M111" s="2"/>
    </row>
    <row r="112" spans="1:13" x14ac:dyDescent="0.2">
      <c r="A112" s="1"/>
      <c r="B112" s="1"/>
      <c r="E112" s="1"/>
      <c r="F112" s="1"/>
      <c r="K112" s="12"/>
      <c r="L112" s="11"/>
      <c r="M112" s="2"/>
    </row>
    <row r="113" spans="1:13" x14ac:dyDescent="0.2">
      <c r="A113" s="1"/>
      <c r="B113" s="1"/>
      <c r="E113" s="1"/>
      <c r="F113" s="1"/>
      <c r="K113" s="12"/>
      <c r="L113" s="11"/>
      <c r="M113" s="2"/>
    </row>
    <row r="114" spans="1:13" x14ac:dyDescent="0.2">
      <c r="A114" s="1"/>
      <c r="B114" s="1"/>
      <c r="E114" s="1"/>
      <c r="F114" s="1"/>
      <c r="K114" s="12"/>
      <c r="L114" s="11"/>
      <c r="M114" s="2"/>
    </row>
    <row r="115" spans="1:13" x14ac:dyDescent="0.2">
      <c r="A115" s="1"/>
      <c r="B115" s="1"/>
      <c r="E115" s="1"/>
      <c r="F115" s="1"/>
      <c r="K115" s="12"/>
      <c r="L115" s="11"/>
      <c r="M115" s="2"/>
    </row>
    <row r="116" spans="1:13" x14ac:dyDescent="0.2">
      <c r="A116" s="1"/>
      <c r="B116" s="1"/>
      <c r="E116" s="1"/>
      <c r="F116" s="1"/>
      <c r="K116" s="12"/>
      <c r="L116" s="11"/>
      <c r="M116" s="2"/>
    </row>
    <row r="117" spans="1:13" x14ac:dyDescent="0.2">
      <c r="A117" s="1"/>
      <c r="B117" s="1"/>
      <c r="E117" s="1"/>
      <c r="F117" s="1"/>
      <c r="K117" s="12"/>
      <c r="L117" s="11"/>
      <c r="M117" s="2"/>
    </row>
    <row r="118" spans="1:13" x14ac:dyDescent="0.2">
      <c r="A118" s="1"/>
      <c r="B118" s="1"/>
      <c r="E118" s="1"/>
      <c r="F118" s="1"/>
      <c r="K118" s="12"/>
      <c r="L118" s="11"/>
      <c r="M118" s="2"/>
    </row>
    <row r="119" spans="1:13" x14ac:dyDescent="0.2">
      <c r="A119" s="1"/>
      <c r="B119" s="1"/>
      <c r="E119" s="1"/>
      <c r="F119" s="1"/>
      <c r="K119" s="12"/>
      <c r="L119" s="11"/>
      <c r="M119" s="2"/>
    </row>
    <row r="120" spans="1:13" x14ac:dyDescent="0.2">
      <c r="A120" s="1"/>
      <c r="B120" s="1"/>
      <c r="E120" s="1"/>
      <c r="F120" s="1"/>
      <c r="K120" s="12"/>
      <c r="L120" s="11"/>
      <c r="M120" s="1"/>
    </row>
    <row r="121" spans="1:13" x14ac:dyDescent="0.2">
      <c r="A121" s="1"/>
      <c r="B121" s="1"/>
      <c r="E121" s="1"/>
      <c r="K121" s="12"/>
      <c r="L121" s="11"/>
      <c r="M121" s="1"/>
    </row>
    <row r="122" spans="1:13" x14ac:dyDescent="0.2">
      <c r="A122" s="1"/>
      <c r="B122" s="1"/>
      <c r="E122" s="1"/>
      <c r="K122" s="12"/>
      <c r="L122" s="11"/>
      <c r="M122" s="1"/>
    </row>
    <row r="123" spans="1:13" x14ac:dyDescent="0.2">
      <c r="A123" s="1"/>
      <c r="B123" s="1"/>
      <c r="E123" s="1"/>
      <c r="F123" s="1"/>
      <c r="I123" s="9"/>
      <c r="J123" s="5"/>
      <c r="K123" s="12"/>
      <c r="L123" s="11"/>
      <c r="M123" s="2"/>
    </row>
    <row r="124" spans="1:13" x14ac:dyDescent="0.2">
      <c r="A124" s="1"/>
      <c r="B124" s="1"/>
      <c r="E124" s="1"/>
      <c r="F124" s="1"/>
      <c r="K124" s="12"/>
      <c r="L124" s="11"/>
      <c r="M124" s="2"/>
    </row>
    <row r="125" spans="1:13" x14ac:dyDescent="0.2">
      <c r="A125" s="1"/>
      <c r="B125" s="1"/>
      <c r="E125" s="1"/>
      <c r="F125" s="1"/>
      <c r="K125" s="12"/>
      <c r="L125" s="11"/>
      <c r="M125" s="2"/>
    </row>
    <row r="126" spans="1:13" x14ac:dyDescent="0.2">
      <c r="A126" s="1"/>
      <c r="B126" s="1"/>
      <c r="E126" s="1"/>
      <c r="F126" s="1"/>
      <c r="K126" s="12"/>
      <c r="L126" s="11"/>
      <c r="M126" s="2"/>
    </row>
    <row r="127" spans="1:13" x14ac:dyDescent="0.2">
      <c r="A127" s="1"/>
      <c r="B127" s="1"/>
      <c r="E127" s="1"/>
      <c r="K127" s="12"/>
      <c r="L127" s="11"/>
      <c r="M127" s="2"/>
    </row>
    <row r="128" spans="1:13" x14ac:dyDescent="0.2">
      <c r="A128" s="1"/>
      <c r="B128" s="1"/>
      <c r="E128" s="1"/>
      <c r="K128" s="12"/>
      <c r="L128" s="11"/>
      <c r="M128" s="2"/>
    </row>
    <row r="129" spans="1:13" x14ac:dyDescent="0.2">
      <c r="A129" s="1"/>
      <c r="B129" s="1"/>
      <c r="E129" s="1"/>
      <c r="K129" s="12"/>
      <c r="L129" s="11"/>
      <c r="M129" s="2"/>
    </row>
    <row r="130" spans="1:13" x14ac:dyDescent="0.2">
      <c r="A130" s="1"/>
      <c r="B130" s="1"/>
      <c r="E130" s="1"/>
      <c r="K130" s="12"/>
      <c r="L130" s="11"/>
      <c r="M130" s="2"/>
    </row>
    <row r="131" spans="1:13" x14ac:dyDescent="0.2">
      <c r="A131" s="1"/>
      <c r="B131" s="1"/>
      <c r="E131" s="1"/>
      <c r="K131" s="12"/>
      <c r="L131" s="11"/>
      <c r="M131" s="2"/>
    </row>
    <row r="132" spans="1:13" x14ac:dyDescent="0.2">
      <c r="A132" s="1"/>
      <c r="B132" s="1"/>
      <c r="E132" s="1"/>
      <c r="K132" s="12"/>
      <c r="L132" s="11"/>
      <c r="M132" s="2"/>
    </row>
    <row r="133" spans="1:13" x14ac:dyDescent="0.2">
      <c r="A133" s="1"/>
      <c r="B133" s="1"/>
      <c r="E133" s="1"/>
      <c r="K133" s="12"/>
      <c r="L133" s="11"/>
      <c r="M133" s="2"/>
    </row>
    <row r="134" spans="1:13" x14ac:dyDescent="0.2">
      <c r="A134" s="1"/>
      <c r="B134" s="1"/>
      <c r="E134" s="1"/>
      <c r="K134" s="12"/>
      <c r="L134" s="11"/>
      <c r="M134" s="2"/>
    </row>
    <row r="135" spans="1:13" x14ac:dyDescent="0.2">
      <c r="A135" s="1"/>
      <c r="B135" s="1"/>
      <c r="E135" s="1"/>
      <c r="K135" s="12"/>
      <c r="L135" s="11"/>
      <c r="M135" s="2"/>
    </row>
    <row r="136" spans="1:13" x14ac:dyDescent="0.2">
      <c r="A136" s="1"/>
      <c r="B136" s="1"/>
      <c r="E136" s="1"/>
      <c r="K136" s="12"/>
      <c r="L136" s="11"/>
      <c r="M136" s="2"/>
    </row>
    <row r="137" spans="1:13" x14ac:dyDescent="0.2">
      <c r="A137" s="1"/>
      <c r="B137" s="1"/>
      <c r="E137" s="1"/>
      <c r="K137" s="12"/>
      <c r="L137" s="11"/>
      <c r="M137" s="2"/>
    </row>
    <row r="138" spans="1:13" x14ac:dyDescent="0.2">
      <c r="A138" s="1"/>
      <c r="B138" s="1"/>
      <c r="E138" s="1"/>
      <c r="K138" s="12"/>
      <c r="L138" s="11"/>
      <c r="M138" s="2"/>
    </row>
    <row r="139" spans="1:13" x14ac:dyDescent="0.2">
      <c r="A139" s="1"/>
      <c r="B139" s="1"/>
      <c r="E139" s="1"/>
      <c r="K139" s="12"/>
      <c r="L139" s="11"/>
      <c r="M139" s="2"/>
    </row>
    <row r="140" spans="1:13" x14ac:dyDescent="0.2">
      <c r="A140" s="1"/>
      <c r="B140" s="1"/>
      <c r="E140" s="1"/>
      <c r="I140" s="9"/>
      <c r="J140" s="5"/>
      <c r="K140" s="12"/>
      <c r="L140" s="11"/>
      <c r="M140" s="2"/>
    </row>
    <row r="141" spans="1:13" x14ac:dyDescent="0.2">
      <c r="A141" s="1"/>
      <c r="B141" s="1"/>
      <c r="C141" s="1"/>
      <c r="E141" s="1"/>
      <c r="K141" s="12"/>
      <c r="L141" s="11"/>
      <c r="M141" s="2"/>
    </row>
    <row r="142" spans="1:13" x14ac:dyDescent="0.2">
      <c r="A142" s="1"/>
      <c r="B142" s="1"/>
      <c r="C142" s="1"/>
      <c r="E142" s="1"/>
      <c r="K142" s="12"/>
      <c r="L142" s="11"/>
      <c r="M142" s="2"/>
    </row>
    <row r="143" spans="1:13" x14ac:dyDescent="0.2">
      <c r="A143" s="1"/>
      <c r="B143" s="1"/>
      <c r="C143" s="1"/>
      <c r="E143" s="1"/>
      <c r="K143" s="12"/>
      <c r="L143" s="11"/>
      <c r="M143" s="2"/>
    </row>
    <row r="144" spans="1:13" x14ac:dyDescent="0.2">
      <c r="A144" s="1"/>
      <c r="B144" s="1"/>
      <c r="C144" s="1"/>
      <c r="E144" s="1"/>
      <c r="K144" s="12"/>
      <c r="L144" s="11"/>
      <c r="M144" s="2"/>
    </row>
    <row r="145" spans="1:13" x14ac:dyDescent="0.2">
      <c r="A145" s="1"/>
      <c r="B145" s="1"/>
      <c r="C145" s="1"/>
      <c r="E145" s="1"/>
      <c r="K145" s="12"/>
      <c r="L145" s="11"/>
      <c r="M145" s="2"/>
    </row>
    <row r="146" spans="1:13" x14ac:dyDescent="0.2">
      <c r="A146" s="1"/>
      <c r="B146" s="1"/>
      <c r="C146" s="1"/>
      <c r="E146" s="1"/>
      <c r="K146" s="12"/>
      <c r="L146" s="11"/>
      <c r="M146" s="2"/>
    </row>
    <row r="147" spans="1:13" x14ac:dyDescent="0.2">
      <c r="A147" s="1"/>
      <c r="B147" s="1"/>
      <c r="C147" s="1"/>
      <c r="E147" s="1"/>
      <c r="K147" s="12"/>
      <c r="L147" s="11"/>
      <c r="M147" s="2"/>
    </row>
    <row r="148" spans="1:13" x14ac:dyDescent="0.2">
      <c r="A148" s="1"/>
      <c r="B148" s="1"/>
      <c r="C148" s="1"/>
      <c r="E148" s="1"/>
      <c r="K148" s="12"/>
      <c r="L148" s="11"/>
      <c r="M148" s="2"/>
    </row>
    <row r="149" spans="1:13" x14ac:dyDescent="0.2">
      <c r="A149" s="1"/>
      <c r="B149" s="1"/>
      <c r="C149" s="1"/>
      <c r="E149" s="1"/>
      <c r="K149" s="12"/>
      <c r="L149" s="11"/>
      <c r="M149" s="2"/>
    </row>
    <row r="150" spans="1:13" x14ac:dyDescent="0.2">
      <c r="A150" s="1"/>
      <c r="B150" s="1"/>
      <c r="C150" s="1"/>
      <c r="E150" s="1"/>
      <c r="K150" s="12"/>
      <c r="L150" s="11"/>
      <c r="M150" s="2"/>
    </row>
    <row r="151" spans="1:13" x14ac:dyDescent="0.2">
      <c r="A151" s="1"/>
      <c r="B151" s="1"/>
      <c r="C151" s="1"/>
      <c r="E151" s="1"/>
      <c r="K151" s="12"/>
      <c r="L151" s="11"/>
      <c r="M151" s="2"/>
    </row>
    <row r="152" spans="1:13" x14ac:dyDescent="0.2">
      <c r="A152" s="1"/>
      <c r="B152" s="1"/>
      <c r="C152" s="1"/>
      <c r="E152" s="1"/>
      <c r="K152" s="12"/>
      <c r="L152" s="11"/>
      <c r="M152" s="2"/>
    </row>
    <row r="153" spans="1:13" x14ac:dyDescent="0.2">
      <c r="A153" s="1"/>
      <c r="B153" s="1"/>
      <c r="C153" s="1"/>
      <c r="E153" s="1"/>
      <c r="K153" s="12"/>
      <c r="L153" s="11"/>
      <c r="M153" s="2"/>
    </row>
    <row r="154" spans="1:13" x14ac:dyDescent="0.2">
      <c r="A154" s="1"/>
      <c r="B154" s="1"/>
      <c r="C154" s="1"/>
      <c r="E154" s="1"/>
      <c r="K154" s="12"/>
      <c r="L154" s="11"/>
      <c r="M154" s="2"/>
    </row>
    <row r="155" spans="1:13" x14ac:dyDescent="0.2">
      <c r="A155" s="1"/>
      <c r="B155" s="1"/>
      <c r="C155" s="1"/>
      <c r="E155" s="1"/>
      <c r="K155" s="12"/>
      <c r="L155" s="11"/>
      <c r="M155" s="2"/>
    </row>
    <row r="156" spans="1:13" x14ac:dyDescent="0.2">
      <c r="A156" s="1"/>
      <c r="B156" s="1"/>
      <c r="C156" s="1"/>
      <c r="E156" s="1"/>
      <c r="K156" s="12"/>
      <c r="L156" s="11"/>
      <c r="M156" s="2"/>
    </row>
    <row r="157" spans="1:13" x14ac:dyDescent="0.2">
      <c r="A157" s="1"/>
      <c r="B157" s="1"/>
      <c r="C157" s="1"/>
      <c r="E157" s="1"/>
      <c r="K157" s="12"/>
      <c r="L157" s="11"/>
      <c r="M157" s="2"/>
    </row>
    <row r="158" spans="1:13" x14ac:dyDescent="0.2">
      <c r="A158" s="1"/>
      <c r="B158" s="1"/>
      <c r="C158" s="1"/>
      <c r="E158" s="1"/>
      <c r="K158" s="12"/>
      <c r="L158" s="11"/>
      <c r="M158" s="2"/>
    </row>
    <row r="159" spans="1:13" x14ac:dyDescent="0.2">
      <c r="A159" s="1"/>
      <c r="B159" s="1"/>
      <c r="C159" s="1"/>
      <c r="E159" s="1"/>
      <c r="K159" s="12"/>
      <c r="L159" s="11"/>
      <c r="M159" s="2"/>
    </row>
    <row r="160" spans="1:13" x14ac:dyDescent="0.2">
      <c r="A160" s="1"/>
      <c r="B160" s="1"/>
      <c r="C160" s="1"/>
      <c r="E160" s="1"/>
      <c r="K160" s="12"/>
      <c r="L160" s="11"/>
      <c r="M160" s="2"/>
    </row>
    <row r="161" spans="1:13" x14ac:dyDescent="0.2">
      <c r="A161" s="1"/>
      <c r="B161" s="1"/>
      <c r="E161" s="1"/>
      <c r="K161" s="12"/>
      <c r="L161" s="11"/>
      <c r="M161" s="2"/>
    </row>
    <row r="162" spans="1:13" x14ac:dyDescent="0.2">
      <c r="A162" s="1"/>
      <c r="B162" s="1"/>
      <c r="E162" s="1"/>
      <c r="K162" s="12"/>
      <c r="L162" s="11"/>
      <c r="M162" s="2"/>
    </row>
    <row r="163" spans="1:13" x14ac:dyDescent="0.2">
      <c r="A163" s="1"/>
      <c r="B163" s="1"/>
      <c r="E163" s="1"/>
      <c r="K163" s="12"/>
      <c r="L163" s="11"/>
      <c r="M163" s="2"/>
    </row>
    <row r="164" spans="1:13" x14ac:dyDescent="0.2">
      <c r="A164" s="1"/>
      <c r="B164" s="1"/>
      <c r="C164" s="1"/>
      <c r="E164" s="1"/>
      <c r="I164" s="9"/>
      <c r="J164" s="7"/>
      <c r="K164" s="12"/>
      <c r="L164" s="11"/>
      <c r="M164" s="2"/>
    </row>
    <row r="165" spans="1:13" x14ac:dyDescent="0.2">
      <c r="A165" s="1"/>
      <c r="B165" s="1"/>
      <c r="C165" s="1"/>
      <c r="E165" s="1"/>
      <c r="I165" s="9"/>
      <c r="J165" s="7"/>
      <c r="K165" s="12"/>
      <c r="L165" s="11"/>
      <c r="M165" s="2"/>
    </row>
    <row r="166" spans="1:13" x14ac:dyDescent="0.2">
      <c r="A166" s="1"/>
      <c r="B166" s="1"/>
      <c r="E166" s="1"/>
      <c r="K166" s="12"/>
      <c r="L166" s="11"/>
      <c r="M166" s="2"/>
    </row>
    <row r="167" spans="1:13" x14ac:dyDescent="0.2">
      <c r="A167" s="1"/>
      <c r="B167" s="1"/>
      <c r="E167" s="1"/>
      <c r="K167" s="12"/>
      <c r="L167" s="11"/>
      <c r="M167" s="2"/>
    </row>
    <row r="168" spans="1:13" x14ac:dyDescent="0.2">
      <c r="A168" s="1"/>
      <c r="B168" s="1"/>
      <c r="E168" s="1"/>
      <c r="K168" s="12"/>
      <c r="L168" s="11"/>
      <c r="M168" s="2"/>
    </row>
    <row r="169" spans="1:13" x14ac:dyDescent="0.2">
      <c r="A169" s="1"/>
      <c r="B169" s="1"/>
      <c r="E169" s="1"/>
      <c r="K169" s="12"/>
      <c r="L169" s="11"/>
      <c r="M169" s="2"/>
    </row>
    <row r="170" spans="1:13" x14ac:dyDescent="0.2">
      <c r="A170" s="1"/>
      <c r="B170" s="1"/>
      <c r="E170" s="1"/>
      <c r="K170" s="12"/>
      <c r="L170" s="11"/>
      <c r="M170" s="2"/>
    </row>
    <row r="171" spans="1:13" x14ac:dyDescent="0.2">
      <c r="A171" s="1"/>
      <c r="B171" s="1"/>
      <c r="C171" s="1"/>
      <c r="E171" s="1"/>
      <c r="G171" s="5"/>
      <c r="H171" s="5"/>
      <c r="I171" s="9"/>
      <c r="J171" s="5"/>
      <c r="K171" s="12"/>
      <c r="L171" s="11"/>
      <c r="M171" s="2"/>
    </row>
    <row r="172" spans="1:13" x14ac:dyDescent="0.2">
      <c r="A172" s="1"/>
      <c r="B172" s="1"/>
      <c r="E172" s="1"/>
      <c r="K172" s="12"/>
      <c r="L172" s="11"/>
      <c r="M172" s="2"/>
    </row>
    <row r="173" spans="1:13" x14ac:dyDescent="0.2">
      <c r="A173" s="1"/>
      <c r="B173" s="1"/>
      <c r="E173" s="1"/>
      <c r="F173" s="1"/>
      <c r="K173" s="12"/>
      <c r="L173" s="11"/>
      <c r="M173" s="2"/>
    </row>
    <row r="174" spans="1:13" x14ac:dyDescent="0.2">
      <c r="A174" s="1"/>
      <c r="B174" s="1"/>
      <c r="E174" s="1"/>
      <c r="F174" s="1"/>
      <c r="K174" s="12"/>
      <c r="L174" s="11"/>
      <c r="M174" s="2"/>
    </row>
    <row r="175" spans="1:13" x14ac:dyDescent="0.2">
      <c r="A175" s="1"/>
      <c r="B175" s="1"/>
      <c r="E175" s="1"/>
      <c r="K175" s="12"/>
      <c r="L175" s="11"/>
      <c r="M175" s="2"/>
    </row>
    <row r="176" spans="1:13" x14ac:dyDescent="0.2">
      <c r="A176" s="1"/>
      <c r="B176" s="1"/>
      <c r="E176" s="1"/>
      <c r="K176" s="12"/>
      <c r="L176" s="11"/>
      <c r="M176" s="2"/>
    </row>
    <row r="177" spans="1:13" x14ac:dyDescent="0.2">
      <c r="A177" s="1"/>
      <c r="B177" s="1"/>
      <c r="E177" s="1"/>
      <c r="K177" s="12"/>
      <c r="L177" s="11"/>
      <c r="M177" s="2"/>
    </row>
    <row r="178" spans="1:13" x14ac:dyDescent="0.2">
      <c r="A178" s="1"/>
      <c r="B178" s="1"/>
      <c r="E178" s="1"/>
      <c r="K178" s="12"/>
      <c r="L178" s="11"/>
      <c r="M178" s="2"/>
    </row>
    <row r="179" spans="1:13" x14ac:dyDescent="0.2">
      <c r="A179" s="1"/>
      <c r="B179" s="1"/>
      <c r="E179" s="1"/>
      <c r="K179" s="12"/>
      <c r="L179" s="11"/>
      <c r="M179" s="2"/>
    </row>
    <row r="180" spans="1:13" x14ac:dyDescent="0.2">
      <c r="A180" s="1"/>
      <c r="B180" s="1"/>
      <c r="E180" s="1"/>
      <c r="K180" s="12"/>
      <c r="L180" s="11"/>
      <c r="M180" s="2"/>
    </row>
    <row r="181" spans="1:13" x14ac:dyDescent="0.2">
      <c r="A181" s="1"/>
      <c r="B181" s="1"/>
      <c r="E181" s="1"/>
      <c r="K181" s="12"/>
      <c r="L181" s="11"/>
      <c r="M181" s="2"/>
    </row>
    <row r="182" spans="1:13" x14ac:dyDescent="0.2">
      <c r="A182" s="1"/>
      <c r="B182" s="1"/>
      <c r="E182" s="1"/>
      <c r="K182" s="12"/>
      <c r="L182" s="11"/>
      <c r="M182" s="2"/>
    </row>
    <row r="183" spans="1:13" x14ac:dyDescent="0.2">
      <c r="A183" s="1"/>
      <c r="B183" s="1"/>
      <c r="E183" s="1"/>
      <c r="K183" s="12"/>
      <c r="L183" s="11"/>
      <c r="M183" s="2"/>
    </row>
    <row r="184" spans="1:13" x14ac:dyDescent="0.2">
      <c r="A184" s="1"/>
      <c r="B184" s="1"/>
      <c r="E184" s="1"/>
      <c r="K184" s="12"/>
      <c r="L184" s="11"/>
      <c r="M184" s="2"/>
    </row>
    <row r="185" spans="1:13" x14ac:dyDescent="0.2">
      <c r="A185" s="1"/>
      <c r="B185" s="1"/>
      <c r="E185" s="1"/>
      <c r="K185" s="12"/>
      <c r="L185" s="11"/>
      <c r="M185" s="2"/>
    </row>
    <row r="186" spans="1:13" x14ac:dyDescent="0.2">
      <c r="A186" s="1"/>
      <c r="B186" s="1"/>
      <c r="E186" s="1"/>
      <c r="K186" s="12"/>
      <c r="L186" s="11"/>
      <c r="M186" s="2"/>
    </row>
    <row r="187" spans="1:13" x14ac:dyDescent="0.2">
      <c r="A187" s="1"/>
      <c r="B187" s="1"/>
      <c r="E187" s="1"/>
      <c r="K187" s="12"/>
      <c r="L187" s="11"/>
      <c r="M187" s="2"/>
    </row>
    <row r="188" spans="1:13" x14ac:dyDescent="0.2">
      <c r="A188" s="1"/>
      <c r="B188" s="1"/>
      <c r="E188" s="1"/>
      <c r="K188" s="12"/>
      <c r="L188" s="11"/>
      <c r="M188" s="2"/>
    </row>
    <row r="189" spans="1:13" x14ac:dyDescent="0.2">
      <c r="A189" s="1"/>
      <c r="B189" s="1"/>
      <c r="E189" s="1"/>
      <c r="K189" s="12"/>
      <c r="L189" s="11"/>
      <c r="M189" s="2"/>
    </row>
    <row r="190" spans="1:13" x14ac:dyDescent="0.2">
      <c r="A190" s="1"/>
      <c r="B190" s="1"/>
      <c r="E190" s="1"/>
      <c r="K190" s="12"/>
      <c r="L190" s="11"/>
      <c r="M190" s="2"/>
    </row>
    <row r="191" spans="1:13" x14ac:dyDescent="0.2">
      <c r="A191" s="1"/>
      <c r="B191" s="1"/>
      <c r="F191" s="1"/>
      <c r="K191" s="12"/>
      <c r="L191" s="11"/>
      <c r="M191" s="2"/>
    </row>
    <row r="192" spans="1:13" x14ac:dyDescent="0.2">
      <c r="A192" s="1"/>
      <c r="B192" s="1"/>
      <c r="F192" s="1"/>
      <c r="K192" s="12"/>
      <c r="L192" s="11"/>
      <c r="M192" s="2"/>
    </row>
    <row r="193" spans="1:13" x14ac:dyDescent="0.2">
      <c r="A193" s="1"/>
      <c r="B193" s="1"/>
      <c r="F193" s="1"/>
      <c r="K193" s="12"/>
      <c r="L193" s="11"/>
      <c r="M193" s="2"/>
    </row>
    <row r="194" spans="1:13" x14ac:dyDescent="0.2">
      <c r="A194" s="1"/>
      <c r="B194" s="1"/>
      <c r="F194" s="1"/>
      <c r="K194" s="12"/>
      <c r="L194" s="11"/>
      <c r="M194" s="2"/>
    </row>
    <row r="195" spans="1:13" x14ac:dyDescent="0.2">
      <c r="A195" s="1"/>
      <c r="B195" s="1"/>
      <c r="E195" s="1"/>
      <c r="F195" s="1"/>
      <c r="K195" s="12"/>
      <c r="L195" s="11"/>
      <c r="M195" s="2"/>
    </row>
    <row r="196" spans="1:13" x14ac:dyDescent="0.2">
      <c r="A196" s="1"/>
      <c r="B196" s="1"/>
      <c r="E196" s="1"/>
      <c r="F196" s="1"/>
      <c r="K196" s="12"/>
      <c r="L196" s="11"/>
      <c r="M196" s="2"/>
    </row>
    <row r="197" spans="1:13" x14ac:dyDescent="0.2">
      <c r="A197" s="1"/>
      <c r="B197" s="1"/>
      <c r="E197" s="1"/>
      <c r="F197" s="1"/>
      <c r="K197" s="12"/>
      <c r="L197" s="11"/>
      <c r="M197" s="2"/>
    </row>
    <row r="198" spans="1:13" x14ac:dyDescent="0.2">
      <c r="A198" s="1"/>
      <c r="B198" s="1"/>
      <c r="E198" s="1"/>
      <c r="F198" s="1"/>
      <c r="K198" s="12"/>
      <c r="L198" s="11"/>
      <c r="M198" s="2"/>
    </row>
    <row r="199" spans="1:13" x14ac:dyDescent="0.2">
      <c r="A199" s="1"/>
      <c r="B199" s="1"/>
      <c r="E199" s="1"/>
      <c r="K199" s="12"/>
      <c r="L199" s="11"/>
      <c r="M199" s="2"/>
    </row>
    <row r="200" spans="1:13" x14ac:dyDescent="0.2">
      <c r="A200" s="1"/>
      <c r="B200" s="1"/>
      <c r="E200" s="1"/>
      <c r="K200" s="12"/>
      <c r="L200" s="11"/>
      <c r="M200" s="2"/>
    </row>
    <row r="201" spans="1:13" x14ac:dyDescent="0.2">
      <c r="A201" s="1"/>
      <c r="B201" s="1"/>
      <c r="E201" s="1"/>
      <c r="K201" s="12"/>
      <c r="L201" s="11"/>
      <c r="M201" s="2"/>
    </row>
    <row r="202" spans="1:13" x14ac:dyDescent="0.2">
      <c r="A202" s="1"/>
      <c r="B202" s="1"/>
      <c r="E202" s="1"/>
      <c r="K202" s="12"/>
      <c r="L202" s="11"/>
      <c r="M202" s="2"/>
    </row>
    <row r="203" spans="1:13" x14ac:dyDescent="0.2">
      <c r="A203" s="1"/>
      <c r="B203" s="1"/>
      <c r="E203" s="1"/>
      <c r="K203" s="12"/>
      <c r="L203" s="11"/>
      <c r="M203" s="2"/>
    </row>
    <row r="204" spans="1:13" x14ac:dyDescent="0.2">
      <c r="A204" s="1"/>
      <c r="B204" s="1"/>
      <c r="E204" s="1"/>
      <c r="K204" s="12"/>
      <c r="L204" s="11"/>
      <c r="M204" s="2"/>
    </row>
    <row r="205" spans="1:13" x14ac:dyDescent="0.2">
      <c r="A205" s="1"/>
      <c r="B205" s="1"/>
      <c r="E205" s="1"/>
      <c r="K205" s="12"/>
      <c r="L205" s="11"/>
      <c r="M205" s="2"/>
    </row>
    <row r="206" spans="1:13" x14ac:dyDescent="0.2">
      <c r="A206" s="1"/>
      <c r="B206" s="1"/>
      <c r="E206" s="1"/>
      <c r="K206" s="12"/>
      <c r="L206" s="11"/>
      <c r="M206" s="2"/>
    </row>
    <row r="207" spans="1:13" x14ac:dyDescent="0.2">
      <c r="A207" s="1"/>
      <c r="B207" s="1"/>
      <c r="E207" s="1"/>
      <c r="K207" s="12"/>
      <c r="L207" s="11"/>
      <c r="M207" s="2"/>
    </row>
    <row r="208" spans="1:13" x14ac:dyDescent="0.2">
      <c r="A208" s="1"/>
      <c r="B208" s="1"/>
      <c r="E208" s="1"/>
      <c r="K208" s="12"/>
      <c r="L208" s="11"/>
      <c r="M208" s="2"/>
    </row>
    <row r="209" spans="1:13" x14ac:dyDescent="0.2">
      <c r="A209" s="1"/>
      <c r="B209" s="1"/>
      <c r="E209" s="1"/>
      <c r="K209" s="12"/>
      <c r="L209" s="11"/>
      <c r="M209" s="2"/>
    </row>
    <row r="210" spans="1:13" x14ac:dyDescent="0.2">
      <c r="A210" s="1"/>
      <c r="B210" s="1"/>
      <c r="E210" s="1"/>
      <c r="K210" s="12"/>
      <c r="L210" s="11"/>
      <c r="M210" s="2"/>
    </row>
    <row r="211" spans="1:13" x14ac:dyDescent="0.2">
      <c r="A211" s="1"/>
      <c r="B211" s="1"/>
      <c r="E211" s="1"/>
      <c r="K211" s="12"/>
      <c r="L211" s="11"/>
      <c r="M211" s="2"/>
    </row>
    <row r="212" spans="1:13" x14ac:dyDescent="0.2">
      <c r="A212" s="1"/>
      <c r="B212" s="1"/>
      <c r="E212" s="1"/>
      <c r="K212" s="12"/>
      <c r="L212" s="11"/>
      <c r="M212" s="2"/>
    </row>
    <row r="213" spans="1:13" x14ac:dyDescent="0.2">
      <c r="A213" s="1"/>
      <c r="B213" s="1"/>
      <c r="E213" s="1"/>
      <c r="K213" s="12"/>
      <c r="L213" s="11"/>
      <c r="M213" s="2"/>
    </row>
    <row r="214" spans="1:13" x14ac:dyDescent="0.2">
      <c r="A214" s="1"/>
      <c r="B214" s="1"/>
      <c r="E214" s="1"/>
      <c r="K214" s="12"/>
      <c r="L214" s="11"/>
      <c r="M214" s="2"/>
    </row>
    <row r="215" spans="1:13" x14ac:dyDescent="0.2">
      <c r="A215" s="1"/>
      <c r="B215" s="1"/>
      <c r="E215" s="1"/>
      <c r="K215" s="12"/>
      <c r="L215" s="11"/>
      <c r="M215" s="2"/>
    </row>
    <row r="216" spans="1:13" x14ac:dyDescent="0.2">
      <c r="A216" s="1"/>
      <c r="B216" s="1"/>
      <c r="E216" s="1"/>
      <c r="K216" s="12"/>
      <c r="L216" s="11"/>
      <c r="M216" s="2"/>
    </row>
    <row r="217" spans="1:13" x14ac:dyDescent="0.2">
      <c r="A217" s="1"/>
      <c r="B217" s="1"/>
      <c r="E217" s="1"/>
      <c r="K217" s="12"/>
      <c r="L217" s="11"/>
      <c r="M217" s="2"/>
    </row>
    <row r="218" spans="1:13" x14ac:dyDescent="0.2">
      <c r="A218" s="1"/>
      <c r="B218" s="1"/>
      <c r="E218" s="1"/>
      <c r="F218" s="1"/>
      <c r="K218" s="12"/>
      <c r="L218" s="11"/>
      <c r="M218" s="2"/>
    </row>
    <row r="219" spans="1:13" x14ac:dyDescent="0.2">
      <c r="A219" s="1"/>
      <c r="B219" s="1"/>
      <c r="E219" s="1"/>
      <c r="F219" s="1"/>
      <c r="K219" s="12"/>
      <c r="L219" s="11"/>
      <c r="M219" s="2"/>
    </row>
    <row r="220" spans="1:13" x14ac:dyDescent="0.2">
      <c r="A220" s="1"/>
      <c r="B220" s="1"/>
      <c r="E220" s="1"/>
      <c r="F220" s="1"/>
      <c r="K220" s="12"/>
      <c r="L220" s="11"/>
      <c r="M220" s="2"/>
    </row>
    <row r="221" spans="1:13" x14ac:dyDescent="0.2">
      <c r="A221" s="1"/>
      <c r="B221" s="1"/>
      <c r="E221" s="1"/>
      <c r="F221" s="1"/>
      <c r="K221" s="12"/>
      <c r="L221" s="11"/>
      <c r="M221" s="2"/>
    </row>
    <row r="222" spans="1:13" x14ac:dyDescent="0.2">
      <c r="A222" s="1"/>
      <c r="B222" s="1"/>
      <c r="E222" s="1"/>
      <c r="F222" s="1"/>
      <c r="K222" s="12"/>
      <c r="L222" s="11"/>
      <c r="M222" s="2"/>
    </row>
    <row r="223" spans="1:13" x14ac:dyDescent="0.2">
      <c r="A223" s="1"/>
      <c r="B223" s="1"/>
      <c r="E223" s="1"/>
      <c r="F223" s="1"/>
      <c r="K223" s="12"/>
      <c r="L223" s="11"/>
      <c r="M223" s="2"/>
    </row>
    <row r="224" spans="1:13" x14ac:dyDescent="0.2">
      <c r="A224" s="1"/>
      <c r="B224" s="1"/>
      <c r="E224" s="1"/>
      <c r="F224" s="1"/>
      <c r="K224" s="12"/>
      <c r="L224" s="11"/>
      <c r="M224" s="2"/>
    </row>
    <row r="225" spans="1:13" x14ac:dyDescent="0.2">
      <c r="A225" s="1"/>
      <c r="B225" s="1"/>
      <c r="E225" s="1"/>
      <c r="F225" s="1"/>
      <c r="K225" s="12"/>
      <c r="L225" s="11"/>
      <c r="M225" s="2"/>
    </row>
    <row r="226" spans="1:13" x14ac:dyDescent="0.2">
      <c r="A226" s="1"/>
      <c r="B226" s="1"/>
      <c r="E226" s="1"/>
      <c r="F226" s="1"/>
      <c r="K226" s="12"/>
      <c r="L226" s="11"/>
      <c r="M226" s="2"/>
    </row>
    <row r="227" spans="1:13" x14ac:dyDescent="0.2">
      <c r="A227" s="1"/>
      <c r="B227" s="1"/>
      <c r="E227" s="1"/>
      <c r="F227" s="1"/>
      <c r="K227" s="12"/>
      <c r="L227" s="11"/>
      <c r="M227" s="2"/>
    </row>
    <row r="228" spans="1:13" x14ac:dyDescent="0.2">
      <c r="A228" s="1"/>
      <c r="B228" s="1"/>
      <c r="E228" s="1"/>
      <c r="F228" s="1"/>
      <c r="K228" s="12"/>
      <c r="L228" s="11"/>
      <c r="M228" s="2"/>
    </row>
    <row r="229" spans="1:13" x14ac:dyDescent="0.2">
      <c r="A229" s="1"/>
      <c r="B229" s="1"/>
      <c r="E229" s="1"/>
      <c r="K229" s="12"/>
      <c r="L229" s="11"/>
      <c r="M229" s="2"/>
    </row>
    <row r="230" spans="1:13" x14ac:dyDescent="0.2">
      <c r="A230" s="1"/>
      <c r="B230" s="1"/>
      <c r="E230" s="1"/>
      <c r="K230" s="12"/>
      <c r="L230" s="11"/>
      <c r="M230" s="2"/>
    </row>
    <row r="231" spans="1:13" x14ac:dyDescent="0.2">
      <c r="A231" s="1"/>
      <c r="B231" s="1"/>
      <c r="E231" s="1"/>
      <c r="K231" s="12"/>
      <c r="L231" s="11"/>
      <c r="M231" s="2"/>
    </row>
    <row r="232" spans="1:13" x14ac:dyDescent="0.2">
      <c r="A232" s="1"/>
      <c r="B232" s="1"/>
      <c r="E232" s="1"/>
      <c r="K232" s="12"/>
      <c r="L232" s="11"/>
      <c r="M232" s="2"/>
    </row>
    <row r="233" spans="1:13" x14ac:dyDescent="0.2">
      <c r="A233" s="1"/>
      <c r="B233" s="1"/>
      <c r="E233" s="1"/>
      <c r="K233" s="12"/>
      <c r="L233" s="11"/>
      <c r="M233" s="2"/>
    </row>
    <row r="234" spans="1:13" x14ac:dyDescent="0.2">
      <c r="A234" s="1"/>
      <c r="B234" s="1"/>
      <c r="E234" s="1"/>
      <c r="K234" s="12"/>
      <c r="L234" s="11"/>
      <c r="M234" s="2"/>
    </row>
    <row r="235" spans="1:13" x14ac:dyDescent="0.2">
      <c r="A235" s="1"/>
      <c r="B235" s="1"/>
      <c r="E235" s="1"/>
      <c r="F235" s="1"/>
      <c r="K235" s="12"/>
      <c r="L235" s="11"/>
      <c r="M235" s="2"/>
    </row>
    <row r="236" spans="1:13" x14ac:dyDescent="0.2">
      <c r="A236" s="1"/>
      <c r="B236" s="1"/>
      <c r="E236" s="1"/>
      <c r="F236" s="1"/>
      <c r="K236" s="12"/>
      <c r="L236" s="11"/>
      <c r="M236" s="2"/>
    </row>
    <row r="237" spans="1:13" x14ac:dyDescent="0.2">
      <c r="A237" s="1"/>
      <c r="B237" s="1"/>
      <c r="E237" s="1"/>
      <c r="F237" s="1"/>
      <c r="K237" s="12"/>
      <c r="L237" s="11"/>
      <c r="M237" s="2"/>
    </row>
    <row r="238" spans="1:13" x14ac:dyDescent="0.2">
      <c r="A238" s="1"/>
      <c r="B238" s="1"/>
      <c r="E238" s="1"/>
      <c r="F238" s="1"/>
      <c r="K238" s="12"/>
      <c r="L238" s="11"/>
      <c r="M238" s="2"/>
    </row>
    <row r="239" spans="1:13" x14ac:dyDescent="0.2">
      <c r="A239" s="1"/>
      <c r="B239" s="1"/>
      <c r="E239" s="1"/>
      <c r="F239" s="1"/>
      <c r="K239" s="12"/>
      <c r="L239" s="11"/>
      <c r="M239" s="2"/>
    </row>
    <row r="240" spans="1:13" x14ac:dyDescent="0.2">
      <c r="A240" s="1"/>
      <c r="B240" s="1"/>
      <c r="E240" s="1"/>
      <c r="F240" s="1"/>
      <c r="K240" s="12"/>
      <c r="L240" s="11"/>
      <c r="M240" s="2"/>
    </row>
    <row r="241" spans="1:13" x14ac:dyDescent="0.2">
      <c r="A241" s="1"/>
      <c r="B241" s="1"/>
      <c r="E241" s="1"/>
      <c r="F241" s="1"/>
      <c r="K241" s="12"/>
      <c r="L241" s="11"/>
      <c r="M241" s="2"/>
    </row>
    <row r="242" spans="1:13" x14ac:dyDescent="0.2">
      <c r="A242" s="1"/>
      <c r="B242" s="1"/>
      <c r="E242" s="1"/>
      <c r="F242" s="1"/>
      <c r="K242" s="12"/>
      <c r="L242" s="11"/>
      <c r="M242" s="2"/>
    </row>
    <row r="243" spans="1:13" x14ac:dyDescent="0.2">
      <c r="A243" s="1"/>
      <c r="B243" s="1"/>
      <c r="E243" s="1"/>
      <c r="F243" s="1"/>
      <c r="K243" s="12"/>
      <c r="L243" s="11"/>
      <c r="M243" s="2"/>
    </row>
    <row r="244" spans="1:13" x14ac:dyDescent="0.2">
      <c r="A244" s="1"/>
      <c r="B244" s="1"/>
      <c r="E244" s="1"/>
      <c r="F244" s="1"/>
      <c r="K244" s="12"/>
      <c r="L244" s="11"/>
      <c r="M244" s="2"/>
    </row>
    <row r="245" spans="1:13" x14ac:dyDescent="0.2">
      <c r="A245" s="1"/>
      <c r="B245" s="1"/>
      <c r="E245" s="1"/>
      <c r="F245" s="1"/>
      <c r="K245" s="12"/>
      <c r="L245" s="11"/>
      <c r="M245" s="2"/>
    </row>
    <row r="246" spans="1:13" x14ac:dyDescent="0.2">
      <c r="A246" s="1"/>
      <c r="B246" s="1"/>
      <c r="E246" s="1"/>
      <c r="F246" s="1"/>
      <c r="H246" s="11"/>
      <c r="I246" s="4"/>
      <c r="K246" s="12"/>
      <c r="L246" s="11"/>
      <c r="M246" s="2"/>
    </row>
    <row r="247" spans="1:13" x14ac:dyDescent="0.2">
      <c r="A247" s="1"/>
      <c r="B247" s="1"/>
      <c r="E247" s="1"/>
      <c r="F247" s="1"/>
      <c r="K247" s="12"/>
      <c r="L247" s="11"/>
      <c r="M247" s="2"/>
    </row>
    <row r="248" spans="1:13" x14ac:dyDescent="0.2">
      <c r="A248" s="1"/>
      <c r="B248" s="1"/>
      <c r="E248" s="1"/>
      <c r="F248" s="1"/>
      <c r="K248" s="12"/>
      <c r="L248" s="11"/>
      <c r="M248" s="2"/>
    </row>
    <row r="249" spans="1:13" x14ac:dyDescent="0.2">
      <c r="A249" s="1"/>
      <c r="B249" s="1"/>
      <c r="E249" s="1"/>
      <c r="F249" s="1"/>
      <c r="K249" s="12"/>
      <c r="L249" s="11"/>
      <c r="M249" s="2"/>
    </row>
    <row r="250" spans="1:13" x14ac:dyDescent="0.2">
      <c r="A250" s="1"/>
      <c r="B250" s="1"/>
      <c r="E250" s="1"/>
      <c r="F250" s="1"/>
      <c r="K250" s="12"/>
      <c r="L250" s="11"/>
      <c r="M250" s="2"/>
    </row>
    <row r="251" spans="1:13" x14ac:dyDescent="0.2">
      <c r="A251" s="1"/>
      <c r="B251" s="1"/>
      <c r="E251" s="1"/>
      <c r="F251" s="1"/>
      <c r="K251" s="12"/>
      <c r="L251" s="11"/>
      <c r="M251" s="2"/>
    </row>
    <row r="252" spans="1:13" x14ac:dyDescent="0.2">
      <c r="A252" s="1"/>
      <c r="B252" s="1"/>
      <c r="E252" s="1"/>
      <c r="F252" s="1"/>
      <c r="K252" s="12"/>
      <c r="L252" s="11"/>
      <c r="M252" s="2"/>
    </row>
    <row r="253" spans="1:13" x14ac:dyDescent="0.2">
      <c r="A253" s="1"/>
      <c r="B253" s="1"/>
      <c r="E253" s="1"/>
      <c r="F253" s="1"/>
      <c r="K253" s="12"/>
      <c r="L253" s="11"/>
      <c r="M253" s="2"/>
    </row>
    <row r="254" spans="1:13" x14ac:dyDescent="0.2">
      <c r="A254" s="1"/>
      <c r="B254" s="1"/>
      <c r="E254" s="1"/>
      <c r="F254" s="1"/>
      <c r="K254" s="12"/>
      <c r="L254" s="11"/>
      <c r="M254" s="2"/>
    </row>
    <row r="255" spans="1:13" x14ac:dyDescent="0.2">
      <c r="A255" s="1"/>
      <c r="B255" s="1"/>
      <c r="E255" s="1"/>
      <c r="F255" s="1"/>
      <c r="K255" s="12"/>
      <c r="L255" s="11"/>
      <c r="M255" s="2"/>
    </row>
    <row r="256" spans="1:13" x14ac:dyDescent="0.2">
      <c r="A256" s="1"/>
      <c r="B256" s="1"/>
      <c r="E256" s="1"/>
      <c r="K256" s="12"/>
      <c r="L256" s="11"/>
      <c r="M256" s="2"/>
    </row>
    <row r="257" spans="1:13" x14ac:dyDescent="0.2">
      <c r="A257" s="1"/>
      <c r="B257" s="1"/>
      <c r="E257" s="1"/>
      <c r="F257" s="1"/>
      <c r="K257" s="12"/>
      <c r="L257" s="11"/>
      <c r="M257" s="2"/>
    </row>
    <row r="258" spans="1:13" x14ac:dyDescent="0.2">
      <c r="A258" s="1"/>
      <c r="B258" s="1"/>
      <c r="E258" s="1"/>
      <c r="F258" s="1"/>
      <c r="K258" s="12"/>
      <c r="L258" s="11"/>
      <c r="M258" s="2"/>
    </row>
    <row r="259" spans="1:13" x14ac:dyDescent="0.2">
      <c r="A259" s="1"/>
      <c r="B259" s="1"/>
      <c r="C259" s="1"/>
      <c r="E259" s="1"/>
      <c r="F259" s="1"/>
      <c r="G259" s="5"/>
      <c r="I259" s="9"/>
      <c r="J259" s="7"/>
      <c r="K259" s="12"/>
      <c r="L259" s="11"/>
      <c r="M259" s="2"/>
    </row>
    <row r="260" spans="1:13" x14ac:dyDescent="0.2">
      <c r="A260" s="1"/>
      <c r="B260" s="1"/>
      <c r="E260" s="1"/>
      <c r="F260" s="1"/>
      <c r="K260" s="12"/>
      <c r="L260" s="11"/>
      <c r="M260" s="2"/>
    </row>
    <row r="261" spans="1:13" x14ac:dyDescent="0.2">
      <c r="A261" s="1"/>
      <c r="B261" s="1"/>
      <c r="E261" s="1"/>
      <c r="K261" s="12"/>
      <c r="L261" s="11"/>
      <c r="M261" s="2"/>
    </row>
    <row r="262" spans="1:13" x14ac:dyDescent="0.2">
      <c r="A262" s="1"/>
      <c r="B262" s="1"/>
      <c r="E262" s="1"/>
      <c r="K262" s="12"/>
      <c r="L262" s="11"/>
      <c r="M262" s="2"/>
    </row>
    <row r="263" spans="1:13" x14ac:dyDescent="0.2">
      <c r="A263" s="1"/>
      <c r="B263" s="1"/>
      <c r="E263" s="1"/>
      <c r="K263" s="12"/>
      <c r="L263" s="11"/>
      <c r="M263" s="2"/>
    </row>
    <row r="264" spans="1:13" x14ac:dyDescent="0.2">
      <c r="A264" s="1"/>
      <c r="B264" s="1"/>
      <c r="E264" s="1"/>
      <c r="F264" s="1"/>
      <c r="K264" s="12"/>
      <c r="L264" s="11"/>
      <c r="M264" s="2"/>
    </row>
    <row r="265" spans="1:13" x14ac:dyDescent="0.2">
      <c r="A265" s="1"/>
      <c r="B265" s="1"/>
      <c r="E265" s="1"/>
      <c r="K265" s="12"/>
      <c r="L265" s="11"/>
      <c r="M265" s="2"/>
    </row>
    <row r="266" spans="1:13" x14ac:dyDescent="0.2">
      <c r="A266" s="1"/>
      <c r="B266" s="1"/>
      <c r="E266" s="1"/>
      <c r="K266" s="12"/>
      <c r="L266" s="11"/>
      <c r="M266" s="2"/>
    </row>
    <row r="267" spans="1:13" x14ac:dyDescent="0.2">
      <c r="A267" s="1"/>
      <c r="B267" s="1"/>
      <c r="E267" s="1"/>
      <c r="F267" s="1"/>
      <c r="K267" s="12"/>
      <c r="L267" s="11"/>
      <c r="M267" s="2"/>
    </row>
    <row r="268" spans="1:13" x14ac:dyDescent="0.2">
      <c r="A268" s="1"/>
      <c r="B268" s="1"/>
      <c r="E268" s="1"/>
      <c r="F268" s="1"/>
      <c r="K268" s="12"/>
      <c r="L268" s="11"/>
      <c r="M268" s="2"/>
    </row>
  </sheetData>
  <phoneticPr fontId="0" type="noConversion"/>
  <pageMargins left="0.75" right="0.75" top="1" bottom="1" header="0.5" footer="0.5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E67"/>
  <sheetViews>
    <sheetView topLeftCell="A2" workbookViewId="0">
      <selection activeCell="C48" sqref="C48"/>
    </sheetView>
  </sheetViews>
  <sheetFormatPr defaultRowHeight="12.75" x14ac:dyDescent="0.2"/>
  <sheetData>
    <row r="1" spans="1:5" ht="18" x14ac:dyDescent="0.25">
      <c r="A1" s="3" t="s">
        <v>213</v>
      </c>
    </row>
    <row r="4" spans="1:5" x14ac:dyDescent="0.2">
      <c r="A4" t="s">
        <v>1346</v>
      </c>
      <c r="B4" t="s">
        <v>1349</v>
      </c>
    </row>
    <row r="5" spans="1:5" x14ac:dyDescent="0.2">
      <c r="A5" t="s">
        <v>1347</v>
      </c>
      <c r="B5" s="10">
        <f>-1/SLOPE(Streptococcus!K2:K12,Streptococcus!H2:H12)</f>
        <v>9.2201110537773836</v>
      </c>
      <c r="C5" s="10">
        <f>SLOPE(Streptococcus!K2:K12,Streptococcus!H2:H12)</f>
        <v>-0.10845856347796487</v>
      </c>
      <c r="D5" t="s">
        <v>201</v>
      </c>
    </row>
    <row r="6" spans="1:5" x14ac:dyDescent="0.2">
      <c r="A6" t="s">
        <v>1350</v>
      </c>
      <c r="B6" s="10">
        <v>70</v>
      </c>
      <c r="C6" s="10"/>
    </row>
    <row r="7" spans="1:5" x14ac:dyDescent="0.2">
      <c r="A7" t="s">
        <v>1353</v>
      </c>
      <c r="B7" s="10">
        <f>TINV(0.05,COUNT(Streptococcus!K2:K12)-2)</f>
        <v>2.2621571627982053</v>
      </c>
      <c r="C7" s="10"/>
    </row>
    <row r="8" spans="1:5" x14ac:dyDescent="0.2">
      <c r="A8" t="s">
        <v>1355</v>
      </c>
      <c r="B8" s="10">
        <f>SUMXMY2(Streptococcus!K2:K12,Streptococcus!L2:L12)</f>
        <v>2.9379510482029847</v>
      </c>
      <c r="C8" s="10"/>
    </row>
    <row r="9" spans="1:5" x14ac:dyDescent="0.2">
      <c r="A9" t="s">
        <v>1354</v>
      </c>
      <c r="B9" s="10">
        <f>SQRT(B8/(COUNT(Streptococcus!K2:K12)-2))</f>
        <v>0.57134840977803314</v>
      </c>
      <c r="C9" s="10"/>
    </row>
    <row r="10" spans="1:5" x14ac:dyDescent="0.2">
      <c r="A10" t="s">
        <v>1351</v>
      </c>
      <c r="B10" s="10">
        <f>INTERCEPT(Streptococcus!K2:K12,Streptococcus!H2:H12)-$B$6/$B$5</f>
        <v>-1.4459117485057407</v>
      </c>
      <c r="C10" s="10">
        <f>INTERCEPT(Streptococcus!K2:K12,Streptococcus!H2:H12)</f>
        <v>6.1461876949518004</v>
      </c>
      <c r="D10" t="s">
        <v>202</v>
      </c>
    </row>
    <row r="11" spans="1:5" x14ac:dyDescent="0.2">
      <c r="A11" t="s">
        <v>135</v>
      </c>
      <c r="B11" s="10">
        <f>B10+B7*B9</f>
        <v>-0.15343185087299882</v>
      </c>
      <c r="C11" s="10"/>
    </row>
    <row r="13" spans="1:5" x14ac:dyDescent="0.2">
      <c r="A13" t="s">
        <v>1348</v>
      </c>
      <c r="B13" t="s">
        <v>1344</v>
      </c>
      <c r="C13" t="s">
        <v>1352</v>
      </c>
    </row>
    <row r="14" spans="1:5" x14ac:dyDescent="0.2">
      <c r="A14">
        <v>45</v>
      </c>
      <c r="B14" s="10">
        <f t="shared" ref="B14:B34" si="0">$B$10-(A14-$B$6)/$B$5</f>
        <v>1.2655523384433813</v>
      </c>
      <c r="C14" s="10">
        <f>B14+$B$7*$B$9</f>
        <v>2.558032236076123</v>
      </c>
      <c r="D14" s="10"/>
      <c r="E14" s="10"/>
    </row>
    <row r="15" spans="1:5" x14ac:dyDescent="0.2">
      <c r="A15">
        <f>A14+5</f>
        <v>50</v>
      </c>
      <c r="B15" s="10">
        <f t="shared" si="0"/>
        <v>0.72325952105355684</v>
      </c>
      <c r="C15" s="10">
        <f t="shared" ref="C15:C34" si="1">B15+$B$7*$B$9</f>
        <v>2.0157394186862989</v>
      </c>
      <c r="D15" s="10"/>
      <c r="E15" s="10"/>
    </row>
    <row r="16" spans="1:5" x14ac:dyDescent="0.2">
      <c r="A16">
        <f>A15+5</f>
        <v>55</v>
      </c>
      <c r="B16" s="10">
        <f t="shared" si="0"/>
        <v>0.18096670366373258</v>
      </c>
      <c r="C16" s="10">
        <f t="shared" si="1"/>
        <v>1.4734466012964744</v>
      </c>
      <c r="D16" s="10"/>
      <c r="E16" s="10"/>
    </row>
    <row r="17" spans="1:5" x14ac:dyDescent="0.2">
      <c r="A17">
        <f>A16+5</f>
        <v>60</v>
      </c>
      <c r="B17" s="10">
        <f t="shared" si="0"/>
        <v>-0.36132611372609191</v>
      </c>
      <c r="C17" s="10">
        <f t="shared" si="1"/>
        <v>0.93115378390664993</v>
      </c>
      <c r="D17" s="10"/>
      <c r="E17" s="10"/>
    </row>
    <row r="18" spans="1:5" x14ac:dyDescent="0.2">
      <c r="A18">
        <f>A17+5</f>
        <v>65</v>
      </c>
      <c r="B18" s="10">
        <f t="shared" si="0"/>
        <v>-0.90361893111591629</v>
      </c>
      <c r="C18" s="10">
        <f t="shared" si="1"/>
        <v>0.38886096651682556</v>
      </c>
      <c r="D18" s="10"/>
      <c r="E18" s="10"/>
    </row>
    <row r="19" spans="1:5" x14ac:dyDescent="0.2">
      <c r="A19">
        <v>70</v>
      </c>
      <c r="B19" s="10">
        <f t="shared" si="0"/>
        <v>-1.4459117485057407</v>
      </c>
      <c r="C19" s="10">
        <f t="shared" si="1"/>
        <v>-0.15343185087299882</v>
      </c>
      <c r="D19" s="10"/>
      <c r="E19" s="10"/>
    </row>
    <row r="20" spans="1:5" x14ac:dyDescent="0.2">
      <c r="A20">
        <f>A19+5</f>
        <v>75</v>
      </c>
      <c r="B20" s="10">
        <f t="shared" si="0"/>
        <v>-1.9882045658955652</v>
      </c>
      <c r="C20" s="10">
        <f t="shared" si="1"/>
        <v>-0.69572466826282331</v>
      </c>
      <c r="D20" s="10"/>
      <c r="E20" s="10"/>
    </row>
    <row r="21" spans="1:5" x14ac:dyDescent="0.2">
      <c r="A21">
        <f t="shared" ref="A21:A34" si="2">A20+5</f>
        <v>80</v>
      </c>
      <c r="B21" s="10">
        <f t="shared" si="0"/>
        <v>-2.5304973832853896</v>
      </c>
      <c r="C21" s="10">
        <f t="shared" si="1"/>
        <v>-1.2380174856526478</v>
      </c>
      <c r="D21" s="10"/>
      <c r="E21" s="10"/>
    </row>
    <row r="22" spans="1:5" x14ac:dyDescent="0.2">
      <c r="A22">
        <f t="shared" si="2"/>
        <v>85</v>
      </c>
      <c r="B22" s="10">
        <f t="shared" si="0"/>
        <v>-3.0727902006752137</v>
      </c>
      <c r="C22" s="10">
        <f t="shared" si="1"/>
        <v>-1.7803103030424718</v>
      </c>
      <c r="D22" s="10"/>
      <c r="E22" s="10"/>
    </row>
    <row r="23" spans="1:5" x14ac:dyDescent="0.2">
      <c r="A23">
        <f t="shared" si="2"/>
        <v>90</v>
      </c>
      <c r="B23" s="10">
        <f t="shared" si="0"/>
        <v>-3.6150830180650382</v>
      </c>
      <c r="C23" s="10">
        <f t="shared" si="1"/>
        <v>-2.3226031204322961</v>
      </c>
      <c r="D23" s="10"/>
      <c r="E23" s="10"/>
    </row>
    <row r="24" spans="1:5" x14ac:dyDescent="0.2">
      <c r="A24">
        <f t="shared" si="2"/>
        <v>95</v>
      </c>
      <c r="B24" s="10">
        <f t="shared" si="0"/>
        <v>-4.1573758354548627</v>
      </c>
      <c r="C24" s="10">
        <f t="shared" si="1"/>
        <v>-2.864895937822121</v>
      </c>
      <c r="D24" s="10"/>
      <c r="E24" s="10"/>
    </row>
    <row r="25" spans="1:5" x14ac:dyDescent="0.2">
      <c r="A25">
        <f t="shared" si="2"/>
        <v>100</v>
      </c>
      <c r="B25" s="10">
        <f t="shared" si="0"/>
        <v>-4.6996686528446876</v>
      </c>
      <c r="C25" s="10">
        <f t="shared" si="1"/>
        <v>-3.407188755211946</v>
      </c>
      <c r="D25" s="10"/>
      <c r="E25" s="10"/>
    </row>
    <row r="26" spans="1:5" x14ac:dyDescent="0.2">
      <c r="A26">
        <f t="shared" si="2"/>
        <v>105</v>
      </c>
      <c r="B26" s="10">
        <f t="shared" si="0"/>
        <v>-5.2419614702345108</v>
      </c>
      <c r="C26" s="10">
        <f t="shared" si="1"/>
        <v>-3.9494815726017691</v>
      </c>
      <c r="D26" s="10"/>
      <c r="E26" s="10"/>
    </row>
    <row r="27" spans="1:5" x14ac:dyDescent="0.2">
      <c r="A27">
        <f t="shared" si="2"/>
        <v>110</v>
      </c>
      <c r="B27" s="10">
        <f t="shared" si="0"/>
        <v>-5.7842542876243357</v>
      </c>
      <c r="C27" s="10">
        <f t="shared" si="1"/>
        <v>-4.4917743899915941</v>
      </c>
      <c r="D27" s="10"/>
      <c r="E27" s="10"/>
    </row>
    <row r="28" spans="1:5" x14ac:dyDescent="0.2">
      <c r="A28">
        <f t="shared" si="2"/>
        <v>115</v>
      </c>
      <c r="B28" s="10">
        <f t="shared" si="0"/>
        <v>-6.3265471050141597</v>
      </c>
      <c r="C28" s="10">
        <f t="shared" si="1"/>
        <v>-5.0340672073814181</v>
      </c>
      <c r="D28" s="10"/>
      <c r="E28" s="10"/>
    </row>
    <row r="29" spans="1:5" x14ac:dyDescent="0.2">
      <c r="A29">
        <f t="shared" si="2"/>
        <v>120</v>
      </c>
      <c r="B29" s="10">
        <f t="shared" si="0"/>
        <v>-6.8688399224039847</v>
      </c>
      <c r="C29" s="10">
        <f t="shared" si="1"/>
        <v>-5.576360024771243</v>
      </c>
      <c r="D29" s="10"/>
      <c r="E29" s="10"/>
    </row>
    <row r="30" spans="1:5" x14ac:dyDescent="0.2">
      <c r="A30">
        <f t="shared" si="2"/>
        <v>125</v>
      </c>
      <c r="B30" s="10">
        <f t="shared" si="0"/>
        <v>-7.4111327397938087</v>
      </c>
      <c r="C30" s="10">
        <f t="shared" si="1"/>
        <v>-6.1186528421610671</v>
      </c>
      <c r="D30" s="10"/>
      <c r="E30" s="10"/>
    </row>
    <row r="31" spans="1:5" x14ac:dyDescent="0.2">
      <c r="A31">
        <f t="shared" si="2"/>
        <v>130</v>
      </c>
      <c r="B31" s="10">
        <f t="shared" si="0"/>
        <v>-7.9534255571836336</v>
      </c>
      <c r="C31" s="10">
        <f t="shared" si="1"/>
        <v>-6.660945659550892</v>
      </c>
      <c r="D31" s="10"/>
      <c r="E31" s="10"/>
    </row>
    <row r="32" spans="1:5" x14ac:dyDescent="0.2">
      <c r="A32">
        <f t="shared" si="2"/>
        <v>135</v>
      </c>
      <c r="B32" s="10">
        <f t="shared" si="0"/>
        <v>-8.4957183745734568</v>
      </c>
      <c r="C32" s="10">
        <f t="shared" si="1"/>
        <v>-7.2032384769407152</v>
      </c>
      <c r="D32" s="10"/>
      <c r="E32" s="10"/>
    </row>
    <row r="33" spans="1:5" x14ac:dyDescent="0.2">
      <c r="A33">
        <f t="shared" si="2"/>
        <v>140</v>
      </c>
      <c r="B33" s="10">
        <f t="shared" si="0"/>
        <v>-9.0380111919632817</v>
      </c>
      <c r="C33" s="10">
        <f t="shared" si="1"/>
        <v>-7.7455312943305401</v>
      </c>
      <c r="D33" s="10"/>
      <c r="E33" s="10"/>
    </row>
    <row r="34" spans="1:5" x14ac:dyDescent="0.2">
      <c r="A34">
        <f t="shared" si="2"/>
        <v>145</v>
      </c>
      <c r="B34" s="10">
        <f t="shared" si="0"/>
        <v>-9.5803040093531067</v>
      </c>
      <c r="C34" s="10">
        <f t="shared" si="1"/>
        <v>-8.287824111720365</v>
      </c>
      <c r="D34" s="10"/>
      <c r="E34" s="10"/>
    </row>
    <row r="39" spans="1:5" x14ac:dyDescent="0.2">
      <c r="B39" s="10"/>
    </row>
    <row r="41" spans="1:5" x14ac:dyDescent="0.2">
      <c r="B41" s="10"/>
    </row>
    <row r="42" spans="1:5" x14ac:dyDescent="0.2">
      <c r="B42" s="10"/>
    </row>
    <row r="43" spans="1:5" x14ac:dyDescent="0.2">
      <c r="B43" s="10"/>
    </row>
    <row r="44" spans="1:5" x14ac:dyDescent="0.2">
      <c r="B44" s="10"/>
    </row>
    <row r="47" spans="1:5" x14ac:dyDescent="0.2">
      <c r="B47" s="10"/>
      <c r="C47" s="10"/>
    </row>
    <row r="48" spans="1:5" x14ac:dyDescent="0.2">
      <c r="B48" s="10"/>
      <c r="C48" s="10"/>
    </row>
    <row r="49" spans="2:3" x14ac:dyDescent="0.2">
      <c r="B49" s="10"/>
      <c r="C49" s="10"/>
    </row>
    <row r="50" spans="2:3" x14ac:dyDescent="0.2">
      <c r="B50" s="10"/>
      <c r="C50" s="10"/>
    </row>
    <row r="51" spans="2:3" x14ac:dyDescent="0.2">
      <c r="B51" s="10"/>
      <c r="C51" s="10"/>
    </row>
    <row r="52" spans="2:3" x14ac:dyDescent="0.2">
      <c r="B52" s="10"/>
      <c r="C52" s="10"/>
    </row>
    <row r="53" spans="2:3" x14ac:dyDescent="0.2">
      <c r="B53" s="10"/>
      <c r="C53" s="10"/>
    </row>
    <row r="54" spans="2:3" x14ac:dyDescent="0.2">
      <c r="B54" s="10"/>
      <c r="C54" s="10"/>
    </row>
    <row r="55" spans="2:3" x14ac:dyDescent="0.2">
      <c r="B55" s="10"/>
      <c r="C55" s="10"/>
    </row>
    <row r="56" spans="2:3" x14ac:dyDescent="0.2">
      <c r="B56" s="10"/>
      <c r="C56" s="10"/>
    </row>
    <row r="57" spans="2:3" x14ac:dyDescent="0.2">
      <c r="B57" s="10"/>
      <c r="C57" s="10"/>
    </row>
    <row r="58" spans="2:3" x14ac:dyDescent="0.2">
      <c r="B58" s="10"/>
      <c r="C58" s="10"/>
    </row>
    <row r="59" spans="2:3" x14ac:dyDescent="0.2">
      <c r="B59" s="10"/>
      <c r="C59" s="10"/>
    </row>
    <row r="60" spans="2:3" x14ac:dyDescent="0.2">
      <c r="B60" s="10"/>
      <c r="C60" s="10"/>
    </row>
    <row r="61" spans="2:3" x14ac:dyDescent="0.2">
      <c r="B61" s="10"/>
      <c r="C61" s="10"/>
    </row>
    <row r="62" spans="2:3" x14ac:dyDescent="0.2">
      <c r="B62" s="10"/>
      <c r="C62" s="10"/>
    </row>
    <row r="63" spans="2:3" x14ac:dyDescent="0.2">
      <c r="B63" s="10"/>
      <c r="C63" s="10"/>
    </row>
    <row r="64" spans="2:3" x14ac:dyDescent="0.2">
      <c r="B64" s="10"/>
      <c r="C64" s="10"/>
    </row>
    <row r="65" spans="2:3" x14ac:dyDescent="0.2">
      <c r="B65" s="10"/>
      <c r="C65" s="10"/>
    </row>
    <row r="66" spans="2:3" x14ac:dyDescent="0.2">
      <c r="B66" s="10"/>
      <c r="C66" s="10"/>
    </row>
    <row r="67" spans="2:3" x14ac:dyDescent="0.2">
      <c r="B67" s="10"/>
      <c r="C67" s="10"/>
    </row>
  </sheetData>
  <phoneticPr fontId="0" type="noConversion"/>
  <pageMargins left="0.75" right="0.75" top="1" bottom="1" header="0.5" footer="0.5"/>
  <headerFooter alignWithMargins="0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T330"/>
  <sheetViews>
    <sheetView topLeftCell="C1" workbookViewId="0">
      <pane ySplit="1" topLeftCell="A15" activePane="bottomLeft" state="frozen"/>
      <selection activeCell="F1" sqref="F1"/>
      <selection pane="bottomLeft" activeCell="L46" sqref="L46"/>
    </sheetView>
  </sheetViews>
  <sheetFormatPr defaultRowHeight="12.75" x14ac:dyDescent="0.2"/>
  <cols>
    <col min="1" max="1" width="16.42578125" customWidth="1"/>
    <col min="2" max="2" width="15.5703125" customWidth="1"/>
    <col min="3" max="3" width="15.28515625" customWidth="1"/>
    <col min="4" max="4" width="16.28515625" customWidth="1"/>
    <col min="5" max="5" width="15.42578125" customWidth="1"/>
    <col min="6" max="6" width="26.140625" customWidth="1"/>
    <col min="7" max="7" width="8.5703125" style="4" customWidth="1"/>
    <col min="8" max="8" width="10.28515625" style="4" customWidth="1"/>
    <col min="9" max="9" width="9.140625" style="11" customWidth="1"/>
    <col min="10" max="11" width="9.140625" style="4" customWidth="1"/>
    <col min="12" max="12" width="15" style="4" customWidth="1"/>
    <col min="15" max="15" width="16.85546875" customWidth="1"/>
  </cols>
  <sheetData>
    <row r="1" spans="1:20" s="18" customFormat="1" ht="15" x14ac:dyDescent="0.25">
      <c r="A1" s="14" t="s">
        <v>1221</v>
      </c>
      <c r="B1" s="14" t="s">
        <v>64</v>
      </c>
      <c r="C1" s="14" t="s">
        <v>65</v>
      </c>
      <c r="D1" s="14" t="s">
        <v>39</v>
      </c>
      <c r="E1" s="14" t="s">
        <v>1222</v>
      </c>
      <c r="F1" s="14" t="s">
        <v>1255</v>
      </c>
      <c r="G1" s="15" t="s">
        <v>1230</v>
      </c>
      <c r="H1" s="15" t="s">
        <v>1229</v>
      </c>
      <c r="I1" s="20" t="s">
        <v>1232</v>
      </c>
      <c r="J1" s="15" t="s">
        <v>1231</v>
      </c>
      <c r="K1" s="15" t="s">
        <v>1343</v>
      </c>
      <c r="L1" s="17" t="s">
        <v>1344</v>
      </c>
      <c r="M1" s="14" t="s">
        <v>1223</v>
      </c>
      <c r="N1" s="14" t="s">
        <v>1224</v>
      </c>
      <c r="O1" s="14" t="s">
        <v>1225</v>
      </c>
      <c r="Q1" s="18" t="s">
        <v>255</v>
      </c>
      <c r="R1" s="18" t="s">
        <v>271</v>
      </c>
      <c r="S1" s="18" t="s">
        <v>287</v>
      </c>
      <c r="T1" s="18" t="s">
        <v>288</v>
      </c>
    </row>
    <row r="2" spans="1:20" x14ac:dyDescent="0.2">
      <c r="A2" s="1" t="s">
        <v>217</v>
      </c>
      <c r="B2" s="1" t="s">
        <v>218</v>
      </c>
      <c r="D2" t="s">
        <v>46</v>
      </c>
      <c r="E2" s="1" t="s">
        <v>1302</v>
      </c>
      <c r="F2" s="1" t="s">
        <v>14</v>
      </c>
      <c r="H2" s="4">
        <v>49</v>
      </c>
      <c r="I2" s="11">
        <v>8.15</v>
      </c>
      <c r="K2" s="12">
        <f>LOG(I2)+$K$66</f>
        <v>0.91115760873997664</v>
      </c>
      <c r="L2" s="11">
        <f>GraphVibrio!B$10-(Vibrio!H2-GraphVibrio!B$6)/GraphVibrio!$B$5</f>
        <v>1.0002535260150773</v>
      </c>
      <c r="M2" s="1" t="s">
        <v>1226</v>
      </c>
      <c r="N2">
        <v>1996</v>
      </c>
      <c r="R2" s="10">
        <f>GraphVibrio!$B$77*Vibrio!H2+GraphVibrio!$B$78</f>
        <v>0.57263087883436237</v>
      </c>
      <c r="S2" s="10">
        <f>GraphVibrio!$E$77*Vibrio!H2+GraphVibrio!$E$78</f>
        <v>1.0002535260150776</v>
      </c>
    </row>
    <row r="3" spans="1:20" x14ac:dyDescent="0.2">
      <c r="A3" s="1" t="s">
        <v>217</v>
      </c>
      <c r="B3" s="1" t="s">
        <v>218</v>
      </c>
      <c r="D3" t="s">
        <v>46</v>
      </c>
      <c r="E3" s="1" t="s">
        <v>1302</v>
      </c>
      <c r="F3" s="1" t="s">
        <v>14</v>
      </c>
      <c r="H3" s="4">
        <v>54</v>
      </c>
      <c r="I3" s="11">
        <v>5.0199999999999996</v>
      </c>
      <c r="K3" s="12">
        <f t="shared" ref="K3:K44" si="0">LOG(I3)+$K$66</f>
        <v>0.70070371714501933</v>
      </c>
      <c r="L3" s="11">
        <f>GraphVibrio!B$10-(Vibrio!H3-GraphVibrio!B$6)/GraphVibrio!$B$5</f>
        <v>0.70162450848071389</v>
      </c>
      <c r="M3" s="1" t="s">
        <v>1226</v>
      </c>
      <c r="N3">
        <v>1996</v>
      </c>
      <c r="R3" s="10">
        <f>GraphVibrio!$B$77*Vibrio!H3+GraphVibrio!$B$78</f>
        <v>0.3470894575747181</v>
      </c>
      <c r="S3" s="10">
        <f>GraphVibrio!$E$77*Vibrio!H3+GraphVibrio!$E$78</f>
        <v>0.70162450848071423</v>
      </c>
    </row>
    <row r="4" spans="1:20" x14ac:dyDescent="0.2">
      <c r="A4" s="1" t="s">
        <v>217</v>
      </c>
      <c r="B4" s="1" t="s">
        <v>218</v>
      </c>
      <c r="D4" t="s">
        <v>46</v>
      </c>
      <c r="E4" s="1" t="s">
        <v>1302</v>
      </c>
      <c r="F4" s="1" t="s">
        <v>14</v>
      </c>
      <c r="H4" s="4">
        <v>60</v>
      </c>
      <c r="I4" s="11">
        <v>2.65</v>
      </c>
      <c r="K4" s="12">
        <f t="shared" si="0"/>
        <v>0.42324587393680785</v>
      </c>
      <c r="L4" s="11">
        <f>GraphVibrio!B$10-(Vibrio!H4-GraphVibrio!B$6)/GraphVibrio!$B$5</f>
        <v>0.34326968743947783</v>
      </c>
      <c r="M4" s="1" t="s">
        <v>1226</v>
      </c>
      <c r="N4">
        <v>1996</v>
      </c>
      <c r="R4" s="10">
        <f>GraphVibrio!$B$77*Vibrio!H4+GraphVibrio!$B$78</f>
        <v>7.6439752063145683E-2</v>
      </c>
      <c r="S4" s="10">
        <f>GraphVibrio!$E$77*Vibrio!H4+GraphVibrio!$E$78</f>
        <v>0.34326968743947806</v>
      </c>
    </row>
    <row r="5" spans="1:20" x14ac:dyDescent="0.2">
      <c r="A5" s="1" t="s">
        <v>217</v>
      </c>
      <c r="B5" s="1" t="s">
        <v>218</v>
      </c>
      <c r="D5" t="s">
        <v>46</v>
      </c>
      <c r="E5" s="1" t="s">
        <v>1302</v>
      </c>
      <c r="F5" s="1" t="s">
        <v>14</v>
      </c>
      <c r="H5" s="4">
        <v>66</v>
      </c>
      <c r="I5" s="11">
        <v>1.6</v>
      </c>
      <c r="K5" s="12">
        <f t="shared" si="0"/>
        <v>0.20411998265592479</v>
      </c>
      <c r="L5" s="11">
        <f>GraphVibrio!B$10-(Vibrio!H5-GraphVibrio!B$6)/GraphVibrio!$B$5</f>
        <v>-1.508513360175831E-2</v>
      </c>
      <c r="M5" s="1" t="s">
        <v>1226</v>
      </c>
      <c r="N5">
        <v>1996</v>
      </c>
      <c r="R5" s="10">
        <f>GraphVibrio!$B$77*Vibrio!H5+GraphVibrio!$B$78</f>
        <v>-0.19420995344842718</v>
      </c>
      <c r="S5" s="10">
        <f>GraphVibrio!$E$77*Vibrio!H5+GraphVibrio!$E$78</f>
        <v>-1.5085133601758116E-2</v>
      </c>
    </row>
    <row r="6" spans="1:20" x14ac:dyDescent="0.2">
      <c r="A6" s="1" t="s">
        <v>217</v>
      </c>
      <c r="B6" s="1" t="s">
        <v>218</v>
      </c>
      <c r="D6" t="s">
        <v>46</v>
      </c>
      <c r="E6" s="1" t="s">
        <v>1302</v>
      </c>
      <c r="F6" s="1" t="s">
        <v>14</v>
      </c>
      <c r="H6" s="4">
        <v>71</v>
      </c>
      <c r="I6" s="11">
        <v>0.3</v>
      </c>
      <c r="K6" s="12">
        <f t="shared" si="0"/>
        <v>-0.52287874528033762</v>
      </c>
      <c r="L6" s="11">
        <f>GraphVibrio!B$10-(Vibrio!H6-GraphVibrio!B$6)/GraphVibrio!$B$5</f>
        <v>-0.31371415113612172</v>
      </c>
      <c r="M6" s="1" t="s">
        <v>1226</v>
      </c>
      <c r="N6">
        <v>1996</v>
      </c>
      <c r="R6" s="10">
        <f>GraphVibrio!$B$77*Vibrio!H6+GraphVibrio!$B$78</f>
        <v>-0.419751374708071</v>
      </c>
      <c r="S6" s="10">
        <f>GraphVibrio!$E$77*Vibrio!H6+GraphVibrio!$E$78</f>
        <v>-0.31371415113612189</v>
      </c>
      <c r="T6" s="10"/>
    </row>
    <row r="7" spans="1:20" x14ac:dyDescent="0.2">
      <c r="A7" s="1" t="s">
        <v>217</v>
      </c>
      <c r="B7" s="1" t="s">
        <v>218</v>
      </c>
      <c r="D7" t="s">
        <v>44</v>
      </c>
      <c r="E7" s="1" t="s">
        <v>220</v>
      </c>
      <c r="F7" s="1"/>
      <c r="H7" s="4">
        <v>49</v>
      </c>
      <c r="I7" s="11">
        <v>1.7</v>
      </c>
      <c r="K7" s="12">
        <f t="shared" si="0"/>
        <v>0.23044892137827391</v>
      </c>
      <c r="L7" s="11">
        <f>GraphVibrio!D$10-(Vibrio!H7-GraphVibrio!D$6)/GraphVibrio!$D$5</f>
        <v>0.24419748673147434</v>
      </c>
      <c r="M7" s="1" t="s">
        <v>1226</v>
      </c>
      <c r="N7">
        <v>1996</v>
      </c>
      <c r="R7" s="10">
        <f>GraphVibrio!$B$77*Vibrio!H7+GraphVibrio!$B$78</f>
        <v>0.57263087883436237</v>
      </c>
      <c r="S7" s="10"/>
      <c r="T7" s="10">
        <f>GraphVibrio!$H$77*Vibrio!H7+GraphVibrio!$H$78</f>
        <v>0.24419748673147446</v>
      </c>
    </row>
    <row r="8" spans="1:20" x14ac:dyDescent="0.2">
      <c r="A8" s="1" t="s">
        <v>217</v>
      </c>
      <c r="B8" s="1" t="s">
        <v>218</v>
      </c>
      <c r="D8" t="s">
        <v>44</v>
      </c>
      <c r="E8" s="1" t="s">
        <v>220</v>
      </c>
      <c r="F8" s="1"/>
      <c r="H8" s="4">
        <v>54</v>
      </c>
      <c r="I8" s="11">
        <v>1.04</v>
      </c>
      <c r="K8" s="12">
        <f t="shared" si="0"/>
        <v>1.703333929878037E-2</v>
      </c>
      <c r="L8" s="11">
        <f>GraphVibrio!D$10-(Vibrio!H8-GraphVibrio!D$6)/GraphVibrio!$D$5</f>
        <v>1.5253380726811816E-2</v>
      </c>
      <c r="M8" s="1" t="s">
        <v>1226</v>
      </c>
      <c r="N8">
        <v>1996</v>
      </c>
      <c r="R8" s="10">
        <f>GraphVibrio!$B$77*Vibrio!H8+GraphVibrio!$B$78</f>
        <v>0.3470894575747181</v>
      </c>
      <c r="S8" s="10"/>
      <c r="T8" s="10">
        <f>GraphVibrio!$H$77*Vibrio!H8+GraphVibrio!$H$78</f>
        <v>1.5253380726811816E-2</v>
      </c>
    </row>
    <row r="9" spans="1:20" x14ac:dyDescent="0.2">
      <c r="A9" s="1" t="s">
        <v>217</v>
      </c>
      <c r="B9" s="1" t="s">
        <v>218</v>
      </c>
      <c r="D9" t="s">
        <v>44</v>
      </c>
      <c r="E9" s="1" t="s">
        <v>220</v>
      </c>
      <c r="F9" s="1"/>
      <c r="H9" s="4">
        <v>60</v>
      </c>
      <c r="I9" s="11">
        <v>0.63</v>
      </c>
      <c r="K9" s="12">
        <f t="shared" si="0"/>
        <v>-0.20065945054641829</v>
      </c>
      <c r="L9" s="11">
        <f>GraphVibrio!D$10-(Vibrio!H9-GraphVibrio!D$6)/GraphVibrio!$D$5</f>
        <v>-0.25947954647878319</v>
      </c>
      <c r="M9" s="1" t="s">
        <v>1226</v>
      </c>
      <c r="N9">
        <v>1996</v>
      </c>
      <c r="R9" s="10">
        <f>GraphVibrio!$B$77*Vibrio!H9+GraphVibrio!$B$78</f>
        <v>7.6439752063145683E-2</v>
      </c>
      <c r="S9" s="10"/>
      <c r="T9" s="10">
        <f>GraphVibrio!$H$77*Vibrio!H9+GraphVibrio!$H$78</f>
        <v>-0.25947954647878291</v>
      </c>
    </row>
    <row r="10" spans="1:20" x14ac:dyDescent="0.2">
      <c r="A10" s="1" t="s">
        <v>217</v>
      </c>
      <c r="B10" s="1" t="s">
        <v>218</v>
      </c>
      <c r="D10" t="s">
        <v>44</v>
      </c>
      <c r="E10" s="1" t="s">
        <v>220</v>
      </c>
      <c r="F10" s="1"/>
      <c r="H10" s="4">
        <v>63</v>
      </c>
      <c r="I10" s="11">
        <v>0.36</v>
      </c>
      <c r="K10" s="12">
        <f t="shared" si="0"/>
        <v>-0.44369749923271273</v>
      </c>
      <c r="L10" s="11">
        <f>GraphVibrio!D$10-(Vibrio!H10-GraphVibrio!D$6)/GraphVibrio!$D$5</f>
        <v>-0.39684601008158066</v>
      </c>
      <c r="M10" s="1" t="s">
        <v>1226</v>
      </c>
      <c r="N10">
        <v>1996</v>
      </c>
      <c r="R10" s="10">
        <f>GraphVibrio!$B$77*Vibrio!H10+GraphVibrio!$B$78</f>
        <v>-5.8885100692640968E-2</v>
      </c>
      <c r="S10" s="10"/>
      <c r="T10" s="10">
        <f>GraphVibrio!$H$77*Vibrio!H10+GraphVibrio!$H$78</f>
        <v>-0.39684601008158049</v>
      </c>
    </row>
    <row r="11" spans="1:20" x14ac:dyDescent="0.2">
      <c r="A11" s="1" t="s">
        <v>217</v>
      </c>
      <c r="B11" s="1" t="s">
        <v>221</v>
      </c>
      <c r="D11" t="s">
        <v>46</v>
      </c>
      <c r="E11" s="1" t="s">
        <v>225</v>
      </c>
      <c r="F11" s="1" t="s">
        <v>14</v>
      </c>
      <c r="G11" s="4">
        <v>7</v>
      </c>
      <c r="H11" s="4">
        <v>49</v>
      </c>
      <c r="I11" s="11">
        <v>0.35</v>
      </c>
      <c r="K11" s="12">
        <f t="shared" si="0"/>
        <v>-0.45593195564972439</v>
      </c>
      <c r="L11" s="11">
        <f>GraphVibrio!B$45-(Vibrio!H11-GraphVibrio!B$41)/GraphVibrio!$B$40</f>
        <v>0.22898363071330197</v>
      </c>
      <c r="M11" s="1" t="s">
        <v>1226</v>
      </c>
      <c r="N11">
        <v>1996</v>
      </c>
      <c r="R11" s="10"/>
      <c r="S11" s="10"/>
    </row>
    <row r="12" spans="1:20" x14ac:dyDescent="0.2">
      <c r="A12" s="1" t="s">
        <v>217</v>
      </c>
      <c r="B12" s="1" t="s">
        <v>221</v>
      </c>
      <c r="D12" t="s">
        <v>46</v>
      </c>
      <c r="E12" s="1" t="s">
        <v>225</v>
      </c>
      <c r="F12" s="1" t="s">
        <v>14</v>
      </c>
      <c r="G12" s="4">
        <v>7</v>
      </c>
      <c r="H12" s="4">
        <v>49</v>
      </c>
      <c r="I12" s="11">
        <v>0.72</v>
      </c>
      <c r="K12" s="12">
        <f t="shared" si="0"/>
        <v>-0.14266750356873156</v>
      </c>
      <c r="L12" s="11">
        <f>GraphVibrio!B$45-(Vibrio!H12-GraphVibrio!B$41)/GraphVibrio!$B$40</f>
        <v>0.22898363071330197</v>
      </c>
      <c r="M12" s="1" t="s">
        <v>1226</v>
      </c>
      <c r="N12">
        <v>1996</v>
      </c>
      <c r="R12" s="10"/>
      <c r="S12" s="10"/>
    </row>
    <row r="13" spans="1:20" x14ac:dyDescent="0.2">
      <c r="A13" s="1" t="s">
        <v>217</v>
      </c>
      <c r="B13" s="1" t="s">
        <v>221</v>
      </c>
      <c r="D13" t="s">
        <v>46</v>
      </c>
      <c r="E13" s="1" t="s">
        <v>225</v>
      </c>
      <c r="F13" s="1" t="s">
        <v>14</v>
      </c>
      <c r="G13" s="4">
        <v>7</v>
      </c>
      <c r="H13" s="4">
        <v>51</v>
      </c>
      <c r="I13" s="11">
        <v>0.2</v>
      </c>
      <c r="K13" s="12">
        <f t="shared" si="0"/>
        <v>-0.69897000433601875</v>
      </c>
      <c r="L13" s="11">
        <f>GraphVibrio!B$45-(Vibrio!H13-GraphVibrio!B$41)/GraphVibrio!$B$40</f>
        <v>-5.968587654122004E-3</v>
      </c>
      <c r="M13" s="1" t="s">
        <v>1226</v>
      </c>
      <c r="N13">
        <v>1996</v>
      </c>
      <c r="R13" s="10"/>
      <c r="S13" s="10"/>
    </row>
    <row r="14" spans="1:20" x14ac:dyDescent="0.2">
      <c r="A14" s="1" t="s">
        <v>217</v>
      </c>
      <c r="B14" s="1" t="s">
        <v>221</v>
      </c>
      <c r="D14" t="s">
        <v>46</v>
      </c>
      <c r="E14" s="1" t="s">
        <v>225</v>
      </c>
      <c r="F14" s="1" t="s">
        <v>14</v>
      </c>
      <c r="G14" s="4">
        <v>7</v>
      </c>
      <c r="H14" s="4">
        <v>51</v>
      </c>
      <c r="I14" s="11">
        <v>0.59</v>
      </c>
      <c r="K14" s="12">
        <f t="shared" si="0"/>
        <v>-0.22914798835785583</v>
      </c>
      <c r="L14" s="11">
        <f>GraphVibrio!B$45-(Vibrio!H14-GraphVibrio!B$41)/GraphVibrio!$B$40</f>
        <v>-5.968587654122004E-3</v>
      </c>
      <c r="M14" s="1" t="s">
        <v>1226</v>
      </c>
      <c r="N14">
        <v>1996</v>
      </c>
      <c r="R14" s="10"/>
      <c r="S14" s="10"/>
    </row>
    <row r="15" spans="1:20" x14ac:dyDescent="0.2">
      <c r="A15" s="1" t="s">
        <v>217</v>
      </c>
      <c r="B15" s="1" t="s">
        <v>221</v>
      </c>
      <c r="D15" t="s">
        <v>46</v>
      </c>
      <c r="E15" s="1" t="s">
        <v>225</v>
      </c>
      <c r="F15" s="1" t="s">
        <v>14</v>
      </c>
      <c r="H15" s="4">
        <v>55</v>
      </c>
      <c r="I15" s="9">
        <v>0.02</v>
      </c>
      <c r="J15" s="7"/>
      <c r="K15" s="12">
        <f t="shared" si="0"/>
        <v>-1.6989700043360187</v>
      </c>
      <c r="L15" s="11">
        <f>GraphVibrio!B$45-(Vibrio!H15-GraphVibrio!B$41)/GraphVibrio!$B$40</f>
        <v>-0.47587302438897017</v>
      </c>
      <c r="M15" s="1" t="s">
        <v>1226</v>
      </c>
      <c r="N15">
        <v>1996</v>
      </c>
      <c r="R15" s="10"/>
      <c r="S15" s="10"/>
    </row>
    <row r="16" spans="1:20" x14ac:dyDescent="0.2">
      <c r="A16" s="1" t="s">
        <v>217</v>
      </c>
      <c r="B16" s="1" t="s">
        <v>221</v>
      </c>
      <c r="D16" t="s">
        <v>46</v>
      </c>
      <c r="E16" s="1" t="s">
        <v>225</v>
      </c>
      <c r="F16" s="1" t="s">
        <v>14</v>
      </c>
      <c r="H16" s="4">
        <v>55</v>
      </c>
      <c r="I16" s="9">
        <v>0.28999999999999998</v>
      </c>
      <c r="J16" s="7"/>
      <c r="K16" s="12">
        <f t="shared" si="0"/>
        <v>-0.53760200210104392</v>
      </c>
      <c r="L16" s="11">
        <f>GraphVibrio!B$45-(Vibrio!H16-GraphVibrio!B$41)/GraphVibrio!$B$40</f>
        <v>-0.47587302438897017</v>
      </c>
      <c r="M16" s="1" t="s">
        <v>1226</v>
      </c>
      <c r="N16">
        <v>1996</v>
      </c>
      <c r="R16" s="10"/>
      <c r="S16" s="10"/>
    </row>
    <row r="17" spans="1:19" x14ac:dyDescent="0.2">
      <c r="A17" s="1" t="s">
        <v>217</v>
      </c>
      <c r="B17" s="1" t="s">
        <v>221</v>
      </c>
      <c r="D17" t="s">
        <v>46</v>
      </c>
      <c r="E17" s="1" t="s">
        <v>226</v>
      </c>
      <c r="F17" s="1" t="s">
        <v>14</v>
      </c>
      <c r="H17" s="4">
        <v>55</v>
      </c>
      <c r="I17" s="11">
        <v>2.5</v>
      </c>
      <c r="K17" s="12">
        <f t="shared" si="0"/>
        <v>0.3979400086720376</v>
      </c>
      <c r="L17" s="11">
        <f>GraphVibrio!B$45-(Vibrio!H17-GraphVibrio!B$41)/GraphVibrio!$B$40</f>
        <v>-0.47587302438897017</v>
      </c>
      <c r="M17" s="1" t="s">
        <v>1226</v>
      </c>
      <c r="N17">
        <v>1996</v>
      </c>
      <c r="R17" s="10"/>
      <c r="S17" s="10"/>
    </row>
    <row r="18" spans="1:19" x14ac:dyDescent="0.2">
      <c r="A18" s="1" t="s">
        <v>217</v>
      </c>
      <c r="B18" s="1" t="s">
        <v>221</v>
      </c>
      <c r="D18" t="s">
        <v>46</v>
      </c>
      <c r="E18" s="1" t="s">
        <v>46</v>
      </c>
      <c r="F18" s="1" t="s">
        <v>14</v>
      </c>
      <c r="H18" s="4">
        <v>48</v>
      </c>
      <c r="I18" s="11">
        <v>10</v>
      </c>
      <c r="K18" s="12">
        <f t="shared" si="0"/>
        <v>1</v>
      </c>
      <c r="L18" s="11">
        <f>GraphVibrio!B$45-(Vibrio!H18-GraphVibrio!B$41)/GraphVibrio!$B$40</f>
        <v>0.34645973989701373</v>
      </c>
      <c r="M18" s="1" t="s">
        <v>1226</v>
      </c>
      <c r="N18">
        <v>1996</v>
      </c>
      <c r="R18" s="10"/>
      <c r="S18" s="10"/>
    </row>
    <row r="19" spans="1:19" x14ac:dyDescent="0.2">
      <c r="A19" s="1" t="s">
        <v>217</v>
      </c>
      <c r="B19" s="1" t="s">
        <v>221</v>
      </c>
      <c r="D19" t="s">
        <v>46</v>
      </c>
      <c r="E19" s="1" t="s">
        <v>46</v>
      </c>
      <c r="F19" s="1" t="s">
        <v>14</v>
      </c>
      <c r="H19" s="4">
        <v>48</v>
      </c>
      <c r="I19" s="11">
        <v>16</v>
      </c>
      <c r="K19" s="12">
        <f t="shared" si="0"/>
        <v>1.2041199826559248</v>
      </c>
      <c r="L19" s="11">
        <f>GraphVibrio!B$45-(Vibrio!H19-GraphVibrio!B$41)/GraphVibrio!$B$40</f>
        <v>0.34645973989701373</v>
      </c>
      <c r="M19" s="1" t="s">
        <v>1226</v>
      </c>
      <c r="N19">
        <v>1996</v>
      </c>
      <c r="R19" s="10"/>
      <c r="S19" s="10"/>
    </row>
    <row r="20" spans="1:19" x14ac:dyDescent="0.2">
      <c r="A20" s="1" t="s">
        <v>217</v>
      </c>
      <c r="B20" s="1" t="s">
        <v>221</v>
      </c>
      <c r="D20" t="s">
        <v>44</v>
      </c>
      <c r="E20" s="1" t="s">
        <v>222</v>
      </c>
      <c r="F20" s="19" t="s">
        <v>223</v>
      </c>
      <c r="H20" s="4">
        <v>47</v>
      </c>
      <c r="I20" s="11">
        <v>2.6</v>
      </c>
      <c r="K20" s="12">
        <f t="shared" si="0"/>
        <v>0.41497334797081797</v>
      </c>
      <c r="L20" s="11">
        <f>GraphVibrio!B$45-(Vibrio!H20-GraphVibrio!B$41)/GraphVibrio!$B$40</f>
        <v>0.46393584908072594</v>
      </c>
      <c r="M20" s="1" t="s">
        <v>1226</v>
      </c>
      <c r="N20">
        <v>1996</v>
      </c>
      <c r="R20" s="10"/>
      <c r="S20" s="10"/>
    </row>
    <row r="21" spans="1:19" x14ac:dyDescent="0.2">
      <c r="A21" s="1" t="s">
        <v>217</v>
      </c>
      <c r="B21" s="1" t="s">
        <v>221</v>
      </c>
      <c r="D21" t="s">
        <v>44</v>
      </c>
      <c r="E21" s="1" t="s">
        <v>222</v>
      </c>
      <c r="F21" s="19" t="s">
        <v>223</v>
      </c>
      <c r="H21" s="4">
        <v>47</v>
      </c>
      <c r="I21" s="11">
        <v>3.6</v>
      </c>
      <c r="K21" s="12">
        <f t="shared" si="0"/>
        <v>0.55630250076728727</v>
      </c>
      <c r="L21" s="11">
        <f>GraphVibrio!B$45-(Vibrio!H21-GraphVibrio!B$41)/GraphVibrio!$B$40</f>
        <v>0.46393584908072594</v>
      </c>
      <c r="M21" s="1" t="s">
        <v>1226</v>
      </c>
      <c r="N21">
        <v>1996</v>
      </c>
      <c r="R21" s="10"/>
      <c r="S21" s="10"/>
    </row>
    <row r="22" spans="1:19" x14ac:dyDescent="0.2">
      <c r="A22" s="1" t="s">
        <v>217</v>
      </c>
      <c r="B22" s="1" t="s">
        <v>221</v>
      </c>
      <c r="D22" t="s">
        <v>44</v>
      </c>
      <c r="E22" s="1" t="s">
        <v>69</v>
      </c>
      <c r="F22" s="19" t="s">
        <v>224</v>
      </c>
      <c r="G22" s="4">
        <v>7</v>
      </c>
      <c r="H22" s="4">
        <v>53</v>
      </c>
      <c r="I22" s="11">
        <v>2.8</v>
      </c>
      <c r="K22" s="12">
        <f t="shared" si="0"/>
        <v>0.44715803134221921</v>
      </c>
      <c r="L22" s="11">
        <f>GraphVibrio!B$45-(Vibrio!H22-GraphVibrio!B$41)/GraphVibrio!$B$40</f>
        <v>-0.2409208060215462</v>
      </c>
      <c r="M22" s="1" t="s">
        <v>1226</v>
      </c>
      <c r="N22">
        <v>1996</v>
      </c>
      <c r="R22" s="10"/>
      <c r="S22" s="10"/>
    </row>
    <row r="23" spans="1:19" x14ac:dyDescent="0.2">
      <c r="A23" s="1" t="s">
        <v>217</v>
      </c>
      <c r="B23" s="1" t="s">
        <v>221</v>
      </c>
      <c r="D23" t="s">
        <v>44</v>
      </c>
      <c r="E23" s="1" t="s">
        <v>69</v>
      </c>
      <c r="F23" s="19" t="s">
        <v>224</v>
      </c>
      <c r="G23" s="4">
        <v>7</v>
      </c>
      <c r="H23" s="4">
        <v>53</v>
      </c>
      <c r="I23" s="11">
        <v>4</v>
      </c>
      <c r="K23" s="12">
        <f t="shared" si="0"/>
        <v>0.6020599913279624</v>
      </c>
      <c r="L23" s="11">
        <f>GraphVibrio!B$45-(Vibrio!H23-GraphVibrio!B$41)/GraphVibrio!$B$40</f>
        <v>-0.2409208060215462</v>
      </c>
      <c r="M23" s="1" t="s">
        <v>1226</v>
      </c>
      <c r="N23">
        <v>1996</v>
      </c>
      <c r="R23" s="10"/>
      <c r="S23" s="10"/>
    </row>
    <row r="24" spans="1:19" x14ac:dyDescent="0.2">
      <c r="A24" s="1" t="s">
        <v>217</v>
      </c>
      <c r="B24" s="1" t="s">
        <v>221</v>
      </c>
      <c r="D24" t="s">
        <v>44</v>
      </c>
      <c r="E24" s="1" t="s">
        <v>69</v>
      </c>
      <c r="F24" s="1"/>
      <c r="H24" s="4">
        <v>48</v>
      </c>
      <c r="I24" s="11">
        <v>1</v>
      </c>
      <c r="K24" s="12">
        <f t="shared" si="0"/>
        <v>0</v>
      </c>
      <c r="L24" s="11">
        <f>GraphVibrio!B$45-(Vibrio!H24-GraphVibrio!B$41)/GraphVibrio!$B$40</f>
        <v>0.34645973989701373</v>
      </c>
      <c r="M24" s="1" t="s">
        <v>1226</v>
      </c>
      <c r="N24">
        <v>1996</v>
      </c>
      <c r="R24" s="10"/>
      <c r="S24" s="10"/>
    </row>
    <row r="25" spans="1:19" x14ac:dyDescent="0.2">
      <c r="A25" s="1" t="s">
        <v>217</v>
      </c>
      <c r="B25" s="1" t="s">
        <v>221</v>
      </c>
      <c r="D25" t="s">
        <v>44</v>
      </c>
      <c r="E25" s="1" t="s">
        <v>69</v>
      </c>
      <c r="F25" s="1"/>
      <c r="H25" s="4">
        <v>48</v>
      </c>
      <c r="I25" s="11">
        <v>1.5</v>
      </c>
      <c r="K25" s="12">
        <f t="shared" si="0"/>
        <v>0.17609125905568124</v>
      </c>
      <c r="L25" s="11">
        <f>GraphVibrio!B$45-(Vibrio!H25-GraphVibrio!B$41)/GraphVibrio!$B$40</f>
        <v>0.34645973989701373</v>
      </c>
      <c r="M25" s="1" t="s">
        <v>1226</v>
      </c>
      <c r="N25">
        <v>1996</v>
      </c>
      <c r="R25" s="10"/>
      <c r="S25" s="10"/>
    </row>
    <row r="26" spans="1:19" x14ac:dyDescent="0.2">
      <c r="A26" s="1" t="s">
        <v>217</v>
      </c>
      <c r="B26" s="1" t="s">
        <v>1173</v>
      </c>
      <c r="D26" t="s">
        <v>46</v>
      </c>
      <c r="E26" s="1" t="s">
        <v>1280</v>
      </c>
      <c r="F26" s="1" t="s">
        <v>1185</v>
      </c>
      <c r="G26" s="4">
        <v>6.2</v>
      </c>
      <c r="H26" s="4">
        <v>40</v>
      </c>
      <c r="I26" s="11">
        <v>12</v>
      </c>
      <c r="K26" s="12">
        <f t="shared" si="0"/>
        <v>1.0791812460476249</v>
      </c>
      <c r="L26" s="11">
        <f>GraphVibrio!B$45-(Vibrio!H26-GraphVibrio!B$41)/GraphVibrio!$B$40</f>
        <v>1.2862686133667096</v>
      </c>
      <c r="M26" s="1" t="s">
        <v>1200</v>
      </c>
      <c r="N26">
        <v>1994</v>
      </c>
      <c r="P26" s="10"/>
      <c r="R26" s="10"/>
      <c r="S26" s="10"/>
    </row>
    <row r="27" spans="1:19" x14ac:dyDescent="0.2">
      <c r="A27" s="1" t="s">
        <v>217</v>
      </c>
      <c r="B27" s="1" t="s">
        <v>1173</v>
      </c>
      <c r="D27" t="s">
        <v>46</v>
      </c>
      <c r="E27" s="1" t="s">
        <v>1280</v>
      </c>
      <c r="F27" s="1" t="s">
        <v>1185</v>
      </c>
      <c r="G27" s="4">
        <v>6.2</v>
      </c>
      <c r="H27" s="4">
        <v>50</v>
      </c>
      <c r="I27" s="11">
        <v>2.7</v>
      </c>
      <c r="K27" s="12">
        <f t="shared" si="0"/>
        <v>0.43136376415898736</v>
      </c>
      <c r="L27" s="11">
        <f>GraphVibrio!B$45-(Vibrio!H27-GraphVibrio!B$41)/GraphVibrio!$B$40</f>
        <v>0.11150752152958976</v>
      </c>
      <c r="M27" s="1" t="s">
        <v>1200</v>
      </c>
      <c r="N27">
        <v>1994</v>
      </c>
      <c r="P27" s="10"/>
      <c r="R27" s="10"/>
      <c r="S27" s="10"/>
    </row>
    <row r="28" spans="1:19" x14ac:dyDescent="0.2">
      <c r="A28" s="1" t="s">
        <v>217</v>
      </c>
      <c r="B28" s="1" t="s">
        <v>1173</v>
      </c>
      <c r="D28" t="s">
        <v>46</v>
      </c>
      <c r="E28" s="1" t="s">
        <v>1280</v>
      </c>
      <c r="F28" s="1" t="s">
        <v>1185</v>
      </c>
      <c r="G28" s="4">
        <v>4.5999999999999996</v>
      </c>
      <c r="H28" s="4">
        <v>50</v>
      </c>
      <c r="I28" s="11">
        <v>1.7</v>
      </c>
      <c r="K28" s="12">
        <f t="shared" si="0"/>
        <v>0.23044892137827391</v>
      </c>
      <c r="L28" s="11">
        <f>GraphVibrio!B$45-(Vibrio!H28-GraphVibrio!B$41)/GraphVibrio!$B$40</f>
        <v>0.11150752152958976</v>
      </c>
      <c r="M28" s="1" t="s">
        <v>1200</v>
      </c>
      <c r="N28">
        <v>1994</v>
      </c>
      <c r="P28" s="10"/>
      <c r="R28" s="10"/>
      <c r="S28" s="10"/>
    </row>
    <row r="29" spans="1:19" x14ac:dyDescent="0.2">
      <c r="A29" s="1" t="s">
        <v>217</v>
      </c>
      <c r="B29" s="1" t="s">
        <v>1173</v>
      </c>
      <c r="D29" t="s">
        <v>46</v>
      </c>
      <c r="E29" s="1" t="s">
        <v>1186</v>
      </c>
      <c r="F29" s="1"/>
      <c r="G29" s="4">
        <v>6.7</v>
      </c>
      <c r="H29" s="4">
        <v>50</v>
      </c>
      <c r="I29" s="11">
        <v>3</v>
      </c>
      <c r="K29" s="12">
        <f t="shared" si="0"/>
        <v>0.47712125471966244</v>
      </c>
      <c r="L29" s="11">
        <f>GraphVibrio!B$45-(Vibrio!H29-GraphVibrio!B$41)/GraphVibrio!$B$40</f>
        <v>0.11150752152958976</v>
      </c>
      <c r="M29" s="1" t="s">
        <v>1200</v>
      </c>
      <c r="N29">
        <v>1994</v>
      </c>
      <c r="P29" s="10"/>
      <c r="R29" s="10"/>
      <c r="S29" s="10"/>
    </row>
    <row r="30" spans="1:19" x14ac:dyDescent="0.2">
      <c r="A30" s="1" t="s">
        <v>217</v>
      </c>
      <c r="B30" s="1" t="s">
        <v>1173</v>
      </c>
      <c r="D30" t="s">
        <v>46</v>
      </c>
      <c r="E30" s="1" t="s">
        <v>1186</v>
      </c>
      <c r="F30" s="1"/>
      <c r="G30" s="4">
        <v>6</v>
      </c>
      <c r="H30" s="4">
        <v>50</v>
      </c>
      <c r="I30" s="11">
        <v>2</v>
      </c>
      <c r="K30" s="12">
        <f t="shared" si="0"/>
        <v>0.3010299956639812</v>
      </c>
      <c r="L30" s="11">
        <f>GraphVibrio!B$45-(Vibrio!H30-GraphVibrio!B$41)/GraphVibrio!$B$40</f>
        <v>0.11150752152958976</v>
      </c>
      <c r="M30" s="1" t="s">
        <v>1200</v>
      </c>
      <c r="N30">
        <v>1994</v>
      </c>
      <c r="P30" s="10"/>
      <c r="R30" s="10"/>
      <c r="S30" s="10"/>
    </row>
    <row r="31" spans="1:19" x14ac:dyDescent="0.2">
      <c r="A31" s="1" t="s">
        <v>217</v>
      </c>
      <c r="B31" s="1" t="s">
        <v>1173</v>
      </c>
      <c r="D31" t="s">
        <v>46</v>
      </c>
      <c r="E31" s="1" t="s">
        <v>1186</v>
      </c>
      <c r="F31" s="1"/>
      <c r="G31" s="4">
        <v>5.4</v>
      </c>
      <c r="H31" s="4">
        <v>50</v>
      </c>
      <c r="I31" s="11">
        <v>1.65</v>
      </c>
      <c r="K31" s="12">
        <f t="shared" si="0"/>
        <v>0.21748394421390627</v>
      </c>
      <c r="L31" s="11">
        <f>GraphVibrio!B$45-(Vibrio!H31-GraphVibrio!B$41)/GraphVibrio!$B$40</f>
        <v>0.11150752152958976</v>
      </c>
      <c r="M31" s="1" t="s">
        <v>1200</v>
      </c>
      <c r="N31">
        <v>1994</v>
      </c>
      <c r="P31" s="10"/>
      <c r="R31" s="10"/>
      <c r="S31" s="10"/>
    </row>
    <row r="32" spans="1:19" x14ac:dyDescent="0.2">
      <c r="A32" s="1" t="s">
        <v>217</v>
      </c>
      <c r="B32" s="1" t="s">
        <v>1173</v>
      </c>
      <c r="D32" t="s">
        <v>44</v>
      </c>
      <c r="E32" s="1" t="s">
        <v>1184</v>
      </c>
      <c r="F32" s="1"/>
      <c r="G32" s="4">
        <v>7</v>
      </c>
      <c r="H32" s="4">
        <v>50</v>
      </c>
      <c r="I32" s="11">
        <v>1.4</v>
      </c>
      <c r="K32" s="12">
        <f t="shared" si="0"/>
        <v>0.14612803567823801</v>
      </c>
      <c r="L32" s="11">
        <f>GraphVibrio!B$45-(Vibrio!H32-GraphVibrio!B$41)/GraphVibrio!$B$40</f>
        <v>0.11150752152958976</v>
      </c>
      <c r="M32" s="1" t="s">
        <v>1200</v>
      </c>
      <c r="N32">
        <v>1994</v>
      </c>
      <c r="P32" s="10"/>
      <c r="R32" s="10"/>
      <c r="S32" s="10"/>
    </row>
    <row r="33" spans="1:19" x14ac:dyDescent="0.2">
      <c r="A33" s="1" t="s">
        <v>217</v>
      </c>
      <c r="B33" s="1" t="s">
        <v>1173</v>
      </c>
      <c r="D33" t="s">
        <v>44</v>
      </c>
      <c r="E33" s="1" t="s">
        <v>1184</v>
      </c>
      <c r="F33" s="1"/>
      <c r="G33" s="4">
        <v>6.5</v>
      </c>
      <c r="H33" s="4">
        <v>40</v>
      </c>
      <c r="I33" s="11">
        <v>40</v>
      </c>
      <c r="K33" s="12">
        <f t="shared" si="0"/>
        <v>1.6020599913279623</v>
      </c>
      <c r="L33" s="11">
        <f>GraphVibrio!B$45-(Vibrio!H33-GraphVibrio!B$41)/GraphVibrio!$B$40</f>
        <v>1.2862686133667096</v>
      </c>
      <c r="M33" s="1" t="s">
        <v>1200</v>
      </c>
      <c r="N33">
        <v>1994</v>
      </c>
      <c r="P33" s="10"/>
      <c r="R33" s="10"/>
      <c r="S33" s="10"/>
    </row>
    <row r="34" spans="1:19" x14ac:dyDescent="0.2">
      <c r="A34" s="1" t="s">
        <v>217</v>
      </c>
      <c r="B34" s="1" t="s">
        <v>1173</v>
      </c>
      <c r="D34" t="s">
        <v>44</v>
      </c>
      <c r="E34" s="1" t="s">
        <v>1184</v>
      </c>
      <c r="F34" s="1"/>
      <c r="G34" s="4">
        <v>6.5</v>
      </c>
      <c r="H34" s="4">
        <v>50</v>
      </c>
      <c r="I34" s="11">
        <v>1.2</v>
      </c>
      <c r="K34" s="12">
        <f t="shared" si="0"/>
        <v>7.9181246047624818E-2</v>
      </c>
      <c r="L34" s="11">
        <f>GraphVibrio!B$45-(Vibrio!H34-GraphVibrio!B$41)/GraphVibrio!$B$40</f>
        <v>0.11150752152958976</v>
      </c>
      <c r="M34" s="1" t="s">
        <v>1200</v>
      </c>
      <c r="N34">
        <v>1994</v>
      </c>
      <c r="P34" s="10"/>
      <c r="R34" s="10"/>
      <c r="S34" s="10"/>
    </row>
    <row r="35" spans="1:19" x14ac:dyDescent="0.2">
      <c r="A35" s="1" t="s">
        <v>217</v>
      </c>
      <c r="B35" s="1" t="s">
        <v>1173</v>
      </c>
      <c r="D35" t="s">
        <v>44</v>
      </c>
      <c r="E35" s="1" t="s">
        <v>1184</v>
      </c>
      <c r="F35" s="1"/>
      <c r="G35" s="4">
        <v>6</v>
      </c>
      <c r="H35" s="4">
        <v>40</v>
      </c>
      <c r="I35" s="11">
        <v>35.5</v>
      </c>
      <c r="K35" s="12">
        <f t="shared" si="0"/>
        <v>1.550228353055094</v>
      </c>
      <c r="L35" s="11">
        <f>GraphVibrio!B$45-(Vibrio!H35-GraphVibrio!B$41)/GraphVibrio!$B$40</f>
        <v>1.2862686133667096</v>
      </c>
      <c r="M35" s="1" t="s">
        <v>1200</v>
      </c>
      <c r="N35">
        <v>1994</v>
      </c>
      <c r="P35" s="10"/>
      <c r="R35" s="10"/>
      <c r="S35" s="10"/>
    </row>
    <row r="36" spans="1:19" x14ac:dyDescent="0.2">
      <c r="A36" s="1" t="s">
        <v>217</v>
      </c>
      <c r="B36" s="1" t="s">
        <v>1173</v>
      </c>
      <c r="D36" t="s">
        <v>44</v>
      </c>
      <c r="E36" s="1" t="s">
        <v>1184</v>
      </c>
      <c r="F36" s="1"/>
      <c r="G36" s="4">
        <v>6</v>
      </c>
      <c r="H36" s="4">
        <v>50</v>
      </c>
      <c r="I36" s="11">
        <v>0.9</v>
      </c>
      <c r="K36" s="12">
        <f t="shared" si="0"/>
        <v>-4.5757490560675115E-2</v>
      </c>
      <c r="L36" s="11">
        <f>GraphVibrio!B$45-(Vibrio!H36-GraphVibrio!B$41)/GraphVibrio!$B$40</f>
        <v>0.11150752152958976</v>
      </c>
      <c r="M36" s="1" t="s">
        <v>1200</v>
      </c>
      <c r="N36">
        <v>1994</v>
      </c>
      <c r="P36" s="10"/>
      <c r="R36" s="10"/>
      <c r="S36" s="10"/>
    </row>
    <row r="37" spans="1:19" x14ac:dyDescent="0.2">
      <c r="A37" s="1" t="s">
        <v>217</v>
      </c>
      <c r="B37" s="1" t="s">
        <v>1173</v>
      </c>
      <c r="D37" t="s">
        <v>44</v>
      </c>
      <c r="E37" s="1" t="s">
        <v>1184</v>
      </c>
      <c r="F37" s="1"/>
      <c r="G37" s="4">
        <v>5.5</v>
      </c>
      <c r="H37" s="4">
        <v>40</v>
      </c>
      <c r="I37" s="11">
        <v>20</v>
      </c>
      <c r="K37" s="12">
        <f t="shared" si="0"/>
        <v>1.3010299956639813</v>
      </c>
      <c r="L37" s="11">
        <f>GraphVibrio!B$45-(Vibrio!H37-GraphVibrio!B$41)/GraphVibrio!$B$40</f>
        <v>1.2862686133667096</v>
      </c>
      <c r="M37" s="1" t="s">
        <v>1200</v>
      </c>
      <c r="N37">
        <v>1994</v>
      </c>
      <c r="P37" s="10"/>
      <c r="R37" s="10"/>
      <c r="S37" s="10"/>
    </row>
    <row r="38" spans="1:19" x14ac:dyDescent="0.2">
      <c r="A38" s="1" t="s">
        <v>217</v>
      </c>
      <c r="B38" s="1" t="s">
        <v>1173</v>
      </c>
      <c r="D38" t="s">
        <v>44</v>
      </c>
      <c r="E38" s="1" t="s">
        <v>1184</v>
      </c>
      <c r="F38" s="1"/>
      <c r="G38" s="4">
        <v>5.5</v>
      </c>
      <c r="H38" s="4">
        <v>50</v>
      </c>
      <c r="I38" s="11">
        <v>0.5</v>
      </c>
      <c r="K38" s="12">
        <f t="shared" si="0"/>
        <v>-0.3010299956639812</v>
      </c>
      <c r="L38" s="11">
        <f>GraphVibrio!B$45-(Vibrio!H38-GraphVibrio!B$41)/GraphVibrio!$B$40</f>
        <v>0.11150752152958976</v>
      </c>
      <c r="M38" s="1" t="s">
        <v>1200</v>
      </c>
      <c r="N38">
        <v>1994</v>
      </c>
      <c r="P38" s="10"/>
      <c r="R38" s="10"/>
      <c r="S38" s="10"/>
    </row>
    <row r="39" spans="1:19" x14ac:dyDescent="0.2">
      <c r="A39" s="1" t="s">
        <v>217</v>
      </c>
      <c r="B39" s="1" t="s">
        <v>1173</v>
      </c>
      <c r="C39" t="s">
        <v>1174</v>
      </c>
      <c r="D39" t="s">
        <v>44</v>
      </c>
      <c r="E39" s="1" t="s">
        <v>69</v>
      </c>
      <c r="F39" s="19" t="s">
        <v>1175</v>
      </c>
      <c r="H39" s="4">
        <v>47</v>
      </c>
      <c r="I39" s="11">
        <v>1.8</v>
      </c>
      <c r="K39" s="12">
        <f t="shared" si="0"/>
        <v>0.25527250510330607</v>
      </c>
      <c r="L39" s="11">
        <f>GraphVibrio!B$45-(Vibrio!H39-GraphVibrio!B$41)/GraphVibrio!$B$40</f>
        <v>0.46393584908072594</v>
      </c>
      <c r="M39" t="s">
        <v>1179</v>
      </c>
      <c r="N39">
        <v>2002</v>
      </c>
      <c r="P39" s="10"/>
      <c r="R39" s="10"/>
      <c r="S39" s="10"/>
    </row>
    <row r="40" spans="1:19" x14ac:dyDescent="0.2">
      <c r="A40" s="1" t="s">
        <v>217</v>
      </c>
      <c r="B40" s="1" t="s">
        <v>1173</v>
      </c>
      <c r="C40" t="s">
        <v>1174</v>
      </c>
      <c r="D40" t="s">
        <v>44</v>
      </c>
      <c r="E40" s="1" t="s">
        <v>69</v>
      </c>
      <c r="F40" s="19" t="s">
        <v>1175</v>
      </c>
      <c r="H40" s="4">
        <v>47</v>
      </c>
      <c r="I40" s="11">
        <v>1.9</v>
      </c>
      <c r="K40" s="12">
        <f t="shared" si="0"/>
        <v>0.27875360095282892</v>
      </c>
      <c r="L40" s="11">
        <f>GraphVibrio!B$45-(Vibrio!H40-GraphVibrio!B$41)/GraphVibrio!$B$40</f>
        <v>0.46393584908072594</v>
      </c>
      <c r="M40" t="s">
        <v>1179</v>
      </c>
      <c r="N40">
        <v>2002</v>
      </c>
      <c r="O40" t="s">
        <v>1178</v>
      </c>
      <c r="P40" s="10"/>
      <c r="R40" s="10"/>
      <c r="S40" s="10"/>
    </row>
    <row r="41" spans="1:19" x14ac:dyDescent="0.2">
      <c r="A41" s="1" t="s">
        <v>217</v>
      </c>
      <c r="B41" s="1" t="s">
        <v>1173</v>
      </c>
      <c r="C41" t="s">
        <v>1176</v>
      </c>
      <c r="D41" t="s">
        <v>44</v>
      </c>
      <c r="E41" s="1" t="s">
        <v>69</v>
      </c>
      <c r="F41" s="19" t="s">
        <v>1175</v>
      </c>
      <c r="H41" s="4">
        <v>47</v>
      </c>
      <c r="I41" s="11">
        <v>1.7</v>
      </c>
      <c r="K41" s="12">
        <f t="shared" si="0"/>
        <v>0.23044892137827391</v>
      </c>
      <c r="L41" s="11">
        <f>GraphVibrio!B$45-(Vibrio!H41-GraphVibrio!B$41)/GraphVibrio!$B$40</f>
        <v>0.46393584908072594</v>
      </c>
      <c r="M41" t="s">
        <v>1179</v>
      </c>
      <c r="N41">
        <v>2002</v>
      </c>
      <c r="P41" s="10"/>
      <c r="R41" s="10"/>
      <c r="S41" s="10"/>
    </row>
    <row r="42" spans="1:19" x14ac:dyDescent="0.2">
      <c r="A42" s="1" t="s">
        <v>217</v>
      </c>
      <c r="B42" s="1" t="s">
        <v>1173</v>
      </c>
      <c r="C42" t="s">
        <v>1176</v>
      </c>
      <c r="D42" t="s">
        <v>44</v>
      </c>
      <c r="E42" s="1" t="s">
        <v>69</v>
      </c>
      <c r="F42" s="19" t="s">
        <v>1175</v>
      </c>
      <c r="H42" s="4">
        <v>47</v>
      </c>
      <c r="I42" s="11">
        <v>1.8</v>
      </c>
      <c r="K42" s="12">
        <f t="shared" si="0"/>
        <v>0.25527250510330607</v>
      </c>
      <c r="L42" s="11">
        <f>GraphVibrio!B$45-(Vibrio!H42-GraphVibrio!B$41)/GraphVibrio!$B$40</f>
        <v>0.46393584908072594</v>
      </c>
      <c r="M42" t="s">
        <v>1179</v>
      </c>
      <c r="N42">
        <v>2002</v>
      </c>
      <c r="O42" t="s">
        <v>1178</v>
      </c>
      <c r="P42" s="10"/>
      <c r="R42" s="10"/>
      <c r="S42" s="10"/>
    </row>
    <row r="43" spans="1:19" x14ac:dyDescent="0.2">
      <c r="A43" s="1" t="s">
        <v>217</v>
      </c>
      <c r="B43" s="1" t="s">
        <v>1173</v>
      </c>
      <c r="C43" t="s">
        <v>1177</v>
      </c>
      <c r="D43" t="s">
        <v>44</v>
      </c>
      <c r="E43" s="1" t="s">
        <v>69</v>
      </c>
      <c r="F43" s="19" t="s">
        <v>1175</v>
      </c>
      <c r="H43" s="4">
        <v>47</v>
      </c>
      <c r="I43" s="11">
        <v>1.9</v>
      </c>
      <c r="K43" s="12">
        <f t="shared" si="0"/>
        <v>0.27875360095282892</v>
      </c>
      <c r="L43" s="11">
        <f>GraphVibrio!B$45-(Vibrio!H43-GraphVibrio!B$41)/GraphVibrio!$B$40</f>
        <v>0.46393584908072594</v>
      </c>
      <c r="M43" t="s">
        <v>1179</v>
      </c>
      <c r="N43">
        <v>2002</v>
      </c>
      <c r="P43" s="10"/>
      <c r="R43" s="10"/>
      <c r="S43" s="10"/>
    </row>
    <row r="44" spans="1:19" x14ac:dyDescent="0.2">
      <c r="A44" s="1" t="s">
        <v>217</v>
      </c>
      <c r="B44" s="1" t="s">
        <v>1173</v>
      </c>
      <c r="C44" t="s">
        <v>1177</v>
      </c>
      <c r="D44" t="s">
        <v>44</v>
      </c>
      <c r="E44" s="1" t="s">
        <v>69</v>
      </c>
      <c r="F44" s="19" t="s">
        <v>1175</v>
      </c>
      <c r="H44" s="4">
        <v>47</v>
      </c>
      <c r="I44" s="11">
        <v>2.4</v>
      </c>
      <c r="K44" s="12">
        <f t="shared" si="0"/>
        <v>0.38021124171160603</v>
      </c>
      <c r="L44" s="11">
        <f>GraphVibrio!B$45-(Vibrio!H44-GraphVibrio!B$41)/GraphVibrio!$B$40</f>
        <v>0.46393584908072594</v>
      </c>
      <c r="M44" t="s">
        <v>1179</v>
      </c>
      <c r="N44">
        <v>2002</v>
      </c>
      <c r="O44" t="s">
        <v>1178</v>
      </c>
      <c r="P44" s="10"/>
      <c r="R44" s="10"/>
      <c r="S44" s="10"/>
    </row>
    <row r="45" spans="1:19" x14ac:dyDescent="0.2">
      <c r="A45" s="1"/>
      <c r="B45" s="1"/>
      <c r="E45" s="1"/>
      <c r="F45" s="1"/>
      <c r="K45" s="12"/>
      <c r="L45" s="11"/>
      <c r="M45" s="1"/>
      <c r="P45" s="10"/>
      <c r="R45" s="10"/>
      <c r="S45" s="10"/>
    </row>
    <row r="46" spans="1:19" x14ac:dyDescent="0.2">
      <c r="A46" s="1"/>
      <c r="B46" s="1"/>
      <c r="E46" s="1"/>
      <c r="F46" s="1"/>
      <c r="K46" s="12"/>
      <c r="L46" s="11"/>
      <c r="M46" s="1"/>
      <c r="R46" s="10"/>
      <c r="S46" s="10"/>
    </row>
    <row r="47" spans="1:19" x14ac:dyDescent="0.2">
      <c r="A47" s="1"/>
      <c r="B47" s="1"/>
      <c r="E47" s="1"/>
      <c r="F47" s="1"/>
      <c r="K47" s="12"/>
      <c r="L47" s="11"/>
      <c r="M47" s="1"/>
      <c r="R47" s="10"/>
      <c r="S47" s="10"/>
    </row>
    <row r="48" spans="1:19" x14ac:dyDescent="0.2">
      <c r="A48" s="1"/>
      <c r="B48" s="1"/>
      <c r="E48" s="1"/>
      <c r="F48" s="1"/>
      <c r="K48" s="12"/>
      <c r="L48" s="11"/>
      <c r="M48" s="1"/>
      <c r="R48" s="10"/>
      <c r="S48" s="10"/>
    </row>
    <row r="49" spans="1:19" x14ac:dyDescent="0.2">
      <c r="A49" s="1"/>
      <c r="B49" s="1"/>
      <c r="E49" s="1"/>
      <c r="F49" s="1"/>
      <c r="K49" s="12"/>
      <c r="L49" s="11"/>
      <c r="M49" s="1"/>
      <c r="R49" s="10"/>
      <c r="S49" s="10"/>
    </row>
    <row r="50" spans="1:19" x14ac:dyDescent="0.2">
      <c r="A50" s="1"/>
      <c r="B50" s="1"/>
      <c r="E50" s="1"/>
      <c r="F50" s="1"/>
      <c r="K50" s="12"/>
      <c r="L50" s="11"/>
      <c r="M50" s="1"/>
      <c r="R50" s="10"/>
      <c r="S50" s="10"/>
    </row>
    <row r="51" spans="1:19" x14ac:dyDescent="0.2">
      <c r="A51" s="1"/>
      <c r="B51" s="1"/>
      <c r="E51" s="1"/>
      <c r="F51" s="1"/>
      <c r="K51" s="12"/>
      <c r="L51" s="11"/>
      <c r="M51" s="1"/>
      <c r="R51" s="10"/>
      <c r="S51" s="10"/>
    </row>
    <row r="52" spans="1:19" x14ac:dyDescent="0.2">
      <c r="A52" s="1"/>
      <c r="B52" s="1"/>
      <c r="E52" s="1"/>
      <c r="F52" s="1"/>
      <c r="K52" s="12"/>
      <c r="L52" s="11"/>
      <c r="M52" s="1"/>
      <c r="R52" s="10"/>
      <c r="S52" s="10"/>
    </row>
    <row r="53" spans="1:19" x14ac:dyDescent="0.2">
      <c r="A53" s="1"/>
      <c r="B53" s="1"/>
      <c r="E53" s="1"/>
      <c r="F53" s="1"/>
      <c r="K53" s="12"/>
      <c r="L53" s="11"/>
      <c r="M53" s="1"/>
      <c r="R53" s="10"/>
      <c r="S53" s="10"/>
    </row>
    <row r="54" spans="1:19" x14ac:dyDescent="0.2">
      <c r="A54" s="1"/>
      <c r="B54" s="1"/>
      <c r="E54" s="1"/>
      <c r="F54" s="1"/>
      <c r="K54" s="12"/>
      <c r="L54" s="11"/>
      <c r="M54" s="1"/>
      <c r="R54" s="10"/>
      <c r="S54" s="10"/>
    </row>
    <row r="55" spans="1:19" x14ac:dyDescent="0.2">
      <c r="A55" s="1"/>
      <c r="B55" s="1"/>
      <c r="E55" s="1"/>
      <c r="F55" s="1"/>
      <c r="K55" s="12"/>
      <c r="L55" s="11"/>
      <c r="M55" s="1"/>
      <c r="R55" s="10"/>
      <c r="S55" s="10"/>
    </row>
    <row r="56" spans="1:19" x14ac:dyDescent="0.2">
      <c r="A56" s="1"/>
      <c r="B56" s="1"/>
      <c r="E56" s="1"/>
      <c r="F56" s="1"/>
      <c r="K56" s="12"/>
      <c r="L56" s="11"/>
      <c r="M56" s="1"/>
      <c r="R56" s="10"/>
      <c r="S56" s="10"/>
    </row>
    <row r="57" spans="1:19" x14ac:dyDescent="0.2">
      <c r="A57" s="1"/>
      <c r="B57" s="1"/>
      <c r="E57" s="1"/>
      <c r="F57" s="1"/>
      <c r="K57" s="12"/>
      <c r="L57" s="11"/>
      <c r="M57" s="1"/>
      <c r="R57" s="10"/>
      <c r="S57" s="10"/>
    </row>
    <row r="58" spans="1:19" x14ac:dyDescent="0.2">
      <c r="A58" s="1"/>
      <c r="B58" s="1"/>
      <c r="E58" s="1"/>
      <c r="F58" s="1"/>
      <c r="K58" s="12"/>
      <c r="L58" s="11"/>
      <c r="M58" s="1"/>
      <c r="R58" s="10"/>
      <c r="S58" s="10"/>
    </row>
    <row r="59" spans="1:19" x14ac:dyDescent="0.2">
      <c r="A59" s="1"/>
      <c r="B59" s="1"/>
      <c r="E59" s="1"/>
      <c r="F59" s="1"/>
      <c r="K59" s="12"/>
      <c r="L59" s="11"/>
      <c r="M59" s="1"/>
      <c r="R59" s="10"/>
      <c r="S59" s="10"/>
    </row>
    <row r="60" spans="1:19" x14ac:dyDescent="0.2">
      <c r="A60" s="1"/>
      <c r="B60" s="1"/>
      <c r="E60" s="1"/>
      <c r="F60" s="1"/>
      <c r="K60" s="12"/>
      <c r="L60" s="11"/>
      <c r="M60" s="1"/>
      <c r="R60" s="10"/>
      <c r="S60" s="10"/>
    </row>
    <row r="61" spans="1:19" x14ac:dyDescent="0.2">
      <c r="A61" s="1"/>
      <c r="B61" s="1"/>
      <c r="E61" s="1"/>
      <c r="F61" s="1"/>
      <c r="K61" s="12"/>
      <c r="L61" s="11"/>
      <c r="M61" s="1"/>
      <c r="R61" s="10"/>
      <c r="S61" s="10"/>
    </row>
    <row r="62" spans="1:19" x14ac:dyDescent="0.2">
      <c r="A62" s="1"/>
      <c r="B62" s="1"/>
      <c r="E62" s="1"/>
      <c r="F62" s="1"/>
      <c r="K62" s="12"/>
      <c r="L62" s="11"/>
      <c r="M62" s="1"/>
      <c r="R62" s="10"/>
      <c r="S62" s="10"/>
    </row>
    <row r="63" spans="1:19" x14ac:dyDescent="0.2">
      <c r="A63" s="1"/>
      <c r="B63" s="1"/>
      <c r="E63" s="1"/>
      <c r="F63" s="1"/>
      <c r="K63" s="12"/>
      <c r="L63" s="11"/>
      <c r="M63" s="1"/>
      <c r="R63" s="10"/>
      <c r="S63" s="10"/>
    </row>
    <row r="64" spans="1:19" x14ac:dyDescent="0.2">
      <c r="A64" s="1"/>
      <c r="B64" s="1"/>
      <c r="E64" s="1"/>
      <c r="F64" s="1"/>
      <c r="K64" s="12"/>
      <c r="L64" s="11"/>
      <c r="M64" s="1"/>
      <c r="R64" s="10"/>
      <c r="S64" s="10"/>
    </row>
    <row r="65" spans="1:13" x14ac:dyDescent="0.2">
      <c r="A65" s="1"/>
      <c r="B65" s="1"/>
      <c r="E65" s="1"/>
      <c r="F65" s="1"/>
      <c r="K65" s="12"/>
      <c r="L65" s="11"/>
      <c r="M65" s="1"/>
    </row>
    <row r="66" spans="1:13" x14ac:dyDescent="0.2">
      <c r="A66" s="1"/>
      <c r="B66" s="1"/>
      <c r="E66" s="1"/>
      <c r="F66" s="1"/>
      <c r="I66" s="9" t="s">
        <v>902</v>
      </c>
      <c r="J66" s="7"/>
      <c r="K66" s="12">
        <f>GraphVibrio!B91</f>
        <v>0</v>
      </c>
      <c r="L66" s="11"/>
      <c r="M66" s="1"/>
    </row>
    <row r="67" spans="1:13" x14ac:dyDescent="0.2">
      <c r="A67" s="1"/>
      <c r="B67" s="1"/>
      <c r="E67" s="1"/>
      <c r="F67" s="1"/>
      <c r="I67" s="9"/>
      <c r="J67" s="7"/>
      <c r="K67" s="12"/>
      <c r="L67" s="11"/>
      <c r="M67" s="1"/>
    </row>
    <row r="68" spans="1:13" x14ac:dyDescent="0.2">
      <c r="A68" s="1"/>
      <c r="B68" s="1"/>
      <c r="E68" s="1"/>
      <c r="F68" s="1"/>
      <c r="I68" s="9"/>
      <c r="J68" s="7"/>
      <c r="K68" s="12"/>
      <c r="L68" s="11"/>
      <c r="M68" s="1"/>
    </row>
    <row r="69" spans="1:13" x14ac:dyDescent="0.2">
      <c r="A69" s="1"/>
      <c r="B69" s="1"/>
      <c r="E69" s="1"/>
      <c r="F69" s="1"/>
      <c r="I69" s="9"/>
      <c r="J69" s="7"/>
      <c r="K69" s="12"/>
      <c r="L69" s="11"/>
      <c r="M69" s="1"/>
    </row>
    <row r="70" spans="1:13" x14ac:dyDescent="0.2">
      <c r="A70" s="1"/>
      <c r="B70" s="1"/>
      <c r="E70" s="1"/>
      <c r="F70" s="1"/>
      <c r="I70" s="9"/>
      <c r="J70" s="7"/>
      <c r="K70" s="12"/>
      <c r="L70" s="11"/>
      <c r="M70" s="1"/>
    </row>
    <row r="71" spans="1:13" x14ac:dyDescent="0.2">
      <c r="A71" s="1"/>
      <c r="B71" s="1"/>
      <c r="E71" s="1"/>
      <c r="F71" s="1"/>
      <c r="I71" s="9"/>
      <c r="J71" s="7"/>
      <c r="K71" s="12"/>
      <c r="L71" s="11"/>
      <c r="M71" s="1"/>
    </row>
    <row r="72" spans="1:13" x14ac:dyDescent="0.2">
      <c r="A72" s="1"/>
      <c r="B72" s="1"/>
      <c r="E72" s="1"/>
      <c r="F72" s="1"/>
      <c r="I72" s="9"/>
      <c r="J72" s="7"/>
      <c r="K72" s="12"/>
      <c r="L72" s="11"/>
      <c r="M72" s="1"/>
    </row>
    <row r="73" spans="1:13" x14ac:dyDescent="0.2">
      <c r="A73" s="1"/>
      <c r="B73" s="1"/>
      <c r="E73" s="1"/>
      <c r="F73" s="1"/>
      <c r="I73" s="9"/>
      <c r="J73" s="7"/>
      <c r="K73" s="12"/>
      <c r="L73" s="11"/>
      <c r="M73" s="1"/>
    </row>
    <row r="74" spans="1:13" x14ac:dyDescent="0.2">
      <c r="A74" s="1"/>
      <c r="B74" s="1"/>
      <c r="E74" s="1"/>
      <c r="F74" s="1"/>
      <c r="K74" s="12"/>
      <c r="L74" s="11"/>
      <c r="M74" s="1"/>
    </row>
    <row r="75" spans="1:13" x14ac:dyDescent="0.2">
      <c r="A75" s="1"/>
      <c r="B75" s="1"/>
      <c r="E75" s="1"/>
      <c r="F75" s="1"/>
      <c r="K75" s="12"/>
      <c r="L75" s="11"/>
      <c r="M75" s="1"/>
    </row>
    <row r="76" spans="1:13" x14ac:dyDescent="0.2">
      <c r="A76" s="1"/>
      <c r="B76" s="1"/>
      <c r="E76" s="1"/>
      <c r="F76" s="1"/>
      <c r="K76" s="12"/>
      <c r="L76" s="11"/>
      <c r="M76" s="1"/>
    </row>
    <row r="77" spans="1:13" x14ac:dyDescent="0.2">
      <c r="A77" s="1"/>
      <c r="B77" s="1"/>
      <c r="E77" s="1"/>
      <c r="F77" s="1"/>
      <c r="K77" s="12"/>
      <c r="L77" s="11"/>
      <c r="M77" s="1"/>
    </row>
    <row r="78" spans="1:13" x14ac:dyDescent="0.2">
      <c r="A78" s="1"/>
      <c r="B78" s="1"/>
      <c r="E78" s="1"/>
      <c r="F78" s="19"/>
      <c r="I78" s="9"/>
      <c r="J78" s="7"/>
      <c r="K78" s="12"/>
      <c r="L78" s="11"/>
      <c r="M78" s="2"/>
    </row>
    <row r="79" spans="1:13" x14ac:dyDescent="0.2">
      <c r="A79" s="1"/>
      <c r="B79" s="1"/>
      <c r="E79" s="1"/>
      <c r="F79" s="19"/>
      <c r="K79" s="12"/>
      <c r="L79" s="11"/>
      <c r="M79" s="2"/>
    </row>
    <row r="80" spans="1:13" x14ac:dyDescent="0.2">
      <c r="A80" s="1"/>
      <c r="B80" s="1"/>
      <c r="E80" s="1"/>
      <c r="F80" s="19"/>
      <c r="K80" s="12"/>
      <c r="L80" s="11"/>
      <c r="M80" s="2"/>
    </row>
    <row r="81" spans="1:13" x14ac:dyDescent="0.2">
      <c r="A81" s="1"/>
      <c r="B81" s="1"/>
      <c r="E81" s="1"/>
      <c r="F81" s="19"/>
      <c r="K81" s="12"/>
      <c r="L81" s="11"/>
      <c r="M81" s="2"/>
    </row>
    <row r="82" spans="1:13" x14ac:dyDescent="0.2">
      <c r="A82" s="1"/>
      <c r="B82" s="1"/>
      <c r="E82" s="1"/>
      <c r="F82" s="19"/>
      <c r="K82" s="12"/>
      <c r="L82" s="11"/>
      <c r="M82" s="2"/>
    </row>
    <row r="83" spans="1:13" x14ac:dyDescent="0.2">
      <c r="A83" s="1"/>
      <c r="B83" s="1"/>
      <c r="E83" s="1"/>
      <c r="F83" s="19"/>
      <c r="I83" s="9"/>
      <c r="J83" s="5"/>
      <c r="K83" s="12"/>
      <c r="L83" s="11"/>
      <c r="M83" s="2"/>
    </row>
    <row r="84" spans="1:13" x14ac:dyDescent="0.2">
      <c r="A84" s="1"/>
      <c r="B84" s="1"/>
      <c r="E84" s="1"/>
      <c r="F84" s="19"/>
      <c r="K84" s="12"/>
      <c r="L84" s="11"/>
      <c r="M84" s="2"/>
    </row>
    <row r="85" spans="1:13" x14ac:dyDescent="0.2">
      <c r="A85" s="1"/>
      <c r="B85" s="1"/>
      <c r="E85" s="1"/>
      <c r="F85" s="19"/>
      <c r="K85" s="12"/>
      <c r="L85" s="11"/>
      <c r="M85" s="2"/>
    </row>
    <row r="86" spans="1:13" x14ac:dyDescent="0.2">
      <c r="A86" s="1"/>
      <c r="B86" s="1"/>
      <c r="E86" s="1"/>
      <c r="F86" s="19"/>
      <c r="K86" s="12"/>
      <c r="L86" s="11"/>
      <c r="M86" s="2"/>
    </row>
    <row r="87" spans="1:13" x14ac:dyDescent="0.2">
      <c r="A87" s="1"/>
      <c r="B87" s="1"/>
      <c r="E87" s="1"/>
      <c r="F87" s="19"/>
      <c r="K87" s="12"/>
      <c r="L87" s="11"/>
      <c r="M87" s="2"/>
    </row>
    <row r="88" spans="1:13" x14ac:dyDescent="0.2">
      <c r="A88" s="1"/>
      <c r="B88" s="1"/>
      <c r="E88" s="1"/>
      <c r="F88" s="19"/>
      <c r="K88" s="12"/>
      <c r="L88" s="11"/>
      <c r="M88" s="2"/>
    </row>
    <row r="89" spans="1:13" x14ac:dyDescent="0.2">
      <c r="A89" s="1"/>
      <c r="B89" s="1"/>
      <c r="E89" s="1"/>
      <c r="F89" s="19"/>
      <c r="K89" s="12"/>
      <c r="L89" s="11"/>
      <c r="M89" s="2"/>
    </row>
    <row r="90" spans="1:13" x14ac:dyDescent="0.2">
      <c r="A90" s="1"/>
      <c r="B90" s="1"/>
      <c r="E90" s="1"/>
      <c r="F90" s="19"/>
      <c r="K90" s="12"/>
      <c r="L90" s="11"/>
      <c r="M90" s="2"/>
    </row>
    <row r="91" spans="1:13" x14ac:dyDescent="0.2">
      <c r="A91" s="1"/>
      <c r="B91" s="1"/>
      <c r="E91" s="1"/>
      <c r="F91" s="19"/>
      <c r="I91" s="9"/>
      <c r="J91" s="7"/>
      <c r="K91" s="12"/>
      <c r="L91" s="11"/>
      <c r="M91" s="2"/>
    </row>
    <row r="92" spans="1:13" x14ac:dyDescent="0.2">
      <c r="A92" s="1"/>
      <c r="B92" s="1"/>
      <c r="E92" s="1"/>
      <c r="F92" s="19"/>
      <c r="K92" s="12"/>
      <c r="L92" s="11"/>
      <c r="M92" s="2"/>
    </row>
    <row r="93" spans="1:13" x14ac:dyDescent="0.2">
      <c r="A93" s="1"/>
      <c r="B93" s="1"/>
      <c r="E93" s="1"/>
      <c r="F93" s="19"/>
      <c r="K93" s="12"/>
      <c r="L93" s="11"/>
      <c r="M93" s="2"/>
    </row>
    <row r="94" spans="1:13" x14ac:dyDescent="0.2">
      <c r="A94" s="1"/>
      <c r="B94" s="1"/>
      <c r="E94" s="1"/>
      <c r="F94" s="19"/>
      <c r="K94" s="12"/>
      <c r="L94" s="11"/>
      <c r="M94" s="2"/>
    </row>
    <row r="95" spans="1:13" x14ac:dyDescent="0.2">
      <c r="A95" s="1"/>
      <c r="B95" s="1"/>
      <c r="E95" s="1"/>
      <c r="F95" s="19"/>
      <c r="K95" s="12"/>
      <c r="L95" s="11"/>
      <c r="M95" s="2"/>
    </row>
    <row r="96" spans="1:13" x14ac:dyDescent="0.2">
      <c r="A96" s="1"/>
      <c r="B96" s="1"/>
      <c r="E96" s="1"/>
      <c r="F96" s="19"/>
      <c r="K96" s="12"/>
      <c r="L96" s="11"/>
      <c r="M96" s="2"/>
    </row>
    <row r="97" spans="1:13" x14ac:dyDescent="0.2">
      <c r="A97" s="1"/>
      <c r="B97" s="1"/>
      <c r="E97" s="1"/>
      <c r="F97" s="19"/>
      <c r="I97" s="9"/>
      <c r="J97" s="5"/>
      <c r="K97" s="12"/>
      <c r="L97" s="11"/>
      <c r="M97" s="2"/>
    </row>
    <row r="98" spans="1:13" x14ac:dyDescent="0.2">
      <c r="A98" s="1"/>
      <c r="B98" s="1"/>
      <c r="E98" s="1"/>
      <c r="F98" s="19"/>
      <c r="K98" s="12"/>
      <c r="L98" s="11"/>
      <c r="M98" s="2"/>
    </row>
    <row r="99" spans="1:13" x14ac:dyDescent="0.2">
      <c r="A99" s="1"/>
      <c r="B99" s="1"/>
      <c r="E99" s="1"/>
      <c r="F99" s="19"/>
      <c r="K99" s="12"/>
      <c r="L99" s="11"/>
      <c r="M99" s="2"/>
    </row>
    <row r="100" spans="1:13" x14ac:dyDescent="0.2">
      <c r="A100" s="1"/>
      <c r="B100" s="1"/>
      <c r="E100" s="1"/>
      <c r="F100" s="19"/>
      <c r="K100" s="12"/>
      <c r="L100" s="11"/>
      <c r="M100" s="2"/>
    </row>
    <row r="101" spans="1:13" x14ac:dyDescent="0.2">
      <c r="A101" s="1"/>
      <c r="B101" s="1"/>
      <c r="E101" s="1"/>
      <c r="F101" s="19"/>
      <c r="K101" s="12"/>
      <c r="L101" s="11"/>
      <c r="M101" s="2"/>
    </row>
    <row r="102" spans="1:13" x14ac:dyDescent="0.2">
      <c r="A102" s="1"/>
      <c r="B102" s="1"/>
      <c r="E102" s="1"/>
      <c r="F102" s="19"/>
      <c r="K102" s="12"/>
      <c r="L102" s="11"/>
      <c r="M102" s="2"/>
    </row>
    <row r="103" spans="1:13" x14ac:dyDescent="0.2">
      <c r="A103" s="1"/>
      <c r="B103" s="1"/>
      <c r="E103" s="1"/>
      <c r="F103" s="19"/>
      <c r="I103" s="9"/>
      <c r="J103" s="7"/>
      <c r="K103" s="12"/>
      <c r="L103" s="11"/>
      <c r="M103" s="2"/>
    </row>
    <row r="104" spans="1:13" x14ac:dyDescent="0.2">
      <c r="A104" s="1"/>
      <c r="B104" s="1"/>
      <c r="E104" s="1"/>
      <c r="F104" s="19"/>
      <c r="K104" s="12"/>
      <c r="L104" s="11"/>
      <c r="M104" s="2"/>
    </row>
    <row r="105" spans="1:13" x14ac:dyDescent="0.2">
      <c r="A105" s="1"/>
      <c r="B105" s="1"/>
      <c r="E105" s="1"/>
      <c r="F105" s="19"/>
      <c r="K105" s="12"/>
      <c r="L105" s="11"/>
      <c r="M105" s="2"/>
    </row>
    <row r="106" spans="1:13" x14ac:dyDescent="0.2">
      <c r="A106" s="1"/>
      <c r="B106" s="1"/>
      <c r="E106" s="1"/>
      <c r="F106" s="19"/>
      <c r="K106" s="12"/>
      <c r="L106" s="11"/>
      <c r="M106" s="2"/>
    </row>
    <row r="107" spans="1:13" x14ac:dyDescent="0.2">
      <c r="A107" s="1"/>
      <c r="B107" s="1"/>
      <c r="E107" s="1"/>
      <c r="F107" s="19"/>
      <c r="I107" s="9"/>
      <c r="J107" s="7"/>
      <c r="K107" s="12"/>
      <c r="L107" s="11"/>
      <c r="M107" s="2"/>
    </row>
    <row r="108" spans="1:13" x14ac:dyDescent="0.2">
      <c r="A108" s="1"/>
      <c r="B108" s="1"/>
      <c r="E108" s="1"/>
      <c r="F108" s="19"/>
      <c r="I108" s="9"/>
      <c r="J108" s="7"/>
      <c r="K108" s="12"/>
      <c r="L108" s="11"/>
      <c r="M108" s="2"/>
    </row>
    <row r="109" spans="1:13" x14ac:dyDescent="0.2">
      <c r="A109" s="1"/>
      <c r="B109" s="1"/>
      <c r="E109" s="1"/>
      <c r="F109" s="19"/>
      <c r="K109" s="12"/>
      <c r="L109" s="11"/>
      <c r="M109" s="2"/>
    </row>
    <row r="110" spans="1:13" x14ac:dyDescent="0.2">
      <c r="A110" s="1"/>
      <c r="B110" s="1"/>
      <c r="E110" s="1"/>
      <c r="F110" s="19"/>
      <c r="K110" s="12"/>
      <c r="L110" s="11"/>
      <c r="M110" s="2"/>
    </row>
    <row r="111" spans="1:13" x14ac:dyDescent="0.2">
      <c r="A111" s="1"/>
      <c r="B111" s="1"/>
      <c r="E111" s="1"/>
      <c r="F111" s="19"/>
      <c r="K111" s="12"/>
      <c r="L111" s="11"/>
      <c r="M111" s="2"/>
    </row>
    <row r="112" spans="1:13" x14ac:dyDescent="0.2">
      <c r="A112" s="1"/>
      <c r="B112" s="1"/>
      <c r="E112" s="1"/>
      <c r="K112" s="12"/>
      <c r="L112" s="11"/>
      <c r="M112" s="2"/>
    </row>
    <row r="113" spans="1:13" x14ac:dyDescent="0.2">
      <c r="A113" s="1"/>
      <c r="B113" s="1"/>
      <c r="E113" s="1"/>
      <c r="I113" s="9"/>
      <c r="J113" s="5"/>
      <c r="K113" s="12"/>
      <c r="L113" s="11"/>
      <c r="M113" s="2"/>
    </row>
    <row r="114" spans="1:13" x14ac:dyDescent="0.2">
      <c r="A114" s="1"/>
      <c r="B114" s="1"/>
      <c r="E114" s="1"/>
      <c r="K114" s="12"/>
      <c r="L114" s="11"/>
      <c r="M114" s="2"/>
    </row>
    <row r="115" spans="1:13" x14ac:dyDescent="0.2">
      <c r="A115" s="1"/>
      <c r="B115" s="1"/>
      <c r="E115" s="1"/>
      <c r="K115" s="12"/>
      <c r="L115" s="11"/>
      <c r="M115" s="2"/>
    </row>
    <row r="116" spans="1:13" x14ac:dyDescent="0.2">
      <c r="A116" s="1"/>
      <c r="B116" s="1"/>
      <c r="E116" s="1"/>
      <c r="K116" s="12"/>
      <c r="L116" s="11"/>
      <c r="M116" s="2"/>
    </row>
    <row r="117" spans="1:13" x14ac:dyDescent="0.2">
      <c r="A117" s="1"/>
      <c r="B117" s="1"/>
      <c r="E117" s="1"/>
      <c r="F117" s="1"/>
      <c r="K117" s="12"/>
      <c r="L117" s="11"/>
      <c r="M117" s="1"/>
    </row>
    <row r="118" spans="1:13" x14ac:dyDescent="0.2">
      <c r="A118" s="1"/>
      <c r="B118" s="1"/>
      <c r="E118" s="1"/>
      <c r="F118" s="1"/>
      <c r="K118" s="12"/>
      <c r="L118" s="11"/>
      <c r="M118" s="2"/>
    </row>
    <row r="119" spans="1:13" x14ac:dyDescent="0.2">
      <c r="A119" s="1"/>
      <c r="B119" s="1"/>
      <c r="E119" s="1"/>
      <c r="F119" s="1"/>
      <c r="K119" s="12"/>
      <c r="L119" s="11"/>
      <c r="M119" s="2"/>
    </row>
    <row r="120" spans="1:13" x14ac:dyDescent="0.2">
      <c r="A120" s="1"/>
      <c r="B120" s="1"/>
      <c r="E120" s="1"/>
      <c r="F120" s="1"/>
      <c r="K120" s="12"/>
      <c r="L120" s="11"/>
      <c r="M120" s="2"/>
    </row>
    <row r="121" spans="1:13" x14ac:dyDescent="0.2">
      <c r="A121" s="1"/>
      <c r="B121" s="1"/>
      <c r="E121" s="1"/>
      <c r="F121" s="1"/>
      <c r="K121" s="12"/>
      <c r="L121" s="11"/>
      <c r="M121" s="2"/>
    </row>
    <row r="122" spans="1:13" x14ac:dyDescent="0.2">
      <c r="A122" s="1"/>
      <c r="B122" s="1"/>
      <c r="E122" s="1"/>
      <c r="F122" s="1"/>
      <c r="K122" s="12"/>
      <c r="L122" s="11"/>
      <c r="M122" s="2"/>
    </row>
    <row r="123" spans="1:13" x14ac:dyDescent="0.2">
      <c r="A123" s="1"/>
      <c r="B123" s="1"/>
      <c r="E123" s="1"/>
      <c r="K123" s="12"/>
      <c r="L123" s="11"/>
      <c r="M123" s="1"/>
    </row>
    <row r="124" spans="1:13" x14ac:dyDescent="0.2">
      <c r="A124" s="1"/>
      <c r="B124" s="1"/>
      <c r="E124" s="1"/>
      <c r="H124" s="23"/>
      <c r="I124" s="4"/>
      <c r="K124" s="12"/>
      <c r="L124" s="11"/>
      <c r="M124" s="1"/>
    </row>
    <row r="125" spans="1:13" x14ac:dyDescent="0.2">
      <c r="A125" s="1"/>
      <c r="B125" s="1"/>
      <c r="E125" s="1"/>
      <c r="F125" s="1"/>
      <c r="K125" s="12"/>
      <c r="L125" s="11"/>
      <c r="M125" s="1"/>
    </row>
    <row r="126" spans="1:13" x14ac:dyDescent="0.2">
      <c r="A126" s="1"/>
      <c r="B126" s="1"/>
      <c r="E126" s="1"/>
      <c r="F126" s="1"/>
      <c r="K126" s="12"/>
      <c r="L126" s="11"/>
      <c r="M126" s="1"/>
    </row>
    <row r="127" spans="1:13" x14ac:dyDescent="0.2">
      <c r="A127" s="1"/>
      <c r="B127" s="1"/>
      <c r="E127" s="1"/>
      <c r="K127" s="12"/>
      <c r="L127" s="11"/>
      <c r="M127" s="1"/>
    </row>
    <row r="128" spans="1:13" x14ac:dyDescent="0.2">
      <c r="A128" s="1"/>
      <c r="B128" s="1"/>
      <c r="E128" s="1"/>
      <c r="F128" s="1"/>
      <c r="K128" s="12"/>
      <c r="L128" s="11"/>
      <c r="M128" s="1"/>
    </row>
    <row r="129" spans="1:13" x14ac:dyDescent="0.2">
      <c r="A129" s="1"/>
      <c r="B129" s="1"/>
      <c r="E129" s="1"/>
      <c r="F129" s="1"/>
      <c r="K129" s="12"/>
      <c r="L129" s="11"/>
      <c r="M129" s="1"/>
    </row>
    <row r="130" spans="1:13" x14ac:dyDescent="0.2">
      <c r="A130" s="1"/>
      <c r="B130" s="1"/>
      <c r="E130" s="1"/>
      <c r="K130" s="12"/>
      <c r="L130" s="11"/>
      <c r="M130" s="1"/>
    </row>
    <row r="131" spans="1:13" x14ac:dyDescent="0.2">
      <c r="A131" s="1"/>
      <c r="B131" s="1"/>
      <c r="E131" s="1"/>
      <c r="K131" s="12"/>
      <c r="L131" s="11"/>
      <c r="M131" s="1"/>
    </row>
    <row r="132" spans="1:13" x14ac:dyDescent="0.2">
      <c r="A132" s="1"/>
      <c r="B132" s="1"/>
      <c r="E132" s="1"/>
      <c r="F132" s="1"/>
      <c r="K132" s="12"/>
      <c r="L132" s="11"/>
      <c r="M132" s="1"/>
    </row>
    <row r="133" spans="1:13" x14ac:dyDescent="0.2">
      <c r="A133" s="1"/>
      <c r="B133" s="1"/>
      <c r="E133" s="1"/>
      <c r="F133" s="1"/>
      <c r="K133" s="12"/>
      <c r="L133" s="11"/>
      <c r="M133" s="1"/>
    </row>
    <row r="134" spans="1:13" x14ac:dyDescent="0.2">
      <c r="A134" s="1"/>
      <c r="B134" s="1"/>
      <c r="E134" s="1"/>
      <c r="F134" s="1"/>
      <c r="K134" s="12"/>
      <c r="L134" s="11"/>
      <c r="M134" s="1"/>
    </row>
    <row r="135" spans="1:13" x14ac:dyDescent="0.2">
      <c r="A135" s="1"/>
      <c r="B135" s="1"/>
      <c r="E135" s="1"/>
      <c r="F135" s="1"/>
      <c r="I135" s="9"/>
      <c r="J135" s="5"/>
      <c r="K135" s="12"/>
      <c r="L135" s="11"/>
      <c r="M135" s="1"/>
    </row>
    <row r="136" spans="1:13" x14ac:dyDescent="0.2">
      <c r="A136" s="1"/>
      <c r="B136" s="1"/>
      <c r="E136" s="1"/>
      <c r="K136" s="12"/>
      <c r="L136" s="11"/>
      <c r="M136" s="1"/>
    </row>
    <row r="137" spans="1:13" x14ac:dyDescent="0.2">
      <c r="A137" s="1"/>
      <c r="B137" s="1"/>
      <c r="E137" s="1"/>
      <c r="K137" s="12"/>
      <c r="L137" s="11"/>
      <c r="M137" s="1"/>
    </row>
    <row r="138" spans="1:13" x14ac:dyDescent="0.2">
      <c r="A138" s="1"/>
      <c r="B138" s="1"/>
      <c r="E138" s="1"/>
      <c r="K138" s="12"/>
      <c r="L138" s="11"/>
      <c r="M138" s="1"/>
    </row>
    <row r="139" spans="1:13" x14ac:dyDescent="0.2">
      <c r="A139" s="1"/>
      <c r="B139" s="1"/>
      <c r="E139" s="1"/>
      <c r="K139" s="12"/>
      <c r="L139" s="11"/>
      <c r="M139" s="1"/>
    </row>
    <row r="140" spans="1:13" x14ac:dyDescent="0.2">
      <c r="A140" s="1"/>
      <c r="B140" s="1"/>
      <c r="E140" s="1"/>
      <c r="K140" s="12"/>
      <c r="L140" s="11"/>
      <c r="M140" s="1"/>
    </row>
    <row r="141" spans="1:13" x14ac:dyDescent="0.2">
      <c r="A141" s="1"/>
      <c r="B141" s="1"/>
      <c r="E141" s="1"/>
      <c r="K141" s="12"/>
      <c r="L141" s="11"/>
      <c r="M141" s="1"/>
    </row>
    <row r="142" spans="1:13" x14ac:dyDescent="0.2">
      <c r="A142" s="1"/>
      <c r="B142" s="1"/>
      <c r="F142" s="1"/>
      <c r="K142" s="12"/>
      <c r="L142" s="11"/>
      <c r="M142" s="1"/>
    </row>
    <row r="143" spans="1:13" x14ac:dyDescent="0.2">
      <c r="A143" s="1"/>
      <c r="B143" s="1"/>
      <c r="F143" s="1"/>
      <c r="K143" s="12"/>
      <c r="L143" s="11"/>
      <c r="M143" s="1"/>
    </row>
    <row r="144" spans="1:13" x14ac:dyDescent="0.2">
      <c r="A144" s="1"/>
      <c r="B144" s="1"/>
      <c r="F144" s="1"/>
      <c r="K144" s="12"/>
      <c r="L144" s="11"/>
      <c r="M144" s="1"/>
    </row>
    <row r="145" spans="1:13" x14ac:dyDescent="0.2">
      <c r="A145" s="1"/>
      <c r="B145" s="1"/>
      <c r="F145" s="1"/>
      <c r="K145" s="12"/>
      <c r="L145" s="11"/>
      <c r="M145" s="1"/>
    </row>
    <row r="146" spans="1:13" x14ac:dyDescent="0.2">
      <c r="A146" s="1"/>
      <c r="B146" s="1"/>
      <c r="E146" s="1"/>
      <c r="K146" s="12"/>
      <c r="L146" s="11"/>
      <c r="M146" s="2"/>
    </row>
    <row r="147" spans="1:13" x14ac:dyDescent="0.2">
      <c r="A147" s="1"/>
      <c r="B147" s="1"/>
      <c r="E147" s="1"/>
      <c r="K147" s="12"/>
      <c r="L147" s="11"/>
      <c r="M147" s="2"/>
    </row>
    <row r="148" spans="1:13" x14ac:dyDescent="0.2">
      <c r="A148" s="1"/>
      <c r="B148" s="1"/>
      <c r="E148" s="1"/>
      <c r="K148" s="12"/>
      <c r="L148" s="11"/>
      <c r="M148" s="2"/>
    </row>
    <row r="149" spans="1:13" x14ac:dyDescent="0.2">
      <c r="A149" s="1"/>
      <c r="B149" s="1"/>
      <c r="E149" s="1"/>
      <c r="K149" s="12"/>
      <c r="L149" s="11"/>
      <c r="M149" s="2"/>
    </row>
    <row r="150" spans="1:13" x14ac:dyDescent="0.2">
      <c r="A150" s="1"/>
      <c r="B150" s="1"/>
      <c r="E150" s="1"/>
      <c r="K150" s="12"/>
      <c r="L150" s="11"/>
      <c r="M150" s="2"/>
    </row>
    <row r="151" spans="1:13" x14ac:dyDescent="0.2">
      <c r="A151" s="1"/>
      <c r="B151" s="1"/>
      <c r="E151" s="1"/>
      <c r="F151" s="1"/>
      <c r="K151" s="12"/>
      <c r="L151" s="11"/>
      <c r="M151" s="2"/>
    </row>
    <row r="152" spans="1:13" x14ac:dyDescent="0.2">
      <c r="A152" s="1"/>
      <c r="B152" s="1"/>
      <c r="E152" s="1"/>
      <c r="F152" s="1"/>
      <c r="I152" s="4"/>
      <c r="K152" s="12"/>
      <c r="L152" s="11"/>
      <c r="M152" s="2"/>
    </row>
    <row r="153" spans="1:13" x14ac:dyDescent="0.2">
      <c r="A153" s="1"/>
      <c r="B153" s="1"/>
      <c r="E153" s="1"/>
      <c r="F153" s="1"/>
      <c r="I153" s="4"/>
      <c r="K153" s="12"/>
      <c r="L153" s="11"/>
      <c r="M153" s="2"/>
    </row>
    <row r="154" spans="1:13" x14ac:dyDescent="0.2">
      <c r="A154" s="1"/>
      <c r="B154" s="1"/>
      <c r="E154" s="1"/>
      <c r="F154" s="1"/>
      <c r="K154" s="12"/>
      <c r="L154" s="11"/>
      <c r="M154" s="2"/>
    </row>
    <row r="155" spans="1:13" x14ac:dyDescent="0.2">
      <c r="A155" s="1"/>
      <c r="B155" s="1"/>
      <c r="E155" s="1"/>
      <c r="F155" s="1"/>
      <c r="K155" s="12"/>
      <c r="L155" s="11"/>
      <c r="M155" s="2"/>
    </row>
    <row r="156" spans="1:13" x14ac:dyDescent="0.2">
      <c r="A156" s="1"/>
      <c r="B156" s="1"/>
      <c r="E156" s="1"/>
      <c r="F156" s="1"/>
      <c r="K156" s="12"/>
      <c r="L156" s="11"/>
      <c r="M156" s="2"/>
    </row>
    <row r="157" spans="1:13" x14ac:dyDescent="0.2">
      <c r="A157" s="1"/>
      <c r="B157" s="1"/>
      <c r="E157" s="1"/>
      <c r="F157" s="1"/>
      <c r="K157" s="12"/>
      <c r="L157" s="11"/>
      <c r="M157" s="2"/>
    </row>
    <row r="158" spans="1:13" x14ac:dyDescent="0.2">
      <c r="A158" s="1"/>
      <c r="B158" s="1"/>
      <c r="E158" s="1"/>
      <c r="F158" s="1"/>
      <c r="K158" s="12"/>
      <c r="L158" s="11"/>
      <c r="M158" s="2"/>
    </row>
    <row r="159" spans="1:13" x14ac:dyDescent="0.2">
      <c r="A159" s="1"/>
      <c r="B159" s="1"/>
      <c r="E159" s="1"/>
      <c r="F159" s="1"/>
      <c r="K159" s="12"/>
      <c r="L159" s="11"/>
      <c r="M159" s="2"/>
    </row>
    <row r="160" spans="1:13" x14ac:dyDescent="0.2">
      <c r="A160" s="1"/>
      <c r="B160" s="1"/>
      <c r="E160" s="1"/>
      <c r="F160" s="1"/>
      <c r="K160" s="12"/>
      <c r="L160" s="11"/>
      <c r="M160" s="2"/>
    </row>
    <row r="161" spans="1:13" x14ac:dyDescent="0.2">
      <c r="A161" s="1"/>
      <c r="B161" s="1"/>
      <c r="E161" s="1"/>
      <c r="F161" s="1"/>
      <c r="K161" s="12"/>
      <c r="L161" s="11"/>
      <c r="M161" s="2"/>
    </row>
    <row r="162" spans="1:13" x14ac:dyDescent="0.2">
      <c r="A162" s="1"/>
      <c r="B162" s="1"/>
      <c r="E162" s="1"/>
      <c r="F162" s="1"/>
      <c r="K162" s="12"/>
      <c r="L162" s="11"/>
      <c r="M162" s="2"/>
    </row>
    <row r="163" spans="1:13" x14ac:dyDescent="0.2">
      <c r="A163" s="1"/>
      <c r="B163" s="1"/>
      <c r="E163" s="1"/>
      <c r="F163" s="1"/>
      <c r="K163" s="12"/>
      <c r="L163" s="11"/>
      <c r="M163" s="2"/>
    </row>
    <row r="164" spans="1:13" x14ac:dyDescent="0.2">
      <c r="A164" s="1"/>
      <c r="B164" s="1"/>
      <c r="E164" s="1"/>
      <c r="F164" s="1"/>
      <c r="K164" s="12"/>
      <c r="L164" s="11"/>
      <c r="M164" s="2"/>
    </row>
    <row r="165" spans="1:13" x14ac:dyDescent="0.2">
      <c r="A165" s="1"/>
      <c r="B165" s="1"/>
      <c r="E165" s="1"/>
      <c r="F165" s="1"/>
      <c r="K165" s="12"/>
      <c r="L165" s="11"/>
      <c r="M165" s="2"/>
    </row>
    <row r="166" spans="1:13" x14ac:dyDescent="0.2">
      <c r="A166" s="1"/>
      <c r="B166" s="1"/>
      <c r="E166" s="1"/>
      <c r="F166" s="1"/>
      <c r="K166" s="12"/>
      <c r="L166" s="11"/>
      <c r="M166" s="2"/>
    </row>
    <row r="167" spans="1:13" x14ac:dyDescent="0.2">
      <c r="A167" s="1"/>
      <c r="B167" s="1"/>
      <c r="E167" s="1"/>
      <c r="F167" s="1"/>
      <c r="K167" s="12"/>
      <c r="L167" s="11"/>
      <c r="M167" s="2"/>
    </row>
    <row r="168" spans="1:13" x14ac:dyDescent="0.2">
      <c r="A168" s="1"/>
      <c r="B168" s="1"/>
      <c r="E168" s="1"/>
      <c r="F168" s="1"/>
      <c r="K168" s="12"/>
      <c r="L168" s="11"/>
      <c r="M168" s="2"/>
    </row>
    <row r="169" spans="1:13" x14ac:dyDescent="0.2">
      <c r="A169" s="1"/>
      <c r="B169" s="1"/>
      <c r="E169" s="1"/>
      <c r="F169" s="1"/>
      <c r="K169" s="12"/>
      <c r="L169" s="11"/>
      <c r="M169" s="2"/>
    </row>
    <row r="170" spans="1:13" x14ac:dyDescent="0.2">
      <c r="A170" s="1"/>
      <c r="B170" s="1"/>
      <c r="E170" s="1"/>
      <c r="F170" s="1"/>
      <c r="K170" s="12"/>
      <c r="L170" s="11"/>
      <c r="M170" s="2"/>
    </row>
    <row r="171" spans="1:13" x14ac:dyDescent="0.2">
      <c r="A171" s="1"/>
      <c r="B171" s="1"/>
      <c r="E171" s="1"/>
      <c r="F171" s="1"/>
      <c r="K171" s="12"/>
      <c r="L171" s="11"/>
      <c r="M171" s="2"/>
    </row>
    <row r="172" spans="1:13" x14ac:dyDescent="0.2">
      <c r="A172" s="1"/>
      <c r="B172" s="1"/>
      <c r="E172" s="1"/>
      <c r="F172" s="1"/>
      <c r="K172" s="12"/>
      <c r="L172" s="11"/>
      <c r="M172" s="2"/>
    </row>
    <row r="173" spans="1:13" x14ac:dyDescent="0.2">
      <c r="A173" s="1"/>
      <c r="B173" s="1"/>
      <c r="E173" s="1"/>
      <c r="F173" s="1"/>
      <c r="K173" s="12"/>
      <c r="L173" s="11"/>
      <c r="M173" s="2"/>
    </row>
    <row r="174" spans="1:13" x14ac:dyDescent="0.2">
      <c r="A174" s="1"/>
      <c r="B174" s="1"/>
      <c r="E174" s="1"/>
      <c r="F174" s="1"/>
      <c r="K174" s="12"/>
      <c r="L174" s="11"/>
      <c r="M174" s="2"/>
    </row>
    <row r="175" spans="1:13" x14ac:dyDescent="0.2">
      <c r="A175" s="1"/>
      <c r="B175" s="1"/>
      <c r="E175" s="1"/>
      <c r="F175" s="1"/>
      <c r="K175" s="12"/>
      <c r="L175" s="11"/>
      <c r="M175" s="2"/>
    </row>
    <row r="176" spans="1:13" x14ac:dyDescent="0.2">
      <c r="A176" s="1"/>
      <c r="B176" s="1"/>
      <c r="E176" s="1"/>
      <c r="F176" s="1"/>
      <c r="K176" s="12"/>
      <c r="L176" s="11"/>
      <c r="M176" s="2"/>
    </row>
    <row r="177" spans="1:13" x14ac:dyDescent="0.2">
      <c r="A177" s="1"/>
      <c r="B177" s="1"/>
      <c r="E177" s="1"/>
      <c r="F177" s="1"/>
      <c r="K177" s="12"/>
      <c r="L177" s="11"/>
      <c r="M177" s="2"/>
    </row>
    <row r="178" spans="1:13" x14ac:dyDescent="0.2">
      <c r="A178" s="1"/>
      <c r="B178" s="1"/>
      <c r="E178" s="1"/>
      <c r="F178" s="1"/>
      <c r="K178" s="12"/>
      <c r="L178" s="11"/>
      <c r="M178" s="2"/>
    </row>
    <row r="179" spans="1:13" x14ac:dyDescent="0.2">
      <c r="A179" s="1"/>
      <c r="B179" s="1"/>
      <c r="E179" s="1"/>
      <c r="F179" s="1"/>
      <c r="K179" s="12"/>
      <c r="L179" s="11"/>
      <c r="M179" s="2"/>
    </row>
    <row r="180" spans="1:13" x14ac:dyDescent="0.2">
      <c r="A180" s="1"/>
      <c r="B180" s="1"/>
      <c r="E180" s="1"/>
      <c r="F180" s="1"/>
      <c r="K180" s="12"/>
      <c r="L180" s="11"/>
      <c r="M180" s="2"/>
    </row>
    <row r="181" spans="1:13" x14ac:dyDescent="0.2">
      <c r="A181" s="1"/>
      <c r="B181" s="1"/>
      <c r="E181" s="1"/>
      <c r="F181" s="1"/>
      <c r="K181" s="12"/>
      <c r="L181" s="11"/>
      <c r="M181" s="2"/>
    </row>
    <row r="182" spans="1:13" x14ac:dyDescent="0.2">
      <c r="A182" s="1"/>
      <c r="B182" s="1"/>
      <c r="E182" s="1"/>
      <c r="F182" s="1"/>
      <c r="K182" s="12"/>
      <c r="L182" s="11"/>
      <c r="M182" s="1"/>
    </row>
    <row r="183" spans="1:13" x14ac:dyDescent="0.2">
      <c r="A183" s="1"/>
      <c r="B183" s="1"/>
      <c r="E183" s="1"/>
      <c r="K183" s="12"/>
      <c r="L183" s="11"/>
      <c r="M183" s="1"/>
    </row>
    <row r="184" spans="1:13" x14ac:dyDescent="0.2">
      <c r="A184" s="1"/>
      <c r="B184" s="1"/>
      <c r="E184" s="1"/>
      <c r="K184" s="12"/>
      <c r="L184" s="11"/>
      <c r="M184" s="1"/>
    </row>
    <row r="185" spans="1:13" x14ac:dyDescent="0.2">
      <c r="A185" s="1"/>
      <c r="B185" s="1"/>
      <c r="E185" s="1"/>
      <c r="F185" s="1"/>
      <c r="I185" s="9"/>
      <c r="J185" s="5"/>
      <c r="K185" s="12"/>
      <c r="L185" s="11"/>
      <c r="M185" s="2"/>
    </row>
    <row r="186" spans="1:13" x14ac:dyDescent="0.2">
      <c r="A186" s="1"/>
      <c r="B186" s="1"/>
      <c r="E186" s="1"/>
      <c r="F186" s="1"/>
      <c r="K186" s="12"/>
      <c r="L186" s="11"/>
      <c r="M186" s="2"/>
    </row>
    <row r="187" spans="1:13" x14ac:dyDescent="0.2">
      <c r="A187" s="1"/>
      <c r="B187" s="1"/>
      <c r="E187" s="1"/>
      <c r="F187" s="1"/>
      <c r="K187" s="12"/>
      <c r="L187" s="11"/>
      <c r="M187" s="2"/>
    </row>
    <row r="188" spans="1:13" x14ac:dyDescent="0.2">
      <c r="A188" s="1"/>
      <c r="B188" s="1"/>
      <c r="E188" s="1"/>
      <c r="F188" s="1"/>
      <c r="K188" s="12"/>
      <c r="L188" s="11"/>
      <c r="M188" s="2"/>
    </row>
    <row r="189" spans="1:13" x14ac:dyDescent="0.2">
      <c r="A189" s="1"/>
      <c r="B189" s="1"/>
      <c r="E189" s="1"/>
      <c r="K189" s="12"/>
      <c r="L189" s="11"/>
      <c r="M189" s="2"/>
    </row>
    <row r="190" spans="1:13" x14ac:dyDescent="0.2">
      <c r="A190" s="1"/>
      <c r="B190" s="1"/>
      <c r="E190" s="1"/>
      <c r="K190" s="12"/>
      <c r="L190" s="11"/>
      <c r="M190" s="2"/>
    </row>
    <row r="191" spans="1:13" x14ac:dyDescent="0.2">
      <c r="A191" s="1"/>
      <c r="B191" s="1"/>
      <c r="E191" s="1"/>
      <c r="K191" s="12"/>
      <c r="L191" s="11"/>
      <c r="M191" s="2"/>
    </row>
    <row r="192" spans="1:13" x14ac:dyDescent="0.2">
      <c r="A192" s="1"/>
      <c r="B192" s="1"/>
      <c r="E192" s="1"/>
      <c r="K192" s="12"/>
      <c r="L192" s="11"/>
      <c r="M192" s="2"/>
    </row>
    <row r="193" spans="1:13" x14ac:dyDescent="0.2">
      <c r="A193" s="1"/>
      <c r="B193" s="1"/>
      <c r="E193" s="1"/>
      <c r="K193" s="12"/>
      <c r="L193" s="11"/>
      <c r="M193" s="2"/>
    </row>
    <row r="194" spans="1:13" x14ac:dyDescent="0.2">
      <c r="A194" s="1"/>
      <c r="B194" s="1"/>
      <c r="E194" s="1"/>
      <c r="K194" s="12"/>
      <c r="L194" s="11"/>
      <c r="M194" s="2"/>
    </row>
    <row r="195" spans="1:13" x14ac:dyDescent="0.2">
      <c r="A195" s="1"/>
      <c r="B195" s="1"/>
      <c r="E195" s="1"/>
      <c r="K195" s="12"/>
      <c r="L195" s="11"/>
      <c r="M195" s="2"/>
    </row>
    <row r="196" spans="1:13" x14ac:dyDescent="0.2">
      <c r="A196" s="1"/>
      <c r="B196" s="1"/>
      <c r="E196" s="1"/>
      <c r="K196" s="12"/>
      <c r="L196" s="11"/>
      <c r="M196" s="2"/>
    </row>
    <row r="197" spans="1:13" x14ac:dyDescent="0.2">
      <c r="A197" s="1"/>
      <c r="B197" s="1"/>
      <c r="E197" s="1"/>
      <c r="K197" s="12"/>
      <c r="L197" s="11"/>
      <c r="M197" s="2"/>
    </row>
    <row r="198" spans="1:13" x14ac:dyDescent="0.2">
      <c r="A198" s="1"/>
      <c r="B198" s="1"/>
      <c r="E198" s="1"/>
      <c r="K198" s="12"/>
      <c r="L198" s="11"/>
      <c r="M198" s="2"/>
    </row>
    <row r="199" spans="1:13" x14ac:dyDescent="0.2">
      <c r="A199" s="1"/>
      <c r="B199" s="1"/>
      <c r="E199" s="1"/>
      <c r="K199" s="12"/>
      <c r="L199" s="11"/>
      <c r="M199" s="2"/>
    </row>
    <row r="200" spans="1:13" x14ac:dyDescent="0.2">
      <c r="A200" s="1"/>
      <c r="B200" s="1"/>
      <c r="E200" s="1"/>
      <c r="K200" s="12"/>
      <c r="L200" s="11"/>
      <c r="M200" s="2"/>
    </row>
    <row r="201" spans="1:13" x14ac:dyDescent="0.2">
      <c r="A201" s="1"/>
      <c r="B201" s="1"/>
      <c r="E201" s="1"/>
      <c r="K201" s="12"/>
      <c r="L201" s="11"/>
      <c r="M201" s="2"/>
    </row>
    <row r="202" spans="1:13" x14ac:dyDescent="0.2">
      <c r="A202" s="1"/>
      <c r="B202" s="1"/>
      <c r="E202" s="1"/>
      <c r="I202" s="9"/>
      <c r="J202" s="5"/>
      <c r="K202" s="12"/>
      <c r="L202" s="11"/>
      <c r="M202" s="2"/>
    </row>
    <row r="203" spans="1:13" x14ac:dyDescent="0.2">
      <c r="A203" s="1"/>
      <c r="B203" s="1"/>
      <c r="C203" s="1"/>
      <c r="E203" s="1"/>
      <c r="K203" s="12"/>
      <c r="L203" s="11"/>
      <c r="M203" s="2"/>
    </row>
    <row r="204" spans="1:13" x14ac:dyDescent="0.2">
      <c r="A204" s="1"/>
      <c r="B204" s="1"/>
      <c r="C204" s="1"/>
      <c r="E204" s="1"/>
      <c r="K204" s="12"/>
      <c r="L204" s="11"/>
      <c r="M204" s="2"/>
    </row>
    <row r="205" spans="1:13" x14ac:dyDescent="0.2">
      <c r="A205" s="1"/>
      <c r="B205" s="1"/>
      <c r="C205" s="1"/>
      <c r="E205" s="1"/>
      <c r="K205" s="12"/>
      <c r="L205" s="11"/>
      <c r="M205" s="2"/>
    </row>
    <row r="206" spans="1:13" x14ac:dyDescent="0.2">
      <c r="A206" s="1"/>
      <c r="B206" s="1"/>
      <c r="C206" s="1"/>
      <c r="E206" s="1"/>
      <c r="K206" s="12"/>
      <c r="L206" s="11"/>
      <c r="M206" s="2"/>
    </row>
    <row r="207" spans="1:13" x14ac:dyDescent="0.2">
      <c r="A207" s="1"/>
      <c r="B207" s="1"/>
      <c r="C207" s="1"/>
      <c r="E207" s="1"/>
      <c r="K207" s="12"/>
      <c r="L207" s="11"/>
      <c r="M207" s="2"/>
    </row>
    <row r="208" spans="1:13" x14ac:dyDescent="0.2">
      <c r="A208" s="1"/>
      <c r="B208" s="1"/>
      <c r="C208" s="1"/>
      <c r="E208" s="1"/>
      <c r="K208" s="12"/>
      <c r="L208" s="11"/>
      <c r="M208" s="2"/>
    </row>
    <row r="209" spans="1:13" x14ac:dyDescent="0.2">
      <c r="A209" s="1"/>
      <c r="B209" s="1"/>
      <c r="C209" s="1"/>
      <c r="E209" s="1"/>
      <c r="K209" s="12"/>
      <c r="L209" s="11"/>
      <c r="M209" s="2"/>
    </row>
    <row r="210" spans="1:13" x14ac:dyDescent="0.2">
      <c r="A210" s="1"/>
      <c r="B210" s="1"/>
      <c r="C210" s="1"/>
      <c r="E210" s="1"/>
      <c r="K210" s="12"/>
      <c r="L210" s="11"/>
      <c r="M210" s="2"/>
    </row>
    <row r="211" spans="1:13" x14ac:dyDescent="0.2">
      <c r="A211" s="1"/>
      <c r="B211" s="1"/>
      <c r="C211" s="1"/>
      <c r="E211" s="1"/>
      <c r="K211" s="12"/>
      <c r="L211" s="11"/>
      <c r="M211" s="2"/>
    </row>
    <row r="212" spans="1:13" x14ac:dyDescent="0.2">
      <c r="A212" s="1"/>
      <c r="B212" s="1"/>
      <c r="C212" s="1"/>
      <c r="E212" s="1"/>
      <c r="K212" s="12"/>
      <c r="L212" s="11"/>
      <c r="M212" s="2"/>
    </row>
    <row r="213" spans="1:13" x14ac:dyDescent="0.2">
      <c r="A213" s="1"/>
      <c r="B213" s="1"/>
      <c r="C213" s="1"/>
      <c r="E213" s="1"/>
      <c r="K213" s="12"/>
      <c r="L213" s="11"/>
      <c r="M213" s="2"/>
    </row>
    <row r="214" spans="1:13" x14ac:dyDescent="0.2">
      <c r="A214" s="1"/>
      <c r="B214" s="1"/>
      <c r="C214" s="1"/>
      <c r="E214" s="1"/>
      <c r="K214" s="12"/>
      <c r="L214" s="11"/>
      <c r="M214" s="2"/>
    </row>
    <row r="215" spans="1:13" x14ac:dyDescent="0.2">
      <c r="A215" s="1"/>
      <c r="B215" s="1"/>
      <c r="C215" s="1"/>
      <c r="E215" s="1"/>
      <c r="K215" s="12"/>
      <c r="L215" s="11"/>
      <c r="M215" s="2"/>
    </row>
    <row r="216" spans="1:13" x14ac:dyDescent="0.2">
      <c r="A216" s="1"/>
      <c r="B216" s="1"/>
      <c r="C216" s="1"/>
      <c r="E216" s="1"/>
      <c r="K216" s="12"/>
      <c r="L216" s="11"/>
      <c r="M216" s="2"/>
    </row>
    <row r="217" spans="1:13" x14ac:dyDescent="0.2">
      <c r="A217" s="1"/>
      <c r="B217" s="1"/>
      <c r="C217" s="1"/>
      <c r="E217" s="1"/>
      <c r="K217" s="12"/>
      <c r="L217" s="11"/>
      <c r="M217" s="2"/>
    </row>
    <row r="218" spans="1:13" x14ac:dyDescent="0.2">
      <c r="A218" s="1"/>
      <c r="B218" s="1"/>
      <c r="C218" s="1"/>
      <c r="E218" s="1"/>
      <c r="K218" s="12"/>
      <c r="L218" s="11"/>
      <c r="M218" s="2"/>
    </row>
    <row r="219" spans="1:13" x14ac:dyDescent="0.2">
      <c r="A219" s="1"/>
      <c r="B219" s="1"/>
      <c r="C219" s="1"/>
      <c r="E219" s="1"/>
      <c r="K219" s="12"/>
      <c r="L219" s="11"/>
      <c r="M219" s="2"/>
    </row>
    <row r="220" spans="1:13" x14ac:dyDescent="0.2">
      <c r="A220" s="1"/>
      <c r="B220" s="1"/>
      <c r="C220" s="1"/>
      <c r="E220" s="1"/>
      <c r="K220" s="12"/>
      <c r="L220" s="11"/>
      <c r="M220" s="2"/>
    </row>
    <row r="221" spans="1:13" x14ac:dyDescent="0.2">
      <c r="A221" s="1"/>
      <c r="B221" s="1"/>
      <c r="C221" s="1"/>
      <c r="E221" s="1"/>
      <c r="K221" s="12"/>
      <c r="L221" s="11"/>
      <c r="M221" s="2"/>
    </row>
    <row r="222" spans="1:13" x14ac:dyDescent="0.2">
      <c r="A222" s="1"/>
      <c r="B222" s="1"/>
      <c r="C222" s="1"/>
      <c r="E222" s="1"/>
      <c r="K222" s="12"/>
      <c r="L222" s="11"/>
      <c r="M222" s="2"/>
    </row>
    <row r="223" spans="1:13" x14ac:dyDescent="0.2">
      <c r="A223" s="1"/>
      <c r="B223" s="1"/>
      <c r="E223" s="1"/>
      <c r="K223" s="12"/>
      <c r="L223" s="11"/>
      <c r="M223" s="2"/>
    </row>
    <row r="224" spans="1:13" x14ac:dyDescent="0.2">
      <c r="A224" s="1"/>
      <c r="B224" s="1"/>
      <c r="E224" s="1"/>
      <c r="K224" s="12"/>
      <c r="L224" s="11"/>
      <c r="M224" s="2"/>
    </row>
    <row r="225" spans="1:13" x14ac:dyDescent="0.2">
      <c r="A225" s="1"/>
      <c r="B225" s="1"/>
      <c r="E225" s="1"/>
      <c r="K225" s="12"/>
      <c r="L225" s="11"/>
      <c r="M225" s="2"/>
    </row>
    <row r="226" spans="1:13" x14ac:dyDescent="0.2">
      <c r="A226" s="1"/>
      <c r="B226" s="1"/>
      <c r="C226" s="1"/>
      <c r="E226" s="1"/>
      <c r="I226" s="9"/>
      <c r="J226" s="7"/>
      <c r="K226" s="12"/>
      <c r="L226" s="11"/>
      <c r="M226" s="2"/>
    </row>
    <row r="227" spans="1:13" x14ac:dyDescent="0.2">
      <c r="A227" s="1"/>
      <c r="B227" s="1"/>
      <c r="C227" s="1"/>
      <c r="E227" s="1"/>
      <c r="I227" s="9"/>
      <c r="J227" s="7"/>
      <c r="K227" s="12"/>
      <c r="L227" s="11"/>
      <c r="M227" s="2"/>
    </row>
    <row r="228" spans="1:13" x14ac:dyDescent="0.2">
      <c r="A228" s="1"/>
      <c r="B228" s="1"/>
      <c r="E228" s="1"/>
      <c r="K228" s="12"/>
      <c r="L228" s="11"/>
      <c r="M228" s="2"/>
    </row>
    <row r="229" spans="1:13" x14ac:dyDescent="0.2">
      <c r="A229" s="1"/>
      <c r="B229" s="1"/>
      <c r="E229" s="1"/>
      <c r="K229" s="12"/>
      <c r="L229" s="11"/>
      <c r="M229" s="2"/>
    </row>
    <row r="230" spans="1:13" x14ac:dyDescent="0.2">
      <c r="A230" s="1"/>
      <c r="B230" s="1"/>
      <c r="E230" s="1"/>
      <c r="K230" s="12"/>
      <c r="L230" s="11"/>
      <c r="M230" s="2"/>
    </row>
    <row r="231" spans="1:13" x14ac:dyDescent="0.2">
      <c r="A231" s="1"/>
      <c r="B231" s="1"/>
      <c r="E231" s="1"/>
      <c r="K231" s="12"/>
      <c r="L231" s="11"/>
      <c r="M231" s="2"/>
    </row>
    <row r="232" spans="1:13" x14ac:dyDescent="0.2">
      <c r="A232" s="1"/>
      <c r="B232" s="1"/>
      <c r="E232" s="1"/>
      <c r="K232" s="12"/>
      <c r="L232" s="11"/>
      <c r="M232" s="2"/>
    </row>
    <row r="233" spans="1:13" x14ac:dyDescent="0.2">
      <c r="A233" s="1"/>
      <c r="B233" s="1"/>
      <c r="C233" s="1"/>
      <c r="E233" s="1"/>
      <c r="G233" s="5"/>
      <c r="H233" s="5"/>
      <c r="I233" s="9"/>
      <c r="J233" s="5"/>
      <c r="K233" s="12"/>
      <c r="L233" s="11"/>
      <c r="M233" s="2"/>
    </row>
    <row r="234" spans="1:13" x14ac:dyDescent="0.2">
      <c r="A234" s="1"/>
      <c r="B234" s="1"/>
      <c r="E234" s="1"/>
      <c r="K234" s="12"/>
      <c r="L234" s="11"/>
      <c r="M234" s="2"/>
    </row>
    <row r="235" spans="1:13" x14ac:dyDescent="0.2">
      <c r="A235" s="1"/>
      <c r="B235" s="1"/>
      <c r="E235" s="1"/>
      <c r="F235" s="1"/>
      <c r="K235" s="12"/>
      <c r="L235" s="11"/>
      <c r="M235" s="2"/>
    </row>
    <row r="236" spans="1:13" x14ac:dyDescent="0.2">
      <c r="A236" s="1"/>
      <c r="B236" s="1"/>
      <c r="E236" s="1"/>
      <c r="F236" s="1"/>
      <c r="K236" s="12"/>
      <c r="L236" s="11"/>
      <c r="M236" s="2"/>
    </row>
    <row r="237" spans="1:13" x14ac:dyDescent="0.2">
      <c r="A237" s="1"/>
      <c r="B237" s="1"/>
      <c r="E237" s="1"/>
      <c r="K237" s="12"/>
      <c r="L237" s="11"/>
      <c r="M237" s="2"/>
    </row>
    <row r="238" spans="1:13" x14ac:dyDescent="0.2">
      <c r="A238" s="1"/>
      <c r="B238" s="1"/>
      <c r="E238" s="1"/>
      <c r="K238" s="12"/>
      <c r="L238" s="11"/>
      <c r="M238" s="2"/>
    </row>
    <row r="239" spans="1:13" x14ac:dyDescent="0.2">
      <c r="A239" s="1"/>
      <c r="B239" s="1"/>
      <c r="E239" s="1"/>
      <c r="K239" s="12"/>
      <c r="L239" s="11"/>
      <c r="M239" s="2"/>
    </row>
    <row r="240" spans="1:13" x14ac:dyDescent="0.2">
      <c r="A240" s="1"/>
      <c r="B240" s="1"/>
      <c r="E240" s="1"/>
      <c r="K240" s="12"/>
      <c r="L240" s="11"/>
      <c r="M240" s="2"/>
    </row>
    <row r="241" spans="1:13" x14ac:dyDescent="0.2">
      <c r="A241" s="1"/>
      <c r="B241" s="1"/>
      <c r="E241" s="1"/>
      <c r="K241" s="12"/>
      <c r="L241" s="11"/>
      <c r="M241" s="2"/>
    </row>
    <row r="242" spans="1:13" x14ac:dyDescent="0.2">
      <c r="A242" s="1"/>
      <c r="B242" s="1"/>
      <c r="E242" s="1"/>
      <c r="K242" s="12"/>
      <c r="L242" s="11"/>
      <c r="M242" s="2"/>
    </row>
    <row r="243" spans="1:13" x14ac:dyDescent="0.2">
      <c r="A243" s="1"/>
      <c r="B243" s="1"/>
      <c r="E243" s="1"/>
      <c r="K243" s="12"/>
      <c r="L243" s="11"/>
      <c r="M243" s="2"/>
    </row>
    <row r="244" spans="1:13" x14ac:dyDescent="0.2">
      <c r="A244" s="1"/>
      <c r="B244" s="1"/>
      <c r="E244" s="1"/>
      <c r="K244" s="12"/>
      <c r="L244" s="11"/>
      <c r="M244" s="2"/>
    </row>
    <row r="245" spans="1:13" x14ac:dyDescent="0.2">
      <c r="A245" s="1"/>
      <c r="B245" s="1"/>
      <c r="E245" s="1"/>
      <c r="K245" s="12"/>
      <c r="L245" s="11"/>
      <c r="M245" s="2"/>
    </row>
    <row r="246" spans="1:13" x14ac:dyDescent="0.2">
      <c r="A246" s="1"/>
      <c r="B246" s="1"/>
      <c r="E246" s="1"/>
      <c r="K246" s="12"/>
      <c r="L246" s="11"/>
      <c r="M246" s="2"/>
    </row>
    <row r="247" spans="1:13" x14ac:dyDescent="0.2">
      <c r="A247" s="1"/>
      <c r="B247" s="1"/>
      <c r="E247" s="1"/>
      <c r="K247" s="12"/>
      <c r="L247" s="11"/>
      <c r="M247" s="2"/>
    </row>
    <row r="248" spans="1:13" x14ac:dyDescent="0.2">
      <c r="A248" s="1"/>
      <c r="B248" s="1"/>
      <c r="E248" s="1"/>
      <c r="K248" s="12"/>
      <c r="L248" s="11"/>
      <c r="M248" s="2"/>
    </row>
    <row r="249" spans="1:13" x14ac:dyDescent="0.2">
      <c r="A249" s="1"/>
      <c r="B249" s="1"/>
      <c r="E249" s="1"/>
      <c r="K249" s="12"/>
      <c r="L249" s="11"/>
      <c r="M249" s="2"/>
    </row>
    <row r="250" spans="1:13" x14ac:dyDescent="0.2">
      <c r="A250" s="1"/>
      <c r="B250" s="1"/>
      <c r="E250" s="1"/>
      <c r="K250" s="12"/>
      <c r="L250" s="11"/>
      <c r="M250" s="2"/>
    </row>
    <row r="251" spans="1:13" x14ac:dyDescent="0.2">
      <c r="A251" s="1"/>
      <c r="B251" s="1"/>
      <c r="E251" s="1"/>
      <c r="K251" s="12"/>
      <c r="L251" s="11"/>
      <c r="M251" s="2"/>
    </row>
    <row r="252" spans="1:13" x14ac:dyDescent="0.2">
      <c r="A252" s="1"/>
      <c r="B252" s="1"/>
      <c r="E252" s="1"/>
      <c r="K252" s="12"/>
      <c r="L252" s="11"/>
      <c r="M252" s="2"/>
    </row>
    <row r="253" spans="1:13" x14ac:dyDescent="0.2">
      <c r="A253" s="1"/>
      <c r="B253" s="1"/>
      <c r="F253" s="1"/>
      <c r="K253" s="12"/>
      <c r="L253" s="11"/>
      <c r="M253" s="2"/>
    </row>
    <row r="254" spans="1:13" x14ac:dyDescent="0.2">
      <c r="A254" s="1"/>
      <c r="B254" s="1"/>
      <c r="F254" s="1"/>
      <c r="K254" s="12"/>
      <c r="L254" s="11"/>
      <c r="M254" s="2"/>
    </row>
    <row r="255" spans="1:13" x14ac:dyDescent="0.2">
      <c r="A255" s="1"/>
      <c r="B255" s="1"/>
      <c r="F255" s="1"/>
      <c r="K255" s="12"/>
      <c r="L255" s="11"/>
      <c r="M255" s="2"/>
    </row>
    <row r="256" spans="1:13" x14ac:dyDescent="0.2">
      <c r="A256" s="1"/>
      <c r="B256" s="1"/>
      <c r="F256" s="1"/>
      <c r="K256" s="12"/>
      <c r="L256" s="11"/>
      <c r="M256" s="2"/>
    </row>
    <row r="257" spans="1:13" x14ac:dyDescent="0.2">
      <c r="A257" s="1"/>
      <c r="B257" s="1"/>
      <c r="E257" s="1"/>
      <c r="F257" s="1"/>
      <c r="K257" s="12"/>
      <c r="L257" s="11"/>
      <c r="M257" s="2"/>
    </row>
    <row r="258" spans="1:13" x14ac:dyDescent="0.2">
      <c r="A258" s="1"/>
      <c r="B258" s="1"/>
      <c r="E258" s="1"/>
      <c r="F258" s="1"/>
      <c r="K258" s="12"/>
      <c r="L258" s="11"/>
      <c r="M258" s="2"/>
    </row>
    <row r="259" spans="1:13" x14ac:dyDescent="0.2">
      <c r="A259" s="1"/>
      <c r="B259" s="1"/>
      <c r="E259" s="1"/>
      <c r="F259" s="1"/>
      <c r="K259" s="12"/>
      <c r="L259" s="11"/>
      <c r="M259" s="2"/>
    </row>
    <row r="260" spans="1:13" x14ac:dyDescent="0.2">
      <c r="A260" s="1"/>
      <c r="B260" s="1"/>
      <c r="E260" s="1"/>
      <c r="F260" s="1"/>
      <c r="K260" s="12"/>
      <c r="L260" s="11"/>
      <c r="M260" s="2"/>
    </row>
    <row r="261" spans="1:13" x14ac:dyDescent="0.2">
      <c r="A261" s="1"/>
      <c r="B261" s="1"/>
      <c r="E261" s="1"/>
      <c r="K261" s="12"/>
      <c r="L261" s="11"/>
      <c r="M261" s="2"/>
    </row>
    <row r="262" spans="1:13" x14ac:dyDescent="0.2">
      <c r="A262" s="1"/>
      <c r="B262" s="1"/>
      <c r="E262" s="1"/>
      <c r="K262" s="12"/>
      <c r="L262" s="11"/>
      <c r="M262" s="2"/>
    </row>
    <row r="263" spans="1:13" x14ac:dyDescent="0.2">
      <c r="A263" s="1"/>
      <c r="B263" s="1"/>
      <c r="E263" s="1"/>
      <c r="K263" s="12"/>
      <c r="L263" s="11"/>
      <c r="M263" s="2"/>
    </row>
    <row r="264" spans="1:13" x14ac:dyDescent="0.2">
      <c r="A264" s="1"/>
      <c r="B264" s="1"/>
      <c r="E264" s="1"/>
      <c r="K264" s="12"/>
      <c r="L264" s="11"/>
      <c r="M264" s="2"/>
    </row>
    <row r="265" spans="1:13" x14ac:dyDescent="0.2">
      <c r="A265" s="1"/>
      <c r="B265" s="1"/>
      <c r="E265" s="1"/>
      <c r="K265" s="12"/>
      <c r="L265" s="11"/>
      <c r="M265" s="2"/>
    </row>
    <row r="266" spans="1:13" x14ac:dyDescent="0.2">
      <c r="A266" s="1"/>
      <c r="B266" s="1"/>
      <c r="E266" s="1"/>
      <c r="K266" s="12"/>
      <c r="L266" s="11"/>
      <c r="M266" s="2"/>
    </row>
    <row r="267" spans="1:13" x14ac:dyDescent="0.2">
      <c r="A267" s="1"/>
      <c r="B267" s="1"/>
      <c r="E267" s="1"/>
      <c r="K267" s="12"/>
      <c r="L267" s="11"/>
      <c r="M267" s="2"/>
    </row>
    <row r="268" spans="1:13" x14ac:dyDescent="0.2">
      <c r="A268" s="1"/>
      <c r="B268" s="1"/>
      <c r="E268" s="1"/>
      <c r="K268" s="12"/>
      <c r="L268" s="11"/>
      <c r="M268" s="2"/>
    </row>
    <row r="269" spans="1:13" x14ac:dyDescent="0.2">
      <c r="A269" s="1"/>
      <c r="B269" s="1"/>
      <c r="E269" s="1"/>
      <c r="K269" s="12"/>
      <c r="L269" s="11"/>
      <c r="M269" s="2"/>
    </row>
    <row r="270" spans="1:13" x14ac:dyDescent="0.2">
      <c r="A270" s="1"/>
      <c r="B270" s="1"/>
      <c r="E270" s="1"/>
      <c r="K270" s="12"/>
      <c r="L270" s="11"/>
      <c r="M270" s="2"/>
    </row>
    <row r="271" spans="1:13" x14ac:dyDescent="0.2">
      <c r="A271" s="1"/>
      <c r="B271" s="1"/>
      <c r="E271" s="1"/>
      <c r="K271" s="12"/>
      <c r="L271" s="11"/>
      <c r="M271" s="2"/>
    </row>
    <row r="272" spans="1:13" x14ac:dyDescent="0.2">
      <c r="A272" s="1"/>
      <c r="B272" s="1"/>
      <c r="E272" s="1"/>
      <c r="K272" s="12"/>
      <c r="L272" s="11"/>
      <c r="M272" s="2"/>
    </row>
    <row r="273" spans="1:13" x14ac:dyDescent="0.2">
      <c r="A273" s="1"/>
      <c r="B273" s="1"/>
      <c r="E273" s="1"/>
      <c r="K273" s="12"/>
      <c r="L273" s="11"/>
      <c r="M273" s="2"/>
    </row>
    <row r="274" spans="1:13" x14ac:dyDescent="0.2">
      <c r="A274" s="1"/>
      <c r="B274" s="1"/>
      <c r="E274" s="1"/>
      <c r="K274" s="12"/>
      <c r="L274" s="11"/>
      <c r="M274" s="2"/>
    </row>
    <row r="275" spans="1:13" x14ac:dyDescent="0.2">
      <c r="A275" s="1"/>
      <c r="B275" s="1"/>
      <c r="E275" s="1"/>
      <c r="K275" s="12"/>
      <c r="L275" s="11"/>
      <c r="M275" s="2"/>
    </row>
    <row r="276" spans="1:13" x14ac:dyDescent="0.2">
      <c r="A276" s="1"/>
      <c r="B276" s="1"/>
      <c r="E276" s="1"/>
      <c r="K276" s="12"/>
      <c r="L276" s="11"/>
      <c r="M276" s="2"/>
    </row>
    <row r="277" spans="1:13" x14ac:dyDescent="0.2">
      <c r="A277" s="1"/>
      <c r="B277" s="1"/>
      <c r="E277" s="1"/>
      <c r="K277" s="12"/>
      <c r="L277" s="11"/>
      <c r="M277" s="2"/>
    </row>
    <row r="278" spans="1:13" x14ac:dyDescent="0.2">
      <c r="A278" s="1"/>
      <c r="B278" s="1"/>
      <c r="E278" s="1"/>
      <c r="K278" s="12"/>
      <c r="L278" s="11"/>
      <c r="M278" s="2"/>
    </row>
    <row r="279" spans="1:13" x14ac:dyDescent="0.2">
      <c r="A279" s="1"/>
      <c r="B279" s="1"/>
      <c r="E279" s="1"/>
      <c r="K279" s="12"/>
      <c r="L279" s="11"/>
      <c r="M279" s="2"/>
    </row>
    <row r="280" spans="1:13" x14ac:dyDescent="0.2">
      <c r="A280" s="1"/>
      <c r="B280" s="1"/>
      <c r="E280" s="1"/>
      <c r="F280" s="1"/>
      <c r="K280" s="12"/>
      <c r="L280" s="11"/>
      <c r="M280" s="2"/>
    </row>
    <row r="281" spans="1:13" x14ac:dyDescent="0.2">
      <c r="A281" s="1"/>
      <c r="B281" s="1"/>
      <c r="E281" s="1"/>
      <c r="F281" s="1"/>
      <c r="K281" s="12"/>
      <c r="L281" s="11"/>
      <c r="M281" s="2"/>
    </row>
    <row r="282" spans="1:13" x14ac:dyDescent="0.2">
      <c r="A282" s="1"/>
      <c r="B282" s="1"/>
      <c r="E282" s="1"/>
      <c r="F282" s="1"/>
      <c r="K282" s="12"/>
      <c r="L282" s="11"/>
      <c r="M282" s="2"/>
    </row>
    <row r="283" spans="1:13" x14ac:dyDescent="0.2">
      <c r="A283" s="1"/>
      <c r="B283" s="1"/>
      <c r="E283" s="1"/>
      <c r="F283" s="1"/>
      <c r="K283" s="12"/>
      <c r="L283" s="11"/>
      <c r="M283" s="2"/>
    </row>
    <row r="284" spans="1:13" x14ac:dyDescent="0.2">
      <c r="A284" s="1"/>
      <c r="B284" s="1"/>
      <c r="E284" s="1"/>
      <c r="F284" s="1"/>
      <c r="K284" s="12"/>
      <c r="L284" s="11"/>
      <c r="M284" s="2"/>
    </row>
    <row r="285" spans="1:13" x14ac:dyDescent="0.2">
      <c r="A285" s="1"/>
      <c r="B285" s="1"/>
      <c r="E285" s="1"/>
      <c r="F285" s="1"/>
      <c r="K285" s="12"/>
      <c r="L285" s="11"/>
      <c r="M285" s="2"/>
    </row>
    <row r="286" spans="1:13" x14ac:dyDescent="0.2">
      <c r="A286" s="1"/>
      <c r="B286" s="1"/>
      <c r="E286" s="1"/>
      <c r="F286" s="1"/>
      <c r="K286" s="12"/>
      <c r="L286" s="11"/>
      <c r="M286" s="2"/>
    </row>
    <row r="287" spans="1:13" x14ac:dyDescent="0.2">
      <c r="A287" s="1"/>
      <c r="B287" s="1"/>
      <c r="E287" s="1"/>
      <c r="F287" s="1"/>
      <c r="K287" s="12"/>
      <c r="L287" s="11"/>
      <c r="M287" s="2"/>
    </row>
    <row r="288" spans="1:13" x14ac:dyDescent="0.2">
      <c r="A288" s="1"/>
      <c r="B288" s="1"/>
      <c r="E288" s="1"/>
      <c r="F288" s="1"/>
      <c r="K288" s="12"/>
      <c r="L288" s="11"/>
      <c r="M288" s="2"/>
    </row>
    <row r="289" spans="1:13" x14ac:dyDescent="0.2">
      <c r="A289" s="1"/>
      <c r="B289" s="1"/>
      <c r="E289" s="1"/>
      <c r="F289" s="1"/>
      <c r="K289" s="12"/>
      <c r="L289" s="11"/>
      <c r="M289" s="2"/>
    </row>
    <row r="290" spans="1:13" x14ac:dyDescent="0.2">
      <c r="A290" s="1"/>
      <c r="B290" s="1"/>
      <c r="E290" s="1"/>
      <c r="F290" s="1"/>
      <c r="K290" s="12"/>
      <c r="L290" s="11"/>
      <c r="M290" s="2"/>
    </row>
    <row r="291" spans="1:13" x14ac:dyDescent="0.2">
      <c r="A291" s="1"/>
      <c r="B291" s="1"/>
      <c r="E291" s="1"/>
      <c r="K291" s="12"/>
      <c r="L291" s="11"/>
      <c r="M291" s="2"/>
    </row>
    <row r="292" spans="1:13" x14ac:dyDescent="0.2">
      <c r="A292" s="1"/>
      <c r="B292" s="1"/>
      <c r="E292" s="1"/>
      <c r="K292" s="12"/>
      <c r="L292" s="11"/>
      <c r="M292" s="2"/>
    </row>
    <row r="293" spans="1:13" x14ac:dyDescent="0.2">
      <c r="A293" s="1"/>
      <c r="B293" s="1"/>
      <c r="E293" s="1"/>
      <c r="K293" s="12"/>
      <c r="L293" s="11"/>
      <c r="M293" s="2"/>
    </row>
    <row r="294" spans="1:13" x14ac:dyDescent="0.2">
      <c r="A294" s="1"/>
      <c r="B294" s="1"/>
      <c r="E294" s="1"/>
      <c r="K294" s="12"/>
      <c r="L294" s="11"/>
      <c r="M294" s="2"/>
    </row>
    <row r="295" spans="1:13" x14ac:dyDescent="0.2">
      <c r="A295" s="1"/>
      <c r="B295" s="1"/>
      <c r="E295" s="1"/>
      <c r="K295" s="12"/>
      <c r="L295" s="11"/>
      <c r="M295" s="2"/>
    </row>
    <row r="296" spans="1:13" x14ac:dyDescent="0.2">
      <c r="A296" s="1"/>
      <c r="B296" s="1"/>
      <c r="E296" s="1"/>
      <c r="K296" s="12"/>
      <c r="L296" s="11"/>
      <c r="M296" s="2"/>
    </row>
    <row r="297" spans="1:13" x14ac:dyDescent="0.2">
      <c r="A297" s="1"/>
      <c r="B297" s="1"/>
      <c r="E297" s="1"/>
      <c r="F297" s="1"/>
      <c r="K297" s="12"/>
      <c r="L297" s="11"/>
      <c r="M297" s="2"/>
    </row>
    <row r="298" spans="1:13" x14ac:dyDescent="0.2">
      <c r="A298" s="1"/>
      <c r="B298" s="1"/>
      <c r="E298" s="1"/>
      <c r="F298" s="1"/>
      <c r="K298" s="12"/>
      <c r="L298" s="11"/>
      <c r="M298" s="2"/>
    </row>
    <row r="299" spans="1:13" x14ac:dyDescent="0.2">
      <c r="A299" s="1"/>
      <c r="B299" s="1"/>
      <c r="E299" s="1"/>
      <c r="F299" s="1"/>
      <c r="K299" s="12"/>
      <c r="L299" s="11"/>
      <c r="M299" s="2"/>
    </row>
    <row r="300" spans="1:13" x14ac:dyDescent="0.2">
      <c r="A300" s="1"/>
      <c r="B300" s="1"/>
      <c r="E300" s="1"/>
      <c r="F300" s="1"/>
      <c r="K300" s="12"/>
      <c r="L300" s="11"/>
      <c r="M300" s="2"/>
    </row>
    <row r="301" spans="1:13" x14ac:dyDescent="0.2">
      <c r="A301" s="1"/>
      <c r="B301" s="1"/>
      <c r="E301" s="1"/>
      <c r="F301" s="1"/>
      <c r="K301" s="12"/>
      <c r="L301" s="11"/>
      <c r="M301" s="2"/>
    </row>
    <row r="302" spans="1:13" x14ac:dyDescent="0.2">
      <c r="A302" s="1"/>
      <c r="B302" s="1"/>
      <c r="E302" s="1"/>
      <c r="F302" s="1"/>
      <c r="K302" s="12"/>
      <c r="L302" s="11"/>
      <c r="M302" s="2"/>
    </row>
    <row r="303" spans="1:13" x14ac:dyDescent="0.2">
      <c r="A303" s="1"/>
      <c r="B303" s="1"/>
      <c r="E303" s="1"/>
      <c r="F303" s="1"/>
      <c r="K303" s="12"/>
      <c r="L303" s="11"/>
      <c r="M303" s="2"/>
    </row>
    <row r="304" spans="1:13" x14ac:dyDescent="0.2">
      <c r="A304" s="1"/>
      <c r="B304" s="1"/>
      <c r="E304" s="1"/>
      <c r="F304" s="1"/>
      <c r="K304" s="12"/>
      <c r="L304" s="11"/>
      <c r="M304" s="2"/>
    </row>
    <row r="305" spans="1:13" x14ac:dyDescent="0.2">
      <c r="A305" s="1"/>
      <c r="B305" s="1"/>
      <c r="E305" s="1"/>
      <c r="F305" s="1"/>
      <c r="K305" s="12"/>
      <c r="L305" s="11"/>
      <c r="M305" s="2"/>
    </row>
    <row r="306" spans="1:13" x14ac:dyDescent="0.2">
      <c r="A306" s="1"/>
      <c r="B306" s="1"/>
      <c r="E306" s="1"/>
      <c r="F306" s="1"/>
      <c r="K306" s="12"/>
      <c r="L306" s="11"/>
      <c r="M306" s="2"/>
    </row>
    <row r="307" spans="1:13" x14ac:dyDescent="0.2">
      <c r="A307" s="1"/>
      <c r="B307" s="1"/>
      <c r="E307" s="1"/>
      <c r="F307" s="1"/>
      <c r="K307" s="12"/>
      <c r="L307" s="11"/>
      <c r="M307" s="2"/>
    </row>
    <row r="308" spans="1:13" x14ac:dyDescent="0.2">
      <c r="A308" s="1"/>
      <c r="B308" s="1"/>
      <c r="E308" s="1"/>
      <c r="F308" s="1"/>
      <c r="H308" s="11"/>
      <c r="I308" s="4"/>
      <c r="K308" s="12"/>
      <c r="L308" s="11"/>
      <c r="M308" s="2"/>
    </row>
    <row r="309" spans="1:13" x14ac:dyDescent="0.2">
      <c r="A309" s="1"/>
      <c r="B309" s="1"/>
      <c r="E309" s="1"/>
      <c r="F309" s="1"/>
      <c r="K309" s="12"/>
      <c r="L309" s="11"/>
      <c r="M309" s="2"/>
    </row>
    <row r="310" spans="1:13" x14ac:dyDescent="0.2">
      <c r="A310" s="1"/>
      <c r="B310" s="1"/>
      <c r="E310" s="1"/>
      <c r="F310" s="1"/>
      <c r="K310" s="12"/>
      <c r="L310" s="11"/>
      <c r="M310" s="2"/>
    </row>
    <row r="311" spans="1:13" x14ac:dyDescent="0.2">
      <c r="A311" s="1"/>
      <c r="B311" s="1"/>
      <c r="E311" s="1"/>
      <c r="F311" s="1"/>
      <c r="K311" s="12"/>
      <c r="L311" s="11"/>
      <c r="M311" s="2"/>
    </row>
    <row r="312" spans="1:13" x14ac:dyDescent="0.2">
      <c r="A312" s="1"/>
      <c r="B312" s="1"/>
      <c r="E312" s="1"/>
      <c r="F312" s="1"/>
      <c r="K312" s="12"/>
      <c r="L312" s="11"/>
      <c r="M312" s="2"/>
    </row>
    <row r="313" spans="1:13" x14ac:dyDescent="0.2">
      <c r="A313" s="1"/>
      <c r="B313" s="1"/>
      <c r="E313" s="1"/>
      <c r="F313" s="1"/>
      <c r="K313" s="12"/>
      <c r="L313" s="11"/>
      <c r="M313" s="2"/>
    </row>
    <row r="314" spans="1:13" x14ac:dyDescent="0.2">
      <c r="A314" s="1"/>
      <c r="B314" s="1"/>
      <c r="E314" s="1"/>
      <c r="F314" s="1"/>
      <c r="K314" s="12"/>
      <c r="L314" s="11"/>
      <c r="M314" s="2"/>
    </row>
    <row r="315" spans="1:13" x14ac:dyDescent="0.2">
      <c r="A315" s="1"/>
      <c r="B315" s="1"/>
      <c r="E315" s="1"/>
      <c r="F315" s="1"/>
      <c r="K315" s="12"/>
      <c r="L315" s="11"/>
      <c r="M315" s="2"/>
    </row>
    <row r="316" spans="1:13" x14ac:dyDescent="0.2">
      <c r="A316" s="1"/>
      <c r="B316" s="1"/>
      <c r="E316" s="1"/>
      <c r="F316" s="1"/>
      <c r="K316" s="12"/>
      <c r="L316" s="11"/>
      <c r="M316" s="2"/>
    </row>
    <row r="317" spans="1:13" x14ac:dyDescent="0.2">
      <c r="A317" s="1"/>
      <c r="B317" s="1"/>
      <c r="E317" s="1"/>
      <c r="F317" s="1"/>
      <c r="K317" s="12"/>
      <c r="L317" s="11"/>
      <c r="M317" s="2"/>
    </row>
    <row r="318" spans="1:13" x14ac:dyDescent="0.2">
      <c r="A318" s="1"/>
      <c r="B318" s="1"/>
      <c r="E318" s="1"/>
      <c r="K318" s="12"/>
      <c r="L318" s="11"/>
      <c r="M318" s="2"/>
    </row>
    <row r="319" spans="1:13" x14ac:dyDescent="0.2">
      <c r="A319" s="1"/>
      <c r="B319" s="1"/>
      <c r="E319" s="1"/>
      <c r="F319" s="1"/>
      <c r="K319" s="12"/>
      <c r="L319" s="11"/>
      <c r="M319" s="2"/>
    </row>
    <row r="320" spans="1:13" x14ac:dyDescent="0.2">
      <c r="A320" s="1"/>
      <c r="B320" s="1"/>
      <c r="E320" s="1"/>
      <c r="F320" s="1"/>
      <c r="K320" s="12"/>
      <c r="L320" s="11"/>
      <c r="M320" s="2"/>
    </row>
    <row r="321" spans="1:13" x14ac:dyDescent="0.2">
      <c r="A321" s="1"/>
      <c r="B321" s="1"/>
      <c r="C321" s="1"/>
      <c r="E321" s="1"/>
      <c r="F321" s="1"/>
      <c r="G321" s="5"/>
      <c r="I321" s="9"/>
      <c r="J321" s="7"/>
      <c r="K321" s="12"/>
      <c r="L321" s="11"/>
      <c r="M321" s="2"/>
    </row>
    <row r="322" spans="1:13" x14ac:dyDescent="0.2">
      <c r="A322" s="1"/>
      <c r="B322" s="1"/>
      <c r="E322" s="1"/>
      <c r="F322" s="1"/>
      <c r="K322" s="12"/>
      <c r="L322" s="11"/>
      <c r="M322" s="2"/>
    </row>
    <row r="323" spans="1:13" x14ac:dyDescent="0.2">
      <c r="A323" s="1"/>
      <c r="B323" s="1"/>
      <c r="E323" s="1"/>
      <c r="K323" s="12"/>
      <c r="L323" s="11"/>
      <c r="M323" s="2"/>
    </row>
    <row r="324" spans="1:13" x14ac:dyDescent="0.2">
      <c r="A324" s="1"/>
      <c r="B324" s="1"/>
      <c r="E324" s="1"/>
      <c r="K324" s="12"/>
      <c r="L324" s="11"/>
      <c r="M324" s="2"/>
    </row>
    <row r="325" spans="1:13" x14ac:dyDescent="0.2">
      <c r="A325" s="1"/>
      <c r="B325" s="1"/>
      <c r="E325" s="1"/>
      <c r="K325" s="12"/>
      <c r="L325" s="11"/>
      <c r="M325" s="2"/>
    </row>
    <row r="326" spans="1:13" x14ac:dyDescent="0.2">
      <c r="A326" s="1"/>
      <c r="B326" s="1"/>
      <c r="E326" s="1"/>
      <c r="F326" s="1"/>
      <c r="K326" s="12"/>
      <c r="L326" s="11"/>
      <c r="M326" s="2"/>
    </row>
    <row r="327" spans="1:13" x14ac:dyDescent="0.2">
      <c r="A327" s="1"/>
      <c r="B327" s="1"/>
      <c r="E327" s="1"/>
      <c r="K327" s="12"/>
      <c r="L327" s="11"/>
      <c r="M327" s="2"/>
    </row>
    <row r="328" spans="1:13" x14ac:dyDescent="0.2">
      <c r="A328" s="1"/>
      <c r="B328" s="1"/>
      <c r="E328" s="1"/>
      <c r="K328" s="12"/>
      <c r="L328" s="11"/>
      <c r="M328" s="2"/>
    </row>
    <row r="329" spans="1:13" x14ac:dyDescent="0.2">
      <c r="A329" s="1"/>
      <c r="B329" s="1"/>
      <c r="E329" s="1"/>
      <c r="F329" s="1"/>
      <c r="K329" s="12"/>
      <c r="L329" s="11"/>
      <c r="M329" s="2"/>
    </row>
    <row r="330" spans="1:13" x14ac:dyDescent="0.2">
      <c r="A330" s="1"/>
      <c r="B330" s="1"/>
      <c r="E330" s="1"/>
      <c r="F330" s="1"/>
      <c r="K330" s="12"/>
      <c r="L330" s="11"/>
      <c r="M330" s="2"/>
    </row>
  </sheetData>
  <phoneticPr fontId="0" type="noConversion"/>
  <pageMargins left="0.75" right="0.75" top="1" bottom="1" header="0.5" footer="0.5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H104"/>
  <sheetViews>
    <sheetView topLeftCell="A51" workbookViewId="0">
      <selection activeCell="B84" sqref="B84"/>
    </sheetView>
  </sheetViews>
  <sheetFormatPr defaultRowHeight="12.75" x14ac:dyDescent="0.2"/>
  <sheetData>
    <row r="1" spans="1:5" ht="18" x14ac:dyDescent="0.25">
      <c r="A1" s="3" t="s">
        <v>1180</v>
      </c>
    </row>
    <row r="3" spans="1:5" x14ac:dyDescent="0.2">
      <c r="A3" t="s">
        <v>1121</v>
      </c>
    </row>
    <row r="4" spans="1:5" x14ac:dyDescent="0.2">
      <c r="A4" t="s">
        <v>1346</v>
      </c>
      <c r="B4" t="s">
        <v>1302</v>
      </c>
      <c r="D4" t="s">
        <v>291</v>
      </c>
    </row>
    <row r="5" spans="1:5" x14ac:dyDescent="0.2">
      <c r="A5" t="s">
        <v>1347</v>
      </c>
      <c r="B5" s="10">
        <f>-1/SLOPE(Vibrio!K2:K6,Vibrio!H2:H6)</f>
        <v>16.74318202994003</v>
      </c>
      <c r="C5" s="10">
        <f>SLOPE(Vibrio!K2:K77,Vibrio!H2:H77)</f>
        <v>-5.4112150960090089E-2</v>
      </c>
      <c r="D5" s="10">
        <f>-1/SLOPE(Vibrio!K7:K10,Vibrio!H7:H10)</f>
        <v>21.839391663125731</v>
      </c>
      <c r="E5">
        <f>SLOPE(Vibrio!K2:K5,Vibrio!H2:H5)</f>
        <v>-4.2054447626792973E-2</v>
      </c>
    </row>
    <row r="6" spans="1:5" x14ac:dyDescent="0.2">
      <c r="A6" t="s">
        <v>1350</v>
      </c>
      <c r="B6" s="10">
        <v>70</v>
      </c>
      <c r="C6" s="10"/>
      <c r="D6" s="10">
        <v>70</v>
      </c>
    </row>
    <row r="7" spans="1:5" x14ac:dyDescent="0.2">
      <c r="A7" t="s">
        <v>1353</v>
      </c>
      <c r="B7" s="10">
        <f>TINV(0.05,COUNT(Vibrio!K2:K6)-2)</f>
        <v>3.1824463052837091</v>
      </c>
      <c r="C7" s="10"/>
      <c r="D7" s="10">
        <f>TINV(0.05,COUNT(Vibrio!K7:K10)-2)</f>
        <v>4.3026527297494637</v>
      </c>
    </row>
    <row r="8" spans="1:5" x14ac:dyDescent="0.2">
      <c r="A8" t="s">
        <v>1355</v>
      </c>
      <c r="B8" s="10">
        <f>SUMXMY2(Vibrio!K2:K6,Vibrio!L2:L6)</f>
        <v>0.10613583117549011</v>
      </c>
      <c r="C8" s="10"/>
      <c r="D8" s="10">
        <f>SUMXMY2(Vibrio!K7:K10,Vibrio!L7:L10)</f>
        <v>5.8470570229604037E-3</v>
      </c>
    </row>
    <row r="9" spans="1:5" x14ac:dyDescent="0.2">
      <c r="A9" t="s">
        <v>1354</v>
      </c>
      <c r="B9" s="10">
        <f>SQRT(B8/(COUNT(Vibrio!K2:K6)-2))</f>
        <v>0.18809202639088676</v>
      </c>
      <c r="C9" s="10"/>
      <c r="D9" s="10">
        <f>SQRT(D8/(COUNT(Vibrio!K7:K10)-2))</f>
        <v>5.4069663504410698E-2</v>
      </c>
    </row>
    <row r="10" spans="1:5" x14ac:dyDescent="0.2">
      <c r="A10" t="s">
        <v>1351</v>
      </c>
      <c r="B10" s="10">
        <f>INTERCEPT(Vibrio!K2:K6,Vibrio!H2:H6)-$B$6/$B$5</f>
        <v>-0.25398834762924904</v>
      </c>
      <c r="C10" s="10">
        <f>INTERCEPT(Vibrio!K2:K77,Vibrio!H2:H77)</f>
        <v>2.9952544043410847</v>
      </c>
      <c r="D10" s="10">
        <f>INTERCEPT(Vibrio!K7:K10,Vibrio!H7:H10)-$D$6/$D$5</f>
        <v>-0.71736775848810819</v>
      </c>
    </row>
    <row r="11" spans="1:5" x14ac:dyDescent="0.2">
      <c r="A11" t="s">
        <v>135</v>
      </c>
      <c r="B11" s="10">
        <f>B10+B7*B9</f>
        <v>0.34460442681175441</v>
      </c>
      <c r="C11" s="10"/>
      <c r="D11" s="10">
        <f>D10+D7*D9</f>
        <v>-0.48472477321422058</v>
      </c>
    </row>
    <row r="13" spans="1:5" x14ac:dyDescent="0.2">
      <c r="A13" t="s">
        <v>1348</v>
      </c>
      <c r="B13" t="s">
        <v>292</v>
      </c>
      <c r="C13" t="s">
        <v>1352</v>
      </c>
      <c r="D13" t="s">
        <v>288</v>
      </c>
      <c r="E13" t="s">
        <v>1352</v>
      </c>
    </row>
    <row r="14" spans="1:5" x14ac:dyDescent="0.2">
      <c r="A14">
        <v>45</v>
      </c>
      <c r="B14" s="10">
        <f t="shared" ref="B14:B34" si="0">$B$10-(A14-$B$6)/$B$5</f>
        <v>1.239156740042568</v>
      </c>
      <c r="C14" s="10">
        <f t="shared" ref="C14:C34" si="1">B14+$B$7*$B$9</f>
        <v>1.8377495144835714</v>
      </c>
      <c r="D14" s="10">
        <f>$D$10-(A14-$D$6)/$D$5</f>
        <v>0.42735277153520435</v>
      </c>
      <c r="E14" s="10">
        <f>D14+$D$7*$D$9</f>
        <v>0.65999575680909195</v>
      </c>
    </row>
    <row r="15" spans="1:5" x14ac:dyDescent="0.2">
      <c r="A15">
        <f>A14+5</f>
        <v>50</v>
      </c>
      <c r="B15" s="10">
        <f t="shared" si="0"/>
        <v>0.94052772250820471</v>
      </c>
      <c r="C15" s="10">
        <f t="shared" si="1"/>
        <v>1.5391204969492081</v>
      </c>
      <c r="D15" s="10">
        <f t="shared" ref="D15:D34" si="2">$D$10-(A15-$D$6)/$D$5</f>
        <v>0.19840866553054182</v>
      </c>
      <c r="E15" s="10">
        <f t="shared" ref="E15:E34" si="3">D15+$D$7*$D$9</f>
        <v>0.43105165080442942</v>
      </c>
    </row>
    <row r="16" spans="1:5" x14ac:dyDescent="0.2">
      <c r="A16">
        <f>A15+5</f>
        <v>55</v>
      </c>
      <c r="B16" s="10">
        <f t="shared" si="0"/>
        <v>0.64189870497384127</v>
      </c>
      <c r="C16" s="10">
        <f t="shared" si="1"/>
        <v>1.2404914794148447</v>
      </c>
      <c r="D16" s="10">
        <f t="shared" si="2"/>
        <v>-3.0535440474120712E-2</v>
      </c>
      <c r="E16" s="10">
        <f t="shared" si="3"/>
        <v>0.20210754479976692</v>
      </c>
    </row>
    <row r="17" spans="1:5" x14ac:dyDescent="0.2">
      <c r="A17">
        <f>A16+5</f>
        <v>60</v>
      </c>
      <c r="B17" s="10">
        <f t="shared" si="0"/>
        <v>0.34326968743947783</v>
      </c>
      <c r="C17" s="10">
        <f t="shared" si="1"/>
        <v>0.94186246188048128</v>
      </c>
      <c r="D17" s="10">
        <f t="shared" si="2"/>
        <v>-0.25947954647878319</v>
      </c>
      <c r="E17" s="10">
        <f t="shared" si="3"/>
        <v>-2.6836561204895554E-2</v>
      </c>
    </row>
    <row r="18" spans="1:5" x14ac:dyDescent="0.2">
      <c r="A18">
        <f>A17+5</f>
        <v>65</v>
      </c>
      <c r="B18" s="10">
        <f t="shared" si="0"/>
        <v>4.4640669905114394E-2</v>
      </c>
      <c r="C18" s="10">
        <f t="shared" si="1"/>
        <v>0.64323344434611784</v>
      </c>
      <c r="D18" s="10">
        <f t="shared" si="2"/>
        <v>-0.48842365248344566</v>
      </c>
      <c r="E18" s="10">
        <f t="shared" si="3"/>
        <v>-0.25578066720955805</v>
      </c>
    </row>
    <row r="19" spans="1:5" x14ac:dyDescent="0.2">
      <c r="A19">
        <v>70</v>
      </c>
      <c r="B19" s="10">
        <f t="shared" si="0"/>
        <v>-0.25398834762924904</v>
      </c>
      <c r="C19" s="10">
        <f t="shared" si="1"/>
        <v>0.34460442681175441</v>
      </c>
      <c r="D19" s="10">
        <f t="shared" si="2"/>
        <v>-0.71736775848810819</v>
      </c>
      <c r="E19" s="10">
        <f t="shared" si="3"/>
        <v>-0.48472477321422058</v>
      </c>
    </row>
    <row r="20" spans="1:5" x14ac:dyDescent="0.2">
      <c r="A20">
        <f>A19+5</f>
        <v>75</v>
      </c>
      <c r="B20" s="10">
        <f t="shared" si="0"/>
        <v>-0.55261736516361248</v>
      </c>
      <c r="C20" s="10">
        <f t="shared" si="1"/>
        <v>4.5975409277390966E-2</v>
      </c>
      <c r="D20" s="10">
        <f t="shared" si="2"/>
        <v>-0.94631186449277072</v>
      </c>
      <c r="E20" s="10">
        <f t="shared" si="3"/>
        <v>-0.71366887921888311</v>
      </c>
    </row>
    <row r="21" spans="1:5" x14ac:dyDescent="0.2">
      <c r="A21">
        <f t="shared" ref="A21:A34" si="4">A20+5</f>
        <v>80</v>
      </c>
      <c r="B21" s="10">
        <f t="shared" si="0"/>
        <v>-0.85124638269797592</v>
      </c>
      <c r="C21" s="10">
        <f t="shared" si="1"/>
        <v>-0.25265360825697247</v>
      </c>
      <c r="D21" s="10">
        <f t="shared" si="2"/>
        <v>-1.1752559704974332</v>
      </c>
      <c r="E21" s="10">
        <f t="shared" si="3"/>
        <v>-0.94261298522354564</v>
      </c>
    </row>
    <row r="22" spans="1:5" x14ac:dyDescent="0.2">
      <c r="A22">
        <f t="shared" si="4"/>
        <v>85</v>
      </c>
      <c r="B22" s="10">
        <f t="shared" si="0"/>
        <v>-1.1498754002323395</v>
      </c>
      <c r="C22" s="10">
        <f t="shared" si="1"/>
        <v>-0.55128262579133602</v>
      </c>
      <c r="D22" s="10">
        <f t="shared" si="2"/>
        <v>-1.4042000765020957</v>
      </c>
      <c r="E22" s="10">
        <f t="shared" si="3"/>
        <v>-1.1715570912282081</v>
      </c>
    </row>
    <row r="23" spans="1:5" x14ac:dyDescent="0.2">
      <c r="A23">
        <f t="shared" si="4"/>
        <v>90</v>
      </c>
      <c r="B23" s="10">
        <f t="shared" si="0"/>
        <v>-1.4485044177667028</v>
      </c>
      <c r="C23" s="10">
        <f t="shared" si="1"/>
        <v>-0.84991164332569935</v>
      </c>
      <c r="D23" s="10">
        <f t="shared" si="2"/>
        <v>-1.6331441825067583</v>
      </c>
      <c r="E23" s="10">
        <f t="shared" si="3"/>
        <v>-1.4005011972328707</v>
      </c>
    </row>
    <row r="24" spans="1:5" x14ac:dyDescent="0.2">
      <c r="A24">
        <f t="shared" si="4"/>
        <v>95</v>
      </c>
      <c r="B24" s="10">
        <f t="shared" si="0"/>
        <v>-1.7471334353010661</v>
      </c>
      <c r="C24" s="10">
        <f t="shared" si="1"/>
        <v>-1.1485406608600628</v>
      </c>
      <c r="D24" s="10">
        <f t="shared" si="2"/>
        <v>-1.8620882885114207</v>
      </c>
      <c r="E24" s="10">
        <f t="shared" si="3"/>
        <v>-1.6294453032375331</v>
      </c>
    </row>
    <row r="25" spans="1:5" x14ac:dyDescent="0.2">
      <c r="A25">
        <f t="shared" si="4"/>
        <v>100</v>
      </c>
      <c r="B25" s="10">
        <f t="shared" si="0"/>
        <v>-2.0457624528354295</v>
      </c>
      <c r="C25" s="10">
        <f t="shared" si="1"/>
        <v>-1.4471696783944261</v>
      </c>
      <c r="D25" s="10">
        <f t="shared" si="2"/>
        <v>-2.0910323945160831</v>
      </c>
      <c r="E25" s="10">
        <f t="shared" si="3"/>
        <v>-1.8583894092421955</v>
      </c>
    </row>
    <row r="26" spans="1:5" x14ac:dyDescent="0.2">
      <c r="A26">
        <f t="shared" si="4"/>
        <v>105</v>
      </c>
      <c r="B26" s="10">
        <f t="shared" si="0"/>
        <v>-2.3443914703697932</v>
      </c>
      <c r="C26" s="10">
        <f t="shared" si="1"/>
        <v>-1.7457986959287899</v>
      </c>
      <c r="D26" s="10">
        <f t="shared" si="2"/>
        <v>-2.3199765005207458</v>
      </c>
      <c r="E26" s="10">
        <f t="shared" si="3"/>
        <v>-2.0873335152468582</v>
      </c>
    </row>
    <row r="27" spans="1:5" x14ac:dyDescent="0.2">
      <c r="A27">
        <f t="shared" si="4"/>
        <v>110</v>
      </c>
      <c r="B27" s="10">
        <f t="shared" si="0"/>
        <v>-2.6430204879041566</v>
      </c>
      <c r="C27" s="10">
        <f t="shared" si="1"/>
        <v>-2.0444277134631532</v>
      </c>
      <c r="D27" s="10">
        <f t="shared" si="2"/>
        <v>-2.5489206065254084</v>
      </c>
      <c r="E27" s="10">
        <f t="shared" si="3"/>
        <v>-2.3162776212515208</v>
      </c>
    </row>
    <row r="28" spans="1:5" x14ac:dyDescent="0.2">
      <c r="A28">
        <f t="shared" si="4"/>
        <v>115</v>
      </c>
      <c r="B28" s="10">
        <f t="shared" si="0"/>
        <v>-2.9416495054385199</v>
      </c>
      <c r="C28" s="10">
        <f t="shared" si="1"/>
        <v>-2.3430567309975165</v>
      </c>
      <c r="D28" s="10">
        <f t="shared" si="2"/>
        <v>-2.7778647125300706</v>
      </c>
      <c r="E28" s="10">
        <f t="shared" si="3"/>
        <v>-2.545221727256183</v>
      </c>
    </row>
    <row r="29" spans="1:5" x14ac:dyDescent="0.2">
      <c r="A29">
        <f t="shared" si="4"/>
        <v>120</v>
      </c>
      <c r="B29" s="10">
        <f t="shared" si="0"/>
        <v>-3.2402785229728832</v>
      </c>
      <c r="C29" s="10">
        <f t="shared" si="1"/>
        <v>-2.6416857485318799</v>
      </c>
      <c r="D29" s="10">
        <f t="shared" si="2"/>
        <v>-3.0068088185347333</v>
      </c>
      <c r="E29" s="10">
        <f t="shared" si="3"/>
        <v>-2.7741658332608456</v>
      </c>
    </row>
    <row r="30" spans="1:5" x14ac:dyDescent="0.2">
      <c r="A30">
        <f t="shared" si="4"/>
        <v>125</v>
      </c>
      <c r="B30" s="10">
        <f t="shared" si="0"/>
        <v>-3.538907540507247</v>
      </c>
      <c r="C30" s="10">
        <f t="shared" si="1"/>
        <v>-2.9403147660662436</v>
      </c>
      <c r="D30" s="10">
        <f t="shared" si="2"/>
        <v>-3.2357529245393959</v>
      </c>
      <c r="E30" s="10">
        <f t="shared" si="3"/>
        <v>-3.0031099392655083</v>
      </c>
    </row>
    <row r="31" spans="1:5" x14ac:dyDescent="0.2">
      <c r="A31">
        <f t="shared" si="4"/>
        <v>130</v>
      </c>
      <c r="B31" s="10">
        <f t="shared" si="0"/>
        <v>-3.8375365580416103</v>
      </c>
      <c r="C31" s="10">
        <f t="shared" si="1"/>
        <v>-3.238943783600607</v>
      </c>
      <c r="D31" s="10">
        <f t="shared" si="2"/>
        <v>-3.4646970305440581</v>
      </c>
      <c r="E31" s="10">
        <f t="shared" si="3"/>
        <v>-3.2320540452701705</v>
      </c>
    </row>
    <row r="32" spans="1:5" x14ac:dyDescent="0.2">
      <c r="A32">
        <f t="shared" si="4"/>
        <v>135</v>
      </c>
      <c r="B32" s="10">
        <f t="shared" si="0"/>
        <v>-4.1361655755759736</v>
      </c>
      <c r="C32" s="10">
        <f t="shared" si="1"/>
        <v>-3.5375728011349703</v>
      </c>
      <c r="D32" s="10">
        <f t="shared" si="2"/>
        <v>-3.6936411365487207</v>
      </c>
      <c r="E32" s="10">
        <f t="shared" si="3"/>
        <v>-3.4609981512748331</v>
      </c>
    </row>
    <row r="33" spans="1:5" x14ac:dyDescent="0.2">
      <c r="A33">
        <f t="shared" si="4"/>
        <v>140</v>
      </c>
      <c r="B33" s="10">
        <f t="shared" si="0"/>
        <v>-4.4347945931103379</v>
      </c>
      <c r="C33" s="10">
        <f t="shared" si="1"/>
        <v>-3.8362018186693345</v>
      </c>
      <c r="D33" s="10">
        <f t="shared" si="2"/>
        <v>-3.9225852425533834</v>
      </c>
      <c r="E33" s="10">
        <f t="shared" si="3"/>
        <v>-3.6899422572794958</v>
      </c>
    </row>
    <row r="34" spans="1:5" x14ac:dyDescent="0.2">
      <c r="A34">
        <f t="shared" si="4"/>
        <v>145</v>
      </c>
      <c r="B34" s="10">
        <f t="shared" si="0"/>
        <v>-4.7334236106447012</v>
      </c>
      <c r="C34" s="10">
        <f t="shared" si="1"/>
        <v>-4.1348308362036974</v>
      </c>
      <c r="D34" s="10">
        <f t="shared" si="2"/>
        <v>-4.1515293485580456</v>
      </c>
      <c r="E34" s="10">
        <f t="shared" si="3"/>
        <v>-3.918886363284158</v>
      </c>
    </row>
    <row r="38" spans="1:5" x14ac:dyDescent="0.2">
      <c r="A38" t="s">
        <v>794</v>
      </c>
    </row>
    <row r="39" spans="1:5" x14ac:dyDescent="0.2">
      <c r="A39" t="s">
        <v>1346</v>
      </c>
    </row>
    <row r="40" spans="1:5" x14ac:dyDescent="0.2">
      <c r="A40" t="s">
        <v>1347</v>
      </c>
      <c r="B40" s="10">
        <f>-1/SLOPE(Vibrio!K11:K44,Vibrio!H11:H44)</f>
        <v>8.5123690846466129</v>
      </c>
      <c r="C40" s="10">
        <f>SLOPE(Vibrio!K11:K25,Vibrio!H11:H25)</f>
        <v>-0.11377171550261514</v>
      </c>
      <c r="D40" s="10"/>
      <c r="E40" s="10"/>
    </row>
    <row r="41" spans="1:5" x14ac:dyDescent="0.2">
      <c r="A41" t="s">
        <v>1350</v>
      </c>
      <c r="B41" s="10">
        <v>70</v>
      </c>
      <c r="C41" s="10"/>
      <c r="D41" s="10"/>
    </row>
    <row r="42" spans="1:5" x14ac:dyDescent="0.2">
      <c r="A42" t="s">
        <v>1353</v>
      </c>
      <c r="B42" s="10">
        <f>TINV(0.05,COUNT(Vibrio!K11:K44)-2)</f>
        <v>2.0369333434601011</v>
      </c>
      <c r="C42" s="10"/>
      <c r="D42" s="10"/>
    </row>
    <row r="43" spans="1:5" x14ac:dyDescent="0.2">
      <c r="A43" t="s">
        <v>1355</v>
      </c>
      <c r="B43" s="10">
        <f>SUMXMY2(Vibrio!K11:K44,Vibrio!L11:L44)</f>
        <v>6.8315085927442158</v>
      </c>
      <c r="C43" s="10"/>
      <c r="D43" s="10"/>
    </row>
    <row r="44" spans="1:5" x14ac:dyDescent="0.2">
      <c r="A44" t="s">
        <v>1354</v>
      </c>
      <c r="B44" s="10">
        <f>SQRT(B43/(COUNT(Vibrio!K11:K44)-2))</f>
        <v>0.46204398440327815</v>
      </c>
      <c r="C44" s="10"/>
      <c r="D44" s="10"/>
    </row>
    <row r="45" spans="1:5" x14ac:dyDescent="0.2">
      <c r="A45" t="s">
        <v>1351</v>
      </c>
      <c r="B45" s="10">
        <f>INTERCEPT(Vibrio!K11:K44,Vibrio!H11:H44)-$B$41/$B$40</f>
        <v>-2.2380146621446499</v>
      </c>
      <c r="C45" s="10">
        <f>INTERCEPT(Vibrio!K11:K25,Vibrio!H11:H25)</f>
        <v>5.8107029532614805</v>
      </c>
      <c r="D45" s="10"/>
    </row>
    <row r="46" spans="1:5" x14ac:dyDescent="0.2">
      <c r="A46" t="s">
        <v>135</v>
      </c>
      <c r="B46" s="10">
        <f>B45+B42*B44</f>
        <v>-1.2968618641684537</v>
      </c>
      <c r="C46" s="10"/>
      <c r="D46" s="10"/>
    </row>
    <row r="48" spans="1:5" x14ac:dyDescent="0.2">
      <c r="A48" t="s">
        <v>1348</v>
      </c>
      <c r="B48" t="s">
        <v>292</v>
      </c>
      <c r="C48" t="s">
        <v>1352</v>
      </c>
    </row>
    <row r="49" spans="1:5" x14ac:dyDescent="0.2">
      <c r="A49">
        <v>45</v>
      </c>
      <c r="B49" s="10">
        <f>$B$45-(A49-$B$41)/$B$40</f>
        <v>0.69888806744814991</v>
      </c>
      <c r="C49" s="10">
        <f t="shared" ref="C49:C69" si="5">B49+$B$7*$B$9</f>
        <v>1.2974808418891532</v>
      </c>
      <c r="D49" s="10"/>
      <c r="E49" s="10"/>
    </row>
    <row r="50" spans="1:5" x14ac:dyDescent="0.2">
      <c r="A50">
        <f>A49+5</f>
        <v>50</v>
      </c>
      <c r="B50" s="10">
        <f t="shared" ref="B50:B69" si="6">$B$45-(A50-$B$41)/$B$40</f>
        <v>0.11150752152958976</v>
      </c>
      <c r="C50" s="10">
        <f t="shared" si="5"/>
        <v>0.71010029597059321</v>
      </c>
      <c r="D50" s="10"/>
      <c r="E50" s="10"/>
    </row>
    <row r="51" spans="1:5" x14ac:dyDescent="0.2">
      <c r="A51">
        <f>A50+5</f>
        <v>55</v>
      </c>
      <c r="B51" s="10">
        <f t="shared" si="6"/>
        <v>-0.47587302438897017</v>
      </c>
      <c r="C51" s="10">
        <f t="shared" si="5"/>
        <v>0.12271975005203328</v>
      </c>
      <c r="D51" s="10"/>
      <c r="E51" s="10"/>
    </row>
    <row r="52" spans="1:5" x14ac:dyDescent="0.2">
      <c r="A52">
        <f>A51+5</f>
        <v>60</v>
      </c>
      <c r="B52" s="10">
        <f t="shared" si="6"/>
        <v>-1.0632535703075301</v>
      </c>
      <c r="C52" s="10">
        <f t="shared" si="5"/>
        <v>-0.46466079586652664</v>
      </c>
      <c r="D52" s="10"/>
      <c r="E52" s="10"/>
    </row>
    <row r="53" spans="1:5" x14ac:dyDescent="0.2">
      <c r="A53">
        <f>A52+5</f>
        <v>65</v>
      </c>
      <c r="B53" s="10">
        <f t="shared" si="6"/>
        <v>-1.65063411622609</v>
      </c>
      <c r="C53" s="10">
        <f t="shared" si="5"/>
        <v>-1.0520413417850865</v>
      </c>
      <c r="D53" s="10"/>
      <c r="E53" s="10"/>
    </row>
    <row r="54" spans="1:5" x14ac:dyDescent="0.2">
      <c r="A54">
        <v>70</v>
      </c>
      <c r="B54" s="10">
        <f t="shared" si="6"/>
        <v>-2.2380146621446499</v>
      </c>
      <c r="C54" s="10">
        <f t="shared" si="5"/>
        <v>-1.6394218877036466</v>
      </c>
      <c r="D54" s="10"/>
      <c r="E54" s="10"/>
    </row>
    <row r="55" spans="1:5" x14ac:dyDescent="0.2">
      <c r="A55">
        <f>A54+5</f>
        <v>75</v>
      </c>
      <c r="B55" s="10">
        <f t="shared" si="6"/>
        <v>-2.8253952080632097</v>
      </c>
      <c r="C55" s="10">
        <f t="shared" si="5"/>
        <v>-2.2268024336222063</v>
      </c>
      <c r="D55" s="10"/>
      <c r="E55" s="10"/>
    </row>
    <row r="56" spans="1:5" x14ac:dyDescent="0.2">
      <c r="A56">
        <f t="shared" ref="A56:A69" si="7">A55+5</f>
        <v>80</v>
      </c>
      <c r="B56" s="10">
        <f t="shared" si="6"/>
        <v>-3.4127757539817698</v>
      </c>
      <c r="C56" s="10">
        <f t="shared" si="5"/>
        <v>-2.8141829795407665</v>
      </c>
      <c r="D56" s="10"/>
      <c r="E56" s="10"/>
    </row>
    <row r="57" spans="1:5" x14ac:dyDescent="0.2">
      <c r="A57">
        <f t="shared" si="7"/>
        <v>85</v>
      </c>
      <c r="B57" s="10">
        <f t="shared" si="6"/>
        <v>-4.0001562999003299</v>
      </c>
      <c r="C57" s="10">
        <f t="shared" si="5"/>
        <v>-3.4015635254593266</v>
      </c>
      <c r="D57" s="10"/>
      <c r="E57" s="10"/>
    </row>
    <row r="58" spans="1:5" x14ac:dyDescent="0.2">
      <c r="A58">
        <f t="shared" si="7"/>
        <v>90</v>
      </c>
      <c r="B58" s="10">
        <f t="shared" si="6"/>
        <v>-4.5875368458188897</v>
      </c>
      <c r="C58" s="10">
        <f t="shared" si="5"/>
        <v>-3.9889440713778863</v>
      </c>
      <c r="D58" s="10"/>
      <c r="E58" s="10"/>
    </row>
    <row r="59" spans="1:5" x14ac:dyDescent="0.2">
      <c r="A59">
        <f t="shared" si="7"/>
        <v>95</v>
      </c>
      <c r="B59" s="10">
        <f t="shared" si="6"/>
        <v>-5.1749173917374502</v>
      </c>
      <c r="C59" s="10">
        <f t="shared" si="5"/>
        <v>-4.5763246172964465</v>
      </c>
      <c r="D59" s="10"/>
      <c r="E59" s="10"/>
    </row>
    <row r="60" spans="1:5" x14ac:dyDescent="0.2">
      <c r="A60">
        <f t="shared" si="7"/>
        <v>100</v>
      </c>
      <c r="B60" s="10">
        <f t="shared" si="6"/>
        <v>-5.7622979376560099</v>
      </c>
      <c r="C60" s="10">
        <f t="shared" si="5"/>
        <v>-5.1637051632150062</v>
      </c>
      <c r="D60" s="10"/>
      <c r="E60" s="10"/>
    </row>
    <row r="61" spans="1:5" x14ac:dyDescent="0.2">
      <c r="A61">
        <f t="shared" si="7"/>
        <v>105</v>
      </c>
      <c r="B61" s="10">
        <f t="shared" si="6"/>
        <v>-6.3496784835745697</v>
      </c>
      <c r="C61" s="10">
        <f t="shared" si="5"/>
        <v>-5.7510857091335659</v>
      </c>
      <c r="D61" s="10"/>
      <c r="E61" s="10"/>
    </row>
    <row r="62" spans="1:5" x14ac:dyDescent="0.2">
      <c r="A62">
        <f t="shared" si="7"/>
        <v>110</v>
      </c>
      <c r="B62" s="10">
        <f t="shared" si="6"/>
        <v>-6.9370590294931294</v>
      </c>
      <c r="C62" s="10">
        <f t="shared" si="5"/>
        <v>-6.3384662550521256</v>
      </c>
      <c r="D62" s="10"/>
      <c r="E62" s="10"/>
    </row>
    <row r="63" spans="1:5" x14ac:dyDescent="0.2">
      <c r="A63">
        <f t="shared" si="7"/>
        <v>115</v>
      </c>
      <c r="B63" s="10">
        <f t="shared" si="6"/>
        <v>-7.52443957541169</v>
      </c>
      <c r="C63" s="10">
        <f t="shared" si="5"/>
        <v>-6.9258468009706862</v>
      </c>
      <c r="D63" s="10"/>
      <c r="E63" s="10"/>
    </row>
    <row r="64" spans="1:5" x14ac:dyDescent="0.2">
      <c r="A64">
        <f t="shared" si="7"/>
        <v>120</v>
      </c>
      <c r="B64" s="10">
        <f t="shared" si="6"/>
        <v>-8.1118201213302505</v>
      </c>
      <c r="C64" s="10">
        <f t="shared" si="5"/>
        <v>-7.5132273468892468</v>
      </c>
      <c r="D64" s="10"/>
      <c r="E64" s="10"/>
    </row>
    <row r="65" spans="1:8" x14ac:dyDescent="0.2">
      <c r="A65">
        <f t="shared" si="7"/>
        <v>125</v>
      </c>
      <c r="B65" s="10">
        <f t="shared" si="6"/>
        <v>-8.6992006672488102</v>
      </c>
      <c r="C65" s="10">
        <f t="shared" si="5"/>
        <v>-8.1006078928078065</v>
      </c>
      <c r="D65" s="10"/>
      <c r="E65" s="10"/>
    </row>
    <row r="66" spans="1:8" x14ac:dyDescent="0.2">
      <c r="A66">
        <f t="shared" si="7"/>
        <v>130</v>
      </c>
      <c r="B66" s="10">
        <f t="shared" si="6"/>
        <v>-9.28658121316737</v>
      </c>
      <c r="C66" s="10">
        <f t="shared" si="5"/>
        <v>-8.6879884387263662</v>
      </c>
      <c r="D66" s="10"/>
      <c r="E66" s="10"/>
    </row>
    <row r="67" spans="1:8" x14ac:dyDescent="0.2">
      <c r="A67">
        <f t="shared" si="7"/>
        <v>135</v>
      </c>
      <c r="B67" s="10">
        <f t="shared" si="6"/>
        <v>-9.8739617590859297</v>
      </c>
      <c r="C67" s="10">
        <f t="shared" si="5"/>
        <v>-9.2753689846449259</v>
      </c>
      <c r="D67" s="10"/>
      <c r="E67" s="10"/>
    </row>
    <row r="68" spans="1:8" x14ac:dyDescent="0.2">
      <c r="A68">
        <f t="shared" si="7"/>
        <v>140</v>
      </c>
      <c r="B68" s="10">
        <f t="shared" si="6"/>
        <v>-10.461342305004489</v>
      </c>
      <c r="C68" s="10">
        <f t="shared" si="5"/>
        <v>-9.8627495305634856</v>
      </c>
      <c r="D68" s="10"/>
      <c r="E68" s="10"/>
    </row>
    <row r="69" spans="1:8" x14ac:dyDescent="0.2">
      <c r="A69">
        <f t="shared" si="7"/>
        <v>145</v>
      </c>
      <c r="B69" s="10">
        <f t="shared" si="6"/>
        <v>-11.048722850923049</v>
      </c>
      <c r="C69" s="10">
        <f t="shared" si="5"/>
        <v>-10.450130076482045</v>
      </c>
      <c r="D69" s="10"/>
      <c r="E69" s="10"/>
    </row>
    <row r="74" spans="1:8" x14ac:dyDescent="0.2">
      <c r="A74" s="24" t="s">
        <v>284</v>
      </c>
    </row>
    <row r="76" spans="1:8" x14ac:dyDescent="0.2">
      <c r="A76" t="s">
        <v>250</v>
      </c>
      <c r="D76" t="s">
        <v>285</v>
      </c>
      <c r="G76" t="s">
        <v>286</v>
      </c>
    </row>
    <row r="77" spans="1:8" x14ac:dyDescent="0.2">
      <c r="A77" t="s">
        <v>251</v>
      </c>
      <c r="B77" s="10">
        <f>SLOPE(Vibrio!K2:K10,Vibrio!H2:H10)</f>
        <v>-4.5108284251928782E-2</v>
      </c>
      <c r="D77" t="s">
        <v>251</v>
      </c>
      <c r="E77" s="10">
        <f>SLOPE(Vibrio!K2:K6,Vibrio!H2:H6)</f>
        <v>-5.9725803506872691E-2</v>
      </c>
      <c r="G77" t="s">
        <v>251</v>
      </c>
      <c r="H77" s="10">
        <f>SLOPE(Vibrio!K7:K10,Vibrio!H7:H10)</f>
        <v>-4.57888212009325E-2</v>
      </c>
    </row>
    <row r="78" spans="1:8" x14ac:dyDescent="0.2">
      <c r="A78" t="s">
        <v>202</v>
      </c>
      <c r="B78" s="10">
        <f>INTERCEPT(Vibrio!K2:K10,Vibrio!H2:H10)</f>
        <v>2.7829368071788725</v>
      </c>
      <c r="D78" t="s">
        <v>252</v>
      </c>
      <c r="E78" s="10">
        <f>INTERCEPT(Vibrio!K2:K6,Vibrio!H2:H6)</f>
        <v>3.9268178978518393</v>
      </c>
      <c r="G78" t="s">
        <v>252</v>
      </c>
      <c r="H78" s="10">
        <f>INTERCEPT(Vibrio!K7:K10,Vibrio!H7:H10)</f>
        <v>2.487849725577167</v>
      </c>
    </row>
    <row r="79" spans="1:8" x14ac:dyDescent="0.2">
      <c r="A79" t="s">
        <v>259</v>
      </c>
      <c r="B79" s="10">
        <f>SUMXMY2(Vibrio!R2:R10,Vibrio!K2:K10)</f>
        <v>0.9801099535360166</v>
      </c>
      <c r="D79" t="s">
        <v>259</v>
      </c>
      <c r="E79" s="10">
        <f>SUMXMY2(Vibrio!K2:K6,Vibrio!S2:S6)</f>
        <v>0.10613583117548996</v>
      </c>
      <c r="G79" t="s">
        <v>259</v>
      </c>
      <c r="H79" s="10">
        <f>SUMXMY2(Vibrio!K7:K10,Vibrio!T7:T10)</f>
        <v>5.8470570229603898E-3</v>
      </c>
    </row>
    <row r="80" spans="1:8" x14ac:dyDescent="0.2">
      <c r="D80" t="s">
        <v>260</v>
      </c>
      <c r="E80" s="10">
        <f>E79+H79</f>
        <v>0.11198288819845034</v>
      </c>
    </row>
    <row r="82" spans="1:3" x14ac:dyDescent="0.2">
      <c r="A82" t="s">
        <v>262</v>
      </c>
      <c r="B82">
        <f>COUNT(Vibrio!K2:K10)</f>
        <v>9</v>
      </c>
    </row>
    <row r="83" spans="1:3" x14ac:dyDescent="0.2">
      <c r="A83" t="s">
        <v>261</v>
      </c>
      <c r="B83" s="10">
        <f>((B79-E80)/2)/(E80/(B82-4))</f>
        <v>19.38079735448321</v>
      </c>
    </row>
    <row r="84" spans="1:3" x14ac:dyDescent="0.2">
      <c r="A84" t="s">
        <v>289</v>
      </c>
      <c r="B84" s="10">
        <f>FINV(0.05,2,B82-4)</f>
        <v>5.786135043349967</v>
      </c>
    </row>
    <row r="85" spans="1:3" x14ac:dyDescent="0.2">
      <c r="A85" t="s">
        <v>255</v>
      </c>
      <c r="B85" s="10">
        <f>(B79/(B82-2))/(E80/(B82-4))</f>
        <v>6.2516563869952027</v>
      </c>
    </row>
    <row r="86" spans="1:3" x14ac:dyDescent="0.2">
      <c r="A86" t="s">
        <v>290</v>
      </c>
      <c r="B86" s="10">
        <f>FINV(0.05,B82-2,B82-4)</f>
        <v>4.8758716958339994</v>
      </c>
    </row>
    <row r="88" spans="1:3" x14ac:dyDescent="0.2">
      <c r="A88" s="24" t="s">
        <v>896</v>
      </c>
    </row>
    <row r="89" spans="1:3" x14ac:dyDescent="0.2">
      <c r="B89" s="10"/>
      <c r="C89" s="10"/>
    </row>
    <row r="90" spans="1:3" x14ac:dyDescent="0.2">
      <c r="A90" t="s">
        <v>897</v>
      </c>
      <c r="B90" s="10"/>
      <c r="C90" s="10"/>
    </row>
    <row r="91" spans="1:3" x14ac:dyDescent="0.2">
      <c r="A91" t="s">
        <v>898</v>
      </c>
      <c r="B91" s="10">
        <v>0</v>
      </c>
      <c r="C91" s="10"/>
    </row>
    <row r="92" spans="1:3" x14ac:dyDescent="0.2">
      <c r="B92" s="10"/>
      <c r="C92" s="10"/>
    </row>
    <row r="93" spans="1:3" x14ac:dyDescent="0.2">
      <c r="A93" t="s">
        <v>904</v>
      </c>
      <c r="B93" s="10"/>
      <c r="C93" s="10"/>
    </row>
    <row r="94" spans="1:3" x14ac:dyDescent="0.2">
      <c r="B94" s="10"/>
      <c r="C94" s="10"/>
    </row>
    <row r="95" spans="1:3" x14ac:dyDescent="0.2">
      <c r="B95" s="10"/>
      <c r="C95" s="10"/>
    </row>
    <row r="96" spans="1:3" x14ac:dyDescent="0.2">
      <c r="B96" s="10"/>
      <c r="C96" s="10"/>
    </row>
    <row r="97" spans="2:3" x14ac:dyDescent="0.2">
      <c r="B97" s="10"/>
      <c r="C97" s="10"/>
    </row>
    <row r="98" spans="2:3" x14ac:dyDescent="0.2">
      <c r="B98" s="10"/>
      <c r="C98" s="10"/>
    </row>
    <row r="99" spans="2:3" x14ac:dyDescent="0.2">
      <c r="B99" s="10"/>
      <c r="C99" s="10"/>
    </row>
    <row r="100" spans="2:3" x14ac:dyDescent="0.2">
      <c r="B100" s="10"/>
      <c r="C100" s="10"/>
    </row>
    <row r="101" spans="2:3" x14ac:dyDescent="0.2">
      <c r="B101" s="10"/>
      <c r="C101" s="10"/>
    </row>
    <row r="102" spans="2:3" x14ac:dyDescent="0.2">
      <c r="B102" s="10"/>
      <c r="C102" s="10"/>
    </row>
    <row r="103" spans="2:3" x14ac:dyDescent="0.2">
      <c r="B103" s="10"/>
      <c r="C103" s="10"/>
    </row>
    <row r="104" spans="2:3" x14ac:dyDescent="0.2">
      <c r="B104" s="10"/>
      <c r="C104" s="10"/>
    </row>
  </sheetData>
  <phoneticPr fontId="0" type="noConversion"/>
  <pageMargins left="0.75" right="0.75" top="1" bottom="1" header="0.5" footer="0.5"/>
  <headerFooter alignWithMargins="0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O292"/>
  <sheetViews>
    <sheetView topLeftCell="C1" workbookViewId="0">
      <pane ySplit="1" topLeftCell="A66" activePane="bottomLeft" state="frozen"/>
      <selection activeCell="C1" sqref="C1"/>
      <selection pane="bottomLeft" activeCell="L66" sqref="L66"/>
    </sheetView>
  </sheetViews>
  <sheetFormatPr defaultRowHeight="12.75" x14ac:dyDescent="0.2"/>
  <cols>
    <col min="1" max="1" width="16.42578125" customWidth="1"/>
    <col min="2" max="2" width="15.5703125" customWidth="1"/>
    <col min="3" max="3" width="9.42578125" customWidth="1"/>
    <col min="4" max="4" width="16.28515625" customWidth="1"/>
    <col min="5" max="5" width="15.42578125" customWidth="1"/>
    <col min="6" max="6" width="26.140625" customWidth="1"/>
    <col min="7" max="7" width="8.5703125" style="4" customWidth="1"/>
    <col min="8" max="8" width="10.28515625" style="4" customWidth="1"/>
    <col min="9" max="9" width="9.140625" style="11" customWidth="1"/>
    <col min="10" max="11" width="9.140625" style="4" customWidth="1"/>
    <col min="12" max="12" width="15" style="4" customWidth="1"/>
    <col min="15" max="15" width="16.85546875" customWidth="1"/>
  </cols>
  <sheetData>
    <row r="1" spans="1:15" s="18" customFormat="1" ht="15" x14ac:dyDescent="0.25">
      <c r="A1" s="14" t="s">
        <v>1221</v>
      </c>
      <c r="B1" s="14" t="s">
        <v>64</v>
      </c>
      <c r="C1" s="14" t="s">
        <v>65</v>
      </c>
      <c r="D1" s="14" t="s">
        <v>39</v>
      </c>
      <c r="E1" s="14" t="s">
        <v>1222</v>
      </c>
      <c r="F1" s="14" t="s">
        <v>1255</v>
      </c>
      <c r="G1" s="15" t="s">
        <v>1230</v>
      </c>
      <c r="H1" s="15" t="s">
        <v>1229</v>
      </c>
      <c r="I1" s="20" t="s">
        <v>1232</v>
      </c>
      <c r="J1" s="15" t="s">
        <v>1231</v>
      </c>
      <c r="K1" s="15" t="s">
        <v>1343</v>
      </c>
      <c r="L1" s="17" t="s">
        <v>1344</v>
      </c>
      <c r="M1" s="14" t="s">
        <v>1223</v>
      </c>
      <c r="N1" s="14" t="s">
        <v>1224</v>
      </c>
      <c r="O1" s="14" t="s">
        <v>1225</v>
      </c>
    </row>
    <row r="2" spans="1:15" x14ac:dyDescent="0.2">
      <c r="A2" s="1" t="s">
        <v>227</v>
      </c>
      <c r="B2" s="1" t="s">
        <v>228</v>
      </c>
      <c r="D2" t="s">
        <v>42</v>
      </c>
      <c r="E2" s="1" t="s">
        <v>1240</v>
      </c>
      <c r="F2" s="1" t="s">
        <v>8</v>
      </c>
      <c r="H2" s="4">
        <v>51.7</v>
      </c>
      <c r="I2" s="11">
        <v>23.4</v>
      </c>
      <c r="K2" s="12">
        <f t="shared" ref="K2:K46" si="0">LOG(I2)</f>
        <v>1.3692158574101427</v>
      </c>
      <c r="L2" s="11">
        <f>GraphYersinia!$B$10-(Yersinia!H2-GraphYersinia!$B$6)/GraphYersinia!$B$5</f>
        <v>1.1562658150685268</v>
      </c>
      <c r="M2" s="1" t="s">
        <v>1226</v>
      </c>
      <c r="N2">
        <v>1996</v>
      </c>
    </row>
    <row r="3" spans="1:15" x14ac:dyDescent="0.2">
      <c r="A3" s="1" t="s">
        <v>227</v>
      </c>
      <c r="B3" s="1" t="s">
        <v>228</v>
      </c>
      <c r="D3" t="s">
        <v>42</v>
      </c>
      <c r="E3" s="1" t="s">
        <v>1240</v>
      </c>
      <c r="F3" s="1" t="s">
        <v>8</v>
      </c>
      <c r="H3" s="4">
        <v>51.7</v>
      </c>
      <c r="I3" s="11">
        <v>29.9</v>
      </c>
      <c r="K3" s="12">
        <f t="shared" si="0"/>
        <v>1.4756711883244296</v>
      </c>
      <c r="L3" s="11">
        <f>GraphYersinia!$B$10-(Yersinia!H3-GraphYersinia!$B$6)/GraphYersinia!$B$5</f>
        <v>1.1562658150685268</v>
      </c>
      <c r="M3" s="1" t="s">
        <v>1226</v>
      </c>
      <c r="N3">
        <v>1996</v>
      </c>
    </row>
    <row r="4" spans="1:15" x14ac:dyDescent="0.2">
      <c r="A4" s="1" t="s">
        <v>227</v>
      </c>
      <c r="B4" s="1" t="s">
        <v>228</v>
      </c>
      <c r="D4" t="s">
        <v>42</v>
      </c>
      <c r="E4" s="1" t="s">
        <v>1240</v>
      </c>
      <c r="F4" s="1" t="s">
        <v>1261</v>
      </c>
      <c r="H4" s="4">
        <v>55</v>
      </c>
      <c r="I4" s="11">
        <v>1.8</v>
      </c>
      <c r="K4" s="12">
        <f t="shared" si="0"/>
        <v>0.25527250510330607</v>
      </c>
      <c r="L4" s="11">
        <f>GraphYersinia!$B$10-(Yersinia!H4-GraphYersinia!$B$6)/GraphYersinia!$B$5</f>
        <v>0.62380551431469788</v>
      </c>
      <c r="M4" s="1" t="s">
        <v>1226</v>
      </c>
      <c r="N4">
        <v>1996</v>
      </c>
    </row>
    <row r="5" spans="1:15" x14ac:dyDescent="0.2">
      <c r="A5" s="1" t="s">
        <v>227</v>
      </c>
      <c r="B5" s="1" t="s">
        <v>228</v>
      </c>
      <c r="D5" t="s">
        <v>42</v>
      </c>
      <c r="E5" s="1" t="s">
        <v>1240</v>
      </c>
      <c r="F5" s="1" t="s">
        <v>1261</v>
      </c>
      <c r="H5" s="4">
        <v>55</v>
      </c>
      <c r="I5" s="11">
        <v>2.2000000000000002</v>
      </c>
      <c r="K5" s="12">
        <f t="shared" si="0"/>
        <v>0.34242268082220628</v>
      </c>
      <c r="L5" s="11">
        <f>GraphYersinia!$B$10-(Yersinia!H5-GraphYersinia!$B$6)/GraphYersinia!$B$5</f>
        <v>0.62380551431469788</v>
      </c>
      <c r="M5" s="1" t="s">
        <v>1226</v>
      </c>
      <c r="N5">
        <v>1996</v>
      </c>
    </row>
    <row r="6" spans="1:15" x14ac:dyDescent="0.2">
      <c r="A6" s="1" t="s">
        <v>227</v>
      </c>
      <c r="B6" s="1" t="s">
        <v>228</v>
      </c>
      <c r="D6" t="s">
        <v>42</v>
      </c>
      <c r="E6" s="1" t="s">
        <v>1240</v>
      </c>
      <c r="F6" s="1" t="s">
        <v>8</v>
      </c>
      <c r="H6" s="4">
        <v>57.2</v>
      </c>
      <c r="I6" s="11">
        <v>4.5999999999999996</v>
      </c>
      <c r="K6" s="12">
        <f t="shared" si="0"/>
        <v>0.66275783168157409</v>
      </c>
      <c r="L6" s="11">
        <f>GraphYersinia!$B$10-(Yersinia!H6-GraphYersinia!$B$6)/GraphYersinia!$B$5</f>
        <v>0.26883198047881152</v>
      </c>
      <c r="M6" s="1" t="s">
        <v>1226</v>
      </c>
      <c r="N6">
        <v>1996</v>
      </c>
    </row>
    <row r="7" spans="1:15" x14ac:dyDescent="0.2">
      <c r="A7" s="1" t="s">
        <v>227</v>
      </c>
      <c r="B7" s="1" t="s">
        <v>228</v>
      </c>
      <c r="D7" t="s">
        <v>42</v>
      </c>
      <c r="E7" s="1" t="s">
        <v>1240</v>
      </c>
      <c r="F7" s="1" t="s">
        <v>8</v>
      </c>
      <c r="H7" s="4">
        <v>57.2</v>
      </c>
      <c r="I7" s="11">
        <v>14.7</v>
      </c>
      <c r="K7" s="12">
        <f t="shared" si="0"/>
        <v>1.167317334748176</v>
      </c>
      <c r="L7" s="11">
        <f>GraphYersinia!$B$10-(Yersinia!H7-GraphYersinia!$B$6)/GraphYersinia!$B$5</f>
        <v>0.26883198047881152</v>
      </c>
      <c r="M7" s="1" t="s">
        <v>1226</v>
      </c>
      <c r="N7">
        <v>1996</v>
      </c>
    </row>
    <row r="8" spans="1:15" x14ac:dyDescent="0.2">
      <c r="A8" s="1" t="s">
        <v>227</v>
      </c>
      <c r="B8" s="1" t="s">
        <v>228</v>
      </c>
      <c r="D8" t="s">
        <v>42</v>
      </c>
      <c r="E8" s="1" t="s">
        <v>1240</v>
      </c>
      <c r="F8" s="1"/>
      <c r="H8" s="4">
        <v>58</v>
      </c>
      <c r="I8" s="11">
        <v>1.4</v>
      </c>
      <c r="K8" s="12">
        <f t="shared" si="0"/>
        <v>0.14612803567823801</v>
      </c>
      <c r="L8" s="11">
        <f>GraphYersinia!$B$10-(Yersinia!H8-GraphYersinia!$B$6)/GraphYersinia!$B$5</f>
        <v>0.13975069544758068</v>
      </c>
      <c r="M8" s="1" t="s">
        <v>1226</v>
      </c>
      <c r="N8">
        <v>1996</v>
      </c>
    </row>
    <row r="9" spans="1:15" x14ac:dyDescent="0.2">
      <c r="A9" s="1" t="s">
        <v>227</v>
      </c>
      <c r="B9" s="1" t="s">
        <v>228</v>
      </c>
      <c r="D9" t="s">
        <v>42</v>
      </c>
      <c r="E9" s="1" t="s">
        <v>1240</v>
      </c>
      <c r="F9" s="1"/>
      <c r="H9" s="4">
        <v>58</v>
      </c>
      <c r="I9" s="9">
        <v>1.8</v>
      </c>
      <c r="J9" s="7"/>
      <c r="K9" s="12">
        <f t="shared" si="0"/>
        <v>0.25527250510330607</v>
      </c>
      <c r="L9" s="11">
        <f>GraphYersinia!$B$10-(Yersinia!H9-GraphYersinia!$B$6)/GraphYersinia!$B$5</f>
        <v>0.13975069544758068</v>
      </c>
      <c r="M9" s="1" t="s">
        <v>1226</v>
      </c>
      <c r="N9">
        <v>1996</v>
      </c>
    </row>
    <row r="10" spans="1:15" x14ac:dyDescent="0.2">
      <c r="A10" s="1" t="s">
        <v>227</v>
      </c>
      <c r="B10" s="1" t="s">
        <v>228</v>
      </c>
      <c r="D10" t="s">
        <v>42</v>
      </c>
      <c r="E10" s="1" t="s">
        <v>1240</v>
      </c>
      <c r="F10" s="1"/>
      <c r="H10" s="4">
        <v>60</v>
      </c>
      <c r="I10" s="11">
        <v>6.7000000000000004E-2</v>
      </c>
      <c r="K10" s="12">
        <f t="shared" si="0"/>
        <v>-1.1739251972991736</v>
      </c>
      <c r="L10" s="11">
        <f>GraphYersinia!$B$10-(Yersinia!H10-GraphYersinia!$B$6)/GraphYersinia!$B$5</f>
        <v>-0.18295251713049754</v>
      </c>
      <c r="M10" s="1" t="s">
        <v>1226</v>
      </c>
      <c r="N10">
        <v>1996</v>
      </c>
    </row>
    <row r="11" spans="1:15" x14ac:dyDescent="0.2">
      <c r="A11" s="1" t="s">
        <v>227</v>
      </c>
      <c r="B11" s="1" t="s">
        <v>228</v>
      </c>
      <c r="D11" t="s">
        <v>42</v>
      </c>
      <c r="E11" s="1" t="s">
        <v>1240</v>
      </c>
      <c r="F11" s="1"/>
      <c r="H11" s="4">
        <v>60</v>
      </c>
      <c r="I11" s="9">
        <v>0.4</v>
      </c>
      <c r="J11" s="7"/>
      <c r="K11" s="12">
        <f t="shared" si="0"/>
        <v>-0.3979400086720376</v>
      </c>
      <c r="L11" s="11">
        <f>GraphYersinia!$B$10-(Yersinia!H11-GraphYersinia!$B$6)/GraphYersinia!$B$5</f>
        <v>-0.18295251713049754</v>
      </c>
      <c r="M11" s="1" t="s">
        <v>1226</v>
      </c>
      <c r="N11">
        <v>1996</v>
      </c>
    </row>
    <row r="12" spans="1:15" x14ac:dyDescent="0.2">
      <c r="A12" s="1" t="s">
        <v>227</v>
      </c>
      <c r="B12" s="1" t="s">
        <v>228</v>
      </c>
      <c r="D12" t="s">
        <v>42</v>
      </c>
      <c r="E12" s="1" t="s">
        <v>1240</v>
      </c>
      <c r="F12" s="1"/>
      <c r="H12" s="4">
        <v>60</v>
      </c>
      <c r="I12" s="11">
        <v>0.51</v>
      </c>
      <c r="K12" s="12">
        <f t="shared" si="0"/>
        <v>-0.29242982390206362</v>
      </c>
      <c r="L12" s="11">
        <f>GraphYersinia!$B$10-(Yersinia!H12-GraphYersinia!$B$6)/GraphYersinia!$B$5</f>
        <v>-0.18295251713049754</v>
      </c>
      <c r="M12" s="1" t="s">
        <v>1226</v>
      </c>
      <c r="N12">
        <v>1996</v>
      </c>
    </row>
    <row r="13" spans="1:15" x14ac:dyDescent="0.2">
      <c r="A13" s="1" t="s">
        <v>227</v>
      </c>
      <c r="B13" s="1" t="s">
        <v>228</v>
      </c>
      <c r="D13" t="s">
        <v>42</v>
      </c>
      <c r="E13" s="1" t="s">
        <v>1240</v>
      </c>
      <c r="F13" s="1"/>
      <c r="H13" s="4">
        <v>62</v>
      </c>
      <c r="I13" s="11">
        <v>0.15</v>
      </c>
      <c r="K13" s="12">
        <f t="shared" si="0"/>
        <v>-0.82390874094431876</v>
      </c>
      <c r="L13" s="11">
        <f>GraphYersinia!$B$10-(Yersinia!H13-GraphYersinia!$B$6)/GraphYersinia!$B$5</f>
        <v>-0.50565572970857597</v>
      </c>
      <c r="M13" s="1" t="s">
        <v>1226</v>
      </c>
      <c r="N13">
        <v>1996</v>
      </c>
    </row>
    <row r="14" spans="1:15" x14ac:dyDescent="0.2">
      <c r="A14" s="1" t="s">
        <v>227</v>
      </c>
      <c r="B14" s="1" t="s">
        <v>228</v>
      </c>
      <c r="D14" t="s">
        <v>42</v>
      </c>
      <c r="E14" s="1" t="s">
        <v>1240</v>
      </c>
      <c r="F14" s="1"/>
      <c r="H14" s="4">
        <v>62</v>
      </c>
      <c r="I14" s="11">
        <v>0.19</v>
      </c>
      <c r="K14" s="12">
        <f t="shared" si="0"/>
        <v>-0.72124639904717103</v>
      </c>
      <c r="L14" s="11">
        <f>GraphYersinia!$B$10-(Yersinia!H14-GraphYersinia!$B$6)/GraphYersinia!$B$5</f>
        <v>-0.50565572970857597</v>
      </c>
      <c r="M14" s="1" t="s">
        <v>1226</v>
      </c>
      <c r="N14">
        <v>1996</v>
      </c>
    </row>
    <row r="15" spans="1:15" x14ac:dyDescent="0.2">
      <c r="A15" s="1" t="s">
        <v>227</v>
      </c>
      <c r="B15" s="1" t="s">
        <v>228</v>
      </c>
      <c r="D15" t="s">
        <v>42</v>
      </c>
      <c r="E15" s="1" t="s">
        <v>1240</v>
      </c>
      <c r="F15" s="1" t="s">
        <v>1291</v>
      </c>
      <c r="H15" s="4">
        <v>62.8</v>
      </c>
      <c r="I15" s="9">
        <f>0.7/60</f>
        <v>1.1666666666666665E-2</v>
      </c>
      <c r="J15" s="7"/>
      <c r="K15" s="12">
        <f t="shared" si="0"/>
        <v>-1.9330532103693869</v>
      </c>
      <c r="L15" s="11">
        <f>GraphYersinia!$B$10-(Yersinia!H15-GraphYersinia!$B$6)/GraphYersinia!$B$5</f>
        <v>-0.63473701473980682</v>
      </c>
      <c r="M15" s="1" t="s">
        <v>308</v>
      </c>
      <c r="N15">
        <v>2000</v>
      </c>
    </row>
    <row r="16" spans="1:15" x14ac:dyDescent="0.2">
      <c r="A16" s="1" t="s">
        <v>227</v>
      </c>
      <c r="B16" s="1" t="s">
        <v>228</v>
      </c>
      <c r="D16" t="s">
        <v>42</v>
      </c>
      <c r="E16" s="1" t="s">
        <v>1240</v>
      </c>
      <c r="F16" s="1" t="s">
        <v>8</v>
      </c>
      <c r="H16" s="4">
        <v>62.8</v>
      </c>
      <c r="I16" s="11">
        <v>0.18</v>
      </c>
      <c r="K16" s="12">
        <f t="shared" si="0"/>
        <v>-0.74472749489669399</v>
      </c>
      <c r="L16" s="11">
        <f>GraphYersinia!$B$10-(Yersinia!H16-GraphYersinia!$B$6)/GraphYersinia!$B$5</f>
        <v>-0.63473701473980682</v>
      </c>
      <c r="M16" s="1" t="s">
        <v>1226</v>
      </c>
      <c r="N16">
        <v>1996</v>
      </c>
    </row>
    <row r="17" spans="1:14" x14ac:dyDescent="0.2">
      <c r="A17" s="1" t="s">
        <v>227</v>
      </c>
      <c r="B17" s="1" t="s">
        <v>228</v>
      </c>
      <c r="D17" t="s">
        <v>42</v>
      </c>
      <c r="E17" s="1" t="s">
        <v>1240</v>
      </c>
      <c r="F17" s="1" t="s">
        <v>8</v>
      </c>
      <c r="H17" s="4">
        <v>62.8</v>
      </c>
      <c r="I17" s="11">
        <f>0.7/60</f>
        <v>1.1666666666666665E-2</v>
      </c>
      <c r="K17" s="12">
        <f t="shared" si="0"/>
        <v>-1.9330532103693869</v>
      </c>
      <c r="L17" s="11">
        <f>GraphYersinia!$B$10-(Yersinia!H17-GraphYersinia!$B$6)/GraphYersinia!$B$5</f>
        <v>-0.63473701473980682</v>
      </c>
      <c r="M17" s="1" t="s">
        <v>1226</v>
      </c>
      <c r="N17">
        <v>1996</v>
      </c>
    </row>
    <row r="18" spans="1:14" x14ac:dyDescent="0.2">
      <c r="A18" s="1" t="s">
        <v>227</v>
      </c>
      <c r="B18" s="1" t="s">
        <v>228</v>
      </c>
      <c r="D18" t="s">
        <v>42</v>
      </c>
      <c r="E18" s="1" t="s">
        <v>1240</v>
      </c>
      <c r="F18" s="1" t="s">
        <v>8</v>
      </c>
      <c r="H18" s="4">
        <v>62.8</v>
      </c>
      <c r="I18" s="11">
        <v>0.96</v>
      </c>
      <c r="K18" s="12">
        <f t="shared" si="0"/>
        <v>-1.7728766960431602E-2</v>
      </c>
      <c r="L18" s="11">
        <f>GraphYersinia!$B$10-(Yersinia!H18-GraphYersinia!$B$6)/GraphYersinia!$B$5</f>
        <v>-0.63473701473980682</v>
      </c>
      <c r="M18" s="1" t="s">
        <v>1226</v>
      </c>
      <c r="N18">
        <v>1996</v>
      </c>
    </row>
    <row r="19" spans="1:14" x14ac:dyDescent="0.2">
      <c r="A19" s="1" t="s">
        <v>227</v>
      </c>
      <c r="B19" s="1" t="s">
        <v>228</v>
      </c>
      <c r="D19" t="s">
        <v>42</v>
      </c>
      <c r="E19" s="1" t="s">
        <v>1240</v>
      </c>
      <c r="F19" s="1" t="s">
        <v>1291</v>
      </c>
      <c r="H19" s="4">
        <v>62.8</v>
      </c>
      <c r="I19" s="9">
        <f>57.6/60</f>
        <v>0.96000000000000008</v>
      </c>
      <c r="J19" s="7"/>
      <c r="K19" s="12">
        <f t="shared" si="0"/>
        <v>-1.7728766960431554E-2</v>
      </c>
      <c r="L19" s="11">
        <f>GraphYersinia!$B$10-(Yersinia!H19-GraphYersinia!$B$6)/GraphYersinia!$B$5</f>
        <v>-0.63473701473980682</v>
      </c>
      <c r="M19" s="1" t="s">
        <v>308</v>
      </c>
      <c r="N19">
        <v>2000</v>
      </c>
    </row>
    <row r="20" spans="1:14" x14ac:dyDescent="0.2">
      <c r="A20" s="1" t="s">
        <v>227</v>
      </c>
      <c r="B20" s="1" t="s">
        <v>228</v>
      </c>
      <c r="D20" t="s">
        <v>42</v>
      </c>
      <c r="E20" s="1" t="s">
        <v>1240</v>
      </c>
      <c r="F20" s="1" t="s">
        <v>8</v>
      </c>
      <c r="H20" s="4">
        <v>62.8</v>
      </c>
      <c r="I20" s="11">
        <f>17.8/60</f>
        <v>0.29666666666666669</v>
      </c>
      <c r="K20" s="12">
        <f t="shared" si="0"/>
        <v>-0.52773124807474958</v>
      </c>
      <c r="L20" s="11">
        <f>GraphYersinia!$B$10-(Yersinia!H20-GraphYersinia!$B$6)/GraphYersinia!$B$5</f>
        <v>-0.63473701473980682</v>
      </c>
      <c r="M20" s="1" t="s">
        <v>1226</v>
      </c>
      <c r="N20">
        <v>1996</v>
      </c>
    </row>
    <row r="21" spans="1:14" x14ac:dyDescent="0.2">
      <c r="A21" s="1" t="s">
        <v>227</v>
      </c>
      <c r="B21" s="1" t="s">
        <v>228</v>
      </c>
      <c r="C21" t="s">
        <v>638</v>
      </c>
      <c r="D21" t="s">
        <v>42</v>
      </c>
      <c r="E21" s="1" t="s">
        <v>1240</v>
      </c>
      <c r="F21" s="1" t="s">
        <v>6</v>
      </c>
      <c r="H21" s="4">
        <v>51.7</v>
      </c>
      <c r="I21" s="11">
        <v>23.6</v>
      </c>
      <c r="J21" s="4">
        <v>5.78</v>
      </c>
      <c r="K21" s="12">
        <f>LOG(I21)</f>
        <v>1.3729120029701065</v>
      </c>
      <c r="L21" s="11">
        <f>GraphYersinia!$B$10-(Yersinia!H21-GraphYersinia!$B$6)/GraphYersinia!$B$5</f>
        <v>1.1562658150685268</v>
      </c>
      <c r="M21" s="1" t="s">
        <v>641</v>
      </c>
      <c r="N21">
        <v>1982</v>
      </c>
    </row>
    <row r="22" spans="1:14" x14ac:dyDescent="0.2">
      <c r="A22" s="1" t="s">
        <v>227</v>
      </c>
      <c r="B22" s="1" t="s">
        <v>228</v>
      </c>
      <c r="C22" t="s">
        <v>638</v>
      </c>
      <c r="D22" t="s">
        <v>42</v>
      </c>
      <c r="E22" s="1" t="s">
        <v>1240</v>
      </c>
      <c r="F22" s="1" t="s">
        <v>6</v>
      </c>
      <c r="H22" s="4">
        <v>51.7</v>
      </c>
      <c r="I22" s="11">
        <v>23.4</v>
      </c>
      <c r="J22" s="4">
        <v>5.78</v>
      </c>
      <c r="K22" s="12">
        <f t="shared" ref="K22:K36" si="1">LOG(I22)</f>
        <v>1.3692158574101427</v>
      </c>
      <c r="L22" s="11">
        <f>GraphYersinia!$B$10-(Yersinia!H22-GraphYersinia!$B$6)/GraphYersinia!$B$5</f>
        <v>1.1562658150685268</v>
      </c>
      <c r="M22" s="1" t="s">
        <v>641</v>
      </c>
      <c r="N22">
        <v>1982</v>
      </c>
    </row>
    <row r="23" spans="1:14" x14ac:dyDescent="0.2">
      <c r="A23" s="1" t="s">
        <v>227</v>
      </c>
      <c r="B23" s="1" t="s">
        <v>228</v>
      </c>
      <c r="C23" t="s">
        <v>638</v>
      </c>
      <c r="D23" t="s">
        <v>42</v>
      </c>
      <c r="E23" s="1" t="s">
        <v>1240</v>
      </c>
      <c r="F23" s="1" t="s">
        <v>6</v>
      </c>
      <c r="H23" s="4">
        <v>57.2</v>
      </c>
      <c r="I23" s="11">
        <v>6.5</v>
      </c>
      <c r="J23" s="4">
        <v>5.78</v>
      </c>
      <c r="K23" s="12">
        <f t="shared" si="1"/>
        <v>0.81291335664285558</v>
      </c>
      <c r="L23" s="11">
        <f>GraphYersinia!$B$10-(Yersinia!H23-GraphYersinia!$B$6)/GraphYersinia!$B$5</f>
        <v>0.26883198047881152</v>
      </c>
      <c r="M23" s="1" t="s">
        <v>641</v>
      </c>
      <c r="N23">
        <v>1982</v>
      </c>
    </row>
    <row r="24" spans="1:14" x14ac:dyDescent="0.2">
      <c r="A24" s="1" t="s">
        <v>227</v>
      </c>
      <c r="B24" s="1" t="s">
        <v>228</v>
      </c>
      <c r="C24" t="s">
        <v>638</v>
      </c>
      <c r="D24" t="s">
        <v>42</v>
      </c>
      <c r="E24" s="1" t="s">
        <v>1240</v>
      </c>
      <c r="F24" s="1" t="s">
        <v>6</v>
      </c>
      <c r="H24" s="4">
        <v>57.2</v>
      </c>
      <c r="I24" s="11">
        <v>5.8</v>
      </c>
      <c r="J24" s="4">
        <v>5.78</v>
      </c>
      <c r="K24" s="12">
        <f t="shared" si="1"/>
        <v>0.76342799356293722</v>
      </c>
      <c r="L24" s="11">
        <f>GraphYersinia!$B$10-(Yersinia!H24-GraphYersinia!$B$6)/GraphYersinia!$B$5</f>
        <v>0.26883198047881152</v>
      </c>
      <c r="M24" s="1" t="s">
        <v>641</v>
      </c>
      <c r="N24">
        <v>1982</v>
      </c>
    </row>
    <row r="25" spans="1:14" x14ac:dyDescent="0.2">
      <c r="A25" s="1" t="s">
        <v>227</v>
      </c>
      <c r="B25" s="1" t="s">
        <v>228</v>
      </c>
      <c r="C25" t="s">
        <v>638</v>
      </c>
      <c r="D25" t="s">
        <v>42</v>
      </c>
      <c r="E25" s="1" t="s">
        <v>1240</v>
      </c>
      <c r="F25" s="1" t="s">
        <v>6</v>
      </c>
      <c r="H25" s="4">
        <v>62.8</v>
      </c>
      <c r="I25" s="11">
        <v>0.31</v>
      </c>
      <c r="J25" s="4">
        <v>5.78</v>
      </c>
      <c r="K25" s="12">
        <f t="shared" si="1"/>
        <v>-0.50863830616572736</v>
      </c>
      <c r="L25" s="11">
        <f>GraphYersinia!$B$10-(Yersinia!H25-GraphYersinia!$B$6)/GraphYersinia!$B$5</f>
        <v>-0.63473701473980682</v>
      </c>
      <c r="M25" s="1" t="s">
        <v>641</v>
      </c>
      <c r="N25">
        <v>1982</v>
      </c>
    </row>
    <row r="26" spans="1:14" x14ac:dyDescent="0.2">
      <c r="A26" s="1" t="s">
        <v>227</v>
      </c>
      <c r="B26" s="1" t="s">
        <v>228</v>
      </c>
      <c r="C26" t="s">
        <v>638</v>
      </c>
      <c r="D26" t="s">
        <v>42</v>
      </c>
      <c r="E26" s="1" t="s">
        <v>1240</v>
      </c>
      <c r="F26" s="1" t="s">
        <v>6</v>
      </c>
      <c r="H26" s="4">
        <v>62.8</v>
      </c>
      <c r="I26" s="11">
        <v>0.26</v>
      </c>
      <c r="J26" s="4">
        <v>5.78</v>
      </c>
      <c r="K26" s="12">
        <f t="shared" si="1"/>
        <v>-0.58502665202918203</v>
      </c>
      <c r="L26" s="11">
        <f>GraphYersinia!$B$10-(Yersinia!H26-GraphYersinia!$B$6)/GraphYersinia!$B$5</f>
        <v>-0.63473701473980682</v>
      </c>
      <c r="M26" s="1" t="s">
        <v>641</v>
      </c>
      <c r="N26">
        <v>1982</v>
      </c>
    </row>
    <row r="27" spans="1:14" x14ac:dyDescent="0.2">
      <c r="A27" s="1" t="s">
        <v>227</v>
      </c>
      <c r="B27" s="1" t="s">
        <v>228</v>
      </c>
      <c r="C27" t="s">
        <v>639</v>
      </c>
      <c r="D27" t="s">
        <v>42</v>
      </c>
      <c r="E27" s="1" t="s">
        <v>1240</v>
      </c>
      <c r="F27" s="1" t="s">
        <v>6</v>
      </c>
      <c r="H27" s="4">
        <v>51.7</v>
      </c>
      <c r="I27" s="11">
        <v>25.6</v>
      </c>
      <c r="J27" s="4">
        <v>5.22</v>
      </c>
      <c r="K27" s="12">
        <f t="shared" si="1"/>
        <v>1.4082399653118496</v>
      </c>
      <c r="L27" s="11">
        <f>GraphYersinia!$B$10-(Yersinia!H27-GraphYersinia!$B$6)/GraphYersinia!$B$5</f>
        <v>1.1562658150685268</v>
      </c>
      <c r="M27" s="1" t="s">
        <v>641</v>
      </c>
      <c r="N27">
        <v>1982</v>
      </c>
    </row>
    <row r="28" spans="1:14" x14ac:dyDescent="0.2">
      <c r="A28" s="1" t="s">
        <v>227</v>
      </c>
      <c r="B28" s="1" t="s">
        <v>228</v>
      </c>
      <c r="C28" t="s">
        <v>639</v>
      </c>
      <c r="D28" t="s">
        <v>42</v>
      </c>
      <c r="E28" s="1" t="s">
        <v>1240</v>
      </c>
      <c r="F28" s="1" t="s">
        <v>6</v>
      </c>
      <c r="H28" s="4">
        <v>51.7</v>
      </c>
      <c r="I28" s="11">
        <v>29.9</v>
      </c>
      <c r="J28" s="4">
        <v>5.22</v>
      </c>
      <c r="K28" s="12">
        <f t="shared" si="1"/>
        <v>1.4756711883244296</v>
      </c>
      <c r="L28" s="11">
        <f>GraphYersinia!$B$10-(Yersinia!H28-GraphYersinia!$B$6)/GraphYersinia!$B$5</f>
        <v>1.1562658150685268</v>
      </c>
      <c r="M28" s="1" t="s">
        <v>641</v>
      </c>
      <c r="N28">
        <v>1982</v>
      </c>
    </row>
    <row r="29" spans="1:14" x14ac:dyDescent="0.2">
      <c r="A29" s="1" t="s">
        <v>227</v>
      </c>
      <c r="B29" s="1" t="s">
        <v>228</v>
      </c>
      <c r="C29" t="s">
        <v>639</v>
      </c>
      <c r="D29" t="s">
        <v>42</v>
      </c>
      <c r="E29" s="1" t="s">
        <v>1240</v>
      </c>
      <c r="F29" s="1" t="s">
        <v>6</v>
      </c>
      <c r="H29" s="4">
        <v>57.2</v>
      </c>
      <c r="I29" s="11">
        <v>4.5999999999999996</v>
      </c>
      <c r="J29" s="4">
        <v>5.22</v>
      </c>
      <c r="K29" s="12">
        <f t="shared" si="1"/>
        <v>0.66275783168157409</v>
      </c>
      <c r="L29" s="11">
        <f>GraphYersinia!$B$10-(Yersinia!H29-GraphYersinia!$B$6)/GraphYersinia!$B$5</f>
        <v>0.26883198047881152</v>
      </c>
      <c r="M29" s="1" t="s">
        <v>641</v>
      </c>
      <c r="N29">
        <v>1982</v>
      </c>
    </row>
    <row r="30" spans="1:14" x14ac:dyDescent="0.2">
      <c r="A30" s="1" t="s">
        <v>227</v>
      </c>
      <c r="B30" s="1" t="s">
        <v>228</v>
      </c>
      <c r="C30" t="s">
        <v>639</v>
      </c>
      <c r="D30" t="s">
        <v>42</v>
      </c>
      <c r="E30" s="1" t="s">
        <v>1240</v>
      </c>
      <c r="F30" s="1" t="s">
        <v>6</v>
      </c>
      <c r="H30" s="4">
        <v>62.8</v>
      </c>
      <c r="I30" s="11">
        <v>0.24</v>
      </c>
      <c r="J30" s="4">
        <v>5.22</v>
      </c>
      <c r="K30" s="12">
        <f t="shared" si="1"/>
        <v>-0.61978875828839397</v>
      </c>
      <c r="L30" s="11">
        <f>GraphYersinia!$B$10-(Yersinia!H30-GraphYersinia!$B$6)/GraphYersinia!$B$5</f>
        <v>-0.63473701473980682</v>
      </c>
      <c r="M30" s="1" t="s">
        <v>641</v>
      </c>
      <c r="N30">
        <v>1982</v>
      </c>
    </row>
    <row r="31" spans="1:14" x14ac:dyDescent="0.2">
      <c r="A31" s="1" t="s">
        <v>227</v>
      </c>
      <c r="B31" s="1" t="s">
        <v>228</v>
      </c>
      <c r="C31" t="s">
        <v>639</v>
      </c>
      <c r="D31" t="s">
        <v>42</v>
      </c>
      <c r="E31" s="1" t="s">
        <v>1240</v>
      </c>
      <c r="F31" s="1" t="s">
        <v>6</v>
      </c>
      <c r="H31" s="4">
        <v>62.8</v>
      </c>
      <c r="I31" s="11">
        <v>0.18</v>
      </c>
      <c r="J31" s="4">
        <v>5.22</v>
      </c>
      <c r="K31" s="12">
        <f t="shared" si="1"/>
        <v>-0.74472749489669399</v>
      </c>
      <c r="L31" s="11">
        <f>GraphYersinia!$B$10-(Yersinia!H31-GraphYersinia!$B$6)/GraphYersinia!$B$5</f>
        <v>-0.63473701473980682</v>
      </c>
      <c r="M31" s="1" t="s">
        <v>641</v>
      </c>
      <c r="N31">
        <v>1982</v>
      </c>
    </row>
    <row r="32" spans="1:14" x14ac:dyDescent="0.2">
      <c r="A32" s="1" t="s">
        <v>227</v>
      </c>
      <c r="B32" s="1" t="s">
        <v>228</v>
      </c>
      <c r="C32" t="s">
        <v>640</v>
      </c>
      <c r="D32" t="s">
        <v>42</v>
      </c>
      <c r="E32" s="1" t="s">
        <v>1240</v>
      </c>
      <c r="F32" s="1" t="s">
        <v>6</v>
      </c>
      <c r="H32" s="4">
        <v>57.2</v>
      </c>
      <c r="I32" s="11">
        <v>14.7</v>
      </c>
      <c r="J32" s="4">
        <v>5.1100000000000003</v>
      </c>
      <c r="K32" s="12">
        <f t="shared" si="1"/>
        <v>1.167317334748176</v>
      </c>
      <c r="L32" s="11">
        <f>GraphYersinia!$B$10-(Yersinia!H32-GraphYersinia!$B$6)/GraphYersinia!$B$5</f>
        <v>0.26883198047881152</v>
      </c>
      <c r="M32" s="1" t="s">
        <v>641</v>
      </c>
      <c r="N32">
        <v>1982</v>
      </c>
    </row>
    <row r="33" spans="1:15" x14ac:dyDescent="0.2">
      <c r="A33" s="1" t="s">
        <v>227</v>
      </c>
      <c r="B33" s="1" t="s">
        <v>228</v>
      </c>
      <c r="C33" t="s">
        <v>640</v>
      </c>
      <c r="D33" t="s">
        <v>42</v>
      </c>
      <c r="E33" s="1" t="s">
        <v>1240</v>
      </c>
      <c r="F33" s="1" t="s">
        <v>6</v>
      </c>
      <c r="H33" s="4">
        <v>57.2</v>
      </c>
      <c r="I33" s="11">
        <v>12.1</v>
      </c>
      <c r="J33" s="4">
        <v>5.1100000000000003</v>
      </c>
      <c r="K33" s="12">
        <f t="shared" si="1"/>
        <v>1.0827853703164501</v>
      </c>
      <c r="L33" s="11">
        <f>GraphYersinia!$B$10-(Yersinia!H33-GraphYersinia!$B$6)/GraphYersinia!$B$5</f>
        <v>0.26883198047881152</v>
      </c>
      <c r="M33" s="1" t="s">
        <v>641</v>
      </c>
      <c r="N33">
        <v>1982</v>
      </c>
    </row>
    <row r="34" spans="1:15" x14ac:dyDescent="0.2">
      <c r="A34" s="1" t="s">
        <v>227</v>
      </c>
      <c r="B34" s="1" t="s">
        <v>228</v>
      </c>
      <c r="C34" t="s">
        <v>640</v>
      </c>
      <c r="D34" t="s">
        <v>42</v>
      </c>
      <c r="E34" s="1" t="s">
        <v>1240</v>
      </c>
      <c r="F34" s="1" t="s">
        <v>6</v>
      </c>
      <c r="H34" s="4">
        <v>62.8</v>
      </c>
      <c r="I34" s="11">
        <v>0.96</v>
      </c>
      <c r="J34" s="4">
        <v>5.1100000000000003</v>
      </c>
      <c r="K34" s="12">
        <f t="shared" si="1"/>
        <v>-1.7728766960431602E-2</v>
      </c>
      <c r="L34" s="11">
        <f>GraphYersinia!$B$10-(Yersinia!H34-GraphYersinia!$B$6)/GraphYersinia!$B$5</f>
        <v>-0.63473701473980682</v>
      </c>
      <c r="M34" s="1" t="s">
        <v>641</v>
      </c>
      <c r="N34">
        <v>1982</v>
      </c>
    </row>
    <row r="35" spans="1:15" x14ac:dyDescent="0.2">
      <c r="A35" s="1" t="s">
        <v>227</v>
      </c>
      <c r="B35" s="1" t="s">
        <v>228</v>
      </c>
      <c r="C35" t="s">
        <v>640</v>
      </c>
      <c r="D35" t="s">
        <v>42</v>
      </c>
      <c r="E35" s="1" t="s">
        <v>1240</v>
      </c>
      <c r="F35" s="1" t="s">
        <v>6</v>
      </c>
      <c r="H35" s="4">
        <v>62.8</v>
      </c>
      <c r="I35" s="11">
        <v>0.87</v>
      </c>
      <c r="J35" s="4">
        <v>5.1100000000000003</v>
      </c>
      <c r="K35" s="12">
        <f t="shared" si="1"/>
        <v>-6.0480747381381476E-2</v>
      </c>
      <c r="L35" s="11">
        <f>GraphYersinia!$B$10-(Yersinia!H35-GraphYersinia!$B$6)/GraphYersinia!$B$5</f>
        <v>-0.63473701473980682</v>
      </c>
      <c r="M35" s="1" t="s">
        <v>641</v>
      </c>
      <c r="N35">
        <v>1982</v>
      </c>
    </row>
    <row r="36" spans="1:15" x14ac:dyDescent="0.2">
      <c r="A36" s="1" t="s">
        <v>227</v>
      </c>
      <c r="B36" s="1" t="s">
        <v>228</v>
      </c>
      <c r="C36" t="s">
        <v>640</v>
      </c>
      <c r="D36" t="s">
        <v>42</v>
      </c>
      <c r="E36" s="1" t="s">
        <v>1240</v>
      </c>
      <c r="F36" s="1" t="s">
        <v>6</v>
      </c>
      <c r="H36" s="4">
        <v>68.3</v>
      </c>
      <c r="I36" s="11">
        <v>0.09</v>
      </c>
      <c r="J36" s="4">
        <v>5.1100000000000003</v>
      </c>
      <c r="K36" s="12">
        <f t="shared" si="1"/>
        <v>-1.0457574905606752</v>
      </c>
      <c r="L36" s="11">
        <f>GraphYersinia!$B$10-(Yersinia!H36-GraphYersinia!$B$6)/GraphYersinia!$B$5</f>
        <v>-1.5221708493295221</v>
      </c>
      <c r="M36" s="1" t="s">
        <v>641</v>
      </c>
      <c r="N36">
        <v>1982</v>
      </c>
    </row>
    <row r="37" spans="1:15" x14ac:dyDescent="0.2">
      <c r="A37" s="1" t="s">
        <v>227</v>
      </c>
      <c r="B37" s="1" t="s">
        <v>228</v>
      </c>
      <c r="D37" t="s">
        <v>42</v>
      </c>
      <c r="E37" s="1" t="s">
        <v>1240</v>
      </c>
      <c r="F37" s="19"/>
      <c r="H37" s="4">
        <v>65</v>
      </c>
      <c r="I37" s="9">
        <f>1.7/60</f>
        <v>2.8333333333333332E-2</v>
      </c>
      <c r="J37" s="7"/>
      <c r="K37" s="12">
        <f t="shared" si="0"/>
        <v>-1.5477023290053697</v>
      </c>
      <c r="L37" s="11">
        <f>GraphYersinia!$B$10-(Yersinia!H37-GraphYersinia!$B$6)/GraphYersinia!$B$5</f>
        <v>-0.98971054857569329</v>
      </c>
      <c r="M37" s="1" t="s">
        <v>1226</v>
      </c>
      <c r="N37">
        <v>1996</v>
      </c>
    </row>
    <row r="38" spans="1:15" x14ac:dyDescent="0.2">
      <c r="A38" s="1" t="s">
        <v>227</v>
      </c>
      <c r="B38" s="1" t="s">
        <v>228</v>
      </c>
      <c r="D38" t="s">
        <v>42</v>
      </c>
      <c r="E38" s="1" t="s">
        <v>1240</v>
      </c>
      <c r="F38" s="1" t="s">
        <v>8</v>
      </c>
      <c r="H38" s="4">
        <v>68.3</v>
      </c>
      <c r="I38" s="11">
        <v>0.09</v>
      </c>
      <c r="K38" s="12">
        <f t="shared" si="0"/>
        <v>-1.0457574905606752</v>
      </c>
      <c r="L38" s="11">
        <f>GraphYersinia!$B$10-(Yersinia!H38-GraphYersinia!$B$6)/GraphYersinia!$B$5</f>
        <v>-1.5221708493295221</v>
      </c>
      <c r="M38" s="1" t="s">
        <v>1226</v>
      </c>
      <c r="N38">
        <v>1996</v>
      </c>
    </row>
    <row r="39" spans="1:15" x14ac:dyDescent="0.2">
      <c r="A39" s="1" t="s">
        <v>227</v>
      </c>
      <c r="B39" s="1" t="s">
        <v>228</v>
      </c>
      <c r="D39" t="s">
        <v>45</v>
      </c>
      <c r="E39" s="1" t="s">
        <v>1239</v>
      </c>
      <c r="F39" s="1" t="s">
        <v>1260</v>
      </c>
      <c r="H39" s="4">
        <v>58</v>
      </c>
      <c r="I39" s="11">
        <v>1.4</v>
      </c>
      <c r="K39" s="12">
        <f t="shared" si="0"/>
        <v>0.14612803567823801</v>
      </c>
      <c r="L39" s="11">
        <f>GraphYersinia!$B$10-(Yersinia!H39-GraphYersinia!$B$6)/GraphYersinia!$B$5</f>
        <v>0.13975069544758068</v>
      </c>
      <c r="M39" s="1" t="s">
        <v>1226</v>
      </c>
      <c r="N39">
        <v>1996</v>
      </c>
    </row>
    <row r="40" spans="1:15" x14ac:dyDescent="0.2">
      <c r="A40" s="1" t="s">
        <v>227</v>
      </c>
      <c r="B40" s="1" t="s">
        <v>228</v>
      </c>
      <c r="D40" t="s">
        <v>45</v>
      </c>
      <c r="E40" s="1" t="s">
        <v>1239</v>
      </c>
      <c r="F40" s="1" t="s">
        <v>1260</v>
      </c>
      <c r="H40" s="4">
        <v>58</v>
      </c>
      <c r="I40" s="11">
        <v>1.8</v>
      </c>
      <c r="K40" s="12">
        <f t="shared" si="0"/>
        <v>0.25527250510330607</v>
      </c>
      <c r="L40" s="11">
        <f>GraphYersinia!$B$10-(Yersinia!H40-GraphYersinia!$B$6)/GraphYersinia!$B$5</f>
        <v>0.13975069544758068</v>
      </c>
      <c r="M40" s="1" t="s">
        <v>1226</v>
      </c>
      <c r="N40">
        <v>1996</v>
      </c>
    </row>
    <row r="41" spans="1:15" x14ac:dyDescent="0.2">
      <c r="A41" s="1" t="s">
        <v>227</v>
      </c>
      <c r="B41" s="1" t="s">
        <v>228</v>
      </c>
      <c r="D41" t="s">
        <v>45</v>
      </c>
      <c r="E41" s="1" t="s">
        <v>1239</v>
      </c>
      <c r="F41" s="1" t="s">
        <v>1260</v>
      </c>
      <c r="H41" s="4">
        <v>59</v>
      </c>
      <c r="I41" s="11">
        <v>1</v>
      </c>
      <c r="K41" s="12">
        <f t="shared" si="0"/>
        <v>0</v>
      </c>
      <c r="L41" s="11">
        <f>GraphYersinia!$B$10-(Yersinia!H41-GraphYersinia!$B$6)/GraphYersinia!$B$5</f>
        <v>-2.1600910841458543E-2</v>
      </c>
      <c r="M41" s="1" t="s">
        <v>1226</v>
      </c>
      <c r="N41">
        <v>1996</v>
      </c>
    </row>
    <row r="42" spans="1:15" x14ac:dyDescent="0.2">
      <c r="A42" s="1" t="s">
        <v>227</v>
      </c>
      <c r="B42" s="1" t="s">
        <v>228</v>
      </c>
      <c r="D42" t="s">
        <v>45</v>
      </c>
      <c r="E42" s="1" t="s">
        <v>1239</v>
      </c>
      <c r="F42" s="1" t="s">
        <v>1260</v>
      </c>
      <c r="H42" s="4">
        <v>60</v>
      </c>
      <c r="I42" s="11">
        <v>0.4</v>
      </c>
      <c r="K42" s="12">
        <f t="shared" si="0"/>
        <v>-0.3979400086720376</v>
      </c>
      <c r="L42" s="11">
        <f>GraphYersinia!$B$10-(Yersinia!H42-GraphYersinia!$B$6)/GraphYersinia!$B$5</f>
        <v>-0.18295251713049754</v>
      </c>
      <c r="M42" s="1" t="s">
        <v>1226</v>
      </c>
      <c r="N42">
        <v>1996</v>
      </c>
    </row>
    <row r="43" spans="1:15" x14ac:dyDescent="0.2">
      <c r="A43" s="1" t="s">
        <v>227</v>
      </c>
      <c r="B43" s="1" t="s">
        <v>228</v>
      </c>
      <c r="D43" t="s">
        <v>45</v>
      </c>
      <c r="E43" s="1" t="s">
        <v>1239</v>
      </c>
      <c r="F43" s="1" t="s">
        <v>1260</v>
      </c>
      <c r="H43" s="4">
        <v>60</v>
      </c>
      <c r="I43" s="9">
        <v>0.5</v>
      </c>
      <c r="J43" s="5"/>
      <c r="K43" s="12">
        <f t="shared" si="0"/>
        <v>-0.3010299956639812</v>
      </c>
      <c r="L43" s="11">
        <f>GraphYersinia!$B$10-(Yersinia!H43-GraphYersinia!$B$6)/GraphYersinia!$B$5</f>
        <v>-0.18295251713049754</v>
      </c>
      <c r="M43" s="1" t="s">
        <v>1226</v>
      </c>
      <c r="N43">
        <v>1996</v>
      </c>
    </row>
    <row r="44" spans="1:15" x14ac:dyDescent="0.2">
      <c r="A44" s="1" t="s">
        <v>227</v>
      </c>
      <c r="B44" s="1" t="s">
        <v>228</v>
      </c>
      <c r="D44" t="s">
        <v>45</v>
      </c>
      <c r="E44" s="1" t="s">
        <v>1239</v>
      </c>
      <c r="F44" s="1" t="s">
        <v>1260</v>
      </c>
      <c r="H44" s="4">
        <v>62</v>
      </c>
      <c r="I44" s="11">
        <v>0.2</v>
      </c>
      <c r="K44" s="12">
        <f t="shared" si="0"/>
        <v>-0.69897000433601875</v>
      </c>
      <c r="L44" s="11">
        <f>GraphYersinia!$B$10-(Yersinia!H44-GraphYersinia!$B$6)/GraphYersinia!$B$5</f>
        <v>-0.50565572970857597</v>
      </c>
      <c r="M44" s="1" t="s">
        <v>1226</v>
      </c>
      <c r="N44">
        <v>1996</v>
      </c>
    </row>
    <row r="45" spans="1:15" x14ac:dyDescent="0.2">
      <c r="A45" s="1" t="s">
        <v>227</v>
      </c>
      <c r="B45" s="1" t="s">
        <v>228</v>
      </c>
      <c r="D45" t="s">
        <v>11</v>
      </c>
      <c r="E45" s="1" t="s">
        <v>1262</v>
      </c>
      <c r="F45" s="1" t="s">
        <v>1219</v>
      </c>
      <c r="G45"/>
      <c r="H45" s="4">
        <v>50</v>
      </c>
      <c r="I45" s="11">
        <v>17.399999999999999</v>
      </c>
      <c r="K45" s="12">
        <f t="shared" si="0"/>
        <v>1.2405492482825997</v>
      </c>
      <c r="L45" s="11">
        <f>GraphYersinia!$B$10-(Yersinia!H45-GraphYersinia!$B$6)/GraphYersinia!$B$5</f>
        <v>1.430563545759894</v>
      </c>
      <c r="M45" s="1" t="s">
        <v>1192</v>
      </c>
      <c r="N45">
        <v>2000</v>
      </c>
      <c r="O45" t="s">
        <v>1190</v>
      </c>
    </row>
    <row r="46" spans="1:15" x14ac:dyDescent="0.2">
      <c r="A46" s="1" t="s">
        <v>227</v>
      </c>
      <c r="B46" s="1" t="s">
        <v>228</v>
      </c>
      <c r="D46" t="s">
        <v>11</v>
      </c>
      <c r="E46" s="1" t="s">
        <v>1262</v>
      </c>
      <c r="F46" s="1" t="s">
        <v>1219</v>
      </c>
      <c r="G46"/>
      <c r="H46" s="4">
        <v>50</v>
      </c>
      <c r="I46" s="11">
        <v>21.2</v>
      </c>
      <c r="K46" s="12">
        <f t="shared" si="0"/>
        <v>1.3263358609287514</v>
      </c>
      <c r="L46" s="11">
        <f>GraphYersinia!$B$10-(Yersinia!H46-GraphYersinia!$B$6)/GraphYersinia!$B$5</f>
        <v>1.430563545759894</v>
      </c>
      <c r="M46" s="1" t="s">
        <v>1192</v>
      </c>
      <c r="N46">
        <v>2000</v>
      </c>
      <c r="O46" t="s">
        <v>1191</v>
      </c>
    </row>
    <row r="47" spans="1:15" x14ac:dyDescent="0.2">
      <c r="A47" s="1" t="s">
        <v>227</v>
      </c>
      <c r="B47" s="1" t="s">
        <v>228</v>
      </c>
      <c r="D47" t="s">
        <v>11</v>
      </c>
      <c r="E47" s="1" t="s">
        <v>1262</v>
      </c>
      <c r="F47" s="1" t="s">
        <v>1219</v>
      </c>
      <c r="G47"/>
      <c r="H47" s="4">
        <v>55</v>
      </c>
      <c r="I47" s="11">
        <v>1.96</v>
      </c>
      <c r="K47" s="12">
        <f t="shared" ref="K47:K64" si="2">LOG(I47)</f>
        <v>0.29225607135647602</v>
      </c>
      <c r="L47" s="11">
        <f>GraphYersinia!$B$10-(Yersinia!H47-GraphYersinia!$B$6)/GraphYersinia!$B$5</f>
        <v>0.62380551431469788</v>
      </c>
      <c r="M47" s="1" t="s">
        <v>1192</v>
      </c>
      <c r="N47">
        <v>2000</v>
      </c>
      <c r="O47" t="s">
        <v>1190</v>
      </c>
    </row>
    <row r="48" spans="1:15" x14ac:dyDescent="0.2">
      <c r="A48" s="1" t="s">
        <v>227</v>
      </c>
      <c r="B48" s="1" t="s">
        <v>228</v>
      </c>
      <c r="D48" t="s">
        <v>11</v>
      </c>
      <c r="E48" s="1" t="s">
        <v>1262</v>
      </c>
      <c r="F48" s="1" t="s">
        <v>1219</v>
      </c>
      <c r="G48"/>
      <c r="H48" s="4">
        <v>55</v>
      </c>
      <c r="I48" s="11">
        <v>1.06</v>
      </c>
      <c r="K48" s="12">
        <f t="shared" si="2"/>
        <v>2.5305865264770262E-2</v>
      </c>
      <c r="L48" s="11">
        <f>GraphYersinia!$B$10-(Yersinia!H48-GraphYersinia!$B$6)/GraphYersinia!$B$5</f>
        <v>0.62380551431469788</v>
      </c>
      <c r="M48" s="1" t="s">
        <v>1192</v>
      </c>
      <c r="N48">
        <v>2000</v>
      </c>
      <c r="O48" t="s">
        <v>1191</v>
      </c>
    </row>
    <row r="49" spans="1:15" x14ac:dyDescent="0.2">
      <c r="A49" s="1" t="s">
        <v>227</v>
      </c>
      <c r="B49" s="1" t="s">
        <v>228</v>
      </c>
      <c r="D49" t="s">
        <v>11</v>
      </c>
      <c r="E49" s="1" t="s">
        <v>1262</v>
      </c>
      <c r="F49" s="1" t="s">
        <v>1219</v>
      </c>
      <c r="G49"/>
      <c r="H49" s="4">
        <v>60</v>
      </c>
      <c r="I49" s="11">
        <v>0.97</v>
      </c>
      <c r="K49" s="12">
        <f t="shared" si="2"/>
        <v>-1.322826573375516E-2</v>
      </c>
      <c r="L49" s="11">
        <f>GraphYersinia!$B$10-(Yersinia!H49-GraphYersinia!$B$6)/GraphYersinia!$B$5</f>
        <v>-0.18295251713049754</v>
      </c>
      <c r="M49" s="1" t="s">
        <v>1192</v>
      </c>
      <c r="N49">
        <v>2000</v>
      </c>
      <c r="O49" t="s">
        <v>1190</v>
      </c>
    </row>
    <row r="50" spans="1:15" x14ac:dyDescent="0.2">
      <c r="A50" s="1" t="s">
        <v>227</v>
      </c>
      <c r="B50" s="1" t="s">
        <v>228</v>
      </c>
      <c r="D50" t="s">
        <v>11</v>
      </c>
      <c r="E50" s="1" t="s">
        <v>1262</v>
      </c>
      <c r="F50" s="1" t="s">
        <v>1219</v>
      </c>
      <c r="G50"/>
      <c r="H50" s="4">
        <v>60</v>
      </c>
      <c r="I50" s="11">
        <v>0.55000000000000004</v>
      </c>
      <c r="K50" s="12">
        <f t="shared" si="2"/>
        <v>-0.25963731050575611</v>
      </c>
      <c r="L50" s="11">
        <f>GraphYersinia!$B$10-(Yersinia!H50-GraphYersinia!$B$6)/GraphYersinia!$B$5</f>
        <v>-0.18295251713049754</v>
      </c>
      <c r="M50" s="1" t="s">
        <v>1192</v>
      </c>
      <c r="N50">
        <v>2000</v>
      </c>
      <c r="O50" t="s">
        <v>1191</v>
      </c>
    </row>
    <row r="51" spans="1:15" x14ac:dyDescent="0.2">
      <c r="A51" s="1" t="s">
        <v>227</v>
      </c>
      <c r="B51" s="1" t="s">
        <v>228</v>
      </c>
      <c r="D51" t="s">
        <v>11</v>
      </c>
      <c r="E51" s="1" t="s">
        <v>1262</v>
      </c>
      <c r="F51" t="s">
        <v>1219</v>
      </c>
      <c r="G51"/>
      <c r="H51" s="4">
        <v>48</v>
      </c>
      <c r="I51" s="11">
        <v>44.2</v>
      </c>
      <c r="K51" s="12">
        <f t="shared" si="2"/>
        <v>1.6454222693490919</v>
      </c>
      <c r="L51" s="11">
        <f>GraphYersinia!$B$10-(Yersinia!H51-GraphYersinia!$B$6)/GraphYersinia!$B$5</f>
        <v>1.753266758337972</v>
      </c>
      <c r="M51" s="1" t="s">
        <v>1192</v>
      </c>
      <c r="N51">
        <v>2000</v>
      </c>
      <c r="O51" s="2" t="s">
        <v>1199</v>
      </c>
    </row>
    <row r="52" spans="1:15" x14ac:dyDescent="0.2">
      <c r="A52" s="1" t="s">
        <v>227</v>
      </c>
      <c r="B52" s="1" t="s">
        <v>228</v>
      </c>
      <c r="D52" t="s">
        <v>11</v>
      </c>
      <c r="E52" s="1" t="s">
        <v>1262</v>
      </c>
      <c r="F52" t="s">
        <v>1219</v>
      </c>
      <c r="G52"/>
      <c r="H52" s="4">
        <v>48</v>
      </c>
      <c r="I52" s="11">
        <v>44.8</v>
      </c>
      <c r="K52" s="12">
        <f t="shared" si="2"/>
        <v>1.651278013998144</v>
      </c>
      <c r="L52" s="11">
        <f>GraphYersinia!$B$10-(Yersinia!H52-GraphYersinia!$B$6)/GraphYersinia!$B$5</f>
        <v>1.753266758337972</v>
      </c>
      <c r="M52" s="1" t="s">
        <v>1192</v>
      </c>
      <c r="N52">
        <v>2000</v>
      </c>
      <c r="O52" s="2" t="s">
        <v>1195</v>
      </c>
    </row>
    <row r="53" spans="1:15" x14ac:dyDescent="0.2">
      <c r="A53" s="1" t="s">
        <v>227</v>
      </c>
      <c r="B53" s="1" t="s">
        <v>228</v>
      </c>
      <c r="D53" t="s">
        <v>11</v>
      </c>
      <c r="E53" s="1" t="s">
        <v>1262</v>
      </c>
      <c r="F53" t="s">
        <v>1219</v>
      </c>
      <c r="G53"/>
      <c r="H53" s="4">
        <v>52</v>
      </c>
      <c r="I53" s="11">
        <v>6.1</v>
      </c>
      <c r="K53" s="12">
        <f t="shared" si="2"/>
        <v>0.78532983501076703</v>
      </c>
      <c r="L53" s="11">
        <f>GraphYersinia!$B$10-(Yersinia!H53-GraphYersinia!$B$6)/GraphYersinia!$B$5</f>
        <v>1.1078603331818155</v>
      </c>
      <c r="M53" s="1" t="s">
        <v>1192</v>
      </c>
      <c r="N53">
        <v>2000</v>
      </c>
      <c r="O53" s="2" t="s">
        <v>1199</v>
      </c>
    </row>
    <row r="54" spans="1:15" x14ac:dyDescent="0.2">
      <c r="A54" s="1" t="s">
        <v>227</v>
      </c>
      <c r="B54" s="1" t="s">
        <v>228</v>
      </c>
      <c r="D54" t="s">
        <v>11</v>
      </c>
      <c r="E54" s="1" t="s">
        <v>1262</v>
      </c>
      <c r="F54" t="s">
        <v>1219</v>
      </c>
      <c r="G54"/>
      <c r="H54" s="4">
        <v>52</v>
      </c>
      <c r="I54" s="11">
        <v>7.1</v>
      </c>
      <c r="K54" s="12">
        <f t="shared" si="2"/>
        <v>0.85125834871907524</v>
      </c>
      <c r="L54" s="11">
        <f>GraphYersinia!$B$10-(Yersinia!H54-GraphYersinia!$B$6)/GraphYersinia!$B$5</f>
        <v>1.1078603331818155</v>
      </c>
      <c r="M54" s="1" t="s">
        <v>1192</v>
      </c>
      <c r="N54">
        <v>2000</v>
      </c>
      <c r="O54" s="2" t="s">
        <v>1195</v>
      </c>
    </row>
    <row r="55" spans="1:15" x14ac:dyDescent="0.2">
      <c r="A55" s="1" t="s">
        <v>227</v>
      </c>
      <c r="B55" s="1" t="s">
        <v>228</v>
      </c>
      <c r="D55" t="s">
        <v>11</v>
      </c>
      <c r="E55" s="1" t="s">
        <v>1262</v>
      </c>
      <c r="F55" t="s">
        <v>1219</v>
      </c>
      <c r="G55"/>
      <c r="H55" s="4">
        <v>56</v>
      </c>
      <c r="I55" s="11">
        <v>1.2</v>
      </c>
      <c r="K55" s="12">
        <f t="shared" si="2"/>
        <v>7.9181246047624818E-2</v>
      </c>
      <c r="L55" s="11">
        <f>GraphYersinia!$B$10-(Yersinia!H55-GraphYersinia!$B$6)/GraphYersinia!$B$5</f>
        <v>0.46245390802565911</v>
      </c>
      <c r="M55" s="1" t="s">
        <v>1192</v>
      </c>
      <c r="N55">
        <v>2000</v>
      </c>
      <c r="O55" s="2" t="s">
        <v>1199</v>
      </c>
    </row>
    <row r="56" spans="1:15" x14ac:dyDescent="0.2">
      <c r="A56" s="1" t="s">
        <v>227</v>
      </c>
      <c r="B56" s="1" t="s">
        <v>228</v>
      </c>
      <c r="D56" t="s">
        <v>11</v>
      </c>
      <c r="E56" s="1" t="s">
        <v>1262</v>
      </c>
      <c r="F56" t="s">
        <v>1219</v>
      </c>
      <c r="G56"/>
      <c r="H56" s="4">
        <v>56</v>
      </c>
      <c r="I56" s="11">
        <v>1.2</v>
      </c>
      <c r="K56" s="12">
        <f t="shared" si="2"/>
        <v>7.9181246047624818E-2</v>
      </c>
      <c r="L56" s="11">
        <f>GraphYersinia!$B$10-(Yersinia!H56-GraphYersinia!$B$6)/GraphYersinia!$B$5</f>
        <v>0.46245390802565911</v>
      </c>
      <c r="M56" s="1" t="s">
        <v>1192</v>
      </c>
      <c r="N56">
        <v>2000</v>
      </c>
      <c r="O56" s="2" t="s">
        <v>1195</v>
      </c>
    </row>
    <row r="57" spans="1:15" x14ac:dyDescent="0.2">
      <c r="A57" s="1" t="s">
        <v>227</v>
      </c>
      <c r="B57" s="1" t="s">
        <v>228</v>
      </c>
      <c r="D57" t="s">
        <v>11</v>
      </c>
      <c r="E57" s="1" t="s">
        <v>1262</v>
      </c>
      <c r="F57" s="1" t="s">
        <v>1193</v>
      </c>
      <c r="G57"/>
      <c r="H57" s="4">
        <v>48</v>
      </c>
      <c r="I57" s="11">
        <v>70.900000000000006</v>
      </c>
      <c r="K57" s="12">
        <f t="shared" si="2"/>
        <v>1.8506462351830666</v>
      </c>
      <c r="L57" s="11">
        <f>GraphYersinia!$B$10-(Yersinia!H57-GraphYersinia!$B$6)/GraphYersinia!$B$5</f>
        <v>1.753266758337972</v>
      </c>
      <c r="M57" s="1" t="s">
        <v>1192</v>
      </c>
      <c r="N57">
        <v>2000</v>
      </c>
      <c r="O57" s="2" t="s">
        <v>1199</v>
      </c>
    </row>
    <row r="58" spans="1:15" x14ac:dyDescent="0.2">
      <c r="A58" s="1" t="s">
        <v>227</v>
      </c>
      <c r="B58" s="1" t="s">
        <v>228</v>
      </c>
      <c r="D58" t="s">
        <v>11</v>
      </c>
      <c r="E58" s="1" t="s">
        <v>1262</v>
      </c>
      <c r="F58" s="1" t="s">
        <v>1193</v>
      </c>
      <c r="G58"/>
      <c r="H58" s="4">
        <v>48</v>
      </c>
      <c r="I58" s="11">
        <v>75.8</v>
      </c>
      <c r="K58" s="12">
        <f t="shared" si="2"/>
        <v>1.8796692056320534</v>
      </c>
      <c r="L58" s="11">
        <f>GraphYersinia!$B$10-(Yersinia!H58-GraphYersinia!$B$6)/GraphYersinia!$B$5</f>
        <v>1.753266758337972</v>
      </c>
      <c r="M58" s="1" t="s">
        <v>1192</v>
      </c>
      <c r="N58">
        <v>2000</v>
      </c>
      <c r="O58" s="2" t="s">
        <v>1195</v>
      </c>
    </row>
    <row r="59" spans="1:15" x14ac:dyDescent="0.2">
      <c r="A59" s="1" t="s">
        <v>227</v>
      </c>
      <c r="B59" s="1" t="s">
        <v>228</v>
      </c>
      <c r="D59" t="s">
        <v>11</v>
      </c>
      <c r="E59" s="1" t="s">
        <v>1262</v>
      </c>
      <c r="F59" t="s">
        <v>1193</v>
      </c>
      <c r="G59"/>
      <c r="H59" s="4">
        <v>52</v>
      </c>
      <c r="I59" s="11">
        <v>9.6</v>
      </c>
      <c r="K59" s="12">
        <f t="shared" si="2"/>
        <v>0.98227123303956843</v>
      </c>
      <c r="L59" s="11">
        <f>GraphYersinia!$B$10-(Yersinia!H59-GraphYersinia!$B$6)/GraphYersinia!$B$5</f>
        <v>1.1078603331818155</v>
      </c>
      <c r="M59" s="1" t="s">
        <v>1192</v>
      </c>
      <c r="N59">
        <v>2000</v>
      </c>
      <c r="O59" s="2" t="s">
        <v>1199</v>
      </c>
    </row>
    <row r="60" spans="1:15" x14ac:dyDescent="0.2">
      <c r="A60" s="1" t="s">
        <v>227</v>
      </c>
      <c r="B60" s="1" t="s">
        <v>228</v>
      </c>
      <c r="D60" t="s">
        <v>11</v>
      </c>
      <c r="E60" s="1" t="s">
        <v>1262</v>
      </c>
      <c r="F60" t="s">
        <v>1193</v>
      </c>
      <c r="G60"/>
      <c r="H60" s="4">
        <v>52</v>
      </c>
      <c r="I60" s="11">
        <v>9.6999999999999993</v>
      </c>
      <c r="K60" s="12">
        <f t="shared" si="2"/>
        <v>0.98677173426624487</v>
      </c>
      <c r="L60" s="11">
        <f>GraphYersinia!$B$10-(Yersinia!H60-GraphYersinia!$B$6)/GraphYersinia!$B$5</f>
        <v>1.1078603331818155</v>
      </c>
      <c r="M60" s="1" t="s">
        <v>1192</v>
      </c>
      <c r="N60">
        <v>2000</v>
      </c>
      <c r="O60" s="2" t="s">
        <v>1195</v>
      </c>
    </row>
    <row r="61" spans="1:15" x14ac:dyDescent="0.2">
      <c r="A61" s="1" t="s">
        <v>227</v>
      </c>
      <c r="B61" s="1" t="s">
        <v>228</v>
      </c>
      <c r="D61" t="s">
        <v>11</v>
      </c>
      <c r="E61" s="1" t="s">
        <v>1262</v>
      </c>
      <c r="F61" t="s">
        <v>1193</v>
      </c>
      <c r="G61"/>
      <c r="H61" s="4">
        <v>56</v>
      </c>
      <c r="I61" s="11">
        <v>2</v>
      </c>
      <c r="K61" s="12">
        <f t="shared" si="2"/>
        <v>0.3010299956639812</v>
      </c>
      <c r="L61" s="11">
        <f>GraphYersinia!$B$10-(Yersinia!H61-GraphYersinia!$B$6)/GraphYersinia!$B$5</f>
        <v>0.46245390802565911</v>
      </c>
      <c r="M61" s="1" t="s">
        <v>1192</v>
      </c>
      <c r="N61">
        <v>2000</v>
      </c>
      <c r="O61" s="2" t="s">
        <v>1199</v>
      </c>
    </row>
    <row r="62" spans="1:15" x14ac:dyDescent="0.2">
      <c r="A62" s="1" t="s">
        <v>227</v>
      </c>
      <c r="B62" s="1" t="s">
        <v>228</v>
      </c>
      <c r="D62" t="s">
        <v>11</v>
      </c>
      <c r="E62" s="1" t="s">
        <v>1262</v>
      </c>
      <c r="F62" t="s">
        <v>1193</v>
      </c>
      <c r="G62"/>
      <c r="H62" s="4">
        <v>56</v>
      </c>
      <c r="I62" s="11">
        <v>1.4</v>
      </c>
      <c r="K62" s="12">
        <f t="shared" si="2"/>
        <v>0.14612803567823801</v>
      </c>
      <c r="L62" s="11">
        <f>GraphYersinia!$B$10-(Yersinia!H62-GraphYersinia!$B$6)/GraphYersinia!$B$5</f>
        <v>0.46245390802565911</v>
      </c>
      <c r="M62" s="1" t="s">
        <v>1192</v>
      </c>
      <c r="N62">
        <v>2000</v>
      </c>
      <c r="O62" s="2" t="s">
        <v>1195</v>
      </c>
    </row>
    <row r="63" spans="1:15" x14ac:dyDescent="0.2">
      <c r="A63" s="1" t="s">
        <v>227</v>
      </c>
      <c r="B63" s="1" t="s">
        <v>228</v>
      </c>
      <c r="D63" t="s">
        <v>219</v>
      </c>
      <c r="E63" s="1" t="s">
        <v>307</v>
      </c>
      <c r="F63" s="19"/>
      <c r="H63" s="4">
        <v>60</v>
      </c>
      <c r="I63" s="9">
        <v>0.4</v>
      </c>
      <c r="J63" s="7"/>
      <c r="K63" s="12">
        <f t="shared" si="2"/>
        <v>-0.3979400086720376</v>
      </c>
      <c r="L63" s="11">
        <f>GraphYersinia!$B$10-(Yersinia!H63-GraphYersinia!$B$6)/GraphYersinia!$B$5</f>
        <v>-0.18295251713049754</v>
      </c>
      <c r="M63" s="1" t="s">
        <v>294</v>
      </c>
      <c r="N63">
        <v>2000</v>
      </c>
    </row>
    <row r="64" spans="1:15" x14ac:dyDescent="0.2">
      <c r="A64" s="1" t="s">
        <v>227</v>
      </c>
      <c r="B64" s="1" t="s">
        <v>228</v>
      </c>
      <c r="D64" t="s">
        <v>219</v>
      </c>
      <c r="E64" s="1" t="s">
        <v>307</v>
      </c>
      <c r="F64" s="19"/>
      <c r="H64" s="4">
        <v>60</v>
      </c>
      <c r="I64" s="9">
        <v>0.51</v>
      </c>
      <c r="J64" s="7"/>
      <c r="K64" s="12">
        <f t="shared" si="2"/>
        <v>-0.29242982390206362</v>
      </c>
      <c r="L64" s="11">
        <f>GraphYersinia!$B$10-(Yersinia!H64-GraphYersinia!$B$6)/GraphYersinia!$B$5</f>
        <v>-0.18295251713049754</v>
      </c>
      <c r="M64" s="1" t="s">
        <v>294</v>
      </c>
      <c r="N64">
        <v>2000</v>
      </c>
    </row>
    <row r="65" spans="1:13" x14ac:dyDescent="0.2">
      <c r="A65" s="1"/>
      <c r="B65" s="1"/>
      <c r="E65" s="1"/>
      <c r="F65" s="19"/>
      <c r="I65" s="9"/>
      <c r="J65" s="7"/>
      <c r="K65" s="12"/>
      <c r="L65" s="11"/>
      <c r="M65" s="2"/>
    </row>
    <row r="66" spans="1:13" x14ac:dyDescent="0.2">
      <c r="A66" s="1"/>
      <c r="B66" s="1"/>
      <c r="E66" s="1"/>
      <c r="F66" s="19"/>
      <c r="K66" s="12"/>
      <c r="L66" s="11"/>
      <c r="M66" s="2"/>
    </row>
    <row r="67" spans="1:13" x14ac:dyDescent="0.2">
      <c r="A67" s="1"/>
      <c r="B67" s="1"/>
      <c r="E67" s="1"/>
      <c r="F67" s="19"/>
      <c r="K67" s="12"/>
      <c r="L67" s="11"/>
      <c r="M67" s="2"/>
    </row>
    <row r="68" spans="1:13" x14ac:dyDescent="0.2">
      <c r="A68" s="1"/>
      <c r="B68" s="1"/>
      <c r="E68" s="1"/>
      <c r="F68" s="19"/>
      <c r="K68" s="12"/>
      <c r="L68" s="11"/>
      <c r="M68" s="2"/>
    </row>
    <row r="69" spans="1:13" x14ac:dyDescent="0.2">
      <c r="A69" s="1"/>
      <c r="B69" s="1"/>
      <c r="E69" s="1"/>
      <c r="F69" s="19"/>
      <c r="I69" s="9"/>
      <c r="J69" s="7"/>
      <c r="K69" s="12"/>
      <c r="L69" s="11"/>
      <c r="M69" s="2"/>
    </row>
    <row r="70" spans="1:13" x14ac:dyDescent="0.2">
      <c r="A70" s="1"/>
      <c r="B70" s="1"/>
      <c r="E70" s="1"/>
      <c r="F70" s="19"/>
      <c r="I70" s="9"/>
      <c r="J70" s="7"/>
      <c r="K70" s="12"/>
      <c r="L70" s="11"/>
      <c r="M70" s="2"/>
    </row>
    <row r="71" spans="1:13" x14ac:dyDescent="0.2">
      <c r="A71" s="1"/>
      <c r="B71" s="1"/>
      <c r="E71" s="1"/>
      <c r="F71" s="19"/>
      <c r="K71" s="12"/>
      <c r="L71" s="11"/>
      <c r="M71" s="2"/>
    </row>
    <row r="72" spans="1:13" x14ac:dyDescent="0.2">
      <c r="A72" s="1"/>
      <c r="B72" s="1"/>
      <c r="E72" s="1"/>
      <c r="F72" s="19"/>
      <c r="K72" s="12"/>
      <c r="L72" s="11"/>
      <c r="M72" s="2"/>
    </row>
    <row r="73" spans="1:13" x14ac:dyDescent="0.2">
      <c r="A73" s="1"/>
      <c r="B73" s="1"/>
      <c r="E73" s="1"/>
      <c r="F73" s="19"/>
      <c r="K73" s="12"/>
      <c r="L73" s="11"/>
      <c r="M73" s="2"/>
    </row>
    <row r="74" spans="1:13" x14ac:dyDescent="0.2">
      <c r="A74" s="1"/>
      <c r="B74" s="1"/>
      <c r="E74" s="1"/>
      <c r="K74" s="12"/>
      <c r="L74" s="11"/>
      <c r="M74" s="2"/>
    </row>
    <row r="75" spans="1:13" x14ac:dyDescent="0.2">
      <c r="A75" s="1"/>
      <c r="B75" s="1"/>
      <c r="E75" s="1"/>
      <c r="I75" s="9"/>
      <c r="J75" s="5"/>
      <c r="K75" s="12"/>
      <c r="L75" s="11"/>
      <c r="M75" s="2"/>
    </row>
    <row r="76" spans="1:13" x14ac:dyDescent="0.2">
      <c r="A76" s="1"/>
      <c r="B76" s="1"/>
      <c r="E76" s="1"/>
      <c r="K76" s="12"/>
      <c r="L76" s="11"/>
      <c r="M76" s="2"/>
    </row>
    <row r="77" spans="1:13" x14ac:dyDescent="0.2">
      <c r="A77" s="1"/>
      <c r="B77" s="1"/>
      <c r="E77" s="1"/>
      <c r="K77" s="12"/>
      <c r="L77" s="11"/>
      <c r="M77" s="2"/>
    </row>
    <row r="78" spans="1:13" x14ac:dyDescent="0.2">
      <c r="A78" s="1"/>
      <c r="B78" s="1"/>
      <c r="E78" s="1"/>
      <c r="K78" s="12"/>
      <c r="L78" s="11"/>
      <c r="M78" s="2"/>
    </row>
    <row r="79" spans="1:13" x14ac:dyDescent="0.2">
      <c r="A79" s="1"/>
      <c r="B79" s="1"/>
      <c r="E79" s="1"/>
      <c r="F79" s="1"/>
      <c r="K79" s="12"/>
      <c r="L79" s="11"/>
      <c r="M79" s="1"/>
    </row>
    <row r="80" spans="1:13" x14ac:dyDescent="0.2">
      <c r="A80" s="1"/>
      <c r="B80" s="1"/>
      <c r="E80" s="1"/>
      <c r="F80" s="1"/>
      <c r="K80" s="12"/>
      <c r="L80" s="11"/>
      <c r="M80" s="2"/>
    </row>
    <row r="81" spans="1:13" x14ac:dyDescent="0.2">
      <c r="A81" s="1"/>
      <c r="B81" s="1"/>
      <c r="E81" s="1"/>
      <c r="F81" s="1"/>
      <c r="K81" s="12"/>
      <c r="L81" s="11"/>
      <c r="M81" s="2"/>
    </row>
    <row r="82" spans="1:13" x14ac:dyDescent="0.2">
      <c r="A82" s="1"/>
      <c r="B82" s="1"/>
      <c r="E82" s="1"/>
      <c r="F82" s="1"/>
      <c r="K82" s="12"/>
      <c r="L82" s="11"/>
      <c r="M82" s="2"/>
    </row>
    <row r="83" spans="1:13" x14ac:dyDescent="0.2">
      <c r="A83" s="1"/>
      <c r="B83" s="1"/>
      <c r="E83" s="1"/>
      <c r="F83" s="1"/>
      <c r="K83" s="12"/>
      <c r="L83" s="11"/>
      <c r="M83" s="2"/>
    </row>
    <row r="84" spans="1:13" x14ac:dyDescent="0.2">
      <c r="A84" s="1"/>
      <c r="B84" s="1"/>
      <c r="E84" s="1"/>
      <c r="F84" s="1"/>
      <c r="K84" s="12"/>
      <c r="L84" s="11"/>
      <c r="M84" s="2"/>
    </row>
    <row r="85" spans="1:13" x14ac:dyDescent="0.2">
      <c r="A85" s="1"/>
      <c r="B85" s="1"/>
      <c r="E85" s="1"/>
      <c r="K85" s="12"/>
      <c r="L85" s="11"/>
      <c r="M85" s="1"/>
    </row>
    <row r="86" spans="1:13" x14ac:dyDescent="0.2">
      <c r="A86" s="1"/>
      <c r="B86" s="1"/>
      <c r="E86" s="1"/>
      <c r="H86" s="23"/>
      <c r="I86" s="4"/>
      <c r="K86" s="12"/>
      <c r="L86" s="11"/>
      <c r="M86" s="1"/>
    </row>
    <row r="87" spans="1:13" x14ac:dyDescent="0.2">
      <c r="A87" s="1"/>
      <c r="B87" s="1"/>
      <c r="E87" s="1"/>
      <c r="F87" s="1"/>
      <c r="K87" s="12"/>
      <c r="L87" s="11"/>
      <c r="M87" s="1"/>
    </row>
    <row r="88" spans="1:13" x14ac:dyDescent="0.2">
      <c r="A88" s="1"/>
      <c r="B88" s="1"/>
      <c r="E88" s="1"/>
      <c r="F88" s="1"/>
      <c r="K88" s="12"/>
      <c r="L88" s="11"/>
      <c r="M88" s="1"/>
    </row>
    <row r="89" spans="1:13" x14ac:dyDescent="0.2">
      <c r="A89" s="1"/>
      <c r="B89" s="1"/>
      <c r="E89" s="1"/>
      <c r="K89" s="12"/>
      <c r="L89" s="11"/>
      <c r="M89" s="1"/>
    </row>
    <row r="90" spans="1:13" x14ac:dyDescent="0.2">
      <c r="A90" s="1"/>
      <c r="B90" s="1"/>
      <c r="E90" s="1"/>
      <c r="F90" s="1"/>
      <c r="K90" s="12"/>
      <c r="L90" s="11"/>
      <c r="M90" s="1"/>
    </row>
    <row r="91" spans="1:13" x14ac:dyDescent="0.2">
      <c r="A91" s="1"/>
      <c r="B91" s="1"/>
      <c r="E91" s="1"/>
      <c r="F91" s="1"/>
      <c r="K91" s="12"/>
      <c r="L91" s="11"/>
      <c r="M91" s="1"/>
    </row>
    <row r="92" spans="1:13" x14ac:dyDescent="0.2">
      <c r="A92" s="1"/>
      <c r="B92" s="1"/>
      <c r="E92" s="1"/>
      <c r="K92" s="12"/>
      <c r="L92" s="11"/>
      <c r="M92" s="1"/>
    </row>
    <row r="93" spans="1:13" x14ac:dyDescent="0.2">
      <c r="A93" s="1"/>
      <c r="B93" s="1"/>
      <c r="E93" s="1"/>
      <c r="K93" s="12"/>
      <c r="L93" s="11"/>
      <c r="M93" s="1"/>
    </row>
    <row r="94" spans="1:13" x14ac:dyDescent="0.2">
      <c r="A94" s="1"/>
      <c r="B94" s="1"/>
      <c r="E94" s="1"/>
      <c r="F94" s="1"/>
      <c r="K94" s="12"/>
      <c r="L94" s="11"/>
      <c r="M94" s="1"/>
    </row>
    <row r="95" spans="1:13" x14ac:dyDescent="0.2">
      <c r="A95" s="1"/>
      <c r="B95" s="1"/>
      <c r="E95" s="1"/>
      <c r="F95" s="1"/>
      <c r="K95" s="12"/>
      <c r="L95" s="11"/>
      <c r="M95" s="1"/>
    </row>
    <row r="96" spans="1:13" x14ac:dyDescent="0.2">
      <c r="A96" s="1"/>
      <c r="B96" s="1"/>
      <c r="E96" s="1"/>
      <c r="F96" s="1"/>
      <c r="K96" s="12"/>
      <c r="L96" s="11"/>
      <c r="M96" s="1"/>
    </row>
    <row r="97" spans="1:13" x14ac:dyDescent="0.2">
      <c r="A97" s="1"/>
      <c r="B97" s="1"/>
      <c r="E97" s="1"/>
      <c r="F97" s="1"/>
      <c r="I97" s="9"/>
      <c r="J97" s="5"/>
      <c r="K97" s="12"/>
      <c r="L97" s="11"/>
      <c r="M97" s="1"/>
    </row>
    <row r="98" spans="1:13" x14ac:dyDescent="0.2">
      <c r="A98" s="1"/>
      <c r="B98" s="1"/>
      <c r="E98" s="1"/>
      <c r="K98" s="12"/>
      <c r="L98" s="11"/>
      <c r="M98" s="1"/>
    </row>
    <row r="99" spans="1:13" x14ac:dyDescent="0.2">
      <c r="A99" s="1"/>
      <c r="B99" s="1"/>
      <c r="E99" s="1"/>
      <c r="K99" s="12"/>
      <c r="L99" s="11"/>
      <c r="M99" s="1"/>
    </row>
    <row r="100" spans="1:13" x14ac:dyDescent="0.2">
      <c r="A100" s="1"/>
      <c r="B100" s="1"/>
      <c r="E100" s="1"/>
      <c r="K100" s="12"/>
      <c r="L100" s="11"/>
      <c r="M100" s="1"/>
    </row>
    <row r="101" spans="1:13" x14ac:dyDescent="0.2">
      <c r="A101" s="1"/>
      <c r="B101" s="1"/>
      <c r="E101" s="1"/>
      <c r="K101" s="12"/>
      <c r="L101" s="11"/>
      <c r="M101" s="1"/>
    </row>
    <row r="102" spans="1:13" x14ac:dyDescent="0.2">
      <c r="A102" s="1"/>
      <c r="B102" s="1"/>
      <c r="E102" s="1"/>
      <c r="K102" s="12"/>
      <c r="L102" s="11"/>
      <c r="M102" s="1"/>
    </row>
    <row r="103" spans="1:13" x14ac:dyDescent="0.2">
      <c r="A103" s="1"/>
      <c r="B103" s="1"/>
      <c r="E103" s="1"/>
      <c r="K103" s="12"/>
      <c r="L103" s="11"/>
      <c r="M103" s="1"/>
    </row>
    <row r="104" spans="1:13" x14ac:dyDescent="0.2">
      <c r="A104" s="1"/>
      <c r="B104" s="1"/>
      <c r="F104" s="1"/>
      <c r="K104" s="12"/>
      <c r="L104" s="11"/>
      <c r="M104" s="1"/>
    </row>
    <row r="105" spans="1:13" x14ac:dyDescent="0.2">
      <c r="A105" s="1"/>
      <c r="B105" s="1"/>
      <c r="F105" s="1"/>
      <c r="K105" s="12"/>
      <c r="L105" s="11"/>
      <c r="M105" s="1"/>
    </row>
    <row r="106" spans="1:13" x14ac:dyDescent="0.2">
      <c r="A106" s="1"/>
      <c r="B106" s="1"/>
      <c r="F106" s="1"/>
      <c r="K106" s="12"/>
      <c r="L106" s="11"/>
      <c r="M106" s="1"/>
    </row>
    <row r="107" spans="1:13" x14ac:dyDescent="0.2">
      <c r="A107" s="1"/>
      <c r="B107" s="1"/>
      <c r="F107" s="1"/>
      <c r="K107" s="12"/>
      <c r="L107" s="11"/>
      <c r="M107" s="1"/>
    </row>
    <row r="108" spans="1:13" x14ac:dyDescent="0.2">
      <c r="A108" s="1"/>
      <c r="B108" s="1"/>
      <c r="E108" s="1"/>
      <c r="K108" s="12"/>
      <c r="L108" s="11"/>
      <c r="M108" s="2"/>
    </row>
    <row r="109" spans="1:13" x14ac:dyDescent="0.2">
      <c r="A109" s="1"/>
      <c r="B109" s="1"/>
      <c r="E109" s="1"/>
      <c r="K109" s="12"/>
      <c r="L109" s="11"/>
      <c r="M109" s="2"/>
    </row>
    <row r="110" spans="1:13" x14ac:dyDescent="0.2">
      <c r="A110" s="1"/>
      <c r="B110" s="1"/>
      <c r="E110" s="1"/>
      <c r="K110" s="12"/>
      <c r="L110" s="11"/>
      <c r="M110" s="2"/>
    </row>
    <row r="111" spans="1:13" x14ac:dyDescent="0.2">
      <c r="A111" s="1"/>
      <c r="B111" s="1"/>
      <c r="E111" s="1"/>
      <c r="K111" s="12"/>
      <c r="L111" s="11"/>
      <c r="M111" s="2"/>
    </row>
    <row r="112" spans="1:13" x14ac:dyDescent="0.2">
      <c r="A112" s="1"/>
      <c r="B112" s="1"/>
      <c r="E112" s="1"/>
      <c r="K112" s="12"/>
      <c r="L112" s="11"/>
      <c r="M112" s="2"/>
    </row>
    <row r="113" spans="1:13" x14ac:dyDescent="0.2">
      <c r="A113" s="1"/>
      <c r="B113" s="1"/>
      <c r="E113" s="1"/>
      <c r="F113" s="1"/>
      <c r="K113" s="12"/>
      <c r="L113" s="11"/>
      <c r="M113" s="2"/>
    </row>
    <row r="114" spans="1:13" x14ac:dyDescent="0.2">
      <c r="A114" s="1"/>
      <c r="B114" s="1"/>
      <c r="E114" s="1"/>
      <c r="F114" s="1"/>
      <c r="I114" s="4"/>
      <c r="K114" s="12"/>
      <c r="L114" s="11"/>
      <c r="M114" s="2"/>
    </row>
    <row r="115" spans="1:13" x14ac:dyDescent="0.2">
      <c r="A115" s="1"/>
      <c r="B115" s="1"/>
      <c r="E115" s="1"/>
      <c r="F115" s="1"/>
      <c r="I115" s="4"/>
      <c r="K115" s="12"/>
      <c r="L115" s="11"/>
      <c r="M115" s="2"/>
    </row>
    <row r="116" spans="1:13" x14ac:dyDescent="0.2">
      <c r="A116" s="1"/>
      <c r="B116" s="1"/>
      <c r="E116" s="1"/>
      <c r="F116" s="1"/>
      <c r="K116" s="12"/>
      <c r="L116" s="11"/>
      <c r="M116" s="2"/>
    </row>
    <row r="117" spans="1:13" x14ac:dyDescent="0.2">
      <c r="A117" s="1"/>
      <c r="B117" s="1"/>
      <c r="E117" s="1"/>
      <c r="F117" s="1"/>
      <c r="K117" s="12"/>
      <c r="L117" s="11"/>
      <c r="M117" s="2"/>
    </row>
    <row r="118" spans="1:13" x14ac:dyDescent="0.2">
      <c r="A118" s="1"/>
      <c r="B118" s="1"/>
      <c r="E118" s="1"/>
      <c r="F118" s="1"/>
      <c r="K118" s="12"/>
      <c r="L118" s="11"/>
      <c r="M118" s="2"/>
    </row>
    <row r="119" spans="1:13" x14ac:dyDescent="0.2">
      <c r="A119" s="1"/>
      <c r="B119" s="1"/>
      <c r="E119" s="1"/>
      <c r="F119" s="1"/>
      <c r="K119" s="12"/>
      <c r="L119" s="11"/>
      <c r="M119" s="2"/>
    </row>
    <row r="120" spans="1:13" x14ac:dyDescent="0.2">
      <c r="A120" s="1"/>
      <c r="B120" s="1"/>
      <c r="E120" s="1"/>
      <c r="F120" s="1"/>
      <c r="K120" s="12"/>
      <c r="L120" s="11"/>
      <c r="M120" s="2"/>
    </row>
    <row r="121" spans="1:13" x14ac:dyDescent="0.2">
      <c r="A121" s="1"/>
      <c r="B121" s="1"/>
      <c r="E121" s="1"/>
      <c r="F121" s="1"/>
      <c r="K121" s="12"/>
      <c r="L121" s="11"/>
      <c r="M121" s="2"/>
    </row>
    <row r="122" spans="1:13" x14ac:dyDescent="0.2">
      <c r="A122" s="1"/>
      <c r="B122" s="1"/>
      <c r="E122" s="1"/>
      <c r="F122" s="1"/>
      <c r="K122" s="12"/>
      <c r="L122" s="11"/>
      <c r="M122" s="2"/>
    </row>
    <row r="123" spans="1:13" x14ac:dyDescent="0.2">
      <c r="A123" s="1"/>
      <c r="B123" s="1"/>
      <c r="E123" s="1"/>
      <c r="F123" s="1"/>
      <c r="K123" s="12"/>
      <c r="L123" s="11"/>
      <c r="M123" s="2"/>
    </row>
    <row r="124" spans="1:13" x14ac:dyDescent="0.2">
      <c r="A124" s="1"/>
      <c r="B124" s="1"/>
      <c r="E124" s="1"/>
      <c r="F124" s="1"/>
      <c r="K124" s="12"/>
      <c r="L124" s="11"/>
      <c r="M124" s="2"/>
    </row>
    <row r="125" spans="1:13" x14ac:dyDescent="0.2">
      <c r="A125" s="1"/>
      <c r="B125" s="1"/>
      <c r="E125" s="1"/>
      <c r="F125" s="1"/>
      <c r="K125" s="12"/>
      <c r="L125" s="11"/>
      <c r="M125" s="2"/>
    </row>
    <row r="126" spans="1:13" x14ac:dyDescent="0.2">
      <c r="A126" s="1"/>
      <c r="B126" s="1"/>
      <c r="E126" s="1"/>
      <c r="F126" s="1"/>
      <c r="K126" s="12"/>
      <c r="L126" s="11"/>
      <c r="M126" s="2"/>
    </row>
    <row r="127" spans="1:13" x14ac:dyDescent="0.2">
      <c r="A127" s="1"/>
      <c r="B127" s="1"/>
      <c r="E127" s="1"/>
      <c r="F127" s="1"/>
      <c r="K127" s="12"/>
      <c r="L127" s="11"/>
      <c r="M127" s="2"/>
    </row>
    <row r="128" spans="1:13" x14ac:dyDescent="0.2">
      <c r="A128" s="1"/>
      <c r="B128" s="1"/>
      <c r="E128" s="1"/>
      <c r="F128" s="1"/>
      <c r="K128" s="12"/>
      <c r="L128" s="11"/>
      <c r="M128" s="2"/>
    </row>
    <row r="129" spans="1:13" x14ac:dyDescent="0.2">
      <c r="A129" s="1"/>
      <c r="B129" s="1"/>
      <c r="E129" s="1"/>
      <c r="F129" s="1"/>
      <c r="K129" s="12"/>
      <c r="L129" s="11"/>
      <c r="M129" s="2"/>
    </row>
    <row r="130" spans="1:13" x14ac:dyDescent="0.2">
      <c r="A130" s="1"/>
      <c r="B130" s="1"/>
      <c r="E130" s="1"/>
      <c r="F130" s="1"/>
      <c r="K130" s="12"/>
      <c r="L130" s="11"/>
      <c r="M130" s="2"/>
    </row>
    <row r="131" spans="1:13" x14ac:dyDescent="0.2">
      <c r="A131" s="1"/>
      <c r="B131" s="1"/>
      <c r="E131" s="1"/>
      <c r="F131" s="1"/>
      <c r="K131" s="12"/>
      <c r="L131" s="11"/>
      <c r="M131" s="2"/>
    </row>
    <row r="132" spans="1:13" x14ac:dyDescent="0.2">
      <c r="A132" s="1"/>
      <c r="B132" s="1"/>
      <c r="E132" s="1"/>
      <c r="F132" s="1"/>
      <c r="K132" s="12"/>
      <c r="L132" s="11"/>
      <c r="M132" s="2"/>
    </row>
    <row r="133" spans="1:13" x14ac:dyDescent="0.2">
      <c r="A133" s="1"/>
      <c r="B133" s="1"/>
      <c r="E133" s="1"/>
      <c r="F133" s="1"/>
      <c r="K133" s="12"/>
      <c r="L133" s="11"/>
      <c r="M133" s="2"/>
    </row>
    <row r="134" spans="1:13" x14ac:dyDescent="0.2">
      <c r="A134" s="1"/>
      <c r="B134" s="1"/>
      <c r="E134" s="1"/>
      <c r="F134" s="1"/>
      <c r="K134" s="12"/>
      <c r="L134" s="11"/>
      <c r="M134" s="2"/>
    </row>
    <row r="135" spans="1:13" x14ac:dyDescent="0.2">
      <c r="A135" s="1"/>
      <c r="B135" s="1"/>
      <c r="E135" s="1"/>
      <c r="F135" s="1"/>
      <c r="K135" s="12"/>
      <c r="L135" s="11"/>
      <c r="M135" s="2"/>
    </row>
    <row r="136" spans="1:13" x14ac:dyDescent="0.2">
      <c r="A136" s="1"/>
      <c r="B136" s="1"/>
      <c r="E136" s="1"/>
      <c r="F136" s="1"/>
      <c r="K136" s="12"/>
      <c r="L136" s="11"/>
      <c r="M136" s="2"/>
    </row>
    <row r="137" spans="1:13" x14ac:dyDescent="0.2">
      <c r="A137" s="1"/>
      <c r="B137" s="1"/>
      <c r="E137" s="1"/>
      <c r="F137" s="1"/>
      <c r="K137" s="12"/>
      <c r="L137" s="11"/>
      <c r="M137" s="2"/>
    </row>
    <row r="138" spans="1:13" x14ac:dyDescent="0.2">
      <c r="A138" s="1"/>
      <c r="B138" s="1"/>
      <c r="E138" s="1"/>
      <c r="F138" s="1"/>
      <c r="K138" s="12"/>
      <c r="L138" s="11"/>
      <c r="M138" s="2"/>
    </row>
    <row r="139" spans="1:13" x14ac:dyDescent="0.2">
      <c r="A139" s="1"/>
      <c r="B139" s="1"/>
      <c r="E139" s="1"/>
      <c r="F139" s="1"/>
      <c r="K139" s="12"/>
      <c r="L139" s="11"/>
      <c r="M139" s="2"/>
    </row>
    <row r="140" spans="1:13" x14ac:dyDescent="0.2">
      <c r="A140" s="1"/>
      <c r="B140" s="1"/>
      <c r="E140" s="1"/>
      <c r="F140" s="1"/>
      <c r="K140" s="12"/>
      <c r="L140" s="11"/>
      <c r="M140" s="2"/>
    </row>
    <row r="141" spans="1:13" x14ac:dyDescent="0.2">
      <c r="A141" s="1"/>
      <c r="B141" s="1"/>
      <c r="E141" s="1"/>
      <c r="F141" s="1"/>
      <c r="K141" s="12"/>
      <c r="L141" s="11"/>
      <c r="M141" s="2"/>
    </row>
    <row r="142" spans="1:13" x14ac:dyDescent="0.2">
      <c r="A142" s="1"/>
      <c r="B142" s="1"/>
      <c r="E142" s="1"/>
      <c r="F142" s="1"/>
      <c r="K142" s="12"/>
      <c r="L142" s="11"/>
      <c r="M142" s="2"/>
    </row>
    <row r="143" spans="1:13" x14ac:dyDescent="0.2">
      <c r="A143" s="1"/>
      <c r="B143" s="1"/>
      <c r="E143" s="1"/>
      <c r="F143" s="1"/>
      <c r="K143" s="12"/>
      <c r="L143" s="11"/>
      <c r="M143" s="2"/>
    </row>
    <row r="144" spans="1:13" x14ac:dyDescent="0.2">
      <c r="A144" s="1"/>
      <c r="B144" s="1"/>
      <c r="E144" s="1"/>
      <c r="F144" s="1"/>
      <c r="K144" s="12"/>
      <c r="L144" s="11"/>
      <c r="M144" s="1"/>
    </row>
    <row r="145" spans="1:13" x14ac:dyDescent="0.2">
      <c r="A145" s="1"/>
      <c r="B145" s="1"/>
      <c r="E145" s="1"/>
      <c r="K145" s="12"/>
      <c r="L145" s="11"/>
      <c r="M145" s="1"/>
    </row>
    <row r="146" spans="1:13" x14ac:dyDescent="0.2">
      <c r="A146" s="1"/>
      <c r="B146" s="1"/>
      <c r="E146" s="1"/>
      <c r="K146" s="12"/>
      <c r="L146" s="11"/>
      <c r="M146" s="1"/>
    </row>
    <row r="147" spans="1:13" x14ac:dyDescent="0.2">
      <c r="A147" s="1"/>
      <c r="B147" s="1"/>
      <c r="E147" s="1"/>
      <c r="F147" s="1"/>
      <c r="I147" s="9"/>
      <c r="J147" s="5"/>
      <c r="K147" s="12"/>
      <c r="L147" s="11"/>
      <c r="M147" s="2"/>
    </row>
    <row r="148" spans="1:13" x14ac:dyDescent="0.2">
      <c r="A148" s="1"/>
      <c r="B148" s="1"/>
      <c r="E148" s="1"/>
      <c r="F148" s="1"/>
      <c r="K148" s="12"/>
      <c r="L148" s="11"/>
      <c r="M148" s="2"/>
    </row>
    <row r="149" spans="1:13" x14ac:dyDescent="0.2">
      <c r="A149" s="1"/>
      <c r="B149" s="1"/>
      <c r="E149" s="1"/>
      <c r="F149" s="1"/>
      <c r="K149" s="12"/>
      <c r="L149" s="11"/>
      <c r="M149" s="2"/>
    </row>
    <row r="150" spans="1:13" x14ac:dyDescent="0.2">
      <c r="A150" s="1"/>
      <c r="B150" s="1"/>
      <c r="E150" s="1"/>
      <c r="F150" s="1"/>
      <c r="K150" s="12"/>
      <c r="L150" s="11"/>
      <c r="M150" s="2"/>
    </row>
    <row r="151" spans="1:13" x14ac:dyDescent="0.2">
      <c r="A151" s="1"/>
      <c r="B151" s="1"/>
      <c r="E151" s="1"/>
      <c r="K151" s="12"/>
      <c r="L151" s="11"/>
      <c r="M151" s="2"/>
    </row>
    <row r="152" spans="1:13" x14ac:dyDescent="0.2">
      <c r="A152" s="1"/>
      <c r="B152" s="1"/>
      <c r="E152" s="1"/>
      <c r="K152" s="12"/>
      <c r="L152" s="11"/>
      <c r="M152" s="2"/>
    </row>
    <row r="153" spans="1:13" x14ac:dyDescent="0.2">
      <c r="A153" s="1"/>
      <c r="B153" s="1"/>
      <c r="E153" s="1"/>
      <c r="K153" s="12"/>
      <c r="L153" s="11"/>
      <c r="M153" s="2"/>
    </row>
    <row r="154" spans="1:13" x14ac:dyDescent="0.2">
      <c r="A154" s="1"/>
      <c r="B154" s="1"/>
      <c r="E154" s="1"/>
      <c r="K154" s="12"/>
      <c r="L154" s="11"/>
      <c r="M154" s="2"/>
    </row>
    <row r="155" spans="1:13" x14ac:dyDescent="0.2">
      <c r="A155" s="1"/>
      <c r="B155" s="1"/>
      <c r="E155" s="1"/>
      <c r="K155" s="12"/>
      <c r="L155" s="11"/>
      <c r="M155" s="2"/>
    </row>
    <row r="156" spans="1:13" x14ac:dyDescent="0.2">
      <c r="A156" s="1"/>
      <c r="B156" s="1"/>
      <c r="E156" s="1"/>
      <c r="K156" s="12"/>
      <c r="L156" s="11"/>
      <c r="M156" s="2"/>
    </row>
    <row r="157" spans="1:13" x14ac:dyDescent="0.2">
      <c r="A157" s="1"/>
      <c r="B157" s="1"/>
      <c r="E157" s="1"/>
      <c r="K157" s="12"/>
      <c r="L157" s="11"/>
      <c r="M157" s="2"/>
    </row>
    <row r="158" spans="1:13" x14ac:dyDescent="0.2">
      <c r="A158" s="1"/>
      <c r="B158" s="1"/>
      <c r="E158" s="1"/>
      <c r="K158" s="12"/>
      <c r="L158" s="11"/>
      <c r="M158" s="2"/>
    </row>
    <row r="159" spans="1:13" x14ac:dyDescent="0.2">
      <c r="A159" s="1"/>
      <c r="B159" s="1"/>
      <c r="E159" s="1"/>
      <c r="K159" s="12"/>
      <c r="L159" s="11"/>
      <c r="M159" s="2"/>
    </row>
    <row r="160" spans="1:13" x14ac:dyDescent="0.2">
      <c r="A160" s="1"/>
      <c r="B160" s="1"/>
      <c r="E160" s="1"/>
      <c r="K160" s="12"/>
      <c r="L160" s="11"/>
      <c r="M160" s="2"/>
    </row>
    <row r="161" spans="1:13" x14ac:dyDescent="0.2">
      <c r="A161" s="1"/>
      <c r="B161" s="1"/>
      <c r="E161" s="1"/>
      <c r="K161" s="12"/>
      <c r="L161" s="11"/>
      <c r="M161" s="2"/>
    </row>
    <row r="162" spans="1:13" x14ac:dyDescent="0.2">
      <c r="A162" s="1"/>
      <c r="B162" s="1"/>
      <c r="E162" s="1"/>
      <c r="K162" s="12"/>
      <c r="L162" s="11"/>
      <c r="M162" s="2"/>
    </row>
    <row r="163" spans="1:13" x14ac:dyDescent="0.2">
      <c r="A163" s="1"/>
      <c r="B163" s="1"/>
      <c r="E163" s="1"/>
      <c r="K163" s="12"/>
      <c r="L163" s="11"/>
      <c r="M163" s="2"/>
    </row>
    <row r="164" spans="1:13" x14ac:dyDescent="0.2">
      <c r="A164" s="1"/>
      <c r="B164" s="1"/>
      <c r="E164" s="1"/>
      <c r="I164" s="9"/>
      <c r="J164" s="5"/>
      <c r="K164" s="12"/>
      <c r="L164" s="11"/>
      <c r="M164" s="2"/>
    </row>
    <row r="165" spans="1:13" x14ac:dyDescent="0.2">
      <c r="A165" s="1"/>
      <c r="B165" s="1"/>
      <c r="C165" s="1"/>
      <c r="E165" s="1"/>
      <c r="K165" s="12"/>
      <c r="L165" s="11"/>
      <c r="M165" s="2"/>
    </row>
    <row r="166" spans="1:13" x14ac:dyDescent="0.2">
      <c r="A166" s="1"/>
      <c r="B166" s="1"/>
      <c r="C166" s="1"/>
      <c r="E166" s="1"/>
      <c r="K166" s="12"/>
      <c r="L166" s="11"/>
      <c r="M166" s="2"/>
    </row>
    <row r="167" spans="1:13" x14ac:dyDescent="0.2">
      <c r="A167" s="1"/>
      <c r="B167" s="1"/>
      <c r="C167" s="1"/>
      <c r="E167" s="1"/>
      <c r="K167" s="12"/>
      <c r="L167" s="11"/>
      <c r="M167" s="2"/>
    </row>
    <row r="168" spans="1:13" x14ac:dyDescent="0.2">
      <c r="A168" s="1"/>
      <c r="B168" s="1"/>
      <c r="C168" s="1"/>
      <c r="E168" s="1"/>
      <c r="K168" s="12"/>
      <c r="L168" s="11"/>
      <c r="M168" s="2"/>
    </row>
    <row r="169" spans="1:13" x14ac:dyDescent="0.2">
      <c r="A169" s="1"/>
      <c r="B169" s="1"/>
      <c r="C169" s="1"/>
      <c r="E169" s="1"/>
      <c r="K169" s="12"/>
      <c r="L169" s="11"/>
      <c r="M169" s="2"/>
    </row>
    <row r="170" spans="1:13" x14ac:dyDescent="0.2">
      <c r="A170" s="1"/>
      <c r="B170" s="1"/>
      <c r="C170" s="1"/>
      <c r="E170" s="1"/>
      <c r="K170" s="12"/>
      <c r="L170" s="11"/>
      <c r="M170" s="2"/>
    </row>
    <row r="171" spans="1:13" x14ac:dyDescent="0.2">
      <c r="A171" s="1"/>
      <c r="B171" s="1"/>
      <c r="C171" s="1"/>
      <c r="E171" s="1"/>
      <c r="K171" s="12"/>
      <c r="L171" s="11"/>
      <c r="M171" s="2"/>
    </row>
    <row r="172" spans="1:13" x14ac:dyDescent="0.2">
      <c r="A172" s="1"/>
      <c r="B172" s="1"/>
      <c r="C172" s="1"/>
      <c r="E172" s="1"/>
      <c r="K172" s="12"/>
      <c r="L172" s="11"/>
      <c r="M172" s="2"/>
    </row>
    <row r="173" spans="1:13" x14ac:dyDescent="0.2">
      <c r="A173" s="1"/>
      <c r="B173" s="1"/>
      <c r="C173" s="1"/>
      <c r="E173" s="1"/>
      <c r="K173" s="12"/>
      <c r="L173" s="11"/>
      <c r="M173" s="2"/>
    </row>
    <row r="174" spans="1:13" x14ac:dyDescent="0.2">
      <c r="A174" s="1"/>
      <c r="B174" s="1"/>
      <c r="C174" s="1"/>
      <c r="E174" s="1"/>
      <c r="K174" s="12"/>
      <c r="L174" s="11"/>
      <c r="M174" s="2"/>
    </row>
    <row r="175" spans="1:13" x14ac:dyDescent="0.2">
      <c r="A175" s="1"/>
      <c r="B175" s="1"/>
      <c r="C175" s="1"/>
      <c r="E175" s="1"/>
      <c r="K175" s="12"/>
      <c r="L175" s="11"/>
      <c r="M175" s="2"/>
    </row>
    <row r="176" spans="1:13" x14ac:dyDescent="0.2">
      <c r="A176" s="1"/>
      <c r="B176" s="1"/>
      <c r="C176" s="1"/>
      <c r="E176" s="1"/>
      <c r="K176" s="12"/>
      <c r="L176" s="11"/>
      <c r="M176" s="2"/>
    </row>
    <row r="177" spans="1:13" x14ac:dyDescent="0.2">
      <c r="A177" s="1"/>
      <c r="B177" s="1"/>
      <c r="C177" s="1"/>
      <c r="E177" s="1"/>
      <c r="K177" s="12"/>
      <c r="L177" s="11"/>
      <c r="M177" s="2"/>
    </row>
    <row r="178" spans="1:13" x14ac:dyDescent="0.2">
      <c r="A178" s="1"/>
      <c r="B178" s="1"/>
      <c r="C178" s="1"/>
      <c r="E178" s="1"/>
      <c r="K178" s="12"/>
      <c r="L178" s="11"/>
      <c r="M178" s="2"/>
    </row>
    <row r="179" spans="1:13" x14ac:dyDescent="0.2">
      <c r="A179" s="1"/>
      <c r="B179" s="1"/>
      <c r="C179" s="1"/>
      <c r="E179" s="1"/>
      <c r="K179" s="12"/>
      <c r="L179" s="11"/>
      <c r="M179" s="2"/>
    </row>
    <row r="180" spans="1:13" x14ac:dyDescent="0.2">
      <c r="A180" s="1"/>
      <c r="B180" s="1"/>
      <c r="C180" s="1"/>
      <c r="E180" s="1"/>
      <c r="K180" s="12"/>
      <c r="L180" s="11"/>
      <c r="M180" s="2"/>
    </row>
    <row r="181" spans="1:13" x14ac:dyDescent="0.2">
      <c r="A181" s="1"/>
      <c r="B181" s="1"/>
      <c r="C181" s="1"/>
      <c r="E181" s="1"/>
      <c r="K181" s="12"/>
      <c r="L181" s="11"/>
      <c r="M181" s="2"/>
    </row>
    <row r="182" spans="1:13" x14ac:dyDescent="0.2">
      <c r="A182" s="1"/>
      <c r="B182" s="1"/>
      <c r="C182" s="1"/>
      <c r="E182" s="1"/>
      <c r="K182" s="12"/>
      <c r="L182" s="11"/>
      <c r="M182" s="2"/>
    </row>
    <row r="183" spans="1:13" x14ac:dyDescent="0.2">
      <c r="A183" s="1"/>
      <c r="B183" s="1"/>
      <c r="C183" s="1"/>
      <c r="E183" s="1"/>
      <c r="K183" s="12"/>
      <c r="L183" s="11"/>
      <c r="M183" s="2"/>
    </row>
    <row r="184" spans="1:13" x14ac:dyDescent="0.2">
      <c r="A184" s="1"/>
      <c r="B184" s="1"/>
      <c r="C184" s="1"/>
      <c r="E184" s="1"/>
      <c r="K184" s="12"/>
      <c r="L184" s="11"/>
      <c r="M184" s="2"/>
    </row>
    <row r="185" spans="1:13" x14ac:dyDescent="0.2">
      <c r="A185" s="1"/>
      <c r="B185" s="1"/>
      <c r="E185" s="1"/>
      <c r="K185" s="12"/>
      <c r="L185" s="11"/>
      <c r="M185" s="2"/>
    </row>
    <row r="186" spans="1:13" x14ac:dyDescent="0.2">
      <c r="A186" s="1"/>
      <c r="B186" s="1"/>
      <c r="E186" s="1"/>
      <c r="K186" s="12"/>
      <c r="L186" s="11"/>
      <c r="M186" s="2"/>
    </row>
    <row r="187" spans="1:13" x14ac:dyDescent="0.2">
      <c r="A187" s="1"/>
      <c r="B187" s="1"/>
      <c r="E187" s="1"/>
      <c r="K187" s="12"/>
      <c r="L187" s="11"/>
      <c r="M187" s="2"/>
    </row>
    <row r="188" spans="1:13" x14ac:dyDescent="0.2">
      <c r="A188" s="1"/>
      <c r="B188" s="1"/>
      <c r="C188" s="1"/>
      <c r="E188" s="1"/>
      <c r="I188" s="9"/>
      <c r="J188" s="7"/>
      <c r="K188" s="12"/>
      <c r="L188" s="11"/>
      <c r="M188" s="2"/>
    </row>
    <row r="189" spans="1:13" x14ac:dyDescent="0.2">
      <c r="A189" s="1"/>
      <c r="B189" s="1"/>
      <c r="C189" s="1"/>
      <c r="E189" s="1"/>
      <c r="I189" s="9"/>
      <c r="J189" s="7"/>
      <c r="K189" s="12"/>
      <c r="L189" s="11"/>
      <c r="M189" s="2"/>
    </row>
    <row r="190" spans="1:13" x14ac:dyDescent="0.2">
      <c r="A190" s="1"/>
      <c r="B190" s="1"/>
      <c r="E190" s="1"/>
      <c r="K190" s="12"/>
      <c r="L190" s="11"/>
      <c r="M190" s="2"/>
    </row>
    <row r="191" spans="1:13" x14ac:dyDescent="0.2">
      <c r="A191" s="1"/>
      <c r="B191" s="1"/>
      <c r="E191" s="1"/>
      <c r="K191" s="12"/>
      <c r="L191" s="11"/>
      <c r="M191" s="2"/>
    </row>
    <row r="192" spans="1:13" x14ac:dyDescent="0.2">
      <c r="A192" s="1"/>
      <c r="B192" s="1"/>
      <c r="E192" s="1"/>
      <c r="K192" s="12"/>
      <c r="L192" s="11"/>
      <c r="M192" s="2"/>
    </row>
    <row r="193" spans="1:13" x14ac:dyDescent="0.2">
      <c r="A193" s="1"/>
      <c r="B193" s="1"/>
      <c r="E193" s="1"/>
      <c r="K193" s="12"/>
      <c r="L193" s="11"/>
      <c r="M193" s="2"/>
    </row>
    <row r="194" spans="1:13" x14ac:dyDescent="0.2">
      <c r="A194" s="1"/>
      <c r="B194" s="1"/>
      <c r="E194" s="1"/>
      <c r="K194" s="12"/>
      <c r="L194" s="11"/>
      <c r="M194" s="2"/>
    </row>
    <row r="195" spans="1:13" x14ac:dyDescent="0.2">
      <c r="A195" s="1"/>
      <c r="B195" s="1"/>
      <c r="C195" s="1"/>
      <c r="E195" s="1"/>
      <c r="G195" s="5"/>
      <c r="H195" s="5"/>
      <c r="I195" s="9"/>
      <c r="J195" s="5"/>
      <c r="K195" s="12"/>
      <c r="L195" s="11"/>
      <c r="M195" s="2"/>
    </row>
    <row r="196" spans="1:13" x14ac:dyDescent="0.2">
      <c r="A196" s="1"/>
      <c r="B196" s="1"/>
      <c r="E196" s="1"/>
      <c r="K196" s="12"/>
      <c r="L196" s="11"/>
      <c r="M196" s="2"/>
    </row>
    <row r="197" spans="1:13" x14ac:dyDescent="0.2">
      <c r="A197" s="1"/>
      <c r="B197" s="1"/>
      <c r="E197" s="1"/>
      <c r="F197" s="1"/>
      <c r="K197" s="12"/>
      <c r="L197" s="11"/>
      <c r="M197" s="2"/>
    </row>
    <row r="198" spans="1:13" x14ac:dyDescent="0.2">
      <c r="A198" s="1"/>
      <c r="B198" s="1"/>
      <c r="E198" s="1"/>
      <c r="F198" s="1"/>
      <c r="K198" s="12"/>
      <c r="L198" s="11"/>
      <c r="M198" s="2"/>
    </row>
    <row r="199" spans="1:13" x14ac:dyDescent="0.2">
      <c r="A199" s="1"/>
      <c r="B199" s="1"/>
      <c r="E199" s="1"/>
      <c r="K199" s="12"/>
      <c r="L199" s="11"/>
      <c r="M199" s="2"/>
    </row>
    <row r="200" spans="1:13" x14ac:dyDescent="0.2">
      <c r="A200" s="1"/>
      <c r="B200" s="1"/>
      <c r="E200" s="1"/>
      <c r="K200" s="12"/>
      <c r="L200" s="11"/>
      <c r="M200" s="2"/>
    </row>
    <row r="201" spans="1:13" x14ac:dyDescent="0.2">
      <c r="A201" s="1"/>
      <c r="B201" s="1"/>
      <c r="E201" s="1"/>
      <c r="K201" s="12"/>
      <c r="L201" s="11"/>
      <c r="M201" s="2"/>
    </row>
    <row r="202" spans="1:13" x14ac:dyDescent="0.2">
      <c r="A202" s="1"/>
      <c r="B202" s="1"/>
      <c r="E202" s="1"/>
      <c r="K202" s="12"/>
      <c r="L202" s="11"/>
      <c r="M202" s="2"/>
    </row>
    <row r="203" spans="1:13" x14ac:dyDescent="0.2">
      <c r="A203" s="1"/>
      <c r="B203" s="1"/>
      <c r="E203" s="1"/>
      <c r="K203" s="12"/>
      <c r="L203" s="11"/>
      <c r="M203" s="2"/>
    </row>
    <row r="204" spans="1:13" x14ac:dyDescent="0.2">
      <c r="A204" s="1"/>
      <c r="B204" s="1"/>
      <c r="E204" s="1"/>
      <c r="K204" s="12"/>
      <c r="L204" s="11"/>
      <c r="M204" s="2"/>
    </row>
    <row r="205" spans="1:13" x14ac:dyDescent="0.2">
      <c r="A205" s="1"/>
      <c r="B205" s="1"/>
      <c r="E205" s="1"/>
      <c r="K205" s="12"/>
      <c r="L205" s="11"/>
      <c r="M205" s="2"/>
    </row>
    <row r="206" spans="1:13" x14ac:dyDescent="0.2">
      <c r="A206" s="1"/>
      <c r="B206" s="1"/>
      <c r="E206" s="1"/>
      <c r="K206" s="12"/>
      <c r="L206" s="11"/>
      <c r="M206" s="2"/>
    </row>
    <row r="207" spans="1:13" x14ac:dyDescent="0.2">
      <c r="A207" s="1"/>
      <c r="B207" s="1"/>
      <c r="E207" s="1"/>
      <c r="K207" s="12"/>
      <c r="L207" s="11"/>
      <c r="M207" s="2"/>
    </row>
    <row r="208" spans="1:13" x14ac:dyDescent="0.2">
      <c r="A208" s="1"/>
      <c r="B208" s="1"/>
      <c r="E208" s="1"/>
      <c r="K208" s="12"/>
      <c r="L208" s="11"/>
      <c r="M208" s="2"/>
    </row>
    <row r="209" spans="1:13" x14ac:dyDescent="0.2">
      <c r="A209" s="1"/>
      <c r="B209" s="1"/>
      <c r="E209" s="1"/>
      <c r="K209" s="12"/>
      <c r="L209" s="11"/>
      <c r="M209" s="2"/>
    </row>
    <row r="210" spans="1:13" x14ac:dyDescent="0.2">
      <c r="A210" s="1"/>
      <c r="B210" s="1"/>
      <c r="E210" s="1"/>
      <c r="K210" s="12"/>
      <c r="L210" s="11"/>
      <c r="M210" s="2"/>
    </row>
    <row r="211" spans="1:13" x14ac:dyDescent="0.2">
      <c r="A211" s="1"/>
      <c r="B211" s="1"/>
      <c r="E211" s="1"/>
      <c r="K211" s="12"/>
      <c r="L211" s="11"/>
      <c r="M211" s="2"/>
    </row>
    <row r="212" spans="1:13" x14ac:dyDescent="0.2">
      <c r="A212" s="1"/>
      <c r="B212" s="1"/>
      <c r="E212" s="1"/>
      <c r="K212" s="12"/>
      <c r="L212" s="11"/>
      <c r="M212" s="2"/>
    </row>
    <row r="213" spans="1:13" x14ac:dyDescent="0.2">
      <c r="A213" s="1"/>
      <c r="B213" s="1"/>
      <c r="E213" s="1"/>
      <c r="K213" s="12"/>
      <c r="L213" s="11"/>
      <c r="M213" s="2"/>
    </row>
    <row r="214" spans="1:13" x14ac:dyDescent="0.2">
      <c r="A214" s="1"/>
      <c r="B214" s="1"/>
      <c r="E214" s="1"/>
      <c r="K214" s="12"/>
      <c r="L214" s="11"/>
      <c r="M214" s="2"/>
    </row>
    <row r="215" spans="1:13" x14ac:dyDescent="0.2">
      <c r="A215" s="1"/>
      <c r="B215" s="1"/>
      <c r="F215" s="1"/>
      <c r="K215" s="12"/>
      <c r="L215" s="11"/>
      <c r="M215" s="2"/>
    </row>
    <row r="216" spans="1:13" x14ac:dyDescent="0.2">
      <c r="A216" s="1"/>
      <c r="B216" s="1"/>
      <c r="F216" s="1"/>
      <c r="K216" s="12"/>
      <c r="L216" s="11"/>
      <c r="M216" s="2"/>
    </row>
    <row r="217" spans="1:13" x14ac:dyDescent="0.2">
      <c r="A217" s="1"/>
      <c r="B217" s="1"/>
      <c r="F217" s="1"/>
      <c r="K217" s="12"/>
      <c r="L217" s="11"/>
      <c r="M217" s="2"/>
    </row>
    <row r="218" spans="1:13" x14ac:dyDescent="0.2">
      <c r="A218" s="1"/>
      <c r="B218" s="1"/>
      <c r="F218" s="1"/>
      <c r="K218" s="12"/>
      <c r="L218" s="11"/>
      <c r="M218" s="2"/>
    </row>
    <row r="219" spans="1:13" x14ac:dyDescent="0.2">
      <c r="A219" s="1"/>
      <c r="B219" s="1"/>
      <c r="E219" s="1"/>
      <c r="F219" s="1"/>
      <c r="K219" s="12"/>
      <c r="L219" s="11"/>
      <c r="M219" s="2"/>
    </row>
    <row r="220" spans="1:13" x14ac:dyDescent="0.2">
      <c r="A220" s="1"/>
      <c r="B220" s="1"/>
      <c r="E220" s="1"/>
      <c r="F220" s="1"/>
      <c r="K220" s="12"/>
      <c r="L220" s="11"/>
      <c r="M220" s="2"/>
    </row>
    <row r="221" spans="1:13" x14ac:dyDescent="0.2">
      <c r="A221" s="1"/>
      <c r="B221" s="1"/>
      <c r="E221" s="1"/>
      <c r="F221" s="1"/>
      <c r="K221" s="12"/>
      <c r="L221" s="11"/>
      <c r="M221" s="2"/>
    </row>
    <row r="222" spans="1:13" x14ac:dyDescent="0.2">
      <c r="A222" s="1"/>
      <c r="B222" s="1"/>
      <c r="E222" s="1"/>
      <c r="F222" s="1"/>
      <c r="K222" s="12"/>
      <c r="L222" s="11"/>
      <c r="M222" s="2"/>
    </row>
    <row r="223" spans="1:13" x14ac:dyDescent="0.2">
      <c r="A223" s="1"/>
      <c r="B223" s="1"/>
      <c r="E223" s="1"/>
      <c r="K223" s="12"/>
      <c r="L223" s="11"/>
      <c r="M223" s="2"/>
    </row>
    <row r="224" spans="1:13" x14ac:dyDescent="0.2">
      <c r="A224" s="1"/>
      <c r="B224" s="1"/>
      <c r="E224" s="1"/>
      <c r="K224" s="12"/>
      <c r="L224" s="11"/>
      <c r="M224" s="2"/>
    </row>
    <row r="225" spans="1:13" x14ac:dyDescent="0.2">
      <c r="A225" s="1"/>
      <c r="B225" s="1"/>
      <c r="E225" s="1"/>
      <c r="K225" s="12"/>
      <c r="L225" s="11"/>
      <c r="M225" s="2"/>
    </row>
    <row r="226" spans="1:13" x14ac:dyDescent="0.2">
      <c r="A226" s="1"/>
      <c r="B226" s="1"/>
      <c r="E226" s="1"/>
      <c r="K226" s="12"/>
      <c r="L226" s="11"/>
      <c r="M226" s="2"/>
    </row>
    <row r="227" spans="1:13" x14ac:dyDescent="0.2">
      <c r="A227" s="1"/>
      <c r="B227" s="1"/>
      <c r="E227" s="1"/>
      <c r="K227" s="12"/>
      <c r="L227" s="11"/>
      <c r="M227" s="2"/>
    </row>
    <row r="228" spans="1:13" x14ac:dyDescent="0.2">
      <c r="A228" s="1"/>
      <c r="B228" s="1"/>
      <c r="E228" s="1"/>
      <c r="K228" s="12"/>
      <c r="L228" s="11"/>
      <c r="M228" s="2"/>
    </row>
    <row r="229" spans="1:13" x14ac:dyDescent="0.2">
      <c r="A229" s="1"/>
      <c r="B229" s="1"/>
      <c r="E229" s="1"/>
      <c r="K229" s="12"/>
      <c r="L229" s="11"/>
      <c r="M229" s="2"/>
    </row>
    <row r="230" spans="1:13" x14ac:dyDescent="0.2">
      <c r="A230" s="1"/>
      <c r="B230" s="1"/>
      <c r="E230" s="1"/>
      <c r="K230" s="12"/>
      <c r="L230" s="11"/>
      <c r="M230" s="2"/>
    </row>
    <row r="231" spans="1:13" x14ac:dyDescent="0.2">
      <c r="A231" s="1"/>
      <c r="B231" s="1"/>
      <c r="E231" s="1"/>
      <c r="K231" s="12"/>
      <c r="L231" s="11"/>
      <c r="M231" s="2"/>
    </row>
    <row r="232" spans="1:13" x14ac:dyDescent="0.2">
      <c r="A232" s="1"/>
      <c r="B232" s="1"/>
      <c r="E232" s="1"/>
      <c r="K232" s="12"/>
      <c r="L232" s="11"/>
      <c r="M232" s="2"/>
    </row>
    <row r="233" spans="1:13" x14ac:dyDescent="0.2">
      <c r="A233" s="1"/>
      <c r="B233" s="1"/>
      <c r="E233" s="1"/>
      <c r="K233" s="12"/>
      <c r="L233" s="11"/>
      <c r="M233" s="2"/>
    </row>
    <row r="234" spans="1:13" x14ac:dyDescent="0.2">
      <c r="A234" s="1"/>
      <c r="B234" s="1"/>
      <c r="E234" s="1"/>
      <c r="K234" s="12"/>
      <c r="L234" s="11"/>
      <c r="M234" s="2"/>
    </row>
    <row r="235" spans="1:13" x14ac:dyDescent="0.2">
      <c r="A235" s="1"/>
      <c r="B235" s="1"/>
      <c r="E235" s="1"/>
      <c r="K235" s="12"/>
      <c r="L235" s="11"/>
      <c r="M235" s="2"/>
    </row>
    <row r="236" spans="1:13" x14ac:dyDescent="0.2">
      <c r="A236" s="1"/>
      <c r="B236" s="1"/>
      <c r="E236" s="1"/>
      <c r="K236" s="12"/>
      <c r="L236" s="11"/>
      <c r="M236" s="2"/>
    </row>
    <row r="237" spans="1:13" x14ac:dyDescent="0.2">
      <c r="A237" s="1"/>
      <c r="B237" s="1"/>
      <c r="E237" s="1"/>
      <c r="K237" s="12"/>
      <c r="L237" s="11"/>
      <c r="M237" s="2"/>
    </row>
    <row r="238" spans="1:13" x14ac:dyDescent="0.2">
      <c r="A238" s="1"/>
      <c r="B238" s="1"/>
      <c r="E238" s="1"/>
      <c r="K238" s="12"/>
      <c r="L238" s="11"/>
      <c r="M238" s="2"/>
    </row>
    <row r="239" spans="1:13" x14ac:dyDescent="0.2">
      <c r="A239" s="1"/>
      <c r="B239" s="1"/>
      <c r="E239" s="1"/>
      <c r="K239" s="12"/>
      <c r="L239" s="11"/>
      <c r="M239" s="2"/>
    </row>
    <row r="240" spans="1:13" x14ac:dyDescent="0.2">
      <c r="A240" s="1"/>
      <c r="B240" s="1"/>
      <c r="E240" s="1"/>
      <c r="K240" s="12"/>
      <c r="L240" s="11"/>
      <c r="M240" s="2"/>
    </row>
    <row r="241" spans="1:13" x14ac:dyDescent="0.2">
      <c r="A241" s="1"/>
      <c r="B241" s="1"/>
      <c r="E241" s="1"/>
      <c r="K241" s="12"/>
      <c r="L241" s="11"/>
      <c r="M241" s="2"/>
    </row>
    <row r="242" spans="1:13" x14ac:dyDescent="0.2">
      <c r="A242" s="1"/>
      <c r="B242" s="1"/>
      <c r="E242" s="1"/>
      <c r="F242" s="1"/>
      <c r="K242" s="12"/>
      <c r="L242" s="11"/>
      <c r="M242" s="2"/>
    </row>
    <row r="243" spans="1:13" x14ac:dyDescent="0.2">
      <c r="A243" s="1"/>
      <c r="B243" s="1"/>
      <c r="E243" s="1"/>
      <c r="F243" s="1"/>
      <c r="K243" s="12"/>
      <c r="L243" s="11"/>
      <c r="M243" s="2"/>
    </row>
    <row r="244" spans="1:13" x14ac:dyDescent="0.2">
      <c r="A244" s="1"/>
      <c r="B244" s="1"/>
      <c r="E244" s="1"/>
      <c r="F244" s="1"/>
      <c r="K244" s="12"/>
      <c r="L244" s="11"/>
      <c r="M244" s="2"/>
    </row>
    <row r="245" spans="1:13" x14ac:dyDescent="0.2">
      <c r="A245" s="1"/>
      <c r="B245" s="1"/>
      <c r="E245" s="1"/>
      <c r="F245" s="1"/>
      <c r="K245" s="12"/>
      <c r="L245" s="11"/>
      <c r="M245" s="2"/>
    </row>
    <row r="246" spans="1:13" x14ac:dyDescent="0.2">
      <c r="A246" s="1"/>
      <c r="B246" s="1"/>
      <c r="E246" s="1"/>
      <c r="F246" s="1"/>
      <c r="K246" s="12"/>
      <c r="L246" s="11"/>
      <c r="M246" s="2"/>
    </row>
    <row r="247" spans="1:13" x14ac:dyDescent="0.2">
      <c r="A247" s="1"/>
      <c r="B247" s="1"/>
      <c r="E247" s="1"/>
      <c r="F247" s="1"/>
      <c r="K247" s="12"/>
      <c r="L247" s="11"/>
      <c r="M247" s="2"/>
    </row>
    <row r="248" spans="1:13" x14ac:dyDescent="0.2">
      <c r="A248" s="1"/>
      <c r="B248" s="1"/>
      <c r="E248" s="1"/>
      <c r="F248" s="1"/>
      <c r="K248" s="12"/>
      <c r="L248" s="11"/>
      <c r="M248" s="2"/>
    </row>
    <row r="249" spans="1:13" x14ac:dyDescent="0.2">
      <c r="A249" s="1"/>
      <c r="B249" s="1"/>
      <c r="E249" s="1"/>
      <c r="F249" s="1"/>
      <c r="K249" s="12"/>
      <c r="L249" s="11"/>
      <c r="M249" s="2"/>
    </row>
    <row r="250" spans="1:13" x14ac:dyDescent="0.2">
      <c r="A250" s="1"/>
      <c r="B250" s="1"/>
      <c r="E250" s="1"/>
      <c r="F250" s="1"/>
      <c r="K250" s="12"/>
      <c r="L250" s="11"/>
      <c r="M250" s="2"/>
    </row>
    <row r="251" spans="1:13" x14ac:dyDescent="0.2">
      <c r="A251" s="1"/>
      <c r="B251" s="1"/>
      <c r="E251" s="1"/>
      <c r="F251" s="1"/>
      <c r="K251" s="12"/>
      <c r="L251" s="11"/>
      <c r="M251" s="2"/>
    </row>
    <row r="252" spans="1:13" x14ac:dyDescent="0.2">
      <c r="A252" s="1"/>
      <c r="B252" s="1"/>
      <c r="E252" s="1"/>
      <c r="F252" s="1"/>
      <c r="K252" s="12"/>
      <c r="L252" s="11"/>
      <c r="M252" s="2"/>
    </row>
    <row r="253" spans="1:13" x14ac:dyDescent="0.2">
      <c r="A253" s="1"/>
      <c r="B253" s="1"/>
      <c r="E253" s="1"/>
      <c r="K253" s="12"/>
      <c r="L253" s="11"/>
      <c r="M253" s="2"/>
    </row>
    <row r="254" spans="1:13" x14ac:dyDescent="0.2">
      <c r="A254" s="1"/>
      <c r="B254" s="1"/>
      <c r="E254" s="1"/>
      <c r="K254" s="12"/>
      <c r="L254" s="11"/>
      <c r="M254" s="2"/>
    </row>
    <row r="255" spans="1:13" x14ac:dyDescent="0.2">
      <c r="A255" s="1"/>
      <c r="B255" s="1"/>
      <c r="E255" s="1"/>
      <c r="K255" s="12"/>
      <c r="L255" s="11"/>
      <c r="M255" s="2"/>
    </row>
    <row r="256" spans="1:13" x14ac:dyDescent="0.2">
      <c r="A256" s="1"/>
      <c r="B256" s="1"/>
      <c r="E256" s="1"/>
      <c r="K256" s="12"/>
      <c r="L256" s="11"/>
      <c r="M256" s="2"/>
    </row>
    <row r="257" spans="1:13" x14ac:dyDescent="0.2">
      <c r="A257" s="1"/>
      <c r="B257" s="1"/>
      <c r="E257" s="1"/>
      <c r="K257" s="12"/>
      <c r="L257" s="11"/>
      <c r="M257" s="2"/>
    </row>
    <row r="258" spans="1:13" x14ac:dyDescent="0.2">
      <c r="A258" s="1"/>
      <c r="B258" s="1"/>
      <c r="E258" s="1"/>
      <c r="K258" s="12"/>
      <c r="L258" s="11"/>
      <c r="M258" s="2"/>
    </row>
    <row r="259" spans="1:13" x14ac:dyDescent="0.2">
      <c r="A259" s="1"/>
      <c r="B259" s="1"/>
      <c r="E259" s="1"/>
      <c r="F259" s="1"/>
      <c r="K259" s="12"/>
      <c r="L259" s="11"/>
      <c r="M259" s="2"/>
    </row>
    <row r="260" spans="1:13" x14ac:dyDescent="0.2">
      <c r="A260" s="1"/>
      <c r="B260" s="1"/>
      <c r="E260" s="1"/>
      <c r="F260" s="1"/>
      <c r="K260" s="12"/>
      <c r="L260" s="11"/>
      <c r="M260" s="2"/>
    </row>
    <row r="261" spans="1:13" x14ac:dyDescent="0.2">
      <c r="A261" s="1"/>
      <c r="B261" s="1"/>
      <c r="E261" s="1"/>
      <c r="F261" s="1"/>
      <c r="K261" s="12"/>
      <c r="L261" s="11"/>
      <c r="M261" s="2"/>
    </row>
    <row r="262" spans="1:13" x14ac:dyDescent="0.2">
      <c r="A262" s="1"/>
      <c r="B262" s="1"/>
      <c r="E262" s="1"/>
      <c r="F262" s="1"/>
      <c r="K262" s="12"/>
      <c r="L262" s="11"/>
      <c r="M262" s="2"/>
    </row>
    <row r="263" spans="1:13" x14ac:dyDescent="0.2">
      <c r="A263" s="1"/>
      <c r="B263" s="1"/>
      <c r="E263" s="1"/>
      <c r="F263" s="1"/>
      <c r="K263" s="12"/>
      <c r="L263" s="11"/>
      <c r="M263" s="2"/>
    </row>
    <row r="264" spans="1:13" x14ac:dyDescent="0.2">
      <c r="A264" s="1"/>
      <c r="B264" s="1"/>
      <c r="E264" s="1"/>
      <c r="F264" s="1"/>
      <c r="K264" s="12"/>
      <c r="L264" s="11"/>
      <c r="M264" s="2"/>
    </row>
    <row r="265" spans="1:13" x14ac:dyDescent="0.2">
      <c r="A265" s="1"/>
      <c r="B265" s="1"/>
      <c r="E265" s="1"/>
      <c r="F265" s="1"/>
      <c r="K265" s="12"/>
      <c r="L265" s="11"/>
      <c r="M265" s="2"/>
    </row>
    <row r="266" spans="1:13" x14ac:dyDescent="0.2">
      <c r="A266" s="1"/>
      <c r="B266" s="1"/>
      <c r="E266" s="1"/>
      <c r="F266" s="1"/>
      <c r="K266" s="12"/>
      <c r="L266" s="11"/>
      <c r="M266" s="2"/>
    </row>
    <row r="267" spans="1:13" x14ac:dyDescent="0.2">
      <c r="A267" s="1"/>
      <c r="B267" s="1"/>
      <c r="E267" s="1"/>
      <c r="F267" s="1"/>
      <c r="K267" s="12"/>
      <c r="L267" s="11"/>
      <c r="M267" s="2"/>
    </row>
    <row r="268" spans="1:13" x14ac:dyDescent="0.2">
      <c r="A268" s="1"/>
      <c r="B268" s="1"/>
      <c r="E268" s="1"/>
      <c r="F268" s="1"/>
      <c r="K268" s="12"/>
      <c r="L268" s="11"/>
      <c r="M268" s="2"/>
    </row>
    <row r="269" spans="1:13" x14ac:dyDescent="0.2">
      <c r="A269" s="1"/>
      <c r="B269" s="1"/>
      <c r="E269" s="1"/>
      <c r="F269" s="1"/>
      <c r="K269" s="12"/>
      <c r="L269" s="11"/>
      <c r="M269" s="2"/>
    </row>
    <row r="270" spans="1:13" x14ac:dyDescent="0.2">
      <c r="A270" s="1"/>
      <c r="B270" s="1"/>
      <c r="E270" s="1"/>
      <c r="F270" s="1"/>
      <c r="H270" s="11"/>
      <c r="I270" s="4"/>
      <c r="K270" s="12"/>
      <c r="L270" s="11"/>
      <c r="M270" s="2"/>
    </row>
    <row r="271" spans="1:13" x14ac:dyDescent="0.2">
      <c r="A271" s="1"/>
      <c r="B271" s="1"/>
      <c r="E271" s="1"/>
      <c r="F271" s="1"/>
      <c r="K271" s="12"/>
      <c r="L271" s="11"/>
      <c r="M271" s="2"/>
    </row>
    <row r="272" spans="1:13" x14ac:dyDescent="0.2">
      <c r="A272" s="1"/>
      <c r="B272" s="1"/>
      <c r="E272" s="1"/>
      <c r="F272" s="1"/>
      <c r="K272" s="12"/>
      <c r="L272" s="11"/>
      <c r="M272" s="2"/>
    </row>
    <row r="273" spans="1:13" x14ac:dyDescent="0.2">
      <c r="A273" s="1"/>
      <c r="B273" s="1"/>
      <c r="E273" s="1"/>
      <c r="F273" s="1"/>
      <c r="K273" s="12"/>
      <c r="L273" s="11"/>
      <c r="M273" s="2"/>
    </row>
    <row r="274" spans="1:13" x14ac:dyDescent="0.2">
      <c r="A274" s="1"/>
      <c r="B274" s="1"/>
      <c r="E274" s="1"/>
      <c r="F274" s="1"/>
      <c r="K274" s="12"/>
      <c r="L274" s="11"/>
      <c r="M274" s="2"/>
    </row>
    <row r="275" spans="1:13" x14ac:dyDescent="0.2">
      <c r="A275" s="1"/>
      <c r="B275" s="1"/>
      <c r="E275" s="1"/>
      <c r="F275" s="1"/>
      <c r="K275" s="12"/>
      <c r="L275" s="11"/>
      <c r="M275" s="2"/>
    </row>
    <row r="276" spans="1:13" x14ac:dyDescent="0.2">
      <c r="A276" s="1"/>
      <c r="B276" s="1"/>
      <c r="E276" s="1"/>
      <c r="F276" s="1"/>
      <c r="K276" s="12"/>
      <c r="L276" s="11"/>
      <c r="M276" s="2"/>
    </row>
    <row r="277" spans="1:13" x14ac:dyDescent="0.2">
      <c r="A277" s="1"/>
      <c r="B277" s="1"/>
      <c r="E277" s="1"/>
      <c r="F277" s="1"/>
      <c r="K277" s="12"/>
      <c r="L277" s="11"/>
      <c r="M277" s="2"/>
    </row>
    <row r="278" spans="1:13" x14ac:dyDescent="0.2">
      <c r="A278" s="1"/>
      <c r="B278" s="1"/>
      <c r="E278" s="1"/>
      <c r="F278" s="1"/>
      <c r="K278" s="12"/>
      <c r="L278" s="11"/>
      <c r="M278" s="2"/>
    </row>
    <row r="279" spans="1:13" x14ac:dyDescent="0.2">
      <c r="A279" s="1"/>
      <c r="B279" s="1"/>
      <c r="E279" s="1"/>
      <c r="F279" s="1"/>
      <c r="K279" s="12"/>
      <c r="L279" s="11"/>
      <c r="M279" s="2"/>
    </row>
    <row r="280" spans="1:13" x14ac:dyDescent="0.2">
      <c r="A280" s="1"/>
      <c r="B280" s="1"/>
      <c r="E280" s="1"/>
      <c r="K280" s="12"/>
      <c r="L280" s="11"/>
      <c r="M280" s="2"/>
    </row>
    <row r="281" spans="1:13" x14ac:dyDescent="0.2">
      <c r="A281" s="1"/>
      <c r="B281" s="1"/>
      <c r="E281" s="1"/>
      <c r="F281" s="1"/>
      <c r="K281" s="12"/>
      <c r="L281" s="11"/>
      <c r="M281" s="2"/>
    </row>
    <row r="282" spans="1:13" x14ac:dyDescent="0.2">
      <c r="A282" s="1"/>
      <c r="B282" s="1"/>
      <c r="E282" s="1"/>
      <c r="F282" s="1"/>
      <c r="K282" s="12"/>
      <c r="L282" s="11"/>
      <c r="M282" s="2"/>
    </row>
    <row r="283" spans="1:13" x14ac:dyDescent="0.2">
      <c r="A283" s="1"/>
      <c r="B283" s="1"/>
      <c r="C283" s="1"/>
      <c r="E283" s="1"/>
      <c r="F283" s="1"/>
      <c r="G283" s="5"/>
      <c r="I283" s="9"/>
      <c r="J283" s="7"/>
      <c r="K283" s="12"/>
      <c r="L283" s="11"/>
      <c r="M283" s="2"/>
    </row>
    <row r="284" spans="1:13" x14ac:dyDescent="0.2">
      <c r="A284" s="1"/>
      <c r="B284" s="1"/>
      <c r="E284" s="1"/>
      <c r="F284" s="1"/>
      <c r="K284" s="12"/>
      <c r="L284" s="11"/>
      <c r="M284" s="2"/>
    </row>
    <row r="285" spans="1:13" x14ac:dyDescent="0.2">
      <c r="A285" s="1"/>
      <c r="B285" s="1"/>
      <c r="E285" s="1"/>
      <c r="K285" s="12"/>
      <c r="L285" s="11"/>
      <c r="M285" s="2"/>
    </row>
    <row r="286" spans="1:13" x14ac:dyDescent="0.2">
      <c r="A286" s="1"/>
      <c r="B286" s="1"/>
      <c r="E286" s="1"/>
      <c r="K286" s="12"/>
      <c r="L286" s="11"/>
      <c r="M286" s="2"/>
    </row>
    <row r="287" spans="1:13" x14ac:dyDescent="0.2">
      <c r="A287" s="1"/>
      <c r="B287" s="1"/>
      <c r="E287" s="1"/>
      <c r="K287" s="12"/>
      <c r="L287" s="11"/>
      <c r="M287" s="2"/>
    </row>
    <row r="288" spans="1:13" x14ac:dyDescent="0.2">
      <c r="A288" s="1"/>
      <c r="B288" s="1"/>
      <c r="E288" s="1"/>
      <c r="F288" s="1"/>
      <c r="K288" s="12"/>
      <c r="L288" s="11"/>
      <c r="M288" s="2"/>
    </row>
    <row r="289" spans="1:13" x14ac:dyDescent="0.2">
      <c r="A289" s="1"/>
      <c r="B289" s="1"/>
      <c r="E289" s="1"/>
      <c r="K289" s="12"/>
      <c r="L289" s="11"/>
      <c r="M289" s="2"/>
    </row>
    <row r="290" spans="1:13" x14ac:dyDescent="0.2">
      <c r="A290" s="1"/>
      <c r="B290" s="1"/>
      <c r="E290" s="1"/>
      <c r="K290" s="12"/>
      <c r="L290" s="11"/>
      <c r="M290" s="2"/>
    </row>
    <row r="291" spans="1:13" x14ac:dyDescent="0.2">
      <c r="A291" s="1"/>
      <c r="B291" s="1"/>
      <c r="E291" s="1"/>
      <c r="F291" s="1"/>
      <c r="K291" s="12"/>
      <c r="L291" s="11"/>
      <c r="M291" s="2"/>
    </row>
    <row r="292" spans="1:13" x14ac:dyDescent="0.2">
      <c r="A292" s="1"/>
      <c r="B292" s="1"/>
      <c r="E292" s="1"/>
      <c r="F292" s="1"/>
      <c r="K292" s="12"/>
      <c r="L292" s="11"/>
      <c r="M292" s="2"/>
    </row>
  </sheetData>
  <phoneticPr fontId="0" type="noConversion"/>
  <pageMargins left="0.75" right="0.75" top="1" bottom="1" header="0.5" footer="0.5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E67"/>
  <sheetViews>
    <sheetView workbookViewId="0">
      <selection activeCell="E38" sqref="E38"/>
    </sheetView>
  </sheetViews>
  <sheetFormatPr defaultRowHeight="12.75" x14ac:dyDescent="0.2"/>
  <sheetData>
    <row r="1" spans="1:5" ht="18" x14ac:dyDescent="0.25">
      <c r="A1" s="3" t="s">
        <v>229</v>
      </c>
    </row>
    <row r="4" spans="1:5" x14ac:dyDescent="0.2">
      <c r="A4" t="s">
        <v>1346</v>
      </c>
      <c r="B4" t="s">
        <v>1349</v>
      </c>
    </row>
    <row r="5" spans="1:5" x14ac:dyDescent="0.2">
      <c r="A5" t="s">
        <v>1347</v>
      </c>
      <c r="B5" s="10">
        <f>-1/SLOPE(Yersinia!K2:K64,Yersinia!H2:H64)</f>
        <v>6.1976451489961493</v>
      </c>
      <c r="C5" s="10">
        <f>SLOPE(Yersinia!K2:K46,Yersinia!H2:H46)</f>
        <v>-0.17464717719570577</v>
      </c>
      <c r="D5" t="s">
        <v>201</v>
      </c>
    </row>
    <row r="6" spans="1:5" x14ac:dyDescent="0.2">
      <c r="A6" t="s">
        <v>1350</v>
      </c>
      <c r="B6" s="10">
        <v>70</v>
      </c>
      <c r="C6" s="10"/>
    </row>
    <row r="7" spans="1:5" x14ac:dyDescent="0.2">
      <c r="A7" t="s">
        <v>1353</v>
      </c>
      <c r="B7" s="10">
        <f>TINV(0.05,COUNT(Yersinia!K2:K64)-2)</f>
        <v>1.9996235849949404</v>
      </c>
      <c r="C7" s="10"/>
    </row>
    <row r="8" spans="1:5" x14ac:dyDescent="0.2">
      <c r="A8" t="s">
        <v>1355</v>
      </c>
      <c r="B8" s="10">
        <f>SUMXMY2(Yersinia!K2:K64,Yersinia!L2:L64)</f>
        <v>11.99935278165183</v>
      </c>
      <c r="C8" s="10"/>
    </row>
    <row r="9" spans="1:5" x14ac:dyDescent="0.2">
      <c r="A9" t="s">
        <v>1354</v>
      </c>
      <c r="B9" s="10">
        <f>SQRT(B8/(COUNT(Yersinia!K2:K64)-2))</f>
        <v>0.44352080147221346</v>
      </c>
      <c r="C9" s="10"/>
    </row>
    <row r="10" spans="1:5" x14ac:dyDescent="0.2">
      <c r="A10" t="s">
        <v>1351</v>
      </c>
      <c r="B10" s="10">
        <f>INTERCEPT(Yersinia!K2:K64,Yersinia!H2:H64)-$B$6/$B$5</f>
        <v>-1.796468580020889</v>
      </c>
      <c r="C10" s="10">
        <f>INTERCEPT(Yersinia!K2:K46,Yersinia!H2:H46)</f>
        <v>10.353435449835217</v>
      </c>
      <c r="D10" t="s">
        <v>202</v>
      </c>
    </row>
    <row r="11" spans="1:5" x14ac:dyDescent="0.2">
      <c r="A11" t="s">
        <v>135</v>
      </c>
      <c r="B11" s="10">
        <f>B10+B7*B9</f>
        <v>-0.90959392496119229</v>
      </c>
      <c r="C11" s="10"/>
    </row>
    <row r="13" spans="1:5" x14ac:dyDescent="0.2">
      <c r="A13" t="s">
        <v>1348</v>
      </c>
      <c r="B13" t="s">
        <v>1344</v>
      </c>
      <c r="C13" t="s">
        <v>1352</v>
      </c>
    </row>
    <row r="14" spans="1:5" x14ac:dyDescent="0.2">
      <c r="A14">
        <v>45</v>
      </c>
      <c r="B14" s="10">
        <f t="shared" ref="B14:B34" si="0">$B$10-(A14-$B$6)/$B$5</f>
        <v>2.2373215772050896</v>
      </c>
      <c r="C14" s="10">
        <f>B14+$B$7*$B$9</f>
        <v>3.1241962322647865</v>
      </c>
      <c r="D14" s="10"/>
      <c r="E14" s="10"/>
    </row>
    <row r="15" spans="1:5" x14ac:dyDescent="0.2">
      <c r="A15">
        <f>A14+5</f>
        <v>50</v>
      </c>
      <c r="B15" s="10">
        <f t="shared" si="0"/>
        <v>1.430563545759894</v>
      </c>
      <c r="C15" s="10">
        <f t="shared" ref="C15:C34" si="1">B15+$B$7*$B$9</f>
        <v>2.3174382008195908</v>
      </c>
      <c r="D15" s="10"/>
      <c r="E15" s="10"/>
    </row>
    <row r="16" spans="1:5" x14ac:dyDescent="0.2">
      <c r="A16">
        <f>A15+5</f>
        <v>55</v>
      </c>
      <c r="B16" s="10">
        <f t="shared" si="0"/>
        <v>0.62380551431469788</v>
      </c>
      <c r="C16" s="10">
        <f t="shared" si="1"/>
        <v>1.5106801693743948</v>
      </c>
      <c r="D16" s="10"/>
      <c r="E16" s="10"/>
    </row>
    <row r="17" spans="1:5" x14ac:dyDescent="0.2">
      <c r="A17">
        <f>A16+5</f>
        <v>60</v>
      </c>
      <c r="B17" s="10">
        <f t="shared" si="0"/>
        <v>-0.18295251713049754</v>
      </c>
      <c r="C17" s="10">
        <f t="shared" si="1"/>
        <v>0.70392213792919922</v>
      </c>
      <c r="D17" s="10"/>
      <c r="E17" s="10"/>
    </row>
    <row r="18" spans="1:5" x14ac:dyDescent="0.2">
      <c r="A18">
        <f>A17+5</f>
        <v>65</v>
      </c>
      <c r="B18" s="10">
        <f t="shared" si="0"/>
        <v>-0.98971054857569329</v>
      </c>
      <c r="C18" s="10">
        <f t="shared" si="1"/>
        <v>-0.10283589351599653</v>
      </c>
      <c r="D18" s="10"/>
      <c r="E18" s="10"/>
    </row>
    <row r="19" spans="1:5" x14ac:dyDescent="0.2">
      <c r="A19">
        <v>70</v>
      </c>
      <c r="B19" s="10">
        <f t="shared" si="0"/>
        <v>-1.796468580020889</v>
      </c>
      <c r="C19" s="10">
        <f t="shared" si="1"/>
        <v>-0.90959392496119229</v>
      </c>
      <c r="D19" s="10"/>
      <c r="E19" s="10"/>
    </row>
    <row r="20" spans="1:5" x14ac:dyDescent="0.2">
      <c r="A20">
        <f>A19+5</f>
        <v>75</v>
      </c>
      <c r="B20" s="10">
        <f t="shared" si="0"/>
        <v>-2.6032266114660847</v>
      </c>
      <c r="C20" s="10">
        <f t="shared" si="1"/>
        <v>-1.7163519564063878</v>
      </c>
      <c r="D20" s="10"/>
      <c r="E20" s="10"/>
    </row>
    <row r="21" spans="1:5" x14ac:dyDescent="0.2">
      <c r="A21">
        <f t="shared" ref="A21:A34" si="2">A20+5</f>
        <v>80</v>
      </c>
      <c r="B21" s="10">
        <f t="shared" si="0"/>
        <v>-3.4099846429112803</v>
      </c>
      <c r="C21" s="10">
        <f t="shared" si="1"/>
        <v>-2.5231099878515835</v>
      </c>
      <c r="D21" s="10"/>
      <c r="E21" s="10"/>
    </row>
    <row r="22" spans="1:5" x14ac:dyDescent="0.2">
      <c r="A22">
        <f t="shared" si="2"/>
        <v>85</v>
      </c>
      <c r="B22" s="10">
        <f t="shared" si="0"/>
        <v>-4.2167426743564764</v>
      </c>
      <c r="C22" s="10">
        <f t="shared" si="1"/>
        <v>-3.3298680192967796</v>
      </c>
      <c r="D22" s="10"/>
      <c r="E22" s="10"/>
    </row>
    <row r="23" spans="1:5" x14ac:dyDescent="0.2">
      <c r="A23">
        <f t="shared" si="2"/>
        <v>90</v>
      </c>
      <c r="B23" s="10">
        <f t="shared" si="0"/>
        <v>-5.0235007058016716</v>
      </c>
      <c r="C23" s="10">
        <f t="shared" si="1"/>
        <v>-4.1366260507419748</v>
      </c>
      <c r="D23" s="10"/>
      <c r="E23" s="10"/>
    </row>
    <row r="24" spans="1:5" x14ac:dyDescent="0.2">
      <c r="A24">
        <f t="shared" si="2"/>
        <v>95</v>
      </c>
      <c r="B24" s="10">
        <f t="shared" si="0"/>
        <v>-5.8302587372468677</v>
      </c>
      <c r="C24" s="10">
        <f t="shared" si="1"/>
        <v>-4.9433840821871708</v>
      </c>
      <c r="D24" s="10"/>
      <c r="E24" s="10"/>
    </row>
    <row r="25" spans="1:5" x14ac:dyDescent="0.2">
      <c r="A25">
        <f t="shared" si="2"/>
        <v>100</v>
      </c>
      <c r="B25" s="10">
        <f t="shared" si="0"/>
        <v>-6.6370167686920629</v>
      </c>
      <c r="C25" s="10">
        <f t="shared" si="1"/>
        <v>-5.750142113632366</v>
      </c>
      <c r="D25" s="10"/>
      <c r="E25" s="10"/>
    </row>
    <row r="26" spans="1:5" x14ac:dyDescent="0.2">
      <c r="A26">
        <f t="shared" si="2"/>
        <v>105</v>
      </c>
      <c r="B26" s="10">
        <f t="shared" si="0"/>
        <v>-7.443774800137259</v>
      </c>
      <c r="C26" s="10">
        <f t="shared" si="1"/>
        <v>-6.5569001450775621</v>
      </c>
      <c r="D26" s="10"/>
      <c r="E26" s="10"/>
    </row>
    <row r="27" spans="1:5" x14ac:dyDescent="0.2">
      <c r="A27">
        <f t="shared" si="2"/>
        <v>110</v>
      </c>
      <c r="B27" s="10">
        <f t="shared" si="0"/>
        <v>-8.2505328315824542</v>
      </c>
      <c r="C27" s="10">
        <f t="shared" si="1"/>
        <v>-7.3636581765227573</v>
      </c>
      <c r="D27" s="10"/>
      <c r="E27" s="10"/>
    </row>
    <row r="28" spans="1:5" x14ac:dyDescent="0.2">
      <c r="A28">
        <f t="shared" si="2"/>
        <v>115</v>
      </c>
      <c r="B28" s="10">
        <f t="shared" si="0"/>
        <v>-9.0572908630276494</v>
      </c>
      <c r="C28" s="10">
        <f t="shared" si="1"/>
        <v>-8.1704162079679534</v>
      </c>
      <c r="D28" s="10"/>
      <c r="E28" s="10"/>
    </row>
    <row r="29" spans="1:5" x14ac:dyDescent="0.2">
      <c r="A29">
        <f t="shared" si="2"/>
        <v>120</v>
      </c>
      <c r="B29" s="10">
        <f t="shared" si="0"/>
        <v>-9.8640488944728464</v>
      </c>
      <c r="C29" s="10">
        <f t="shared" si="1"/>
        <v>-8.9771742394131504</v>
      </c>
      <c r="D29" s="10"/>
      <c r="E29" s="10"/>
    </row>
    <row r="30" spans="1:5" x14ac:dyDescent="0.2">
      <c r="A30">
        <f t="shared" si="2"/>
        <v>125</v>
      </c>
      <c r="B30" s="10">
        <f t="shared" si="0"/>
        <v>-10.670806925918042</v>
      </c>
      <c r="C30" s="10">
        <f t="shared" si="1"/>
        <v>-9.7839322708583456</v>
      </c>
      <c r="D30" s="10"/>
      <c r="E30" s="10"/>
    </row>
    <row r="31" spans="1:5" x14ac:dyDescent="0.2">
      <c r="A31">
        <f t="shared" si="2"/>
        <v>130</v>
      </c>
      <c r="B31" s="10">
        <f t="shared" si="0"/>
        <v>-11.477564957363237</v>
      </c>
      <c r="C31" s="10">
        <f t="shared" si="1"/>
        <v>-10.590690302303541</v>
      </c>
      <c r="D31" s="10"/>
      <c r="E31" s="10"/>
    </row>
    <row r="32" spans="1:5" x14ac:dyDescent="0.2">
      <c r="A32">
        <f t="shared" si="2"/>
        <v>135</v>
      </c>
      <c r="B32" s="10">
        <f t="shared" si="0"/>
        <v>-12.284322988808434</v>
      </c>
      <c r="C32" s="10">
        <f t="shared" si="1"/>
        <v>-11.397448333748738</v>
      </c>
      <c r="D32" s="10"/>
      <c r="E32" s="10"/>
    </row>
    <row r="33" spans="1:5" x14ac:dyDescent="0.2">
      <c r="A33">
        <f t="shared" si="2"/>
        <v>140</v>
      </c>
      <c r="B33" s="10">
        <f t="shared" si="0"/>
        <v>-13.091081020253629</v>
      </c>
      <c r="C33" s="10">
        <f t="shared" si="1"/>
        <v>-12.204206365193933</v>
      </c>
      <c r="D33" s="10"/>
      <c r="E33" s="10"/>
    </row>
    <row r="34" spans="1:5" x14ac:dyDescent="0.2">
      <c r="A34">
        <f t="shared" si="2"/>
        <v>145</v>
      </c>
      <c r="B34" s="10">
        <f t="shared" si="0"/>
        <v>-13.897839051698824</v>
      </c>
      <c r="C34" s="10">
        <f t="shared" si="1"/>
        <v>-13.010964396639128</v>
      </c>
      <c r="D34" s="10"/>
      <c r="E34" s="10"/>
    </row>
    <row r="39" spans="1:5" x14ac:dyDescent="0.2">
      <c r="B39" s="10"/>
    </row>
    <row r="41" spans="1:5" x14ac:dyDescent="0.2">
      <c r="B41" s="10"/>
    </row>
    <row r="42" spans="1:5" x14ac:dyDescent="0.2">
      <c r="B42" s="10"/>
    </row>
    <row r="43" spans="1:5" x14ac:dyDescent="0.2">
      <c r="B43" s="10"/>
    </row>
    <row r="44" spans="1:5" x14ac:dyDescent="0.2">
      <c r="B44" s="10"/>
    </row>
    <row r="47" spans="1:5" x14ac:dyDescent="0.2">
      <c r="B47" s="10"/>
      <c r="C47" s="10"/>
    </row>
    <row r="48" spans="1:5" x14ac:dyDescent="0.2">
      <c r="B48" s="10"/>
      <c r="C48" s="10"/>
    </row>
    <row r="49" spans="2:3" x14ac:dyDescent="0.2">
      <c r="B49" s="10"/>
      <c r="C49" s="10"/>
    </row>
    <row r="50" spans="2:3" x14ac:dyDescent="0.2">
      <c r="B50" s="10"/>
      <c r="C50" s="10"/>
    </row>
    <row r="51" spans="2:3" x14ac:dyDescent="0.2">
      <c r="B51" s="10"/>
      <c r="C51" s="10"/>
    </row>
    <row r="52" spans="2:3" x14ac:dyDescent="0.2">
      <c r="B52" s="10"/>
      <c r="C52" s="10"/>
    </row>
    <row r="53" spans="2:3" x14ac:dyDescent="0.2">
      <c r="B53" s="10"/>
      <c r="C53" s="10"/>
    </row>
    <row r="54" spans="2:3" x14ac:dyDescent="0.2">
      <c r="B54" s="10"/>
      <c r="C54" s="10"/>
    </row>
    <row r="55" spans="2:3" x14ac:dyDescent="0.2">
      <c r="B55" s="10"/>
      <c r="C55" s="10"/>
    </row>
    <row r="56" spans="2:3" x14ac:dyDescent="0.2">
      <c r="B56" s="10"/>
      <c r="C56" s="10"/>
    </row>
    <row r="57" spans="2:3" x14ac:dyDescent="0.2">
      <c r="B57" s="10"/>
      <c r="C57" s="10"/>
    </row>
    <row r="58" spans="2:3" x14ac:dyDescent="0.2">
      <c r="B58" s="10"/>
      <c r="C58" s="10"/>
    </row>
    <row r="59" spans="2:3" x14ac:dyDescent="0.2">
      <c r="B59" s="10"/>
      <c r="C59" s="10"/>
    </row>
    <row r="60" spans="2:3" x14ac:dyDescent="0.2">
      <c r="B60" s="10"/>
      <c r="C60" s="10"/>
    </row>
    <row r="61" spans="2:3" x14ac:dyDescent="0.2">
      <c r="B61" s="10"/>
      <c r="C61" s="10"/>
    </row>
    <row r="62" spans="2:3" x14ac:dyDescent="0.2">
      <c r="B62" s="10"/>
      <c r="C62" s="10"/>
    </row>
    <row r="63" spans="2:3" x14ac:dyDescent="0.2">
      <c r="B63" s="10"/>
      <c r="C63" s="10"/>
    </row>
    <row r="64" spans="2:3" x14ac:dyDescent="0.2">
      <c r="B64" s="10"/>
      <c r="C64" s="10"/>
    </row>
    <row r="65" spans="2:3" x14ac:dyDescent="0.2">
      <c r="B65" s="10"/>
      <c r="C65" s="10"/>
    </row>
    <row r="66" spans="2:3" x14ac:dyDescent="0.2">
      <c r="B66" s="10"/>
      <c r="C66" s="10"/>
    </row>
    <row r="67" spans="2:3" x14ac:dyDescent="0.2">
      <c r="B67" s="10"/>
      <c r="C67" s="10"/>
    </row>
  </sheetData>
  <phoneticPr fontId="0" type="noConversion"/>
  <pageMargins left="0.75" right="0.75" top="1" bottom="1" header="0.5" footer="0.5"/>
  <headerFooter alignWithMargins="0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M74"/>
  <sheetViews>
    <sheetView workbookViewId="0">
      <pane ySplit="1" topLeftCell="A13" activePane="bottomLeft" state="frozen"/>
      <selection pane="bottomLeft" activeCell="A43" sqref="A43"/>
    </sheetView>
  </sheetViews>
  <sheetFormatPr defaultRowHeight="12.75" x14ac:dyDescent="0.2"/>
  <cols>
    <col min="2" max="2" width="19.28515625" customWidth="1"/>
    <col min="3" max="3" width="6.140625" customWidth="1"/>
    <col min="4" max="4" width="22.42578125" customWidth="1"/>
    <col min="6" max="6" width="11.42578125" customWidth="1"/>
    <col min="9" max="9" width="14" customWidth="1"/>
  </cols>
  <sheetData>
    <row r="1" spans="1:13" x14ac:dyDescent="0.2">
      <c r="A1" s="24" t="s">
        <v>1306</v>
      </c>
      <c r="B1" s="24" t="s">
        <v>1307</v>
      </c>
      <c r="C1" s="24" t="s">
        <v>1224</v>
      </c>
      <c r="D1" s="24" t="s">
        <v>1308</v>
      </c>
      <c r="E1" s="24" t="s">
        <v>1309</v>
      </c>
      <c r="F1" s="24" t="s">
        <v>1310</v>
      </c>
      <c r="G1" s="24" t="s">
        <v>1311</v>
      </c>
      <c r="H1" s="24" t="s">
        <v>1312</v>
      </c>
      <c r="I1" s="24" t="s">
        <v>1313</v>
      </c>
      <c r="J1" s="24" t="s">
        <v>1314</v>
      </c>
      <c r="K1" s="24" t="s">
        <v>1315</v>
      </c>
      <c r="L1" s="24" t="s">
        <v>1316</v>
      </c>
      <c r="M1" s="24"/>
    </row>
    <row r="2" spans="1:13" x14ac:dyDescent="0.2">
      <c r="A2" t="s">
        <v>317</v>
      </c>
      <c r="B2" t="s">
        <v>309</v>
      </c>
      <c r="C2">
        <v>2000</v>
      </c>
      <c r="F2" t="s">
        <v>244</v>
      </c>
      <c r="G2" t="s">
        <v>310</v>
      </c>
      <c r="H2" t="s">
        <v>311</v>
      </c>
      <c r="L2">
        <v>479</v>
      </c>
    </row>
    <row r="3" spans="1:13" x14ac:dyDescent="0.2">
      <c r="A3">
        <v>650</v>
      </c>
      <c r="B3" t="s">
        <v>880</v>
      </c>
      <c r="C3">
        <v>2003</v>
      </c>
      <c r="D3" t="s">
        <v>546</v>
      </c>
      <c r="I3" t="s">
        <v>547</v>
      </c>
      <c r="J3">
        <v>69</v>
      </c>
      <c r="K3">
        <v>1</v>
      </c>
      <c r="L3" s="21" t="s">
        <v>548</v>
      </c>
    </row>
    <row r="4" spans="1:13" x14ac:dyDescent="0.2">
      <c r="A4">
        <v>691</v>
      </c>
      <c r="B4" t="s">
        <v>1187</v>
      </c>
      <c r="C4">
        <v>1994</v>
      </c>
      <c r="D4" t="s">
        <v>1188</v>
      </c>
      <c r="I4" t="s">
        <v>244</v>
      </c>
      <c r="J4">
        <v>11</v>
      </c>
      <c r="L4" s="21" t="s">
        <v>1189</v>
      </c>
    </row>
    <row r="5" spans="1:13" x14ac:dyDescent="0.2">
      <c r="A5">
        <v>631</v>
      </c>
      <c r="B5" t="s">
        <v>581</v>
      </c>
      <c r="C5">
        <v>1970</v>
      </c>
      <c r="D5" t="s">
        <v>582</v>
      </c>
      <c r="I5" t="s">
        <v>530</v>
      </c>
      <c r="J5">
        <v>33</v>
      </c>
      <c r="L5" s="21" t="s">
        <v>583</v>
      </c>
    </row>
    <row r="6" spans="1:13" x14ac:dyDescent="0.2">
      <c r="A6">
        <v>665</v>
      </c>
      <c r="B6" t="s">
        <v>1181</v>
      </c>
      <c r="C6">
        <v>2002</v>
      </c>
      <c r="D6" t="s">
        <v>1182</v>
      </c>
      <c r="I6" t="s">
        <v>354</v>
      </c>
      <c r="J6">
        <v>65</v>
      </c>
      <c r="K6">
        <v>6</v>
      </c>
      <c r="L6" s="21" t="s">
        <v>1183</v>
      </c>
    </row>
    <row r="7" spans="1:13" x14ac:dyDescent="0.2">
      <c r="A7">
        <v>624</v>
      </c>
      <c r="B7" t="s">
        <v>158</v>
      </c>
      <c r="C7">
        <v>1975</v>
      </c>
      <c r="D7" t="s">
        <v>159</v>
      </c>
      <c r="I7" t="s">
        <v>160</v>
      </c>
      <c r="J7">
        <v>10</v>
      </c>
      <c r="L7" s="21" t="s">
        <v>161</v>
      </c>
    </row>
    <row r="8" spans="1:13" x14ac:dyDescent="0.2">
      <c r="A8">
        <v>688</v>
      </c>
      <c r="B8" t="s">
        <v>1094</v>
      </c>
      <c r="C8">
        <v>1997</v>
      </c>
      <c r="D8" t="s">
        <v>1095</v>
      </c>
      <c r="I8" t="s">
        <v>923</v>
      </c>
      <c r="J8">
        <v>38</v>
      </c>
      <c r="L8" s="21" t="s">
        <v>1096</v>
      </c>
    </row>
    <row r="9" spans="1:13" x14ac:dyDescent="0.2">
      <c r="A9">
        <v>675</v>
      </c>
      <c r="B9" t="s">
        <v>1196</v>
      </c>
      <c r="C9">
        <v>2000</v>
      </c>
      <c r="D9" t="s">
        <v>1197</v>
      </c>
      <c r="I9" t="s">
        <v>609</v>
      </c>
      <c r="J9">
        <v>88</v>
      </c>
      <c r="L9" s="21" t="s">
        <v>1198</v>
      </c>
    </row>
    <row r="10" spans="1:13" x14ac:dyDescent="0.2">
      <c r="A10">
        <v>659</v>
      </c>
      <c r="B10" t="s">
        <v>881</v>
      </c>
      <c r="C10">
        <v>1987</v>
      </c>
      <c r="D10" t="s">
        <v>854</v>
      </c>
      <c r="I10" t="s">
        <v>354</v>
      </c>
      <c r="J10">
        <v>50</v>
      </c>
      <c r="K10">
        <v>7</v>
      </c>
      <c r="L10" s="21" t="s">
        <v>855</v>
      </c>
    </row>
    <row r="11" spans="1:13" x14ac:dyDescent="0.2">
      <c r="A11">
        <v>695</v>
      </c>
      <c r="B11" t="s">
        <v>646</v>
      </c>
      <c r="C11">
        <v>1977</v>
      </c>
      <c r="D11" t="s">
        <v>649</v>
      </c>
      <c r="I11" t="s">
        <v>547</v>
      </c>
      <c r="J11">
        <v>34</v>
      </c>
      <c r="K11">
        <v>3</v>
      </c>
      <c r="L11" s="21" t="s">
        <v>650</v>
      </c>
    </row>
    <row r="12" spans="1:13" x14ac:dyDescent="0.2">
      <c r="A12">
        <v>712</v>
      </c>
      <c r="B12" t="s">
        <v>646</v>
      </c>
      <c r="C12">
        <v>1975</v>
      </c>
      <c r="D12" t="s">
        <v>1064</v>
      </c>
      <c r="I12" t="s">
        <v>124</v>
      </c>
      <c r="J12">
        <v>30</v>
      </c>
      <c r="K12">
        <v>6</v>
      </c>
      <c r="L12" s="21" t="s">
        <v>1065</v>
      </c>
    </row>
    <row r="13" spans="1:13" x14ac:dyDescent="0.2">
      <c r="A13">
        <v>660</v>
      </c>
      <c r="B13" t="s">
        <v>1019</v>
      </c>
      <c r="C13">
        <v>2003</v>
      </c>
      <c r="D13" t="s">
        <v>1014</v>
      </c>
      <c r="I13" t="s">
        <v>609</v>
      </c>
      <c r="J13">
        <v>95</v>
      </c>
      <c r="K13">
        <v>5</v>
      </c>
      <c r="L13" s="21" t="s">
        <v>1161</v>
      </c>
    </row>
    <row r="14" spans="1:13" x14ac:dyDescent="0.2">
      <c r="A14">
        <v>640</v>
      </c>
      <c r="B14" t="s">
        <v>607</v>
      </c>
      <c r="C14">
        <v>1998</v>
      </c>
      <c r="D14" t="s">
        <v>608</v>
      </c>
      <c r="I14" t="s">
        <v>609</v>
      </c>
      <c r="J14">
        <v>84</v>
      </c>
      <c r="L14" s="21" t="s">
        <v>610</v>
      </c>
    </row>
    <row r="15" spans="1:13" x14ac:dyDescent="0.2">
      <c r="A15">
        <v>641</v>
      </c>
      <c r="B15" t="s">
        <v>593</v>
      </c>
      <c r="C15">
        <v>1999</v>
      </c>
      <c r="D15" t="s">
        <v>594</v>
      </c>
      <c r="I15" t="s">
        <v>354</v>
      </c>
      <c r="J15">
        <v>62</v>
      </c>
      <c r="K15">
        <v>10</v>
      </c>
      <c r="L15" s="21" t="s">
        <v>595</v>
      </c>
    </row>
    <row r="16" spans="1:13" x14ac:dyDescent="0.2">
      <c r="A16">
        <v>684</v>
      </c>
      <c r="B16" t="s">
        <v>889</v>
      </c>
      <c r="C16">
        <v>1998</v>
      </c>
      <c r="D16" t="s">
        <v>1127</v>
      </c>
      <c r="I16" t="s">
        <v>354</v>
      </c>
      <c r="J16">
        <v>61</v>
      </c>
      <c r="K16">
        <v>3</v>
      </c>
      <c r="L16" s="21" t="s">
        <v>1128</v>
      </c>
    </row>
    <row r="17" spans="1:12" x14ac:dyDescent="0.2">
      <c r="A17">
        <v>634</v>
      </c>
      <c r="B17" t="s">
        <v>528</v>
      </c>
      <c r="C17">
        <v>1974</v>
      </c>
      <c r="D17" t="s">
        <v>529</v>
      </c>
      <c r="I17" t="s">
        <v>530</v>
      </c>
      <c r="J17">
        <v>37</v>
      </c>
      <c r="L17" s="21" t="s">
        <v>531</v>
      </c>
    </row>
    <row r="18" spans="1:12" x14ac:dyDescent="0.2">
      <c r="A18">
        <v>674</v>
      </c>
      <c r="B18" t="s">
        <v>1143</v>
      </c>
      <c r="C18">
        <v>2000</v>
      </c>
      <c r="D18" t="s">
        <v>1144</v>
      </c>
      <c r="I18" t="s">
        <v>354</v>
      </c>
      <c r="J18">
        <v>63</v>
      </c>
      <c r="K18">
        <v>8</v>
      </c>
      <c r="L18" s="21" t="s">
        <v>1145</v>
      </c>
    </row>
    <row r="19" spans="1:12" x14ac:dyDescent="0.2">
      <c r="A19">
        <v>636</v>
      </c>
      <c r="B19" t="s">
        <v>707</v>
      </c>
      <c r="C19">
        <v>1986</v>
      </c>
      <c r="D19" t="s">
        <v>708</v>
      </c>
      <c r="I19" t="s">
        <v>354</v>
      </c>
      <c r="J19">
        <v>49</v>
      </c>
      <c r="K19">
        <v>12</v>
      </c>
      <c r="L19" s="21" t="s">
        <v>709</v>
      </c>
    </row>
    <row r="20" spans="1:12" x14ac:dyDescent="0.2">
      <c r="A20">
        <v>629</v>
      </c>
      <c r="B20" t="s">
        <v>352</v>
      </c>
      <c r="C20">
        <v>2000</v>
      </c>
      <c r="D20" t="s">
        <v>353</v>
      </c>
      <c r="I20" t="s">
        <v>354</v>
      </c>
      <c r="J20">
        <v>63</v>
      </c>
      <c r="K20">
        <v>6</v>
      </c>
      <c r="L20" s="21" t="s">
        <v>355</v>
      </c>
    </row>
    <row r="21" spans="1:12" x14ac:dyDescent="0.2">
      <c r="A21">
        <v>630</v>
      </c>
      <c r="B21" t="s">
        <v>491</v>
      </c>
      <c r="C21">
        <v>2001</v>
      </c>
      <c r="D21" t="s">
        <v>492</v>
      </c>
      <c r="I21" t="s">
        <v>354</v>
      </c>
      <c r="J21">
        <v>64</v>
      </c>
      <c r="K21">
        <v>3</v>
      </c>
      <c r="L21" t="s">
        <v>493</v>
      </c>
    </row>
    <row r="22" spans="1:12" x14ac:dyDescent="0.2">
      <c r="A22">
        <v>697</v>
      </c>
      <c r="B22" t="s">
        <v>505</v>
      </c>
      <c r="C22">
        <v>2004</v>
      </c>
      <c r="D22" t="s">
        <v>506</v>
      </c>
      <c r="I22" t="s">
        <v>354</v>
      </c>
      <c r="J22">
        <v>67</v>
      </c>
      <c r="K22">
        <v>1</v>
      </c>
      <c r="L22" s="21" t="s">
        <v>1162</v>
      </c>
    </row>
    <row r="23" spans="1:12" x14ac:dyDescent="0.2">
      <c r="A23">
        <v>670</v>
      </c>
      <c r="B23" t="s">
        <v>953</v>
      </c>
      <c r="C23">
        <v>2001</v>
      </c>
      <c r="D23" t="s">
        <v>954</v>
      </c>
      <c r="I23" t="s">
        <v>923</v>
      </c>
      <c r="J23">
        <v>63</v>
      </c>
      <c r="L23" s="21" t="s">
        <v>955</v>
      </c>
    </row>
    <row r="24" spans="1:12" x14ac:dyDescent="0.2">
      <c r="A24">
        <v>676</v>
      </c>
      <c r="B24" t="s">
        <v>962</v>
      </c>
      <c r="C24" t="s">
        <v>960</v>
      </c>
      <c r="D24" t="s">
        <v>963</v>
      </c>
      <c r="I24" t="s">
        <v>244</v>
      </c>
      <c r="J24">
        <v>16</v>
      </c>
      <c r="L24" s="21" t="s">
        <v>964</v>
      </c>
    </row>
    <row r="25" spans="1:12" x14ac:dyDescent="0.2">
      <c r="A25">
        <v>677</v>
      </c>
      <c r="B25" t="s">
        <v>965</v>
      </c>
      <c r="C25" t="s">
        <v>961</v>
      </c>
      <c r="D25" t="s">
        <v>966</v>
      </c>
      <c r="I25" t="s">
        <v>967</v>
      </c>
      <c r="J25">
        <v>10</v>
      </c>
      <c r="L25" s="21" t="s">
        <v>968</v>
      </c>
    </row>
    <row r="26" spans="1:12" x14ac:dyDescent="0.2">
      <c r="A26" t="s">
        <v>317</v>
      </c>
      <c r="B26" t="s">
        <v>295</v>
      </c>
      <c r="C26">
        <v>2000</v>
      </c>
      <c r="F26" t="s">
        <v>296</v>
      </c>
      <c r="G26" t="s">
        <v>297</v>
      </c>
      <c r="H26" t="s">
        <v>298</v>
      </c>
      <c r="L26">
        <v>412</v>
      </c>
    </row>
    <row r="27" spans="1:12" x14ac:dyDescent="0.2">
      <c r="A27">
        <v>698</v>
      </c>
      <c r="B27" t="s">
        <v>1088</v>
      </c>
      <c r="C27">
        <v>1998</v>
      </c>
      <c r="D27" t="s">
        <v>1089</v>
      </c>
      <c r="I27" t="s">
        <v>1371</v>
      </c>
      <c r="J27">
        <v>63</v>
      </c>
      <c r="K27">
        <v>5</v>
      </c>
      <c r="L27" s="21" t="s">
        <v>1090</v>
      </c>
    </row>
    <row r="28" spans="1:12" x14ac:dyDescent="0.2">
      <c r="A28">
        <v>615</v>
      </c>
      <c r="B28" t="s">
        <v>242</v>
      </c>
      <c r="C28">
        <v>1985</v>
      </c>
      <c r="D28" t="s">
        <v>243</v>
      </c>
      <c r="I28" t="s">
        <v>244</v>
      </c>
      <c r="J28">
        <v>2</v>
      </c>
      <c r="L28" s="21" t="s">
        <v>245</v>
      </c>
    </row>
    <row r="29" spans="1:12" x14ac:dyDescent="0.2">
      <c r="A29">
        <v>632</v>
      </c>
      <c r="B29" t="s">
        <v>587</v>
      </c>
      <c r="C29">
        <v>1970</v>
      </c>
      <c r="D29" t="s">
        <v>588</v>
      </c>
      <c r="I29" t="s">
        <v>124</v>
      </c>
      <c r="J29">
        <v>19</v>
      </c>
      <c r="K29">
        <v>3</v>
      </c>
      <c r="L29" s="21" t="s">
        <v>589</v>
      </c>
    </row>
    <row r="30" spans="1:12" x14ac:dyDescent="0.2">
      <c r="A30">
        <v>682</v>
      </c>
      <c r="B30" t="s">
        <v>921</v>
      </c>
      <c r="C30">
        <v>1999</v>
      </c>
      <c r="D30" t="s">
        <v>922</v>
      </c>
      <c r="I30" t="s">
        <v>923</v>
      </c>
      <c r="J30">
        <v>51</v>
      </c>
      <c r="L30" s="21" t="s">
        <v>924</v>
      </c>
    </row>
    <row r="31" spans="1:12" x14ac:dyDescent="0.2">
      <c r="A31" t="s">
        <v>318</v>
      </c>
      <c r="B31" t="s">
        <v>314</v>
      </c>
      <c r="C31">
        <v>1990</v>
      </c>
      <c r="E31" t="s">
        <v>314</v>
      </c>
      <c r="F31" t="s">
        <v>315</v>
      </c>
      <c r="G31" t="s">
        <v>316</v>
      </c>
      <c r="H31" t="s">
        <v>1320</v>
      </c>
      <c r="L31">
        <v>385</v>
      </c>
    </row>
    <row r="32" spans="1:12" x14ac:dyDescent="0.2">
      <c r="A32">
        <v>658</v>
      </c>
      <c r="B32" t="s">
        <v>884</v>
      </c>
      <c r="C32">
        <v>1992</v>
      </c>
      <c r="D32" t="s">
        <v>885</v>
      </c>
      <c r="I32" t="s">
        <v>354</v>
      </c>
      <c r="J32">
        <v>55</v>
      </c>
      <c r="K32">
        <v>4</v>
      </c>
      <c r="L32" s="21" t="s">
        <v>886</v>
      </c>
    </row>
    <row r="33" spans="1:12" x14ac:dyDescent="0.2">
      <c r="A33">
        <v>668</v>
      </c>
      <c r="B33" t="s">
        <v>1124</v>
      </c>
      <c r="C33">
        <v>2001</v>
      </c>
      <c r="D33" t="s">
        <v>1125</v>
      </c>
      <c r="I33" t="s">
        <v>354</v>
      </c>
      <c r="J33">
        <v>64</v>
      </c>
      <c r="K33">
        <v>12</v>
      </c>
      <c r="L33" s="21" t="s">
        <v>1126</v>
      </c>
    </row>
    <row r="34" spans="1:12" x14ac:dyDescent="0.2">
      <c r="A34">
        <v>664</v>
      </c>
      <c r="B34" t="s">
        <v>1124</v>
      </c>
      <c r="C34">
        <v>2003</v>
      </c>
      <c r="D34" t="s">
        <v>1153</v>
      </c>
      <c r="I34" t="s">
        <v>354</v>
      </c>
      <c r="J34">
        <v>66</v>
      </c>
      <c r="K34">
        <v>4</v>
      </c>
      <c r="L34" s="21" t="s">
        <v>1154</v>
      </c>
    </row>
    <row r="35" spans="1:12" x14ac:dyDescent="0.2">
      <c r="A35" t="s">
        <v>317</v>
      </c>
      <c r="B35" t="s">
        <v>1226</v>
      </c>
      <c r="C35">
        <v>1996</v>
      </c>
      <c r="E35" t="s">
        <v>1318</v>
      </c>
      <c r="F35" t="s">
        <v>1317</v>
      </c>
      <c r="G35" t="s">
        <v>1319</v>
      </c>
      <c r="H35" t="s">
        <v>1320</v>
      </c>
      <c r="L35">
        <v>513</v>
      </c>
    </row>
    <row r="36" spans="1:12" x14ac:dyDescent="0.2">
      <c r="A36">
        <v>716</v>
      </c>
      <c r="B36" t="s">
        <v>134</v>
      </c>
      <c r="C36">
        <v>2004</v>
      </c>
      <c r="D36" t="s">
        <v>1163</v>
      </c>
      <c r="I36" t="s">
        <v>1378</v>
      </c>
      <c r="J36" t="s">
        <v>504</v>
      </c>
    </row>
    <row r="37" spans="1:12" x14ac:dyDescent="0.2">
      <c r="A37">
        <v>709</v>
      </c>
      <c r="B37" t="s">
        <v>870</v>
      </c>
      <c r="C37">
        <v>1982</v>
      </c>
      <c r="D37" t="s">
        <v>871</v>
      </c>
      <c r="I37" t="s">
        <v>1371</v>
      </c>
      <c r="J37">
        <v>47</v>
      </c>
      <c r="L37" s="21" t="s">
        <v>872</v>
      </c>
    </row>
    <row r="38" spans="1:12" x14ac:dyDescent="0.2">
      <c r="A38">
        <v>689</v>
      </c>
      <c r="B38" t="s">
        <v>993</v>
      </c>
      <c r="C38">
        <v>1995</v>
      </c>
      <c r="D38" t="s">
        <v>994</v>
      </c>
      <c r="I38" t="s">
        <v>354</v>
      </c>
      <c r="J38">
        <v>58</v>
      </c>
      <c r="K38">
        <v>7</v>
      </c>
      <c r="L38" s="21" t="s">
        <v>995</v>
      </c>
    </row>
    <row r="39" spans="1:12" x14ac:dyDescent="0.2">
      <c r="A39">
        <v>683</v>
      </c>
      <c r="B39" t="s">
        <v>631</v>
      </c>
      <c r="C39">
        <v>1998</v>
      </c>
      <c r="D39" t="s">
        <v>632</v>
      </c>
      <c r="I39" t="s">
        <v>244</v>
      </c>
      <c r="J39">
        <v>15</v>
      </c>
      <c r="K39">
        <v>3</v>
      </c>
      <c r="L39" s="21" t="s">
        <v>633</v>
      </c>
    </row>
    <row r="40" spans="1:12" x14ac:dyDescent="0.2">
      <c r="A40">
        <v>654</v>
      </c>
      <c r="B40" t="s">
        <v>559</v>
      </c>
      <c r="C40">
        <v>2000</v>
      </c>
      <c r="D40" t="s">
        <v>560</v>
      </c>
      <c r="I40" t="s">
        <v>1378</v>
      </c>
      <c r="J40">
        <v>30</v>
      </c>
      <c r="L40" s="21" t="s">
        <v>561</v>
      </c>
    </row>
    <row r="41" spans="1:12" x14ac:dyDescent="0.2">
      <c r="A41">
        <v>690</v>
      </c>
      <c r="B41" t="s">
        <v>996</v>
      </c>
      <c r="C41">
        <v>1995</v>
      </c>
      <c r="D41" t="s">
        <v>997</v>
      </c>
      <c r="I41" t="s">
        <v>354</v>
      </c>
      <c r="J41">
        <v>58</v>
      </c>
      <c r="K41">
        <v>7</v>
      </c>
      <c r="L41" s="21" t="s">
        <v>998</v>
      </c>
    </row>
    <row r="42" spans="1:12" x14ac:dyDescent="0.2">
      <c r="A42">
        <v>646</v>
      </c>
      <c r="B42" t="s">
        <v>815</v>
      </c>
      <c r="C42">
        <v>2001</v>
      </c>
      <c r="D42" t="s">
        <v>817</v>
      </c>
      <c r="I42" t="s">
        <v>1395</v>
      </c>
      <c r="J42">
        <v>21</v>
      </c>
      <c r="L42" s="21" t="s">
        <v>818</v>
      </c>
    </row>
    <row r="43" spans="1:12" x14ac:dyDescent="0.2">
      <c r="A43">
        <v>693</v>
      </c>
      <c r="B43" t="s">
        <v>1168</v>
      </c>
      <c r="C43">
        <v>1986</v>
      </c>
      <c r="D43" t="s">
        <v>1172</v>
      </c>
      <c r="I43" t="s">
        <v>354</v>
      </c>
      <c r="J43">
        <v>49</v>
      </c>
      <c r="K43">
        <v>7</v>
      </c>
      <c r="L43" s="21" t="s">
        <v>1171</v>
      </c>
    </row>
    <row r="44" spans="1:12" x14ac:dyDescent="0.2">
      <c r="A44">
        <v>692</v>
      </c>
      <c r="B44" t="s">
        <v>1168</v>
      </c>
      <c r="C44">
        <v>1989</v>
      </c>
      <c r="D44" t="s">
        <v>1169</v>
      </c>
      <c r="I44" t="s">
        <v>354</v>
      </c>
      <c r="J44">
        <v>52</v>
      </c>
      <c r="K44">
        <v>9</v>
      </c>
      <c r="L44" s="21" t="s">
        <v>1170</v>
      </c>
    </row>
    <row r="45" spans="1:12" x14ac:dyDescent="0.2">
      <c r="A45">
        <v>638</v>
      </c>
      <c r="B45" t="s">
        <v>802</v>
      </c>
      <c r="C45">
        <v>1989</v>
      </c>
      <c r="D45" t="s">
        <v>803</v>
      </c>
      <c r="I45" t="s">
        <v>244</v>
      </c>
      <c r="J45">
        <v>6</v>
      </c>
      <c r="L45" s="21" t="s">
        <v>804</v>
      </c>
    </row>
    <row r="46" spans="1:12" ht="12" customHeight="1" x14ac:dyDescent="0.2">
      <c r="A46">
        <v>695</v>
      </c>
      <c r="B46" t="s">
        <v>642</v>
      </c>
      <c r="C46">
        <v>1982</v>
      </c>
      <c r="D46" t="s">
        <v>643</v>
      </c>
      <c r="I46" t="s">
        <v>547</v>
      </c>
      <c r="J46">
        <v>44</v>
      </c>
      <c r="K46">
        <v>2</v>
      </c>
      <c r="L46" s="21" t="s">
        <v>644</v>
      </c>
    </row>
    <row r="47" spans="1:12" ht="13.5" customHeight="1" x14ac:dyDescent="0.2">
      <c r="A47">
        <v>607</v>
      </c>
      <c r="B47" t="s">
        <v>1373</v>
      </c>
      <c r="C47">
        <v>1979</v>
      </c>
      <c r="D47" t="s">
        <v>1370</v>
      </c>
      <c r="I47" t="s">
        <v>1371</v>
      </c>
      <c r="J47">
        <v>44</v>
      </c>
      <c r="K47">
        <v>1</v>
      </c>
      <c r="L47" t="s">
        <v>1372</v>
      </c>
    </row>
    <row r="48" spans="1:12" s="37" customFormat="1" x14ac:dyDescent="0.2">
      <c r="A48">
        <v>637</v>
      </c>
      <c r="B48" t="s">
        <v>599</v>
      </c>
      <c r="C48">
        <v>1989</v>
      </c>
      <c r="D48" t="s">
        <v>600</v>
      </c>
      <c r="E48"/>
      <c r="F48"/>
      <c r="G48"/>
      <c r="H48"/>
      <c r="I48" t="s">
        <v>1378</v>
      </c>
      <c r="J48">
        <v>9</v>
      </c>
      <c r="K48"/>
      <c r="L48" s="21" t="s">
        <v>601</v>
      </c>
    </row>
    <row r="49" spans="1:12" x14ac:dyDescent="0.2">
      <c r="A49" s="37">
        <v>647</v>
      </c>
      <c r="B49" s="37" t="s">
        <v>1070</v>
      </c>
      <c r="C49" s="37">
        <v>2001</v>
      </c>
      <c r="D49" s="37" t="s">
        <v>1071</v>
      </c>
      <c r="E49" s="37"/>
      <c r="F49" s="37"/>
      <c r="G49" s="37"/>
      <c r="H49" s="37"/>
      <c r="I49" s="37" t="s">
        <v>923</v>
      </c>
      <c r="J49" s="37">
        <v>63</v>
      </c>
      <c r="K49" s="37">
        <v>3</v>
      </c>
      <c r="L49" s="38" t="s">
        <v>1072</v>
      </c>
    </row>
    <row r="50" spans="1:12" x14ac:dyDescent="0.2">
      <c r="A50">
        <v>678</v>
      </c>
      <c r="B50" t="s">
        <v>925</v>
      </c>
      <c r="C50">
        <v>1999</v>
      </c>
      <c r="D50" t="s">
        <v>926</v>
      </c>
      <c r="I50" t="s">
        <v>923</v>
      </c>
      <c r="J50">
        <v>53</v>
      </c>
      <c r="L50" s="21" t="s">
        <v>927</v>
      </c>
    </row>
    <row r="51" spans="1:12" x14ac:dyDescent="0.2">
      <c r="A51">
        <v>669</v>
      </c>
      <c r="B51" t="s">
        <v>1150</v>
      </c>
      <c r="C51">
        <v>2001</v>
      </c>
      <c r="D51" t="s">
        <v>1151</v>
      </c>
      <c r="I51" t="s">
        <v>354</v>
      </c>
      <c r="J51">
        <v>64</v>
      </c>
      <c r="K51">
        <v>3</v>
      </c>
      <c r="L51" s="21" t="s">
        <v>1152</v>
      </c>
    </row>
    <row r="52" spans="1:12" x14ac:dyDescent="0.2">
      <c r="A52">
        <v>651</v>
      </c>
      <c r="B52" t="s">
        <v>573</v>
      </c>
      <c r="C52">
        <v>2003</v>
      </c>
      <c r="D52" t="s">
        <v>574</v>
      </c>
      <c r="I52" t="s">
        <v>1371</v>
      </c>
      <c r="J52">
        <v>68</v>
      </c>
      <c r="K52">
        <v>4</v>
      </c>
      <c r="L52" s="21" t="s">
        <v>575</v>
      </c>
    </row>
    <row r="53" spans="1:12" x14ac:dyDescent="0.2">
      <c r="A53">
        <v>611</v>
      </c>
      <c r="B53" t="s">
        <v>204</v>
      </c>
      <c r="C53">
        <v>1967</v>
      </c>
      <c r="D53" t="s">
        <v>205</v>
      </c>
      <c r="I53" t="s">
        <v>206</v>
      </c>
      <c r="J53">
        <v>65</v>
      </c>
      <c r="L53" t="s">
        <v>207</v>
      </c>
    </row>
    <row r="54" spans="1:12" x14ac:dyDescent="0.2">
      <c r="A54">
        <v>687</v>
      </c>
      <c r="B54" t="s">
        <v>1020</v>
      </c>
      <c r="C54">
        <v>1997</v>
      </c>
      <c r="D54" t="s">
        <v>1021</v>
      </c>
      <c r="I54" t="s">
        <v>1378</v>
      </c>
      <c r="J54">
        <v>24</v>
      </c>
      <c r="L54" s="21" t="s">
        <v>1022</v>
      </c>
    </row>
    <row r="55" spans="1:12" x14ac:dyDescent="0.2">
      <c r="A55">
        <v>645</v>
      </c>
      <c r="B55" t="s">
        <v>838</v>
      </c>
      <c r="C55">
        <v>2001</v>
      </c>
      <c r="D55" t="s">
        <v>839</v>
      </c>
      <c r="I55" t="s">
        <v>354</v>
      </c>
      <c r="J55">
        <v>64</v>
      </c>
      <c r="K55">
        <v>10</v>
      </c>
      <c r="L55" s="21" t="s">
        <v>840</v>
      </c>
    </row>
    <row r="56" spans="1:12" x14ac:dyDescent="0.2">
      <c r="A56">
        <v>702</v>
      </c>
      <c r="B56" t="s">
        <v>169</v>
      </c>
      <c r="C56">
        <v>1998</v>
      </c>
      <c r="D56" t="s">
        <v>170</v>
      </c>
      <c r="I56" t="s">
        <v>354</v>
      </c>
      <c r="J56">
        <v>61</v>
      </c>
      <c r="K56">
        <v>4</v>
      </c>
      <c r="L56" s="21" t="s">
        <v>171</v>
      </c>
    </row>
    <row r="57" spans="1:12" x14ac:dyDescent="0.2">
      <c r="A57">
        <v>628</v>
      </c>
      <c r="B57" t="s">
        <v>1376</v>
      </c>
      <c r="C57">
        <v>1993</v>
      </c>
      <c r="D57" t="s">
        <v>1377</v>
      </c>
      <c r="I57" t="s">
        <v>1378</v>
      </c>
      <c r="J57">
        <v>16</v>
      </c>
      <c r="L57" t="s">
        <v>1379</v>
      </c>
    </row>
    <row r="58" spans="1:12" x14ac:dyDescent="0.2">
      <c r="A58">
        <v>686</v>
      </c>
      <c r="B58" t="s">
        <v>787</v>
      </c>
      <c r="C58">
        <v>1997</v>
      </c>
      <c r="D58" t="s">
        <v>788</v>
      </c>
      <c r="I58" t="s">
        <v>354</v>
      </c>
      <c r="J58">
        <v>60</v>
      </c>
      <c r="K58">
        <v>8</v>
      </c>
      <c r="L58" s="21" t="s">
        <v>789</v>
      </c>
    </row>
    <row r="59" spans="1:12" x14ac:dyDescent="0.2">
      <c r="B59" t="s">
        <v>859</v>
      </c>
      <c r="C59">
        <v>1987</v>
      </c>
      <c r="D59" t="s">
        <v>860</v>
      </c>
      <c r="I59" t="s">
        <v>354</v>
      </c>
      <c r="J59">
        <v>50</v>
      </c>
      <c r="K59">
        <v>3</v>
      </c>
      <c r="L59" s="21" t="s">
        <v>861</v>
      </c>
    </row>
    <row r="60" spans="1:12" x14ac:dyDescent="0.2">
      <c r="A60">
        <v>673</v>
      </c>
      <c r="B60" t="s">
        <v>1084</v>
      </c>
      <c r="C60">
        <v>2000</v>
      </c>
      <c r="D60" t="s">
        <v>1085</v>
      </c>
      <c r="I60" t="s">
        <v>547</v>
      </c>
      <c r="J60">
        <v>66</v>
      </c>
      <c r="K60">
        <v>4</v>
      </c>
      <c r="L60" s="21" t="s">
        <v>1086</v>
      </c>
    </row>
    <row r="61" spans="1:12" x14ac:dyDescent="0.2">
      <c r="A61">
        <v>652</v>
      </c>
      <c r="B61" t="s">
        <v>782</v>
      </c>
      <c r="C61">
        <v>1998</v>
      </c>
      <c r="D61" t="s">
        <v>795</v>
      </c>
      <c r="I61" t="s">
        <v>1395</v>
      </c>
      <c r="J61">
        <v>18</v>
      </c>
      <c r="L61" s="21" t="s">
        <v>796</v>
      </c>
    </row>
    <row r="62" spans="1:12" x14ac:dyDescent="0.2">
      <c r="A62">
        <v>694</v>
      </c>
      <c r="B62" t="s">
        <v>660</v>
      </c>
      <c r="C62">
        <v>1981</v>
      </c>
      <c r="D62" t="s">
        <v>661</v>
      </c>
      <c r="I62" t="s">
        <v>1371</v>
      </c>
      <c r="J62">
        <v>46</v>
      </c>
      <c r="L62" s="21" t="s">
        <v>662</v>
      </c>
    </row>
    <row r="63" spans="1:12" x14ac:dyDescent="0.2">
      <c r="A63">
        <v>614</v>
      </c>
      <c r="B63" t="s">
        <v>1381</v>
      </c>
      <c r="C63">
        <v>1985</v>
      </c>
      <c r="D63" t="s">
        <v>1394</v>
      </c>
      <c r="I63" t="s">
        <v>1395</v>
      </c>
      <c r="J63">
        <v>7</v>
      </c>
      <c r="L63" t="s">
        <v>1396</v>
      </c>
    </row>
    <row r="64" spans="1:12" x14ac:dyDescent="0.2">
      <c r="A64">
        <v>626</v>
      </c>
      <c r="B64" t="s">
        <v>400</v>
      </c>
      <c r="C64">
        <v>1991</v>
      </c>
      <c r="D64" t="s">
        <v>402</v>
      </c>
      <c r="I64" t="s">
        <v>1371</v>
      </c>
      <c r="J64">
        <v>56</v>
      </c>
      <c r="K64">
        <v>2</v>
      </c>
      <c r="L64" s="21" t="s">
        <v>401</v>
      </c>
    </row>
    <row r="65" spans="1:12" x14ac:dyDescent="0.2">
      <c r="A65">
        <v>619</v>
      </c>
      <c r="B65" t="s">
        <v>1437</v>
      </c>
      <c r="C65">
        <v>1980</v>
      </c>
      <c r="D65" t="s">
        <v>1438</v>
      </c>
      <c r="I65" t="s">
        <v>354</v>
      </c>
      <c r="J65">
        <v>43</v>
      </c>
      <c r="K65">
        <v>5</v>
      </c>
      <c r="L65" t="s">
        <v>1439</v>
      </c>
    </row>
    <row r="66" spans="1:12" x14ac:dyDescent="0.2">
      <c r="A66">
        <v>648</v>
      </c>
      <c r="B66" t="s">
        <v>715</v>
      </c>
      <c r="C66">
        <v>2001</v>
      </c>
      <c r="D66" t="s">
        <v>716</v>
      </c>
      <c r="I66" t="s">
        <v>1371</v>
      </c>
      <c r="J66">
        <v>66</v>
      </c>
      <c r="K66">
        <v>8</v>
      </c>
      <c r="L66" s="21" t="s">
        <v>717</v>
      </c>
    </row>
    <row r="67" spans="1:12" x14ac:dyDescent="0.2">
      <c r="A67">
        <v>608</v>
      </c>
      <c r="B67" t="s">
        <v>154</v>
      </c>
      <c r="C67">
        <v>1965</v>
      </c>
      <c r="D67" t="s">
        <v>155</v>
      </c>
      <c r="I67" t="s">
        <v>156</v>
      </c>
      <c r="J67">
        <v>48</v>
      </c>
      <c r="L67" s="21" t="s">
        <v>157</v>
      </c>
    </row>
    <row r="68" spans="1:12" x14ac:dyDescent="0.2">
      <c r="A68">
        <v>643</v>
      </c>
      <c r="B68" t="s">
        <v>849</v>
      </c>
      <c r="C68">
        <v>2000</v>
      </c>
      <c r="D68" t="s">
        <v>850</v>
      </c>
      <c r="I68" t="s">
        <v>609</v>
      </c>
      <c r="J68">
        <v>88</v>
      </c>
      <c r="L68" t="s">
        <v>851</v>
      </c>
    </row>
    <row r="69" spans="1:12" x14ac:dyDescent="0.2">
      <c r="A69">
        <v>609</v>
      </c>
      <c r="B69" t="s">
        <v>122</v>
      </c>
      <c r="C69">
        <v>1966</v>
      </c>
      <c r="D69" t="s">
        <v>123</v>
      </c>
      <c r="I69" t="s">
        <v>124</v>
      </c>
      <c r="J69">
        <v>14</v>
      </c>
      <c r="K69">
        <v>3</v>
      </c>
      <c r="L69" s="21" t="s">
        <v>125</v>
      </c>
    </row>
    <row r="70" spans="1:12" x14ac:dyDescent="0.2">
      <c r="A70">
        <v>666</v>
      </c>
      <c r="B70" t="s">
        <v>1037</v>
      </c>
      <c r="C70">
        <v>2002</v>
      </c>
      <c r="D70" t="s">
        <v>1038</v>
      </c>
      <c r="I70" t="s">
        <v>923</v>
      </c>
      <c r="J70">
        <v>75</v>
      </c>
      <c r="L70" s="21" t="s">
        <v>1039</v>
      </c>
    </row>
    <row r="71" spans="1:12" x14ac:dyDescent="0.2">
      <c r="A71">
        <v>672</v>
      </c>
      <c r="B71" t="s">
        <v>630</v>
      </c>
      <c r="C71">
        <v>2001</v>
      </c>
      <c r="D71" t="s">
        <v>634</v>
      </c>
      <c r="I71" t="s">
        <v>354</v>
      </c>
      <c r="J71">
        <v>64</v>
      </c>
      <c r="K71">
        <v>6</v>
      </c>
      <c r="L71" s="21" t="s">
        <v>635</v>
      </c>
    </row>
    <row r="72" spans="1:12" x14ac:dyDescent="0.2">
      <c r="A72">
        <v>679</v>
      </c>
      <c r="B72" t="s">
        <v>1053</v>
      </c>
      <c r="C72">
        <v>2001</v>
      </c>
      <c r="D72" t="s">
        <v>1076</v>
      </c>
      <c r="I72" t="s">
        <v>354</v>
      </c>
      <c r="J72">
        <v>64</v>
      </c>
      <c r="K72">
        <v>8</v>
      </c>
      <c r="L72" s="21" t="s">
        <v>1077</v>
      </c>
    </row>
    <row r="73" spans="1:12" x14ac:dyDescent="0.2">
      <c r="A73">
        <v>681</v>
      </c>
      <c r="B73" t="s">
        <v>1053</v>
      </c>
      <c r="C73" t="s">
        <v>1063</v>
      </c>
      <c r="D73" t="s">
        <v>1054</v>
      </c>
      <c r="I73" t="s">
        <v>354</v>
      </c>
      <c r="J73">
        <v>65</v>
      </c>
      <c r="K73">
        <v>5</v>
      </c>
      <c r="L73" s="21" t="s">
        <v>1055</v>
      </c>
    </row>
    <row r="74" spans="1:12" x14ac:dyDescent="0.2">
      <c r="A74">
        <v>680</v>
      </c>
      <c r="B74" t="s">
        <v>1053</v>
      </c>
      <c r="C74" t="s">
        <v>1062</v>
      </c>
      <c r="D74" t="s">
        <v>1074</v>
      </c>
      <c r="I74" t="s">
        <v>354</v>
      </c>
      <c r="J74">
        <v>65</v>
      </c>
      <c r="K74">
        <v>9</v>
      </c>
      <c r="L74" s="21" t="s">
        <v>1075</v>
      </c>
    </row>
  </sheetData>
  <phoneticPr fontId="0" type="noConversion"/>
  <pageMargins left="0.75" right="0.75" top="1" bottom="1" header="0.5" footer="0.5"/>
  <pageSetup paperSize="9" orientation="portrait" horizontalDpi="1200" verticalDpi="12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4</vt:i4>
      </vt:variant>
    </vt:vector>
  </HeadingPairs>
  <TitlesOfParts>
    <vt:vector size="31" baseType="lpstr">
      <vt:lpstr>Bacillus</vt:lpstr>
      <vt:lpstr>GraphBacillus</vt:lpstr>
      <vt:lpstr>Campylobacter</vt:lpstr>
      <vt:lpstr>GraphCampy</vt:lpstr>
      <vt:lpstr>C botulinum</vt:lpstr>
      <vt:lpstr>GraphBotulinum</vt:lpstr>
      <vt:lpstr>C perfringens</vt:lpstr>
      <vt:lpstr>GraphPerfringens</vt:lpstr>
      <vt:lpstr>E sakazaki</vt:lpstr>
      <vt:lpstr>Graphsakazaki</vt:lpstr>
      <vt:lpstr>E coli</vt:lpstr>
      <vt:lpstr>GraphEcoli</vt:lpstr>
      <vt:lpstr>Listeria</vt:lpstr>
      <vt:lpstr>GraphListeria</vt:lpstr>
      <vt:lpstr>Salmonella</vt:lpstr>
      <vt:lpstr>GraphSalmonella</vt:lpstr>
      <vt:lpstr>Shigella</vt:lpstr>
      <vt:lpstr>GraphShigella</vt:lpstr>
      <vt:lpstr>Staphaureus</vt:lpstr>
      <vt:lpstr>GraphSaureus</vt:lpstr>
      <vt:lpstr>Streptococcus</vt:lpstr>
      <vt:lpstr>GraphStrept</vt:lpstr>
      <vt:lpstr>Vibrio</vt:lpstr>
      <vt:lpstr>GraphVibrio</vt:lpstr>
      <vt:lpstr>Yersinia</vt:lpstr>
      <vt:lpstr>GraphYersinia</vt:lpstr>
      <vt:lpstr>References</vt:lpstr>
      <vt:lpstr>current</vt:lpstr>
      <vt:lpstr>GraphBacillus!Print_Area</vt:lpstr>
      <vt:lpstr>GraphBotulinum!Print_Area</vt:lpstr>
      <vt:lpstr>GraphListeria!Print_Area</vt:lpstr>
    </vt:vector>
  </TitlesOfParts>
  <Company>WUR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edaantrekker</dc:creator>
  <cp:lastModifiedBy>Pampoukis, Georgios</cp:lastModifiedBy>
  <cp:lastPrinted>2004-05-25T14:47:06Z</cp:lastPrinted>
  <dcterms:created xsi:type="dcterms:W3CDTF">2003-03-24T09:41:11Z</dcterms:created>
  <dcterms:modified xsi:type="dcterms:W3CDTF">2024-07-05T10:11:40Z</dcterms:modified>
</cp:coreProperties>
</file>